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OPES\Desktop\2026\"/>
    </mc:Choice>
  </mc:AlternateContent>
  <xr:revisionPtr revIDLastSave="0" documentId="8_{92633217-F1AC-4EAF-9F0A-AA3995A2590D}" xr6:coauthVersionLast="47" xr6:coauthVersionMax="47" xr10:uidLastSave="{00000000-0000-0000-0000-000000000000}"/>
  <bookViews>
    <workbookView xWindow="-28920" yWindow="2610" windowWidth="29040" windowHeight="15720" tabRatio="621" xr2:uid="{B9A7A413-F015-437C-B328-FB87B8BA3AB5}"/>
  </bookViews>
  <sheets>
    <sheet name="COMPRA DE DIVISAS" sheetId="4" r:id="rId1"/>
    <sheet name="Folha3" sheetId="7" state="hidden" r:id="rId2"/>
    <sheet name="Folha1" sheetId="5" state="hidden" r:id="rId3"/>
    <sheet name="Folha2" sheetId="3" state="hidden" r:id="rId4"/>
  </sheets>
  <definedNames>
    <definedName name="_xlnm._FilterDatabase" localSheetId="0" hidden="1">'COMPRA DE DIVISAS'!#REF!</definedName>
    <definedName name="_xlnm._FilterDatabase" localSheetId="2" hidden="1">Folha1!$C$2:$D$2</definedName>
    <definedName name="_xlnm._FilterDatabase" localSheetId="1" hidden="1">Folha3!$I$7:$J$7</definedName>
    <definedName name="_xlnm.Print_Area" localSheetId="0">'COMPRA DE DIVISAS'!$B$2:$AB$16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7" l="1"/>
  <c r="Q27" i="3" l="1"/>
  <c r="K27" i="3"/>
  <c r="H27" i="3"/>
  <c r="E27" i="3"/>
  <c r="K29" i="3" s="1"/>
</calcChain>
</file>

<file path=xl/sharedStrings.xml><?xml version="1.0" encoding="utf-8"?>
<sst xmlns="http://schemas.openxmlformats.org/spreadsheetml/2006/main" count="181" uniqueCount="58">
  <si>
    <t>BAI</t>
  </si>
  <si>
    <t>BCA</t>
  </si>
  <si>
    <t>BCGA</t>
  </si>
  <si>
    <t>BCH</t>
  </si>
  <si>
    <t>BCI</t>
  </si>
  <si>
    <t>BCS</t>
  </si>
  <si>
    <t>BDA</t>
  </si>
  <si>
    <t>BE</t>
  </si>
  <si>
    <t>BFA</t>
  </si>
  <si>
    <t>BIC</t>
  </si>
  <si>
    <t>BIR</t>
  </si>
  <si>
    <t>BMA</t>
  </si>
  <si>
    <t>BNI</t>
  </si>
  <si>
    <t>BVB</t>
  </si>
  <si>
    <t>FNB</t>
  </si>
  <si>
    <t>KEVE</t>
  </si>
  <si>
    <t>SBA</t>
  </si>
  <si>
    <t>SCBA</t>
  </si>
  <si>
    <t>SOL</t>
  </si>
  <si>
    <t>VTB</t>
  </si>
  <si>
    <t>BPC</t>
  </si>
  <si>
    <t>YETU</t>
  </si>
  <si>
    <t>Total</t>
  </si>
  <si>
    <t>Descrição</t>
  </si>
  <si>
    <t>BMF</t>
  </si>
  <si>
    <t>BOC</t>
  </si>
  <si>
    <t>BPG</t>
  </si>
  <si>
    <t>ACCESS</t>
  </si>
  <si>
    <t>ATL</t>
  </si>
  <si>
    <t>Banco</t>
  </si>
  <si>
    <t>Montante</t>
  </si>
  <si>
    <t>OUTROS</t>
  </si>
  <si>
    <t>Tesouro Nacional</t>
  </si>
  <si>
    <t>BNA</t>
  </si>
  <si>
    <t>Total
 2024</t>
  </si>
  <si>
    <t>Total
 2025</t>
  </si>
  <si>
    <t>Fonte: BNA</t>
  </si>
  <si>
    <t>*Inclui transacções realizadas dentro da Plataforma (Bloomberg)</t>
  </si>
  <si>
    <t>Clientes Diversos**</t>
  </si>
  <si>
    <t>**Inclui transacções realizadas  fora da Plataforma</t>
  </si>
  <si>
    <t>Compras Regulares</t>
  </si>
  <si>
    <t>Sector Petrolífero*</t>
  </si>
  <si>
    <t>Sector Diamantífero*</t>
  </si>
  <si>
    <t>Em Milhões de USD</t>
  </si>
  <si>
    <t>2026***</t>
  </si>
  <si>
    <t>***Dados preliminares</t>
  </si>
  <si>
    <t>Compra de Divisas pelos Bancos Comerciais</t>
  </si>
  <si>
    <t>In millions of USD</t>
  </si>
  <si>
    <t>Description</t>
  </si>
  <si>
    <t>Regular Purchases</t>
  </si>
  <si>
    <t>Oil Sector*</t>
  </si>
  <si>
    <t>Diamond Sector*</t>
  </si>
  <si>
    <t>Others**</t>
  </si>
  <si>
    <t>National Treasury</t>
  </si>
  <si>
    <t>Source: BNA</t>
  </si>
  <si>
    <t>*Includes transactions made within the Platform (Bloomberg)</t>
  </si>
  <si>
    <t>**Includes transactions made outside the Platform</t>
  </si>
  <si>
    <t>***Preliminary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</si>
</sst>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-* #,##0.00_-;\-* #,##0.00_-;_-* &quot;-&quot;??_-;_-@_-"/>
    <numFmt numFmtId="164" formatCode="#,##0.00_ ;\-#,##0.00\ "/>
    <numFmt numFmtId="165" formatCode="#,##0.0"/>
    <numFmt numFmtId="166" formatCode="#,##0.000000"/>
    <numFmt numFmtId="167" formatCode="#,##0.0000"/>
    <numFmt numFmtId="168" formatCode="#,##0.00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indexed="9"/>
      <name val="Calibri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8" borderId="0" applyNumberFormat="0" applyBorder="0" applyAlignment="0" applyProtection="0"/>
    <xf numFmtId="0" fontId="12" fillId="9" borderId="0" applyNumberFormat="0" applyBorder="0" applyAlignment="0" applyProtection="0"/>
    <xf numFmtId="0" fontId="13" fillId="11" borderId="7" applyNumberFormat="0" applyAlignment="0" applyProtection="0"/>
    <xf numFmtId="0" fontId="14" fillId="12" borderId="8" applyNumberFormat="0" applyAlignment="0" applyProtection="0"/>
    <xf numFmtId="0" fontId="15" fillId="12" borderId="7" applyNumberFormat="0" applyAlignment="0" applyProtection="0"/>
    <xf numFmtId="0" fontId="16" fillId="0" borderId="9" applyNumberFormat="0" applyFill="0" applyAlignment="0" applyProtection="0"/>
    <xf numFmtId="0" fontId="17" fillId="13" borderId="10" applyNumberFormat="0" applyAlignment="0" applyProtection="0"/>
    <xf numFmtId="0" fontId="18" fillId="0" borderId="0" applyNumberFormat="0" applyFill="0" applyBorder="0" applyAlignment="0" applyProtection="0"/>
    <xf numFmtId="0" fontId="1" fillId="14" borderId="11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20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0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0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0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0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0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2" fillId="0" borderId="0"/>
    <xf numFmtId="43" fontId="21" fillId="0" borderId="0" applyFont="0" applyFill="0" applyBorder="0" applyAlignment="0" applyProtection="0"/>
    <xf numFmtId="0" fontId="20" fillId="18" borderId="0" applyNumberFormat="0" applyBorder="0" applyAlignment="0" applyProtection="0"/>
    <xf numFmtId="0" fontId="20" fillId="22" borderId="0" applyNumberFormat="0" applyBorder="0" applyAlignment="0" applyProtection="0"/>
    <xf numFmtId="0" fontId="20" fillId="26" borderId="0" applyNumberFormat="0" applyBorder="0" applyAlignment="0" applyProtection="0"/>
    <xf numFmtId="0" fontId="20" fillId="30" borderId="0" applyNumberFormat="0" applyBorder="0" applyAlignment="0" applyProtection="0"/>
    <xf numFmtId="0" fontId="20" fillId="34" borderId="0" applyNumberFormat="0" applyBorder="0" applyAlignment="0" applyProtection="0"/>
    <xf numFmtId="0" fontId="20" fillId="38" borderId="0" applyNumberFormat="0" applyBorder="0" applyAlignment="0" applyProtection="0"/>
    <xf numFmtId="0" fontId="23" fillId="39" borderId="0"/>
    <xf numFmtId="0" fontId="25" fillId="10" borderId="0" applyNumberFormat="0" applyBorder="0" applyAlignment="0" applyProtection="0"/>
    <xf numFmtId="0" fontId="2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left" vertical="center"/>
    </xf>
    <xf numFmtId="4" fontId="0" fillId="0" borderId="0" xfId="0" applyNumberFormat="1"/>
    <xf numFmtId="4" fontId="0" fillId="4" borderId="0" xfId="0" applyNumberFormat="1" applyFill="1"/>
    <xf numFmtId="4" fontId="0" fillId="3" borderId="0" xfId="0" applyNumberFormat="1" applyFill="1"/>
    <xf numFmtId="4" fontId="0" fillId="5" borderId="0" xfId="0" applyNumberFormat="1" applyFill="1"/>
    <xf numFmtId="4" fontId="0" fillId="6" borderId="0" xfId="0" applyNumberFormat="1" applyFill="1"/>
    <xf numFmtId="0" fontId="0" fillId="2" borderId="0" xfId="0" applyFill="1" applyAlignment="1">
      <alignment horizontal="center"/>
    </xf>
    <xf numFmtId="43" fontId="0" fillId="2" borderId="0" xfId="1" applyFont="1" applyFill="1" applyAlignment="1">
      <alignment horizontal="center"/>
    </xf>
    <xf numFmtId="17" fontId="3" fillId="2" borderId="2" xfId="0" applyNumberFormat="1" applyFont="1" applyFill="1" applyBorder="1" applyAlignment="1">
      <alignment vertical="center"/>
    </xf>
    <xf numFmtId="0" fontId="0" fillId="2" borderId="0" xfId="0" applyFill="1" applyAlignment="1">
      <alignment horizontal="left"/>
    </xf>
    <xf numFmtId="17" fontId="3" fillId="2" borderId="2" xfId="0" applyNumberFormat="1" applyFont="1" applyFill="1" applyBorder="1" applyAlignment="1">
      <alignment horizontal="center" vertical="center"/>
    </xf>
    <xf numFmtId="0" fontId="2" fillId="0" borderId="2" xfId="1" applyNumberFormat="1" applyFont="1" applyFill="1" applyBorder="1" applyAlignment="1">
      <alignment horizontal="left" vertical="center"/>
    </xf>
    <xf numFmtId="0" fontId="2" fillId="2" borderId="0" xfId="0" applyFont="1" applyFill="1"/>
    <xf numFmtId="165" fontId="2" fillId="0" borderId="2" xfId="1" applyNumberFormat="1" applyFont="1" applyFill="1" applyBorder="1" applyAlignment="1">
      <alignment horizontal="right"/>
    </xf>
    <xf numFmtId="165" fontId="1" fillId="0" borderId="1" xfId="1" applyNumberFormat="1" applyFont="1" applyFill="1" applyBorder="1" applyAlignment="1">
      <alignment horizontal="right"/>
    </xf>
    <xf numFmtId="165" fontId="0" fillId="0" borderId="1" xfId="1" applyNumberFormat="1" applyFont="1" applyFill="1" applyBorder="1" applyAlignment="1">
      <alignment horizontal="right"/>
    </xf>
    <xf numFmtId="165" fontId="1" fillId="0" borderId="2" xfId="1" applyNumberFormat="1" applyFont="1" applyFill="1" applyBorder="1" applyAlignment="1">
      <alignment horizontal="right"/>
    </xf>
    <xf numFmtId="165" fontId="0" fillId="0" borderId="0" xfId="1" applyNumberFormat="1" applyFont="1" applyAlignment="1">
      <alignment horizontal="right"/>
    </xf>
    <xf numFmtId="165" fontId="0" fillId="2" borderId="2" xfId="1" applyNumberFormat="1" applyFont="1" applyFill="1" applyBorder="1" applyAlignment="1">
      <alignment horizontal="right"/>
    </xf>
    <xf numFmtId="165" fontId="0" fillId="2" borderId="1" xfId="1" applyNumberFormat="1" applyFont="1" applyFill="1" applyBorder="1" applyAlignment="1">
      <alignment horizontal="right"/>
    </xf>
    <xf numFmtId="165" fontId="2" fillId="7" borderId="1" xfId="1" applyNumberFormat="1" applyFont="1" applyFill="1" applyBorder="1" applyAlignment="1">
      <alignment horizontal="right"/>
    </xf>
    <xf numFmtId="165" fontId="2" fillId="7" borderId="2" xfId="1" applyNumberFormat="1" applyFont="1" applyFill="1" applyBorder="1" applyAlignment="1">
      <alignment horizontal="right"/>
    </xf>
    <xf numFmtId="165" fontId="1" fillId="0" borderId="2" xfId="2" applyNumberFormat="1" applyFont="1" applyFill="1" applyBorder="1" applyAlignment="1"/>
    <xf numFmtId="165" fontId="0" fillId="0" borderId="0" xfId="0" applyNumberFormat="1"/>
    <xf numFmtId="0" fontId="0" fillId="0" borderId="0" xfId="0" applyAlignment="1">
      <alignment horizontal="center"/>
    </xf>
    <xf numFmtId="17" fontId="3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 vertical="center"/>
    </xf>
    <xf numFmtId="164" fontId="0" fillId="0" borderId="0" xfId="1" applyNumberFormat="1" applyFont="1" applyFill="1" applyBorder="1" applyAlignment="1">
      <alignment horizontal="left"/>
    </xf>
    <xf numFmtId="43" fontId="0" fillId="0" borderId="0" xfId="1" applyFont="1" applyFill="1" applyBorder="1"/>
    <xf numFmtId="43" fontId="5" fillId="2" borderId="1" xfId="1" applyFont="1" applyFill="1" applyBorder="1" applyAlignment="1">
      <alignment vertical="center"/>
    </xf>
    <xf numFmtId="166" fontId="0" fillId="2" borderId="0" xfId="0" applyNumberFormat="1" applyFill="1" applyAlignment="1">
      <alignment horizontal="center"/>
    </xf>
    <xf numFmtId="167" fontId="0" fillId="2" borderId="0" xfId="0" applyNumberFormat="1" applyFill="1"/>
    <xf numFmtId="165" fontId="0" fillId="2" borderId="0" xfId="0" applyNumberFormat="1" applyFill="1"/>
    <xf numFmtId="0" fontId="1" fillId="0" borderId="2" xfId="1" applyNumberFormat="1" applyFont="1" applyFill="1" applyBorder="1" applyAlignment="1">
      <alignment horizontal="left" vertical="center"/>
    </xf>
    <xf numFmtId="0" fontId="1" fillId="0" borderId="2" xfId="1" applyNumberFormat="1" applyFont="1" applyFill="1" applyBorder="1" applyAlignment="1">
      <alignment horizontal="left" vertical="center" indent="2"/>
    </xf>
    <xf numFmtId="0" fontId="0" fillId="0" borderId="2" xfId="1" applyNumberFormat="1" applyFont="1" applyFill="1" applyBorder="1" applyAlignment="1">
      <alignment horizontal="left" vertical="center" indent="2"/>
    </xf>
    <xf numFmtId="168" fontId="0" fillId="0" borderId="0" xfId="0" applyNumberFormat="1"/>
    <xf numFmtId="0" fontId="1" fillId="0" borderId="2" xfId="1" applyNumberFormat="1" applyFont="1" applyFill="1" applyBorder="1" applyAlignment="1">
      <alignment horizontal="left" vertical="center" indent="1"/>
    </xf>
    <xf numFmtId="0" fontId="0" fillId="0" borderId="2" xfId="1" applyNumberFormat="1" applyFont="1" applyFill="1" applyBorder="1" applyAlignment="1">
      <alignment horizontal="left" vertical="center" indent="3"/>
    </xf>
    <xf numFmtId="0" fontId="1" fillId="0" borderId="2" xfId="1" applyNumberFormat="1" applyFont="1" applyFill="1" applyBorder="1" applyAlignment="1">
      <alignment horizontal="left" vertical="center" indent="3"/>
    </xf>
    <xf numFmtId="0" fontId="2" fillId="0" borderId="2" xfId="1" applyNumberFormat="1" applyFont="1" applyFill="1" applyBorder="1" applyAlignment="1">
      <alignment horizontal="left" vertical="center" indent="1"/>
    </xf>
    <xf numFmtId="17" fontId="3" fillId="2" borderId="3" xfId="0" applyNumberFormat="1" applyFont="1" applyFill="1" applyBorder="1" applyAlignment="1">
      <alignment vertical="center"/>
    </xf>
    <xf numFmtId="0" fontId="26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3" fontId="3" fillId="7" borderId="1" xfId="1" applyFont="1" applyFill="1" applyBorder="1" applyAlignment="1">
      <alignment horizontal="center" vertical="center" wrapText="1"/>
    </xf>
    <xf numFmtId="43" fontId="3" fillId="7" borderId="3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3" fillId="2" borderId="2" xfId="0" applyNumberFormat="1" applyFont="1" applyFill="1" applyBorder="1" applyAlignment="1">
      <alignment horizontal="center" vertical="center"/>
    </xf>
  </cellXfs>
  <cellStyles count="48">
    <cellStyle name="20% - Cor1" xfId="19" builtinId="30" customBuiltin="1"/>
    <cellStyle name="20% - Cor2" xfId="22" builtinId="34" customBuiltin="1"/>
    <cellStyle name="20% - Cor3" xfId="25" builtinId="38" customBuiltin="1"/>
    <cellStyle name="20% - Cor4" xfId="28" builtinId="42" customBuiltin="1"/>
    <cellStyle name="20% - Cor5" xfId="31" builtinId="46" customBuiltin="1"/>
    <cellStyle name="20% - Cor6" xfId="34" builtinId="50" customBuiltin="1"/>
    <cellStyle name="40% - Cor1" xfId="20" builtinId="31" customBuiltin="1"/>
    <cellStyle name="40% - Cor2" xfId="23" builtinId="35" customBuiltin="1"/>
    <cellStyle name="40% - Cor3" xfId="26" builtinId="39" customBuiltin="1"/>
    <cellStyle name="40% - Cor4" xfId="29" builtinId="43" customBuiltin="1"/>
    <cellStyle name="40% - Cor5" xfId="32" builtinId="47" customBuiltin="1"/>
    <cellStyle name="40% - Cor6" xfId="35" builtinId="51" customBuiltin="1"/>
    <cellStyle name="60% - Cor1 2" xfId="38" xr:uid="{78C7C635-47C6-41FA-8F58-020289B7D73F}"/>
    <cellStyle name="60% - Cor2 2" xfId="39" xr:uid="{C948AAFA-D428-4AF1-9DF4-6F8712509268}"/>
    <cellStyle name="60% - Cor3 2" xfId="40" xr:uid="{AEFA9E2C-BA30-4994-A597-E2BDAE47F741}"/>
    <cellStyle name="60% - Cor4 2" xfId="41" xr:uid="{34B7F198-4CA5-4144-B00C-E35A826D56DB}"/>
    <cellStyle name="60% - Cor5 2" xfId="42" xr:uid="{F7BA5938-410E-48A6-8175-C1420E4A0653}"/>
    <cellStyle name="60% - Cor6 2" xfId="43" xr:uid="{59B447AD-E923-47A5-B1A0-843E3EAE6B28}"/>
    <cellStyle name="blp_column_header" xfId="44" xr:uid="{3E3E3BD3-0FFC-4BB3-A0DC-380505E32EA4}"/>
    <cellStyle name="Cabeçalho 1" xfId="3" builtinId="16" customBuiltin="1"/>
    <cellStyle name="Cabeçalho 2" xfId="4" builtinId="17" customBuiltin="1"/>
    <cellStyle name="Cabeçalho 3" xfId="5" builtinId="18" customBuiltin="1"/>
    <cellStyle name="Cabeçalho 4" xfId="6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1" builtinId="33" customBuiltin="1"/>
    <cellStyle name="Cor3" xfId="24" builtinId="37" customBuiltin="1"/>
    <cellStyle name="Cor4" xfId="27" builtinId="41" customBuiltin="1"/>
    <cellStyle name="Cor5" xfId="30" builtinId="45" customBuiltin="1"/>
    <cellStyle name="Cor6" xfId="33" builtinId="49" customBuiltin="1"/>
    <cellStyle name="Correto" xfId="7" builtinId="26" customBuiltin="1"/>
    <cellStyle name="Entrada" xfId="9" builtinId="20" customBuiltin="1"/>
    <cellStyle name="Incorreto" xfId="8" builtinId="27" customBuiltin="1"/>
    <cellStyle name="Neutro 2" xfId="45" xr:uid="{32A7484C-A1A0-4D96-91F1-60FA88F2BAFC}"/>
    <cellStyle name="Normal" xfId="0" builtinId="0"/>
    <cellStyle name="Normal 2" xfId="36" xr:uid="{A4AEC196-01F1-447A-80F9-62C0F6778ABF}"/>
    <cellStyle name="Nota" xfId="15" builtinId="10" customBuiltin="1"/>
    <cellStyle name="Percentagem" xfId="2" builtinId="5"/>
    <cellStyle name="Saída" xfId="10" builtinId="21" customBuiltin="1"/>
    <cellStyle name="Texto de Aviso" xfId="14" builtinId="11" customBuiltin="1"/>
    <cellStyle name="Texto Explicativo" xfId="16" builtinId="53" customBuiltin="1"/>
    <cellStyle name="Título 2" xfId="46" xr:uid="{41F70922-628A-4706-84CC-4396D69C3D5F}"/>
    <cellStyle name="Total" xfId="17" builtinId="25" customBuiltin="1"/>
    <cellStyle name="Verificar Célula" xfId="13" builtinId="23" customBuiltin="1"/>
    <cellStyle name="Vírgula" xfId="1" builtinId="3"/>
    <cellStyle name="Vírgula 2" xfId="37" xr:uid="{3D7B7292-B60F-4814-8711-D2472526839A}"/>
    <cellStyle name="Vírgula 3" xfId="47" xr:uid="{B2A25B9E-2476-4827-B600-07A9272B0E25}"/>
  </cellStyles>
  <dxfs count="0"/>
  <tableStyles count="1" defaultTableStyle="TableStyleMedium2" defaultPivotStyle="PivotStyleLight16">
    <tableStyle name="Invisible" pivot="0" table="0" count="0" xr9:uid="{4D0A4F1D-2CB3-4043-B7A0-CC8C70DA96D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Compra de</a:t>
            </a:r>
            <a:r>
              <a:rPr lang="en-US" b="1" baseline="0">
                <a:solidFill>
                  <a:sysClr val="windowText" lastClr="000000"/>
                </a:solidFill>
              </a:rPr>
              <a:t> Divisas pelos Bancos Comerciais em 2024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432298987870213E-2"/>
          <c:y val="0.14238488915938194"/>
          <c:w val="0.86529191928619731"/>
          <c:h val="0.678318238722937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Folha1!$D$2</c:f>
              <c:strCache>
                <c:ptCount val="1"/>
                <c:pt idx="0">
                  <c:v>Montante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Folha1!$C$3:$C$20</c:f>
              <c:strCache>
                <c:ptCount val="18"/>
                <c:pt idx="0">
                  <c:v>SBA</c:v>
                </c:pt>
                <c:pt idx="1">
                  <c:v>BFA</c:v>
                </c:pt>
                <c:pt idx="2">
                  <c:v>BAI</c:v>
                </c:pt>
                <c:pt idx="3">
                  <c:v>BCGA</c:v>
                </c:pt>
                <c:pt idx="4">
                  <c:v>ATL</c:v>
                </c:pt>
                <c:pt idx="5">
                  <c:v>KEVE</c:v>
                </c:pt>
                <c:pt idx="6">
                  <c:v>BCS</c:v>
                </c:pt>
                <c:pt idx="7">
                  <c:v>BCI</c:v>
                </c:pt>
                <c:pt idx="8">
                  <c:v>BOC</c:v>
                </c:pt>
                <c:pt idx="9">
                  <c:v>BPC</c:v>
                </c:pt>
                <c:pt idx="10">
                  <c:v>BIC</c:v>
                </c:pt>
                <c:pt idx="11">
                  <c:v>ACCESS</c:v>
                </c:pt>
                <c:pt idx="12">
                  <c:v>BNI</c:v>
                </c:pt>
                <c:pt idx="13">
                  <c:v>BIR</c:v>
                </c:pt>
                <c:pt idx="14">
                  <c:v>YETU</c:v>
                </c:pt>
                <c:pt idx="15">
                  <c:v>BVB</c:v>
                </c:pt>
                <c:pt idx="16">
                  <c:v>SOL</c:v>
                </c:pt>
                <c:pt idx="17">
                  <c:v>OUTROS</c:v>
                </c:pt>
              </c:strCache>
            </c:strRef>
          </c:cat>
          <c:val>
            <c:numRef>
              <c:f>Folha1!$D$3:$D$20</c:f>
              <c:numCache>
                <c:formatCode>#,##0.00</c:formatCode>
                <c:ptCount val="18"/>
                <c:pt idx="0">
                  <c:v>2481.1021860365404</c:v>
                </c:pt>
                <c:pt idx="1">
                  <c:v>1465.9613197686058</c:v>
                </c:pt>
                <c:pt idx="2">
                  <c:v>1305.9257720160788</c:v>
                </c:pt>
                <c:pt idx="3">
                  <c:v>938.03245585003572</c:v>
                </c:pt>
                <c:pt idx="4">
                  <c:v>779.15475749895404</c:v>
                </c:pt>
                <c:pt idx="5">
                  <c:v>644.21056430999988</c:v>
                </c:pt>
                <c:pt idx="6">
                  <c:v>620.89723702071296</c:v>
                </c:pt>
                <c:pt idx="7">
                  <c:v>510.96516069000006</c:v>
                </c:pt>
                <c:pt idx="8">
                  <c:v>314.97484210998942</c:v>
                </c:pt>
                <c:pt idx="9">
                  <c:v>235.18399007000002</c:v>
                </c:pt>
                <c:pt idx="10">
                  <c:v>233.25935747440911</c:v>
                </c:pt>
                <c:pt idx="11">
                  <c:v>180.77635803764588</c:v>
                </c:pt>
                <c:pt idx="12">
                  <c:v>178.06672343</c:v>
                </c:pt>
                <c:pt idx="13">
                  <c:v>166.23357185</c:v>
                </c:pt>
                <c:pt idx="14">
                  <c:v>160.59067112063073</c:v>
                </c:pt>
                <c:pt idx="15">
                  <c:v>133.69750608999999</c:v>
                </c:pt>
                <c:pt idx="16">
                  <c:v>129.33067287</c:v>
                </c:pt>
                <c:pt idx="17">
                  <c:v>338.49547494508528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1B-4634-A53A-12EAD5034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7"/>
        <c:axId val="1344588688"/>
        <c:axId val="1344599248"/>
      </c:barChart>
      <c:catAx>
        <c:axId val="134458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AO"/>
          </a:p>
        </c:txPr>
        <c:crossAx val="1344599248"/>
        <c:crosses val="autoZero"/>
        <c:auto val="1"/>
        <c:lblAlgn val="ctr"/>
        <c:lblOffset val="100"/>
        <c:noMultiLvlLbl val="0"/>
      </c:catAx>
      <c:valAx>
        <c:axId val="1344599248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>
                    <a:solidFill>
                      <a:sysClr val="windowText" lastClr="000000"/>
                    </a:solidFill>
                  </a:rPr>
                  <a:t>Em milhões de USD</a:t>
                </a:r>
                <a:endParaRPr lang="pt-AO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AO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AO"/>
          </a:p>
        </c:txPr>
        <c:crossAx val="13445886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A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124730</xdr:colOff>
      <xdr:row>7</xdr:row>
      <xdr:rowOff>100262</xdr:rowOff>
    </xdr:from>
    <xdr:to>
      <xdr:col>1</xdr:col>
      <xdr:colOff>170449</xdr:colOff>
      <xdr:row>7</xdr:row>
      <xdr:rowOff>150394</xdr:rowOff>
    </xdr:to>
    <xdr:sp macro="" textlink="">
      <xdr:nvSpPr>
        <xdr:cNvPr id="2" name="Fluxograma: Conexão 1">
          <a:extLst>
            <a:ext uri="{FF2B5EF4-FFF2-40B4-BE49-F238E27FC236}">
              <a16:creationId xmlns:a16="http://schemas.microsoft.com/office/drawing/2014/main" id="{3D65CAE3-A18F-A65A-ACBC-5376F6541F48}"/>
            </a:ext>
          </a:extLst>
        </xdr:cNvPr>
        <xdr:cNvSpPr/>
      </xdr:nvSpPr>
      <xdr:spPr>
        <a:xfrm flipH="1">
          <a:off x="355335" y="1513973"/>
          <a:ext cx="45719" cy="50132"/>
        </a:xfrm>
        <a:prstGeom prst="flowChartConnector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AO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116713</xdr:colOff>
      <xdr:row>8</xdr:row>
      <xdr:rowOff>82213</xdr:rowOff>
    </xdr:from>
    <xdr:to>
      <xdr:col>1</xdr:col>
      <xdr:colOff>162432</xdr:colOff>
      <xdr:row>8</xdr:row>
      <xdr:rowOff>132345</xdr:rowOff>
    </xdr:to>
    <xdr:sp macro="" textlink="">
      <xdr:nvSpPr>
        <xdr:cNvPr id="3" name="Fluxograma: Conexão 2">
          <a:extLst>
            <a:ext uri="{FF2B5EF4-FFF2-40B4-BE49-F238E27FC236}">
              <a16:creationId xmlns:a16="http://schemas.microsoft.com/office/drawing/2014/main" id="{EA4510E6-B139-4506-AC1A-120AF0785339}"/>
            </a:ext>
          </a:extLst>
        </xdr:cNvPr>
        <xdr:cNvSpPr/>
      </xdr:nvSpPr>
      <xdr:spPr>
        <a:xfrm flipH="1">
          <a:off x="347318" y="1736555"/>
          <a:ext cx="45719" cy="50132"/>
        </a:xfrm>
        <a:prstGeom prst="flowChartConnector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AO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118715</xdr:colOff>
      <xdr:row>9</xdr:row>
      <xdr:rowOff>84217</xdr:rowOff>
    </xdr:from>
    <xdr:to>
      <xdr:col>1</xdr:col>
      <xdr:colOff>164434</xdr:colOff>
      <xdr:row>9</xdr:row>
      <xdr:rowOff>134349</xdr:rowOff>
    </xdr:to>
    <xdr:sp macro="" textlink="">
      <xdr:nvSpPr>
        <xdr:cNvPr id="4" name="Fluxograma: Conexão 3">
          <a:extLst>
            <a:ext uri="{FF2B5EF4-FFF2-40B4-BE49-F238E27FC236}">
              <a16:creationId xmlns:a16="http://schemas.microsoft.com/office/drawing/2014/main" id="{67182618-F2FC-4F06-AA32-B62C9A3CFFC4}"/>
            </a:ext>
          </a:extLst>
        </xdr:cNvPr>
        <xdr:cNvSpPr/>
      </xdr:nvSpPr>
      <xdr:spPr>
        <a:xfrm flipH="1">
          <a:off x="349320" y="1929059"/>
          <a:ext cx="45719" cy="50132"/>
        </a:xfrm>
        <a:prstGeom prst="flowChartConnector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AO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32</xdr:col>
      <xdr:colOff>172355</xdr:colOff>
      <xdr:row>7</xdr:row>
      <xdr:rowOff>100262</xdr:rowOff>
    </xdr:from>
    <xdr:to>
      <xdr:col>32</xdr:col>
      <xdr:colOff>218074</xdr:colOff>
      <xdr:row>7</xdr:row>
      <xdr:rowOff>150394</xdr:rowOff>
    </xdr:to>
    <xdr:sp macro="" textlink="">
      <xdr:nvSpPr>
        <xdr:cNvPr id="5" name="Fluxograma: Conexão 4">
          <a:extLst>
            <a:ext uri="{FF2B5EF4-FFF2-40B4-BE49-F238E27FC236}">
              <a16:creationId xmlns:a16="http://schemas.microsoft.com/office/drawing/2014/main" id="{C47343FC-A10C-4E2D-B8BE-30D085368B11}"/>
            </a:ext>
          </a:extLst>
        </xdr:cNvPr>
        <xdr:cNvSpPr/>
      </xdr:nvSpPr>
      <xdr:spPr>
        <a:xfrm flipH="1">
          <a:off x="18298430" y="1509962"/>
          <a:ext cx="45719" cy="50132"/>
        </a:xfrm>
        <a:prstGeom prst="flowChartConnector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AO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32</xdr:col>
      <xdr:colOff>173863</xdr:colOff>
      <xdr:row>8</xdr:row>
      <xdr:rowOff>82213</xdr:rowOff>
    </xdr:from>
    <xdr:to>
      <xdr:col>32</xdr:col>
      <xdr:colOff>219582</xdr:colOff>
      <xdr:row>8</xdr:row>
      <xdr:rowOff>132345</xdr:rowOff>
    </xdr:to>
    <xdr:sp macro="" textlink="">
      <xdr:nvSpPr>
        <xdr:cNvPr id="6" name="Fluxograma: Conexão 5">
          <a:extLst>
            <a:ext uri="{FF2B5EF4-FFF2-40B4-BE49-F238E27FC236}">
              <a16:creationId xmlns:a16="http://schemas.microsoft.com/office/drawing/2014/main" id="{7B91327D-11E6-4E57-A03D-F2F0C68847FD}"/>
            </a:ext>
          </a:extLst>
        </xdr:cNvPr>
        <xdr:cNvSpPr/>
      </xdr:nvSpPr>
      <xdr:spPr>
        <a:xfrm flipH="1">
          <a:off x="18299938" y="1682413"/>
          <a:ext cx="45719" cy="50132"/>
        </a:xfrm>
        <a:prstGeom prst="flowChartConnector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AO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32</xdr:col>
      <xdr:colOff>185390</xdr:colOff>
      <xdr:row>9</xdr:row>
      <xdr:rowOff>84217</xdr:rowOff>
    </xdr:from>
    <xdr:to>
      <xdr:col>32</xdr:col>
      <xdr:colOff>231109</xdr:colOff>
      <xdr:row>9</xdr:row>
      <xdr:rowOff>134349</xdr:rowOff>
    </xdr:to>
    <xdr:sp macro="" textlink="">
      <xdr:nvSpPr>
        <xdr:cNvPr id="7" name="Fluxograma: Conexão 6">
          <a:extLst>
            <a:ext uri="{FF2B5EF4-FFF2-40B4-BE49-F238E27FC236}">
              <a16:creationId xmlns:a16="http://schemas.microsoft.com/office/drawing/2014/main" id="{37D2DE23-0F0A-4542-A9B5-2663719BE90B}"/>
            </a:ext>
          </a:extLst>
        </xdr:cNvPr>
        <xdr:cNvSpPr/>
      </xdr:nvSpPr>
      <xdr:spPr>
        <a:xfrm flipH="1">
          <a:off x="18311465" y="1874917"/>
          <a:ext cx="45719" cy="50132"/>
        </a:xfrm>
        <a:prstGeom prst="flowChartConnector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AO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600073</xdr:colOff>
      <xdr:row>2</xdr:row>
      <xdr:rowOff>80960</xdr:rowOff>
    </xdr:from>
    <xdr:to>
      <xdr:col>18</xdr:col>
      <xdr:colOff>219074</xdr:colOff>
      <xdr:row>24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B90AA2D-7AEC-8642-196A-904048FD8B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7B8A6-352A-4CA4-B99D-6B462EF65DD5}">
  <sheetPr>
    <pageSetUpPr fitToPage="1"/>
  </sheetPr>
  <dimension ref="A2:AQ23"/>
  <sheetViews>
    <sheetView showGridLines="0" tabSelected="1" zoomScaleNormal="100" workbookViewId="0">
      <pane xSplit="2" ySplit="6" topLeftCell="J7" activePane="bottomRight" state="frozen"/>
      <selection pane="topRight" activeCell="C1" sqref="C1"/>
      <selection pane="bottomLeft" activeCell="A7" sqref="A7"/>
      <selection pane="bottomRight" activeCell="AE17" sqref="AE17"/>
    </sheetView>
  </sheetViews>
  <sheetFormatPr defaultColWidth="9.140625" defaultRowHeight="15" x14ac:dyDescent="0.25"/>
  <cols>
    <col min="1" max="1" width="3.42578125" style="1" customWidth="1"/>
    <col min="2" max="2" width="23.42578125" style="11" customWidth="1"/>
    <col min="3" max="5" width="8.85546875" style="1" customWidth="1"/>
    <col min="6" max="11" width="8.85546875" style="8" customWidth="1"/>
    <col min="12" max="13" width="8.85546875" style="26" customWidth="1"/>
    <col min="14" max="14" width="8.85546875" style="8" customWidth="1"/>
    <col min="15" max="15" width="11.42578125" style="9" customWidth="1"/>
    <col min="16" max="27" width="8.85546875" style="8" customWidth="1"/>
    <col min="28" max="28" width="11.42578125" style="14" customWidth="1"/>
    <col min="29" max="29" width="10.140625" customWidth="1"/>
    <col min="30" max="32" width="10.140625" style="3" customWidth="1"/>
    <col min="33" max="33" width="23.140625" style="32" customWidth="1"/>
    <col min="34" max="34" width="15" style="33" bestFit="1" customWidth="1"/>
    <col min="35" max="35" width="15" bestFit="1" customWidth="1"/>
    <col min="36" max="36" width="13.7109375" style="30" customWidth="1"/>
    <col min="37" max="37" width="9.140625" style="3"/>
    <col min="38" max="38" width="17.28515625" customWidth="1"/>
    <col min="39" max="39" width="13.5703125" style="3" bestFit="1" customWidth="1"/>
    <col min="40" max="40" width="11.42578125" bestFit="1" customWidth="1"/>
    <col min="41" max="41" width="13.42578125" customWidth="1"/>
    <col min="42" max="42" width="13.5703125" bestFit="1" customWidth="1"/>
    <col min="44" max="16384" width="9.140625" style="1"/>
  </cols>
  <sheetData>
    <row r="2" spans="1:42" ht="21" customHeight="1" x14ac:dyDescent="0.25">
      <c r="B2" s="47" t="s">
        <v>46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</row>
    <row r="4" spans="1:42" x14ac:dyDescent="0.25">
      <c r="B4" s="28" t="s">
        <v>43</v>
      </c>
      <c r="AG4" s="28" t="s">
        <v>47</v>
      </c>
    </row>
    <row r="5" spans="1:42" ht="15" customHeight="1" x14ac:dyDescent="0.25">
      <c r="A5" s="31"/>
      <c r="B5" s="48" t="s">
        <v>23</v>
      </c>
      <c r="C5" s="52">
        <v>2024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0" t="s">
        <v>34</v>
      </c>
      <c r="P5" s="54">
        <v>2025</v>
      </c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0" t="s">
        <v>35</v>
      </c>
      <c r="AC5" s="53" t="s">
        <v>44</v>
      </c>
      <c r="AD5" s="53"/>
      <c r="AE5" s="53"/>
      <c r="AF5" s="53"/>
      <c r="AG5" s="48" t="s">
        <v>48</v>
      </c>
    </row>
    <row r="6" spans="1:42" x14ac:dyDescent="0.25">
      <c r="A6" s="31"/>
      <c r="B6" s="49"/>
      <c r="C6" s="10">
        <v>45292</v>
      </c>
      <c r="D6" s="10">
        <v>45323</v>
      </c>
      <c r="E6" s="10">
        <v>45352</v>
      </c>
      <c r="F6" s="12">
        <v>45383</v>
      </c>
      <c r="G6" s="12">
        <v>45413</v>
      </c>
      <c r="H6" s="12">
        <v>45444</v>
      </c>
      <c r="I6" s="12">
        <v>45474</v>
      </c>
      <c r="J6" s="12">
        <v>45505</v>
      </c>
      <c r="K6" s="12">
        <v>45536</v>
      </c>
      <c r="L6" s="27">
        <v>45566</v>
      </c>
      <c r="M6" s="27">
        <v>45597</v>
      </c>
      <c r="N6" s="12">
        <v>45627</v>
      </c>
      <c r="O6" s="51"/>
      <c r="P6" s="10">
        <v>45658</v>
      </c>
      <c r="Q6" s="10">
        <v>45716</v>
      </c>
      <c r="R6" s="10">
        <v>45747</v>
      </c>
      <c r="S6" s="10">
        <v>45777</v>
      </c>
      <c r="T6" s="10">
        <v>45808</v>
      </c>
      <c r="U6" s="10">
        <v>45838</v>
      </c>
      <c r="V6" s="10">
        <v>45869</v>
      </c>
      <c r="W6" s="10">
        <v>45900</v>
      </c>
      <c r="X6" s="10">
        <v>45930</v>
      </c>
      <c r="Y6" s="10">
        <v>45961</v>
      </c>
      <c r="Z6" s="10">
        <v>45991</v>
      </c>
      <c r="AA6" s="10">
        <v>46022</v>
      </c>
      <c r="AB6" s="51"/>
      <c r="AC6" s="46">
        <v>46023</v>
      </c>
      <c r="AD6" s="46">
        <v>46054</v>
      </c>
      <c r="AE6" s="46">
        <v>46082</v>
      </c>
      <c r="AF6" s="46">
        <v>46113</v>
      </c>
      <c r="AG6" s="49"/>
    </row>
    <row r="7" spans="1:42" x14ac:dyDescent="0.25">
      <c r="B7" s="38" t="s">
        <v>40</v>
      </c>
      <c r="C7" s="16">
        <v>742.09422590999952</v>
      </c>
      <c r="D7" s="16">
        <v>575.47749410999972</v>
      </c>
      <c r="E7" s="16">
        <v>498.38299999999992</v>
      </c>
      <c r="F7" s="20">
        <v>670.47348657560212</v>
      </c>
      <c r="G7" s="19">
        <v>734.49798324417202</v>
      </c>
      <c r="H7" s="19">
        <v>641.23806848999959</v>
      </c>
      <c r="I7" s="20">
        <v>604.2841876938038</v>
      </c>
      <c r="J7" s="21">
        <v>667.53395831808916</v>
      </c>
      <c r="K7" s="21">
        <v>687.86224419999996</v>
      </c>
      <c r="L7" s="17">
        <v>594.75684083541887</v>
      </c>
      <c r="M7" s="17">
        <v>654.00732909999988</v>
      </c>
      <c r="N7" s="21">
        <v>825.23616874160268</v>
      </c>
      <c r="O7" s="22">
        <v>7895.8449872186866</v>
      </c>
      <c r="P7" s="16">
        <v>842.85678470981009</v>
      </c>
      <c r="Q7" s="16">
        <v>692.15595841000004</v>
      </c>
      <c r="R7" s="16">
        <v>818.07442804000016</v>
      </c>
      <c r="S7" s="16">
        <v>766.95706624017748</v>
      </c>
      <c r="T7" s="16">
        <v>776.84337584583636</v>
      </c>
      <c r="U7" s="16">
        <v>773.98116156618164</v>
      </c>
      <c r="V7" s="16">
        <v>915.93293892892427</v>
      </c>
      <c r="W7" s="16">
        <v>822.8126191500711</v>
      </c>
      <c r="X7" s="16">
        <v>809.93131537999966</v>
      </c>
      <c r="Y7" s="16">
        <v>844.51575508049541</v>
      </c>
      <c r="Z7" s="16">
        <v>763.57111200911322</v>
      </c>
      <c r="AA7" s="16">
        <v>861.90922083761416</v>
      </c>
      <c r="AB7" s="22">
        <v>9689.5417361982236</v>
      </c>
      <c r="AC7" s="16">
        <v>915.15113406</v>
      </c>
      <c r="AD7" s="16">
        <v>570.25405830060924</v>
      </c>
      <c r="AE7" s="16">
        <v>936.0514378623044</v>
      </c>
      <c r="AF7" s="16">
        <v>847.74949686713614</v>
      </c>
      <c r="AG7" s="42" t="s">
        <v>49</v>
      </c>
      <c r="AM7" s="25"/>
    </row>
    <row r="8" spans="1:42" x14ac:dyDescent="0.25">
      <c r="B8" s="40" t="s">
        <v>41</v>
      </c>
      <c r="C8" s="18">
        <v>442.24</v>
      </c>
      <c r="D8" s="18">
        <v>313.82</v>
      </c>
      <c r="E8" s="18">
        <v>275.20999999999998</v>
      </c>
      <c r="F8" s="18">
        <v>336.53</v>
      </c>
      <c r="G8" s="18">
        <v>375.99904700000002</v>
      </c>
      <c r="H8" s="18">
        <v>343.04</v>
      </c>
      <c r="I8" s="18">
        <v>263.45</v>
      </c>
      <c r="J8" s="18">
        <v>387.73870734689353</v>
      </c>
      <c r="K8" s="18">
        <v>401.47</v>
      </c>
      <c r="L8" s="18">
        <v>394.98</v>
      </c>
      <c r="M8" s="18">
        <v>403.92</v>
      </c>
      <c r="N8" s="18">
        <v>465.8</v>
      </c>
      <c r="O8" s="22">
        <v>4404.1977543468929</v>
      </c>
      <c r="P8" s="18">
        <v>520.38</v>
      </c>
      <c r="Q8" s="18">
        <v>379.45</v>
      </c>
      <c r="R8" s="18">
        <v>441.45</v>
      </c>
      <c r="S8" s="18">
        <v>422.1</v>
      </c>
      <c r="T8" s="18">
        <v>399.37</v>
      </c>
      <c r="U8" s="18">
        <v>424.31627459672796</v>
      </c>
      <c r="V8" s="18">
        <v>498.56</v>
      </c>
      <c r="W8" s="18">
        <v>385.28</v>
      </c>
      <c r="X8" s="18">
        <v>404.48</v>
      </c>
      <c r="Y8" s="18">
        <v>344.93</v>
      </c>
      <c r="Z8" s="18">
        <v>419.57</v>
      </c>
      <c r="AA8" s="18">
        <v>435.31</v>
      </c>
      <c r="AB8" s="22">
        <v>5075.1962745967276</v>
      </c>
      <c r="AC8" s="18">
        <v>467.22</v>
      </c>
      <c r="AD8" s="16">
        <v>318.83000000000004</v>
      </c>
      <c r="AE8" s="16">
        <v>475.68</v>
      </c>
      <c r="AF8" s="16">
        <v>399.79</v>
      </c>
      <c r="AG8" s="43" t="s">
        <v>50</v>
      </c>
      <c r="AM8" s="25"/>
    </row>
    <row r="9" spans="1:42" customFormat="1" x14ac:dyDescent="0.25">
      <c r="B9" s="39" t="s">
        <v>42</v>
      </c>
      <c r="C9" s="18">
        <v>81.87</v>
      </c>
      <c r="D9" s="18">
        <v>81.87</v>
      </c>
      <c r="E9" s="18">
        <v>46.59</v>
      </c>
      <c r="F9" s="18">
        <v>148.41999999999999</v>
      </c>
      <c r="G9" s="18">
        <v>121.79</v>
      </c>
      <c r="H9" s="18">
        <v>77.88</v>
      </c>
      <c r="I9" s="18">
        <v>91.3</v>
      </c>
      <c r="J9" s="18">
        <v>81.42</v>
      </c>
      <c r="K9" s="18">
        <v>119.39</v>
      </c>
      <c r="L9" s="18">
        <v>44.05</v>
      </c>
      <c r="M9" s="18">
        <v>60.36</v>
      </c>
      <c r="N9" s="18">
        <v>143.32</v>
      </c>
      <c r="O9" s="22">
        <v>1098.26</v>
      </c>
      <c r="P9" s="18">
        <v>95.44</v>
      </c>
      <c r="Q9" s="18">
        <v>142.52000000000001</v>
      </c>
      <c r="R9" s="18">
        <v>95.61</v>
      </c>
      <c r="S9" s="18">
        <v>119.78</v>
      </c>
      <c r="T9" s="18">
        <v>122.56</v>
      </c>
      <c r="U9" s="18">
        <v>71</v>
      </c>
      <c r="V9" s="18">
        <v>95.09</v>
      </c>
      <c r="W9" s="18">
        <v>112.26</v>
      </c>
      <c r="X9" s="18">
        <v>112.7</v>
      </c>
      <c r="Y9" s="18">
        <v>110.13</v>
      </c>
      <c r="Z9" s="18">
        <v>68.59</v>
      </c>
      <c r="AA9" s="18">
        <v>127.62</v>
      </c>
      <c r="AB9" s="22">
        <v>1273.3000000000002</v>
      </c>
      <c r="AC9" s="18">
        <v>106.99</v>
      </c>
      <c r="AD9" s="16">
        <v>70.16</v>
      </c>
      <c r="AE9" s="16">
        <v>130.96</v>
      </c>
      <c r="AF9" s="16">
        <v>91.93</v>
      </c>
      <c r="AG9" s="44" t="s">
        <v>51</v>
      </c>
      <c r="AH9" s="33"/>
      <c r="AJ9" s="30"/>
      <c r="AK9" s="3"/>
      <c r="AM9" s="25"/>
      <c r="AN9" s="3"/>
    </row>
    <row r="10" spans="1:42" customFormat="1" x14ac:dyDescent="0.25">
      <c r="B10" s="39" t="s">
        <v>38</v>
      </c>
      <c r="C10" s="16">
        <v>217.98422590999951</v>
      </c>
      <c r="D10" s="16">
        <v>179.78749410999978</v>
      </c>
      <c r="E10" s="16">
        <v>176.583</v>
      </c>
      <c r="F10" s="16">
        <v>185.52348657560219</v>
      </c>
      <c r="G10" s="16">
        <v>236.70893624417204</v>
      </c>
      <c r="H10" s="16">
        <v>220.31806848999958</v>
      </c>
      <c r="I10" s="16">
        <v>249.5341876938038</v>
      </c>
      <c r="J10" s="16">
        <v>198.37525097119556</v>
      </c>
      <c r="K10" s="16">
        <v>167.00224419999995</v>
      </c>
      <c r="L10" s="16">
        <v>155.7268408354189</v>
      </c>
      <c r="M10" s="16">
        <v>189.72732909999979</v>
      </c>
      <c r="N10" s="16">
        <v>216.11616874160268</v>
      </c>
      <c r="O10" s="22">
        <v>2393.3872328717935</v>
      </c>
      <c r="P10" s="18">
        <v>227.03678470981015</v>
      </c>
      <c r="Q10" s="18">
        <v>170.18595841000001</v>
      </c>
      <c r="R10" s="18">
        <v>281.01442804000015</v>
      </c>
      <c r="S10" s="18">
        <v>225.07706624017749</v>
      </c>
      <c r="T10" s="18">
        <v>254.91337584583636</v>
      </c>
      <c r="U10" s="18">
        <v>278.66488696945368</v>
      </c>
      <c r="V10" s="18">
        <v>322.2829389289243</v>
      </c>
      <c r="W10" s="18">
        <v>325.27261915007114</v>
      </c>
      <c r="X10" s="18">
        <v>292.75131537999965</v>
      </c>
      <c r="Y10" s="18">
        <v>389.45575508049535</v>
      </c>
      <c r="Z10" s="18">
        <v>275.41111200911325</v>
      </c>
      <c r="AA10" s="18">
        <v>298.97922083761409</v>
      </c>
      <c r="AB10" s="22">
        <v>3341.0454616014958</v>
      </c>
      <c r="AC10" s="18">
        <v>340.94113405999997</v>
      </c>
      <c r="AD10" s="16">
        <v>181.26405830060955</v>
      </c>
      <c r="AE10" s="16">
        <v>329.41143786230441</v>
      </c>
      <c r="AF10" s="16">
        <v>356.02949686713612</v>
      </c>
      <c r="AG10" s="44" t="s">
        <v>52</v>
      </c>
      <c r="AH10" s="33"/>
      <c r="AJ10" s="30"/>
      <c r="AK10" s="3"/>
      <c r="AM10" s="25"/>
      <c r="AN10" s="3"/>
    </row>
    <row r="11" spans="1:42" x14ac:dyDescent="0.25">
      <c r="B11" s="38" t="s">
        <v>32</v>
      </c>
      <c r="C11" s="16">
        <v>244.3</v>
      </c>
      <c r="D11" s="16">
        <v>441</v>
      </c>
      <c r="E11" s="16">
        <v>192.39</v>
      </c>
      <c r="F11" s="16">
        <v>36.820501669999999</v>
      </c>
      <c r="G11" s="16">
        <v>10</v>
      </c>
      <c r="H11" s="16">
        <v>0</v>
      </c>
      <c r="I11" s="16">
        <v>296.2</v>
      </c>
      <c r="J11" s="16">
        <v>186.3</v>
      </c>
      <c r="K11" s="16">
        <v>91.263000000000005</v>
      </c>
      <c r="L11" s="16">
        <v>12.7</v>
      </c>
      <c r="M11" s="16">
        <v>353</v>
      </c>
      <c r="N11" s="16">
        <v>103.55145504000001</v>
      </c>
      <c r="O11" s="22">
        <v>1967.52495671</v>
      </c>
      <c r="P11" s="24">
        <v>85.53</v>
      </c>
      <c r="Q11" s="24">
        <v>283.75</v>
      </c>
      <c r="R11" s="24">
        <v>97.88</v>
      </c>
      <c r="S11" s="24">
        <v>145.32</v>
      </c>
      <c r="T11" s="24">
        <v>86.45</v>
      </c>
      <c r="U11" s="24">
        <v>121.50005692000001</v>
      </c>
      <c r="V11" s="24">
        <v>252.98</v>
      </c>
      <c r="W11" s="24">
        <v>128.92167000000001</v>
      </c>
      <c r="X11" s="24">
        <v>11.07</v>
      </c>
      <c r="Y11" s="24">
        <v>77.900000000000006</v>
      </c>
      <c r="Z11" s="24">
        <v>347.98500000000001</v>
      </c>
      <c r="AA11" s="24">
        <v>185.19542626</v>
      </c>
      <c r="AB11" s="22">
        <v>1824.4821531800001</v>
      </c>
      <c r="AC11" s="24">
        <v>73.879261539999987</v>
      </c>
      <c r="AD11" s="16">
        <v>236.10499999999999</v>
      </c>
      <c r="AE11" s="16">
        <v>222.07</v>
      </c>
      <c r="AF11" s="16">
        <v>509.18412000000001</v>
      </c>
      <c r="AG11" s="42" t="s">
        <v>53</v>
      </c>
      <c r="AM11" s="25"/>
    </row>
    <row r="12" spans="1:42" x14ac:dyDescent="0.25">
      <c r="B12" s="38" t="s">
        <v>33</v>
      </c>
      <c r="C12" s="18">
        <v>0</v>
      </c>
      <c r="D12" s="18">
        <v>0</v>
      </c>
      <c r="E12" s="18">
        <v>0</v>
      </c>
      <c r="F12" s="18">
        <v>17.042000000000002</v>
      </c>
      <c r="G12" s="18">
        <v>269.95370143000002</v>
      </c>
      <c r="H12" s="18">
        <v>2.5848779099999999</v>
      </c>
      <c r="I12" s="18">
        <v>30.208731689999997</v>
      </c>
      <c r="J12" s="18">
        <v>99.107376190000011</v>
      </c>
      <c r="K12" s="18">
        <v>0</v>
      </c>
      <c r="L12" s="18">
        <v>247.74</v>
      </c>
      <c r="M12" s="18">
        <v>17.5</v>
      </c>
      <c r="N12" s="18">
        <v>269.35199004000003</v>
      </c>
      <c r="O12" s="22">
        <v>953.48867726000014</v>
      </c>
      <c r="P12" s="24">
        <v>17.5</v>
      </c>
      <c r="Q12" s="24">
        <v>0</v>
      </c>
      <c r="R12" s="24">
        <v>22.964976960000001</v>
      </c>
      <c r="S12" s="24">
        <v>21.827020579999999</v>
      </c>
      <c r="T12" s="24">
        <v>0</v>
      </c>
      <c r="U12" s="24">
        <v>0</v>
      </c>
      <c r="V12" s="24">
        <v>76.973262706945647</v>
      </c>
      <c r="W12" s="24">
        <v>148.94066123000002</v>
      </c>
      <c r="X12" s="24">
        <v>21</v>
      </c>
      <c r="Y12" s="24">
        <v>86.762861509999993</v>
      </c>
      <c r="Z12" s="24">
        <v>9.5</v>
      </c>
      <c r="AA12" s="24">
        <v>83.571005959999994</v>
      </c>
      <c r="AB12" s="22">
        <v>489.03978894694563</v>
      </c>
      <c r="AC12" s="24">
        <v>4.41E-2</v>
      </c>
      <c r="AD12" s="16">
        <v>35.177705000000003</v>
      </c>
      <c r="AE12" s="16">
        <v>32.760781300000005</v>
      </c>
      <c r="AF12" s="16">
        <v>151.98884753999999</v>
      </c>
      <c r="AG12" s="42" t="s">
        <v>33</v>
      </c>
      <c r="AL12" s="25"/>
      <c r="AM12" s="25"/>
    </row>
    <row r="13" spans="1:42" x14ac:dyDescent="0.25">
      <c r="B13" s="13" t="s">
        <v>22</v>
      </c>
      <c r="C13" s="15">
        <v>986.39422590999948</v>
      </c>
      <c r="D13" s="15">
        <v>1016.4774941099997</v>
      </c>
      <c r="E13" s="15">
        <v>690.77299999999991</v>
      </c>
      <c r="F13" s="15">
        <v>724.33598824560215</v>
      </c>
      <c r="G13" s="15">
        <v>1014.451684674172</v>
      </c>
      <c r="H13" s="15">
        <v>643.82294639999964</v>
      </c>
      <c r="I13" s="15">
        <v>930.69291938380377</v>
      </c>
      <c r="J13" s="15">
        <v>952.94133450808908</v>
      </c>
      <c r="K13" s="15">
        <v>779.1252442</v>
      </c>
      <c r="L13" s="15">
        <v>855.19684083541893</v>
      </c>
      <c r="M13" s="15">
        <v>1024.5073290999999</v>
      </c>
      <c r="N13" s="15">
        <v>1198.1396138216028</v>
      </c>
      <c r="O13" s="23">
        <v>10816.858621188687</v>
      </c>
      <c r="P13" s="15">
        <v>945.88678470981006</v>
      </c>
      <c r="Q13" s="15">
        <v>975.90595841000004</v>
      </c>
      <c r="R13" s="15">
        <v>938.9194050000001</v>
      </c>
      <c r="S13" s="15">
        <v>934.10408682017737</v>
      </c>
      <c r="T13" s="15">
        <v>863.29337584583641</v>
      </c>
      <c r="U13" s="15">
        <v>895.48121848618166</v>
      </c>
      <c r="V13" s="15">
        <v>1245.8862016358698</v>
      </c>
      <c r="W13" s="15">
        <v>1100.6749503800711</v>
      </c>
      <c r="X13" s="15">
        <v>842.00131537999971</v>
      </c>
      <c r="Y13" s="15">
        <v>1009.1786165904954</v>
      </c>
      <c r="Z13" s="15">
        <v>1121.0561120091133</v>
      </c>
      <c r="AA13" s="15">
        <v>1130.6756530576142</v>
      </c>
      <c r="AB13" s="23">
        <v>12003.06367832517</v>
      </c>
      <c r="AC13" s="15">
        <v>989.07449559999998</v>
      </c>
      <c r="AD13" s="15">
        <v>841.53676330060955</v>
      </c>
      <c r="AE13" s="15">
        <v>1190.8822191623044</v>
      </c>
      <c r="AF13" s="15">
        <v>1508.922464407136</v>
      </c>
      <c r="AG13" s="45" t="s">
        <v>22</v>
      </c>
      <c r="AM13" s="25"/>
      <c r="AP13" s="3"/>
    </row>
    <row r="14" spans="1:42" x14ac:dyDescent="0.25">
      <c r="B14" s="2" t="s">
        <v>36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41"/>
      <c r="AD14" s="41"/>
      <c r="AE14" s="41"/>
      <c r="AF14" s="41"/>
      <c r="AG14" s="2" t="s">
        <v>54</v>
      </c>
      <c r="AJ14"/>
      <c r="AK14"/>
      <c r="AM14"/>
    </row>
    <row r="15" spans="1:42" x14ac:dyDescent="0.25">
      <c r="B15" s="11" t="s">
        <v>37</v>
      </c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G15" s="11" t="s">
        <v>55</v>
      </c>
    </row>
    <row r="16" spans="1:42" x14ac:dyDescent="0.25">
      <c r="B16" s="11" t="s">
        <v>39</v>
      </c>
      <c r="AG16" s="11" t="s">
        <v>56</v>
      </c>
    </row>
    <row r="17" spans="2:33" x14ac:dyDescent="0.25">
      <c r="B17" s="11" t="s">
        <v>45</v>
      </c>
      <c r="AG17" s="11" t="s">
        <v>57</v>
      </c>
    </row>
    <row r="19" spans="2:33" x14ac:dyDescent="0.25"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2:33" x14ac:dyDescent="0.25"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2:33" x14ac:dyDescent="0.25"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2:33" x14ac:dyDescent="0.25"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2:33" x14ac:dyDescent="0.25"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</sheetData>
  <mergeCells count="8">
    <mergeCell ref="B2:AG2"/>
    <mergeCell ref="AG5:AG6"/>
    <mergeCell ref="B5:B6"/>
    <mergeCell ref="AB5:AB6"/>
    <mergeCell ref="O5:O6"/>
    <mergeCell ref="C5:N5"/>
    <mergeCell ref="AC5:AF5"/>
    <mergeCell ref="P5:AA5"/>
  </mergeCells>
  <phoneticPr fontId="6" type="noConversion"/>
  <pageMargins left="0.31496062992125984" right="0.31496062992125984" top="1.1417322834645669" bottom="0.74803149606299213" header="0.31496062992125984" footer="0.31496062992125984"/>
  <pageSetup paperSize="9" scale="5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55178-6E8A-4CC8-BEDE-8FC7BBC2B5BC}">
  <dimension ref="I8:J14"/>
  <sheetViews>
    <sheetView workbookViewId="0">
      <selection activeCell="J15" sqref="J15"/>
    </sheetView>
  </sheetViews>
  <sheetFormatPr defaultRowHeight="15" x14ac:dyDescent="0.25"/>
  <cols>
    <col min="10" max="10" width="9.140625" style="29"/>
  </cols>
  <sheetData>
    <row r="8" spans="9:10" x14ac:dyDescent="0.25">
      <c r="I8" t="s">
        <v>16</v>
      </c>
      <c r="J8" s="29">
        <v>23.7</v>
      </c>
    </row>
    <row r="9" spans="9:10" x14ac:dyDescent="0.25">
      <c r="I9" t="s">
        <v>0</v>
      </c>
      <c r="J9" s="29">
        <v>14.7</v>
      </c>
    </row>
    <row r="10" spans="9:10" x14ac:dyDescent="0.25">
      <c r="I10" t="s">
        <v>8</v>
      </c>
      <c r="J10" s="29">
        <v>11.6</v>
      </c>
    </row>
    <row r="11" spans="9:10" x14ac:dyDescent="0.25">
      <c r="I11" t="s">
        <v>15</v>
      </c>
      <c r="J11" s="29">
        <v>7.7</v>
      </c>
    </row>
    <row r="12" spans="9:10" x14ac:dyDescent="0.25">
      <c r="I12" t="s">
        <v>4</v>
      </c>
      <c r="J12" s="29">
        <v>7.6</v>
      </c>
    </row>
    <row r="13" spans="9:10" x14ac:dyDescent="0.25">
      <c r="I13" t="s">
        <v>2</v>
      </c>
      <c r="J13" s="29">
        <v>6.6</v>
      </c>
    </row>
    <row r="14" spans="9:10" x14ac:dyDescent="0.25">
      <c r="J14" s="29">
        <f>SUM(J8:J13)</f>
        <v>71.899999999999991</v>
      </c>
    </row>
  </sheetData>
  <autoFilter ref="I7:J7" xr:uid="{AC255178-6E8A-4CC8-BEDE-8FC7BBC2B5BC}">
    <sortState xmlns:xlrd2="http://schemas.microsoft.com/office/spreadsheetml/2017/richdata2" ref="I8:J13">
      <sortCondition descending="1" ref="J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FB128-5E7C-4E34-B0D6-741C01E5A504}">
  <dimension ref="C2:E24"/>
  <sheetViews>
    <sheetView workbookViewId="0">
      <selection activeCell="Z15" sqref="Z15"/>
    </sheetView>
  </sheetViews>
  <sheetFormatPr defaultRowHeight="15" x14ac:dyDescent="0.25"/>
  <sheetData>
    <row r="2" spans="3:4" x14ac:dyDescent="0.25">
      <c r="C2" t="s">
        <v>29</v>
      </c>
      <c r="D2" t="s">
        <v>30</v>
      </c>
    </row>
    <row r="3" spans="3:4" x14ac:dyDescent="0.25">
      <c r="C3" t="s">
        <v>16</v>
      </c>
      <c r="D3" s="3">
        <v>2481.1021860365404</v>
      </c>
    </row>
    <row r="4" spans="3:4" x14ac:dyDescent="0.25">
      <c r="C4" t="s">
        <v>8</v>
      </c>
      <c r="D4" s="3">
        <v>1465.9613197686058</v>
      </c>
    </row>
    <row r="5" spans="3:4" x14ac:dyDescent="0.25">
      <c r="C5" t="s">
        <v>0</v>
      </c>
      <c r="D5" s="3">
        <v>1305.9257720160788</v>
      </c>
    </row>
    <row r="6" spans="3:4" x14ac:dyDescent="0.25">
      <c r="C6" t="s">
        <v>2</v>
      </c>
      <c r="D6" s="3">
        <v>938.03245585003572</v>
      </c>
    </row>
    <row r="7" spans="3:4" x14ac:dyDescent="0.25">
      <c r="C7" t="s">
        <v>28</v>
      </c>
      <c r="D7" s="3">
        <v>779.15475749895404</v>
      </c>
    </row>
    <row r="8" spans="3:4" x14ac:dyDescent="0.25">
      <c r="C8" t="s">
        <v>15</v>
      </c>
      <c r="D8" s="3">
        <v>644.21056430999988</v>
      </c>
    </row>
    <row r="9" spans="3:4" x14ac:dyDescent="0.25">
      <c r="C9" t="s">
        <v>5</v>
      </c>
      <c r="D9" s="3">
        <v>620.89723702071296</v>
      </c>
    </row>
    <row r="10" spans="3:4" x14ac:dyDescent="0.25">
      <c r="C10" t="s">
        <v>4</v>
      </c>
      <c r="D10" s="3">
        <v>510.96516069000006</v>
      </c>
    </row>
    <row r="11" spans="3:4" x14ac:dyDescent="0.25">
      <c r="C11" t="s">
        <v>25</v>
      </c>
      <c r="D11" s="3">
        <v>314.97484210998942</v>
      </c>
    </row>
    <row r="12" spans="3:4" x14ac:dyDescent="0.25">
      <c r="C12" t="s">
        <v>20</v>
      </c>
      <c r="D12" s="3">
        <v>235.18399007000002</v>
      </c>
    </row>
    <row r="13" spans="3:4" x14ac:dyDescent="0.25">
      <c r="C13" t="s">
        <v>9</v>
      </c>
      <c r="D13" s="3">
        <v>233.25935747440911</v>
      </c>
    </row>
    <row r="14" spans="3:4" x14ac:dyDescent="0.25">
      <c r="C14" t="s">
        <v>27</v>
      </c>
      <c r="D14" s="3">
        <v>180.77635803764588</v>
      </c>
    </row>
    <row r="15" spans="3:4" x14ac:dyDescent="0.25">
      <c r="C15" t="s">
        <v>12</v>
      </c>
      <c r="D15" s="3">
        <v>178.06672343</v>
      </c>
    </row>
    <row r="16" spans="3:4" x14ac:dyDescent="0.25">
      <c r="C16" t="s">
        <v>10</v>
      </c>
      <c r="D16" s="3">
        <v>166.23357185</v>
      </c>
    </row>
    <row r="17" spans="3:5" x14ac:dyDescent="0.25">
      <c r="C17" t="s">
        <v>21</v>
      </c>
      <c r="D17" s="3">
        <v>160.59067112063073</v>
      </c>
      <c r="E17" s="3"/>
    </row>
    <row r="18" spans="3:5" x14ac:dyDescent="0.25">
      <c r="C18" t="s">
        <v>13</v>
      </c>
      <c r="D18" s="3">
        <v>133.69750608999999</v>
      </c>
    </row>
    <row r="19" spans="3:5" x14ac:dyDescent="0.25">
      <c r="C19" t="s">
        <v>18</v>
      </c>
      <c r="D19" s="3">
        <v>129.33067287</v>
      </c>
    </row>
    <row r="20" spans="3:5" x14ac:dyDescent="0.25">
      <c r="C20" t="s">
        <v>31</v>
      </c>
      <c r="D20" s="3">
        <v>338.49547494508528</v>
      </c>
      <c r="E20" s="3"/>
    </row>
    <row r="21" spans="3:5" x14ac:dyDescent="0.25">
      <c r="D21" s="3"/>
    </row>
    <row r="22" spans="3:5" x14ac:dyDescent="0.25">
      <c r="D22" s="3"/>
    </row>
    <row r="23" spans="3:5" x14ac:dyDescent="0.25">
      <c r="D23" s="3"/>
    </row>
    <row r="24" spans="3:5" x14ac:dyDescent="0.25">
      <c r="D24" s="3"/>
    </row>
  </sheetData>
  <autoFilter ref="C2:D2" xr:uid="{E27FB128-5E7C-4E34-B0D6-741C01E5A504}"/>
  <sortState xmlns:xlrd2="http://schemas.microsoft.com/office/spreadsheetml/2017/richdata2" ref="C3:D24">
    <sortCondition descending="1" ref="D3:D24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488A9-EBE3-4910-B118-A3529C474870}">
  <dimension ref="D1:Q29"/>
  <sheetViews>
    <sheetView workbookViewId="0">
      <selection activeCell="D1" sqref="D1:E25"/>
    </sheetView>
  </sheetViews>
  <sheetFormatPr defaultRowHeight="15" x14ac:dyDescent="0.25"/>
  <cols>
    <col min="5" max="5" width="16" customWidth="1"/>
    <col min="8" max="8" width="13.5703125" customWidth="1"/>
    <col min="11" max="11" width="13" customWidth="1"/>
    <col min="14" max="14" width="14" customWidth="1"/>
    <col min="17" max="17" width="13.28515625" customWidth="1"/>
  </cols>
  <sheetData>
    <row r="1" spans="4:17" x14ac:dyDescent="0.25">
      <c r="D1" t="s">
        <v>0</v>
      </c>
      <c r="E1" s="4">
        <v>182534.10140000001</v>
      </c>
      <c r="F1" s="3"/>
      <c r="G1" s="3" t="s">
        <v>0</v>
      </c>
      <c r="H1" s="5">
        <v>31075.504209999999</v>
      </c>
      <c r="I1" s="3"/>
      <c r="J1" s="3" t="s">
        <v>0</v>
      </c>
      <c r="K1" s="6">
        <v>16914.503739999989</v>
      </c>
      <c r="L1" s="3"/>
      <c r="M1" s="3" t="s">
        <v>0</v>
      </c>
      <c r="N1" s="5">
        <v>27407.807699999998</v>
      </c>
      <c r="O1" s="3"/>
      <c r="P1" s="3" t="s">
        <v>0</v>
      </c>
      <c r="Q1" s="7">
        <v>10727.16159</v>
      </c>
    </row>
    <row r="2" spans="4:17" x14ac:dyDescent="0.25">
      <c r="D2" t="s">
        <v>1</v>
      </c>
      <c r="E2" s="4">
        <v>2934.6311899999996</v>
      </c>
      <c r="F2" s="3"/>
      <c r="G2" s="3" t="s">
        <v>1</v>
      </c>
      <c r="H2" s="5">
        <v>728.98266000000001</v>
      </c>
      <c r="I2" s="3"/>
      <c r="J2" s="3" t="s">
        <v>1</v>
      </c>
      <c r="K2" s="6">
        <v>932.59624999999983</v>
      </c>
      <c r="L2" s="3"/>
      <c r="M2" s="3" t="s">
        <v>1</v>
      </c>
      <c r="N2" s="5">
        <v>781.3525699999999</v>
      </c>
      <c r="O2" s="3"/>
      <c r="P2" s="3" t="s">
        <v>1</v>
      </c>
      <c r="Q2" s="7">
        <v>413.11878999999999</v>
      </c>
    </row>
    <row r="3" spans="4:17" x14ac:dyDescent="0.25">
      <c r="D3" t="s">
        <v>2</v>
      </c>
      <c r="E3" s="4">
        <v>90182.01122</v>
      </c>
      <c r="F3" s="3"/>
      <c r="G3" s="3" t="s">
        <v>2</v>
      </c>
      <c r="H3" s="5">
        <v>26324.341250000001</v>
      </c>
      <c r="I3" s="3"/>
      <c r="J3" s="3" t="s">
        <v>2</v>
      </c>
      <c r="K3" s="6">
        <v>21316.821</v>
      </c>
      <c r="L3" s="3"/>
      <c r="M3" s="3" t="s">
        <v>2</v>
      </c>
      <c r="N3" s="5">
        <v>33640.52549</v>
      </c>
      <c r="O3" s="3"/>
      <c r="P3" s="3" t="s">
        <v>2</v>
      </c>
      <c r="Q3" s="7">
        <v>618.00914999999998</v>
      </c>
    </row>
    <row r="4" spans="4:17" x14ac:dyDescent="0.25">
      <c r="D4" t="s">
        <v>3</v>
      </c>
      <c r="E4" s="4">
        <v>10100.838170000001</v>
      </c>
      <c r="F4" s="3"/>
      <c r="G4" s="3" t="s">
        <v>3</v>
      </c>
      <c r="H4" s="5">
        <v>0</v>
      </c>
      <c r="I4" s="3"/>
      <c r="J4" s="3" t="s">
        <v>3</v>
      </c>
      <c r="K4" s="6">
        <v>0.83816999999999997</v>
      </c>
      <c r="L4" s="3"/>
      <c r="M4" s="3" t="s">
        <v>3</v>
      </c>
      <c r="N4" s="5">
        <v>100</v>
      </c>
      <c r="O4" s="3"/>
      <c r="P4" s="3" t="s">
        <v>3</v>
      </c>
      <c r="Q4" s="7">
        <v>10000</v>
      </c>
    </row>
    <row r="5" spans="4:17" x14ac:dyDescent="0.25">
      <c r="D5" t="s">
        <v>4</v>
      </c>
      <c r="E5" s="4">
        <v>50402.254840000001</v>
      </c>
      <c r="F5" s="3"/>
      <c r="G5" s="3" t="s">
        <v>4</v>
      </c>
      <c r="H5" s="5">
        <v>6234.8233899999996</v>
      </c>
      <c r="I5" s="3"/>
      <c r="J5" s="3" t="s">
        <v>4</v>
      </c>
      <c r="K5" s="6">
        <v>18573.4483</v>
      </c>
      <c r="L5" s="3"/>
      <c r="M5" s="3" t="s">
        <v>4</v>
      </c>
      <c r="N5" s="5">
        <v>4561.5103499999996</v>
      </c>
      <c r="O5" s="3"/>
      <c r="P5" s="3" t="s">
        <v>4</v>
      </c>
      <c r="Q5" s="7">
        <v>15016.61</v>
      </c>
    </row>
    <row r="6" spans="4:17" x14ac:dyDescent="0.25">
      <c r="D6" t="s">
        <v>5</v>
      </c>
      <c r="E6" s="4">
        <v>63025.475539999999</v>
      </c>
      <c r="F6" s="3"/>
      <c r="G6" s="3" t="s">
        <v>5</v>
      </c>
      <c r="H6" s="5">
        <v>6000</v>
      </c>
      <c r="I6" s="3"/>
      <c r="J6" s="3" t="s">
        <v>5</v>
      </c>
      <c r="K6" s="6">
        <v>14125.269539999999</v>
      </c>
      <c r="L6" s="3"/>
      <c r="M6" s="3" t="s">
        <v>5</v>
      </c>
      <c r="N6" s="5">
        <v>19573.86</v>
      </c>
      <c r="O6" s="3"/>
      <c r="P6" s="3" t="s">
        <v>5</v>
      </c>
      <c r="Q6" s="7">
        <v>17600</v>
      </c>
    </row>
    <row r="7" spans="4:17" x14ac:dyDescent="0.25">
      <c r="D7" t="s">
        <v>6</v>
      </c>
      <c r="E7" s="4">
        <v>1000</v>
      </c>
      <c r="F7" s="3"/>
      <c r="G7" s="3" t="s">
        <v>6</v>
      </c>
      <c r="H7" s="5">
        <v>0</v>
      </c>
      <c r="I7" s="3"/>
      <c r="J7" s="3" t="s">
        <v>6</v>
      </c>
      <c r="K7" s="6">
        <v>0</v>
      </c>
      <c r="L7" s="3"/>
      <c r="M7" s="3" t="s">
        <v>6</v>
      </c>
      <c r="N7" s="5">
        <v>0</v>
      </c>
      <c r="O7" s="3"/>
      <c r="P7" s="3" t="s">
        <v>6</v>
      </c>
      <c r="Q7" s="7">
        <v>0</v>
      </c>
    </row>
    <row r="8" spans="4:17" x14ac:dyDescent="0.25">
      <c r="D8" t="s">
        <v>7</v>
      </c>
      <c r="E8" s="4">
        <v>11035.12491</v>
      </c>
      <c r="F8" s="3"/>
      <c r="G8" s="3" t="s">
        <v>7</v>
      </c>
      <c r="H8" s="5">
        <v>8138.4530300000006</v>
      </c>
      <c r="I8" s="3"/>
      <c r="J8" s="3" t="s">
        <v>7</v>
      </c>
      <c r="K8" s="6">
        <v>318.46626000000003</v>
      </c>
      <c r="L8" s="3"/>
      <c r="M8" s="3" t="s">
        <v>7</v>
      </c>
      <c r="N8" s="5">
        <v>1005.7611400000001</v>
      </c>
      <c r="O8" s="3"/>
      <c r="P8" s="3" t="s">
        <v>7</v>
      </c>
      <c r="Q8" s="7">
        <v>1021.82524</v>
      </c>
    </row>
    <row r="9" spans="4:17" x14ac:dyDescent="0.25">
      <c r="D9" t="s">
        <v>8</v>
      </c>
      <c r="E9" s="4">
        <v>65603.677199999976</v>
      </c>
      <c r="F9" s="3"/>
      <c r="G9" s="3" t="s">
        <v>8</v>
      </c>
      <c r="H9" s="5">
        <v>2480.4069900000004</v>
      </c>
      <c r="I9" s="3"/>
      <c r="J9" s="3" t="s">
        <v>8</v>
      </c>
      <c r="K9" s="6">
        <v>22382.479779999987</v>
      </c>
      <c r="L9" s="3"/>
      <c r="M9" s="3" t="s">
        <v>8</v>
      </c>
      <c r="N9" s="5">
        <v>16014.848749999999</v>
      </c>
      <c r="O9" s="3"/>
      <c r="P9" s="3" t="s">
        <v>8</v>
      </c>
      <c r="Q9" s="7">
        <v>11742.415199999999</v>
      </c>
    </row>
    <row r="10" spans="4:17" x14ac:dyDescent="0.25">
      <c r="D10" t="s">
        <v>9</v>
      </c>
      <c r="E10" s="4">
        <v>9665.8787499999999</v>
      </c>
      <c r="F10" s="3"/>
      <c r="G10" s="3" t="s">
        <v>9</v>
      </c>
      <c r="H10" s="5">
        <v>453.41437000000002</v>
      </c>
      <c r="I10" s="3"/>
      <c r="J10" s="3" t="s">
        <v>9</v>
      </c>
      <c r="K10" s="6">
        <v>2981.3204499999993</v>
      </c>
      <c r="L10" s="3"/>
      <c r="M10" s="3" t="s">
        <v>9</v>
      </c>
      <c r="N10" s="5">
        <v>2605.8956800000001</v>
      </c>
      <c r="O10" s="3"/>
      <c r="P10" s="3" t="s">
        <v>9</v>
      </c>
      <c r="Q10" s="7">
        <v>2161.40373</v>
      </c>
    </row>
    <row r="11" spans="4:17" x14ac:dyDescent="0.25">
      <c r="D11" t="s">
        <v>10</v>
      </c>
      <c r="E11" s="4">
        <v>2385.0390499999999</v>
      </c>
      <c r="F11" s="3"/>
      <c r="G11" s="3" t="s">
        <v>10</v>
      </c>
      <c r="H11" s="5">
        <v>110.77741</v>
      </c>
      <c r="I11" s="3"/>
      <c r="J11" s="3" t="s">
        <v>10</v>
      </c>
      <c r="K11" s="6">
        <v>1062.53053</v>
      </c>
      <c r="L11" s="3"/>
      <c r="M11" s="3" t="s">
        <v>10</v>
      </c>
      <c r="N11" s="5">
        <v>2.11069</v>
      </c>
      <c r="O11" s="3"/>
      <c r="P11" s="3" t="s">
        <v>10</v>
      </c>
      <c r="Q11" s="7">
        <v>1200</v>
      </c>
    </row>
    <row r="12" spans="4:17" x14ac:dyDescent="0.25">
      <c r="D12" t="s">
        <v>11</v>
      </c>
      <c r="E12" s="4">
        <v>94022.732170000003</v>
      </c>
      <c r="F12" s="3"/>
      <c r="G12" s="3" t="s">
        <v>11</v>
      </c>
      <c r="H12" s="5">
        <v>18487.35298</v>
      </c>
      <c r="I12" s="3"/>
      <c r="J12" s="3" t="s">
        <v>11</v>
      </c>
      <c r="K12" s="6">
        <v>24312.735039999996</v>
      </c>
      <c r="L12" s="3"/>
      <c r="M12" s="3" t="s">
        <v>11</v>
      </c>
      <c r="N12" s="5">
        <v>13980.551800000001</v>
      </c>
      <c r="O12" s="3"/>
      <c r="P12" s="3" t="s">
        <v>11</v>
      </c>
      <c r="Q12" s="7">
        <v>11959.83929</v>
      </c>
    </row>
    <row r="13" spans="4:17" x14ac:dyDescent="0.25">
      <c r="D13" t="s">
        <v>24</v>
      </c>
      <c r="E13" s="4">
        <v>0</v>
      </c>
      <c r="F13" s="3"/>
      <c r="G13" s="3" t="s">
        <v>24</v>
      </c>
      <c r="H13" s="5">
        <v>0</v>
      </c>
      <c r="I13" s="3"/>
      <c r="J13" s="3" t="s">
        <v>24</v>
      </c>
      <c r="K13" s="6">
        <v>0</v>
      </c>
      <c r="L13" s="3"/>
      <c r="M13" s="3" t="s">
        <v>24</v>
      </c>
      <c r="N13" s="5">
        <v>0</v>
      </c>
      <c r="O13" s="3"/>
      <c r="P13" s="3" t="s">
        <v>24</v>
      </c>
      <c r="Q13" s="7">
        <v>0</v>
      </c>
    </row>
    <row r="14" spans="4:17" x14ac:dyDescent="0.25">
      <c r="D14" t="s">
        <v>12</v>
      </c>
      <c r="E14" s="4">
        <v>17726.90065</v>
      </c>
      <c r="F14" s="3"/>
      <c r="G14" s="3" t="s">
        <v>12</v>
      </c>
      <c r="H14" s="5">
        <v>74.714359999999999</v>
      </c>
      <c r="I14" s="3"/>
      <c r="J14" s="3" t="s">
        <v>12</v>
      </c>
      <c r="K14" s="6">
        <v>8331.7026299999998</v>
      </c>
      <c r="L14" s="3"/>
      <c r="M14" s="3" t="s">
        <v>12</v>
      </c>
      <c r="N14" s="5">
        <v>2213.2422099999999</v>
      </c>
      <c r="O14" s="3"/>
      <c r="P14" s="3" t="s">
        <v>12</v>
      </c>
      <c r="Q14" s="7">
        <v>3053.8244500000001</v>
      </c>
    </row>
    <row r="15" spans="4:17" x14ac:dyDescent="0.25">
      <c r="D15" t="s">
        <v>25</v>
      </c>
      <c r="E15" s="4">
        <v>419.98</v>
      </c>
      <c r="F15" s="3"/>
      <c r="G15" s="3" t="s">
        <v>25</v>
      </c>
      <c r="H15" s="5">
        <v>0</v>
      </c>
      <c r="I15" s="3"/>
      <c r="J15" s="3" t="s">
        <v>25</v>
      </c>
      <c r="K15" s="6">
        <v>0</v>
      </c>
      <c r="L15" s="3"/>
      <c r="M15" s="3" t="s">
        <v>25</v>
      </c>
      <c r="N15" s="5">
        <v>0</v>
      </c>
      <c r="O15" s="3"/>
      <c r="P15" s="3" t="s">
        <v>25</v>
      </c>
      <c r="Q15" s="7">
        <v>419.98</v>
      </c>
    </row>
    <row r="16" spans="4:17" x14ac:dyDescent="0.25">
      <c r="D16" t="s">
        <v>26</v>
      </c>
      <c r="E16" s="4">
        <v>0</v>
      </c>
      <c r="F16" s="3"/>
      <c r="G16" s="3" t="s">
        <v>26</v>
      </c>
      <c r="H16" s="5">
        <v>0</v>
      </c>
      <c r="I16" s="3"/>
      <c r="J16" s="3" t="s">
        <v>26</v>
      </c>
      <c r="K16" s="6">
        <v>0</v>
      </c>
      <c r="L16" s="3"/>
      <c r="M16" s="3" t="s">
        <v>26</v>
      </c>
      <c r="N16" s="5">
        <v>0</v>
      </c>
      <c r="O16" s="3"/>
      <c r="P16" s="3" t="s">
        <v>26</v>
      </c>
      <c r="Q16" s="7">
        <v>0</v>
      </c>
    </row>
    <row r="17" spans="4:17" x14ac:dyDescent="0.25">
      <c r="D17" t="s">
        <v>13</v>
      </c>
      <c r="E17" s="4">
        <v>7973.2869999999994</v>
      </c>
      <c r="F17" s="3"/>
      <c r="G17" s="3" t="s">
        <v>13</v>
      </c>
      <c r="H17" s="5">
        <v>486.15851000000004</v>
      </c>
      <c r="I17" s="3"/>
      <c r="J17" s="3" t="s">
        <v>13</v>
      </c>
      <c r="K17" s="6">
        <v>2925.7325499999997</v>
      </c>
      <c r="L17" s="3"/>
      <c r="M17" s="3" t="s">
        <v>13</v>
      </c>
      <c r="N17" s="5">
        <v>953.39078000000006</v>
      </c>
      <c r="O17" s="3"/>
      <c r="P17" s="3" t="s">
        <v>13</v>
      </c>
      <c r="Q17" s="7">
        <v>558.00516000000005</v>
      </c>
    </row>
    <row r="18" spans="4:17" x14ac:dyDescent="0.25">
      <c r="D18" t="s">
        <v>14</v>
      </c>
      <c r="E18" s="4">
        <v>5375.8200299999999</v>
      </c>
      <c r="F18" s="3"/>
      <c r="G18" s="3" t="s">
        <v>14</v>
      </c>
      <c r="H18" s="5">
        <v>1.4184100000000002</v>
      </c>
      <c r="I18" s="3"/>
      <c r="J18" s="3" t="s">
        <v>14</v>
      </c>
      <c r="K18" s="6">
        <v>3260.8521900000001</v>
      </c>
      <c r="L18" s="3"/>
      <c r="M18" s="3" t="s">
        <v>14</v>
      </c>
      <c r="N18" s="5">
        <v>2100.15</v>
      </c>
      <c r="O18" s="3"/>
      <c r="P18" s="3" t="s">
        <v>14</v>
      </c>
      <c r="Q18" s="7">
        <v>7.2146899999999992</v>
      </c>
    </row>
    <row r="19" spans="4:17" x14ac:dyDescent="0.25">
      <c r="D19" t="s">
        <v>15</v>
      </c>
      <c r="E19" s="4">
        <v>39790</v>
      </c>
      <c r="F19" s="3"/>
      <c r="G19" s="3" t="s">
        <v>15</v>
      </c>
      <c r="H19" s="5">
        <v>4140</v>
      </c>
      <c r="I19" s="3"/>
      <c r="J19" s="3" t="s">
        <v>15</v>
      </c>
      <c r="K19" s="6">
        <v>10000</v>
      </c>
      <c r="L19" s="3"/>
      <c r="M19" s="3" t="s">
        <v>15</v>
      </c>
      <c r="N19" s="5">
        <v>3000</v>
      </c>
      <c r="O19" s="3"/>
      <c r="P19" s="3" t="s">
        <v>15</v>
      </c>
      <c r="Q19" s="7">
        <v>16650</v>
      </c>
    </row>
    <row r="20" spans="4:17" x14ac:dyDescent="0.25">
      <c r="D20" t="s">
        <v>16</v>
      </c>
      <c r="E20" s="4">
        <v>128028.11637999998</v>
      </c>
      <c r="F20" s="3"/>
      <c r="G20" s="3" t="s">
        <v>16</v>
      </c>
      <c r="H20" s="5">
        <v>22295.56496</v>
      </c>
      <c r="I20" s="3"/>
      <c r="J20" s="3" t="s">
        <v>16</v>
      </c>
      <c r="K20" s="6">
        <v>11618.945479999975</v>
      </c>
      <c r="L20" s="3"/>
      <c r="M20" s="3" t="s">
        <v>16</v>
      </c>
      <c r="N20" s="5">
        <v>55731.516240000004</v>
      </c>
      <c r="O20" s="3"/>
      <c r="P20" s="3" t="s">
        <v>16</v>
      </c>
      <c r="Q20" s="7">
        <v>29505.794449999998</v>
      </c>
    </row>
    <row r="21" spans="4:17" x14ac:dyDescent="0.25">
      <c r="D21" t="s">
        <v>17</v>
      </c>
      <c r="E21" s="4">
        <v>200</v>
      </c>
      <c r="F21" s="3"/>
      <c r="G21" s="3" t="s">
        <v>17</v>
      </c>
      <c r="H21" s="5">
        <v>0</v>
      </c>
      <c r="I21" s="3"/>
      <c r="J21" s="3" t="s">
        <v>17</v>
      </c>
      <c r="K21" s="6">
        <v>0</v>
      </c>
      <c r="L21" s="3"/>
      <c r="M21" s="3" t="s">
        <v>17</v>
      </c>
      <c r="N21" s="5">
        <v>200</v>
      </c>
      <c r="O21" s="3"/>
      <c r="P21" s="3" t="s">
        <v>17</v>
      </c>
      <c r="Q21" s="7">
        <v>0</v>
      </c>
    </row>
    <row r="22" spans="4:17" x14ac:dyDescent="0.25">
      <c r="D22" t="s">
        <v>18</v>
      </c>
      <c r="E22" s="4">
        <v>2773.4393700000001</v>
      </c>
      <c r="F22" s="3"/>
      <c r="G22" s="3" t="s">
        <v>18</v>
      </c>
      <c r="H22" s="5">
        <v>580.72253999999998</v>
      </c>
      <c r="I22" s="3"/>
      <c r="J22" s="3" t="s">
        <v>18</v>
      </c>
      <c r="K22" s="6">
        <v>418.91070999999999</v>
      </c>
      <c r="L22" s="3"/>
      <c r="M22" s="3" t="s">
        <v>18</v>
      </c>
      <c r="N22" s="5">
        <v>28.313389999999998</v>
      </c>
      <c r="O22" s="3"/>
      <c r="P22" s="3" t="s">
        <v>18</v>
      </c>
      <c r="Q22" s="7">
        <v>1034.8602700000001</v>
      </c>
    </row>
    <row r="23" spans="4:17" x14ac:dyDescent="0.25">
      <c r="D23" t="s">
        <v>19</v>
      </c>
      <c r="E23" s="4">
        <v>0</v>
      </c>
      <c r="F23" s="3"/>
      <c r="G23" s="3" t="s">
        <v>19</v>
      </c>
      <c r="H23" s="5">
        <v>0</v>
      </c>
      <c r="I23" s="3"/>
      <c r="J23" s="3" t="s">
        <v>19</v>
      </c>
      <c r="K23" s="6">
        <v>0</v>
      </c>
      <c r="L23" s="3"/>
      <c r="M23" s="3" t="s">
        <v>19</v>
      </c>
      <c r="N23" s="5">
        <v>0</v>
      </c>
      <c r="O23" s="3"/>
      <c r="P23" s="3" t="s">
        <v>19</v>
      </c>
      <c r="Q23" s="7">
        <v>0</v>
      </c>
    </row>
    <row r="24" spans="4:17" x14ac:dyDescent="0.25">
      <c r="D24" t="s">
        <v>20</v>
      </c>
      <c r="E24" s="4">
        <v>20300</v>
      </c>
      <c r="F24" s="3"/>
      <c r="G24" s="3" t="s">
        <v>20</v>
      </c>
      <c r="H24" s="5">
        <v>0</v>
      </c>
      <c r="I24" s="3"/>
      <c r="J24" s="3" t="s">
        <v>20</v>
      </c>
      <c r="K24" s="6">
        <v>5500</v>
      </c>
      <c r="L24" s="3"/>
      <c r="M24" s="3" t="s">
        <v>20</v>
      </c>
      <c r="N24" s="5">
        <v>2600</v>
      </c>
      <c r="O24" s="3"/>
      <c r="P24" s="3" t="s">
        <v>20</v>
      </c>
      <c r="Q24" s="7">
        <v>4200</v>
      </c>
    </row>
    <row r="25" spans="4:17" x14ac:dyDescent="0.25">
      <c r="D25" t="s">
        <v>21</v>
      </c>
      <c r="E25" s="4">
        <v>6614.9180400000005</v>
      </c>
      <c r="F25" s="3"/>
      <c r="G25" s="3" t="s">
        <v>21</v>
      </c>
      <c r="H25" s="5">
        <v>2083</v>
      </c>
      <c r="I25" s="3"/>
      <c r="J25" s="3" t="s">
        <v>21</v>
      </c>
      <c r="K25" s="6">
        <v>69.306880000000007</v>
      </c>
      <c r="L25" s="3"/>
      <c r="M25" s="3" t="s">
        <v>21</v>
      </c>
      <c r="N25" s="5">
        <v>4450</v>
      </c>
      <c r="O25" s="3"/>
      <c r="P25" s="3" t="s">
        <v>21</v>
      </c>
      <c r="Q25" s="7">
        <v>0</v>
      </c>
    </row>
    <row r="26" spans="4:17" x14ac:dyDescent="0.25"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4:17" x14ac:dyDescent="0.25">
      <c r="E27" s="3">
        <f>SUM(E1:E26)</f>
        <v>812094.22591000004</v>
      </c>
      <c r="H27" s="3">
        <f>SUM(H1:H26)</f>
        <v>129695.63506999999</v>
      </c>
      <c r="K27" s="3">
        <f>SUM(K1:K26)</f>
        <v>165046.45949999991</v>
      </c>
      <c r="N27">
        <v>190950.83679</v>
      </c>
      <c r="Q27" s="3">
        <f>SUM(Q1:Q26)</f>
        <v>137890.06200999999</v>
      </c>
    </row>
    <row r="29" spans="4:17" x14ac:dyDescent="0.25">
      <c r="K29" s="3">
        <f>E27+H27+K27+N27+Q27</f>
        <v>1435677.2192800001</v>
      </c>
    </row>
  </sheetData>
  <pageMargins left="0.7" right="0.7" top="0.75" bottom="0.75" header="0.3" footer="0.3"/>
  <pageSetup paperSize="9" orientation="portrait" r:id="rId1"/>
  <ignoredErrors>
    <ignoredError sqref="E27" emptyCellReferenc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071EE6621830479B48F405F238C2E8" ma:contentTypeVersion="9" ma:contentTypeDescription="Criar um novo documento." ma:contentTypeScope="" ma:versionID="1c5046b7c60cea07c566e4ff1f017650">
  <xsd:schema xmlns:xsd="http://www.w3.org/2001/XMLSchema" xmlns:xs="http://www.w3.org/2001/XMLSchema" xmlns:p="http://schemas.microsoft.com/office/2006/metadata/properties" xmlns:ns2="8305f4f8-dae7-4523-8257-656d8cb4d040" xmlns:ns3="ac26e13a-c3a6-41fe-a080-680c457ab7ba" targetNamespace="http://schemas.microsoft.com/office/2006/metadata/properties" ma:root="true" ma:fieldsID="eb11d6bc583e13672d468da3899839af" ns2:_="" ns3:_="">
    <xsd:import namespace="8305f4f8-dae7-4523-8257-656d8cb4d040"/>
    <xsd:import namespace="ac26e13a-c3a6-41fe-a080-680c457ab7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ategoria"/>
                <xsd:element ref="ns3:Visualizar"/>
                <xsd:element ref="ns3:Conteudo" minOccurs="0"/>
                <xsd:element ref="ns3:Fonte" minOccurs="0"/>
                <xsd:element ref="ns3:Ano" minOccurs="0"/>
                <xsd:element ref="ns3:DataDePublicacao" minOccurs="0"/>
                <xsd:element ref="ns3:Link" minOccurs="0"/>
                <xsd:element ref="ns3:EstatisticaMonetariaFinanceira" minOccurs="0"/>
                <xsd:element ref="ns3:Idioma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5f4f8-dae7-4523-8257-656d8cb4d04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6e13a-c3a6-41fe-a080-680c457ab7ba" elementFormDefault="qualified">
    <xsd:import namespace="http://schemas.microsoft.com/office/2006/documentManagement/types"/>
    <xsd:import namespace="http://schemas.microsoft.com/office/infopath/2007/PartnerControls"/>
    <xsd:element name="Categoria" ma:index="11" ma:displayName="Categoria" ma:description="Categoria" ma:format="Dropdown" ma:internalName="Categoria">
      <xsd:simpleType>
        <xsd:restriction base="dms:Choice">
          <xsd:enumeration value="Calendário de Divulgação"/>
          <xsd:enumeration value="Código de Conduta das Estatísticas"/>
          <xsd:enumeration value="Evolução da Taxa de Inflação"/>
          <xsd:enumeration value="Estatísticas Monetárias e Financeira"/>
          <xsd:enumeration value="Formulário Instrutivos"/>
          <xsd:enumeration value="Guia de Consulta"/>
          <xsd:enumeration value="Metadados"/>
          <xsd:enumeration value="Evolução das Reservas Internacionais"/>
          <xsd:enumeration value="Contas Nacionais"/>
          <xsd:enumeration value="Evolução Mensal da Taxa de Inflação"/>
          <xsd:enumeration value="Índice de Preço do Consumidor"/>
          <xsd:enumeration value="Estatísticas Externas Mensais"/>
          <xsd:enumeration value="Estatísticas Externas Trimestral"/>
          <xsd:enumeration value="Estatísticas Externas Anual"/>
          <xsd:enumeration value="Estatísticas da Central de Balanços_Glossário"/>
          <xsd:enumeration value="ECB_PICB_Sector da Indústria de Bebidas"/>
          <xsd:enumeration value="ECB_PICB_Sector de Actividades de Informação e de Comunicação"/>
          <xsd:enumeration value="ECB_PICB_Sector da Construção"/>
          <xsd:enumeration value="ECB_PICB_Sector dos Transportes e Armazenagem"/>
          <xsd:enumeration value="Sector de Extraccao de Petroleo Bruto e Gas Natural"/>
          <xsd:enumeration value="ECB_PICB_Sector de Outras Indústria Extractivas"/>
        </xsd:restriction>
      </xsd:simpleType>
    </xsd:element>
    <xsd:element name="Visualizar" ma:index="12" ma:displayName="Visualizar" ma:default="0" ma:description="Visualizar" ma:internalName="Visualizar">
      <xsd:simpleType>
        <xsd:restriction base="dms:Boolean"/>
      </xsd:simpleType>
    </xsd:element>
    <xsd:element name="Conteudo" ma:index="13" nillable="true" ma:displayName="Conteudo" ma:internalName="Conteudo">
      <xsd:simpleType>
        <xsd:restriction base="dms:Note">
          <xsd:maxLength value="255"/>
        </xsd:restriction>
      </xsd:simpleType>
    </xsd:element>
    <xsd:element name="Fonte" ma:index="14" nillable="true" ma:displayName="Fonte" ma:internalName="Fonte">
      <xsd:simpleType>
        <xsd:restriction base="dms:Text">
          <xsd:maxLength value="255"/>
        </xsd:restriction>
      </xsd:simpleType>
    </xsd:element>
    <xsd:element name="Ano" ma:index="15" nillable="true" ma:displayName="Ano" ma:internalName="Ano" ma:percentage="FALSE">
      <xsd:simpleType>
        <xsd:restriction base="dms:Number"/>
      </xsd:simpleType>
    </xsd:element>
    <xsd:element name="DataDePublicacao" ma:index="16" nillable="true" ma:displayName="DataDePublicacao" ma:default="[today]" ma:format="DateTime" ma:internalName="DataDePublicacao">
      <xsd:simpleType>
        <xsd:restriction base="dms:DateTime"/>
      </xsd:simpleType>
    </xsd:element>
    <xsd:element name="Link" ma:index="1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statisticaMonetariaFinanceira" ma:index="18" nillable="true" ma:displayName="EstatisticaMonetariaFinanceira" ma:default="0" ma:internalName="EstatisticaMonetariaFinanceira">
      <xsd:simpleType>
        <xsd:restriction base="dms:Boolean"/>
      </xsd:simpleType>
    </xsd:element>
    <xsd:element name="Idioma" ma:index="19" ma:displayName="Idioma" ma:default="Português" ma:format="Dropdown" ma:internalName="Idioma">
      <xsd:simpleType>
        <xsd:restriction base="dms:Choice">
          <xsd:enumeration value="Português"/>
          <xsd:enumeration value="Inglê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DePublicacao xmlns="ac26e13a-c3a6-41fe-a080-680c457ab7ba">2026-01-12T12:49:39+00:00</DataDePublicacao>
    <Idioma xmlns="ac26e13a-c3a6-41fe-a080-680c457ab7ba">Português</Idioma>
    <Visualizar xmlns="ac26e13a-c3a6-41fe-a080-680c457ab7ba">true</Visualizar>
    <Link xmlns="ac26e13a-c3a6-41fe-a080-680c457ab7ba">
      <Url xsi:nil="true"/>
      <Description xsi:nil="true"/>
    </Link>
    <EstatisticaMonetariaFinanceira xmlns="ac26e13a-c3a6-41fe-a080-680c457ab7ba">false</EstatisticaMonetariaFinanceira>
    <Categoria xmlns="ac26e13a-c3a6-41fe-a080-680c457ab7ba">Estatísticas Externas Mensais</Categoria>
    <Ano xmlns="ac26e13a-c3a6-41fe-a080-680c457ab7ba" xsi:nil="true"/>
    <Conteudo xmlns="ac26e13a-c3a6-41fe-a080-680c457ab7ba" xsi:nil="true"/>
    <Fonte xmlns="ac26e13a-c3a6-41fe-a080-680c457ab7ba" xsi:nil="true"/>
    <_dlc_DocId xmlns="8305f4f8-dae7-4523-8257-656d8cb4d040">AE2CRDQUTFAC-2123509798-1556</_dlc_DocId>
    <_dlc_DocIdUrl xmlns="8305f4f8-dae7-4523-8257-656d8cb4d040">
      <Url>http://172.20.42.86/sites/cms/_layouts/15/DocIdRedir.aspx?ID=AE2CRDQUTFAC-2123509798-1556</Url>
      <Description>AE2CRDQUTFAC-2123509798-1556</Description>
    </_dlc_DocIdUrl>
  </documentManagement>
</p:properties>
</file>

<file path=customXml/itemProps1.xml><?xml version="1.0" encoding="utf-8"?>
<ds:datastoreItem xmlns:ds="http://schemas.openxmlformats.org/officeDocument/2006/customXml" ds:itemID="{0B99387C-3996-47C4-AD7F-20D113E0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A36A4F-3009-4F90-AFFB-C49B3222FF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05f4f8-dae7-4523-8257-656d8cb4d040"/>
    <ds:schemaRef ds:uri="ac26e13a-c3a6-41fe-a080-680c457ab7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1A0B95-EFE6-4CD1-9E2F-8574149C9B8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810E91B-46E9-4DFF-8EFB-A47B06E3D627}">
  <ds:schemaRefs>
    <ds:schemaRef ds:uri="http://schemas.microsoft.com/office/2006/metadata/properties"/>
    <ds:schemaRef ds:uri="http://schemas.microsoft.com/office/infopath/2007/PartnerControls"/>
    <ds:schemaRef ds:uri="ac26e13a-c3a6-41fe-a080-680c457ab7ba"/>
    <ds:schemaRef ds:uri="8305f4f8-dae7-4523-8257-656d8cb4d04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4</vt:i4>
      </vt:variant>
      <vt:variant>
        <vt:lpstr>Intervalos com Nome</vt:lpstr>
      </vt:variant>
      <vt:variant>
        <vt:i4>1</vt:i4>
      </vt:variant>
    </vt:vector>
  </HeadingPairs>
  <TitlesOfParts>
    <vt:vector size="5" baseType="lpstr">
      <vt:lpstr>COMPRA DE DIVISAS</vt:lpstr>
      <vt:lpstr>Folha3</vt:lpstr>
      <vt:lpstr>Folha1</vt:lpstr>
      <vt:lpstr>Folha2</vt:lpstr>
      <vt:lpstr>'COMPRA DE DIVISAS'!Área_de_Impressão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Compra de Divisas pelos Bancos Comerciais</dc:title>
  <dc:creator>Domingos Jose Kiakanda Nzinga (DES)</dc:creator>
  <cp:lastModifiedBy>Denilson Ricardo dos Santos Lopes</cp:lastModifiedBy>
  <cp:lastPrinted>2026-01-12T12:19:12Z</cp:lastPrinted>
  <dcterms:created xsi:type="dcterms:W3CDTF">2023-09-08T14:54:47Z</dcterms:created>
  <dcterms:modified xsi:type="dcterms:W3CDTF">2026-05-08T14:26:40Z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0x01010004071EE6621830479B48F405F238C2E8</vt:lpwstr>
  </property>
  <property fmtid="{D5CDD505-2E9C-101B-9397-08002B2CF9AE}" pid="3" name="MSIP_Label_6849ffa4-678e-4825-b0af-573abed55832_Enabled">
    <vt:lpwstr>true</vt:lpwstr>
  </property>
  <property fmtid="{D5CDD505-2E9C-101B-9397-08002B2CF9AE}" pid="4" name="MSIP_Label_6849ffa4-678e-4825-b0af-573abed55832_SetDate">
    <vt:lpwstr>2026-01-12T08:19:39Z</vt:lpwstr>
  </property>
  <property fmtid="{D5CDD505-2E9C-101B-9397-08002B2CF9AE}" pid="5" name="MSIP_Label_6849ffa4-678e-4825-b0af-573abed55832_Method">
    <vt:lpwstr>Privileged</vt:lpwstr>
  </property>
  <property fmtid="{D5CDD505-2E9C-101B-9397-08002B2CF9AE}" pid="6" name="MSIP_Label_6849ffa4-678e-4825-b0af-573abed55832_Name">
    <vt:lpwstr>Público</vt:lpwstr>
  </property>
  <property fmtid="{D5CDD505-2E9C-101B-9397-08002B2CF9AE}" pid="7" name="MSIP_Label_6849ffa4-678e-4825-b0af-573abed55832_SiteId">
    <vt:lpwstr>7907c12b-e008-40cb-a028-5419a08865fb</vt:lpwstr>
  </property>
  <property fmtid="{D5CDD505-2E9C-101B-9397-08002B2CF9AE}" pid="8" name="MSIP_Label_6849ffa4-678e-4825-b0af-573abed55832_ActionId">
    <vt:lpwstr>bb92a755-c499-48c0-b55b-9684e508b2b1</vt:lpwstr>
  </property>
  <property fmtid="{D5CDD505-2E9C-101B-9397-08002B2CF9AE}" pid="9" name="MSIP_Label_6849ffa4-678e-4825-b0af-573abed55832_ContentBits">
    <vt:lpwstr>0</vt:lpwstr>
  </property>
  <property fmtid="{D5CDD505-2E9C-101B-9397-08002B2CF9AE}" pid="10" name="MSIP_Label_6849ffa4-678e-4825-b0af-573abed55832_Tag">
    <vt:lpwstr>10, 0, 1, 1</vt:lpwstr>
  </property>
  <property fmtid="{D5CDD505-2E9C-101B-9397-08002B2CF9AE}" pid="11" name="_dlc_DocIdItemGuid">
    <vt:lpwstr>cb13d3c3-f112-4834-9ca8-300132f4e7e2</vt:lpwstr>
  </property>
</Properties>
</file>