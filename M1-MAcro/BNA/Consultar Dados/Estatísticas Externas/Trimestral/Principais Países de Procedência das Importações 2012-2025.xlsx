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Y:\DES\DIVISAO DE ESTATISTICAS EXTERNAS\SECTOR DE ESTATISTICAS DE BALANCA DE PAGAMENTOS\INTERNET BNA\2025\Publicação Trimestral\IV TRM 25\RDM - Publicação\"/>
    </mc:Choice>
  </mc:AlternateContent>
  <xr:revisionPtr revIDLastSave="0" documentId="13_ncr:1_{A0D2A773-0BD0-431B-ACE9-FDC8C96D98CF}" xr6:coauthVersionLast="47" xr6:coauthVersionMax="47" xr10:uidLastSave="{00000000-0000-0000-0000-000000000000}"/>
  <bookViews>
    <workbookView xWindow="20370" yWindow="-120" windowWidth="29040" windowHeight="15720" tabRatio="535" xr2:uid="{00000000-000D-0000-FFFF-FFFF00000000}"/>
  </bookViews>
  <sheets>
    <sheet name="Importação por Países" sheetId="1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32" i="123" l="1"/>
  <c r="BV33" i="123" s="1"/>
  <c r="BW32" i="123"/>
  <c r="BW33" i="123" s="1"/>
  <c r="BX32" i="123"/>
  <c r="BX33" i="123" s="1"/>
  <c r="BU32" i="123"/>
  <c r="BU33" i="123" s="1"/>
  <c r="BY31" i="123" l="1"/>
  <c r="BY32" i="123" l="1"/>
  <c r="BY33" i="123" s="1"/>
</calcChain>
</file>

<file path=xl/sharedStrings.xml><?xml version="1.0" encoding="utf-8"?>
<sst xmlns="http://schemas.openxmlformats.org/spreadsheetml/2006/main" count="469" uniqueCount="67">
  <si>
    <t>HOLANDA</t>
  </si>
  <si>
    <t>PORTUGAL</t>
  </si>
  <si>
    <t>SINGAPURA</t>
  </si>
  <si>
    <t>OUTROS</t>
  </si>
  <si>
    <t xml:space="preserve">FRANÇA </t>
  </si>
  <si>
    <t>ÁFRICA DO SUL</t>
  </si>
  <si>
    <t xml:space="preserve">CHINA  </t>
  </si>
  <si>
    <t xml:space="preserve">BRASIL  </t>
  </si>
  <si>
    <t xml:space="preserve">REINO UNIDO </t>
  </si>
  <si>
    <t>I TRM</t>
  </si>
  <si>
    <t>II TRM</t>
  </si>
  <si>
    <t>III TRM</t>
  </si>
  <si>
    <t>IV TRM</t>
  </si>
  <si>
    <t>NORUEGA</t>
  </si>
  <si>
    <t>BÉLGICA</t>
  </si>
  <si>
    <t>REINO UNIDO</t>
  </si>
  <si>
    <t xml:space="preserve">ÍNDIA </t>
  </si>
  <si>
    <t>CHINA</t>
  </si>
  <si>
    <t>TOGO</t>
  </si>
  <si>
    <t>BRASIL</t>
  </si>
  <si>
    <t>ÍNDIA</t>
  </si>
  <si>
    <t xml:space="preserve">BÉLGICA </t>
  </si>
  <si>
    <t>REPÚBLICA DA COREIA</t>
  </si>
  <si>
    <t>FRANÇA</t>
  </si>
  <si>
    <t>ESTADOS UNIDOS DA AMÉRICA</t>
  </si>
  <si>
    <t>TURQUIA</t>
  </si>
  <si>
    <t>TAILÂNDIA</t>
  </si>
  <si>
    <t>ESPANHA</t>
  </si>
  <si>
    <t>ALEMANHA</t>
  </si>
  <si>
    <t>CANADA</t>
  </si>
  <si>
    <t>JAPÃO</t>
  </si>
  <si>
    <t>HUNGRIA</t>
  </si>
  <si>
    <t>SUB-TOTAL</t>
  </si>
  <si>
    <t>TOTAL GERAL</t>
  </si>
  <si>
    <t>Source:BNA/DES/AGT</t>
  </si>
  <si>
    <t>EMIRADOS ÁRABES UNIDOS</t>
  </si>
  <si>
    <t xml:space="preserve">ESPANHA </t>
  </si>
  <si>
    <t>NAMÍBIA</t>
  </si>
  <si>
    <t>RÚSSIA</t>
  </si>
  <si>
    <t>LATVIA</t>
  </si>
  <si>
    <t xml:space="preserve">CONGO </t>
  </si>
  <si>
    <t>PAÍSES</t>
  </si>
  <si>
    <t>SUÉCIA</t>
  </si>
  <si>
    <t>ARGENTINA</t>
  </si>
  <si>
    <t>MALÁSIA</t>
  </si>
  <si>
    <t>ITÁLIA</t>
  </si>
  <si>
    <t xml:space="preserve">INDONÉSIA </t>
  </si>
  <si>
    <t>ESLOVÉNIA</t>
  </si>
  <si>
    <t>PAÍSES BAIXOS</t>
  </si>
  <si>
    <t>INDONÉSIA</t>
  </si>
  <si>
    <t>MAURITÂNIA</t>
  </si>
  <si>
    <t>CANADÁ</t>
  </si>
  <si>
    <t>MALTA</t>
  </si>
  <si>
    <t>FEDERAÇÃO DA RUSSIA</t>
  </si>
  <si>
    <t>REPÚBLICA DE COREIA</t>
  </si>
  <si>
    <t>In Million of U.S. Dollars</t>
  </si>
  <si>
    <t>Em Milhões de U.S.Dólares</t>
  </si>
  <si>
    <t>FEDERAÇÃO RUSSA</t>
  </si>
  <si>
    <t>Fonte: BNA/DES/AGT</t>
  </si>
  <si>
    <t>ARÁBIA SAUDITA</t>
  </si>
  <si>
    <t>POLONIA</t>
  </si>
  <si>
    <t>MÉXICO</t>
  </si>
  <si>
    <t>NIGÉRIA</t>
  </si>
  <si>
    <t>Principais Países de Procedência das Importações: 2012 - 2025</t>
  </si>
  <si>
    <t xml:space="preserve">               Main Countries of Imports Origin: 2012 - 2025</t>
  </si>
  <si>
    <t>MARSHALL (ILHAS)</t>
  </si>
  <si>
    <t>POLÔNIA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</si>
</sst>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#,##0.0000000000"/>
    <numFmt numFmtId="166" formatCode="#,##0.000000"/>
    <numFmt numFmtId="167" formatCode="_-* #,##0.0_-;\-* #,##0.0_-;_-* &quot;-&quot;??_-;_-@_-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5" fillId="10" borderId="4" applyNumberFormat="0" applyAlignment="0" applyProtection="0"/>
    <xf numFmtId="0" fontId="6" fillId="11" borderId="4" applyNumberFormat="0" applyAlignment="0" applyProtection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3" fillId="12" borderId="5" applyNumberFormat="0" applyFont="0" applyAlignment="0" applyProtection="0"/>
    <xf numFmtId="9" fontId="3" fillId="0" borderId="0" applyFont="0" applyFill="0" applyBorder="0" applyAlignment="0" applyProtection="0"/>
    <xf numFmtId="0" fontId="7" fillId="10" borderId="6" applyNumberFormat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7" applyNumberFormat="0" applyFill="0" applyAlignment="0" applyProtection="0"/>
    <xf numFmtId="0" fontId="15" fillId="0" borderId="8" applyNumberFormat="0" applyFill="0" applyAlignment="0" applyProtection="0"/>
    <xf numFmtId="43" fontId="16" fillId="0" borderId="0" applyFont="0" applyFill="0" applyBorder="0" applyAlignment="0" applyProtection="0"/>
  </cellStyleXfs>
  <cellXfs count="35">
    <xf numFmtId="0" fontId="0" fillId="0" borderId="0" xfId="0"/>
    <xf numFmtId="0" fontId="12" fillId="13" borderId="0" xfId="0" applyFont="1" applyFill="1"/>
    <xf numFmtId="0" fontId="13" fillId="13" borderId="0" xfId="0" applyFont="1" applyFill="1"/>
    <xf numFmtId="0" fontId="13" fillId="13" borderId="0" xfId="13" applyFont="1" applyFill="1"/>
    <xf numFmtId="0" fontId="12" fillId="13" borderId="1" xfId="12" applyFont="1" applyFill="1" applyBorder="1" applyAlignment="1">
      <alignment horizontal="center"/>
    </xf>
    <xf numFmtId="0" fontId="13" fillId="13" borderId="2" xfId="12" applyFont="1" applyFill="1" applyBorder="1"/>
    <xf numFmtId="164" fontId="13" fillId="13" borderId="2" xfId="12" applyNumberFormat="1" applyFont="1" applyFill="1" applyBorder="1"/>
    <xf numFmtId="164" fontId="13" fillId="14" borderId="2" xfId="12" applyNumberFormat="1" applyFont="1" applyFill="1" applyBorder="1"/>
    <xf numFmtId="164" fontId="13" fillId="13" borderId="0" xfId="0" applyNumberFormat="1" applyFont="1" applyFill="1"/>
    <xf numFmtId="2" fontId="13" fillId="13" borderId="2" xfId="12" applyNumberFormat="1" applyFont="1" applyFill="1" applyBorder="1"/>
    <xf numFmtId="164" fontId="12" fillId="13" borderId="1" xfId="12" applyNumberFormat="1" applyFont="1" applyFill="1" applyBorder="1"/>
    <xf numFmtId="164" fontId="12" fillId="14" borderId="1" xfId="12" applyNumberFormat="1" applyFont="1" applyFill="1" applyBorder="1"/>
    <xf numFmtId="0" fontId="14" fillId="13" borderId="0" xfId="0" applyFont="1" applyFill="1"/>
    <xf numFmtId="164" fontId="12" fillId="13" borderId="0" xfId="0" applyNumberFormat="1" applyFont="1" applyFill="1"/>
    <xf numFmtId="0" fontId="13" fillId="13" borderId="0" xfId="0" applyFont="1" applyFill="1" applyAlignment="1">
      <alignment horizontal="left"/>
    </xf>
    <xf numFmtId="4" fontId="13" fillId="13" borderId="2" xfId="12" applyNumberFormat="1" applyFont="1" applyFill="1" applyBorder="1"/>
    <xf numFmtId="0" fontId="13" fillId="13" borderId="3" xfId="0" applyFont="1" applyFill="1" applyBorder="1" applyAlignment="1">
      <alignment horizontal="right"/>
    </xf>
    <xf numFmtId="0" fontId="12" fillId="13" borderId="1" xfId="0" applyFont="1" applyFill="1" applyBorder="1"/>
    <xf numFmtId="165" fontId="13" fillId="13" borderId="0" xfId="0" applyNumberFormat="1" applyFont="1" applyFill="1"/>
    <xf numFmtId="164" fontId="13" fillId="13" borderId="0" xfId="13" applyNumberFormat="1" applyFont="1" applyFill="1"/>
    <xf numFmtId="0" fontId="13" fillId="13" borderId="3" xfId="0" applyFont="1" applyFill="1" applyBorder="1"/>
    <xf numFmtId="2" fontId="13" fillId="13" borderId="0" xfId="0" applyNumberFormat="1" applyFont="1" applyFill="1"/>
    <xf numFmtId="3" fontId="13" fillId="13" borderId="0" xfId="0" applyNumberFormat="1" applyFont="1" applyFill="1"/>
    <xf numFmtId="4" fontId="13" fillId="13" borderId="0" xfId="0" applyNumberFormat="1" applyFont="1" applyFill="1"/>
    <xf numFmtId="166" fontId="13" fillId="13" borderId="0" xfId="0" applyNumberFormat="1" applyFont="1" applyFill="1"/>
    <xf numFmtId="0" fontId="13" fillId="13" borderId="0" xfId="0" applyFont="1" applyFill="1" applyAlignment="1">
      <alignment horizontal="right"/>
    </xf>
    <xf numFmtId="0" fontId="12" fillId="13" borderId="9" xfId="12" applyFont="1" applyFill="1" applyBorder="1" applyAlignment="1">
      <alignment horizontal="center"/>
    </xf>
    <xf numFmtId="167" fontId="13" fillId="13" borderId="0" xfId="30" applyNumberFormat="1" applyFont="1" applyFill="1"/>
    <xf numFmtId="0" fontId="13" fillId="13" borderId="3" xfId="0" applyFont="1" applyFill="1" applyBorder="1" applyAlignment="1">
      <alignment horizontal="right"/>
    </xf>
    <xf numFmtId="0" fontId="12" fillId="14" borderId="1" xfId="12" applyFont="1" applyFill="1" applyBorder="1" applyAlignment="1">
      <alignment horizontal="center" vertical="center"/>
    </xf>
    <xf numFmtId="0" fontId="12" fillId="13" borderId="1" xfId="12" applyFont="1" applyFill="1" applyBorder="1" applyAlignment="1">
      <alignment horizontal="center" vertical="center"/>
    </xf>
    <xf numFmtId="0" fontId="12" fillId="13" borderId="1" xfId="13" applyFont="1" applyFill="1" applyBorder="1" applyAlignment="1">
      <alignment horizontal="center"/>
    </xf>
    <xf numFmtId="0" fontId="12" fillId="13" borderId="10" xfId="13" applyFont="1" applyFill="1" applyBorder="1" applyAlignment="1">
      <alignment horizontal="center"/>
    </xf>
    <xf numFmtId="0" fontId="12" fillId="13" borderId="11" xfId="13" applyFont="1" applyFill="1" applyBorder="1" applyAlignment="1">
      <alignment horizontal="center"/>
    </xf>
    <xf numFmtId="0" fontId="12" fillId="13" borderId="12" xfId="13" applyFont="1" applyFill="1" applyBorder="1" applyAlignment="1">
      <alignment horizontal="center"/>
    </xf>
  </cellXfs>
  <cellStyles count="31">
    <cellStyle name="20% - Cor1 2" xfId="1" xr:uid="{00000000-0005-0000-0000-000000000000}"/>
    <cellStyle name="20% - Cor2 2" xfId="2" xr:uid="{00000000-0005-0000-0000-000001000000}"/>
    <cellStyle name="20% - Cor3 2" xfId="3" xr:uid="{00000000-0005-0000-0000-000002000000}"/>
    <cellStyle name="20% - Cor4 2" xfId="4" xr:uid="{00000000-0005-0000-0000-000003000000}"/>
    <cellStyle name="40% - Cor3 2" xfId="5" xr:uid="{00000000-0005-0000-0000-000004000000}"/>
    <cellStyle name="60% - Cor3 2" xfId="6" xr:uid="{00000000-0005-0000-0000-000005000000}"/>
    <cellStyle name="60% - Cor4 2" xfId="7" xr:uid="{00000000-0005-0000-0000-000006000000}"/>
    <cellStyle name="60% - Cor6 2" xfId="8" xr:uid="{00000000-0005-0000-0000-000007000000}"/>
    <cellStyle name="Cabeçalho 2" xfId="29" builtinId="17" hidden="1"/>
    <cellStyle name="Cálculo" xfId="9" builtinId="22" customBuiltin="1"/>
    <cellStyle name="Entrada" xfId="10" builtinId="20" customBuiltin="1"/>
    <cellStyle name="Normal" xfId="0" builtinId="0"/>
    <cellStyle name="Normal 10" xfId="11" xr:uid="{00000000-0005-0000-0000-00000C000000}"/>
    <cellStyle name="Normal 2" xfId="12" xr:uid="{00000000-0005-0000-0000-00000D000000}"/>
    <cellStyle name="Normal 2 2" xfId="13" xr:uid="{00000000-0005-0000-0000-00000E000000}"/>
    <cellStyle name="Normal 2 2 2" xfId="14" xr:uid="{00000000-0005-0000-0000-00000F000000}"/>
    <cellStyle name="Normal 2 3" xfId="15" xr:uid="{00000000-0005-0000-0000-000010000000}"/>
    <cellStyle name="Normal 2 3 2" xfId="16" xr:uid="{00000000-0005-0000-0000-000011000000}"/>
    <cellStyle name="Normal 3" xfId="17" xr:uid="{00000000-0005-0000-0000-000012000000}"/>
    <cellStyle name="Normal 3 2" xfId="18" xr:uid="{00000000-0005-0000-0000-000013000000}"/>
    <cellStyle name="Normal 4" xfId="19" xr:uid="{00000000-0005-0000-0000-000014000000}"/>
    <cellStyle name="Normal 5" xfId="20" xr:uid="{00000000-0005-0000-0000-000015000000}"/>
    <cellStyle name="Nota 2" xfId="21" xr:uid="{00000000-0005-0000-0000-000016000000}"/>
    <cellStyle name="Percentagem 2" xfId="22" xr:uid="{00000000-0005-0000-0000-000017000000}"/>
    <cellStyle name="Saída" xfId="23" builtinId="21" customBuiltin="1"/>
    <cellStyle name="Texto de Aviso" xfId="24" builtinId="11" customBuiltin="1"/>
    <cellStyle name="Texto Explicativo" xfId="25" builtinId="53" customBuiltin="1"/>
    <cellStyle name="Título" xfId="26" builtinId="15" customBuiltin="1"/>
    <cellStyle name="Título 2" xfId="27" xr:uid="{00000000-0005-0000-0000-00001C000000}"/>
    <cellStyle name="Total" xfId="28" builtinId="25" customBuiltin="1"/>
    <cellStyle name="Vírgula" xfId="30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06/relationships/attachedToolbars" Target="attachedToolbars.bin"/><Relationship Id="rId5" Type="http://schemas.openxmlformats.org/officeDocument/2006/relationships/calcChain" Target="calcChain.xml"/><Relationship Id="rId10" Type="http://schemas.openxmlformats.org/officeDocument/2006/relationships/customXml" Target="../customXml/item4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T89"/>
  <sheetViews>
    <sheetView tabSelected="1" zoomScaleNormal="100" workbookViewId="0">
      <pane xSplit="2" ySplit="6" topLeftCell="CC7" activePane="bottomRight" state="frozen"/>
      <selection pane="topRight" activeCell="B1" sqref="B1"/>
      <selection pane="bottomLeft" activeCell="A7" sqref="A7"/>
      <selection pane="bottomRight" activeCell="CP15" sqref="CP15"/>
    </sheetView>
  </sheetViews>
  <sheetFormatPr defaultRowHeight="15" x14ac:dyDescent="0.25"/>
  <cols>
    <col min="1" max="1" width="2.28515625" style="2" customWidth="1"/>
    <col min="2" max="2" width="28" style="2" customWidth="1"/>
    <col min="3" max="7" width="12.5703125" style="2" bestFit="1" customWidth="1"/>
    <col min="8" max="8" width="2.28515625" style="2" customWidth="1"/>
    <col min="9" max="9" width="28.5703125" style="2" customWidth="1"/>
    <col min="10" max="14" width="12.5703125" style="2" bestFit="1" customWidth="1"/>
    <col min="15" max="15" width="2.28515625" style="2" customWidth="1"/>
    <col min="16" max="16" width="28.5703125" style="2" bestFit="1" customWidth="1"/>
    <col min="17" max="21" width="12.5703125" style="2" bestFit="1" customWidth="1"/>
    <col min="22" max="22" width="2.28515625" style="2" customWidth="1"/>
    <col min="23" max="23" width="28.5703125" style="2" customWidth="1"/>
    <col min="24" max="28" width="12.5703125" style="2" bestFit="1" customWidth="1"/>
    <col min="29" max="29" width="2.28515625" style="2" customWidth="1"/>
    <col min="30" max="30" width="28.5703125" style="2" customWidth="1"/>
    <col min="31" max="35" width="12.5703125" style="2" bestFit="1" customWidth="1"/>
    <col min="36" max="36" width="2.28515625" style="2" customWidth="1"/>
    <col min="37" max="37" width="28.5703125" style="2" customWidth="1"/>
    <col min="38" max="42" width="12.5703125" style="2" bestFit="1" customWidth="1"/>
    <col min="43" max="43" width="2.28515625" style="2" customWidth="1"/>
    <col min="44" max="44" width="28.5703125" style="2" customWidth="1"/>
    <col min="45" max="49" width="12.5703125" style="2" bestFit="1" customWidth="1"/>
    <col min="50" max="50" width="2.28515625" style="2" customWidth="1"/>
    <col min="51" max="51" width="29.42578125" style="2" customWidth="1"/>
    <col min="52" max="56" width="12.5703125" style="2" bestFit="1" customWidth="1"/>
    <col min="57" max="57" width="2.28515625" style="2" customWidth="1"/>
    <col min="58" max="58" width="28.5703125" style="2" bestFit="1" customWidth="1"/>
    <col min="59" max="63" width="12.5703125" style="2" customWidth="1"/>
    <col min="64" max="64" width="9.140625" style="2"/>
    <col min="65" max="65" width="28.5703125" style="2" customWidth="1"/>
    <col min="66" max="70" width="12.5703125" style="2" customWidth="1"/>
    <col min="71" max="71" width="9.140625" style="2"/>
    <col min="72" max="72" width="28.5703125" style="2" bestFit="1" customWidth="1"/>
    <col min="73" max="74" width="13" style="2" customWidth="1"/>
    <col min="75" max="75" width="16" style="2" customWidth="1"/>
    <col min="76" max="76" width="14.42578125" style="2" customWidth="1"/>
    <col min="77" max="77" width="14.7109375" style="2" customWidth="1"/>
    <col min="78" max="78" width="9.140625" style="2"/>
    <col min="79" max="79" width="28.85546875" style="2" customWidth="1"/>
    <col min="80" max="80" width="11.28515625" style="2" customWidth="1"/>
    <col min="81" max="81" width="10.28515625" style="2" customWidth="1"/>
    <col min="82" max="82" width="11.28515625" style="2" customWidth="1"/>
    <col min="83" max="83" width="11" style="2" customWidth="1"/>
    <col min="84" max="84" width="13.28515625" style="2" customWidth="1"/>
    <col min="85" max="85" width="9.140625" style="2"/>
    <col min="86" max="86" width="29" style="2" bestFit="1" customWidth="1"/>
    <col min="87" max="88" width="11" style="2" customWidth="1"/>
    <col min="89" max="89" width="10.140625" style="2" customWidth="1"/>
    <col min="90" max="90" width="9.140625" style="2"/>
    <col min="91" max="91" width="11.85546875" style="2" customWidth="1"/>
    <col min="92" max="92" width="9.140625" style="2"/>
    <col min="93" max="93" width="32.5703125" style="2" customWidth="1"/>
    <col min="94" max="97" width="9.140625" style="2"/>
    <col min="98" max="98" width="11.85546875" style="2" customWidth="1"/>
    <col min="99" max="16384" width="9.140625" style="2"/>
  </cols>
  <sheetData>
    <row r="2" spans="2:98" ht="18.75" x14ac:dyDescent="0.3">
      <c r="B2" s="12" t="s">
        <v>63</v>
      </c>
      <c r="D2" s="1"/>
      <c r="E2" s="1"/>
      <c r="F2" s="1"/>
      <c r="K2" s="1"/>
      <c r="L2" s="1"/>
      <c r="M2" s="1"/>
      <c r="R2" s="1"/>
      <c r="S2" s="1"/>
      <c r="T2" s="1"/>
      <c r="W2" s="1"/>
      <c r="Y2" s="1"/>
      <c r="Z2" s="1"/>
      <c r="AA2" s="1"/>
      <c r="AD2" s="1"/>
      <c r="AF2" s="1"/>
      <c r="AG2" s="1"/>
      <c r="AH2" s="1"/>
      <c r="AM2" s="1"/>
      <c r="AN2" s="1"/>
      <c r="AO2" s="1"/>
      <c r="AT2" s="1"/>
      <c r="AU2" s="1"/>
      <c r="AV2" s="1"/>
      <c r="BN2" s="12"/>
      <c r="BU2" s="12"/>
      <c r="CN2" s="12" t="s">
        <v>64</v>
      </c>
    </row>
    <row r="3" spans="2:98" x14ac:dyDescent="0.25">
      <c r="C3" s="18"/>
      <c r="D3" s="18"/>
      <c r="E3" s="18"/>
      <c r="F3" s="18"/>
      <c r="G3" s="18"/>
      <c r="I3" s="18"/>
      <c r="J3" s="18"/>
      <c r="K3" s="18"/>
      <c r="L3" s="18"/>
      <c r="M3" s="18"/>
      <c r="N3" s="18"/>
      <c r="P3" s="18"/>
      <c r="Q3" s="18"/>
      <c r="R3" s="18"/>
      <c r="S3" s="18"/>
      <c r="T3" s="18"/>
      <c r="U3" s="18"/>
      <c r="W3" s="18"/>
      <c r="X3" s="18"/>
      <c r="Y3" s="18"/>
      <c r="Z3" s="18"/>
      <c r="AA3" s="18"/>
      <c r="AB3" s="18"/>
      <c r="AD3" s="18"/>
      <c r="AE3" s="18"/>
      <c r="AF3" s="18"/>
      <c r="AG3" s="18"/>
      <c r="AH3" s="18"/>
      <c r="AI3" s="18"/>
      <c r="AK3" s="18"/>
      <c r="AL3" s="18"/>
      <c r="AM3" s="18"/>
      <c r="AN3" s="18"/>
      <c r="AO3" s="18"/>
      <c r="AP3" s="18"/>
      <c r="AR3" s="18"/>
      <c r="AS3" s="18"/>
      <c r="AT3" s="18"/>
      <c r="AU3" s="18"/>
      <c r="AV3" s="18"/>
      <c r="AW3" s="18"/>
      <c r="AY3" s="18"/>
      <c r="AZ3" s="18"/>
      <c r="BA3" s="18"/>
      <c r="BB3" s="18"/>
      <c r="BC3" s="18"/>
      <c r="BD3" s="18"/>
    </row>
    <row r="4" spans="2:98" x14ac:dyDescent="0.25">
      <c r="B4" s="3" t="s">
        <v>56</v>
      </c>
      <c r="C4" s="19"/>
      <c r="D4" s="19"/>
      <c r="E4" s="19"/>
      <c r="F4" s="19"/>
      <c r="G4" s="19"/>
      <c r="I4" s="19"/>
      <c r="J4" s="19"/>
      <c r="K4" s="19"/>
      <c r="L4" s="19"/>
      <c r="M4" s="19"/>
      <c r="N4" s="19"/>
      <c r="P4" s="20"/>
      <c r="Q4" s="19"/>
      <c r="R4" s="19"/>
      <c r="S4" s="19"/>
      <c r="T4" s="19"/>
      <c r="U4" s="19"/>
      <c r="W4" s="16"/>
      <c r="X4" s="19"/>
      <c r="Y4" s="19"/>
      <c r="Z4" s="19"/>
      <c r="AA4" s="19"/>
      <c r="AB4" s="19"/>
      <c r="AE4" s="19"/>
      <c r="AF4" s="19"/>
      <c r="AG4" s="19"/>
      <c r="AH4" s="19"/>
      <c r="AI4" s="19"/>
      <c r="AL4" s="19"/>
      <c r="AM4" s="19"/>
      <c r="AN4" s="19"/>
      <c r="AO4" s="19"/>
      <c r="AP4" s="19"/>
      <c r="AS4" s="19"/>
      <c r="AT4" s="19"/>
      <c r="AU4" s="19"/>
      <c r="AV4" s="19"/>
      <c r="AW4" s="19"/>
      <c r="AY4" s="20"/>
      <c r="AZ4" s="28"/>
      <c r="BA4" s="28"/>
      <c r="BB4" s="28"/>
      <c r="BC4" s="28"/>
      <c r="BD4" s="28"/>
      <c r="BF4" s="20"/>
      <c r="BN4" s="28"/>
      <c r="BO4" s="28"/>
      <c r="BP4" s="28"/>
      <c r="BQ4" s="28"/>
      <c r="BR4" s="28"/>
      <c r="BU4" s="28"/>
      <c r="BV4" s="28"/>
      <c r="BW4" s="28"/>
      <c r="BX4" s="28"/>
      <c r="BY4" s="28"/>
      <c r="CB4" s="25"/>
      <c r="CC4" s="14"/>
      <c r="CP4" s="25" t="s">
        <v>55</v>
      </c>
    </row>
    <row r="5" spans="2:98" x14ac:dyDescent="0.25">
      <c r="B5" s="30" t="s">
        <v>41</v>
      </c>
      <c r="C5" s="31">
        <v>2012</v>
      </c>
      <c r="D5" s="31"/>
      <c r="E5" s="31"/>
      <c r="F5" s="31"/>
      <c r="G5" s="29">
        <v>2012</v>
      </c>
      <c r="I5" s="30" t="s">
        <v>41</v>
      </c>
      <c r="J5" s="31">
        <v>2013</v>
      </c>
      <c r="K5" s="31"/>
      <c r="L5" s="31"/>
      <c r="M5" s="31"/>
      <c r="N5" s="29">
        <v>2013</v>
      </c>
      <c r="P5" s="30" t="s">
        <v>41</v>
      </c>
      <c r="Q5" s="31">
        <v>2014</v>
      </c>
      <c r="R5" s="31"/>
      <c r="S5" s="31"/>
      <c r="T5" s="31"/>
      <c r="U5" s="29">
        <v>2014</v>
      </c>
      <c r="W5" s="30" t="s">
        <v>41</v>
      </c>
      <c r="X5" s="31">
        <v>2015</v>
      </c>
      <c r="Y5" s="31"/>
      <c r="Z5" s="31"/>
      <c r="AA5" s="31"/>
      <c r="AB5" s="29">
        <v>2015</v>
      </c>
      <c r="AD5" s="30" t="s">
        <v>41</v>
      </c>
      <c r="AE5" s="31">
        <v>2016</v>
      </c>
      <c r="AF5" s="31"/>
      <c r="AG5" s="31"/>
      <c r="AH5" s="31"/>
      <c r="AI5" s="29">
        <v>2016</v>
      </c>
      <c r="AK5" s="30" t="s">
        <v>41</v>
      </c>
      <c r="AL5" s="31">
        <v>2017</v>
      </c>
      <c r="AM5" s="31"/>
      <c r="AN5" s="31"/>
      <c r="AO5" s="31"/>
      <c r="AP5" s="29">
        <v>2017</v>
      </c>
      <c r="AR5" s="30" t="s">
        <v>41</v>
      </c>
      <c r="AS5" s="31">
        <v>2018</v>
      </c>
      <c r="AT5" s="31"/>
      <c r="AU5" s="31"/>
      <c r="AV5" s="31"/>
      <c r="AW5" s="29">
        <v>2018</v>
      </c>
      <c r="AY5" s="30" t="s">
        <v>41</v>
      </c>
      <c r="AZ5" s="31">
        <v>2019</v>
      </c>
      <c r="BA5" s="31"/>
      <c r="BB5" s="31"/>
      <c r="BC5" s="31"/>
      <c r="BD5" s="29">
        <v>2019</v>
      </c>
      <c r="BF5" s="30" t="s">
        <v>41</v>
      </c>
      <c r="BG5" s="31">
        <v>2020</v>
      </c>
      <c r="BH5" s="31"/>
      <c r="BI5" s="31"/>
      <c r="BJ5" s="31"/>
      <c r="BK5" s="29">
        <v>2020</v>
      </c>
      <c r="BM5" s="30" t="s">
        <v>41</v>
      </c>
      <c r="BN5" s="31">
        <v>2021</v>
      </c>
      <c r="BO5" s="31"/>
      <c r="BP5" s="31"/>
      <c r="BQ5" s="31"/>
      <c r="BR5" s="29">
        <v>2021</v>
      </c>
      <c r="BT5" s="30" t="s">
        <v>41</v>
      </c>
      <c r="BU5" s="31">
        <v>2022</v>
      </c>
      <c r="BV5" s="31"/>
      <c r="BW5" s="31"/>
      <c r="BX5" s="31"/>
      <c r="BY5" s="29">
        <v>2022</v>
      </c>
      <c r="CA5" s="30" t="s">
        <v>41</v>
      </c>
      <c r="CB5" s="32">
        <v>2023</v>
      </c>
      <c r="CC5" s="33"/>
      <c r="CD5" s="33"/>
      <c r="CE5" s="34"/>
      <c r="CF5" s="29">
        <v>2023</v>
      </c>
      <c r="CH5" s="30" t="s">
        <v>41</v>
      </c>
      <c r="CI5" s="31">
        <v>2024</v>
      </c>
      <c r="CJ5" s="31"/>
      <c r="CK5" s="31"/>
      <c r="CL5" s="31"/>
      <c r="CM5" s="29">
        <v>2024</v>
      </c>
      <c r="CO5" s="30" t="s">
        <v>41</v>
      </c>
      <c r="CP5" s="31">
        <v>2025</v>
      </c>
      <c r="CQ5" s="31"/>
      <c r="CR5" s="31"/>
      <c r="CS5" s="31"/>
      <c r="CT5" s="29">
        <v>2025</v>
      </c>
    </row>
    <row r="6" spans="2:98" x14ac:dyDescent="0.25">
      <c r="B6" s="30"/>
      <c r="C6" s="4" t="s">
        <v>9</v>
      </c>
      <c r="D6" s="4" t="s">
        <v>10</v>
      </c>
      <c r="E6" s="4" t="s">
        <v>11</v>
      </c>
      <c r="F6" s="4" t="s">
        <v>12</v>
      </c>
      <c r="G6" s="29"/>
      <c r="I6" s="30"/>
      <c r="J6" s="4" t="s">
        <v>9</v>
      </c>
      <c r="K6" s="4" t="s">
        <v>10</v>
      </c>
      <c r="L6" s="4" t="s">
        <v>11</v>
      </c>
      <c r="M6" s="4" t="s">
        <v>12</v>
      </c>
      <c r="N6" s="29"/>
      <c r="P6" s="30"/>
      <c r="Q6" s="4" t="s">
        <v>9</v>
      </c>
      <c r="R6" s="4" t="s">
        <v>10</v>
      </c>
      <c r="S6" s="4" t="s">
        <v>11</v>
      </c>
      <c r="T6" s="4" t="s">
        <v>12</v>
      </c>
      <c r="U6" s="29"/>
      <c r="W6" s="30"/>
      <c r="X6" s="4" t="s">
        <v>9</v>
      </c>
      <c r="Y6" s="4" t="s">
        <v>10</v>
      </c>
      <c r="Z6" s="4" t="s">
        <v>11</v>
      </c>
      <c r="AA6" s="4" t="s">
        <v>12</v>
      </c>
      <c r="AB6" s="29"/>
      <c r="AD6" s="30"/>
      <c r="AE6" s="4" t="s">
        <v>9</v>
      </c>
      <c r="AF6" s="4" t="s">
        <v>10</v>
      </c>
      <c r="AG6" s="4" t="s">
        <v>11</v>
      </c>
      <c r="AH6" s="4" t="s">
        <v>12</v>
      </c>
      <c r="AI6" s="29"/>
      <c r="AK6" s="30"/>
      <c r="AL6" s="4" t="s">
        <v>9</v>
      </c>
      <c r="AM6" s="4" t="s">
        <v>10</v>
      </c>
      <c r="AN6" s="4" t="s">
        <v>11</v>
      </c>
      <c r="AO6" s="4" t="s">
        <v>12</v>
      </c>
      <c r="AP6" s="29"/>
      <c r="AR6" s="30"/>
      <c r="AS6" s="4" t="s">
        <v>9</v>
      </c>
      <c r="AT6" s="4" t="s">
        <v>10</v>
      </c>
      <c r="AU6" s="4" t="s">
        <v>11</v>
      </c>
      <c r="AV6" s="4" t="s">
        <v>12</v>
      </c>
      <c r="AW6" s="29"/>
      <c r="AY6" s="30"/>
      <c r="AZ6" s="4" t="s">
        <v>9</v>
      </c>
      <c r="BA6" s="4" t="s">
        <v>10</v>
      </c>
      <c r="BB6" s="4" t="s">
        <v>11</v>
      </c>
      <c r="BC6" s="4" t="s">
        <v>12</v>
      </c>
      <c r="BD6" s="29"/>
      <c r="BF6" s="30"/>
      <c r="BG6" s="4" t="s">
        <v>9</v>
      </c>
      <c r="BH6" s="4" t="s">
        <v>10</v>
      </c>
      <c r="BI6" s="4" t="s">
        <v>11</v>
      </c>
      <c r="BJ6" s="4" t="s">
        <v>12</v>
      </c>
      <c r="BK6" s="29"/>
      <c r="BM6" s="30"/>
      <c r="BN6" s="4" t="s">
        <v>9</v>
      </c>
      <c r="BO6" s="4" t="s">
        <v>10</v>
      </c>
      <c r="BP6" s="4" t="s">
        <v>11</v>
      </c>
      <c r="BQ6" s="4" t="s">
        <v>12</v>
      </c>
      <c r="BR6" s="29"/>
      <c r="BT6" s="30"/>
      <c r="BU6" s="4" t="s">
        <v>9</v>
      </c>
      <c r="BV6" s="4" t="s">
        <v>10</v>
      </c>
      <c r="BW6" s="4" t="s">
        <v>11</v>
      </c>
      <c r="BX6" s="4" t="s">
        <v>12</v>
      </c>
      <c r="BY6" s="29"/>
      <c r="CA6" s="30"/>
      <c r="CB6" s="26" t="s">
        <v>9</v>
      </c>
      <c r="CC6" s="26" t="s">
        <v>10</v>
      </c>
      <c r="CD6" s="26" t="s">
        <v>11</v>
      </c>
      <c r="CE6" s="4" t="s">
        <v>12</v>
      </c>
      <c r="CF6" s="29"/>
      <c r="CH6" s="30"/>
      <c r="CI6" s="4" t="s">
        <v>9</v>
      </c>
      <c r="CJ6" s="4" t="s">
        <v>10</v>
      </c>
      <c r="CK6" s="4" t="s">
        <v>11</v>
      </c>
      <c r="CL6" s="4" t="s">
        <v>12</v>
      </c>
      <c r="CM6" s="29"/>
      <c r="CO6" s="30"/>
      <c r="CP6" s="4" t="s">
        <v>9</v>
      </c>
      <c r="CQ6" s="4" t="s">
        <v>10</v>
      </c>
      <c r="CR6" s="4" t="s">
        <v>11</v>
      </c>
      <c r="CS6" s="4" t="s">
        <v>12</v>
      </c>
      <c r="CT6" s="29"/>
    </row>
    <row r="7" spans="2:98" x14ac:dyDescent="0.25">
      <c r="B7" s="5" t="s">
        <v>1</v>
      </c>
      <c r="C7" s="6">
        <v>891.78410670999972</v>
      </c>
      <c r="D7" s="6">
        <v>866.39686646999974</v>
      </c>
      <c r="E7" s="6">
        <v>1012.1386406999998</v>
      </c>
      <c r="F7" s="6">
        <v>1108.0822901799995</v>
      </c>
      <c r="G7" s="7">
        <v>3878.4019040599983</v>
      </c>
      <c r="I7" s="5" t="s">
        <v>1</v>
      </c>
      <c r="J7" s="6">
        <v>1012.5220090800001</v>
      </c>
      <c r="K7" s="6">
        <v>990.46191115999989</v>
      </c>
      <c r="L7" s="6">
        <v>1090.3053983799996</v>
      </c>
      <c r="M7" s="6">
        <v>1239.2540594800005</v>
      </c>
      <c r="N7" s="7">
        <v>4332.5433781000002</v>
      </c>
      <c r="P7" s="5" t="s">
        <v>1</v>
      </c>
      <c r="Q7" s="6">
        <v>1077.4418802199984</v>
      </c>
      <c r="R7" s="6">
        <v>959.49871900999995</v>
      </c>
      <c r="S7" s="6">
        <v>1125.3285874199989</v>
      </c>
      <c r="T7" s="6">
        <v>1212.5264474400039</v>
      </c>
      <c r="U7" s="7">
        <v>4374.7956340900009</v>
      </c>
      <c r="W7" s="5" t="s">
        <v>6</v>
      </c>
      <c r="X7" s="6">
        <v>1099.3794007699985</v>
      </c>
      <c r="Y7" s="6">
        <v>599.55699460000085</v>
      </c>
      <c r="Z7" s="6">
        <v>614.33701177000023</v>
      </c>
      <c r="AA7" s="6">
        <v>548.71169257000133</v>
      </c>
      <c r="AB7" s="7">
        <v>2861.9850997100011</v>
      </c>
      <c r="AD7" s="5" t="s">
        <v>1</v>
      </c>
      <c r="AE7" s="6">
        <v>410.95530073000134</v>
      </c>
      <c r="AF7" s="6">
        <v>346.87174034999981</v>
      </c>
      <c r="AG7" s="6">
        <v>419.61387071999945</v>
      </c>
      <c r="AH7" s="6">
        <v>610.53515709999886</v>
      </c>
      <c r="AI7" s="7">
        <v>1787.9760688999993</v>
      </c>
      <c r="AK7" s="5" t="s">
        <v>1</v>
      </c>
      <c r="AL7" s="6">
        <v>589.0371269600015</v>
      </c>
      <c r="AM7" s="6">
        <v>571.62293679999857</v>
      </c>
      <c r="AN7" s="6">
        <v>560.03386845000284</v>
      </c>
      <c r="AO7" s="6">
        <v>642.50972281000111</v>
      </c>
      <c r="AP7" s="7">
        <v>2363.2036550200041</v>
      </c>
      <c r="AR7" s="5" t="s">
        <v>17</v>
      </c>
      <c r="AS7" s="6">
        <v>519.80728730000101</v>
      </c>
      <c r="AT7" s="6">
        <v>380.9656787200006</v>
      </c>
      <c r="AU7" s="6">
        <v>679.42227813999716</v>
      </c>
      <c r="AV7" s="6">
        <v>599.62830363999944</v>
      </c>
      <c r="AW7" s="7">
        <v>2179.8235477999983</v>
      </c>
      <c r="AY7" s="15" t="s">
        <v>17</v>
      </c>
      <c r="AZ7" s="6">
        <v>594.67384123999932</v>
      </c>
      <c r="BA7" s="6">
        <v>367.03812484999941</v>
      </c>
      <c r="BB7" s="6">
        <v>473.0751247799999</v>
      </c>
      <c r="BC7" s="6">
        <v>549.07955725000033</v>
      </c>
      <c r="BD7" s="7">
        <v>1983.8666481199989</v>
      </c>
      <c r="BE7" s="8"/>
      <c r="BF7" s="15" t="s">
        <v>17</v>
      </c>
      <c r="BG7" s="6">
        <v>359.98152180000176</v>
      </c>
      <c r="BH7" s="6">
        <v>263.96711278000032</v>
      </c>
      <c r="BI7" s="6">
        <v>329.51233380999952</v>
      </c>
      <c r="BJ7" s="6">
        <v>497.73093979999948</v>
      </c>
      <c r="BK7" s="7">
        <v>1451.1919081900012</v>
      </c>
      <c r="BL7" s="8"/>
      <c r="BM7" s="15" t="s">
        <v>17</v>
      </c>
      <c r="BN7" s="6">
        <v>358.18633855999968</v>
      </c>
      <c r="BO7" s="6">
        <v>426.13244018999956</v>
      </c>
      <c r="BP7" s="6">
        <v>464.18920742999916</v>
      </c>
      <c r="BQ7" s="6">
        <v>480.74355639999897</v>
      </c>
      <c r="BR7" s="7">
        <v>1729.2515425799972</v>
      </c>
      <c r="BT7" s="15" t="s">
        <v>17</v>
      </c>
      <c r="BU7" s="6">
        <v>494.3350889700032</v>
      </c>
      <c r="BV7" s="6">
        <v>646.8432355800004</v>
      </c>
      <c r="BW7" s="6">
        <v>745.96541082999829</v>
      </c>
      <c r="BX7" s="6">
        <v>799.0698204200005</v>
      </c>
      <c r="BY7" s="7">
        <v>2686.2135558000027</v>
      </c>
      <c r="BZ7" s="8"/>
      <c r="CA7" s="6" t="s">
        <v>17</v>
      </c>
      <c r="CB7" s="6">
        <v>688.81781517000354</v>
      </c>
      <c r="CC7" s="6">
        <v>635.89224849999903</v>
      </c>
      <c r="CD7" s="6">
        <v>483.5264311799998</v>
      </c>
      <c r="CE7" s="6">
        <v>511.76307063999889</v>
      </c>
      <c r="CF7" s="7">
        <v>2319.9995654900013</v>
      </c>
      <c r="CH7" s="15" t="s">
        <v>17</v>
      </c>
      <c r="CI7" s="15">
        <v>455.11700814999938</v>
      </c>
      <c r="CJ7" s="15">
        <v>424.18524950000375</v>
      </c>
      <c r="CK7" s="15">
        <v>509.79680502000053</v>
      </c>
      <c r="CL7" s="15">
        <v>667.30537528000036</v>
      </c>
      <c r="CM7" s="7">
        <v>2056.4044379500037</v>
      </c>
      <c r="CO7" s="15" t="s">
        <v>17</v>
      </c>
      <c r="CP7" s="15">
        <v>611.39505056000041</v>
      </c>
      <c r="CQ7" s="15">
        <v>718.61880511999948</v>
      </c>
      <c r="CR7" s="15">
        <v>825.33891374999405</v>
      </c>
      <c r="CS7" s="15">
        <v>923.92376941999805</v>
      </c>
      <c r="CT7" s="7">
        <v>3079.276538849992</v>
      </c>
    </row>
    <row r="8" spans="2:98" x14ac:dyDescent="0.25">
      <c r="B8" s="5" t="s">
        <v>2</v>
      </c>
      <c r="C8" s="6">
        <v>1580.37110241</v>
      </c>
      <c r="D8" s="6">
        <v>257.18915661</v>
      </c>
      <c r="E8" s="6">
        <v>474.20196134999998</v>
      </c>
      <c r="F8" s="6">
        <v>354.58904296000003</v>
      </c>
      <c r="G8" s="7">
        <v>2666.3512633299997</v>
      </c>
      <c r="I8" s="5" t="s">
        <v>2</v>
      </c>
      <c r="J8" s="6">
        <v>676.44626948000007</v>
      </c>
      <c r="K8" s="6">
        <v>512.70130630000006</v>
      </c>
      <c r="L8" s="6">
        <v>1010.7471801099999</v>
      </c>
      <c r="M8" s="6">
        <v>1335.8961132300001</v>
      </c>
      <c r="N8" s="7">
        <v>3535.7908691200005</v>
      </c>
      <c r="P8" s="5" t="s">
        <v>2</v>
      </c>
      <c r="Q8" s="6">
        <v>994.78678467000032</v>
      </c>
      <c r="R8" s="6">
        <v>1206.4813414299992</v>
      </c>
      <c r="S8" s="6">
        <v>1269.9265307399996</v>
      </c>
      <c r="T8" s="6">
        <v>631.76557786999911</v>
      </c>
      <c r="U8" s="7">
        <v>4102.960234709999</v>
      </c>
      <c r="W8" s="5" t="s">
        <v>1</v>
      </c>
      <c r="X8" s="6">
        <v>721.79194921999976</v>
      </c>
      <c r="Y8" s="6">
        <v>692.19606554999871</v>
      </c>
      <c r="Z8" s="6">
        <v>623.47663710000199</v>
      </c>
      <c r="AA8" s="6">
        <v>589.65993979000132</v>
      </c>
      <c r="AB8" s="7">
        <v>2627.1245916600019</v>
      </c>
      <c r="AD8" s="5" t="s">
        <v>6</v>
      </c>
      <c r="AE8" s="6">
        <v>419.6412355900008</v>
      </c>
      <c r="AF8" s="6">
        <v>288.65801264000038</v>
      </c>
      <c r="AG8" s="6">
        <v>356.99209632000031</v>
      </c>
      <c r="AH8" s="6">
        <v>397.24050921000037</v>
      </c>
      <c r="AI8" s="7">
        <v>1462.5318537600019</v>
      </c>
      <c r="AK8" s="5" t="s">
        <v>6</v>
      </c>
      <c r="AL8" s="6">
        <v>329.19730523000015</v>
      </c>
      <c r="AM8" s="6">
        <v>484.3781338800012</v>
      </c>
      <c r="AN8" s="6">
        <v>558.90746807999824</v>
      </c>
      <c r="AO8" s="6">
        <v>518.85784457000034</v>
      </c>
      <c r="AP8" s="7">
        <v>1891.3407517600001</v>
      </c>
      <c r="AR8" s="5" t="s">
        <v>1</v>
      </c>
      <c r="AS8" s="6">
        <v>452.0786363299992</v>
      </c>
      <c r="AT8" s="6">
        <v>533.03364163999902</v>
      </c>
      <c r="AU8" s="6">
        <v>534.60501694000027</v>
      </c>
      <c r="AV8" s="6">
        <v>586.41509798999971</v>
      </c>
      <c r="AW8" s="7">
        <v>2106.1323928999982</v>
      </c>
      <c r="AY8" s="15" t="s">
        <v>23</v>
      </c>
      <c r="AZ8" s="6">
        <v>1682.0277810399994</v>
      </c>
      <c r="BA8" s="6">
        <v>101.62295075000003</v>
      </c>
      <c r="BB8" s="6">
        <v>77.936107679999992</v>
      </c>
      <c r="BC8" s="6">
        <v>87.493457110000008</v>
      </c>
      <c r="BD8" s="7">
        <v>1949.0802965799985</v>
      </c>
      <c r="BE8" s="8"/>
      <c r="BF8" s="15" t="s">
        <v>1</v>
      </c>
      <c r="BG8" s="6">
        <v>337.18421282000202</v>
      </c>
      <c r="BH8" s="6">
        <v>332.23510234999844</v>
      </c>
      <c r="BI8" s="6">
        <v>324.77595739999765</v>
      </c>
      <c r="BJ8" s="6">
        <v>319.31732378999772</v>
      </c>
      <c r="BK8" s="7">
        <v>1313.5125963599958</v>
      </c>
      <c r="BL8" s="8"/>
      <c r="BM8" s="15" t="s">
        <v>1</v>
      </c>
      <c r="BN8" s="6">
        <v>261.40429648000088</v>
      </c>
      <c r="BO8" s="6">
        <v>365.21916694000527</v>
      </c>
      <c r="BP8" s="6">
        <v>409.95040452000171</v>
      </c>
      <c r="BQ8" s="6">
        <v>401.40562204999821</v>
      </c>
      <c r="BR8" s="7">
        <v>1437.979489990006</v>
      </c>
      <c r="BT8" s="15" t="s">
        <v>54</v>
      </c>
      <c r="BU8" s="6">
        <v>29.017052939999992</v>
      </c>
      <c r="BV8" s="6">
        <v>462.49324543999978</v>
      </c>
      <c r="BW8" s="6">
        <v>583.74264638000045</v>
      </c>
      <c r="BX8" s="6">
        <v>583.38074985999901</v>
      </c>
      <c r="BY8" s="7">
        <v>1658.6336946199992</v>
      </c>
      <c r="BZ8" s="8"/>
      <c r="CA8" s="6" t="s">
        <v>1</v>
      </c>
      <c r="CB8" s="6">
        <v>444.51611790999459</v>
      </c>
      <c r="CC8" s="6">
        <v>479.61604933999547</v>
      </c>
      <c r="CD8" s="6">
        <v>372.27339252999809</v>
      </c>
      <c r="CE8" s="6">
        <v>345.86846102999851</v>
      </c>
      <c r="CF8" s="7">
        <v>1642.2740208099867</v>
      </c>
      <c r="CH8" s="15" t="s">
        <v>15</v>
      </c>
      <c r="CI8" s="15">
        <v>210.68345215999989</v>
      </c>
      <c r="CJ8" s="15">
        <v>183.95830321000014</v>
      </c>
      <c r="CK8" s="15">
        <v>371.55851102999986</v>
      </c>
      <c r="CL8" s="15">
        <v>368.36279147000084</v>
      </c>
      <c r="CM8" s="7">
        <v>1134.5630578700006</v>
      </c>
      <c r="CO8" s="15" t="s">
        <v>1</v>
      </c>
      <c r="CP8" s="15">
        <v>392.51218872999777</v>
      </c>
      <c r="CQ8" s="15">
        <v>349.54718645000059</v>
      </c>
      <c r="CR8" s="15">
        <v>356.59547965999923</v>
      </c>
      <c r="CS8" s="15">
        <v>433.54254570999547</v>
      </c>
      <c r="CT8" s="7">
        <v>1532.1974005499931</v>
      </c>
    </row>
    <row r="9" spans="2:98" x14ac:dyDescent="0.25">
      <c r="B9" s="5" t="s">
        <v>6</v>
      </c>
      <c r="C9" s="6">
        <v>487.62539178000009</v>
      </c>
      <c r="D9" s="6">
        <v>506.34211030000006</v>
      </c>
      <c r="E9" s="6">
        <v>541.7243311899997</v>
      </c>
      <c r="F9" s="6">
        <v>653.25995035000005</v>
      </c>
      <c r="G9" s="7">
        <v>2188.9517836199998</v>
      </c>
      <c r="I9" s="5" t="s">
        <v>6</v>
      </c>
      <c r="J9" s="6">
        <v>685.57022970000014</v>
      </c>
      <c r="K9" s="6">
        <v>618.80595678000009</v>
      </c>
      <c r="L9" s="6">
        <v>637.93088717000023</v>
      </c>
      <c r="M9" s="6">
        <v>723.86434070000007</v>
      </c>
      <c r="N9" s="7">
        <v>2666.1714143500003</v>
      </c>
      <c r="P9" s="5" t="s">
        <v>6</v>
      </c>
      <c r="Q9" s="6">
        <v>769.77642879999883</v>
      </c>
      <c r="R9" s="6">
        <v>761.11016797000548</v>
      </c>
      <c r="S9" s="6">
        <v>889.26134505000391</v>
      </c>
      <c r="T9" s="6">
        <v>1054.9966682000027</v>
      </c>
      <c r="U9" s="7">
        <v>3475.1446100200105</v>
      </c>
      <c r="W9" s="5" t="s">
        <v>2</v>
      </c>
      <c r="X9" s="6">
        <v>642.92327563999982</v>
      </c>
      <c r="Y9" s="6">
        <v>608.17377277000003</v>
      </c>
      <c r="Z9" s="6">
        <v>438.68029688000013</v>
      </c>
      <c r="AA9" s="6">
        <v>189.21246670000005</v>
      </c>
      <c r="AB9" s="7">
        <v>1878.9898119899999</v>
      </c>
      <c r="AD9" s="5" t="s">
        <v>24</v>
      </c>
      <c r="AE9" s="6">
        <v>486.53939526000033</v>
      </c>
      <c r="AF9" s="6">
        <v>357.18259173000001</v>
      </c>
      <c r="AG9" s="6">
        <v>333.37384197</v>
      </c>
      <c r="AH9" s="6">
        <v>255.28316165000027</v>
      </c>
      <c r="AI9" s="7">
        <v>1432.3789906100005</v>
      </c>
      <c r="AK9" s="5" t="s">
        <v>24</v>
      </c>
      <c r="AL9" s="6">
        <v>137.62012476000012</v>
      </c>
      <c r="AM9" s="6">
        <v>292.67425821</v>
      </c>
      <c r="AN9" s="6">
        <v>302.86142036000035</v>
      </c>
      <c r="AO9" s="6">
        <v>204.63447421999984</v>
      </c>
      <c r="AP9" s="7">
        <v>937.79027755000027</v>
      </c>
      <c r="AR9" s="5" t="s">
        <v>2</v>
      </c>
      <c r="AS9" s="6">
        <v>111.23843857999999</v>
      </c>
      <c r="AT9" s="6">
        <v>1657.46176094</v>
      </c>
      <c r="AU9" s="6">
        <v>13.496244090000003</v>
      </c>
      <c r="AV9" s="6">
        <v>17.344062100000002</v>
      </c>
      <c r="AW9" s="7">
        <v>1799.5405057099999</v>
      </c>
      <c r="AY9" s="15" t="s">
        <v>1</v>
      </c>
      <c r="AZ9" s="6">
        <v>459.46172872999955</v>
      </c>
      <c r="BA9" s="6">
        <v>438.16818673000131</v>
      </c>
      <c r="BB9" s="6">
        <v>446.13036334999958</v>
      </c>
      <c r="BC9" s="6">
        <v>471.68013001000082</v>
      </c>
      <c r="BD9" s="7">
        <v>1815.4404088200015</v>
      </c>
      <c r="BE9" s="8"/>
      <c r="BF9" s="15" t="s">
        <v>24</v>
      </c>
      <c r="BG9" s="6">
        <v>146.07419293999988</v>
      </c>
      <c r="BH9" s="6">
        <v>109.75016672999975</v>
      </c>
      <c r="BI9" s="6">
        <v>127.07970535999995</v>
      </c>
      <c r="BJ9" s="6">
        <v>196.75822195000043</v>
      </c>
      <c r="BK9" s="7">
        <v>579.66228697999998</v>
      </c>
      <c r="BL9" s="8"/>
      <c r="BM9" s="5" t="s">
        <v>20</v>
      </c>
      <c r="BN9" s="6">
        <v>101.66718912</v>
      </c>
      <c r="BO9" s="6">
        <v>280.94236948999986</v>
      </c>
      <c r="BP9" s="6">
        <v>180.4853710200002</v>
      </c>
      <c r="BQ9" s="6">
        <v>177.86943241000026</v>
      </c>
      <c r="BR9" s="7">
        <v>740.96436204000042</v>
      </c>
      <c r="BT9" s="15" t="s">
        <v>1</v>
      </c>
      <c r="BU9" s="6">
        <v>443.73665640000587</v>
      </c>
      <c r="BV9" s="6">
        <v>522.85838743000204</v>
      </c>
      <c r="BW9" s="6">
        <v>430.00854562999956</v>
      </c>
      <c r="BX9" s="6">
        <v>494.79528781999932</v>
      </c>
      <c r="BY9" s="7">
        <v>1891.3988772800067</v>
      </c>
      <c r="BZ9" s="8"/>
      <c r="CA9" s="6" t="s">
        <v>20</v>
      </c>
      <c r="CB9" s="6">
        <v>284.97968987999974</v>
      </c>
      <c r="CC9" s="6">
        <v>329.91164826999869</v>
      </c>
      <c r="CD9" s="6">
        <v>159.99229422999966</v>
      </c>
      <c r="CE9" s="6">
        <v>310.33120506000057</v>
      </c>
      <c r="CF9" s="7">
        <v>1085.2148374399985</v>
      </c>
      <c r="CH9" s="15" t="s">
        <v>1</v>
      </c>
      <c r="CI9" s="15">
        <v>304.98680763999744</v>
      </c>
      <c r="CJ9" s="15">
        <v>322.20298918999754</v>
      </c>
      <c r="CK9" s="15">
        <v>375.02648550000123</v>
      </c>
      <c r="CL9" s="15">
        <v>332.90281624000249</v>
      </c>
      <c r="CM9" s="7">
        <v>1335.1190985699986</v>
      </c>
      <c r="CO9" s="15" t="s">
        <v>20</v>
      </c>
      <c r="CP9" s="15">
        <v>244.51665341000103</v>
      </c>
      <c r="CQ9" s="15">
        <v>145.00990094999977</v>
      </c>
      <c r="CR9" s="15">
        <v>261.89499762000003</v>
      </c>
      <c r="CS9" s="15">
        <v>288.99763564999995</v>
      </c>
      <c r="CT9" s="7">
        <v>940.41918763000081</v>
      </c>
    </row>
    <row r="10" spans="2:98" x14ac:dyDescent="0.25">
      <c r="B10" s="5" t="s">
        <v>0</v>
      </c>
      <c r="C10" s="6">
        <v>530.66654004999998</v>
      </c>
      <c r="D10" s="6">
        <v>938.52971581999998</v>
      </c>
      <c r="E10" s="6">
        <v>210.96549700000003</v>
      </c>
      <c r="F10" s="6">
        <v>109.96290551999998</v>
      </c>
      <c r="G10" s="7">
        <v>1790.1246583899999</v>
      </c>
      <c r="I10" s="5" t="s">
        <v>22</v>
      </c>
      <c r="J10" s="6">
        <v>86.042379690000004</v>
      </c>
      <c r="K10" s="6">
        <v>133.21080923</v>
      </c>
      <c r="L10" s="6">
        <v>70.057913530000008</v>
      </c>
      <c r="M10" s="6">
        <v>1446.3961201100001</v>
      </c>
      <c r="N10" s="7">
        <v>1735.7072225600002</v>
      </c>
      <c r="P10" s="5" t="s">
        <v>24</v>
      </c>
      <c r="Q10" s="6">
        <v>373.17569774000037</v>
      </c>
      <c r="R10" s="6">
        <v>627.37858026999993</v>
      </c>
      <c r="S10" s="6">
        <v>519.9907757699998</v>
      </c>
      <c r="T10" s="6">
        <v>421.7205129699995</v>
      </c>
      <c r="U10" s="7">
        <v>1942.2655667499994</v>
      </c>
      <c r="W10" s="5" t="s">
        <v>22</v>
      </c>
      <c r="X10" s="6">
        <v>1277.7588994499999</v>
      </c>
      <c r="Y10" s="6">
        <v>136.45720478000001</v>
      </c>
      <c r="Z10" s="6">
        <v>41.682595130000003</v>
      </c>
      <c r="AA10" s="6">
        <v>69.666330839999986</v>
      </c>
      <c r="AB10" s="7">
        <v>1525.5650302000001</v>
      </c>
      <c r="AD10" s="5" t="s">
        <v>21</v>
      </c>
      <c r="AE10" s="6">
        <v>217.95465902999993</v>
      </c>
      <c r="AF10" s="6">
        <v>236.77515465000005</v>
      </c>
      <c r="AG10" s="6">
        <v>213.66430870999983</v>
      </c>
      <c r="AH10" s="6">
        <v>260.03733601000016</v>
      </c>
      <c r="AI10" s="7">
        <v>928.4314584</v>
      </c>
      <c r="AK10" s="5" t="s">
        <v>14</v>
      </c>
      <c r="AL10" s="6">
        <v>205.62898169999974</v>
      </c>
      <c r="AM10" s="6">
        <v>218.59560157999971</v>
      </c>
      <c r="AN10" s="6">
        <v>195.40942610000008</v>
      </c>
      <c r="AO10" s="6">
        <v>272.90335752061992</v>
      </c>
      <c r="AP10" s="7">
        <v>892.53736690061953</v>
      </c>
      <c r="AR10" s="5" t="s">
        <v>14</v>
      </c>
      <c r="AS10" s="6">
        <v>128.46029292999992</v>
      </c>
      <c r="AT10" s="6">
        <v>222.92058757000041</v>
      </c>
      <c r="AU10" s="6">
        <v>274.02513531999983</v>
      </c>
      <c r="AV10" s="6">
        <v>386.3048750499994</v>
      </c>
      <c r="AW10" s="7">
        <v>1011.7108908699997</v>
      </c>
      <c r="AY10" s="15" t="s">
        <v>14</v>
      </c>
      <c r="AZ10" s="6">
        <v>161.01669944000002</v>
      </c>
      <c r="BA10" s="6">
        <v>219.39078935999999</v>
      </c>
      <c r="BB10" s="6">
        <v>210.93990474000006</v>
      </c>
      <c r="BC10" s="6">
        <v>286.71044222</v>
      </c>
      <c r="BD10" s="7">
        <v>878.0578357600001</v>
      </c>
      <c r="BE10" s="8"/>
      <c r="BF10" s="15" t="s">
        <v>19</v>
      </c>
      <c r="BG10" s="6">
        <v>115.29410352999979</v>
      </c>
      <c r="BH10" s="6">
        <v>147.1923790499998</v>
      </c>
      <c r="BI10" s="6">
        <v>162.7199863400003</v>
      </c>
      <c r="BJ10" s="6">
        <v>124.77285593999987</v>
      </c>
      <c r="BK10" s="7">
        <v>549.97932485999979</v>
      </c>
      <c r="BL10" s="8"/>
      <c r="BM10" s="15" t="s">
        <v>18</v>
      </c>
      <c r="BN10" s="6">
        <v>235.61511781999999</v>
      </c>
      <c r="BO10" s="6">
        <v>169.69009838999997</v>
      </c>
      <c r="BP10" s="6">
        <v>137.14550585000001</v>
      </c>
      <c r="BQ10" s="6">
        <v>147.30419123000001</v>
      </c>
      <c r="BR10" s="7">
        <v>689.75491328999999</v>
      </c>
      <c r="BT10" s="5" t="s">
        <v>20</v>
      </c>
      <c r="BU10" s="6">
        <v>166.33143292999964</v>
      </c>
      <c r="BV10" s="6">
        <v>363.17299697999937</v>
      </c>
      <c r="BW10" s="6">
        <v>280.42079848999975</v>
      </c>
      <c r="BX10" s="6">
        <v>240.95303581999957</v>
      </c>
      <c r="BY10" s="7">
        <v>1050.8782642199983</v>
      </c>
      <c r="BZ10" s="8"/>
      <c r="CA10" s="6" t="s">
        <v>35</v>
      </c>
      <c r="CB10" s="6">
        <v>173.5227573200001</v>
      </c>
      <c r="CC10" s="6">
        <v>313.69977209000058</v>
      </c>
      <c r="CD10" s="6">
        <v>284.10302791000004</v>
      </c>
      <c r="CE10" s="6">
        <v>278.25561925000028</v>
      </c>
      <c r="CF10" s="7">
        <v>1049.5811765700009</v>
      </c>
      <c r="CH10" s="15" t="s">
        <v>20</v>
      </c>
      <c r="CI10" s="15">
        <v>114.68059884999998</v>
      </c>
      <c r="CJ10" s="15">
        <v>325.71860836000008</v>
      </c>
      <c r="CK10" s="15">
        <v>114.56750085000026</v>
      </c>
      <c r="CL10" s="15">
        <v>332.17821687000105</v>
      </c>
      <c r="CM10" s="7">
        <v>887.14492493000137</v>
      </c>
      <c r="CO10" s="15" t="s">
        <v>24</v>
      </c>
      <c r="CP10" s="15">
        <v>193.22451655999973</v>
      </c>
      <c r="CQ10" s="15">
        <v>210.10761268999985</v>
      </c>
      <c r="CR10" s="15">
        <v>190.92720593999982</v>
      </c>
      <c r="CS10" s="15">
        <v>263.54113803999957</v>
      </c>
      <c r="CT10" s="7">
        <v>857.80047322999894</v>
      </c>
    </row>
    <row r="11" spans="2:98" x14ac:dyDescent="0.25">
      <c r="B11" s="5" t="s">
        <v>21</v>
      </c>
      <c r="C11" s="6">
        <v>399.60505419999998</v>
      </c>
      <c r="D11" s="6">
        <v>428.16476128999994</v>
      </c>
      <c r="E11" s="6">
        <v>405.31044538999998</v>
      </c>
      <c r="F11" s="6">
        <v>348.19349697000001</v>
      </c>
      <c r="G11" s="7">
        <v>1581.2737578499998</v>
      </c>
      <c r="I11" s="5" t="s">
        <v>21</v>
      </c>
      <c r="J11" s="6">
        <v>332.76027542999992</v>
      </c>
      <c r="K11" s="6">
        <v>354.39069604999997</v>
      </c>
      <c r="L11" s="6">
        <v>342.62189401000006</v>
      </c>
      <c r="M11" s="6">
        <v>408.32081891999991</v>
      </c>
      <c r="N11" s="7">
        <v>1438.0936844099999</v>
      </c>
      <c r="P11" s="5" t="s">
        <v>21</v>
      </c>
      <c r="Q11" s="6">
        <v>418.48811443</v>
      </c>
      <c r="R11" s="6">
        <v>474.61092770000005</v>
      </c>
      <c r="S11" s="6">
        <v>398.02203154999972</v>
      </c>
      <c r="T11" s="6">
        <v>432.36648918999992</v>
      </c>
      <c r="U11" s="7">
        <v>1723.4875628699999</v>
      </c>
      <c r="W11" s="5" t="s">
        <v>21</v>
      </c>
      <c r="X11" s="6">
        <v>343.55403372000001</v>
      </c>
      <c r="Y11" s="6">
        <v>371.7043713399998</v>
      </c>
      <c r="Z11" s="6">
        <v>354.43244771999991</v>
      </c>
      <c r="AA11" s="6">
        <v>248.88425600000011</v>
      </c>
      <c r="AB11" s="7">
        <v>1318.5751087799997</v>
      </c>
      <c r="AD11" s="5" t="s">
        <v>7</v>
      </c>
      <c r="AE11" s="6">
        <v>136.0884362299999</v>
      </c>
      <c r="AF11" s="6">
        <v>117.46755186999991</v>
      </c>
      <c r="AG11" s="6">
        <v>137.59831578999999</v>
      </c>
      <c r="AH11" s="6">
        <v>225.64413119000017</v>
      </c>
      <c r="AI11" s="7">
        <v>616.79843507999999</v>
      </c>
      <c r="AK11" s="5" t="s">
        <v>7</v>
      </c>
      <c r="AL11" s="6">
        <v>178.06066250999993</v>
      </c>
      <c r="AM11" s="6">
        <v>179.35746118</v>
      </c>
      <c r="AN11" s="6">
        <v>253.31227529999987</v>
      </c>
      <c r="AO11" s="6">
        <v>192.10094669000011</v>
      </c>
      <c r="AP11" s="7">
        <v>802.83134567999991</v>
      </c>
      <c r="AR11" s="5" t="s">
        <v>18</v>
      </c>
      <c r="AS11" s="6">
        <v>109.73926265</v>
      </c>
      <c r="AT11" s="6">
        <v>315.01548680000002</v>
      </c>
      <c r="AU11" s="6">
        <v>333.33292685999999</v>
      </c>
      <c r="AV11" s="6">
        <v>205.09485225</v>
      </c>
      <c r="AW11" s="7">
        <v>963.18252855999992</v>
      </c>
      <c r="AY11" s="15" t="s">
        <v>22</v>
      </c>
      <c r="AZ11" s="6">
        <v>109.60870465000001</v>
      </c>
      <c r="BA11" s="6">
        <v>120.61759272999998</v>
      </c>
      <c r="BB11" s="6">
        <v>363.41409752999999</v>
      </c>
      <c r="BC11" s="6">
        <v>153.12773387000004</v>
      </c>
      <c r="BD11" s="7">
        <v>746.76812877999998</v>
      </c>
      <c r="BE11" s="8"/>
      <c r="BF11" s="15" t="s">
        <v>15</v>
      </c>
      <c r="BG11" s="6">
        <v>127.17734875000026</v>
      </c>
      <c r="BH11" s="6">
        <v>97.912564579999923</v>
      </c>
      <c r="BI11" s="6">
        <v>104.23831038999988</v>
      </c>
      <c r="BJ11" s="6">
        <v>137.08610278000018</v>
      </c>
      <c r="BK11" s="7">
        <v>466.41432650000024</v>
      </c>
      <c r="BL11" s="8"/>
      <c r="BM11" s="15" t="s">
        <v>19</v>
      </c>
      <c r="BN11" s="6">
        <v>129.79614864000047</v>
      </c>
      <c r="BO11" s="6">
        <v>147.51794471999966</v>
      </c>
      <c r="BP11" s="6">
        <v>155.32768095000023</v>
      </c>
      <c r="BQ11" s="6">
        <v>148.22001579999974</v>
      </c>
      <c r="BR11" s="7">
        <v>580.86179011000013</v>
      </c>
      <c r="BT11" s="15" t="s">
        <v>48</v>
      </c>
      <c r="BU11" s="6">
        <v>248.0979667200001</v>
      </c>
      <c r="BV11" s="6">
        <v>455.9795230600019</v>
      </c>
      <c r="BW11" s="6">
        <v>276.7114164599999</v>
      </c>
      <c r="BX11" s="6">
        <v>229.16241101999992</v>
      </c>
      <c r="BY11" s="7">
        <v>1209.9513172600018</v>
      </c>
      <c r="BZ11" s="8"/>
      <c r="CA11" s="6" t="s">
        <v>24</v>
      </c>
      <c r="CB11" s="6">
        <v>253.31093211000001</v>
      </c>
      <c r="CC11" s="6">
        <v>183.51084904999954</v>
      </c>
      <c r="CD11" s="6">
        <v>209.18506550000052</v>
      </c>
      <c r="CE11" s="6">
        <v>182.57738584999962</v>
      </c>
      <c r="CF11" s="7">
        <v>828.58423250999965</v>
      </c>
      <c r="CH11" s="15" t="s">
        <v>23</v>
      </c>
      <c r="CI11" s="15">
        <v>63.333972219999985</v>
      </c>
      <c r="CJ11" s="15">
        <v>109.53214606999981</v>
      </c>
      <c r="CK11" s="15">
        <v>102.56464430000027</v>
      </c>
      <c r="CL11" s="15">
        <v>239.73699765999984</v>
      </c>
      <c r="CM11" s="7">
        <v>515.1677602499999</v>
      </c>
      <c r="CO11" s="15" t="s">
        <v>22</v>
      </c>
      <c r="CP11" s="15">
        <v>93.83187096999994</v>
      </c>
      <c r="CQ11" s="15">
        <v>204.46189133999999</v>
      </c>
      <c r="CR11" s="15">
        <v>254.03543445000005</v>
      </c>
      <c r="CS11" s="15">
        <v>244.68229611000001</v>
      </c>
      <c r="CT11" s="7">
        <v>797.01149286999998</v>
      </c>
    </row>
    <row r="12" spans="2:98" x14ac:dyDescent="0.25">
      <c r="B12" s="5" t="s">
        <v>24</v>
      </c>
      <c r="C12" s="6">
        <v>356.96881691000004</v>
      </c>
      <c r="D12" s="6">
        <v>324.27637586999998</v>
      </c>
      <c r="E12" s="6">
        <v>322.50096551000007</v>
      </c>
      <c r="F12" s="6">
        <v>287.84081357000008</v>
      </c>
      <c r="G12" s="7">
        <v>1291.5869718600002</v>
      </c>
      <c r="I12" s="5" t="s">
        <v>24</v>
      </c>
      <c r="J12" s="6">
        <v>330.63552794999998</v>
      </c>
      <c r="K12" s="6">
        <v>268.76198359000006</v>
      </c>
      <c r="L12" s="6">
        <v>332.96721248</v>
      </c>
      <c r="M12" s="6">
        <v>316.20739333000006</v>
      </c>
      <c r="N12" s="7">
        <v>1248.5721173500001</v>
      </c>
      <c r="P12" s="5" t="s">
        <v>35</v>
      </c>
      <c r="Q12" s="6">
        <v>395.24080091000053</v>
      </c>
      <c r="R12" s="6">
        <v>372.59012029999974</v>
      </c>
      <c r="S12" s="6">
        <v>424.30127076999963</v>
      </c>
      <c r="T12" s="6">
        <v>397.82652043999991</v>
      </c>
      <c r="U12" s="7">
        <v>1589.9587124199995</v>
      </c>
      <c r="W12" s="5" t="s">
        <v>24</v>
      </c>
      <c r="X12" s="6">
        <v>366.10813337000013</v>
      </c>
      <c r="Y12" s="6">
        <v>327.99508347999944</v>
      </c>
      <c r="Z12" s="6">
        <v>328.43377811000005</v>
      </c>
      <c r="AA12" s="6">
        <v>285.38985842000034</v>
      </c>
      <c r="AB12" s="7">
        <v>1307.92685338</v>
      </c>
      <c r="AD12" s="5" t="s">
        <v>2</v>
      </c>
      <c r="AE12" s="6">
        <v>120.93589477</v>
      </c>
      <c r="AF12" s="6">
        <v>175.64672642000002</v>
      </c>
      <c r="AG12" s="6">
        <v>125.48699837999996</v>
      </c>
      <c r="AH12" s="6">
        <v>145.67183638</v>
      </c>
      <c r="AI12" s="7">
        <v>567.74145594999993</v>
      </c>
      <c r="AK12" s="5" t="s">
        <v>22</v>
      </c>
      <c r="AL12" s="6">
        <v>38.761958999999997</v>
      </c>
      <c r="AM12" s="6">
        <v>177.14349123955006</v>
      </c>
      <c r="AN12" s="6">
        <v>247.53181719802998</v>
      </c>
      <c r="AO12" s="6">
        <v>272.85623065316003</v>
      </c>
      <c r="AP12" s="7">
        <v>736.29349809074006</v>
      </c>
      <c r="AR12" s="5" t="s">
        <v>24</v>
      </c>
      <c r="AS12" s="6">
        <v>167.21794299999988</v>
      </c>
      <c r="AT12" s="6">
        <v>174.75593469999993</v>
      </c>
      <c r="AU12" s="6">
        <v>218.22811582999992</v>
      </c>
      <c r="AV12" s="6">
        <v>185.56802764000005</v>
      </c>
      <c r="AW12" s="7">
        <v>745.77002116999984</v>
      </c>
      <c r="AY12" s="15" t="s">
        <v>24</v>
      </c>
      <c r="AZ12" s="6">
        <v>140.52379888999997</v>
      </c>
      <c r="BA12" s="6">
        <v>127.01761581999999</v>
      </c>
      <c r="BB12" s="6">
        <v>184.28397722999989</v>
      </c>
      <c r="BC12" s="6">
        <v>171.62996343999976</v>
      </c>
      <c r="BD12" s="7">
        <v>623.45535537999967</v>
      </c>
      <c r="BE12" s="8"/>
      <c r="BF12" s="15" t="s">
        <v>20</v>
      </c>
      <c r="BG12" s="6">
        <v>99.573509180000272</v>
      </c>
      <c r="BH12" s="6">
        <v>57.894838159999843</v>
      </c>
      <c r="BI12" s="6">
        <v>132.32678064000029</v>
      </c>
      <c r="BJ12" s="6">
        <v>155.5639520199997</v>
      </c>
      <c r="BK12" s="7">
        <v>445.35908000000012</v>
      </c>
      <c r="BL12" s="8"/>
      <c r="BM12" s="15" t="s">
        <v>15</v>
      </c>
      <c r="BN12" s="6">
        <v>144.74131273999987</v>
      </c>
      <c r="BO12" s="6">
        <v>144.01494565000019</v>
      </c>
      <c r="BP12" s="6">
        <v>139.91774225</v>
      </c>
      <c r="BQ12" s="6">
        <v>151.82465210999968</v>
      </c>
      <c r="BR12" s="7">
        <v>580.49865274999979</v>
      </c>
      <c r="BT12" s="5" t="s">
        <v>24</v>
      </c>
      <c r="BU12" s="6">
        <v>186.52693548999912</v>
      </c>
      <c r="BV12" s="6">
        <v>197.25484010000028</v>
      </c>
      <c r="BW12" s="6">
        <v>173.46974063999895</v>
      </c>
      <c r="BX12" s="6">
        <v>204.24269534999934</v>
      </c>
      <c r="BY12" s="7">
        <v>761.49421157999768</v>
      </c>
      <c r="BZ12" s="8"/>
      <c r="CA12" s="6" t="s">
        <v>15</v>
      </c>
      <c r="CB12" s="6">
        <v>130.53743180999982</v>
      </c>
      <c r="CC12" s="6">
        <v>198.32193391999994</v>
      </c>
      <c r="CD12" s="6">
        <v>155.37013215000044</v>
      </c>
      <c r="CE12" s="6">
        <v>247.69574856999989</v>
      </c>
      <c r="CF12" s="7">
        <v>731.92524645000003</v>
      </c>
      <c r="CH12" s="15" t="s">
        <v>24</v>
      </c>
      <c r="CI12" s="15">
        <v>200.6748894800007</v>
      </c>
      <c r="CJ12" s="15">
        <v>237.64974415000057</v>
      </c>
      <c r="CK12" s="15">
        <v>197.4528039199995</v>
      </c>
      <c r="CL12" s="15">
        <v>211.04279651000004</v>
      </c>
      <c r="CM12" s="7">
        <v>846.82023406000076</v>
      </c>
      <c r="CO12" s="15" t="s">
        <v>15</v>
      </c>
      <c r="CP12" s="15">
        <v>328.75881731999931</v>
      </c>
      <c r="CQ12" s="15">
        <v>257.28963782000079</v>
      </c>
      <c r="CR12" s="15">
        <v>220.41723392000029</v>
      </c>
      <c r="CS12" s="15">
        <v>159.39606111000083</v>
      </c>
      <c r="CT12" s="7">
        <v>965.86175017000119</v>
      </c>
    </row>
    <row r="13" spans="2:98" x14ac:dyDescent="0.25">
      <c r="B13" s="5" t="s">
        <v>7</v>
      </c>
      <c r="C13" s="6">
        <v>246.73208456999996</v>
      </c>
      <c r="D13" s="6">
        <v>233.22922288999996</v>
      </c>
      <c r="E13" s="6">
        <v>257.35078126999997</v>
      </c>
      <c r="F13" s="6">
        <v>304.56042956000005</v>
      </c>
      <c r="G13" s="7">
        <v>1041.87251829</v>
      </c>
      <c r="I13" s="5" t="s">
        <v>7</v>
      </c>
      <c r="J13" s="6">
        <v>293.75703987000003</v>
      </c>
      <c r="K13" s="6">
        <v>256.38747948000002</v>
      </c>
      <c r="L13" s="6">
        <v>278.42757342999994</v>
      </c>
      <c r="M13" s="6">
        <v>299.25941562999998</v>
      </c>
      <c r="N13" s="7">
        <v>1127.8315084099997</v>
      </c>
      <c r="P13" s="5" t="s">
        <v>7</v>
      </c>
      <c r="Q13" s="6">
        <v>277.88514316999982</v>
      </c>
      <c r="R13" s="6">
        <v>251.25688762000007</v>
      </c>
      <c r="S13" s="6">
        <v>342.63330651000001</v>
      </c>
      <c r="T13" s="6">
        <v>381.67839710999999</v>
      </c>
      <c r="U13" s="7">
        <v>1253.4537344100002</v>
      </c>
      <c r="W13" s="5" t="s">
        <v>7</v>
      </c>
      <c r="X13" s="6">
        <v>215.68269378000008</v>
      </c>
      <c r="Y13" s="6">
        <v>159.55851045999998</v>
      </c>
      <c r="Z13" s="6">
        <v>221.58387578999989</v>
      </c>
      <c r="AA13" s="6">
        <v>198.54034560999992</v>
      </c>
      <c r="AB13" s="7">
        <v>795.36541913999986</v>
      </c>
      <c r="AD13" s="5" t="s">
        <v>5</v>
      </c>
      <c r="AE13" s="6">
        <v>88.898971789999933</v>
      </c>
      <c r="AF13" s="6">
        <v>102.53914368000001</v>
      </c>
      <c r="AG13" s="6">
        <v>129.63715733000004</v>
      </c>
      <c r="AH13" s="6">
        <v>184.36808699000002</v>
      </c>
      <c r="AI13" s="7">
        <v>505.44335979000004</v>
      </c>
      <c r="AK13" s="5" t="s">
        <v>5</v>
      </c>
      <c r="AL13" s="6">
        <v>139.59216304000003</v>
      </c>
      <c r="AM13" s="6">
        <v>177.55723448067997</v>
      </c>
      <c r="AN13" s="6">
        <v>153.55180823999987</v>
      </c>
      <c r="AO13" s="6">
        <v>159.42519830999979</v>
      </c>
      <c r="AP13" s="7">
        <v>630.12640407067965</v>
      </c>
      <c r="AR13" s="5" t="s">
        <v>19</v>
      </c>
      <c r="AS13" s="6">
        <v>188.76943347000011</v>
      </c>
      <c r="AT13" s="6">
        <v>166.22707150999986</v>
      </c>
      <c r="AU13" s="6">
        <v>185.91251883000018</v>
      </c>
      <c r="AV13" s="6">
        <v>191.32426722000002</v>
      </c>
      <c r="AW13" s="7">
        <v>732.23329103000026</v>
      </c>
      <c r="AY13" s="15" t="s">
        <v>19</v>
      </c>
      <c r="AZ13" s="6">
        <v>108.87217860999991</v>
      </c>
      <c r="BA13" s="6">
        <v>146.06847809000007</v>
      </c>
      <c r="BB13" s="6">
        <v>144.28136117000017</v>
      </c>
      <c r="BC13" s="6">
        <v>155.32536709999997</v>
      </c>
      <c r="BD13" s="7">
        <v>554.54738497000005</v>
      </c>
      <c r="BE13" s="8"/>
      <c r="BF13" s="15" t="s">
        <v>5</v>
      </c>
      <c r="BG13" s="6">
        <v>145.26471936000027</v>
      </c>
      <c r="BH13" s="6">
        <v>70.684182789999866</v>
      </c>
      <c r="BI13" s="6">
        <v>105.16753291999977</v>
      </c>
      <c r="BJ13" s="6">
        <v>92.83945965000008</v>
      </c>
      <c r="BK13" s="7">
        <v>413.95589472</v>
      </c>
      <c r="BL13" s="8"/>
      <c r="BM13" s="15" t="s">
        <v>24</v>
      </c>
      <c r="BN13" s="6">
        <v>112.67737225999993</v>
      </c>
      <c r="BO13" s="6">
        <v>113.69661550999982</v>
      </c>
      <c r="BP13" s="6">
        <v>128.26817586999996</v>
      </c>
      <c r="BQ13" s="6">
        <v>167.43980770000036</v>
      </c>
      <c r="BR13" s="7">
        <v>522.08197134000011</v>
      </c>
      <c r="BT13" s="5" t="s">
        <v>19</v>
      </c>
      <c r="BU13" s="6">
        <v>187.64535586999972</v>
      </c>
      <c r="BV13" s="6">
        <v>171.52471778000006</v>
      </c>
      <c r="BW13" s="6">
        <v>156.4464425799998</v>
      </c>
      <c r="BX13" s="6">
        <v>197.38326066999974</v>
      </c>
      <c r="BY13" s="7">
        <v>712.99977689999923</v>
      </c>
      <c r="BZ13" s="8"/>
      <c r="CA13" s="6" t="s">
        <v>22</v>
      </c>
      <c r="CB13" s="6">
        <v>286.51655497999985</v>
      </c>
      <c r="CC13" s="6">
        <v>31.840499659999942</v>
      </c>
      <c r="CD13" s="6">
        <v>53.51759887</v>
      </c>
      <c r="CE13" s="6">
        <v>338.95405941999985</v>
      </c>
      <c r="CF13" s="7">
        <v>710.82871292999971</v>
      </c>
      <c r="CH13" s="15" t="s">
        <v>5</v>
      </c>
      <c r="CI13" s="15">
        <v>82.909135060000125</v>
      </c>
      <c r="CJ13" s="15">
        <v>103.69833168999986</v>
      </c>
      <c r="CK13" s="15">
        <v>118.68373656999977</v>
      </c>
      <c r="CL13" s="15">
        <v>196.26698968000079</v>
      </c>
      <c r="CM13" s="7">
        <v>501.55819300000053</v>
      </c>
      <c r="CO13" s="15" t="s">
        <v>18</v>
      </c>
      <c r="CP13" s="15">
        <v>69.666902519999979</v>
      </c>
      <c r="CQ13" s="15">
        <v>71.771808710000016</v>
      </c>
      <c r="CR13" s="15">
        <v>165.82657090000001</v>
      </c>
      <c r="CS13" s="15">
        <v>152.31461403999998</v>
      </c>
      <c r="CT13" s="7">
        <v>459.57989616999998</v>
      </c>
    </row>
    <row r="14" spans="2:98" x14ac:dyDescent="0.25">
      <c r="B14" s="5" t="s">
        <v>5</v>
      </c>
      <c r="C14" s="6">
        <v>166.51326749</v>
      </c>
      <c r="D14" s="6">
        <v>209.03410827999997</v>
      </c>
      <c r="E14" s="6">
        <v>257.36466823000006</v>
      </c>
      <c r="F14" s="6">
        <v>264.79116031000001</v>
      </c>
      <c r="G14" s="7">
        <v>897.70320431000005</v>
      </c>
      <c r="I14" s="5" t="s">
        <v>35</v>
      </c>
      <c r="J14" s="6">
        <v>233.76772572999997</v>
      </c>
      <c r="K14" s="6">
        <v>253.55083374000012</v>
      </c>
      <c r="L14" s="6">
        <v>302.42946128999995</v>
      </c>
      <c r="M14" s="6">
        <v>315.03483956000008</v>
      </c>
      <c r="N14" s="7">
        <v>1104.7828603200003</v>
      </c>
      <c r="P14" s="5" t="s">
        <v>8</v>
      </c>
      <c r="Q14" s="6">
        <v>305.15811948000015</v>
      </c>
      <c r="R14" s="6">
        <v>255.85069277000011</v>
      </c>
      <c r="S14" s="6">
        <v>337.54890727999998</v>
      </c>
      <c r="T14" s="6">
        <v>258.86378755999988</v>
      </c>
      <c r="U14" s="7">
        <v>1157.4215070900002</v>
      </c>
      <c r="W14" s="5" t="s">
        <v>44</v>
      </c>
      <c r="X14" s="6">
        <v>159.56293233</v>
      </c>
      <c r="Y14" s="6">
        <v>213.04819151999999</v>
      </c>
      <c r="Z14" s="6">
        <v>205.72090529000002</v>
      </c>
      <c r="AA14" s="6">
        <v>209.09529529000002</v>
      </c>
      <c r="AB14" s="7">
        <v>787.42732443000011</v>
      </c>
      <c r="AD14" s="5" t="s">
        <v>8</v>
      </c>
      <c r="AE14" s="6">
        <v>120.34326019999983</v>
      </c>
      <c r="AF14" s="6">
        <v>180.65710170999992</v>
      </c>
      <c r="AG14" s="6">
        <v>84.112313350000051</v>
      </c>
      <c r="AH14" s="6">
        <v>98.505710039999968</v>
      </c>
      <c r="AI14" s="7">
        <v>483.61838529999983</v>
      </c>
      <c r="AK14" s="5" t="s">
        <v>15</v>
      </c>
      <c r="AL14" s="6">
        <v>289.89014869355975</v>
      </c>
      <c r="AM14" s="6">
        <v>63.570766959999936</v>
      </c>
      <c r="AN14" s="6">
        <v>48.017619539999956</v>
      </c>
      <c r="AO14" s="6">
        <v>75.569493899999941</v>
      </c>
      <c r="AP14" s="7">
        <v>477.04802909355965</v>
      </c>
      <c r="AR14" s="5" t="s">
        <v>5</v>
      </c>
      <c r="AS14" s="6">
        <v>138.42743161999985</v>
      </c>
      <c r="AT14" s="6">
        <v>119.93449537000001</v>
      </c>
      <c r="AU14" s="6">
        <v>138.79916489000024</v>
      </c>
      <c r="AV14" s="6">
        <v>199.45022621999973</v>
      </c>
      <c r="AW14" s="7">
        <v>596.61131809999983</v>
      </c>
      <c r="AY14" s="15" t="s">
        <v>5</v>
      </c>
      <c r="AZ14" s="6">
        <v>121.81699373999993</v>
      </c>
      <c r="BA14" s="6">
        <v>144.44228217999998</v>
      </c>
      <c r="BB14" s="6">
        <v>132.74159952000022</v>
      </c>
      <c r="BC14" s="6">
        <v>132.87839472000022</v>
      </c>
      <c r="BD14" s="7">
        <v>531.87927016000037</v>
      </c>
      <c r="BE14" s="8"/>
      <c r="BF14" s="15" t="s">
        <v>14</v>
      </c>
      <c r="BG14" s="6">
        <v>118.71048408000013</v>
      </c>
      <c r="BH14" s="6">
        <v>94.660030469999626</v>
      </c>
      <c r="BI14" s="6">
        <v>65.544887559999978</v>
      </c>
      <c r="BJ14" s="6">
        <v>125.67180078000001</v>
      </c>
      <c r="BK14" s="7">
        <v>404.58720288999973</v>
      </c>
      <c r="BL14" s="8"/>
      <c r="BM14" s="5" t="s">
        <v>45</v>
      </c>
      <c r="BN14" s="6">
        <v>130.38287733999982</v>
      </c>
      <c r="BO14" s="6">
        <v>160.95108400000004</v>
      </c>
      <c r="BP14" s="6">
        <v>113.4951588800001</v>
      </c>
      <c r="BQ14" s="6">
        <v>58.66731977000002</v>
      </c>
      <c r="BR14" s="7">
        <v>463.49643999</v>
      </c>
      <c r="BT14" s="15" t="s">
        <v>35</v>
      </c>
      <c r="BU14" s="6">
        <v>96.616671499999839</v>
      </c>
      <c r="BV14" s="6">
        <v>168.91107494999983</v>
      </c>
      <c r="BW14" s="6">
        <v>207.09382346000012</v>
      </c>
      <c r="BX14" s="6">
        <v>173.04373721000047</v>
      </c>
      <c r="BY14" s="7">
        <v>645.66530712000031</v>
      </c>
      <c r="BZ14" s="8"/>
      <c r="CA14" s="6" t="s">
        <v>18</v>
      </c>
      <c r="CB14" s="6">
        <v>0.6324335499999999</v>
      </c>
      <c r="CC14" s="6">
        <v>241.72341568000002</v>
      </c>
      <c r="CD14" s="6">
        <v>356.90610040999996</v>
      </c>
      <c r="CE14" s="6">
        <v>107.93022493000001</v>
      </c>
      <c r="CF14" s="7">
        <v>707.19217457000002</v>
      </c>
      <c r="CH14" s="15" t="s">
        <v>22</v>
      </c>
      <c r="CI14" s="15">
        <v>244.08459197000025</v>
      </c>
      <c r="CJ14" s="15">
        <v>133.44176647999993</v>
      </c>
      <c r="CK14" s="15">
        <v>191.5120854000001</v>
      </c>
      <c r="CL14" s="15">
        <v>168.42816908999976</v>
      </c>
      <c r="CM14" s="7">
        <v>737.46661294</v>
      </c>
      <c r="CO14" s="15" t="s">
        <v>27</v>
      </c>
      <c r="CP14" s="15">
        <v>32.134474959999984</v>
      </c>
      <c r="CQ14" s="15">
        <v>43.973727390000114</v>
      </c>
      <c r="CR14" s="15">
        <v>43.221677460000016</v>
      </c>
      <c r="CS14" s="15">
        <v>148.57319500999998</v>
      </c>
      <c r="CT14" s="7">
        <v>267.90307482000009</v>
      </c>
    </row>
    <row r="15" spans="2:98" x14ac:dyDescent="0.25">
      <c r="B15" s="5" t="s">
        <v>35</v>
      </c>
      <c r="C15" s="6">
        <v>169.85429935999994</v>
      </c>
      <c r="D15" s="6">
        <v>211.01447968000008</v>
      </c>
      <c r="E15" s="6">
        <v>255.42384170000008</v>
      </c>
      <c r="F15" s="6">
        <v>260.46363287000008</v>
      </c>
      <c r="G15" s="7">
        <v>896.75625361000016</v>
      </c>
      <c r="I15" s="5" t="s">
        <v>5</v>
      </c>
      <c r="J15" s="6">
        <v>211.95988292000001</v>
      </c>
      <c r="K15" s="6">
        <v>234.65970969</v>
      </c>
      <c r="L15" s="6">
        <v>264.51313256999998</v>
      </c>
      <c r="M15" s="6">
        <v>266.83118704999993</v>
      </c>
      <c r="N15" s="7">
        <v>977.96391223000001</v>
      </c>
      <c r="P15" s="5" t="s">
        <v>5</v>
      </c>
      <c r="Q15" s="6">
        <v>253.23807543999988</v>
      </c>
      <c r="R15" s="6">
        <v>225.34538762999995</v>
      </c>
      <c r="S15" s="6">
        <v>247.46278481999988</v>
      </c>
      <c r="T15" s="6">
        <v>293.54994707999975</v>
      </c>
      <c r="U15" s="7">
        <v>1019.5961949699995</v>
      </c>
      <c r="W15" s="5" t="s">
        <v>5</v>
      </c>
      <c r="X15" s="6">
        <v>182.55685452999967</v>
      </c>
      <c r="Y15" s="6">
        <v>196.68197453999997</v>
      </c>
      <c r="Z15" s="6">
        <v>213.24300233000022</v>
      </c>
      <c r="AA15" s="6">
        <v>175.19263355000001</v>
      </c>
      <c r="AB15" s="7">
        <v>767.67446494999979</v>
      </c>
      <c r="AD15" s="9" t="s">
        <v>38</v>
      </c>
      <c r="AE15" s="6">
        <v>116.81059896999999</v>
      </c>
      <c r="AF15" s="6">
        <v>134.36947488999999</v>
      </c>
      <c r="AG15" s="6">
        <v>9.7746514700000002</v>
      </c>
      <c r="AH15" s="6">
        <v>182.78990587999999</v>
      </c>
      <c r="AI15" s="7">
        <v>443.74463121000002</v>
      </c>
      <c r="AK15" s="5" t="s">
        <v>35</v>
      </c>
      <c r="AL15" s="6">
        <v>102.84632121000007</v>
      </c>
      <c r="AM15" s="6">
        <v>128.12990749999994</v>
      </c>
      <c r="AN15" s="6">
        <v>108.73868889000025</v>
      </c>
      <c r="AO15" s="6">
        <v>110.40479869000001</v>
      </c>
      <c r="AP15" s="7">
        <v>450.11971629000033</v>
      </c>
      <c r="AR15" s="5" t="s">
        <v>20</v>
      </c>
      <c r="AS15" s="6">
        <v>109.93411247999995</v>
      </c>
      <c r="AT15" s="6">
        <v>97.003409699999992</v>
      </c>
      <c r="AU15" s="6">
        <v>146.68319421999996</v>
      </c>
      <c r="AV15" s="6">
        <v>121.24616884000001</v>
      </c>
      <c r="AW15" s="7">
        <v>474.86688523999993</v>
      </c>
      <c r="AY15" s="15" t="s">
        <v>20</v>
      </c>
      <c r="AZ15" s="6">
        <v>123.04067762999991</v>
      </c>
      <c r="BA15" s="6">
        <v>159.53587796000008</v>
      </c>
      <c r="BB15" s="6">
        <v>100.91371274999997</v>
      </c>
      <c r="BC15" s="6">
        <v>94.705247539999988</v>
      </c>
      <c r="BD15" s="7">
        <v>478.19551587999996</v>
      </c>
      <c r="BE15" s="8"/>
      <c r="BF15" s="15" t="s">
        <v>23</v>
      </c>
      <c r="BG15" s="6">
        <v>74.680084850000128</v>
      </c>
      <c r="BH15" s="6">
        <v>77.271284119999862</v>
      </c>
      <c r="BI15" s="6">
        <v>82.805546870000114</v>
      </c>
      <c r="BJ15" s="6">
        <v>73.477212119999962</v>
      </c>
      <c r="BK15" s="7">
        <v>308.23412796000002</v>
      </c>
      <c r="BL15" s="8"/>
      <c r="BM15" s="15" t="s">
        <v>48</v>
      </c>
      <c r="BN15" s="6">
        <v>22.753891340000017</v>
      </c>
      <c r="BO15" s="6">
        <v>28.928689039999927</v>
      </c>
      <c r="BP15" s="6">
        <v>124.74622974000029</v>
      </c>
      <c r="BQ15" s="6">
        <v>269.32054864999964</v>
      </c>
      <c r="BR15" s="7">
        <v>445.74935876999984</v>
      </c>
      <c r="BT15" s="15" t="s">
        <v>15</v>
      </c>
      <c r="BU15" s="6">
        <v>133.25977616999998</v>
      </c>
      <c r="BV15" s="6">
        <v>190.38488118000049</v>
      </c>
      <c r="BW15" s="6">
        <v>158.14693664999967</v>
      </c>
      <c r="BX15" s="6">
        <v>165.59007720999975</v>
      </c>
      <c r="BY15" s="7">
        <v>647.38167120999992</v>
      </c>
      <c r="BZ15" s="8"/>
      <c r="CA15" s="6" t="s">
        <v>19</v>
      </c>
      <c r="CB15" s="6">
        <v>187.92999825999991</v>
      </c>
      <c r="CC15" s="6">
        <v>106.33385535999969</v>
      </c>
      <c r="CD15" s="6">
        <v>119.68146021000035</v>
      </c>
      <c r="CE15" s="6">
        <v>120.06505855</v>
      </c>
      <c r="CF15" s="7">
        <v>534.01037238000004</v>
      </c>
      <c r="CH15" s="15" t="s">
        <v>19</v>
      </c>
      <c r="CI15" s="15">
        <v>116.86454012999991</v>
      </c>
      <c r="CJ15" s="15">
        <v>132.30997406999984</v>
      </c>
      <c r="CK15" s="15">
        <v>120.27715998000006</v>
      </c>
      <c r="CL15" s="15">
        <v>144.39836506000017</v>
      </c>
      <c r="CM15" s="7">
        <v>513.85003924</v>
      </c>
      <c r="CO15" s="15" t="s">
        <v>23</v>
      </c>
      <c r="CP15" s="15">
        <v>86.411747290000022</v>
      </c>
      <c r="CQ15" s="15">
        <v>98.828282790000117</v>
      </c>
      <c r="CR15" s="15">
        <v>157.44377285999994</v>
      </c>
      <c r="CS15" s="15">
        <v>147.96061083000001</v>
      </c>
      <c r="CT15" s="7">
        <v>490.64441377000009</v>
      </c>
    </row>
    <row r="16" spans="2:98" x14ac:dyDescent="0.25">
      <c r="B16" s="5" t="s">
        <v>8</v>
      </c>
      <c r="C16" s="6">
        <v>154.28307212999999</v>
      </c>
      <c r="D16" s="6">
        <v>162.46756758000001</v>
      </c>
      <c r="E16" s="6">
        <v>140.03182140000001</v>
      </c>
      <c r="F16" s="6">
        <v>123.44152179</v>
      </c>
      <c r="G16" s="7">
        <v>580.22398290000012</v>
      </c>
      <c r="I16" s="5" t="s">
        <v>8</v>
      </c>
      <c r="J16" s="6">
        <v>164.23778397000001</v>
      </c>
      <c r="K16" s="6">
        <v>168.82075940000001</v>
      </c>
      <c r="L16" s="6">
        <v>260.40173270999998</v>
      </c>
      <c r="M16" s="6">
        <v>300.38907893999993</v>
      </c>
      <c r="N16" s="7">
        <v>893.84935501999985</v>
      </c>
      <c r="P16" s="5" t="s">
        <v>4</v>
      </c>
      <c r="Q16" s="6">
        <v>139.87895344000006</v>
      </c>
      <c r="R16" s="6">
        <v>197.18190935999996</v>
      </c>
      <c r="S16" s="6">
        <v>218.9347555400002</v>
      </c>
      <c r="T16" s="6">
        <v>169.05829530999998</v>
      </c>
      <c r="U16" s="7">
        <v>725.05391365000025</v>
      </c>
      <c r="W16" s="5" t="s">
        <v>8</v>
      </c>
      <c r="X16" s="6">
        <v>208.99578188999993</v>
      </c>
      <c r="Y16" s="6">
        <v>160.98389127000004</v>
      </c>
      <c r="Z16" s="6">
        <v>136.4939514199998</v>
      </c>
      <c r="AA16" s="6">
        <v>131.25978294000001</v>
      </c>
      <c r="AB16" s="7">
        <v>637.73340751999979</v>
      </c>
      <c r="AD16" s="5" t="s">
        <v>13</v>
      </c>
      <c r="AE16" s="6">
        <v>51.441674959999979</v>
      </c>
      <c r="AF16" s="6">
        <v>66.510075299999983</v>
      </c>
      <c r="AG16" s="6">
        <v>215.35160250999999</v>
      </c>
      <c r="AH16" s="6">
        <v>66.687527139999986</v>
      </c>
      <c r="AI16" s="7">
        <v>399.99087990999999</v>
      </c>
      <c r="AK16" s="5" t="s">
        <v>16</v>
      </c>
      <c r="AL16" s="6">
        <v>54.270959540000035</v>
      </c>
      <c r="AM16" s="6">
        <v>139.47441978844009</v>
      </c>
      <c r="AN16" s="6">
        <v>91.650982520000014</v>
      </c>
      <c r="AO16" s="6">
        <v>87.109511009360006</v>
      </c>
      <c r="AP16" s="7">
        <v>372.50587285780011</v>
      </c>
      <c r="AR16" s="5" t="s">
        <v>15</v>
      </c>
      <c r="AS16" s="6">
        <v>47.929387729999988</v>
      </c>
      <c r="AT16" s="6">
        <v>275.52012397999977</v>
      </c>
      <c r="AU16" s="6">
        <v>67.286094789999936</v>
      </c>
      <c r="AV16" s="6">
        <v>68.457689690000066</v>
      </c>
      <c r="AW16" s="7">
        <v>459.19329618999978</v>
      </c>
      <c r="AY16" s="15" t="s">
        <v>8</v>
      </c>
      <c r="AZ16" s="6">
        <v>48.760387860000009</v>
      </c>
      <c r="BA16" s="6">
        <v>114.68801046000004</v>
      </c>
      <c r="BB16" s="6">
        <v>134.99936001000003</v>
      </c>
      <c r="BC16" s="6">
        <v>154.44897951000002</v>
      </c>
      <c r="BD16" s="7">
        <v>452.89673784000007</v>
      </c>
      <c r="BE16" s="8"/>
      <c r="BF16" s="15" t="s">
        <v>25</v>
      </c>
      <c r="BG16" s="6">
        <v>79.745821229999962</v>
      </c>
      <c r="BH16" s="6">
        <v>78.536346669999972</v>
      </c>
      <c r="BI16" s="6">
        <v>65.797502549999976</v>
      </c>
      <c r="BJ16" s="6">
        <v>71.472864819999998</v>
      </c>
      <c r="BK16" s="7">
        <v>295.55253526999991</v>
      </c>
      <c r="BL16" s="8"/>
      <c r="BM16" s="15" t="s">
        <v>14</v>
      </c>
      <c r="BN16" s="6">
        <v>90.788793649999903</v>
      </c>
      <c r="BO16" s="6">
        <v>153.28398515999882</v>
      </c>
      <c r="BP16" s="6">
        <v>67.602950700000278</v>
      </c>
      <c r="BQ16" s="6">
        <v>81.987585460000034</v>
      </c>
      <c r="BR16" s="7">
        <v>393.66331496999908</v>
      </c>
      <c r="BT16" s="5" t="s">
        <v>5</v>
      </c>
      <c r="BU16" s="6">
        <v>101.99627000999956</v>
      </c>
      <c r="BV16" s="6">
        <v>136.51265707999951</v>
      </c>
      <c r="BW16" s="6">
        <v>127.84795874000037</v>
      </c>
      <c r="BX16" s="6">
        <v>146.00633289999993</v>
      </c>
      <c r="BY16" s="7">
        <v>512.3632187299994</v>
      </c>
      <c r="BZ16" s="8"/>
      <c r="CA16" s="6" t="s">
        <v>48</v>
      </c>
      <c r="CB16" s="6">
        <v>398.91588926999873</v>
      </c>
      <c r="CC16" s="6">
        <v>44.855238079999914</v>
      </c>
      <c r="CD16" s="6">
        <v>42.971430340000012</v>
      </c>
      <c r="CE16" s="6">
        <v>40.811827870000009</v>
      </c>
      <c r="CF16" s="7">
        <v>527.55438555999865</v>
      </c>
      <c r="CH16" s="15" t="s">
        <v>62</v>
      </c>
      <c r="CI16" s="15">
        <v>3.7576760799999986</v>
      </c>
      <c r="CJ16" s="15">
        <v>101.12909830000007</v>
      </c>
      <c r="CK16" s="15">
        <v>18.850641200000009</v>
      </c>
      <c r="CL16" s="15">
        <v>135.37942759999999</v>
      </c>
      <c r="CM16" s="7">
        <v>259.11684318000005</v>
      </c>
      <c r="CO16" s="15" t="s">
        <v>28</v>
      </c>
      <c r="CP16" s="15">
        <v>73.2288104900001</v>
      </c>
      <c r="CQ16" s="15">
        <v>69.841396859999861</v>
      </c>
      <c r="CR16" s="15">
        <v>89.459625060000093</v>
      </c>
      <c r="CS16" s="15">
        <v>143.74392990999968</v>
      </c>
      <c r="CT16" s="7">
        <v>376.27376231999972</v>
      </c>
    </row>
    <row r="17" spans="2:98" x14ac:dyDescent="0.25">
      <c r="B17" s="5" t="s">
        <v>37</v>
      </c>
      <c r="C17" s="6">
        <v>128.80089364</v>
      </c>
      <c r="D17" s="6">
        <v>146.58729855000001</v>
      </c>
      <c r="E17" s="6">
        <v>145.17419859000003</v>
      </c>
      <c r="F17" s="6">
        <v>142.28100123000007</v>
      </c>
      <c r="G17" s="7">
        <v>562.84339201000012</v>
      </c>
      <c r="I17" s="5" t="s">
        <v>4</v>
      </c>
      <c r="J17" s="6">
        <v>201.14257654999997</v>
      </c>
      <c r="K17" s="6">
        <v>126.81837354000002</v>
      </c>
      <c r="L17" s="6">
        <v>116.55347172000003</v>
      </c>
      <c r="M17" s="6">
        <v>156.60913949999997</v>
      </c>
      <c r="N17" s="7">
        <v>601.12356131000001</v>
      </c>
      <c r="P17" s="5" t="s">
        <v>16</v>
      </c>
      <c r="Q17" s="6">
        <v>132.88388652000009</v>
      </c>
      <c r="R17" s="6">
        <v>119.29909542999998</v>
      </c>
      <c r="S17" s="6">
        <v>169.85584828000003</v>
      </c>
      <c r="T17" s="6">
        <v>165.86624921999993</v>
      </c>
      <c r="U17" s="7">
        <v>587.90507945000002</v>
      </c>
      <c r="W17" s="5" t="s">
        <v>35</v>
      </c>
      <c r="X17" s="6">
        <v>242.65475863000026</v>
      </c>
      <c r="Y17" s="6">
        <v>127.8635801999999</v>
      </c>
      <c r="Z17" s="6">
        <v>80.723515549999973</v>
      </c>
      <c r="AA17" s="6">
        <v>60.767023599999952</v>
      </c>
      <c r="AB17" s="7">
        <v>512.00887798000008</v>
      </c>
      <c r="AD17" s="5" t="s">
        <v>22</v>
      </c>
      <c r="AE17" s="6">
        <v>78.805064369999968</v>
      </c>
      <c r="AF17" s="6">
        <v>27.935376770000005</v>
      </c>
      <c r="AG17" s="6">
        <v>122.67785249999999</v>
      </c>
      <c r="AH17" s="6">
        <v>129.61634586000002</v>
      </c>
      <c r="AI17" s="7">
        <v>359.03463950000003</v>
      </c>
      <c r="AK17" s="5" t="s">
        <v>23</v>
      </c>
      <c r="AL17" s="6">
        <v>100.05916495981006</v>
      </c>
      <c r="AM17" s="6">
        <v>45.619816560000025</v>
      </c>
      <c r="AN17" s="6">
        <v>126.30980823000009</v>
      </c>
      <c r="AO17" s="6">
        <v>92.790221640000013</v>
      </c>
      <c r="AP17" s="7">
        <v>364.77901138981019</v>
      </c>
      <c r="AR17" s="5" t="s">
        <v>35</v>
      </c>
      <c r="AS17" s="6">
        <v>85.683713569999995</v>
      </c>
      <c r="AT17" s="6">
        <v>88.856831779999894</v>
      </c>
      <c r="AU17" s="6">
        <v>140.98912180000016</v>
      </c>
      <c r="AV17" s="6">
        <v>115.99754273000011</v>
      </c>
      <c r="AW17" s="7">
        <v>431.5272098800001</v>
      </c>
      <c r="AY17" s="15" t="s">
        <v>18</v>
      </c>
      <c r="AZ17" s="6">
        <v>165.78638985000003</v>
      </c>
      <c r="BA17" s="6">
        <v>239.93371426999997</v>
      </c>
      <c r="BB17" s="6">
        <v>0</v>
      </c>
      <c r="BC17" s="6">
        <v>7.9769999999999997E-3</v>
      </c>
      <c r="BD17" s="7">
        <v>405.72808112000001</v>
      </c>
      <c r="BE17" s="8"/>
      <c r="BF17" s="15" t="s">
        <v>54</v>
      </c>
      <c r="BG17" s="6">
        <v>130.83017734999999</v>
      </c>
      <c r="BH17" s="6">
        <v>56.059984880000009</v>
      </c>
      <c r="BI17" s="6">
        <v>10.322056930000004</v>
      </c>
      <c r="BJ17" s="6">
        <v>93.817554999999999</v>
      </c>
      <c r="BK17" s="7">
        <v>291.02977415999999</v>
      </c>
      <c r="BL17" s="8"/>
      <c r="BM17" s="5" t="s">
        <v>23</v>
      </c>
      <c r="BN17" s="6">
        <v>108.57968765999968</v>
      </c>
      <c r="BO17" s="6">
        <v>101.96892154</v>
      </c>
      <c r="BP17" s="6">
        <v>73.049804660000035</v>
      </c>
      <c r="BQ17" s="6">
        <v>106.75168952999994</v>
      </c>
      <c r="BR17" s="7">
        <v>390.35010338999962</v>
      </c>
      <c r="BT17" s="15" t="s">
        <v>49</v>
      </c>
      <c r="BU17" s="6">
        <v>78.15560588999999</v>
      </c>
      <c r="BV17" s="6">
        <v>53.432354399999994</v>
      </c>
      <c r="BW17" s="6">
        <v>81.723432129999935</v>
      </c>
      <c r="BX17" s="6">
        <v>135.15016266999999</v>
      </c>
      <c r="BY17" s="7">
        <v>348.46155508999993</v>
      </c>
      <c r="BZ17" s="8"/>
      <c r="CA17" s="6" t="s">
        <v>45</v>
      </c>
      <c r="CB17" s="6">
        <v>75.293775440000019</v>
      </c>
      <c r="CC17" s="6">
        <v>103.57183166000014</v>
      </c>
      <c r="CD17" s="6">
        <v>239.36381580000045</v>
      </c>
      <c r="CE17" s="6">
        <v>75.610754109999817</v>
      </c>
      <c r="CF17" s="7">
        <v>493.84017701000039</v>
      </c>
      <c r="CH17" s="15" t="s">
        <v>28</v>
      </c>
      <c r="CI17" s="15">
        <v>57.820816730000139</v>
      </c>
      <c r="CJ17" s="15">
        <v>46.416677169999822</v>
      </c>
      <c r="CK17" s="15">
        <v>86.239475139999612</v>
      </c>
      <c r="CL17" s="15">
        <v>112.94828832999995</v>
      </c>
      <c r="CM17" s="7">
        <v>303.42525736999954</v>
      </c>
      <c r="CO17" s="15" t="s">
        <v>19</v>
      </c>
      <c r="CP17" s="15">
        <v>154.36412936000028</v>
      </c>
      <c r="CQ17" s="15">
        <v>125.51882748</v>
      </c>
      <c r="CR17" s="15">
        <v>138.02452766999994</v>
      </c>
      <c r="CS17" s="15">
        <v>134.82334365000023</v>
      </c>
      <c r="CT17" s="7">
        <v>552.73082816000044</v>
      </c>
    </row>
    <row r="18" spans="2:98" x14ac:dyDescent="0.25">
      <c r="B18" s="5" t="s">
        <v>16</v>
      </c>
      <c r="C18" s="6">
        <v>122.45512137999999</v>
      </c>
      <c r="D18" s="6">
        <v>139.49773377999998</v>
      </c>
      <c r="E18" s="6">
        <v>116.67341789000001</v>
      </c>
      <c r="F18" s="6">
        <v>109.19765362000003</v>
      </c>
      <c r="G18" s="7">
        <v>487.82392666999999</v>
      </c>
      <c r="I18" s="5" t="s">
        <v>37</v>
      </c>
      <c r="J18" s="6">
        <v>124.29736649</v>
      </c>
      <c r="K18" s="6">
        <v>138.90464068000006</v>
      </c>
      <c r="L18" s="6">
        <v>142.45222392999995</v>
      </c>
      <c r="M18" s="6">
        <v>176.26773068000003</v>
      </c>
      <c r="N18" s="7">
        <v>581.92196177999995</v>
      </c>
      <c r="P18" s="5" t="s">
        <v>37</v>
      </c>
      <c r="Q18" s="6">
        <v>147.74757440000019</v>
      </c>
      <c r="R18" s="6">
        <v>117.99822540000001</v>
      </c>
      <c r="S18" s="6">
        <v>158.31647220000008</v>
      </c>
      <c r="T18" s="6">
        <v>119.2912451399999</v>
      </c>
      <c r="U18" s="7">
        <v>543.35351714000012</v>
      </c>
      <c r="W18" s="5" t="s">
        <v>18</v>
      </c>
      <c r="X18" s="6">
        <v>150.93230721</v>
      </c>
      <c r="Y18" s="6">
        <v>128.42731168</v>
      </c>
      <c r="Z18" s="6">
        <v>90.6080501</v>
      </c>
      <c r="AA18" s="6">
        <v>70.432906039999992</v>
      </c>
      <c r="AB18" s="7">
        <v>440.40057502999997</v>
      </c>
      <c r="AD18" s="5" t="s">
        <v>16</v>
      </c>
      <c r="AE18" s="6">
        <v>94.644801539999989</v>
      </c>
      <c r="AF18" s="6">
        <v>64.365232250000034</v>
      </c>
      <c r="AG18" s="6">
        <v>43.362706689999982</v>
      </c>
      <c r="AH18" s="6">
        <v>76.004186369999985</v>
      </c>
      <c r="AI18" s="7">
        <v>278.37692685000002</v>
      </c>
      <c r="AK18" s="5" t="s">
        <v>44</v>
      </c>
      <c r="AL18" s="6">
        <v>74.047542500000006</v>
      </c>
      <c r="AM18" s="6">
        <v>64.595962659999998</v>
      </c>
      <c r="AN18" s="6">
        <v>112.81853313867001</v>
      </c>
      <c r="AO18" s="6">
        <v>91.600506563839986</v>
      </c>
      <c r="AP18" s="7">
        <v>343.06254486250998</v>
      </c>
      <c r="AR18" s="5" t="s">
        <v>23</v>
      </c>
      <c r="AS18" s="6">
        <v>104.30827025000012</v>
      </c>
      <c r="AT18" s="6">
        <v>124.69984859000004</v>
      </c>
      <c r="AU18" s="6">
        <v>93.530216819999993</v>
      </c>
      <c r="AV18" s="6">
        <v>88.686631810000065</v>
      </c>
      <c r="AW18" s="7">
        <v>411.22496747000019</v>
      </c>
      <c r="AY18" s="15" t="s">
        <v>35</v>
      </c>
      <c r="AZ18" s="6">
        <v>98.111259460000042</v>
      </c>
      <c r="BA18" s="6">
        <v>129.34463169</v>
      </c>
      <c r="BB18" s="6">
        <v>88.435145790000064</v>
      </c>
      <c r="BC18" s="6">
        <v>74.620037010000033</v>
      </c>
      <c r="BD18" s="7">
        <v>390.51107395000014</v>
      </c>
      <c r="BE18" s="8"/>
      <c r="BF18" s="15" t="s">
        <v>26</v>
      </c>
      <c r="BG18" s="6">
        <v>52.179954789999961</v>
      </c>
      <c r="BH18" s="6">
        <v>86.394302549999964</v>
      </c>
      <c r="BI18" s="6">
        <v>67.716832019999998</v>
      </c>
      <c r="BJ18" s="6">
        <v>53.811250760000014</v>
      </c>
      <c r="BK18" s="7">
        <v>260.10234011999995</v>
      </c>
      <c r="BL18" s="8"/>
      <c r="BM18" s="5" t="s">
        <v>5</v>
      </c>
      <c r="BN18" s="6">
        <v>73.726398560000064</v>
      </c>
      <c r="BO18" s="6">
        <v>89.786347310000266</v>
      </c>
      <c r="BP18" s="6">
        <v>100.12914783000063</v>
      </c>
      <c r="BQ18" s="6">
        <v>126.2088792300006</v>
      </c>
      <c r="BR18" s="7">
        <v>389.85077293000154</v>
      </c>
      <c r="BT18" s="15" t="s">
        <v>23</v>
      </c>
      <c r="BU18" s="6">
        <v>67.337661610000026</v>
      </c>
      <c r="BV18" s="6">
        <v>113.27775533999987</v>
      </c>
      <c r="BW18" s="6">
        <v>86.44086807999993</v>
      </c>
      <c r="BX18" s="6">
        <v>94.323733379999638</v>
      </c>
      <c r="BY18" s="7">
        <v>361.38001840999942</v>
      </c>
      <c r="BZ18" s="8"/>
      <c r="CA18" s="6" t="s">
        <v>14</v>
      </c>
      <c r="CB18" s="6">
        <v>90.437364979999884</v>
      </c>
      <c r="CC18" s="6">
        <v>92.186361010000141</v>
      </c>
      <c r="CD18" s="6">
        <v>135.29013414000005</v>
      </c>
      <c r="CE18" s="6">
        <v>135.93258599000023</v>
      </c>
      <c r="CF18" s="7">
        <v>453.84644612000034</v>
      </c>
      <c r="CH18" s="15" t="s">
        <v>45</v>
      </c>
      <c r="CI18" s="15">
        <v>132.49824204999987</v>
      </c>
      <c r="CJ18" s="15">
        <v>93.159530719999935</v>
      </c>
      <c r="CK18" s="15">
        <v>150.44473239000024</v>
      </c>
      <c r="CL18" s="15">
        <v>101.25261182000018</v>
      </c>
      <c r="CM18" s="7">
        <v>477.35511698000028</v>
      </c>
      <c r="CO18" s="15" t="s">
        <v>35</v>
      </c>
      <c r="CP18" s="15">
        <v>177.5567115199996</v>
      </c>
      <c r="CQ18" s="15">
        <v>128.29562654</v>
      </c>
      <c r="CR18" s="15">
        <v>175.39784894000007</v>
      </c>
      <c r="CS18" s="15">
        <v>134.75356426000002</v>
      </c>
      <c r="CT18" s="7">
        <v>616.00375125999972</v>
      </c>
    </row>
    <row r="19" spans="2:98" x14ac:dyDescent="0.25">
      <c r="B19" s="5" t="s">
        <v>44</v>
      </c>
      <c r="C19" s="6">
        <v>40.754635230000005</v>
      </c>
      <c r="D19" s="6">
        <v>25.639499069999999</v>
      </c>
      <c r="E19" s="6">
        <v>250.88875634999999</v>
      </c>
      <c r="F19" s="6">
        <v>169.03958447999997</v>
      </c>
      <c r="G19" s="7">
        <v>486.32247512999993</v>
      </c>
      <c r="I19" s="5" t="s">
        <v>44</v>
      </c>
      <c r="J19" s="6">
        <v>148.92489210000002</v>
      </c>
      <c r="K19" s="6">
        <v>160.77312456999999</v>
      </c>
      <c r="L19" s="6">
        <v>57.693250579999997</v>
      </c>
      <c r="M19" s="6">
        <v>132.96442364000001</v>
      </c>
      <c r="N19" s="7">
        <v>500.35569089000001</v>
      </c>
      <c r="P19" s="5" t="s">
        <v>45</v>
      </c>
      <c r="Q19" s="6">
        <v>93.787519660000001</v>
      </c>
      <c r="R19" s="6">
        <v>131.81800954999986</v>
      </c>
      <c r="S19" s="6">
        <v>107.87007251999995</v>
      </c>
      <c r="T19" s="6">
        <v>120.45556998999994</v>
      </c>
      <c r="U19" s="7">
        <v>453.93117171999972</v>
      </c>
      <c r="W19" s="5" t="s">
        <v>4</v>
      </c>
      <c r="X19" s="6">
        <v>95.003578400000066</v>
      </c>
      <c r="Y19" s="6">
        <v>144.35689684999997</v>
      </c>
      <c r="Z19" s="6">
        <v>106.47653903999999</v>
      </c>
      <c r="AA19" s="6">
        <v>82.04074015999997</v>
      </c>
      <c r="AB19" s="7">
        <v>427.87775445</v>
      </c>
      <c r="AD19" s="5" t="s">
        <v>44</v>
      </c>
      <c r="AE19" s="6">
        <v>90.679422509999995</v>
      </c>
      <c r="AF19" s="6">
        <v>56.832167630000001</v>
      </c>
      <c r="AG19" s="6">
        <v>65.429987169999976</v>
      </c>
      <c r="AH19" s="6">
        <v>56.291744489999992</v>
      </c>
      <c r="AI19" s="7">
        <v>269.23332179999994</v>
      </c>
      <c r="AK19" s="5" t="s">
        <v>36</v>
      </c>
      <c r="AL19" s="6">
        <v>77.203193950000014</v>
      </c>
      <c r="AM19" s="6">
        <v>91.124940556499979</v>
      </c>
      <c r="AN19" s="6">
        <v>112.37262735000009</v>
      </c>
      <c r="AO19" s="6">
        <v>44.825505980000024</v>
      </c>
      <c r="AP19" s="7">
        <v>325.5262678365001</v>
      </c>
      <c r="AR19" s="5" t="s">
        <v>25</v>
      </c>
      <c r="AS19" s="6">
        <v>73.280825849999999</v>
      </c>
      <c r="AT19" s="6">
        <v>95.600269440000019</v>
      </c>
      <c r="AU19" s="6">
        <v>87.920515920000042</v>
      </c>
      <c r="AV19" s="6">
        <v>93.059387749999971</v>
      </c>
      <c r="AW19" s="7">
        <v>349.86099896000002</v>
      </c>
      <c r="AY19" s="15" t="s">
        <v>45</v>
      </c>
      <c r="AZ19" s="6">
        <v>87.719169349999987</v>
      </c>
      <c r="BA19" s="6">
        <v>88.652322780000006</v>
      </c>
      <c r="BB19" s="6">
        <v>82.26941506</v>
      </c>
      <c r="BC19" s="6">
        <v>74.598101080000006</v>
      </c>
      <c r="BD19" s="7">
        <v>333.23900827000006</v>
      </c>
      <c r="BE19" s="8"/>
      <c r="BF19" s="15" t="s">
        <v>45</v>
      </c>
      <c r="BG19" s="6">
        <v>52.630840830000032</v>
      </c>
      <c r="BH19" s="6">
        <v>54.346766770000016</v>
      </c>
      <c r="BI19" s="6">
        <v>72.126040469999992</v>
      </c>
      <c r="BJ19" s="6">
        <v>69.873361450000075</v>
      </c>
      <c r="BK19" s="7">
        <v>248.97700952000014</v>
      </c>
      <c r="BL19" s="8"/>
      <c r="BM19" s="15" t="s">
        <v>35</v>
      </c>
      <c r="BN19" s="6">
        <v>49.046130360000063</v>
      </c>
      <c r="BO19" s="6">
        <v>79.79214236</v>
      </c>
      <c r="BP19" s="6">
        <v>82.581704740000077</v>
      </c>
      <c r="BQ19" s="6">
        <v>100.65572374000021</v>
      </c>
      <c r="BR19" s="7">
        <v>312.07570120000042</v>
      </c>
      <c r="BT19" s="5" t="s">
        <v>14</v>
      </c>
      <c r="BU19" s="6">
        <v>495.62271092999936</v>
      </c>
      <c r="BV19" s="6">
        <v>82.943257429999903</v>
      </c>
      <c r="BW19" s="6">
        <v>96.850465569999969</v>
      </c>
      <c r="BX19" s="6">
        <v>88.846257090000023</v>
      </c>
      <c r="BY19" s="7">
        <v>764.26269101999924</v>
      </c>
      <c r="BZ19" s="8"/>
      <c r="CA19" s="6" t="s">
        <v>5</v>
      </c>
      <c r="CB19" s="6">
        <v>117.64689668999955</v>
      </c>
      <c r="CC19" s="6">
        <v>106.15596656999996</v>
      </c>
      <c r="CD19" s="6">
        <v>116.84642505999987</v>
      </c>
      <c r="CE19" s="6">
        <v>103.29191451999959</v>
      </c>
      <c r="CF19" s="7">
        <v>443.94120283999899</v>
      </c>
      <c r="CH19" s="15" t="s">
        <v>35</v>
      </c>
      <c r="CI19" s="15">
        <v>84.773512670000272</v>
      </c>
      <c r="CJ19" s="15">
        <v>180.79238423000015</v>
      </c>
      <c r="CK19" s="15">
        <v>121.91636724000018</v>
      </c>
      <c r="CL19" s="15">
        <v>96.1636218900003</v>
      </c>
      <c r="CM19" s="7">
        <v>483.6458860300009</v>
      </c>
      <c r="CO19" s="15" t="s">
        <v>43</v>
      </c>
      <c r="CP19" s="15">
        <v>147.82163656</v>
      </c>
      <c r="CQ19" s="15">
        <v>122.89783722000003</v>
      </c>
      <c r="CR19" s="15">
        <v>94.763024159999986</v>
      </c>
      <c r="CS19" s="15">
        <v>130.45890549000006</v>
      </c>
      <c r="CT19" s="7">
        <v>495.94140343000009</v>
      </c>
    </row>
    <row r="20" spans="2:98" x14ac:dyDescent="0.25">
      <c r="B20" s="5" t="s">
        <v>4</v>
      </c>
      <c r="C20" s="6">
        <v>109.03356629</v>
      </c>
      <c r="D20" s="6">
        <v>128.28261021000003</v>
      </c>
      <c r="E20" s="6">
        <v>107.80921476999998</v>
      </c>
      <c r="F20" s="6">
        <v>113.16513789000001</v>
      </c>
      <c r="G20" s="7">
        <v>458.29052916000001</v>
      </c>
      <c r="I20" s="5" t="s">
        <v>46</v>
      </c>
      <c r="J20" s="6">
        <v>238.16396941000002</v>
      </c>
      <c r="K20" s="6">
        <v>31.463208369999997</v>
      </c>
      <c r="L20" s="6">
        <v>40.813642209999998</v>
      </c>
      <c r="M20" s="6">
        <v>148.75985069000001</v>
      </c>
      <c r="N20" s="7">
        <v>459.20067068000003</v>
      </c>
      <c r="P20" s="5" t="s">
        <v>44</v>
      </c>
      <c r="Q20" s="6">
        <v>73.584529320000001</v>
      </c>
      <c r="R20" s="6">
        <v>42.128637400000009</v>
      </c>
      <c r="S20" s="6">
        <v>153.12909037000003</v>
      </c>
      <c r="T20" s="6">
        <v>180.17773560999996</v>
      </c>
      <c r="U20" s="7">
        <v>449.01999269999999</v>
      </c>
      <c r="W20" s="5" t="s">
        <v>16</v>
      </c>
      <c r="X20" s="6">
        <v>143.49677995999988</v>
      </c>
      <c r="Y20" s="6">
        <v>88.378252439999997</v>
      </c>
      <c r="Z20" s="6">
        <v>81.952444399999976</v>
      </c>
      <c r="AA20" s="6">
        <v>68.381173479999987</v>
      </c>
      <c r="AB20" s="7">
        <v>382.20865027999986</v>
      </c>
      <c r="AD20" s="5" t="s">
        <v>45</v>
      </c>
      <c r="AE20" s="6">
        <v>56.574546919999975</v>
      </c>
      <c r="AF20" s="6">
        <v>75.69522477000001</v>
      </c>
      <c r="AG20" s="6">
        <v>76.71115048999998</v>
      </c>
      <c r="AH20" s="6">
        <v>35.843474360000009</v>
      </c>
      <c r="AI20" s="7">
        <v>244.82439653999998</v>
      </c>
      <c r="AK20" s="5" t="s">
        <v>45</v>
      </c>
      <c r="AL20" s="6">
        <v>85.191185450000106</v>
      </c>
      <c r="AM20" s="6">
        <v>134.28760802999992</v>
      </c>
      <c r="AN20" s="6">
        <v>53.428926020000013</v>
      </c>
      <c r="AO20" s="6">
        <v>46.091458309999986</v>
      </c>
      <c r="AP20" s="7">
        <v>318.99917780999999</v>
      </c>
      <c r="AR20" s="5" t="s">
        <v>45</v>
      </c>
      <c r="AS20" s="6">
        <v>103.34703152999998</v>
      </c>
      <c r="AT20" s="6">
        <v>75.780905969999978</v>
      </c>
      <c r="AU20" s="6">
        <v>108.07183355999997</v>
      </c>
      <c r="AV20" s="6">
        <v>54.835326359999989</v>
      </c>
      <c r="AW20" s="7">
        <v>342.03509741999994</v>
      </c>
      <c r="AY20" s="15" t="s">
        <v>25</v>
      </c>
      <c r="AZ20" s="6">
        <v>83.484302759999977</v>
      </c>
      <c r="BA20" s="6">
        <v>84.304048460000004</v>
      </c>
      <c r="BB20" s="6">
        <v>61.457541970000015</v>
      </c>
      <c r="BC20" s="6">
        <v>67.976123979999983</v>
      </c>
      <c r="BD20" s="7">
        <v>297.22201716999996</v>
      </c>
      <c r="BE20" s="8"/>
      <c r="BF20" s="15" t="s">
        <v>44</v>
      </c>
      <c r="BG20" s="6">
        <v>52.556078400000025</v>
      </c>
      <c r="BH20" s="6">
        <v>40.331074439999931</v>
      </c>
      <c r="BI20" s="6">
        <v>68.745501069999989</v>
      </c>
      <c r="BJ20" s="6">
        <v>45.098374540000052</v>
      </c>
      <c r="BK20" s="7">
        <v>206.73102845</v>
      </c>
      <c r="BL20" s="8"/>
      <c r="BM20" s="15" t="s">
        <v>22</v>
      </c>
      <c r="BN20" s="6">
        <v>73.988870930000033</v>
      </c>
      <c r="BO20" s="6">
        <v>43.310844440000004</v>
      </c>
      <c r="BP20" s="6">
        <v>74.952578349999982</v>
      </c>
      <c r="BQ20" s="6">
        <v>96.926386569999863</v>
      </c>
      <c r="BR20" s="7">
        <v>289.17868028999987</v>
      </c>
      <c r="BT20" s="5" t="s">
        <v>51</v>
      </c>
      <c r="BU20" s="6">
        <v>37.642086059999862</v>
      </c>
      <c r="BV20" s="6">
        <v>14.591042629999979</v>
      </c>
      <c r="BW20" s="6">
        <v>129.23126494000005</v>
      </c>
      <c r="BX20" s="6">
        <v>87.256787909999971</v>
      </c>
      <c r="BY20" s="7">
        <v>268.72118153999986</v>
      </c>
      <c r="BZ20" s="8"/>
      <c r="CA20" s="6" t="s">
        <v>23</v>
      </c>
      <c r="CB20" s="6">
        <v>95.810247679999847</v>
      </c>
      <c r="CC20" s="6">
        <v>95.079510900000074</v>
      </c>
      <c r="CD20" s="6">
        <v>95.791374760000082</v>
      </c>
      <c r="CE20" s="6">
        <v>83.287977330000317</v>
      </c>
      <c r="CF20" s="7">
        <v>369.9691106700003</v>
      </c>
      <c r="CH20" s="15" t="s">
        <v>27</v>
      </c>
      <c r="CI20" s="15">
        <v>26.024285129999978</v>
      </c>
      <c r="CJ20" s="15">
        <v>22.046557009999894</v>
      </c>
      <c r="CK20" s="15">
        <v>63.668842420000139</v>
      </c>
      <c r="CL20" s="15">
        <v>89.252999377680098</v>
      </c>
      <c r="CM20" s="7">
        <v>200.99268393768011</v>
      </c>
      <c r="CO20" s="15" t="s">
        <v>48</v>
      </c>
      <c r="CP20" s="15">
        <v>82.302970100000095</v>
      </c>
      <c r="CQ20" s="15">
        <v>36.731346979999962</v>
      </c>
      <c r="CR20" s="15">
        <v>34.607299389999966</v>
      </c>
      <c r="CS20" s="15">
        <v>129.74972208999981</v>
      </c>
      <c r="CT20" s="7">
        <v>283.39133855999984</v>
      </c>
    </row>
    <row r="21" spans="2:98" x14ac:dyDescent="0.25">
      <c r="B21" s="5" t="s">
        <v>22</v>
      </c>
      <c r="C21" s="6">
        <v>72.376348309999997</v>
      </c>
      <c r="D21" s="6">
        <v>64.519673650000001</v>
      </c>
      <c r="E21" s="6">
        <v>134.12816083000001</v>
      </c>
      <c r="F21" s="6">
        <v>187.16965093000002</v>
      </c>
      <c r="G21" s="7">
        <v>458.19383372000004</v>
      </c>
      <c r="I21" s="5" t="s">
        <v>36</v>
      </c>
      <c r="J21" s="6">
        <v>107.69402147</v>
      </c>
      <c r="K21" s="6">
        <v>105.30316640000001</v>
      </c>
      <c r="L21" s="6">
        <v>127.56319089000002</v>
      </c>
      <c r="M21" s="6">
        <v>115.00301236</v>
      </c>
      <c r="N21" s="7">
        <v>455.56339112000001</v>
      </c>
      <c r="P21" s="5" t="s">
        <v>0</v>
      </c>
      <c r="Q21" s="6">
        <v>157.95320507</v>
      </c>
      <c r="R21" s="6">
        <v>92.914130239999992</v>
      </c>
      <c r="S21" s="6">
        <v>97.902562089999975</v>
      </c>
      <c r="T21" s="6">
        <v>90.252659450000024</v>
      </c>
      <c r="U21" s="7">
        <v>439.02255684999989</v>
      </c>
      <c r="W21" s="5" t="s">
        <v>37</v>
      </c>
      <c r="X21" s="6">
        <v>94.166513809999955</v>
      </c>
      <c r="Y21" s="6">
        <v>94.351485440000062</v>
      </c>
      <c r="Z21" s="6">
        <v>101.43079568</v>
      </c>
      <c r="AA21" s="6">
        <v>86.176622550000062</v>
      </c>
      <c r="AB21" s="7">
        <v>376.12541748000007</v>
      </c>
      <c r="AD21" s="5" t="s">
        <v>28</v>
      </c>
      <c r="AE21" s="6">
        <v>46.67663550999999</v>
      </c>
      <c r="AF21" s="6">
        <v>75.426208350000024</v>
      </c>
      <c r="AG21" s="6">
        <v>47.49507509</v>
      </c>
      <c r="AH21" s="6">
        <v>65.536349439999952</v>
      </c>
      <c r="AI21" s="7">
        <v>235.13426838999999</v>
      </c>
      <c r="AK21" s="5" t="s">
        <v>28</v>
      </c>
      <c r="AL21" s="6">
        <v>47.56643583000006</v>
      </c>
      <c r="AM21" s="6">
        <v>55.780506980000048</v>
      </c>
      <c r="AN21" s="6">
        <v>96.072021770000106</v>
      </c>
      <c r="AO21" s="6">
        <v>100.71823187000017</v>
      </c>
      <c r="AP21" s="7">
        <v>300.13719645000043</v>
      </c>
      <c r="AR21" s="5" t="s">
        <v>26</v>
      </c>
      <c r="AS21" s="6">
        <v>50.510910750000008</v>
      </c>
      <c r="AT21" s="6">
        <v>77.775150979999978</v>
      </c>
      <c r="AU21" s="6">
        <v>102.23452256</v>
      </c>
      <c r="AV21" s="6">
        <v>75.696363860000019</v>
      </c>
      <c r="AW21" s="7">
        <v>306.21694815000001</v>
      </c>
      <c r="AY21" s="15" t="s">
        <v>44</v>
      </c>
      <c r="AZ21" s="6">
        <v>55.466306110000005</v>
      </c>
      <c r="BA21" s="6">
        <v>101.36377836999999</v>
      </c>
      <c r="BB21" s="6">
        <v>62.023839049999999</v>
      </c>
      <c r="BC21" s="6">
        <v>61.836344039999993</v>
      </c>
      <c r="BD21" s="7">
        <v>280.69026757</v>
      </c>
      <c r="BE21" s="8"/>
      <c r="BF21" s="15" t="s">
        <v>35</v>
      </c>
      <c r="BG21" s="6">
        <v>58.980844619999836</v>
      </c>
      <c r="BH21" s="6">
        <v>40.868686550000078</v>
      </c>
      <c r="BI21" s="6">
        <v>41.928924809999913</v>
      </c>
      <c r="BJ21" s="6">
        <v>54.711504079999983</v>
      </c>
      <c r="BK21" s="7">
        <v>196.48996005999982</v>
      </c>
      <c r="BL21" s="8"/>
      <c r="BM21" s="5" t="s">
        <v>25</v>
      </c>
      <c r="BN21" s="6">
        <v>65.330987569999991</v>
      </c>
      <c r="BO21" s="6">
        <v>72.213512810000026</v>
      </c>
      <c r="BP21" s="6">
        <v>88.363226420000188</v>
      </c>
      <c r="BQ21" s="6">
        <v>60.25291532</v>
      </c>
      <c r="BR21" s="7">
        <v>286.16064212000026</v>
      </c>
      <c r="BT21" s="5" t="s">
        <v>44</v>
      </c>
      <c r="BU21" s="6">
        <v>67.582100309999959</v>
      </c>
      <c r="BV21" s="6">
        <v>66.091666949999976</v>
      </c>
      <c r="BW21" s="6">
        <v>74.597086410000045</v>
      </c>
      <c r="BX21" s="6">
        <v>86.242119700000003</v>
      </c>
      <c r="BY21" s="7">
        <v>294.51297336999994</v>
      </c>
      <c r="BZ21" s="8"/>
      <c r="CA21" s="6" t="s">
        <v>28</v>
      </c>
      <c r="CB21" s="6">
        <v>56.918912149999905</v>
      </c>
      <c r="CC21" s="6">
        <v>111.29745288000025</v>
      </c>
      <c r="CD21" s="6">
        <v>87.696389580000101</v>
      </c>
      <c r="CE21" s="6">
        <v>81.150379959999739</v>
      </c>
      <c r="CF21" s="7">
        <v>337.06313456999999</v>
      </c>
      <c r="CH21" s="15" t="s">
        <v>48</v>
      </c>
      <c r="CI21" s="15">
        <v>42.543247339999922</v>
      </c>
      <c r="CJ21" s="15">
        <v>43.849022149999989</v>
      </c>
      <c r="CK21" s="15">
        <v>31.870197019999967</v>
      </c>
      <c r="CL21" s="15">
        <v>86.051019920000215</v>
      </c>
      <c r="CM21" s="7">
        <v>204.31348643000007</v>
      </c>
      <c r="CO21" s="15" t="s">
        <v>5</v>
      </c>
      <c r="CP21" s="15">
        <v>96.503635030000197</v>
      </c>
      <c r="CQ21" s="15">
        <v>114.23631067999975</v>
      </c>
      <c r="CR21" s="15">
        <v>134.48392410999986</v>
      </c>
      <c r="CS21" s="15">
        <v>124.16406016999915</v>
      </c>
      <c r="CT21" s="7">
        <v>469.38792998999895</v>
      </c>
    </row>
    <row r="22" spans="2:98" x14ac:dyDescent="0.25">
      <c r="B22" s="5" t="s">
        <v>36</v>
      </c>
      <c r="C22" s="6">
        <v>53.302250360000002</v>
      </c>
      <c r="D22" s="6">
        <v>90.06520415</v>
      </c>
      <c r="E22" s="6">
        <v>211.09260612</v>
      </c>
      <c r="F22" s="6">
        <v>97.524368580000015</v>
      </c>
      <c r="G22" s="7">
        <v>451.98442921000003</v>
      </c>
      <c r="I22" s="5" t="s">
        <v>16</v>
      </c>
      <c r="J22" s="6">
        <v>93.639508150000012</v>
      </c>
      <c r="K22" s="6">
        <v>110.30059531000002</v>
      </c>
      <c r="L22" s="6">
        <v>106.86706472</v>
      </c>
      <c r="M22" s="6">
        <v>136.56656898999998</v>
      </c>
      <c r="N22" s="7">
        <v>447.37373716999997</v>
      </c>
      <c r="P22" s="5" t="s">
        <v>36</v>
      </c>
      <c r="Q22" s="6">
        <v>106.65590166</v>
      </c>
      <c r="R22" s="6">
        <v>92.438431750000049</v>
      </c>
      <c r="S22" s="6">
        <v>131.23292695999996</v>
      </c>
      <c r="T22" s="6">
        <v>99.820797330000033</v>
      </c>
      <c r="U22" s="7">
        <v>430.14805770000004</v>
      </c>
      <c r="W22" s="5" t="s">
        <v>45</v>
      </c>
      <c r="X22" s="6">
        <v>106.41784482000003</v>
      </c>
      <c r="Y22" s="6">
        <v>136.48020135000002</v>
      </c>
      <c r="Z22" s="6">
        <v>55.844622659999999</v>
      </c>
      <c r="AA22" s="6">
        <v>46.271296699999994</v>
      </c>
      <c r="AB22" s="7">
        <v>345.01396553000001</v>
      </c>
      <c r="AD22" s="5" t="s">
        <v>4</v>
      </c>
      <c r="AE22" s="6">
        <v>66.14033301000002</v>
      </c>
      <c r="AF22" s="6">
        <v>43.567716109999985</v>
      </c>
      <c r="AG22" s="6">
        <v>72.658677160000011</v>
      </c>
      <c r="AH22" s="6">
        <v>52.221491769999979</v>
      </c>
      <c r="AI22" s="7">
        <v>234.58821804999999</v>
      </c>
      <c r="AK22" s="5" t="s">
        <v>25</v>
      </c>
      <c r="AL22" s="6">
        <v>56.04083901000002</v>
      </c>
      <c r="AM22" s="6">
        <v>67.693553710000003</v>
      </c>
      <c r="AN22" s="6">
        <v>58.920768009999996</v>
      </c>
      <c r="AO22" s="6">
        <v>85.264629430000014</v>
      </c>
      <c r="AP22" s="7">
        <v>267.91979016000005</v>
      </c>
      <c r="AR22" s="5" t="s">
        <v>22</v>
      </c>
      <c r="AS22" s="6">
        <v>101.13431753</v>
      </c>
      <c r="AT22" s="6">
        <v>53.359607339999997</v>
      </c>
      <c r="AU22" s="6">
        <v>20.948347569999999</v>
      </c>
      <c r="AV22" s="6">
        <v>91.344609520000006</v>
      </c>
      <c r="AW22" s="7">
        <v>266.78688196000002</v>
      </c>
      <c r="AY22" s="15" t="s">
        <v>26</v>
      </c>
      <c r="AZ22" s="6">
        <v>69.156445260000012</v>
      </c>
      <c r="BA22" s="6">
        <v>78.104330350000012</v>
      </c>
      <c r="BB22" s="6">
        <v>55.977282029999991</v>
      </c>
      <c r="BC22" s="6">
        <v>57.131937709999995</v>
      </c>
      <c r="BD22" s="7">
        <v>260.36999535000001</v>
      </c>
      <c r="BE22" s="8"/>
      <c r="BF22" s="15" t="s">
        <v>13</v>
      </c>
      <c r="BG22" s="6">
        <v>39.16832874</v>
      </c>
      <c r="BH22" s="6">
        <v>35.979202860000001</v>
      </c>
      <c r="BI22" s="6">
        <v>74.367337819999975</v>
      </c>
      <c r="BJ22" s="6">
        <v>43.854919029999984</v>
      </c>
      <c r="BK22" s="7">
        <v>193.36978844999996</v>
      </c>
      <c r="BL22" s="8"/>
      <c r="BM22" s="5" t="s">
        <v>44</v>
      </c>
      <c r="BN22" s="6">
        <v>26.372223659999992</v>
      </c>
      <c r="BO22" s="6">
        <v>49.393914509999988</v>
      </c>
      <c r="BP22" s="6">
        <v>107.47878571000008</v>
      </c>
      <c r="BQ22" s="6">
        <v>36.478595089999999</v>
      </c>
      <c r="BR22" s="7">
        <v>219.72351897000007</v>
      </c>
      <c r="BT22" s="15" t="s">
        <v>45</v>
      </c>
      <c r="BU22" s="6">
        <v>76.018085419999707</v>
      </c>
      <c r="BV22" s="6">
        <v>61.798626109999958</v>
      </c>
      <c r="BW22" s="6">
        <v>139.23822050999999</v>
      </c>
      <c r="BX22" s="6">
        <v>79.635400179999891</v>
      </c>
      <c r="BY22" s="7">
        <v>356.69033221999962</v>
      </c>
      <c r="BZ22" s="8"/>
      <c r="CA22" s="6" t="s">
        <v>49</v>
      </c>
      <c r="CB22" s="6">
        <v>67.651137320000032</v>
      </c>
      <c r="CC22" s="6">
        <v>61.680969060000031</v>
      </c>
      <c r="CD22" s="6">
        <v>36.168644280000017</v>
      </c>
      <c r="CE22" s="6">
        <v>52.364678750000017</v>
      </c>
      <c r="CF22" s="7">
        <v>217.8654294100001</v>
      </c>
      <c r="CH22" s="15" t="s">
        <v>43</v>
      </c>
      <c r="CI22" s="15">
        <v>24.623919270000044</v>
      </c>
      <c r="CJ22" s="15">
        <v>14.867184609999997</v>
      </c>
      <c r="CK22" s="15">
        <v>25.79349541999996</v>
      </c>
      <c r="CL22" s="15">
        <v>77.552597840000004</v>
      </c>
      <c r="CM22" s="7">
        <v>142.83719714</v>
      </c>
      <c r="CO22" s="15" t="s">
        <v>44</v>
      </c>
      <c r="CP22" s="15">
        <v>36.646534880000004</v>
      </c>
      <c r="CQ22" s="15">
        <v>20.844133959999997</v>
      </c>
      <c r="CR22" s="15">
        <v>42.828600919999985</v>
      </c>
      <c r="CS22" s="15">
        <v>119.75498244999999</v>
      </c>
      <c r="CT22" s="7">
        <v>220.07425220999997</v>
      </c>
    </row>
    <row r="23" spans="2:98" x14ac:dyDescent="0.25">
      <c r="B23" s="5" t="s">
        <v>40</v>
      </c>
      <c r="C23" s="6">
        <v>89.68066927000001</v>
      </c>
      <c r="D23" s="6">
        <v>76.911847770000023</v>
      </c>
      <c r="E23" s="6">
        <v>65.714880209999976</v>
      </c>
      <c r="F23" s="6">
        <v>79.851619719999988</v>
      </c>
      <c r="G23" s="7">
        <v>312.15901696999998</v>
      </c>
      <c r="I23" s="5" t="s">
        <v>0</v>
      </c>
      <c r="J23" s="6">
        <v>107.07095316999998</v>
      </c>
      <c r="K23" s="6">
        <v>69.349168640000016</v>
      </c>
      <c r="L23" s="6">
        <v>153.06701199</v>
      </c>
      <c r="M23" s="6">
        <v>75.289073389999999</v>
      </c>
      <c r="N23" s="7">
        <v>404.77620719000004</v>
      </c>
      <c r="P23" s="5" t="s">
        <v>13</v>
      </c>
      <c r="Q23" s="6">
        <v>59.448521209999996</v>
      </c>
      <c r="R23" s="6">
        <v>58.615653569999999</v>
      </c>
      <c r="S23" s="6">
        <v>95.540269019999997</v>
      </c>
      <c r="T23" s="6">
        <v>191.76430658000004</v>
      </c>
      <c r="U23" s="7">
        <v>405.36875038000005</v>
      </c>
      <c r="W23" s="5" t="s">
        <v>36</v>
      </c>
      <c r="X23" s="6">
        <v>95.841858190000025</v>
      </c>
      <c r="Y23" s="6">
        <v>71.804700289999985</v>
      </c>
      <c r="Z23" s="6">
        <v>78.991199460000033</v>
      </c>
      <c r="AA23" s="6">
        <v>73.05231203999999</v>
      </c>
      <c r="AB23" s="7">
        <v>319.69006998000003</v>
      </c>
      <c r="AD23" s="5" t="s">
        <v>37</v>
      </c>
      <c r="AE23" s="6">
        <v>47.616882519999983</v>
      </c>
      <c r="AF23" s="6">
        <v>60.182834289999988</v>
      </c>
      <c r="AG23" s="6">
        <v>60.264674469999953</v>
      </c>
      <c r="AH23" s="6">
        <v>52.796299759999989</v>
      </c>
      <c r="AI23" s="7">
        <v>220.86069103999986</v>
      </c>
      <c r="AK23" s="5" t="s">
        <v>26</v>
      </c>
      <c r="AL23" s="6">
        <v>86.950621339999984</v>
      </c>
      <c r="AM23" s="6">
        <v>63.520200719999984</v>
      </c>
      <c r="AN23" s="6">
        <v>56.299362289999991</v>
      </c>
      <c r="AO23" s="6">
        <v>59.673376980000022</v>
      </c>
      <c r="AP23" s="7">
        <v>266.44356132999997</v>
      </c>
      <c r="AR23" s="5" t="s">
        <v>44</v>
      </c>
      <c r="AS23" s="6">
        <v>81.532654510000015</v>
      </c>
      <c r="AT23" s="6">
        <v>51.11325853999999</v>
      </c>
      <c r="AU23" s="6">
        <v>52.961348210000025</v>
      </c>
      <c r="AV23" s="6">
        <v>60.978257529999993</v>
      </c>
      <c r="AW23" s="7">
        <v>246.58551879000004</v>
      </c>
      <c r="AY23" s="15" t="s">
        <v>2</v>
      </c>
      <c r="AZ23" s="6">
        <v>18.20189087</v>
      </c>
      <c r="BA23" s="6">
        <v>23.672533630000007</v>
      </c>
      <c r="BB23" s="6">
        <v>142.17932460999995</v>
      </c>
      <c r="BC23" s="6">
        <v>35.170337140000001</v>
      </c>
      <c r="BD23" s="7">
        <v>219.22408625</v>
      </c>
      <c r="BE23" s="8"/>
      <c r="BF23" s="15" t="s">
        <v>28</v>
      </c>
      <c r="BG23" s="6">
        <v>33.864294510000001</v>
      </c>
      <c r="BH23" s="6">
        <v>30.163853159999945</v>
      </c>
      <c r="BI23" s="6">
        <v>54.968529940000003</v>
      </c>
      <c r="BJ23" s="6">
        <v>28.749340139999962</v>
      </c>
      <c r="BK23" s="7">
        <v>147.74601774999991</v>
      </c>
      <c r="BL23" s="8"/>
      <c r="BM23" s="5" t="s">
        <v>49</v>
      </c>
      <c r="BN23" s="6">
        <v>28.683577339999974</v>
      </c>
      <c r="BO23" s="6">
        <v>44.464831110000027</v>
      </c>
      <c r="BP23" s="6">
        <v>71.507168330000013</v>
      </c>
      <c r="BQ23" s="6">
        <v>61.94315790999994</v>
      </c>
      <c r="BR23" s="7">
        <v>206.59873468999996</v>
      </c>
      <c r="BT23" s="5" t="s">
        <v>28</v>
      </c>
      <c r="BU23" s="6">
        <v>42.857024329999859</v>
      </c>
      <c r="BV23" s="6">
        <v>64.378112730000225</v>
      </c>
      <c r="BW23" s="6">
        <v>62.210394069999893</v>
      </c>
      <c r="BX23" s="6">
        <v>71.158904080000212</v>
      </c>
      <c r="BY23" s="7">
        <v>240.60443521000019</v>
      </c>
      <c r="BZ23" s="8"/>
      <c r="CA23" s="6" t="s">
        <v>27</v>
      </c>
      <c r="CB23" s="6">
        <v>60.8683727800002</v>
      </c>
      <c r="CC23" s="6">
        <v>33.122776560000041</v>
      </c>
      <c r="CD23" s="6">
        <v>28.562297530000066</v>
      </c>
      <c r="CE23" s="6">
        <v>87.606686129999929</v>
      </c>
      <c r="CF23" s="7">
        <v>210.16013300000026</v>
      </c>
      <c r="CH23" s="15" t="s">
        <v>14</v>
      </c>
      <c r="CI23" s="15">
        <v>339.58700627999968</v>
      </c>
      <c r="CJ23" s="15">
        <v>77.328999859999897</v>
      </c>
      <c r="CK23" s="15">
        <v>166.27290827999963</v>
      </c>
      <c r="CL23" s="15">
        <v>77.456349239999923</v>
      </c>
      <c r="CM23" s="7">
        <v>660.64526365999916</v>
      </c>
      <c r="CO23" s="15" t="s">
        <v>2</v>
      </c>
      <c r="CP23" s="15">
        <v>23.166503079999998</v>
      </c>
      <c r="CQ23" s="15">
        <v>21.184109839999998</v>
      </c>
      <c r="CR23" s="15">
        <v>11.563908199999995</v>
      </c>
      <c r="CS23" s="15">
        <v>106.41659515999996</v>
      </c>
      <c r="CT23" s="7">
        <v>162.33111627999995</v>
      </c>
    </row>
    <row r="24" spans="2:98" x14ac:dyDescent="0.25">
      <c r="B24" s="5" t="s">
        <v>30</v>
      </c>
      <c r="C24" s="6">
        <v>51.272143029999995</v>
      </c>
      <c r="D24" s="6">
        <v>70.874177979999999</v>
      </c>
      <c r="E24" s="6">
        <v>85.142865790000002</v>
      </c>
      <c r="F24" s="6">
        <v>65.949172260000012</v>
      </c>
      <c r="G24" s="7">
        <v>273.23835905999999</v>
      </c>
      <c r="I24" s="5" t="s">
        <v>45</v>
      </c>
      <c r="J24" s="6">
        <v>63.528215289999999</v>
      </c>
      <c r="K24" s="6">
        <v>112.35786434000001</v>
      </c>
      <c r="L24" s="6">
        <v>126.88540601</v>
      </c>
      <c r="M24" s="6">
        <v>88.202349349999992</v>
      </c>
      <c r="N24" s="7">
        <v>390.97383499</v>
      </c>
      <c r="P24" s="5" t="s">
        <v>22</v>
      </c>
      <c r="Q24" s="6">
        <v>110.96151958</v>
      </c>
      <c r="R24" s="6">
        <v>107.93874740000001</v>
      </c>
      <c r="S24" s="6">
        <v>75.307628259999973</v>
      </c>
      <c r="T24" s="6">
        <v>81.024555290000023</v>
      </c>
      <c r="U24" s="7">
        <v>375.23245052999999</v>
      </c>
      <c r="W24" s="5" t="s">
        <v>0</v>
      </c>
      <c r="X24" s="6">
        <v>69.595098329999999</v>
      </c>
      <c r="Y24" s="6">
        <v>76.130029669999999</v>
      </c>
      <c r="Z24" s="6">
        <v>75.066458769999997</v>
      </c>
      <c r="AA24" s="6">
        <v>56.229618770000009</v>
      </c>
      <c r="AB24" s="7">
        <v>277.02120554000004</v>
      </c>
      <c r="AD24" s="5" t="s">
        <v>35</v>
      </c>
      <c r="AE24" s="6">
        <v>62.711007310000006</v>
      </c>
      <c r="AF24" s="6">
        <v>39.942480480000022</v>
      </c>
      <c r="AG24" s="6">
        <v>35.542665899999974</v>
      </c>
      <c r="AH24" s="6">
        <v>76.654195399999978</v>
      </c>
      <c r="AI24" s="7">
        <v>214.85034908999998</v>
      </c>
      <c r="AK24" s="5" t="s">
        <v>0</v>
      </c>
      <c r="AL24" s="6">
        <v>32.50275463000002</v>
      </c>
      <c r="AM24" s="6">
        <v>33.81761750000004</v>
      </c>
      <c r="AN24" s="6">
        <v>106.79531902738006</v>
      </c>
      <c r="AO24" s="6">
        <v>80.577321700120081</v>
      </c>
      <c r="AP24" s="7">
        <v>253.69301285750021</v>
      </c>
      <c r="AR24" s="5" t="s">
        <v>13</v>
      </c>
      <c r="AS24" s="6">
        <v>51.550700120000002</v>
      </c>
      <c r="AT24" s="6">
        <v>61.605633620000006</v>
      </c>
      <c r="AU24" s="6">
        <v>63.778181109999998</v>
      </c>
      <c r="AV24" s="6">
        <v>57.575478260000018</v>
      </c>
      <c r="AW24" s="7">
        <v>234.50999311000004</v>
      </c>
      <c r="AY24" s="15" t="s">
        <v>27</v>
      </c>
      <c r="AZ24" s="6">
        <v>43.682714559999987</v>
      </c>
      <c r="BA24" s="6">
        <v>32.408508869999999</v>
      </c>
      <c r="BB24" s="6">
        <v>77.856254379999982</v>
      </c>
      <c r="BC24" s="6">
        <v>48.253035079999982</v>
      </c>
      <c r="BD24" s="7">
        <v>202.20051288999994</v>
      </c>
      <c r="BE24" s="8"/>
      <c r="BF24" s="15" t="s">
        <v>49</v>
      </c>
      <c r="BG24" s="6">
        <v>24.491200289999991</v>
      </c>
      <c r="BH24" s="6">
        <v>31.450843760000005</v>
      </c>
      <c r="BI24" s="6">
        <v>60.342940510000034</v>
      </c>
      <c r="BJ24" s="6">
        <v>27.692561849999986</v>
      </c>
      <c r="BK24" s="7">
        <v>143.97754641</v>
      </c>
      <c r="BL24" s="8"/>
      <c r="BM24" s="5" t="s">
        <v>52</v>
      </c>
      <c r="BN24" s="6">
        <v>17.642440660000002</v>
      </c>
      <c r="BO24" s="6">
        <v>0.69855454999999989</v>
      </c>
      <c r="BP24" s="6">
        <v>165.00091767999999</v>
      </c>
      <c r="BQ24" s="6">
        <v>0.18968858999999999</v>
      </c>
      <c r="BR24" s="7">
        <v>183.53160147999998</v>
      </c>
      <c r="BT24" s="5" t="s">
        <v>25</v>
      </c>
      <c r="BU24" s="6">
        <v>83.052272919999922</v>
      </c>
      <c r="BV24" s="6">
        <v>89.083932929999875</v>
      </c>
      <c r="BW24" s="6">
        <v>56.159657009999989</v>
      </c>
      <c r="BX24" s="6">
        <v>66.572827730000071</v>
      </c>
      <c r="BY24" s="7">
        <v>294.86869058999986</v>
      </c>
      <c r="BZ24" s="8"/>
      <c r="CA24" s="6" t="s">
        <v>30</v>
      </c>
      <c r="CB24" s="6">
        <v>69.410573250000155</v>
      </c>
      <c r="CC24" s="6">
        <v>56.119281009999995</v>
      </c>
      <c r="CD24" s="6">
        <v>35.893794050000018</v>
      </c>
      <c r="CE24" s="6">
        <v>38.704882039999987</v>
      </c>
      <c r="CF24" s="7">
        <v>200.12853035000018</v>
      </c>
      <c r="CH24" s="15" t="s">
        <v>13</v>
      </c>
      <c r="CI24" s="15">
        <v>35.804059160000016</v>
      </c>
      <c r="CJ24" s="15">
        <v>44.509127760000055</v>
      </c>
      <c r="CK24" s="15">
        <v>88.954650380000075</v>
      </c>
      <c r="CL24" s="15">
        <v>70.156568530000001</v>
      </c>
      <c r="CM24" s="7">
        <v>239.42440583000018</v>
      </c>
      <c r="CO24" s="15" t="s">
        <v>14</v>
      </c>
      <c r="CP24" s="15">
        <v>66.720484029999866</v>
      </c>
      <c r="CQ24" s="15">
        <v>91.73669225999997</v>
      </c>
      <c r="CR24" s="15">
        <v>71.751911080000013</v>
      </c>
      <c r="CS24" s="15">
        <v>85.239347399999815</v>
      </c>
      <c r="CT24" s="7">
        <v>315.44843476999966</v>
      </c>
    </row>
    <row r="25" spans="2:98" x14ac:dyDescent="0.25">
      <c r="B25" s="5" t="s">
        <v>28</v>
      </c>
      <c r="C25" s="6">
        <v>58.81174678</v>
      </c>
      <c r="D25" s="6">
        <v>40.132631969999998</v>
      </c>
      <c r="E25" s="6">
        <v>50.903237640000015</v>
      </c>
      <c r="F25" s="6">
        <v>99.103635680000011</v>
      </c>
      <c r="G25" s="7">
        <v>248.95125207000001</v>
      </c>
      <c r="I25" s="5" t="s">
        <v>13</v>
      </c>
      <c r="J25" s="6">
        <v>104.57269592</v>
      </c>
      <c r="K25" s="6">
        <v>57.90491703</v>
      </c>
      <c r="L25" s="6">
        <v>88.592707869999984</v>
      </c>
      <c r="M25" s="6">
        <v>51.396044240000002</v>
      </c>
      <c r="N25" s="7">
        <v>302.46636505999999</v>
      </c>
      <c r="P25" s="5" t="s">
        <v>30</v>
      </c>
      <c r="Q25" s="6">
        <v>85.523714929999997</v>
      </c>
      <c r="R25" s="6">
        <v>83.055257709999992</v>
      </c>
      <c r="S25" s="6">
        <v>100.48696820999999</v>
      </c>
      <c r="T25" s="6">
        <v>63.958028030000001</v>
      </c>
      <c r="U25" s="7">
        <v>333.02396888000004</v>
      </c>
      <c r="W25" s="5" t="s">
        <v>25</v>
      </c>
      <c r="X25" s="6">
        <v>62.001616339999991</v>
      </c>
      <c r="Y25" s="6">
        <v>72.606218239999961</v>
      </c>
      <c r="Z25" s="6">
        <v>55.618244530000005</v>
      </c>
      <c r="AA25" s="6">
        <v>75.658297750000003</v>
      </c>
      <c r="AB25" s="7">
        <v>265.88437685999997</v>
      </c>
      <c r="AD25" s="5" t="s">
        <v>26</v>
      </c>
      <c r="AE25" s="6">
        <v>45.264873449999996</v>
      </c>
      <c r="AF25" s="6">
        <v>28.837469689999999</v>
      </c>
      <c r="AG25" s="6">
        <v>56.857065249999998</v>
      </c>
      <c r="AH25" s="6">
        <v>57.094562709999998</v>
      </c>
      <c r="AI25" s="7">
        <v>188.05397110000001</v>
      </c>
      <c r="AK25" s="5" t="s">
        <v>2</v>
      </c>
      <c r="AL25" s="6">
        <v>25.138770759999989</v>
      </c>
      <c r="AM25" s="6">
        <v>47.252919728399995</v>
      </c>
      <c r="AN25" s="6">
        <v>67.475344089999993</v>
      </c>
      <c r="AO25" s="6">
        <v>52.368333214770018</v>
      </c>
      <c r="AP25" s="7">
        <v>192.23536779316998</v>
      </c>
      <c r="AR25" s="5" t="s">
        <v>28</v>
      </c>
      <c r="AS25" s="6">
        <v>41.348738139999917</v>
      </c>
      <c r="AT25" s="6">
        <v>48.752982799999991</v>
      </c>
      <c r="AU25" s="6">
        <v>43.312295519999978</v>
      </c>
      <c r="AV25" s="6">
        <v>34.232202190000002</v>
      </c>
      <c r="AW25" s="7">
        <v>167.64621864999989</v>
      </c>
      <c r="AY25" s="15" t="s">
        <v>28</v>
      </c>
      <c r="AZ25" s="6">
        <v>35.945404429999996</v>
      </c>
      <c r="BA25" s="6">
        <v>35.301456380000005</v>
      </c>
      <c r="BB25" s="6">
        <v>33.258621710000007</v>
      </c>
      <c r="BC25" s="6">
        <v>44.193977709999999</v>
      </c>
      <c r="BD25" s="7">
        <v>148.69946023000003</v>
      </c>
      <c r="BE25" s="8"/>
      <c r="BF25" s="15" t="s">
        <v>27</v>
      </c>
      <c r="BG25" s="6">
        <v>31.418591389999957</v>
      </c>
      <c r="BH25" s="6">
        <v>50.04810522000011</v>
      </c>
      <c r="BI25" s="6">
        <v>23.157189540000044</v>
      </c>
      <c r="BJ25" s="6">
        <v>23.666421190000026</v>
      </c>
      <c r="BK25" s="7">
        <v>128.29030734000014</v>
      </c>
      <c r="BL25" s="8"/>
      <c r="BM25" s="5" t="s">
        <v>28</v>
      </c>
      <c r="BN25" s="6">
        <v>35.093734300000037</v>
      </c>
      <c r="BO25" s="6">
        <v>52.399966729999974</v>
      </c>
      <c r="BP25" s="6">
        <v>36.271506390000035</v>
      </c>
      <c r="BQ25" s="6">
        <v>57.565444879999966</v>
      </c>
      <c r="BR25" s="7">
        <v>181.33065230000003</v>
      </c>
      <c r="BT25" s="5" t="s">
        <v>27</v>
      </c>
      <c r="BU25" s="6">
        <v>30.772846439999832</v>
      </c>
      <c r="BV25" s="6">
        <v>50.287232519999804</v>
      </c>
      <c r="BW25" s="6">
        <v>81.953114799999881</v>
      </c>
      <c r="BX25" s="6">
        <v>53.694905989999825</v>
      </c>
      <c r="BY25" s="7">
        <v>216.70809974999935</v>
      </c>
      <c r="BZ25" s="8"/>
      <c r="CA25" s="6" t="s">
        <v>2</v>
      </c>
      <c r="CB25" s="6">
        <v>14.500604840000012</v>
      </c>
      <c r="CC25" s="6">
        <v>21.202475299999982</v>
      </c>
      <c r="CD25" s="6">
        <v>37.548907759999999</v>
      </c>
      <c r="CE25" s="6">
        <v>117.43880838000005</v>
      </c>
      <c r="CF25" s="7">
        <v>190.69079628000003</v>
      </c>
      <c r="CH25" s="15" t="s">
        <v>49</v>
      </c>
      <c r="CI25" s="15">
        <v>39.496936499999975</v>
      </c>
      <c r="CJ25" s="15">
        <v>48.196064319999977</v>
      </c>
      <c r="CK25" s="15">
        <v>47.806994639999978</v>
      </c>
      <c r="CL25" s="15">
        <v>53.585995529999977</v>
      </c>
      <c r="CM25" s="7">
        <v>189.08599098999991</v>
      </c>
      <c r="CO25" s="15" t="s">
        <v>13</v>
      </c>
      <c r="CP25" s="15">
        <v>155.13062218000007</v>
      </c>
      <c r="CQ25" s="15">
        <v>31.05870221</v>
      </c>
      <c r="CR25" s="15">
        <v>21.495636959999977</v>
      </c>
      <c r="CS25" s="15">
        <v>80.260404810000111</v>
      </c>
      <c r="CT25" s="7">
        <v>287.94536616000016</v>
      </c>
    </row>
    <row r="26" spans="2:98" x14ac:dyDescent="0.25">
      <c r="B26" s="9" t="s">
        <v>43</v>
      </c>
      <c r="C26" s="6">
        <v>84.726798029999998</v>
      </c>
      <c r="D26" s="6">
        <v>35.784714770000001</v>
      </c>
      <c r="E26" s="6">
        <v>50.66662324</v>
      </c>
      <c r="F26" s="6">
        <v>58.211233360000001</v>
      </c>
      <c r="G26" s="7">
        <v>229.38936939999999</v>
      </c>
      <c r="I26" s="9" t="s">
        <v>25</v>
      </c>
      <c r="J26" s="6">
        <v>68.521142949999998</v>
      </c>
      <c r="K26" s="6">
        <v>80.380485769999993</v>
      </c>
      <c r="L26" s="6">
        <v>43.806870659999994</v>
      </c>
      <c r="M26" s="6">
        <v>73.053024500000006</v>
      </c>
      <c r="N26" s="7">
        <v>265.76152387999997</v>
      </c>
      <c r="P26" s="5" t="s">
        <v>28</v>
      </c>
      <c r="Q26" s="6">
        <v>68.263041569999999</v>
      </c>
      <c r="R26" s="6">
        <v>59.588932000000014</v>
      </c>
      <c r="S26" s="6">
        <v>91.547299190000004</v>
      </c>
      <c r="T26" s="6">
        <v>54.195660719999985</v>
      </c>
      <c r="U26" s="7">
        <v>273.59493347999995</v>
      </c>
      <c r="W26" s="5" t="s">
        <v>26</v>
      </c>
      <c r="X26" s="6">
        <v>89.865547559999996</v>
      </c>
      <c r="Y26" s="6">
        <v>56.207012920000018</v>
      </c>
      <c r="Z26" s="6">
        <v>42.999899830000011</v>
      </c>
      <c r="AA26" s="6">
        <v>61.695036269999996</v>
      </c>
      <c r="AB26" s="7">
        <v>250.76749658000006</v>
      </c>
      <c r="AD26" s="5" t="s">
        <v>25</v>
      </c>
      <c r="AE26" s="6">
        <v>50.441203200000025</v>
      </c>
      <c r="AF26" s="6">
        <v>28.04855603999999</v>
      </c>
      <c r="AG26" s="6">
        <v>40.002069269999993</v>
      </c>
      <c r="AH26" s="6">
        <v>65.377944320000012</v>
      </c>
      <c r="AI26" s="7">
        <v>183.86977283000002</v>
      </c>
      <c r="AK26" s="5" t="s">
        <v>37</v>
      </c>
      <c r="AL26" s="6">
        <v>45.90067617999992</v>
      </c>
      <c r="AM26" s="6">
        <v>47.505071020000045</v>
      </c>
      <c r="AN26" s="6">
        <v>47.663034170000017</v>
      </c>
      <c r="AO26" s="6">
        <v>46.105811369999955</v>
      </c>
      <c r="AP26" s="7">
        <v>187.17459273999992</v>
      </c>
      <c r="AR26" s="5" t="s">
        <v>48</v>
      </c>
      <c r="AS26" s="6">
        <v>7.6006450000000003E-2</v>
      </c>
      <c r="AT26" s="6">
        <v>48.656413880000002</v>
      </c>
      <c r="AU26" s="6">
        <v>15.988660600000006</v>
      </c>
      <c r="AV26" s="6">
        <v>77.718328830000004</v>
      </c>
      <c r="AW26" s="7">
        <v>142.43940975999999</v>
      </c>
      <c r="AY26" s="15" t="s">
        <v>49</v>
      </c>
      <c r="AZ26" s="6">
        <v>35.12606353999999</v>
      </c>
      <c r="BA26" s="6">
        <v>36.288581730000004</v>
      </c>
      <c r="BB26" s="6">
        <v>35.209452949999992</v>
      </c>
      <c r="BC26" s="6">
        <v>41.177574250000006</v>
      </c>
      <c r="BD26" s="7">
        <v>147.80167247000003</v>
      </c>
      <c r="BE26" s="8"/>
      <c r="BF26" s="15" t="s">
        <v>48</v>
      </c>
      <c r="BG26" s="6">
        <v>37.670077619999979</v>
      </c>
      <c r="BH26" s="6">
        <v>20.262393930000012</v>
      </c>
      <c r="BI26" s="6">
        <v>26.696334769999979</v>
      </c>
      <c r="BJ26" s="6">
        <v>36.69692448</v>
      </c>
      <c r="BK26" s="7">
        <v>121.32573079999997</v>
      </c>
      <c r="BL26" s="8"/>
      <c r="BM26" s="5" t="s">
        <v>13</v>
      </c>
      <c r="BN26" s="6">
        <v>46.278241980000054</v>
      </c>
      <c r="BO26" s="6">
        <v>35.123191570000003</v>
      </c>
      <c r="BP26" s="6">
        <v>82.717634899999808</v>
      </c>
      <c r="BQ26" s="6">
        <v>13.514111650000006</v>
      </c>
      <c r="BR26" s="7">
        <v>177.63318009999986</v>
      </c>
      <c r="BT26" s="15" t="s">
        <v>26</v>
      </c>
      <c r="BU26" s="6">
        <v>47.483790139999968</v>
      </c>
      <c r="BV26" s="6">
        <v>37.682452380000001</v>
      </c>
      <c r="BW26" s="6">
        <v>25.71101522</v>
      </c>
      <c r="BX26" s="6">
        <v>53.30080143000005</v>
      </c>
      <c r="BY26" s="7">
        <v>164.17805917000004</v>
      </c>
      <c r="BZ26" s="8"/>
      <c r="CA26" s="6" t="s">
        <v>44</v>
      </c>
      <c r="CB26" s="6">
        <v>45.500468210000008</v>
      </c>
      <c r="CC26" s="6">
        <v>28.137727040000009</v>
      </c>
      <c r="CD26" s="6">
        <v>74.558989759999989</v>
      </c>
      <c r="CE26" s="6">
        <v>39.674698599999971</v>
      </c>
      <c r="CF26" s="7">
        <v>187.87188360999997</v>
      </c>
      <c r="CH26" s="15" t="s">
        <v>30</v>
      </c>
      <c r="CI26" s="15">
        <v>57.123669880000001</v>
      </c>
      <c r="CJ26" s="15">
        <v>38.379931810000009</v>
      </c>
      <c r="CK26" s="15">
        <v>46.57193965000004</v>
      </c>
      <c r="CL26" s="15">
        <v>52.205055919999964</v>
      </c>
      <c r="CM26" s="7">
        <v>194.28059726000004</v>
      </c>
      <c r="CO26" s="15" t="s">
        <v>45</v>
      </c>
      <c r="CP26" s="15">
        <v>168.52215555000032</v>
      </c>
      <c r="CQ26" s="15">
        <v>85.998010799999818</v>
      </c>
      <c r="CR26" s="15">
        <v>80.799014999999912</v>
      </c>
      <c r="CS26" s="15">
        <v>74.120392229999808</v>
      </c>
      <c r="CT26" s="7">
        <v>409.43957357999983</v>
      </c>
    </row>
    <row r="27" spans="2:98" x14ac:dyDescent="0.25">
      <c r="B27" s="5" t="s">
        <v>25</v>
      </c>
      <c r="C27" s="6">
        <v>63.448723909999998</v>
      </c>
      <c r="D27" s="6">
        <v>42.056828760000002</v>
      </c>
      <c r="E27" s="6">
        <v>60.396143240000001</v>
      </c>
      <c r="F27" s="6">
        <v>47.786281980000005</v>
      </c>
      <c r="G27" s="7">
        <v>213.68797788999998</v>
      </c>
      <c r="I27" s="5" t="s">
        <v>30</v>
      </c>
      <c r="J27" s="6">
        <v>52.077628730000001</v>
      </c>
      <c r="K27" s="6">
        <v>37.711591840000004</v>
      </c>
      <c r="L27" s="6">
        <v>78.822475609999998</v>
      </c>
      <c r="M27" s="6">
        <v>77.077419689999999</v>
      </c>
      <c r="N27" s="7">
        <v>245.68911586999999</v>
      </c>
      <c r="P27" s="5" t="s">
        <v>26</v>
      </c>
      <c r="Q27" s="6">
        <v>52.807462920000006</v>
      </c>
      <c r="R27" s="6">
        <v>62.69247056999999</v>
      </c>
      <c r="S27" s="6">
        <v>56.799936659999993</v>
      </c>
      <c r="T27" s="6">
        <v>86.506594459999974</v>
      </c>
      <c r="U27" s="7">
        <v>258.80646460999992</v>
      </c>
      <c r="W27" s="5" t="s">
        <v>40</v>
      </c>
      <c r="X27" s="6">
        <v>82.21352327999999</v>
      </c>
      <c r="Y27" s="6">
        <v>64.989192179999975</v>
      </c>
      <c r="Z27" s="6">
        <v>65.665151460000018</v>
      </c>
      <c r="AA27" s="6">
        <v>24.801617370000006</v>
      </c>
      <c r="AB27" s="7">
        <v>237.66948428999999</v>
      </c>
      <c r="AD27" s="5" t="s">
        <v>36</v>
      </c>
      <c r="AE27" s="6">
        <v>41.564822619999987</v>
      </c>
      <c r="AF27" s="6">
        <v>25.994071719999994</v>
      </c>
      <c r="AG27" s="6">
        <v>56.180487999999997</v>
      </c>
      <c r="AH27" s="6">
        <v>51.939458869999989</v>
      </c>
      <c r="AI27" s="7">
        <v>175.67884121</v>
      </c>
      <c r="AK27" s="5" t="s">
        <v>18</v>
      </c>
      <c r="AL27" s="6">
        <v>155.13331068448002</v>
      </c>
      <c r="AM27" s="6">
        <v>6.0897710000000008E-2</v>
      </c>
      <c r="AN27" s="6">
        <v>21.935006849000001</v>
      </c>
      <c r="AO27" s="6">
        <v>1.9466739999999996E-2</v>
      </c>
      <c r="AP27" s="7">
        <v>177.14868198348</v>
      </c>
      <c r="AR27" s="5" t="s">
        <v>49</v>
      </c>
      <c r="AS27" s="6">
        <v>30.053855899999999</v>
      </c>
      <c r="AT27" s="6">
        <v>33.151209879999996</v>
      </c>
      <c r="AU27" s="6">
        <v>36.425062109999999</v>
      </c>
      <c r="AV27" s="6">
        <v>38.18506077</v>
      </c>
      <c r="AW27" s="7">
        <v>137.81518865999999</v>
      </c>
      <c r="AY27" s="15" t="s">
        <v>48</v>
      </c>
      <c r="AZ27" s="6">
        <v>21.738287350000007</v>
      </c>
      <c r="BA27" s="6">
        <v>43.852526539999985</v>
      </c>
      <c r="BB27" s="6">
        <v>24.578133200000003</v>
      </c>
      <c r="BC27" s="6">
        <v>21.539975100000003</v>
      </c>
      <c r="BD27" s="7">
        <v>111.70892218999998</v>
      </c>
      <c r="BE27" s="8"/>
      <c r="BF27" s="15" t="s">
        <v>57</v>
      </c>
      <c r="BG27" s="6">
        <v>34.574993490000011</v>
      </c>
      <c r="BH27" s="6">
        <v>22.792074660000001</v>
      </c>
      <c r="BI27" s="6">
        <v>9.8455222900000017</v>
      </c>
      <c r="BJ27" s="6">
        <v>32.992896240000007</v>
      </c>
      <c r="BK27" s="7">
        <v>100.20548668000002</v>
      </c>
      <c r="BL27" s="8"/>
      <c r="BM27" s="15" t="s">
        <v>53</v>
      </c>
      <c r="BN27" s="6">
        <v>43.899147009999986</v>
      </c>
      <c r="BO27" s="6">
        <v>79.40905170000002</v>
      </c>
      <c r="BP27" s="6">
        <v>40.73562463999999</v>
      </c>
      <c r="BQ27" s="6">
        <v>10.970607049999996</v>
      </c>
      <c r="BR27" s="7">
        <v>175.01443039999998</v>
      </c>
      <c r="BT27" s="15" t="s">
        <v>30</v>
      </c>
      <c r="BU27" s="6">
        <v>39.675031249999989</v>
      </c>
      <c r="BV27" s="6">
        <v>87.331167479999976</v>
      </c>
      <c r="BW27" s="6">
        <v>72.946182580000041</v>
      </c>
      <c r="BX27" s="6">
        <v>51.665066979999885</v>
      </c>
      <c r="BY27" s="7">
        <v>251.61744828999991</v>
      </c>
      <c r="BZ27" s="8"/>
      <c r="CA27" s="6" t="s">
        <v>59</v>
      </c>
      <c r="CB27" s="6">
        <v>68.692852860000016</v>
      </c>
      <c r="CC27" s="6">
        <v>4.699395</v>
      </c>
      <c r="CD27" s="6">
        <v>55.067009570000003</v>
      </c>
      <c r="CE27" s="6">
        <v>33.524028059999992</v>
      </c>
      <c r="CF27" s="7">
        <v>161.98328549000001</v>
      </c>
      <c r="CH27" s="15" t="s">
        <v>26</v>
      </c>
      <c r="CI27" s="15">
        <v>57.244679559999973</v>
      </c>
      <c r="CJ27" s="15">
        <v>37.02931883000003</v>
      </c>
      <c r="CK27" s="15">
        <v>28.768317799999984</v>
      </c>
      <c r="CL27" s="15">
        <v>51.958649439999981</v>
      </c>
      <c r="CM27" s="7">
        <v>175.00096562999997</v>
      </c>
      <c r="CO27" s="15" t="s">
        <v>26</v>
      </c>
      <c r="CP27" s="15">
        <v>67.034503549999997</v>
      </c>
      <c r="CQ27" s="15">
        <v>25.08884746</v>
      </c>
      <c r="CR27" s="15">
        <v>23.592969230000008</v>
      </c>
      <c r="CS27" s="15">
        <v>70.784683820000012</v>
      </c>
      <c r="CT27" s="7">
        <v>186.50100406000001</v>
      </c>
    </row>
    <row r="28" spans="2:98" x14ac:dyDescent="0.25">
      <c r="B28" s="9" t="s">
        <v>13</v>
      </c>
      <c r="C28" s="6">
        <v>17.78540946</v>
      </c>
      <c r="D28" s="6">
        <v>68.033509420000001</v>
      </c>
      <c r="E28" s="6">
        <v>34.652496169999999</v>
      </c>
      <c r="F28" s="6">
        <v>87.594015810000002</v>
      </c>
      <c r="G28" s="7">
        <v>208.06543086000002</v>
      </c>
      <c r="I28" s="5" t="s">
        <v>40</v>
      </c>
      <c r="J28" s="6">
        <v>64.898421089999985</v>
      </c>
      <c r="K28" s="6">
        <v>69.860762829999985</v>
      </c>
      <c r="L28" s="6">
        <v>61.213287740000005</v>
      </c>
      <c r="M28" s="6">
        <v>32.926988929999993</v>
      </c>
      <c r="N28" s="7">
        <v>228.89946058999996</v>
      </c>
      <c r="P28" s="9" t="s">
        <v>25</v>
      </c>
      <c r="Q28" s="6">
        <v>58.980184359999981</v>
      </c>
      <c r="R28" s="6">
        <v>57.801711750000003</v>
      </c>
      <c r="S28" s="6">
        <v>61.378001760000004</v>
      </c>
      <c r="T28" s="6">
        <v>62.296406850000018</v>
      </c>
      <c r="U28" s="7">
        <v>240.45630472000002</v>
      </c>
      <c r="W28" s="9" t="s">
        <v>28</v>
      </c>
      <c r="X28" s="6">
        <v>58.527111389999945</v>
      </c>
      <c r="Y28" s="6">
        <v>55.33730516</v>
      </c>
      <c r="Z28" s="6">
        <v>43.827505589999973</v>
      </c>
      <c r="AA28" s="6">
        <v>65.727424810000002</v>
      </c>
      <c r="AB28" s="7">
        <v>223.41934694999992</v>
      </c>
      <c r="AD28" s="9" t="s">
        <v>0</v>
      </c>
      <c r="AE28" s="6">
        <v>31.248015319999993</v>
      </c>
      <c r="AF28" s="6">
        <v>66.382849979999989</v>
      </c>
      <c r="AG28" s="6">
        <v>32.405149530000017</v>
      </c>
      <c r="AH28" s="6">
        <v>42.174950399999965</v>
      </c>
      <c r="AI28" s="7">
        <v>172.21096523</v>
      </c>
      <c r="AK28" s="9" t="s">
        <v>38</v>
      </c>
      <c r="AL28" s="6">
        <v>0</v>
      </c>
      <c r="AM28" s="6">
        <v>19.21094303328</v>
      </c>
      <c r="AN28" s="6">
        <v>103.51258095825001</v>
      </c>
      <c r="AO28" s="6">
        <v>43.948527499999997</v>
      </c>
      <c r="AP28" s="7">
        <v>166.67205149153</v>
      </c>
      <c r="AR28" s="9" t="s">
        <v>31</v>
      </c>
      <c r="AS28" s="6">
        <v>133.59795364000001</v>
      </c>
      <c r="AT28" s="6">
        <v>0.45135987999999999</v>
      </c>
      <c r="AU28" s="6">
        <v>1.3292459800000005</v>
      </c>
      <c r="AV28" s="6">
        <v>1.0676404900000003</v>
      </c>
      <c r="AW28" s="7">
        <v>136.44619998999997</v>
      </c>
      <c r="AY28" s="15" t="s">
        <v>13</v>
      </c>
      <c r="AZ28" s="6">
        <v>30.180911990000002</v>
      </c>
      <c r="BA28" s="6">
        <v>7.03111496</v>
      </c>
      <c r="BB28" s="6">
        <v>26.13670286</v>
      </c>
      <c r="BC28" s="6">
        <v>42.772075000000001</v>
      </c>
      <c r="BD28" s="7">
        <v>106.12080481000002</v>
      </c>
      <c r="BE28" s="8"/>
      <c r="BF28" s="15" t="s">
        <v>51</v>
      </c>
      <c r="BG28" s="6">
        <v>10.616543130000011</v>
      </c>
      <c r="BH28" s="6">
        <v>43.195963440000021</v>
      </c>
      <c r="BI28" s="6">
        <v>34.523041050000003</v>
      </c>
      <c r="BJ28" s="6">
        <v>10.604063530000005</v>
      </c>
      <c r="BK28" s="7">
        <v>98.939611150000033</v>
      </c>
      <c r="BL28" s="8"/>
      <c r="BM28" s="9" t="s">
        <v>26</v>
      </c>
      <c r="BN28" s="6">
        <v>11.073458780000005</v>
      </c>
      <c r="BO28" s="6">
        <v>21.17004606999998</v>
      </c>
      <c r="BP28" s="6">
        <v>45.996166790000032</v>
      </c>
      <c r="BQ28" s="6">
        <v>79.056772389999921</v>
      </c>
      <c r="BR28" s="7">
        <v>157.29644402999995</v>
      </c>
      <c r="BT28" s="15" t="s">
        <v>43</v>
      </c>
      <c r="BU28" s="6">
        <v>70.817194979999968</v>
      </c>
      <c r="BV28" s="6">
        <v>69.985136220000015</v>
      </c>
      <c r="BW28" s="6">
        <v>6.9414003200000005</v>
      </c>
      <c r="BX28" s="6">
        <v>43.741453090000014</v>
      </c>
      <c r="BY28" s="7">
        <v>191.48518461</v>
      </c>
      <c r="BZ28" s="8"/>
      <c r="CA28" s="6" t="s">
        <v>26</v>
      </c>
      <c r="CB28" s="6">
        <v>26.797862459999987</v>
      </c>
      <c r="CC28" s="6">
        <v>40.26685390999998</v>
      </c>
      <c r="CD28" s="6">
        <v>44.540573190000003</v>
      </c>
      <c r="CE28" s="6">
        <v>29.877771420000009</v>
      </c>
      <c r="CF28" s="7">
        <v>141.48306097999998</v>
      </c>
      <c r="CH28" s="15" t="s">
        <v>44</v>
      </c>
      <c r="CI28" s="15">
        <v>106.65704025999997</v>
      </c>
      <c r="CJ28" s="15">
        <v>126.42284613000002</v>
      </c>
      <c r="CK28" s="15">
        <v>30.631976550000001</v>
      </c>
      <c r="CL28" s="15">
        <v>45.887130750000033</v>
      </c>
      <c r="CM28" s="7">
        <v>309.59899369000004</v>
      </c>
      <c r="CO28" s="15" t="s">
        <v>66</v>
      </c>
      <c r="CP28" s="15">
        <v>7.4065145999999995</v>
      </c>
      <c r="CQ28" s="15">
        <v>28.484808949999987</v>
      </c>
      <c r="CR28" s="15">
        <v>35.661443010000013</v>
      </c>
      <c r="CS28" s="15">
        <v>70.399888010000026</v>
      </c>
      <c r="CT28" s="7">
        <v>141.95265457000005</v>
      </c>
    </row>
    <row r="29" spans="2:98" x14ac:dyDescent="0.25">
      <c r="B29" s="5" t="s">
        <v>45</v>
      </c>
      <c r="C29" s="6">
        <v>46.306264770000006</v>
      </c>
      <c r="D29" s="6">
        <v>52.648557709999992</v>
      </c>
      <c r="E29" s="6">
        <v>48.989784250000007</v>
      </c>
      <c r="F29" s="6">
        <v>56.172908609999986</v>
      </c>
      <c r="G29" s="7">
        <v>204.11751533999998</v>
      </c>
      <c r="I29" s="5" t="s">
        <v>26</v>
      </c>
      <c r="J29" s="6">
        <v>60.495984560000004</v>
      </c>
      <c r="K29" s="6">
        <v>58.926117809999994</v>
      </c>
      <c r="L29" s="6">
        <v>48.768070530000003</v>
      </c>
      <c r="M29" s="6">
        <v>45.332335769999993</v>
      </c>
      <c r="N29" s="7">
        <v>213.52250867000001</v>
      </c>
      <c r="P29" s="5" t="s">
        <v>40</v>
      </c>
      <c r="Q29" s="6">
        <v>39.290513869999991</v>
      </c>
      <c r="R29" s="6">
        <v>41.475437310000018</v>
      </c>
      <c r="S29" s="6">
        <v>52.389823230000012</v>
      </c>
      <c r="T29" s="6">
        <v>51.034984080000008</v>
      </c>
      <c r="U29" s="7">
        <v>184.19075849000001</v>
      </c>
      <c r="W29" s="5" t="s">
        <v>13</v>
      </c>
      <c r="X29" s="6">
        <v>116.19972449999999</v>
      </c>
      <c r="Y29" s="6">
        <v>68.86136405000002</v>
      </c>
      <c r="Z29" s="6">
        <v>9.5861829700000012</v>
      </c>
      <c r="AA29" s="6">
        <v>26.236980839999998</v>
      </c>
      <c r="AB29" s="7">
        <v>220.88425236</v>
      </c>
      <c r="AD29" s="5" t="s">
        <v>39</v>
      </c>
      <c r="AE29" s="6">
        <v>131.80755280000002</v>
      </c>
      <c r="AF29" s="6">
        <v>27.04875844</v>
      </c>
      <c r="AG29" s="6">
        <v>3.7087452299999999</v>
      </c>
      <c r="AH29" s="6">
        <v>6.51242403</v>
      </c>
      <c r="AI29" s="7">
        <v>169.07748050000001</v>
      </c>
      <c r="AK29" s="5" t="s">
        <v>13</v>
      </c>
      <c r="AL29" s="6">
        <v>68.293928459999989</v>
      </c>
      <c r="AM29" s="6">
        <v>32.179630360000019</v>
      </c>
      <c r="AN29" s="6">
        <v>39.141932590000003</v>
      </c>
      <c r="AO29" s="6">
        <v>5.8933555399999991</v>
      </c>
      <c r="AP29" s="7">
        <v>145.50884695000002</v>
      </c>
      <c r="AR29" s="5" t="s">
        <v>27</v>
      </c>
      <c r="AS29" s="6">
        <v>37.763210919999992</v>
      </c>
      <c r="AT29" s="6">
        <v>29.922597319999962</v>
      </c>
      <c r="AU29" s="6">
        <v>29.751882909999988</v>
      </c>
      <c r="AV29" s="6">
        <v>35.844758909999996</v>
      </c>
      <c r="AW29" s="7">
        <v>133.28245005999995</v>
      </c>
      <c r="AY29" s="15" t="s">
        <v>29</v>
      </c>
      <c r="AZ29" s="6">
        <v>13.271795220000003</v>
      </c>
      <c r="BA29" s="6">
        <v>23.743299589999996</v>
      </c>
      <c r="BB29" s="6">
        <v>21.65185241</v>
      </c>
      <c r="BC29" s="6">
        <v>23.014526780000001</v>
      </c>
      <c r="BD29" s="7">
        <v>81.681473999999994</v>
      </c>
      <c r="BE29" s="8"/>
      <c r="BF29" s="15" t="s">
        <v>2</v>
      </c>
      <c r="BG29" s="6">
        <v>13.205206269999996</v>
      </c>
      <c r="BH29" s="6">
        <v>37.212655589999997</v>
      </c>
      <c r="BI29" s="6">
        <v>14.152149359999994</v>
      </c>
      <c r="BJ29" s="6">
        <v>33.18587788</v>
      </c>
      <c r="BK29" s="7">
        <v>97.75588909999999</v>
      </c>
      <c r="BL29" s="8"/>
      <c r="BM29" s="9" t="s">
        <v>30</v>
      </c>
      <c r="BN29" s="6">
        <v>17.796940679999985</v>
      </c>
      <c r="BO29" s="6">
        <v>32.075581889999967</v>
      </c>
      <c r="BP29" s="6">
        <v>47.668415210000184</v>
      </c>
      <c r="BQ29" s="6">
        <v>44.011095499999868</v>
      </c>
      <c r="BR29" s="7">
        <v>141.55203327999999</v>
      </c>
      <c r="BT29" s="15" t="s">
        <v>42</v>
      </c>
      <c r="BU29" s="6">
        <v>26.272711389999984</v>
      </c>
      <c r="BV29" s="6">
        <v>57.51174687000006</v>
      </c>
      <c r="BW29" s="6">
        <v>22.680430590000029</v>
      </c>
      <c r="BX29" s="6">
        <v>23.937564120000019</v>
      </c>
      <c r="BY29" s="7">
        <v>130.40245297000007</v>
      </c>
      <c r="BZ29" s="8"/>
      <c r="CA29" s="6" t="s">
        <v>25</v>
      </c>
      <c r="CB29" s="6">
        <v>41.051927990000074</v>
      </c>
      <c r="CC29" s="6">
        <v>35.971164349999995</v>
      </c>
      <c r="CD29" s="6">
        <v>35.282808889999998</v>
      </c>
      <c r="CE29" s="6">
        <v>28.045451569999983</v>
      </c>
      <c r="CF29" s="7">
        <v>140.35135280000003</v>
      </c>
      <c r="CH29" s="15" t="s">
        <v>25</v>
      </c>
      <c r="CI29" s="15">
        <v>27.463488369999983</v>
      </c>
      <c r="CJ29" s="15">
        <v>23.166058940000021</v>
      </c>
      <c r="CK29" s="15">
        <v>31.526092079999962</v>
      </c>
      <c r="CL29" s="15">
        <v>37.383748820000015</v>
      </c>
      <c r="CM29" s="7">
        <v>119.53938821</v>
      </c>
      <c r="CO29" s="15" t="s">
        <v>59</v>
      </c>
      <c r="CP29" s="15">
        <v>132.19930596000003</v>
      </c>
      <c r="CQ29" s="15">
        <v>7.1100229999999991</v>
      </c>
      <c r="CR29" s="15">
        <v>13.437132959999998</v>
      </c>
      <c r="CS29" s="15">
        <v>55.657564730000004</v>
      </c>
      <c r="CT29" s="7">
        <v>208.40402665000005</v>
      </c>
    </row>
    <row r="30" spans="2:98" x14ac:dyDescent="0.25">
      <c r="B30" s="9" t="s">
        <v>26</v>
      </c>
      <c r="C30" s="6">
        <v>51.024373789999999</v>
      </c>
      <c r="D30" s="6">
        <v>46.135625809999993</v>
      </c>
      <c r="E30" s="6">
        <v>34.159162590000001</v>
      </c>
      <c r="F30" s="6">
        <v>59.306402859999999</v>
      </c>
      <c r="G30" s="7">
        <v>190.62556505000001</v>
      </c>
      <c r="I30" s="9" t="s">
        <v>42</v>
      </c>
      <c r="J30" s="6">
        <v>28.270780449999997</v>
      </c>
      <c r="K30" s="6">
        <v>66.150861090000006</v>
      </c>
      <c r="L30" s="6">
        <v>43.243676430000001</v>
      </c>
      <c r="M30" s="6">
        <v>33.056508209999997</v>
      </c>
      <c r="N30" s="7">
        <v>170.72182617999999</v>
      </c>
      <c r="P30" s="9" t="s">
        <v>46</v>
      </c>
      <c r="Q30" s="6">
        <v>35.707263779999984</v>
      </c>
      <c r="R30" s="6">
        <v>41.279998550000002</v>
      </c>
      <c r="S30" s="6">
        <v>43.054801579999996</v>
      </c>
      <c r="T30" s="6">
        <v>58.22686354999999</v>
      </c>
      <c r="U30" s="7">
        <v>178.26892745999993</v>
      </c>
      <c r="W30" s="5" t="s">
        <v>46</v>
      </c>
      <c r="X30" s="6">
        <v>49.44398151</v>
      </c>
      <c r="Y30" s="6">
        <v>40.668745510000001</v>
      </c>
      <c r="Z30" s="6">
        <v>29.892357629999999</v>
      </c>
      <c r="AA30" s="6">
        <v>66.412580410000018</v>
      </c>
      <c r="AB30" s="7">
        <v>186.41766505999999</v>
      </c>
      <c r="AD30" s="9" t="s">
        <v>46</v>
      </c>
      <c r="AE30" s="6">
        <v>41.204265159999999</v>
      </c>
      <c r="AF30" s="6">
        <v>9.9495391500000014</v>
      </c>
      <c r="AG30" s="6">
        <v>10.29866239</v>
      </c>
      <c r="AH30" s="6">
        <v>73.043843429999995</v>
      </c>
      <c r="AI30" s="7">
        <v>134.49631012999996</v>
      </c>
      <c r="AK30" s="5" t="s">
        <v>46</v>
      </c>
      <c r="AL30" s="6">
        <v>26.571083240000007</v>
      </c>
      <c r="AM30" s="6">
        <v>23.713935480000004</v>
      </c>
      <c r="AN30" s="6">
        <v>31.706718189999997</v>
      </c>
      <c r="AO30" s="6">
        <v>47.118075609999998</v>
      </c>
      <c r="AP30" s="7">
        <v>129.10981252000002</v>
      </c>
      <c r="AR30" s="9" t="s">
        <v>38</v>
      </c>
      <c r="AS30" s="6">
        <v>32.766342359999996</v>
      </c>
      <c r="AT30" s="6">
        <v>15.11646638</v>
      </c>
      <c r="AU30" s="6">
        <v>21.307553220000006</v>
      </c>
      <c r="AV30" s="6">
        <v>28.680372419999998</v>
      </c>
      <c r="AW30" s="7">
        <v>97.870734380000016</v>
      </c>
      <c r="AY30" s="15" t="s">
        <v>30</v>
      </c>
      <c r="AZ30" s="6">
        <v>14.818790760000001</v>
      </c>
      <c r="BA30" s="6">
        <v>20.113084250000007</v>
      </c>
      <c r="BB30" s="6">
        <v>21.93242059</v>
      </c>
      <c r="BC30" s="6">
        <v>24.741234390000006</v>
      </c>
      <c r="BD30" s="7">
        <v>81.605529990000008</v>
      </c>
      <c r="BE30" s="8"/>
      <c r="BF30" s="15" t="s">
        <v>18</v>
      </c>
      <c r="BG30" s="6">
        <v>0</v>
      </c>
      <c r="BH30" s="6">
        <v>32.169347700000003</v>
      </c>
      <c r="BI30" s="6">
        <v>64.715270250000003</v>
      </c>
      <c r="BJ30" s="6">
        <v>3.8099999999999999E-4</v>
      </c>
      <c r="BK30" s="7">
        <v>96.884998950000011</v>
      </c>
      <c r="BL30" s="8"/>
      <c r="BM30" s="15" t="s">
        <v>27</v>
      </c>
      <c r="BN30" s="6">
        <v>22.76319621000005</v>
      </c>
      <c r="BO30" s="6">
        <v>31.747659730000031</v>
      </c>
      <c r="BP30" s="6">
        <v>45.997250909999657</v>
      </c>
      <c r="BQ30" s="6">
        <v>31.649612199999979</v>
      </c>
      <c r="BR30" s="7">
        <v>132.15771904999971</v>
      </c>
      <c r="BT30" s="9" t="s">
        <v>13</v>
      </c>
      <c r="BU30" s="6">
        <v>39.07816778000003</v>
      </c>
      <c r="BV30" s="6">
        <v>59.084814480000013</v>
      </c>
      <c r="BW30" s="6">
        <v>31.996604510000012</v>
      </c>
      <c r="BX30" s="6">
        <v>16.903795879999979</v>
      </c>
      <c r="BY30" s="7">
        <v>147.06338265000002</v>
      </c>
      <c r="BZ30" s="8"/>
      <c r="CA30" s="6" t="s">
        <v>42</v>
      </c>
      <c r="CB30" s="6">
        <v>23.788854880000052</v>
      </c>
      <c r="CC30" s="6">
        <v>25.08372149999995</v>
      </c>
      <c r="CD30" s="6">
        <v>39.934854600000065</v>
      </c>
      <c r="CE30" s="6">
        <v>39.508418949999914</v>
      </c>
      <c r="CF30" s="7">
        <v>128.31584992999998</v>
      </c>
      <c r="CH30" s="15" t="s">
        <v>60</v>
      </c>
      <c r="CI30" s="15">
        <v>31.580686009999969</v>
      </c>
      <c r="CJ30" s="15">
        <v>51.529903639999979</v>
      </c>
      <c r="CK30" s="15">
        <v>12.656880410000005</v>
      </c>
      <c r="CL30" s="15">
        <v>35.288075299999988</v>
      </c>
      <c r="CM30" s="7">
        <v>131.05554535999994</v>
      </c>
      <c r="CO30" s="15" t="s">
        <v>65</v>
      </c>
      <c r="CP30" s="15">
        <v>1.7502399999999998E-2</v>
      </c>
      <c r="CQ30" s="15">
        <v>4.5889600000000004E-3</v>
      </c>
      <c r="CR30" s="15">
        <v>0</v>
      </c>
      <c r="CS30" s="15">
        <v>52.678785390000002</v>
      </c>
      <c r="CT30" s="7">
        <v>52.700876749999999</v>
      </c>
    </row>
    <row r="31" spans="2:98" x14ac:dyDescent="0.25">
      <c r="B31" s="5" t="s">
        <v>46</v>
      </c>
      <c r="C31" s="6">
        <v>110.24145915999999</v>
      </c>
      <c r="D31" s="6">
        <v>28.674110509999998</v>
      </c>
      <c r="E31" s="6">
        <v>24.47434925</v>
      </c>
      <c r="F31" s="6">
        <v>27.05232328</v>
      </c>
      <c r="G31" s="7">
        <v>190.44224219999998</v>
      </c>
      <c r="I31" s="5" t="s">
        <v>43</v>
      </c>
      <c r="J31" s="6">
        <v>58.182191969999998</v>
      </c>
      <c r="K31" s="6">
        <v>42.551192069999992</v>
      </c>
      <c r="L31" s="6">
        <v>29.864946810000003</v>
      </c>
      <c r="M31" s="6">
        <v>27.535148450000001</v>
      </c>
      <c r="N31" s="7">
        <v>158.13347929999998</v>
      </c>
      <c r="P31" s="5" t="s">
        <v>42</v>
      </c>
      <c r="Q31" s="6">
        <v>35.220087169999999</v>
      </c>
      <c r="R31" s="6">
        <v>53.568126519999993</v>
      </c>
      <c r="S31" s="6">
        <v>29.055339050000004</v>
      </c>
      <c r="T31" s="6">
        <v>36.30864794</v>
      </c>
      <c r="U31" s="7">
        <v>154.15220067999999</v>
      </c>
      <c r="W31" s="5" t="s">
        <v>61</v>
      </c>
      <c r="X31" s="6">
        <v>97.637810309999992</v>
      </c>
      <c r="Y31" s="6">
        <v>11.385473780000002</v>
      </c>
      <c r="Z31" s="6">
        <v>5.3577964299999996</v>
      </c>
      <c r="AA31" s="6">
        <v>48.850779100000004</v>
      </c>
      <c r="AB31" s="7">
        <v>163.23185961999999</v>
      </c>
      <c r="AD31" s="5" t="s">
        <v>18</v>
      </c>
      <c r="AE31" s="6">
        <v>6.5993199999999997E-3</v>
      </c>
      <c r="AF31" s="6">
        <v>58.701063340000005</v>
      </c>
      <c r="AG31" s="6">
        <v>0</v>
      </c>
      <c r="AH31" s="6">
        <v>67.056131329999985</v>
      </c>
      <c r="AI31" s="7">
        <v>125.76379399</v>
      </c>
      <c r="AK31" s="5" t="s">
        <v>47</v>
      </c>
      <c r="AL31" s="6">
        <v>61.148165909999996</v>
      </c>
      <c r="AM31" s="6">
        <v>41.774012649999996</v>
      </c>
      <c r="AN31" s="6">
        <v>20.224488449999999</v>
      </c>
      <c r="AO31" s="6">
        <v>0.10770502999999999</v>
      </c>
      <c r="AP31" s="7">
        <v>123.25437204000001</v>
      </c>
      <c r="AR31" s="5" t="s">
        <v>50</v>
      </c>
      <c r="AS31" s="6">
        <v>24.757136190000001</v>
      </c>
      <c r="AT31" s="6">
        <v>13.95556687</v>
      </c>
      <c r="AU31" s="6">
        <v>42.996860380000001</v>
      </c>
      <c r="AV31" s="6">
        <v>2.37466767</v>
      </c>
      <c r="AW31" s="7">
        <v>84.084231110000005</v>
      </c>
      <c r="AY31" s="9" t="s">
        <v>38</v>
      </c>
      <c r="AZ31" s="6">
        <v>41.472888930000011</v>
      </c>
      <c r="BA31" s="6">
        <v>7.4157123599999997</v>
      </c>
      <c r="BB31" s="6">
        <v>12.01222261</v>
      </c>
      <c r="BC31" s="6">
        <v>16.375435739999997</v>
      </c>
      <c r="BD31" s="7">
        <v>77.276259640000021</v>
      </c>
      <c r="BE31" s="8"/>
      <c r="BF31" s="9" t="s">
        <v>30</v>
      </c>
      <c r="BG31" s="6">
        <v>26.983927070000075</v>
      </c>
      <c r="BH31" s="6">
        <v>11.513563900000021</v>
      </c>
      <c r="BI31" s="6">
        <v>27.342140920000052</v>
      </c>
      <c r="BJ31" s="6">
        <v>28.609583399999977</v>
      </c>
      <c r="BK31" s="7">
        <v>94.449215290000126</v>
      </c>
      <c r="BL31" s="8"/>
      <c r="BM31" s="15" t="s">
        <v>43</v>
      </c>
      <c r="BN31" s="6">
        <v>16.262217010000004</v>
      </c>
      <c r="BO31" s="6">
        <v>52.741002889999976</v>
      </c>
      <c r="BP31" s="6">
        <v>19.560571889999999</v>
      </c>
      <c r="BQ31" s="6">
        <v>25.982108159999999</v>
      </c>
      <c r="BR31" s="7">
        <v>114.54589994999998</v>
      </c>
      <c r="BT31" s="15" t="s">
        <v>18</v>
      </c>
      <c r="BU31" s="6">
        <v>101.35277813</v>
      </c>
      <c r="BV31" s="6">
        <v>2.0542000000000001E-2</v>
      </c>
      <c r="BW31" s="6">
        <v>1.11326693</v>
      </c>
      <c r="BX31" s="6">
        <v>2.6105542400000004</v>
      </c>
      <c r="BY31" s="7">
        <f>+BU31+BV31+BW31+BX31</f>
        <v>105.0971413</v>
      </c>
      <c r="BZ31" s="8"/>
      <c r="CA31" s="6" t="s">
        <v>13</v>
      </c>
      <c r="CB31" s="6">
        <v>17.79165222</v>
      </c>
      <c r="CC31" s="6">
        <v>12.520938509999995</v>
      </c>
      <c r="CD31" s="6">
        <v>21.980059939999993</v>
      </c>
      <c r="CE31" s="6">
        <v>74.793618749999993</v>
      </c>
      <c r="CF31" s="7">
        <v>127.08626941999998</v>
      </c>
      <c r="CH31" s="15" t="s">
        <v>2</v>
      </c>
      <c r="CI31" s="15">
        <v>83.121957610000024</v>
      </c>
      <c r="CJ31" s="15">
        <v>115.08627326</v>
      </c>
      <c r="CK31" s="15">
        <v>172.87504142000017</v>
      </c>
      <c r="CL31" s="15">
        <v>27.76808362000002</v>
      </c>
      <c r="CM31" s="7">
        <v>398.85135591000022</v>
      </c>
      <c r="CO31" s="15" t="s">
        <v>25</v>
      </c>
      <c r="CP31" s="15">
        <v>41.56547557999999</v>
      </c>
      <c r="CQ31" s="15">
        <v>39.696722340000001</v>
      </c>
      <c r="CR31" s="15">
        <v>32.603678210000048</v>
      </c>
      <c r="CS31" s="15">
        <v>39.624400819999984</v>
      </c>
      <c r="CT31" s="7">
        <v>153.49027695000001</v>
      </c>
    </row>
    <row r="32" spans="2:98" x14ac:dyDescent="0.25">
      <c r="B32" s="17" t="s">
        <v>32</v>
      </c>
      <c r="C32" s="10">
        <v>6084.4241390199977</v>
      </c>
      <c r="D32" s="10">
        <v>5192.4883889000012</v>
      </c>
      <c r="E32" s="10">
        <v>5297.8788506699993</v>
      </c>
      <c r="F32" s="10">
        <v>5214.5902343699981</v>
      </c>
      <c r="G32" s="11">
        <v>21789.381612959995</v>
      </c>
      <c r="I32" s="17" t="s">
        <v>32</v>
      </c>
      <c r="J32" s="10">
        <v>5549.1794721199994</v>
      </c>
      <c r="K32" s="10">
        <v>5060.5075157099991</v>
      </c>
      <c r="L32" s="10">
        <v>5856.6096833799975</v>
      </c>
      <c r="M32" s="10">
        <v>8021.4929853400017</v>
      </c>
      <c r="N32" s="11">
        <v>24487.789656549998</v>
      </c>
      <c r="P32" s="17" t="s">
        <v>32</v>
      </c>
      <c r="Q32" s="10">
        <v>6263.8849243199993</v>
      </c>
      <c r="R32" s="10">
        <v>6493.9175992100054</v>
      </c>
      <c r="S32" s="10">
        <v>7197.2773348299988</v>
      </c>
      <c r="T32" s="10">
        <v>6715.5329474100054</v>
      </c>
      <c r="U32" s="11">
        <v>26670.612805770001</v>
      </c>
      <c r="W32" s="17" t="s">
        <v>32</v>
      </c>
      <c r="X32" s="10">
        <v>6772.3120089399963</v>
      </c>
      <c r="Y32" s="10">
        <v>4704.2038300699987</v>
      </c>
      <c r="Z32" s="10">
        <v>4102.125265640002</v>
      </c>
      <c r="AA32" s="10">
        <v>3558.347011600004</v>
      </c>
      <c r="AB32" s="11">
        <v>19136.988109749997</v>
      </c>
      <c r="AD32" s="17" t="s">
        <v>32</v>
      </c>
      <c r="AE32" s="10">
        <v>3054.9954530900009</v>
      </c>
      <c r="AF32" s="10">
        <v>2695.5871222500004</v>
      </c>
      <c r="AG32" s="10">
        <v>2749.2001256899998</v>
      </c>
      <c r="AH32" s="10">
        <v>3334.9267641299989</v>
      </c>
      <c r="AI32" s="11">
        <v>11834.70946516</v>
      </c>
      <c r="AK32" s="17" t="s">
        <v>32</v>
      </c>
      <c r="AL32" s="10">
        <v>3006.6534255478518</v>
      </c>
      <c r="AM32" s="10">
        <v>3200.6418283168487</v>
      </c>
      <c r="AN32" s="10">
        <v>3574.6918458113314</v>
      </c>
      <c r="AO32" s="10">
        <v>3333.4741058518712</v>
      </c>
      <c r="AP32" s="11">
        <v>13115.461205527909</v>
      </c>
      <c r="AR32" s="17" t="s">
        <v>32</v>
      </c>
      <c r="AS32" s="10">
        <v>2925.3138938000006</v>
      </c>
      <c r="AT32" s="10">
        <v>4761.6362942000023</v>
      </c>
      <c r="AU32" s="10">
        <v>3453.3363381799973</v>
      </c>
      <c r="AV32" s="10">
        <v>3417.1101997399987</v>
      </c>
      <c r="AW32" s="11">
        <v>14557.396725919996</v>
      </c>
      <c r="AY32" s="17" t="s">
        <v>32</v>
      </c>
      <c r="AZ32" s="10">
        <v>4363.9654122699994</v>
      </c>
      <c r="BA32" s="10">
        <v>2890.1195531600006</v>
      </c>
      <c r="BB32" s="10">
        <v>3013.6938179800004</v>
      </c>
      <c r="BC32" s="10">
        <v>2890.4879647800003</v>
      </c>
      <c r="BD32" s="11">
        <v>13158.266748189997</v>
      </c>
      <c r="BF32" s="17" t="s">
        <v>32</v>
      </c>
      <c r="BG32" s="10">
        <v>2202.8570570400043</v>
      </c>
      <c r="BH32" s="10">
        <v>1922.8928271099971</v>
      </c>
      <c r="BI32" s="10">
        <v>2150.9183555899972</v>
      </c>
      <c r="BJ32" s="10">
        <v>2378.0557482199974</v>
      </c>
      <c r="BK32" s="11">
        <v>8654.7239879600002</v>
      </c>
      <c r="BM32" s="17" t="s">
        <v>32</v>
      </c>
      <c r="BN32" s="10">
        <v>2224.5505906599997</v>
      </c>
      <c r="BO32" s="10">
        <v>2776.6729083000032</v>
      </c>
      <c r="BP32" s="10">
        <v>3003.138931660003</v>
      </c>
      <c r="BQ32" s="10">
        <v>2936.9395193899973</v>
      </c>
      <c r="BR32" s="11">
        <v>10941.301950010005</v>
      </c>
      <c r="BT32" s="17" t="s">
        <v>32</v>
      </c>
      <c r="BU32" s="10">
        <f>SUM(BU7:BU31)</f>
        <v>3391.2832745800056</v>
      </c>
      <c r="BV32" s="10">
        <f t="shared" ref="BV32:BX32" si="0">SUM(BV7:BV31)</f>
        <v>4223.4354000500034</v>
      </c>
      <c r="BW32" s="10">
        <f t="shared" si="0"/>
        <v>4109.647123529996</v>
      </c>
      <c r="BX32" s="10">
        <f t="shared" si="0"/>
        <v>4188.6677427499981</v>
      </c>
      <c r="BY32" s="11">
        <f>SUM(BY7:BY31)</f>
        <v>15913.033540910003</v>
      </c>
      <c r="CA32" s="17" t="s">
        <v>32</v>
      </c>
      <c r="CB32" s="10">
        <v>3721.8411240099967</v>
      </c>
      <c r="CC32" s="10">
        <v>3392.8019352099936</v>
      </c>
      <c r="CD32" s="10">
        <v>3322.05301224</v>
      </c>
      <c r="CE32" s="10">
        <v>3505.0653157299962</v>
      </c>
      <c r="CF32" s="11">
        <v>13941.761387189987</v>
      </c>
      <c r="CH32" s="17" t="s">
        <v>32</v>
      </c>
      <c r="CI32" s="10">
        <v>2943.456218559998</v>
      </c>
      <c r="CJ32" s="10">
        <v>3036.6060914600012</v>
      </c>
      <c r="CK32" s="10">
        <v>3226.2882846100028</v>
      </c>
      <c r="CL32" s="10">
        <v>3810.9127417876862</v>
      </c>
      <c r="CM32" s="11">
        <v>13017.263336417687</v>
      </c>
      <c r="CO32" s="17" t="s">
        <v>32</v>
      </c>
      <c r="CP32" s="10">
        <v>3482.6397171899989</v>
      </c>
      <c r="CQ32" s="10">
        <v>3048.3368388000004</v>
      </c>
      <c r="CR32" s="10">
        <v>3476.1718314599934</v>
      </c>
      <c r="CS32" s="10">
        <v>4315.5624363099923</v>
      </c>
      <c r="CT32" s="11">
        <v>14322.710823759984</v>
      </c>
    </row>
    <row r="33" spans="2:98" x14ac:dyDescent="0.25">
      <c r="B33" s="17" t="s">
        <v>3</v>
      </c>
      <c r="C33" s="10">
        <v>446.12719907000246</v>
      </c>
      <c r="D33" s="10">
        <v>459.62627495999732</v>
      </c>
      <c r="E33" s="10">
        <v>388.04449515000033</v>
      </c>
      <c r="F33" s="10">
        <v>620.66361212000174</v>
      </c>
      <c r="G33" s="11">
        <v>1914.4615813000019</v>
      </c>
      <c r="I33" s="17" t="s">
        <v>3</v>
      </c>
      <c r="J33" s="10">
        <v>467.63596193000194</v>
      </c>
      <c r="K33" s="10">
        <v>383.02452886000447</v>
      </c>
      <c r="L33" s="10">
        <v>492.24084628000219</v>
      </c>
      <c r="M33" s="10">
        <v>500.29604268000094</v>
      </c>
      <c r="N33" s="11">
        <v>1843.1973797500177</v>
      </c>
      <c r="P33" s="17" t="s">
        <v>3</v>
      </c>
      <c r="Q33" s="10">
        <v>421.69256338000014</v>
      </c>
      <c r="R33" s="10">
        <v>408.99015515999508</v>
      </c>
      <c r="S33" s="10">
        <v>598.18228149000242</v>
      </c>
      <c r="T33" s="10">
        <v>480.79309973999716</v>
      </c>
      <c r="U33" s="11">
        <v>1909.6580997700221</v>
      </c>
      <c r="W33" s="17" t="s">
        <v>3</v>
      </c>
      <c r="X33" s="10">
        <v>486.91388395000467</v>
      </c>
      <c r="Y33" s="10">
        <v>357.36344406000262</v>
      </c>
      <c r="Z33" s="10">
        <v>311.07609160999891</v>
      </c>
      <c r="AA33" s="10">
        <v>400.1955189499995</v>
      </c>
      <c r="AB33" s="11">
        <v>1555.5489515700101</v>
      </c>
      <c r="AD33" s="17" t="s">
        <v>3</v>
      </c>
      <c r="AE33" s="10">
        <v>340.57058578000124</v>
      </c>
      <c r="AF33" s="10">
        <v>321.2055427500004</v>
      </c>
      <c r="AG33" s="10">
        <v>222.33058287999984</v>
      </c>
      <c r="AH33" s="10">
        <v>321.67470120000189</v>
      </c>
      <c r="AI33" s="11">
        <v>1205.781412610002</v>
      </c>
      <c r="AK33" s="17" t="s">
        <v>3</v>
      </c>
      <c r="AL33" s="10">
        <v>381.02580699367854</v>
      </c>
      <c r="AM33" s="10">
        <v>425.98230511402198</v>
      </c>
      <c r="AN33" s="10">
        <v>296.05002444999991</v>
      </c>
      <c r="AO33" s="10">
        <v>244.72398189999694</v>
      </c>
      <c r="AP33" s="11">
        <v>1347.7821184576915</v>
      </c>
      <c r="AR33" s="17" t="s">
        <v>3</v>
      </c>
      <c r="AS33" s="10">
        <v>340.42901421999795</v>
      </c>
      <c r="AT33" s="10">
        <v>312.92690613999821</v>
      </c>
      <c r="AU33" s="10">
        <v>270.19343052000386</v>
      </c>
      <c r="AV33" s="10">
        <v>316.90127755000049</v>
      </c>
      <c r="AW33" s="11">
        <v>1240.4506284300078</v>
      </c>
      <c r="AY33" s="17" t="s">
        <v>3</v>
      </c>
      <c r="AZ33" s="10">
        <v>342.47216196000136</v>
      </c>
      <c r="BA33" s="10">
        <v>236.35822688000098</v>
      </c>
      <c r="BB33" s="10">
        <v>194.19050907000064</v>
      </c>
      <c r="BC33" s="10">
        <v>195.77075076999881</v>
      </c>
      <c r="BD33" s="11">
        <v>968.79164868000225</v>
      </c>
      <c r="BF33" s="17" t="s">
        <v>3</v>
      </c>
      <c r="BG33" s="10">
        <v>248.54787200000001</v>
      </c>
      <c r="BH33" s="10">
        <v>179.79742491000007</v>
      </c>
      <c r="BI33" s="10">
        <v>211.94405607000112</v>
      </c>
      <c r="BJ33" s="10">
        <v>248.12693198000096</v>
      </c>
      <c r="BK33" s="11">
        <v>888.41628496000226</v>
      </c>
      <c r="BM33" s="17" t="s">
        <v>3</v>
      </c>
      <c r="BN33" s="10">
        <v>197.73386269999992</v>
      </c>
      <c r="BO33" s="10">
        <v>205.98497443999804</v>
      </c>
      <c r="BP33" s="10">
        <v>241.48511162999876</v>
      </c>
      <c r="BQ33" s="10">
        <v>208.3416150500002</v>
      </c>
      <c r="BR33" s="11">
        <v>853.55421338638189</v>
      </c>
      <c r="BT33" s="17" t="s">
        <v>3</v>
      </c>
      <c r="BU33" s="10">
        <f>+BU34-BU32</f>
        <v>311.68429350000042</v>
      </c>
      <c r="BV33" s="10">
        <f t="shared" ref="BV33:BY33" si="1">+BV34-BV32</f>
        <v>288.36653462000049</v>
      </c>
      <c r="BW33" s="10">
        <f t="shared" si="1"/>
        <v>403.83828408000045</v>
      </c>
      <c r="BX33" s="10">
        <f t="shared" si="1"/>
        <v>350.39835831000073</v>
      </c>
      <c r="BY33" s="11">
        <f t="shared" si="1"/>
        <v>1354.2874705099985</v>
      </c>
      <c r="CA33" s="17" t="s">
        <v>3</v>
      </c>
      <c r="CB33" s="10">
        <v>329.50431855000261</v>
      </c>
      <c r="CC33" s="10">
        <v>336.28061459000446</v>
      </c>
      <c r="CD33" s="10">
        <v>254.3765256200013</v>
      </c>
      <c r="CE33" s="10">
        <v>222.92923750000409</v>
      </c>
      <c r="CF33" s="11">
        <v>1143.0906962600125</v>
      </c>
      <c r="CH33" s="17" t="s">
        <v>3</v>
      </c>
      <c r="CI33" s="10">
        <v>251.20585862999951</v>
      </c>
      <c r="CJ33" s="10">
        <v>221.85551049999594</v>
      </c>
      <c r="CK33" s="10">
        <v>432.3252873799961</v>
      </c>
      <c r="CL33" s="10">
        <v>267.59204283999861</v>
      </c>
      <c r="CM33" s="11">
        <v>1172.9786993499902</v>
      </c>
      <c r="CO33" s="17" t="s">
        <v>3</v>
      </c>
      <c r="CP33" s="10">
        <v>259.56640455999923</v>
      </c>
      <c r="CQ33" s="10">
        <v>326.78587100999994</v>
      </c>
      <c r="CR33" s="10">
        <v>342.18743043999939</v>
      </c>
      <c r="CS33" s="10">
        <v>265.8709335800022</v>
      </c>
      <c r="CT33" s="11">
        <v>1194.4106395900008</v>
      </c>
    </row>
    <row r="34" spans="2:98" s="13" customFormat="1" x14ac:dyDescent="0.25">
      <c r="B34" s="17" t="s">
        <v>33</v>
      </c>
      <c r="C34" s="10">
        <v>6530.5513380900002</v>
      </c>
      <c r="D34" s="10">
        <v>5652.1146638599985</v>
      </c>
      <c r="E34" s="10">
        <v>5685.9233458199997</v>
      </c>
      <c r="F34" s="10">
        <v>5835.2538464899999</v>
      </c>
      <c r="G34" s="11">
        <v>23703.843194259996</v>
      </c>
      <c r="I34" s="17" t="s">
        <v>33</v>
      </c>
      <c r="J34" s="10">
        <v>6016.8154340500014</v>
      </c>
      <c r="K34" s="10">
        <v>5443.5320445700036</v>
      </c>
      <c r="L34" s="10">
        <v>6348.8505296599997</v>
      </c>
      <c r="M34" s="10">
        <v>8521.7890280200027</v>
      </c>
      <c r="N34" s="11">
        <v>26330.987036300015</v>
      </c>
      <c r="P34" s="17" t="s">
        <v>33</v>
      </c>
      <c r="Q34" s="10">
        <v>6685.5774876999994</v>
      </c>
      <c r="R34" s="10">
        <v>6902.9077543700005</v>
      </c>
      <c r="S34" s="10">
        <v>7795.4596163200013</v>
      </c>
      <c r="T34" s="10">
        <v>7196.3260471500025</v>
      </c>
      <c r="U34" s="11">
        <v>28580.270905540023</v>
      </c>
      <c r="W34" s="17" t="s">
        <v>33</v>
      </c>
      <c r="X34" s="10">
        <v>7259.225892890001</v>
      </c>
      <c r="Y34" s="10">
        <v>5061.5672741300014</v>
      </c>
      <c r="Z34" s="10">
        <v>4413.2013572500009</v>
      </c>
      <c r="AA34" s="10">
        <v>3958.5425305500034</v>
      </c>
      <c r="AB34" s="11">
        <v>20692.537061320007</v>
      </c>
      <c r="AD34" s="17" t="s">
        <v>33</v>
      </c>
      <c r="AE34" s="10">
        <v>3395.5660388700021</v>
      </c>
      <c r="AF34" s="10">
        <v>3016.7926650000009</v>
      </c>
      <c r="AG34" s="10">
        <v>2971.5307085699997</v>
      </c>
      <c r="AH34" s="10">
        <v>3656.6014653300008</v>
      </c>
      <c r="AI34" s="11">
        <v>13040.490877770002</v>
      </c>
      <c r="AK34" s="17" t="s">
        <v>33</v>
      </c>
      <c r="AL34" s="10">
        <v>3387.6792325415304</v>
      </c>
      <c r="AM34" s="10">
        <v>3626.6241334308706</v>
      </c>
      <c r="AN34" s="10">
        <v>3870.7418702613313</v>
      </c>
      <c r="AO34" s="10">
        <v>3578.1980877518681</v>
      </c>
      <c r="AP34" s="11">
        <v>14463.2433239856</v>
      </c>
      <c r="AR34" s="17" t="s">
        <v>33</v>
      </c>
      <c r="AS34" s="10">
        <v>3265.7429080199986</v>
      </c>
      <c r="AT34" s="10">
        <v>5074.5632003400005</v>
      </c>
      <c r="AU34" s="10">
        <v>3723.5297687000011</v>
      </c>
      <c r="AV34" s="10">
        <v>3734.0114772899992</v>
      </c>
      <c r="AW34" s="11">
        <v>15797.847354350004</v>
      </c>
      <c r="AY34" s="17" t="s">
        <v>33</v>
      </c>
      <c r="AZ34" s="10">
        <v>4706.4375742300008</v>
      </c>
      <c r="BA34" s="10">
        <v>3126.4777800400016</v>
      </c>
      <c r="BB34" s="10">
        <v>3207.884327050001</v>
      </c>
      <c r="BC34" s="10">
        <v>3086.2587155499991</v>
      </c>
      <c r="BD34" s="11">
        <v>14127.058396869999</v>
      </c>
      <c r="BF34" s="17" t="s">
        <v>33</v>
      </c>
      <c r="BG34" s="10">
        <v>2451.4049290400044</v>
      </c>
      <c r="BH34" s="10">
        <v>2102.6902520199974</v>
      </c>
      <c r="BI34" s="10">
        <v>2362.8624116599985</v>
      </c>
      <c r="BJ34" s="10">
        <v>2626.1826801999982</v>
      </c>
      <c r="BK34" s="11">
        <v>9543.1402729200017</v>
      </c>
      <c r="BM34" s="17" t="s">
        <v>33</v>
      </c>
      <c r="BN34" s="10">
        <v>2422.2844533599996</v>
      </c>
      <c r="BO34" s="10">
        <v>2982.6578827400012</v>
      </c>
      <c r="BP34" s="10">
        <v>3244.6240432900017</v>
      </c>
      <c r="BQ34" s="10">
        <v>3145.2811344399975</v>
      </c>
      <c r="BR34" s="11">
        <v>11794.856163396387</v>
      </c>
      <c r="BT34" s="17" t="s">
        <v>33</v>
      </c>
      <c r="BU34" s="10">
        <v>3702.967568080006</v>
      </c>
      <c r="BV34" s="10">
        <v>4511.8019346700039</v>
      </c>
      <c r="BW34" s="10">
        <v>4513.4854076099964</v>
      </c>
      <c r="BX34" s="10">
        <v>4539.0661010599988</v>
      </c>
      <c r="BY34" s="11">
        <v>17267.321011420001</v>
      </c>
      <c r="CA34" s="17" t="s">
        <v>33</v>
      </c>
      <c r="CB34" s="10">
        <v>4051.3454425599994</v>
      </c>
      <c r="CC34" s="10">
        <v>3729.0825497999981</v>
      </c>
      <c r="CD34" s="10">
        <v>3576.4295378600013</v>
      </c>
      <c r="CE34" s="10">
        <v>3727.9945532300003</v>
      </c>
      <c r="CF34" s="11">
        <v>15084.85208345</v>
      </c>
      <c r="CH34" s="17" t="s">
        <v>33</v>
      </c>
      <c r="CI34" s="10">
        <v>3194.6620771899975</v>
      </c>
      <c r="CJ34" s="10">
        <v>3258.4616019599971</v>
      </c>
      <c r="CK34" s="10">
        <v>3658.6135719899989</v>
      </c>
      <c r="CL34" s="10">
        <v>4078.5047846276848</v>
      </c>
      <c r="CM34" s="11">
        <v>14190.242035767678</v>
      </c>
      <c r="CO34" s="17" t="s">
        <v>33</v>
      </c>
      <c r="CP34" s="10">
        <v>3742.2061217499981</v>
      </c>
      <c r="CQ34" s="10">
        <v>3375.1227098100003</v>
      </c>
      <c r="CR34" s="10">
        <v>3818.3592618999928</v>
      </c>
      <c r="CS34" s="10">
        <v>4581.4333698899945</v>
      </c>
      <c r="CT34" s="11">
        <v>15517.121463349984</v>
      </c>
    </row>
    <row r="35" spans="2:98" x14ac:dyDescent="0.25">
      <c r="B35" s="2" t="s">
        <v>58</v>
      </c>
      <c r="I35" s="8"/>
      <c r="AB35" s="8"/>
      <c r="AR35" s="14"/>
      <c r="AY35" s="14"/>
      <c r="BM35" s="14"/>
      <c r="BO35" s="21"/>
      <c r="BT35" s="14"/>
      <c r="BU35" s="23"/>
      <c r="BV35" s="23"/>
      <c r="BW35" s="23"/>
      <c r="BX35" s="23"/>
      <c r="BY35" s="23"/>
      <c r="CA35" s="14"/>
      <c r="CB35" s="23"/>
      <c r="CC35" s="23"/>
      <c r="CE35" s="23"/>
      <c r="CF35" s="23"/>
      <c r="CH35" s="14" t="s">
        <v>34</v>
      </c>
      <c r="CI35" s="23"/>
      <c r="CJ35" s="23"/>
      <c r="CK35" s="23"/>
      <c r="CL35" s="23"/>
      <c r="CM35" s="23"/>
      <c r="CO35" s="14" t="s">
        <v>34</v>
      </c>
      <c r="CP35" s="23"/>
      <c r="CQ35" s="23"/>
      <c r="CS35" s="23"/>
      <c r="CT35" s="23"/>
    </row>
    <row r="36" spans="2:98" x14ac:dyDescent="0.25">
      <c r="BG36" s="24"/>
      <c r="BH36" s="24"/>
      <c r="BI36" s="24"/>
      <c r="BJ36" s="24"/>
      <c r="BK36" s="24"/>
      <c r="BN36" s="22"/>
      <c r="BO36" s="22"/>
      <c r="BP36" s="22"/>
      <c r="BQ36" s="23"/>
      <c r="BU36" s="22"/>
      <c r="BV36" s="22"/>
      <c r="BW36" s="22"/>
      <c r="BX36" s="23"/>
      <c r="CB36" s="22"/>
      <c r="CC36" s="22"/>
      <c r="CE36" s="23"/>
      <c r="CI36" s="23"/>
      <c r="CJ36" s="23"/>
      <c r="CK36" s="23"/>
    </row>
    <row r="39" spans="2:98" x14ac:dyDescent="0.25">
      <c r="BU39" s="27"/>
      <c r="BV39" s="27"/>
      <c r="BW39" s="27"/>
      <c r="BX39" s="27"/>
      <c r="BY39" s="27"/>
      <c r="CE39" s="27"/>
      <c r="CF39" s="27"/>
      <c r="CH39" s="22"/>
      <c r="CI39" s="27"/>
      <c r="CJ39" s="27"/>
      <c r="CK39" s="27"/>
    </row>
    <row r="40" spans="2:98" x14ac:dyDescent="0.25">
      <c r="BU40" s="27"/>
      <c r="BV40" s="27"/>
      <c r="BW40" s="27"/>
      <c r="BX40" s="27"/>
      <c r="BY40" s="27"/>
      <c r="CE40" s="27"/>
      <c r="CF40" s="27"/>
      <c r="CH40" s="22"/>
      <c r="CI40" s="27"/>
      <c r="CJ40" s="27"/>
      <c r="CK40" s="27"/>
    </row>
    <row r="41" spans="2:98" x14ac:dyDescent="0.25">
      <c r="BU41" s="27"/>
      <c r="BV41" s="27"/>
      <c r="BW41" s="27"/>
      <c r="BX41" s="27"/>
      <c r="BY41" s="27"/>
      <c r="CE41" s="27"/>
      <c r="CF41" s="27"/>
      <c r="CH41" s="22"/>
      <c r="CI41" s="27"/>
      <c r="CJ41" s="27"/>
      <c r="CK41" s="27"/>
    </row>
    <row r="42" spans="2:98" x14ac:dyDescent="0.25">
      <c r="CH42" s="22"/>
    </row>
    <row r="43" spans="2:98" x14ac:dyDescent="0.25">
      <c r="CH43" s="22"/>
    </row>
    <row r="44" spans="2:98" x14ac:dyDescent="0.25">
      <c r="CH44" s="22"/>
    </row>
    <row r="45" spans="2:98" x14ac:dyDescent="0.25">
      <c r="CH45" s="22"/>
    </row>
    <row r="46" spans="2:98" x14ac:dyDescent="0.25">
      <c r="CH46" s="22"/>
    </row>
    <row r="47" spans="2:98" x14ac:dyDescent="0.25">
      <c r="CH47" s="22"/>
    </row>
    <row r="48" spans="2:98" x14ac:dyDescent="0.25">
      <c r="CH48" s="22"/>
    </row>
    <row r="49" spans="86:86" x14ac:dyDescent="0.25">
      <c r="CH49" s="22"/>
    </row>
    <row r="50" spans="86:86" x14ac:dyDescent="0.25">
      <c r="CH50" s="22"/>
    </row>
    <row r="51" spans="86:86" x14ac:dyDescent="0.25">
      <c r="CH51" s="22"/>
    </row>
    <row r="52" spans="86:86" x14ac:dyDescent="0.25">
      <c r="CH52" s="22"/>
    </row>
    <row r="53" spans="86:86" x14ac:dyDescent="0.25">
      <c r="CH53" s="22"/>
    </row>
    <row r="54" spans="86:86" x14ac:dyDescent="0.25">
      <c r="CH54" s="22"/>
    </row>
    <row r="55" spans="86:86" x14ac:dyDescent="0.25">
      <c r="CH55" s="22"/>
    </row>
    <row r="56" spans="86:86" x14ac:dyDescent="0.25">
      <c r="CH56" s="22"/>
    </row>
    <row r="57" spans="86:86" x14ac:dyDescent="0.25">
      <c r="CH57" s="22"/>
    </row>
    <row r="58" spans="86:86" x14ac:dyDescent="0.25">
      <c r="CH58" s="22"/>
    </row>
    <row r="59" spans="86:86" x14ac:dyDescent="0.25">
      <c r="CH59" s="22"/>
    </row>
    <row r="60" spans="86:86" x14ac:dyDescent="0.25">
      <c r="CH60" s="22"/>
    </row>
    <row r="61" spans="86:86" x14ac:dyDescent="0.25">
      <c r="CH61" s="22"/>
    </row>
    <row r="62" spans="86:86" x14ac:dyDescent="0.25">
      <c r="CH62" s="22"/>
    </row>
    <row r="63" spans="86:86" x14ac:dyDescent="0.25">
      <c r="CH63" s="22"/>
    </row>
    <row r="64" spans="86:86" x14ac:dyDescent="0.25">
      <c r="CH64" s="22"/>
    </row>
    <row r="65" spans="86:86" x14ac:dyDescent="0.25">
      <c r="CH65" s="22"/>
    </row>
    <row r="66" spans="86:86" x14ac:dyDescent="0.25">
      <c r="CH66" s="22"/>
    </row>
    <row r="67" spans="86:86" x14ac:dyDescent="0.25">
      <c r="CH67" s="22"/>
    </row>
    <row r="68" spans="86:86" x14ac:dyDescent="0.25">
      <c r="CH68" s="22"/>
    </row>
    <row r="69" spans="86:86" x14ac:dyDescent="0.25">
      <c r="CH69" s="22"/>
    </row>
    <row r="70" spans="86:86" x14ac:dyDescent="0.25">
      <c r="CH70" s="22"/>
    </row>
    <row r="71" spans="86:86" x14ac:dyDescent="0.25">
      <c r="CH71" s="22"/>
    </row>
    <row r="72" spans="86:86" x14ac:dyDescent="0.25">
      <c r="CH72" s="22"/>
    </row>
    <row r="73" spans="86:86" x14ac:dyDescent="0.25">
      <c r="CH73" s="22"/>
    </row>
    <row r="74" spans="86:86" x14ac:dyDescent="0.25">
      <c r="CH74" s="22"/>
    </row>
    <row r="75" spans="86:86" x14ac:dyDescent="0.25">
      <c r="CH75" s="22"/>
    </row>
    <row r="76" spans="86:86" x14ac:dyDescent="0.25">
      <c r="CH76" s="22"/>
    </row>
    <row r="77" spans="86:86" x14ac:dyDescent="0.25">
      <c r="CH77" s="22"/>
    </row>
    <row r="78" spans="86:86" x14ac:dyDescent="0.25">
      <c r="CH78" s="22"/>
    </row>
    <row r="79" spans="86:86" x14ac:dyDescent="0.25">
      <c r="CH79" s="22"/>
    </row>
    <row r="80" spans="86:86" x14ac:dyDescent="0.25">
      <c r="CH80" s="22"/>
    </row>
    <row r="81" spans="86:86" x14ac:dyDescent="0.25">
      <c r="CH81" s="22"/>
    </row>
    <row r="82" spans="86:86" x14ac:dyDescent="0.25">
      <c r="CH82" s="22"/>
    </row>
    <row r="83" spans="86:86" x14ac:dyDescent="0.25">
      <c r="CH83" s="22"/>
    </row>
    <row r="84" spans="86:86" x14ac:dyDescent="0.25">
      <c r="CH84" s="22"/>
    </row>
    <row r="85" spans="86:86" x14ac:dyDescent="0.25">
      <c r="CH85" s="22"/>
    </row>
    <row r="86" spans="86:86" x14ac:dyDescent="0.25">
      <c r="CH86" s="22"/>
    </row>
    <row r="87" spans="86:86" x14ac:dyDescent="0.25">
      <c r="CH87" s="22"/>
    </row>
    <row r="88" spans="86:86" x14ac:dyDescent="0.25">
      <c r="CH88" s="22"/>
    </row>
    <row r="89" spans="86:86" x14ac:dyDescent="0.25">
      <c r="CH89" s="22"/>
    </row>
  </sheetData>
  <mergeCells count="45">
    <mergeCell ref="CT5:CT6"/>
    <mergeCell ref="CP5:CS5"/>
    <mergeCell ref="CO5:CO6"/>
    <mergeCell ref="BU4:BY4"/>
    <mergeCell ref="CF5:CF6"/>
    <mergeCell ref="CB5:CE5"/>
    <mergeCell ref="CA5:CA6"/>
    <mergeCell ref="CI5:CL5"/>
    <mergeCell ref="CH5:CH6"/>
    <mergeCell ref="BT5:BT6"/>
    <mergeCell ref="BU5:BX5"/>
    <mergeCell ref="BY5:BY6"/>
    <mergeCell ref="CM5:CM6"/>
    <mergeCell ref="AW5:AW6"/>
    <mergeCell ref="AY5:AY6"/>
    <mergeCell ref="AZ5:BC5"/>
    <mergeCell ref="BD5:BD6"/>
    <mergeCell ref="BF5:BF6"/>
    <mergeCell ref="B5:B6"/>
    <mergeCell ref="C5:F5"/>
    <mergeCell ref="G5:G6"/>
    <mergeCell ref="I5:I6"/>
    <mergeCell ref="J5:M5"/>
    <mergeCell ref="N5:N6"/>
    <mergeCell ref="P5:P6"/>
    <mergeCell ref="Q5:T5"/>
    <mergeCell ref="AS5:AV5"/>
    <mergeCell ref="U5:U6"/>
    <mergeCell ref="W5:W6"/>
    <mergeCell ref="X5:AA5"/>
    <mergeCell ref="AB5:AB6"/>
    <mergeCell ref="AD5:AD6"/>
    <mergeCell ref="AE5:AH5"/>
    <mergeCell ref="AI5:AI6"/>
    <mergeCell ref="AK5:AK6"/>
    <mergeCell ref="AL5:AO5"/>
    <mergeCell ref="AP5:AP6"/>
    <mergeCell ref="AR5:AR6"/>
    <mergeCell ref="AZ4:BD4"/>
    <mergeCell ref="BN4:BR4"/>
    <mergeCell ref="BK5:BK6"/>
    <mergeCell ref="BM5:BM6"/>
    <mergeCell ref="BN5:BQ5"/>
    <mergeCell ref="BR5:BR6"/>
    <mergeCell ref="BG5:BJ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AE2CRDQUTFAC-2123509798-1342</_dlc_DocId>
    <DataDePublicacao xmlns="ac26e13a-c3a6-41fe-a080-680c457ab7ba">2026-03-06T14:00:00+00:00</DataDePublicacao>
    <EstatisticaMonetariaFinanceira xmlns="ac26e13a-c3a6-41fe-a080-680c457ab7ba">false</EstatisticaMonetariaFinanceira>
    <Categoria xmlns="ac26e13a-c3a6-41fe-a080-680c457ab7ba">Estatísticas Externas Trimestral</Categoria>
    <Visualizar xmlns="ac26e13a-c3a6-41fe-a080-680c457ab7ba">true</Visualizar>
    <Ano xmlns="ac26e13a-c3a6-41fe-a080-680c457ab7ba" xsi:nil="true"/>
    <Idioma xmlns="ac26e13a-c3a6-41fe-a080-680c457ab7ba">Português</Idioma>
    <Fonte xmlns="ac26e13a-c3a6-41fe-a080-680c457ab7ba" xsi:nil="true"/>
    <_dlc_DocIdUrl xmlns="8305f4f8-dae7-4523-8257-656d8cb4d040">
      <Url>http://172.20.42.86/sites/cms/_layouts/15/DocIdRedir.aspx?ID=AE2CRDQUTFAC-2123509798-1342</Url>
      <Description>AE2CRDQUTFAC-2123509798-1342</Description>
    </_dlc_DocIdUrl>
  </documentManagement>
</p:properties>
</file>

<file path=customXml/itemProps1.xml><?xml version="1.0" encoding="utf-8"?>
<ds:datastoreItem xmlns:ds="http://schemas.openxmlformats.org/officeDocument/2006/customXml" ds:itemID="{1CF63552-6558-4F2F-B815-FA292F1738FF}"/>
</file>

<file path=customXml/itemProps2.xml><?xml version="1.0" encoding="utf-8"?>
<ds:datastoreItem xmlns:ds="http://schemas.openxmlformats.org/officeDocument/2006/customXml" ds:itemID="{88DEEA4F-7E9A-4C87-9C01-BFABC0E59E92}"/>
</file>

<file path=customXml/itemProps3.xml><?xml version="1.0" encoding="utf-8"?>
<ds:datastoreItem xmlns:ds="http://schemas.openxmlformats.org/officeDocument/2006/customXml" ds:itemID="{747A9D65-B133-407A-BCB7-68AD84B69BEF}"/>
</file>

<file path=customXml/itemProps4.xml><?xml version="1.0" encoding="utf-8"?>
<ds:datastoreItem xmlns:ds="http://schemas.openxmlformats.org/officeDocument/2006/customXml" ds:itemID="{62433FB5-72B2-4330-9DC0-47C1DFA7AB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Importação por Países</vt:lpstr>
    </vt:vector>
  </TitlesOfParts>
  <Company>Banco Nacional de Angola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Principais Países de Procedência das Importações 2012-2025</dc:title>
  <dc:creator>DOR/SEIT - Depto de Sistemas</dc:creator>
  <cp:lastModifiedBy>Ndungini João Castelo (DES)</cp:lastModifiedBy>
  <cp:lastPrinted>2014-09-05T10:58:32Z</cp:lastPrinted>
  <dcterms:created xsi:type="dcterms:W3CDTF">2001-02-14T16:24:52Z</dcterms:created>
  <dcterms:modified xsi:type="dcterms:W3CDTF">2026-02-27T14:55:43Z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2022-06-15T10:55:13Z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9f570550-9bb3-4426-9690-c879322e7975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62cc6dc2-5e5d-45d9-a0f9-2bdfd0bec958</vt:lpwstr>
  </property>
</Properties>
</file>