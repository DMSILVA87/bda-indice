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style1.xml" ContentType="application/vnd.ms-office.chartstyle+xml"/>
  <Override PartName="/xl/charts/colors1.xml" ContentType="application/vnd.ms-office.chartcolorstyle+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EsteLivro" hidePivotFieldList="1"/>
  <mc:AlternateContent xmlns:mc="http://schemas.openxmlformats.org/markup-compatibility/2006">
    <mc:Choice Requires="x15">
      <x15ac:absPath xmlns:x15ac="http://schemas.microsoft.com/office/spreadsheetml/2010/11/ac" url="C:\Users\DELOPES\Desktop\"/>
    </mc:Choice>
  </mc:AlternateContent>
  <xr:revisionPtr revIDLastSave="0" documentId="8_{FA3AE765-F5E4-44F3-92AC-482C5AACCB6B}" xr6:coauthVersionLast="47" xr6:coauthVersionMax="47" xr10:uidLastSave="{00000000-0000-0000-0000-000000000000}"/>
  <workbookProtection workbookAlgorithmName="SHA-512" workbookHashValue="iOt7NJUTy5bRg4h6zFxweLKRPO4/Q/HWMNI932sY7NhsDgdEHUAExkjSAxC4lYi1sX+M1aHba70gOZ5YrwOiMg==" workbookSaltValue="gioSv5jge27q+2r+ZZ6/JQ==" workbookSpinCount="100000" lockStructure="1"/>
  <bookViews>
    <workbookView xWindow="-28920" yWindow="2610" windowWidth="29040" windowHeight="15720" tabRatio="1000" firstSheet="1" activeTab="1" xr2:uid="{00000000-000D-0000-FFFF-FFFF00000000}"/>
  </bookViews>
  <sheets>
    <sheet name="Formulário - Rácios" sheetId="38" state="hidden" r:id="rId1"/>
    <sheet name="INDICADORES SECTORIAL" sheetId="47" r:id="rId2"/>
    <sheet name="PANORAMA SECTORIAL" sheetId="42" r:id="rId3"/>
  </sheets>
  <definedNames>
    <definedName name="_">#REF!</definedName>
    <definedName name="AREA_CENTRAL">#REF!</definedName>
    <definedName name="_xlnm.Print_Area" localSheetId="0">'Formulário - Rácios'!$A$1:$F$30</definedName>
    <definedName name="_xlnm.Print_Area" localSheetId="1">'INDICADORES SECTORIAL'!$A$1:$AB$78</definedName>
    <definedName name="_xlnm.Print_Area" localSheetId="2">'PANORAMA SECTORIAL'!$A$1:$H$65</definedName>
    <definedName name="AS2DocOpenMode" hidden="1">"AS2DocumentEdit"</definedName>
    <definedName name="CÂMBIO">#REF!</definedName>
    <definedName name="CÂNBIO">#REF!</definedName>
    <definedName name="Cira">#REF!</definedName>
    <definedName name="DONGALA" hidden="1">#REF!</definedName>
    <definedName name="DRS">#REF!</definedName>
    <definedName name="IndiceIPI">#REF!</definedName>
    <definedName name="Julho" hidden="1">#REF!</definedName>
    <definedName name="Mai_13">#REF!</definedName>
    <definedName name="mmmm" hidden="1">#REF!</definedName>
    <definedName name="qwqwe">#REF!</definedName>
    <definedName name="Saldo_Banco">#REF!</definedName>
    <definedName name="Setores">#REF!</definedName>
    <definedName name="sssss">#REF!</definedName>
    <definedName name="TAXA_USD">#REF!</definedName>
    <definedName name="XREF_COLUMN_1" hidden="1">#REF!</definedName>
    <definedName name="XREF_COLUMN_2" hidden="1">#REF!</definedName>
    <definedName name="XRefColumnsCount" hidden="1">2</definedName>
    <definedName name="XRefCopy2" hidden="1">#REF!</definedName>
    <definedName name="XRefCopy3" hidden="1">#REF!</definedName>
    <definedName name="XRefCopyRangeCount"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 i="42" l="1"/>
  <c r="H64" i="42"/>
  <c r="G64" i="42"/>
  <c r="F64" i="42"/>
  <c r="E64" i="42"/>
  <c r="D64" i="42"/>
  <c r="H62" i="42"/>
  <c r="G62" i="42"/>
  <c r="F62" i="42"/>
  <c r="E62" i="42"/>
  <c r="D62" i="42"/>
  <c r="H60" i="42"/>
  <c r="G60" i="42"/>
  <c r="F60" i="42"/>
  <c r="E60" i="42"/>
  <c r="D60" i="42"/>
  <c r="H58" i="42"/>
  <c r="G58" i="42"/>
  <c r="F58" i="42"/>
  <c r="E58" i="42"/>
  <c r="D58" i="42"/>
  <c r="H54" i="42"/>
  <c r="G54" i="42"/>
  <c r="F54" i="42"/>
  <c r="E54" i="42"/>
  <c r="D54" i="42"/>
  <c r="H53" i="42"/>
  <c r="G53" i="42"/>
  <c r="F53" i="42"/>
  <c r="E53" i="42"/>
  <c r="D53" i="42"/>
  <c r="H47" i="42"/>
  <c r="G47" i="42"/>
  <c r="F47" i="42"/>
  <c r="E47" i="42"/>
  <c r="D47" i="42"/>
  <c r="H33" i="42"/>
  <c r="G33" i="42"/>
  <c r="F33" i="42"/>
  <c r="E33" i="42"/>
  <c r="D33" i="42"/>
  <c r="H27" i="42"/>
  <c r="G27" i="42"/>
  <c r="F27" i="42"/>
  <c r="E27" i="42"/>
  <c r="D27" i="42"/>
  <c r="H26" i="42"/>
  <c r="G26" i="42"/>
  <c r="F26" i="42"/>
  <c r="E26" i="42"/>
  <c r="D26" i="42"/>
  <c r="H21" i="42"/>
  <c r="G21" i="42"/>
  <c r="F21" i="42"/>
  <c r="E21" i="42"/>
  <c r="D21" i="42"/>
  <c r="H20" i="42"/>
  <c r="G20" i="42"/>
  <c r="F20" i="42"/>
  <c r="E20" i="42"/>
  <c r="D20" i="42"/>
  <c r="H15" i="42"/>
  <c r="G15" i="42"/>
  <c r="F15" i="42"/>
  <c r="E15" i="42"/>
  <c r="D15" i="42"/>
  <c r="H9" i="42"/>
  <c r="G9" i="42"/>
  <c r="F9" i="42"/>
  <c r="E9" i="42"/>
  <c r="D9" i="42"/>
  <c r="H8" i="42"/>
  <c r="G8" i="42"/>
  <c r="F8" i="42"/>
  <c r="E8" i="4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sourceFile="C:\Users\DSONGUE\Desktop\PDS 31\Nova pasta\Kudu.accdb" keepAlive="1" name="Kudu" type="5" refreshedVersion="7" background="1" saveData="1">
    <dbPr connection="Provider=Microsoft.ACE.OLEDB.12.0;User ID=Admin;Data Source=C:\Users\DSONGUE\Desktop\PDS 31\Nova pasta\Kudu.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ados_agregados_setores" commandType="3"/>
  </connection>
  <connection id="2" xr16:uid="{00000000-0015-0000-FFFF-FFFF01000000}" sourceFile="C:\Users\DSONGUE\Desktop\PDS 31\Nova pasta\Kudu.accdb" keepAlive="1" name="Kudu1" type="5" refreshedVersion="7" background="1" saveData="1">
    <dbPr connection="Provider=Microsoft.ACE.OLEDB.12.0;User ID=Admin;Data Source=C:\Users\DSONGUE\Desktop\PDS 31\Nova pasta\Kudu.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B_total_descodifica" commandType="3"/>
  </connection>
</connections>
</file>

<file path=xl/sharedStrings.xml><?xml version="1.0" encoding="utf-8"?>
<sst xmlns="http://schemas.openxmlformats.org/spreadsheetml/2006/main" count="284" uniqueCount="224">
  <si>
    <t>B001</t>
  </si>
  <si>
    <t>B015</t>
  </si>
  <si>
    <t>B020</t>
  </si>
  <si>
    <t>B027</t>
  </si>
  <si>
    <t>D007</t>
  </si>
  <si>
    <t>D023</t>
  </si>
  <si>
    <t>ACTIVO</t>
  </si>
  <si>
    <t>Imobilizações incorpóreas</t>
  </si>
  <si>
    <t>Outros activos financeiros</t>
  </si>
  <si>
    <t>Outros activos não correntes</t>
  </si>
  <si>
    <t>Contas a receber</t>
  </si>
  <si>
    <t>Disponibilidades</t>
  </si>
  <si>
    <t>Outros activos correntes</t>
  </si>
  <si>
    <t>CAPITAL PRÓPRIO E PASSIVO</t>
  </si>
  <si>
    <t>Capital</t>
  </si>
  <si>
    <t>Reservas</t>
  </si>
  <si>
    <t>Passivo não corrente</t>
  </si>
  <si>
    <t>Empréstimo-médio e longo prazo</t>
  </si>
  <si>
    <t>Impostos diferidos</t>
  </si>
  <si>
    <t>Provisões para pensões</t>
  </si>
  <si>
    <t>Outros passivos não correntes</t>
  </si>
  <si>
    <t>Contas a pagar</t>
  </si>
  <si>
    <t>Empréstimo-curto prazo</t>
  </si>
  <si>
    <t>Outros passivos correntes</t>
  </si>
  <si>
    <t>Vendas</t>
  </si>
  <si>
    <t>Outros proveitos operacionais</t>
  </si>
  <si>
    <t>Trabalhos para a própria empresa</t>
  </si>
  <si>
    <t>Custo com o pessoal</t>
  </si>
  <si>
    <t>Amortizações</t>
  </si>
  <si>
    <t>Outros custos e perdas operacionais</t>
  </si>
  <si>
    <t>Autonomia Financeira</t>
  </si>
  <si>
    <t>Rendibilidade dos capitais próprios</t>
  </si>
  <si>
    <t>FM - NFM</t>
  </si>
  <si>
    <t>Liquidez Geral</t>
  </si>
  <si>
    <t>Liquidez Imediata</t>
  </si>
  <si>
    <t>Liquidez Reduzida</t>
  </si>
  <si>
    <t>Endividamento</t>
  </si>
  <si>
    <t>Solvabilidade Geral</t>
  </si>
  <si>
    <t>Peso do Passivo Remunerado</t>
  </si>
  <si>
    <t>Rendibilidade do Activo</t>
  </si>
  <si>
    <t>Rendibilidade das Vendas</t>
  </si>
  <si>
    <t>Prazo Médio de Recebimento ( nº dias )</t>
  </si>
  <si>
    <t>Prazo Médio de Pagamento ( nº dias )</t>
  </si>
  <si>
    <t>SA005</t>
  </si>
  <si>
    <t>Cobertura dos Activos N/ Correntes</t>
  </si>
  <si>
    <t>BANCO NACIONAL DE ANGOLA</t>
  </si>
  <si>
    <t xml:space="preserve">Indicadores </t>
  </si>
  <si>
    <t>Necessidades (+)/Recursos (-) de FM</t>
  </si>
  <si>
    <t>GE</t>
  </si>
  <si>
    <t>ME</t>
  </si>
  <si>
    <t>PE</t>
  </si>
  <si>
    <t>MC</t>
  </si>
  <si>
    <t>Liquidez e Estrutura Financeira</t>
  </si>
  <si>
    <t>Grau de Alavancagem Financeira (GAF)</t>
  </si>
  <si>
    <t>Grau de Alavancagem Operacional (GAO)</t>
  </si>
  <si>
    <t>Caracterização do Sector</t>
  </si>
  <si>
    <t>Equação Patrimonial</t>
  </si>
  <si>
    <t>EQUILÍBRIO PATRIMONIAL</t>
  </si>
  <si>
    <t>Estrutura Dimensional Gráfica</t>
  </si>
  <si>
    <t>GE ( Grandes Empresas )</t>
  </si>
  <si>
    <t>ME ( Média Empresas )</t>
  </si>
  <si>
    <t>PE ( Pequenas Empresas )</t>
  </si>
  <si>
    <t>MC ( Micro Empresas )</t>
  </si>
  <si>
    <t>Traduz em que medida o endividamento de curto prazo (corrente) se encontra coberto por ativos que podem vir a ser convertidos em meios financeiros líquidos também no curto prazo.</t>
  </si>
  <si>
    <t>Indicador que expressa o tempo médio decorrido, em dias, entre o momento das vendas e/ou serviços prestados e o respetivo recebimento.</t>
  </si>
  <si>
    <t>Contas do ciclo de exploração da empresa e que geram recursos financeiros de forma recorrente.</t>
  </si>
  <si>
    <t>As contas que resultam das decisões do ciclo de exploração e que implicam necessidades de financiamento, presentes no activo corrente.</t>
  </si>
  <si>
    <t>Procura avaliar-se o grau de dependência das existências (por comparação com a liquidez geral) para liquidar o passivo exigível a curto prazo.</t>
  </si>
  <si>
    <t>Reflete apenas a capacidade de regularizar o passivo (curto prazo) com os valores imediatamente disponíveis (meios monetários líquidos).</t>
  </si>
  <si>
    <t>Avalia o grau de endividamento dos sócios no financiamento dos activos (aplicações de fundos totais).</t>
  </si>
  <si>
    <t xml:space="preserve">Indica em que medida os investimentos são financiados por capitais estáveis (capitais próprios e passivo não corrente). </t>
  </si>
  <si>
    <t>Mostra-nos o lucro obtido por cada unidade monetária vendida.</t>
  </si>
  <si>
    <t>Avalia o peso relativo dos gastos de estrutura operacionais, identificando a sensibilidade do resultado operacional a uma variação dos vendas.</t>
  </si>
  <si>
    <t>Aquelas que empreguem mais de 100 até 200 trabalhadores e/ou tenham uma facturação bruta anual em Kz superior ao equivalente a USD 3 milhões e igual ou inferior a USD 10 milhões.</t>
  </si>
  <si>
    <t>Aquelas que empreguem mais de 10 e até 100 trabalhadores e/ou tenham uma facturação bruta anual em Kz superior ao equivalente a USD 250 mil e igual ou inferior a USD 3 milhões.</t>
  </si>
  <si>
    <t>Aquelas que empreguem até 10 trabalhadores e/ou tenham uma facturação bruta anual não superior em Kz ao equivalente a USD 250 mil.</t>
  </si>
  <si>
    <t>REPORTE DOS INDICADORES DAS ESTATISTICAS DAS SOCIEDADES NÃO FINANCEIRAS DA CENTRAL DE BALANÇOS</t>
  </si>
  <si>
    <t>FORMULÁRIO DE RÁCIOS E INDICADORES</t>
  </si>
  <si>
    <t>Indicador</t>
  </si>
  <si>
    <t>Conceito</t>
  </si>
  <si>
    <t>Fórmula</t>
  </si>
  <si>
    <t>Critérios de divulgação</t>
  </si>
  <si>
    <t>Indica, em média, quanto tempo se gasta para receber o corresponde às vendas e prestação de serviços</t>
  </si>
  <si>
    <t>Indica quanto à empresa obtém de Lucro para cada Kz 100 de investimento total. Quanto maior, melhor</t>
  </si>
  <si>
    <t>Indica quanto à empresa obteve de lucro para cada $ 100 de Capital Próprio investido. Quanto maior, melhor.</t>
  </si>
  <si>
    <t>Indica quanto tempo em média à empresa demora a receber suas vendas diárias. Quanto menor, melhor.</t>
  </si>
  <si>
    <t>Passivo / Activo</t>
  </si>
  <si>
    <t>Activo Corrente / Passivo Corrente</t>
  </si>
  <si>
    <t>(Activo Corrente – Existências) / Passivo Corrente</t>
  </si>
  <si>
    <t>Capital Próprio / Activo</t>
  </si>
  <si>
    <t>Valor Ideal</t>
  </si>
  <si>
    <t>Um valor inferior a 1/3, significa uma excessiva dependência de capitais alheios. Um valor maior ou igual a 1/3, representa um bom grau de autonomia financeira.</t>
  </si>
  <si>
    <t xml:space="preserve">Quanto mais elevado for este rácio mais elevado será o risco para os credores e por consequência menor a capacidade de obtenção de empréstimos. (CP), o que revela um limite à capacidade </t>
  </si>
  <si>
    <t xml:space="preserve">Um valor superior a 1, significa que o valor do património é suficiente para cobrir todas as dividas da empresa. Um valor inferior a 1, significa que a empresa está impossibilitada de satisfazer todos os seus compromissos com meios próprios. </t>
  </si>
  <si>
    <t>Capital Próprio / Passivo</t>
  </si>
  <si>
    <t>Resultado Líquido (RL) / Capital Próprio (CP)</t>
  </si>
  <si>
    <t>Quanto mais elevado este rácio melhor para os potenciais investidores, significa que os sócios/acionistas detém mais retorno.</t>
  </si>
  <si>
    <t>Capital Próprio + Passivo não Corrente / Activo não Corrente</t>
  </si>
  <si>
    <t>Este rácio deve ser igual ou superior a 1 para os capitais próprios e o passivo não corrente serem iguais ou superior ao montante do activo não corrente.</t>
  </si>
  <si>
    <t>EBITDA ou (RL) / Activo</t>
  </si>
  <si>
    <t>Quanto mais elevado for melhor será a performance operacional, os ativos da empresa estão a ser bem utilizados.</t>
  </si>
  <si>
    <t>(RL) ou (RO) / Volume de Negócios (VN)</t>
  </si>
  <si>
    <t>Quanto mais elevado for este indicador, maior a capacidade da empresa em gerar resultados.</t>
  </si>
  <si>
    <t>[Clientes / Vendas e Prestação de Serviços (VPS)] x 365</t>
  </si>
  <si>
    <t>quanto mais baixo o rácio, menor o prazo que, em média, os clientes demoram a saldar as suas dívidas.</t>
  </si>
  <si>
    <t>[Fornecedores /Compras e Fornecimentos de Serviços Externos (CFSEX)] x 365</t>
  </si>
  <si>
    <t>quando muito elevado (superior 180 dias por exemplo) poderá evidenciar dificuldade de tesouraria.</t>
  </si>
  <si>
    <t>(RO) / (RAI)</t>
  </si>
  <si>
    <t>GAF = 1: alavancagem financeira é nula.
GAF &gt; 1: alavancagem financeira favorável; o capital de terceiros está contribuindo para gerar retorno adicional a favor do acionista.
GAF &lt; 1: alavancagem financeira desfavorável; o capital de terceiros está consumindo o patrimônio líquido.</t>
  </si>
  <si>
    <t>Variação Percentual no Lucro Operacional (Resultado) / Variação Percentual nas Vendas</t>
  </si>
  <si>
    <t>Alta Alavancagem Operacional (altos custos fixos e baixos custos variáveis) significa que pequenas alterações no volume de vendas resultarão em grandes mudanças nos lucros.
Baixa Alavancagem Operacional (baixos custos fixos e altos custos variáveis) significa que as mudanças no volume de vendas não resultarão em grandes mudanças nos lucros.</t>
  </si>
  <si>
    <t>Financiamentos Obtidos / Passivo</t>
  </si>
  <si>
    <t>(Capital próprio + Financiamentos obtidos) &gt; 0</t>
  </si>
  <si>
    <t>Passivo corrente &gt; 0</t>
  </si>
  <si>
    <t>Denominador &gt; 0</t>
  </si>
  <si>
    <t>Activo &gt; 0</t>
  </si>
  <si>
    <t>Capital Próprio &gt; 0</t>
  </si>
  <si>
    <t>Venda   &gt; 0</t>
  </si>
  <si>
    <t>Activo Corrente - Passivo Corrente</t>
  </si>
  <si>
    <t>Montante necessário para o funcionamento da empresa ou capital necessário para financiar o ciclo de exploração</t>
  </si>
  <si>
    <t>Um valor superior a 1, significa que a empresa pode utilizar activos líquidos para pagar as dívidas a curto prazo. Um valor inferior a 1, significa que a empresa tem dificuldade de tesouraria.</t>
  </si>
  <si>
    <t>Se o rácio for &gt; 1, tal significa que mais de 100% das responsabilidades de curto prazo poderão ser satisfeitas recorrendo aos meios financeiros líquidos (caixa e depósitos bancários) e à cobrança de créditos de curto prazo.</t>
  </si>
  <si>
    <t>Se a liquidez imediata for maior do que 1, se entende que a empresa possui capital imediato suficiente para arcar com as suas obrigações de curto prazo.Se a liquidez imediata for igual a 1, o capital e as obrigações são equivalentes.Se a liquidez seca for menor do que 1, significa que a empresa não possui, hoje, capital suficiente para arcar com todas as suas obrigações.</t>
  </si>
  <si>
    <t>A tesouraria líquida apresenta as disponibilidades da empresa, ou seja, os meios financeiros líquidos (capacidade de converter um elemento aCtivo em meios monetários a curto prazo)</t>
  </si>
  <si>
    <t>Uma empresa encontra-se equilibrada financeiramente sempre que os valores de Fundo Maneiro sejam capazes de cobrir as Necessidades de Financiamento, reduzindo desta forma eventuais riscos da actividade empresarial que possam surgir no ciclo de exploração.</t>
  </si>
  <si>
    <t>(Disponibilidades) / Passivo Corrente</t>
  </si>
  <si>
    <t>Se o activo corrente for superior ao passivo corrente, trata-se de fundo de maneio positivo. Ou seja, a empresa tem mais ativos líquidos do que dívidas que vencem num curto prazo. Se, por outro lado, o fundo de maneio for negativo, estamos perante um desequilíbrio patrimonial. O que implica tomar medidas para aumentar o ativo corrente, por exemplo, vendendo imobilizado, aumentando o capital ou contraindo um empréstimo a longo prazo.</t>
  </si>
  <si>
    <t>O GAF evidência os efeitos das variações ocorridas no lucro antes dos juros e do imposto de renda (LAJIR) que se refletem no lucro líquido</t>
  </si>
  <si>
    <t>Activo (kz)</t>
  </si>
  <si>
    <t>Passivo (kz)</t>
  </si>
  <si>
    <t>Capital próprio (kz)</t>
  </si>
  <si>
    <t>Necessidades cílclicas de exploração (kz)</t>
  </si>
  <si>
    <t>Recursos cíclicos de exploração (kz)</t>
  </si>
  <si>
    <t>Tesouraria líquida (kz)</t>
  </si>
  <si>
    <t>Fundo de maneio (kz)</t>
  </si>
  <si>
    <t>Corresponde ao montante que as empresas têm disponível no curto prazo (activo corrente), após dedução das suas obrigações com igual prazo de vencimento (passivo corrente).</t>
  </si>
  <si>
    <t>Aquelas que empreguem mais de 200 trabalhadores e/ou tenham uma facturação bruta anual em Kz superior ao equivalente a USD 10 milhões.</t>
  </si>
  <si>
    <t>Traduz a capacidade de uma organização cumprir os seus compromissos a médio e longo prazo. O conceito de solvabilidade contrapõe-se ao de liquidez, assumindo este último uma visão de curso prazo e a solvabilidade uma perspectiva de médio-longo prazo.</t>
  </si>
  <si>
    <t>ND</t>
  </si>
  <si>
    <t>Cobertura Dimensional (BNA):</t>
  </si>
  <si>
    <t>Grande Empresa (GE)</t>
  </si>
  <si>
    <t>Média Empresa (ME)</t>
  </si>
  <si>
    <t>Micro Empresa (MC)</t>
  </si>
  <si>
    <t>Indica quanto à empresa tomou de Capitais de Terceiros para cada Kz 100 de capital próprio investido. Quanto menor, melhor. Ou determina a proporção ou percentagem de capital alheio
utilizado no financiamento das actividades da entidade.
seguinte expressão de cálculo:</t>
  </si>
  <si>
    <t xml:space="preserve"> Fundo de Maneio</t>
  </si>
  <si>
    <t xml:space="preserve"> Tesouraria Líquida </t>
  </si>
  <si>
    <t>Rendibilidade do Capital Próprio</t>
  </si>
  <si>
    <t xml:space="preserve">Endividamento </t>
  </si>
  <si>
    <t xml:space="preserve">Solvabilidade </t>
  </si>
  <si>
    <t xml:space="preserve">PMR Vs PMP  </t>
  </si>
  <si>
    <t xml:space="preserve"> Liquidez Geral </t>
  </si>
  <si>
    <t xml:space="preserve">Liquidez Reduzida </t>
  </si>
  <si>
    <t xml:space="preserve"> Liquidez Imediata</t>
  </si>
  <si>
    <t>Período</t>
  </si>
  <si>
    <t>Invest. finan. em filiais e associadas</t>
  </si>
  <si>
    <t>Parte de c/p dos emprest. M/L P</t>
  </si>
  <si>
    <t>Provis. p/ outros riscos e encargos</t>
  </si>
  <si>
    <t>Variação nos produtos acab. em vias de fabr.</t>
  </si>
  <si>
    <t>Var. nos produtos acabados e em vias de fabr.</t>
  </si>
  <si>
    <t>Resultados Operacionais</t>
  </si>
  <si>
    <t>Resultados Financeiros</t>
  </si>
  <si>
    <t>Resultados em Filiais e Assoc.</t>
  </si>
  <si>
    <t>Resultados não Operacionais</t>
  </si>
  <si>
    <t xml:space="preserve">Resultado antes dos Impostos </t>
  </si>
  <si>
    <t>Resultados Extraordinários</t>
  </si>
  <si>
    <t>Total dos Proveitos Operacionais</t>
  </si>
  <si>
    <t>Total dos Custos e Perdas Operacionais</t>
  </si>
  <si>
    <t xml:space="preserve">DESCRIÇÃO </t>
  </si>
  <si>
    <t xml:space="preserve">Capital Próprio </t>
  </si>
  <si>
    <t>PANORAMA SECTORIAL DAS ESTATISTICAS DA CENTRAL DE BALANÇOS</t>
  </si>
  <si>
    <t>Imposto sobre / Rendimento</t>
  </si>
  <si>
    <t>Necessidades Cílclicas de exploração (kz)</t>
  </si>
  <si>
    <t>Balanço e Demonstração de Resultados</t>
  </si>
  <si>
    <t>Equilibrio Financeiro</t>
  </si>
  <si>
    <t>Pequena Empresa (PE)</t>
  </si>
  <si>
    <t>Valores Expressos em : Milhões de Kz</t>
  </si>
  <si>
    <t>Notas</t>
  </si>
  <si>
    <t>NOTAS</t>
  </si>
  <si>
    <t>Cobertura Sectorial</t>
  </si>
  <si>
    <t>Activo não Corrente</t>
  </si>
  <si>
    <t>Activo Corrente</t>
  </si>
  <si>
    <t>Passivo Corrente</t>
  </si>
  <si>
    <t xml:space="preserve">Passivo </t>
  </si>
  <si>
    <t>12| Equilíbrio financeiro Se : FM &gt; NFM / FM - NFM ≥ 0 / TL ≥ 0</t>
  </si>
  <si>
    <t>13| Valor &gt; 1 : Utiliza activos líquidos para pagar as dívidas a curto prazo / Valor &lt; 1 : Dificuldade de tesouraria.</t>
  </si>
  <si>
    <t>16| Valor &lt; 1/3 : Excessiva dependência de capitais alheios / Valor ≥  1/3 : Bom grau de autonomia financeira.</t>
  </si>
  <si>
    <t xml:space="preserve">17| Quanto mais elevado, mais elevado será o risco para os credores e menor a capacidade de obtenção de empréstimos. </t>
  </si>
  <si>
    <t xml:space="preserve">18| Valor &gt; 1 : Património suficiente para cobrir as dividas / Valor &lt; 1 : Não satisfaz os  compromissos com meios próprios. </t>
  </si>
  <si>
    <t>20| Quanto mais elevado melhor para investidores - os sócios/acionistas detém mais retorno, salvo redução do capital.</t>
  </si>
  <si>
    <t>Resultado Líquido do Exercício</t>
  </si>
  <si>
    <t>Prestação de serviços</t>
  </si>
  <si>
    <t>Custos das exist. Vend. e mat. primas consum.</t>
  </si>
  <si>
    <t xml:space="preserve">Resultados Líquidos das Actividades Correntes </t>
  </si>
  <si>
    <t>Existências</t>
  </si>
  <si>
    <t xml:space="preserve">RESULTADOS LÍQUIDOS DO EXERCÍCIO </t>
  </si>
  <si>
    <t xml:space="preserve">08| FM &gt; 0 :  Mais activos líquidos do que dívidas que vencem no curto prazo / FM&lt;0 : Desequilíbrio patrimonial. </t>
  </si>
  <si>
    <t>Património Líquido (Kz)</t>
  </si>
  <si>
    <t>Situação Líquida (Kz)</t>
  </si>
  <si>
    <r>
      <rPr>
        <b/>
        <sz val="11"/>
        <rFont val="Segoe UI"/>
        <family val="2"/>
      </rPr>
      <t>Fonte:</t>
    </r>
    <r>
      <rPr>
        <sz val="11"/>
        <rFont val="Segoe UI"/>
        <family val="2"/>
      </rPr>
      <t xml:space="preserve"> Banco Nacional de Angola / DES</t>
    </r>
  </si>
  <si>
    <t>Proveitos operacionais (kz)</t>
  </si>
  <si>
    <t>Custos e perdas operacionais</t>
  </si>
  <si>
    <t>07| Valor Positivo: Lucro / Valor Negativo: Prejuízo</t>
  </si>
  <si>
    <t>POSITIVA</t>
  </si>
  <si>
    <t>Variação Absoluta Patrimonial</t>
  </si>
  <si>
    <t>Produtividade do Equipamento</t>
  </si>
  <si>
    <t>Rotação do Activo</t>
  </si>
  <si>
    <t>Rendibilidade e Produtividade</t>
  </si>
  <si>
    <t>Estrutura do Endividamento</t>
  </si>
  <si>
    <t>Risco ou Técnicos</t>
  </si>
  <si>
    <t>27| GAO Elevado: Altos custos fixos e baixos custos variáveis / GAO Baixo : Baixos custos fixos e altos custos variáveis.</t>
  </si>
  <si>
    <t>(1)   Inclui ajustamentos contabilísticos e estatísticos</t>
  </si>
  <si>
    <t xml:space="preserve">Imobilizações corpóreas </t>
  </si>
  <si>
    <r>
      <t xml:space="preserve">Resultados transitados </t>
    </r>
    <r>
      <rPr>
        <sz val="8"/>
        <color theme="3" tint="-0.49995422223578601"/>
        <rFont val="Segoe UI"/>
        <family val="2"/>
      </rPr>
      <t>(1)</t>
    </r>
  </si>
  <si>
    <t xml:space="preserve">  26| GAF &gt; 1 : Alavanca financeira favorável / GAF &lt; 1 : Alavancagem financeira desfavorável.</t>
  </si>
  <si>
    <t>Prestação de serviços (Kz)</t>
  </si>
  <si>
    <t xml:space="preserve">  37| CB Vs Estimavas - Dados do Ficheiro de Unidade Empresarial (FUE) do INE</t>
  </si>
  <si>
    <t>Resultados do exercício</t>
  </si>
  <si>
    <t>CONSTRUÇÃO</t>
  </si>
  <si>
    <t>BALANÇO - CONSTRUÇÃO</t>
  </si>
  <si>
    <t>DEMONSTRAÇÃO DE RESULTADOS - CONSTRUÇÃO</t>
  </si>
  <si>
    <t xml:space="preserve">                                 Valores Expressos em : Milhões de Kz</t>
  </si>
  <si>
    <t xml:space="preserve">Autonomia Financeira </t>
  </si>
  <si>
    <t xml:space="preserve">Grau de Alavancagem Financeira </t>
  </si>
  <si>
    <t xml:space="preserve">Grau de Alavancagem Operacional (GAO)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</si>
</sst>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_ ;\-#,##0.00\ "/>
    <numFmt numFmtId="165" formatCode="_-* #,##0_-;\-* #,##0_-;_-* &quot;-&quot;??_-;_-@_-"/>
    <numFmt numFmtId="166" formatCode="0.00_);\(0.00\)"/>
    <numFmt numFmtId="167" formatCode="_-* #,##0.00\ _€_-;\-* #,##0.00\ _€_-;_-* &quot;-&quot;??\ _€_-;_-@_-"/>
  </numFmts>
  <fonts count="25" x14ac:knownFonts="1">
    <font>
      <sz val="11"/>
      <color theme="1"/>
      <name val="Calibri"/>
      <family val="2"/>
      <scheme val="minor"/>
    </font>
    <font>
      <b/>
      <sz val="11"/>
      <color theme="1"/>
      <name val="Calibri"/>
      <family val="2"/>
      <scheme val="minor"/>
    </font>
    <font>
      <b/>
      <sz val="11"/>
      <color rgb="FF002060"/>
      <name val="Calibri"/>
      <family val="2"/>
      <scheme val="minor"/>
    </font>
    <font>
      <sz val="11"/>
      <color rgb="FF002060"/>
      <name val="Calibri"/>
      <family val="2"/>
      <scheme val="minor"/>
    </font>
    <font>
      <sz val="11"/>
      <color theme="0"/>
      <name val="Calibri"/>
      <family val="2"/>
      <scheme val="minor"/>
    </font>
    <font>
      <b/>
      <sz val="11"/>
      <color theme="0"/>
      <name val="Calibri"/>
      <family val="2"/>
      <scheme val="minor"/>
    </font>
    <font>
      <b/>
      <sz val="11"/>
      <color theme="7" tint="-0.49995422223578601"/>
      <name val="Calibri"/>
      <family val="2"/>
      <scheme val="minor"/>
    </font>
    <font>
      <sz val="10"/>
      <color indexed="10"/>
      <name val="Arial"/>
      <family val="2"/>
    </font>
    <font>
      <sz val="11"/>
      <color theme="5" tint="-0.24994659260841701"/>
      <name val="Calibri"/>
      <family val="2"/>
      <scheme val="minor"/>
    </font>
    <font>
      <sz val="10"/>
      <name val="Arial"/>
      <family val="2"/>
    </font>
    <font>
      <sz val="11"/>
      <name val="Calibri"/>
      <family val="2"/>
      <scheme val="minor"/>
    </font>
    <font>
      <b/>
      <sz val="16"/>
      <color theme="0"/>
      <name val="Century Gothic"/>
      <family val="2"/>
    </font>
    <font>
      <sz val="10"/>
      <color theme="3" tint="-0.49995422223578601"/>
      <name val="Segoe UI"/>
      <family val="2"/>
    </font>
    <font>
      <b/>
      <sz val="10"/>
      <color theme="3" tint="-0.49995422223578601"/>
      <name val="Segoe UI"/>
      <family val="2"/>
    </font>
    <font>
      <b/>
      <sz val="10"/>
      <color theme="0"/>
      <name val="Segoe UI"/>
      <family val="2"/>
    </font>
    <font>
      <b/>
      <sz val="16"/>
      <color theme="0"/>
      <name val="Segoe UI"/>
      <family val="2"/>
    </font>
    <font>
      <sz val="10"/>
      <color theme="0"/>
      <name val="Segoe UI"/>
      <family val="2"/>
    </font>
    <font>
      <sz val="10"/>
      <name val="Segoe UI"/>
      <family val="2"/>
    </font>
    <font>
      <b/>
      <sz val="10"/>
      <color theme="1" tint="0.49995422223578601"/>
      <name val="Segoe UI"/>
      <family val="2"/>
    </font>
    <font>
      <b/>
      <sz val="11"/>
      <color theme="0"/>
      <name val="Segoe UI"/>
      <family val="2"/>
    </font>
    <font>
      <b/>
      <sz val="12"/>
      <color theme="0"/>
      <name val="Century Gothic"/>
      <family val="2"/>
    </font>
    <font>
      <sz val="11"/>
      <name val="Segoe UI"/>
      <family val="2"/>
    </font>
    <font>
      <sz val="8"/>
      <color theme="3" tint="-0.49995422223578601"/>
      <name val="Segoe UI"/>
      <family val="2"/>
    </font>
    <font>
      <b/>
      <sz val="11"/>
      <name val="Segoe UI"/>
      <family val="2"/>
    </font>
    <font>
      <sz val="11"/>
      <color theme="1"/>
      <name val="Calibri"/>
      <family val="2"/>
      <scheme val="minor"/>
    </font>
  </fonts>
  <fills count="17">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4.9958800012207406E-2"/>
        <bgColor indexed="64"/>
      </patternFill>
    </fill>
    <fill>
      <patternFill patternType="solid">
        <fgColor theme="8" tint="-0.49995422223578601"/>
        <bgColor indexed="64"/>
      </patternFill>
    </fill>
    <fill>
      <patternFill patternType="solid">
        <fgColor theme="4" tint="-0.24994659260841701"/>
        <bgColor indexed="64"/>
      </patternFill>
    </fill>
    <fill>
      <patternFill patternType="solid">
        <fgColor theme="8" tint="0.59996337778862885"/>
        <bgColor indexed="64"/>
      </patternFill>
    </fill>
    <fill>
      <patternFill patternType="solid">
        <fgColor theme="0" tint="-0.14996795556505021"/>
        <bgColor indexed="64"/>
      </patternFill>
    </fill>
    <fill>
      <patternFill patternType="solid">
        <fgColor theme="0" tint="-0.14996795556505021"/>
        <bgColor indexed="64"/>
      </patternFill>
    </fill>
    <fill>
      <patternFill patternType="solid">
        <fgColor theme="8" tint="0.59996337778862885"/>
        <bgColor indexed="64"/>
      </patternFill>
    </fill>
    <fill>
      <patternFill patternType="solid">
        <fgColor theme="8" tint="0.39997558519241921"/>
        <bgColor indexed="64"/>
      </patternFill>
    </fill>
    <fill>
      <patternFill patternType="solid">
        <fgColor theme="9" tint="-0.49995422223578601"/>
        <bgColor indexed="64"/>
      </patternFill>
    </fill>
    <fill>
      <patternFill patternType="solid">
        <fgColor theme="4" tint="0.39997558519241921"/>
        <bgColor indexed="64"/>
      </patternFill>
    </fill>
    <fill>
      <patternFill patternType="solid">
        <fgColor theme="2" tint="-0.24994659260841701"/>
        <bgColor indexed="64"/>
      </patternFill>
    </fill>
    <fill>
      <patternFill patternType="solid">
        <fgColor theme="8"/>
        <bgColor indexed="64"/>
      </patternFill>
    </fill>
    <fill>
      <patternFill patternType="solid">
        <fgColor theme="8" tint="0.39997558519241921"/>
        <bgColor indexed="64"/>
      </patternFill>
    </fill>
  </fills>
  <borders count="71">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style="dashed">
        <color auto="1"/>
      </top>
      <bottom style="dashed">
        <color auto="1"/>
      </bottom>
      <diagonal/>
    </border>
    <border>
      <left style="dashed">
        <color auto="1"/>
      </left>
      <right style="thin">
        <color theme="0"/>
      </right>
      <top style="dashed">
        <color auto="1"/>
      </top>
      <bottom style="dashed">
        <color auto="1"/>
      </bottom>
      <diagonal/>
    </border>
    <border>
      <left style="thin">
        <color theme="0"/>
      </left>
      <right style="thin">
        <color theme="0"/>
      </right>
      <top style="dashed">
        <color auto="1"/>
      </top>
      <bottom style="dashed">
        <color auto="1"/>
      </bottom>
      <diagonal/>
    </border>
    <border>
      <left style="dashed">
        <color theme="4" tint="0.59993285927915285"/>
      </left>
      <right style="dashed">
        <color theme="4" tint="0.59993285927915285"/>
      </right>
      <top/>
      <bottom/>
      <diagonal/>
    </border>
    <border>
      <left style="dashed">
        <color theme="4" tint="0.59993285927915285"/>
      </left>
      <right/>
      <top/>
      <bottom/>
      <diagonal/>
    </border>
    <border>
      <left style="thin">
        <color theme="0"/>
      </left>
      <right/>
      <top style="dashed">
        <color auto="1"/>
      </top>
      <bottom style="dashed">
        <color auto="1"/>
      </bottom>
      <diagonal/>
    </border>
    <border>
      <left style="medium">
        <color theme="0"/>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style="hair">
        <color theme="0"/>
      </left>
      <right style="hair">
        <color theme="0"/>
      </right>
      <top style="thin">
        <color auto="1"/>
      </top>
      <bottom style="thin">
        <color auto="1"/>
      </bottom>
      <diagonal/>
    </border>
    <border>
      <left style="hair">
        <color theme="4" tint="-0.49995422223578601"/>
      </left>
      <right style="hair">
        <color theme="4" tint="-0.49995422223578601"/>
      </right>
      <top/>
      <bottom/>
      <diagonal/>
    </border>
    <border>
      <left style="hair">
        <color theme="4" tint="-0.49995422223578601"/>
      </left>
      <right/>
      <top/>
      <bottom/>
      <diagonal/>
    </border>
    <border>
      <left/>
      <right/>
      <top style="thin">
        <color auto="1"/>
      </top>
      <bottom/>
      <diagonal/>
    </border>
    <border>
      <left style="hair">
        <color theme="4" tint="-0.49995422223578601"/>
      </left>
      <right style="hair">
        <color theme="4" tint="-0.49995422223578601"/>
      </right>
      <top style="thin">
        <color auto="1"/>
      </top>
      <bottom/>
      <diagonal/>
    </border>
    <border>
      <left style="hair">
        <color theme="4" tint="-0.49995422223578601"/>
      </left>
      <right style="hair">
        <color theme="4" tint="-0.49995422223578601"/>
      </right>
      <top/>
      <bottom style="thin">
        <color auto="1"/>
      </bottom>
      <diagonal/>
    </border>
    <border>
      <left style="thin">
        <color auto="1"/>
      </left>
      <right/>
      <top style="thin">
        <color auto="1"/>
      </top>
      <bottom style="thin">
        <color auto="1"/>
      </bottom>
      <diagonal/>
    </border>
    <border>
      <left style="hair">
        <color theme="0" tint="-4.9958800012207406E-2"/>
      </left>
      <right style="hair">
        <color theme="0" tint="-4.9958800012207406E-2"/>
      </right>
      <top style="hair">
        <color theme="0" tint="-0.14993743705557422"/>
      </top>
      <bottom style="hair">
        <color theme="0" tint="-0.14993743705557422"/>
      </bottom>
      <diagonal/>
    </border>
    <border>
      <left style="hair">
        <color theme="0" tint="-4.9958800012207406E-2"/>
      </left>
      <right/>
      <top style="hair">
        <color theme="0" tint="-0.14993743705557422"/>
      </top>
      <bottom style="hair">
        <color theme="0" tint="-0.14993743705557422"/>
      </bottom>
      <diagonal/>
    </border>
    <border>
      <left/>
      <right/>
      <top/>
      <bottom style="thin">
        <color auto="1"/>
      </bottom>
      <diagonal/>
    </border>
    <border>
      <left style="hair">
        <color theme="0"/>
      </left>
      <right style="hair">
        <color theme="0"/>
      </right>
      <top style="medium">
        <color rgb="FF0070C0"/>
      </top>
      <bottom style="medium">
        <color rgb="FF0070C0"/>
      </bottom>
      <diagonal/>
    </border>
    <border>
      <left style="thin">
        <color theme="0"/>
      </left>
      <right style="thin">
        <color theme="0"/>
      </right>
      <top style="medium">
        <color theme="9" tint="-0.49995422223578601"/>
      </top>
      <bottom style="medium">
        <color theme="9" tint="-0.49995422223578601"/>
      </bottom>
      <diagonal/>
    </border>
    <border>
      <left style="hair">
        <color theme="8" tint="0.59993285927915285"/>
      </left>
      <right/>
      <top style="dashed">
        <color auto="1"/>
      </top>
      <bottom style="dashed">
        <color auto="1"/>
      </bottom>
      <diagonal/>
    </border>
    <border>
      <left style="hair">
        <color theme="8" tint="0.59993285927915285"/>
      </left>
      <right/>
      <top/>
      <bottom/>
      <diagonal/>
    </border>
    <border>
      <left style="thin">
        <color theme="0"/>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right style="dashed">
        <color auto="1"/>
      </right>
      <top style="dashed">
        <color auto="1"/>
      </top>
      <bottom/>
      <diagonal/>
    </border>
    <border>
      <left style="dashed">
        <color auto="1"/>
      </left>
      <right/>
      <top/>
      <bottom/>
      <diagonal/>
    </border>
    <border>
      <left/>
      <right style="dashed">
        <color auto="1"/>
      </right>
      <top/>
      <bottom/>
      <diagonal/>
    </border>
    <border>
      <left style="dashed">
        <color auto="1"/>
      </left>
      <right/>
      <top/>
      <bottom style="dashed">
        <color auto="1"/>
      </bottom>
      <diagonal/>
    </border>
    <border>
      <left/>
      <right/>
      <top/>
      <bottom style="dashed">
        <color auto="1"/>
      </bottom>
      <diagonal/>
    </border>
    <border>
      <left/>
      <right style="dashed">
        <color auto="1"/>
      </right>
      <top/>
      <bottom style="dashed">
        <color auto="1"/>
      </bottom>
      <diagonal/>
    </border>
    <border>
      <left style="dashed">
        <color auto="1"/>
      </left>
      <right style="medium">
        <color auto="1"/>
      </right>
      <top/>
      <bottom/>
      <diagonal/>
    </border>
    <border>
      <left/>
      <right style="thin">
        <color auto="1"/>
      </right>
      <top/>
      <bottom/>
      <diagonal/>
    </border>
    <border>
      <left style="dashed">
        <color theme="4" tint="0.59993285927915285"/>
      </left>
      <right style="dashed">
        <color theme="4" tint="0.59993285927915285"/>
      </right>
      <top style="medium">
        <color theme="0"/>
      </top>
      <bottom/>
      <diagonal/>
    </border>
    <border>
      <left style="dashed">
        <color auto="1"/>
      </left>
      <right style="dashed">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thin">
        <color theme="0"/>
      </top>
      <bottom/>
      <diagonal/>
    </border>
    <border>
      <left style="dashed">
        <color theme="4" tint="0.59993285927915285"/>
      </left>
      <right style="dashed">
        <color theme="4" tint="0.59993285927915285"/>
      </right>
      <top style="dashed">
        <color auto="1"/>
      </top>
      <bottom/>
      <diagonal/>
    </border>
    <border>
      <left/>
      <right style="thin">
        <color theme="0"/>
      </right>
      <top/>
      <bottom/>
      <diagonal/>
    </border>
    <border>
      <left style="dashed">
        <color theme="4" tint="0.59993285927915285"/>
      </left>
      <right style="dashed">
        <color theme="4" tint="0.59993285927915285"/>
      </right>
      <top style="thin">
        <color theme="0"/>
      </top>
      <bottom/>
      <diagonal/>
    </border>
    <border>
      <left/>
      <right/>
      <top style="medium">
        <color rgb="FF002060"/>
      </top>
      <bottom/>
      <diagonal/>
    </border>
    <border>
      <left style="dashed">
        <color theme="4" tint="0.59993285927915285"/>
      </left>
      <right style="dotted">
        <color theme="4" tint="0.59993285927915285"/>
      </right>
      <top/>
      <bottom/>
      <diagonal/>
    </border>
    <border>
      <left style="hair">
        <color theme="8" tint="0.59993285927915285"/>
      </left>
      <right style="thin">
        <color theme="0"/>
      </right>
      <top style="dashed">
        <color auto="1"/>
      </top>
      <bottom style="dashed">
        <color auto="1"/>
      </bottom>
      <diagonal/>
    </border>
    <border>
      <left/>
      <right style="dashed">
        <color theme="4" tint="0.59993285927915285"/>
      </right>
      <top style="dashed">
        <color auto="1"/>
      </top>
      <bottom style="dashed">
        <color auto="1"/>
      </bottom>
      <diagonal/>
    </border>
    <border>
      <left/>
      <right style="hair">
        <color theme="0" tint="-4.9958800012207406E-2"/>
      </right>
      <top style="hair">
        <color theme="0" tint="-0.14993743705557422"/>
      </top>
      <bottom style="hair">
        <color theme="0" tint="-0.14993743705557422"/>
      </bottom>
      <diagonal/>
    </border>
    <border>
      <left/>
      <right/>
      <top style="medium">
        <color theme="0"/>
      </top>
      <bottom style="thin">
        <color auto="1"/>
      </bottom>
      <diagonal/>
    </border>
    <border>
      <left/>
      <right/>
      <top style="medium">
        <color theme="9" tint="-0.49995422223578601"/>
      </top>
      <bottom style="medium">
        <color theme="9" tint="-0.49995422223578601"/>
      </bottom>
      <diagonal/>
    </border>
    <border>
      <left style="hair">
        <color theme="4" tint="-0.49995422223578601"/>
      </left>
      <right/>
      <top/>
      <bottom style="thin">
        <color auto="1"/>
      </bottom>
      <diagonal/>
    </border>
    <border>
      <left/>
      <right/>
      <top style="medium">
        <color theme="0"/>
      </top>
      <bottom/>
      <diagonal/>
    </border>
    <border>
      <left/>
      <right/>
      <top/>
      <bottom style="medium">
        <color rgb="FF002060"/>
      </bottom>
      <diagonal/>
    </border>
    <border>
      <left style="hair">
        <color theme="8" tint="0.59993285927915285"/>
      </left>
      <right/>
      <top style="thin">
        <color theme="0"/>
      </top>
      <bottom/>
      <diagonal/>
    </border>
    <border>
      <left style="hair">
        <color theme="8" tint="0.59993285927915285"/>
      </left>
      <right/>
      <top/>
      <bottom style="dashed">
        <color auto="1"/>
      </bottom>
      <diagonal/>
    </border>
    <border>
      <left style="dashed">
        <color theme="4" tint="0.59993285927915285"/>
      </left>
      <right style="dashed">
        <color theme="4" tint="0.59993285927915285"/>
      </right>
      <top/>
      <bottom style="dashed">
        <color auto="1"/>
      </bottom>
      <diagonal/>
    </border>
    <border>
      <left style="hair">
        <color theme="4" tint="-0.49995422223578601"/>
      </left>
      <right/>
      <top/>
      <bottom style="hair">
        <color theme="0" tint="-0.14993743705557422"/>
      </bottom>
      <diagonal/>
    </border>
    <border>
      <left style="dashed">
        <color auto="1"/>
      </left>
      <right/>
      <top style="dashed">
        <color auto="1"/>
      </top>
      <bottom style="dashed">
        <color auto="1"/>
      </bottom>
      <diagonal/>
    </border>
    <border>
      <left/>
      <right style="dashed">
        <color auto="1"/>
      </right>
      <top style="dashed">
        <color auto="1"/>
      </top>
      <bottom style="dashed">
        <color auto="1"/>
      </bottom>
      <diagonal/>
    </border>
    <border>
      <left style="hair">
        <color theme="0"/>
      </left>
      <right/>
      <top style="thin">
        <color auto="1"/>
      </top>
      <bottom/>
      <diagonal/>
    </border>
    <border>
      <left style="hair">
        <color theme="0"/>
      </left>
      <right/>
      <top/>
      <bottom/>
      <diagonal/>
    </border>
    <border>
      <left style="hair">
        <color theme="0"/>
      </left>
      <right/>
      <top/>
      <bottom style="thin">
        <color auto="1"/>
      </bottom>
      <diagonal/>
    </border>
    <border>
      <left style="hair">
        <color theme="0"/>
      </left>
      <right style="thin">
        <color theme="0"/>
      </right>
      <top style="thin">
        <color auto="1"/>
      </top>
      <bottom/>
      <diagonal/>
    </border>
    <border>
      <left style="hair">
        <color theme="0"/>
      </left>
      <right style="thin">
        <color theme="0"/>
      </right>
      <top/>
      <bottom/>
      <diagonal/>
    </border>
    <border>
      <left style="hair">
        <color theme="0"/>
      </left>
      <right style="thin">
        <color theme="0"/>
      </right>
      <top/>
      <bottom style="thin">
        <color auto="1"/>
      </bottom>
      <diagonal/>
    </border>
    <border>
      <left style="thin">
        <color theme="0"/>
      </left>
      <right/>
      <top/>
      <bottom/>
      <diagonal/>
    </border>
  </borders>
  <cellStyleXfs count="10">
    <xf numFmtId="0" fontId="0" fillId="0" borderId="0"/>
    <xf numFmtId="9" fontId="24" fillId="0" borderId="0" applyFont="0" applyFill="0" applyBorder="0" applyAlignment="0" applyProtection="0"/>
    <xf numFmtId="43" fontId="24" fillId="0" borderId="0" applyFont="0" applyFill="0" applyBorder="0" applyAlignment="0" applyProtection="0"/>
    <xf numFmtId="0" fontId="7" fillId="0" borderId="0">
      <alignment vertical="top"/>
    </xf>
    <xf numFmtId="0" fontId="9" fillId="0" borderId="0"/>
    <xf numFmtId="9" fontId="7" fillId="0" borderId="0" applyFont="0" applyFill="0" applyBorder="0" applyProtection="0"/>
    <xf numFmtId="167" fontId="7" fillId="0" borderId="0" applyFont="0" applyFill="0" applyBorder="0" applyProtection="0"/>
    <xf numFmtId="9"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cellStyleXfs>
  <cellXfs count="234">
    <xf numFmtId="0" fontId="0" fillId="0" borderId="0" xfId="0"/>
    <xf numFmtId="0" fontId="4" fillId="2" borderId="0" xfId="0" applyFont="1" applyFill="1"/>
    <xf numFmtId="0" fontId="3" fillId="2" borderId="0" xfId="0" applyFont="1" applyFill="1"/>
    <xf numFmtId="0" fontId="2" fillId="2" borderId="0" xfId="0" applyFont="1" applyFill="1"/>
    <xf numFmtId="0" fontId="3" fillId="2" borderId="0" xfId="0" applyFont="1" applyFill="1" applyAlignment="1">
      <alignment horizontal="center"/>
    </xf>
    <xf numFmtId="0" fontId="4" fillId="2" borderId="0" xfId="0" applyFont="1" applyFill="1" applyAlignment="1">
      <alignment horizontal="left"/>
    </xf>
    <xf numFmtId="0" fontId="5" fillId="2" borderId="0" xfId="0" applyFont="1" applyFill="1" applyAlignment="1">
      <alignment horizontal="left"/>
    </xf>
    <xf numFmtId="0" fontId="6" fillId="2" borderId="0" xfId="0" applyFont="1" applyFill="1" applyAlignment="1">
      <alignment vertical="center"/>
    </xf>
    <xf numFmtId="0" fontId="2" fillId="2" borderId="0" xfId="0" applyFont="1" applyFill="1" applyAlignment="1">
      <alignment horizontal="center"/>
    </xf>
    <xf numFmtId="0" fontId="11" fillId="3" borderId="0" xfId="0" applyFont="1" applyFill="1" applyAlignment="1">
      <alignment vertical="top"/>
    </xf>
    <xf numFmtId="0" fontId="3" fillId="4" borderId="0" xfId="0" applyFont="1" applyFill="1"/>
    <xf numFmtId="0" fontId="4" fillId="2" borderId="1" xfId="0" applyFont="1" applyFill="1" applyBorder="1" applyAlignment="1">
      <alignment horizontal="left"/>
    </xf>
    <xf numFmtId="0" fontId="3" fillId="2" borderId="2" xfId="0" applyFont="1" applyFill="1" applyBorder="1"/>
    <xf numFmtId="0" fontId="3" fillId="2" borderId="2" xfId="0" applyFont="1" applyFill="1" applyBorder="1" applyAlignment="1">
      <alignment horizontal="center"/>
    </xf>
    <xf numFmtId="0" fontId="3" fillId="2" borderId="3" xfId="0" applyFont="1" applyFill="1" applyBorder="1"/>
    <xf numFmtId="0" fontId="4" fillId="2" borderId="4" xfId="0" applyFont="1" applyFill="1" applyBorder="1" applyAlignment="1">
      <alignment horizontal="left"/>
    </xf>
    <xf numFmtId="0" fontId="3" fillId="2" borderId="5" xfId="0" applyFont="1" applyFill="1" applyBorder="1"/>
    <xf numFmtId="0" fontId="5" fillId="2" borderId="4" xfId="0" applyFont="1" applyFill="1" applyBorder="1" applyAlignment="1">
      <alignment horizontal="left"/>
    </xf>
    <xf numFmtId="0" fontId="2" fillId="2" borderId="5" xfId="0" applyFont="1" applyFill="1" applyBorder="1"/>
    <xf numFmtId="0" fontId="11" fillId="3" borderId="2" xfId="0" applyFont="1" applyFill="1" applyBorder="1" applyAlignment="1">
      <alignment vertical="center"/>
    </xf>
    <xf numFmtId="0" fontId="11" fillId="3" borderId="3" xfId="0" applyFont="1" applyFill="1" applyBorder="1" applyAlignment="1">
      <alignment vertical="center"/>
    </xf>
    <xf numFmtId="0" fontId="11" fillId="3" borderId="5" xfId="0" applyFont="1" applyFill="1" applyBorder="1" applyAlignment="1">
      <alignment vertical="top"/>
    </xf>
    <xf numFmtId="0" fontId="14" fillId="5" borderId="6" xfId="0" applyFont="1" applyFill="1" applyBorder="1" applyAlignment="1">
      <alignment horizontal="left"/>
    </xf>
    <xf numFmtId="0" fontId="5" fillId="6" borderId="7" xfId="0" applyFont="1" applyFill="1" applyBorder="1" applyAlignment="1">
      <alignment horizontal="center" vertical="center"/>
    </xf>
    <xf numFmtId="0" fontId="5" fillId="6" borderId="8" xfId="0" applyFont="1" applyFill="1" applyBorder="1" applyAlignment="1">
      <alignment horizontal="right" vertical="center" indent="1"/>
    </xf>
    <xf numFmtId="0" fontId="14" fillId="6" borderId="6" xfId="0" applyFont="1" applyFill="1" applyBorder="1" applyAlignment="1">
      <alignment horizontal="left" vertical="center"/>
    </xf>
    <xf numFmtId="0" fontId="15" fillId="3" borderId="1" xfId="0" applyFont="1" applyFill="1" applyBorder="1" applyAlignment="1">
      <alignment vertical="center"/>
    </xf>
    <xf numFmtId="0" fontId="15" fillId="3" borderId="4" xfId="0" applyFont="1" applyFill="1" applyBorder="1" applyAlignment="1">
      <alignment vertical="top"/>
    </xf>
    <xf numFmtId="39" fontId="12" fillId="4" borderId="9" xfId="2" applyNumberFormat="1" applyFont="1" applyFill="1" applyBorder="1" applyAlignment="1">
      <alignment horizontal="right"/>
    </xf>
    <xf numFmtId="39" fontId="12" fillId="2" borderId="9" xfId="2" applyNumberFormat="1" applyFont="1" applyFill="1" applyBorder="1" applyAlignment="1">
      <alignment horizontal="right"/>
    </xf>
    <xf numFmtId="39" fontId="12" fillId="2" borderId="9" xfId="2" applyNumberFormat="1" applyFont="1" applyFill="1" applyBorder="1" applyAlignment="1">
      <alignment horizontal="right" vertical="center" indent="1"/>
    </xf>
    <xf numFmtId="0" fontId="4" fillId="2" borderId="0" xfId="0" applyFont="1" applyFill="1" applyAlignment="1">
      <alignment horizontal="left" vertical="center"/>
    </xf>
    <xf numFmtId="0" fontId="3" fillId="2" borderId="0" xfId="0" applyFont="1" applyFill="1" applyAlignment="1">
      <alignment vertical="center"/>
    </xf>
    <xf numFmtId="39" fontId="12" fillId="4" borderId="10" xfId="2" applyNumberFormat="1" applyFont="1" applyFill="1" applyBorder="1" applyAlignment="1">
      <alignment horizontal="right"/>
    </xf>
    <xf numFmtId="39" fontId="12" fillId="2" borderId="10" xfId="2" applyNumberFormat="1" applyFont="1" applyFill="1" applyBorder="1" applyAlignment="1">
      <alignment horizontal="right" vertical="center" indent="1"/>
    </xf>
    <xf numFmtId="0" fontId="5" fillId="6" borderId="8" xfId="0" applyFont="1" applyFill="1" applyBorder="1" applyAlignment="1">
      <alignment horizontal="left" vertical="center" indent="1"/>
    </xf>
    <xf numFmtId="0" fontId="5" fillId="6" borderId="11" xfId="0" applyFont="1" applyFill="1" applyBorder="1" applyAlignment="1">
      <alignment horizontal="left" vertical="center" indent="1"/>
    </xf>
    <xf numFmtId="39" fontId="12" fillId="4" borderId="12" xfId="2" applyNumberFormat="1" applyFont="1" applyFill="1" applyBorder="1" applyAlignment="1">
      <alignment horizontal="left" vertical="center" indent="2"/>
    </xf>
    <xf numFmtId="39" fontId="12" fillId="2" borderId="12" xfId="2" applyNumberFormat="1" applyFont="1" applyFill="1" applyBorder="1" applyAlignment="1">
      <alignment horizontal="left" vertical="center" indent="2"/>
    </xf>
    <xf numFmtId="39" fontId="12" fillId="4" borderId="9" xfId="2" applyNumberFormat="1" applyFont="1" applyFill="1" applyBorder="1" applyAlignment="1">
      <alignment horizontal="left" vertical="center" wrapText="1"/>
    </xf>
    <xf numFmtId="39" fontId="12" fillId="2" borderId="9" xfId="2" applyNumberFormat="1" applyFont="1" applyFill="1" applyBorder="1" applyAlignment="1">
      <alignment horizontal="left" vertical="center" wrapText="1"/>
    </xf>
    <xf numFmtId="39" fontId="12" fillId="4" borderId="9" xfId="2" applyNumberFormat="1" applyFont="1" applyFill="1" applyBorder="1" applyAlignment="1">
      <alignment horizontal="right" vertical="center" indent="1"/>
    </xf>
    <xf numFmtId="39" fontId="12" fillId="2" borderId="9" xfId="2" applyNumberFormat="1" applyFont="1" applyFill="1" applyBorder="1" applyAlignment="1">
      <alignment horizontal="center" vertical="center" wrapText="1"/>
    </xf>
    <xf numFmtId="39" fontId="12" fillId="4" borderId="9" xfId="2" applyNumberFormat="1" applyFont="1" applyFill="1" applyBorder="1" applyAlignment="1">
      <alignment horizontal="center" vertical="center" wrapText="1"/>
    </xf>
    <xf numFmtId="39" fontId="12" fillId="2" borderId="9" xfId="2" applyNumberFormat="1" applyFont="1" applyFill="1" applyBorder="1" applyAlignment="1">
      <alignment horizontal="center" vertical="center"/>
    </xf>
    <xf numFmtId="39" fontId="12" fillId="4" borderId="9" xfId="2" applyNumberFormat="1" applyFont="1" applyFill="1" applyBorder="1" applyAlignment="1">
      <alignment horizontal="center" vertical="center"/>
    </xf>
    <xf numFmtId="39" fontId="12" fillId="2" borderId="10" xfId="2" applyNumberFormat="1" applyFont="1" applyFill="1" applyBorder="1" applyAlignment="1">
      <alignment horizontal="left" wrapText="1"/>
    </xf>
    <xf numFmtId="39" fontId="12" fillId="4" borderId="10" xfId="2" applyNumberFormat="1" applyFont="1" applyFill="1" applyBorder="1" applyAlignment="1">
      <alignment horizontal="left" wrapText="1"/>
    </xf>
    <xf numFmtId="39" fontId="12" fillId="4" borderId="10" xfId="2" applyNumberFormat="1" applyFont="1" applyFill="1" applyBorder="1" applyAlignment="1">
      <alignment horizontal="left" vertical="center" wrapText="1"/>
    </xf>
    <xf numFmtId="39" fontId="12" fillId="4" borderId="10" xfId="2" applyNumberFormat="1" applyFont="1" applyFill="1" applyBorder="1" applyAlignment="1">
      <alignment vertical="center" wrapText="1"/>
    </xf>
    <xf numFmtId="39" fontId="12" fillId="2" borderId="10" xfId="2" applyNumberFormat="1" applyFont="1" applyFill="1" applyBorder="1" applyAlignment="1">
      <alignment horizontal="left" vertical="center" wrapText="1"/>
    </xf>
    <xf numFmtId="39" fontId="12" fillId="4" borderId="10" xfId="2" applyNumberFormat="1" applyFont="1" applyFill="1" applyBorder="1" applyAlignment="1">
      <alignment wrapText="1"/>
    </xf>
    <xf numFmtId="39" fontId="12" fillId="4" borderId="10" xfId="2" applyNumberFormat="1" applyFont="1" applyFill="1" applyBorder="1" applyAlignment="1">
      <alignment vertical="center"/>
    </xf>
    <xf numFmtId="37" fontId="12" fillId="2" borderId="13" xfId="2" applyNumberFormat="1" applyFont="1" applyFill="1" applyBorder="1" applyAlignment="1">
      <alignment horizontal="right" vertical="center"/>
    </xf>
    <xf numFmtId="0" fontId="18" fillId="2" borderId="0" xfId="0" applyFont="1" applyFill="1" applyAlignment="1" applyProtection="1">
      <alignment vertical="center"/>
      <protection locked="0"/>
    </xf>
    <xf numFmtId="0" fontId="0" fillId="2" borderId="0" xfId="0" applyFill="1"/>
    <xf numFmtId="0" fontId="19" fillId="2" borderId="5" xfId="0" applyFont="1" applyFill="1" applyBorder="1" applyAlignment="1">
      <alignment vertical="center"/>
    </xf>
    <xf numFmtId="0" fontId="19" fillId="2" borderId="5" xfId="0" applyFont="1" applyFill="1" applyBorder="1" applyAlignment="1">
      <alignment vertical="top"/>
    </xf>
    <xf numFmtId="0" fontId="1" fillId="2" borderId="14" xfId="0" applyFont="1" applyFill="1" applyBorder="1" applyAlignment="1">
      <alignment vertical="center"/>
    </xf>
    <xf numFmtId="4" fontId="12" fillId="2" borderId="0" xfId="0" applyNumberFormat="1" applyFont="1" applyFill="1"/>
    <xf numFmtId="0" fontId="5" fillId="6" borderId="15" xfId="0" applyFont="1" applyFill="1" applyBorder="1" applyAlignment="1">
      <alignment horizontal="right" vertical="center" indent="1"/>
    </xf>
    <xf numFmtId="0" fontId="12" fillId="2" borderId="0" xfId="0" applyFont="1" applyFill="1" applyAlignment="1">
      <alignment horizontal="left" vertical="center"/>
    </xf>
    <xf numFmtId="4" fontId="12" fillId="2" borderId="16" xfId="0" applyNumberFormat="1" applyFont="1" applyFill="1" applyBorder="1" applyAlignment="1">
      <alignment vertical="center"/>
    </xf>
    <xf numFmtId="4" fontId="12" fillId="2" borderId="17" xfId="0" applyNumberFormat="1" applyFont="1" applyFill="1" applyBorder="1" applyAlignment="1">
      <alignment vertical="center"/>
    </xf>
    <xf numFmtId="0" fontId="0" fillId="2" borderId="0" xfId="0" applyFill="1" applyAlignment="1">
      <alignment vertical="center"/>
    </xf>
    <xf numFmtId="0" fontId="13" fillId="7" borderId="18" xfId="0" applyFont="1" applyFill="1" applyBorder="1" applyAlignment="1">
      <alignment vertical="center"/>
    </xf>
    <xf numFmtId="4" fontId="13" fillId="7" borderId="19" xfId="0" applyNumberFormat="1" applyFont="1" applyFill="1" applyBorder="1" applyAlignment="1">
      <alignment vertical="center" wrapText="1"/>
    </xf>
    <xf numFmtId="4" fontId="12" fillId="8" borderId="16" xfId="0" applyNumberFormat="1" applyFont="1" applyFill="1" applyBorder="1" applyAlignment="1">
      <alignment vertical="center" wrapText="1"/>
    </xf>
    <xf numFmtId="4" fontId="12" fillId="2" borderId="16" xfId="0" applyNumberFormat="1" applyFont="1" applyFill="1" applyBorder="1" applyAlignment="1">
      <alignment vertical="center" wrapText="1"/>
    </xf>
    <xf numFmtId="4" fontId="12" fillId="2" borderId="17" xfId="0" applyNumberFormat="1" applyFont="1" applyFill="1" applyBorder="1" applyAlignment="1">
      <alignment vertical="center" wrapText="1"/>
    </xf>
    <xf numFmtId="0" fontId="13" fillId="7" borderId="0" xfId="0" applyFont="1" applyFill="1" applyAlignment="1">
      <alignment vertical="center"/>
    </xf>
    <xf numFmtId="4" fontId="13" fillId="7" borderId="16" xfId="0" applyNumberFormat="1" applyFont="1" applyFill="1" applyBorder="1" applyAlignment="1">
      <alignment vertical="center" wrapText="1"/>
    </xf>
    <xf numFmtId="4" fontId="12" fillId="4" borderId="16" xfId="0" applyNumberFormat="1" applyFont="1" applyFill="1" applyBorder="1" applyAlignment="1">
      <alignment vertical="center" wrapText="1"/>
    </xf>
    <xf numFmtId="4" fontId="12" fillId="2" borderId="20" xfId="0" applyNumberFormat="1" applyFont="1" applyFill="1" applyBorder="1" applyAlignment="1">
      <alignment vertical="center" wrapText="1"/>
    </xf>
    <xf numFmtId="4" fontId="12" fillId="9" borderId="16" xfId="0" applyNumberFormat="1" applyFont="1" applyFill="1" applyBorder="1" applyAlignment="1">
      <alignment vertical="center"/>
    </xf>
    <xf numFmtId="4" fontId="13" fillId="10" borderId="16" xfId="0" applyNumberFormat="1" applyFont="1" applyFill="1" applyBorder="1" applyAlignment="1">
      <alignment vertical="center"/>
    </xf>
    <xf numFmtId="0" fontId="10" fillId="2" borderId="21" xfId="0" applyFont="1" applyFill="1" applyBorder="1" applyAlignment="1">
      <alignment vertical="center"/>
    </xf>
    <xf numFmtId="0" fontId="5" fillId="6" borderId="15" xfId="0" applyFont="1" applyFill="1" applyBorder="1" applyAlignment="1">
      <alignment horizontal="right" wrapText="1"/>
    </xf>
    <xf numFmtId="4" fontId="13" fillId="10" borderId="22" xfId="0" applyNumberFormat="1" applyFont="1" applyFill="1" applyBorder="1" applyAlignment="1">
      <alignment vertical="center"/>
    </xf>
    <xf numFmtId="4" fontId="13" fillId="10" borderId="23" xfId="0" applyNumberFormat="1" applyFont="1" applyFill="1" applyBorder="1" applyAlignment="1">
      <alignment vertical="center"/>
    </xf>
    <xf numFmtId="4" fontId="12" fillId="8" borderId="16" xfId="0" applyNumberFormat="1" applyFont="1" applyFill="1" applyBorder="1" applyAlignment="1">
      <alignment horizontal="right" vertical="center" wrapText="1"/>
    </xf>
    <xf numFmtId="0" fontId="13" fillId="8" borderId="0" xfId="0" applyFont="1" applyFill="1" applyAlignment="1">
      <alignment horizontal="left" vertical="center" indent="1"/>
    </xf>
    <xf numFmtId="0" fontId="12" fillId="2" borderId="0" xfId="0" applyFont="1" applyFill="1" applyAlignment="1">
      <alignment horizontal="left" vertical="center" indent="2"/>
    </xf>
    <xf numFmtId="0" fontId="13" fillId="4" borderId="0" xfId="0" applyFont="1" applyFill="1" applyAlignment="1">
      <alignment horizontal="left" vertical="center" indent="1"/>
    </xf>
    <xf numFmtId="0" fontId="12" fillId="2" borderId="24" xfId="0" applyFont="1" applyFill="1" applyBorder="1" applyAlignment="1">
      <alignment horizontal="left" vertical="center" indent="2"/>
    </xf>
    <xf numFmtId="0" fontId="13" fillId="9" borderId="0" xfId="0" applyFont="1" applyFill="1" applyAlignment="1">
      <alignment horizontal="left" vertical="center" indent="1"/>
    </xf>
    <xf numFmtId="10" fontId="12" fillId="4" borderId="9" xfId="2" applyNumberFormat="1" applyFont="1" applyFill="1" applyBorder="1" applyAlignment="1">
      <alignment horizontal="right" vertical="center" wrapText="1"/>
    </xf>
    <xf numFmtId="4" fontId="13" fillId="11" borderId="25" xfId="0" applyNumberFormat="1" applyFont="1" applyFill="1" applyBorder="1" applyAlignment="1">
      <alignment horizontal="right" vertical="center" wrapText="1"/>
    </xf>
    <xf numFmtId="10" fontId="12" fillId="4" borderId="9" xfId="1" applyNumberFormat="1" applyFont="1" applyFill="1" applyBorder="1" applyAlignment="1">
      <alignment horizontal="right" vertical="center" wrapText="1"/>
    </xf>
    <xf numFmtId="10" fontId="12" fillId="2" borderId="9" xfId="1" applyNumberFormat="1" applyFont="1" applyFill="1" applyBorder="1" applyAlignment="1">
      <alignment horizontal="right" vertical="center" wrapText="1"/>
    </xf>
    <xf numFmtId="4" fontId="16" fillId="12" borderId="26" xfId="0" applyNumberFormat="1" applyFont="1" applyFill="1" applyBorder="1" applyAlignment="1">
      <alignment vertical="center"/>
    </xf>
    <xf numFmtId="4" fontId="12" fillId="2" borderId="24" xfId="0" applyNumberFormat="1" applyFont="1" applyFill="1" applyBorder="1" applyAlignment="1">
      <alignment vertical="center" wrapText="1"/>
    </xf>
    <xf numFmtId="0" fontId="14" fillId="2" borderId="0" xfId="0" applyFont="1" applyFill="1" applyAlignment="1">
      <alignment horizontal="left"/>
    </xf>
    <xf numFmtId="0" fontId="14" fillId="6" borderId="27" xfId="0" applyFont="1" applyFill="1" applyBorder="1" applyAlignment="1">
      <alignment horizontal="center" vertical="center"/>
    </xf>
    <xf numFmtId="0" fontId="12" fillId="4" borderId="28" xfId="0" applyFont="1" applyFill="1" applyBorder="1" applyAlignment="1">
      <alignment horizontal="center" vertical="center"/>
    </xf>
    <xf numFmtId="0" fontId="12" fillId="2" borderId="28" xfId="0" applyFont="1" applyFill="1" applyBorder="1" applyAlignment="1">
      <alignment horizontal="center" vertical="center"/>
    </xf>
    <xf numFmtId="0" fontId="2" fillId="2" borderId="0" xfId="0" applyFont="1" applyFill="1" applyAlignment="1">
      <alignment vertical="center"/>
    </xf>
    <xf numFmtId="49" fontId="12" fillId="2" borderId="28" xfId="0" applyNumberFormat="1" applyFont="1" applyFill="1" applyBorder="1" applyAlignment="1">
      <alignment horizontal="center" vertical="center"/>
    </xf>
    <xf numFmtId="0" fontId="4" fillId="2" borderId="4" xfId="0" applyFont="1" applyFill="1" applyBorder="1" applyAlignment="1">
      <alignment horizontal="left" vertical="center"/>
    </xf>
    <xf numFmtId="0" fontId="5" fillId="6" borderId="8" xfId="0" applyFont="1" applyFill="1" applyBorder="1" applyAlignment="1">
      <alignment horizontal="right" vertical="center"/>
    </xf>
    <xf numFmtId="0" fontId="5" fillId="6" borderId="29" xfId="0" applyFont="1" applyFill="1" applyBorder="1" applyAlignment="1">
      <alignment horizontal="right" vertical="center"/>
    </xf>
    <xf numFmtId="0" fontId="3" fillId="4" borderId="0" xfId="0" applyFont="1" applyFill="1" applyAlignment="1">
      <alignment vertical="center"/>
    </xf>
    <xf numFmtId="0" fontId="3" fillId="2" borderId="5" xfId="0" applyFont="1" applyFill="1" applyBorder="1" applyAlignment="1">
      <alignment vertical="center"/>
    </xf>
    <xf numFmtId="0" fontId="12" fillId="2" borderId="30" xfId="0" applyFont="1" applyFill="1" applyBorder="1" applyAlignment="1">
      <alignment vertical="center"/>
    </xf>
    <xf numFmtId="0" fontId="2" fillId="2" borderId="31" xfId="0" applyFont="1" applyFill="1" applyBorder="1" applyAlignment="1">
      <alignment vertical="center"/>
    </xf>
    <xf numFmtId="0" fontId="2" fillId="2" borderId="32" xfId="0" applyFont="1" applyFill="1" applyBorder="1" applyAlignment="1">
      <alignment vertical="center"/>
    </xf>
    <xf numFmtId="0" fontId="3" fillId="2" borderId="30" xfId="0" applyFont="1" applyFill="1" applyBorder="1" applyAlignment="1">
      <alignment vertical="center"/>
    </xf>
    <xf numFmtId="0" fontId="3" fillId="2" borderId="31" xfId="0" applyFont="1" applyFill="1" applyBorder="1" applyAlignment="1">
      <alignment vertical="center"/>
    </xf>
    <xf numFmtId="0" fontId="3" fillId="2" borderId="32" xfId="0" applyFont="1" applyFill="1" applyBorder="1" applyAlignment="1">
      <alignment vertical="center"/>
    </xf>
    <xf numFmtId="0" fontId="3" fillId="2" borderId="33" xfId="0" applyFont="1" applyFill="1" applyBorder="1" applyAlignment="1">
      <alignment vertical="center"/>
    </xf>
    <xf numFmtId="0" fontId="3" fillId="2" borderId="34" xfId="0" applyFont="1" applyFill="1" applyBorder="1" applyAlignment="1">
      <alignment vertical="center"/>
    </xf>
    <xf numFmtId="0" fontId="8" fillId="2" borderId="0" xfId="0" applyFont="1" applyFill="1" applyAlignment="1">
      <alignment vertical="center"/>
    </xf>
    <xf numFmtId="0" fontId="3" fillId="2" borderId="35" xfId="0" applyFont="1" applyFill="1" applyBorder="1" applyAlignment="1">
      <alignment vertical="center"/>
    </xf>
    <xf numFmtId="0" fontId="3" fillId="2" borderId="36" xfId="0" applyFont="1" applyFill="1" applyBorder="1" applyAlignment="1">
      <alignment vertical="center"/>
    </xf>
    <xf numFmtId="0" fontId="3" fillId="2" borderId="37" xfId="0" applyFont="1" applyFill="1" applyBorder="1" applyAlignment="1">
      <alignment vertical="center"/>
    </xf>
    <xf numFmtId="0" fontId="3" fillId="2" borderId="38" xfId="0" applyFont="1" applyFill="1" applyBorder="1" applyAlignment="1">
      <alignment vertical="center"/>
    </xf>
    <xf numFmtId="166" fontId="12" fillId="2" borderId="9" xfId="2" applyNumberFormat="1" applyFont="1" applyFill="1" applyBorder="1" applyAlignment="1">
      <alignment horizontal="left" vertical="center" wrapText="1"/>
    </xf>
    <xf numFmtId="0" fontId="3" fillId="2" borderId="39" xfId="0" applyFont="1" applyFill="1" applyBorder="1" applyAlignment="1">
      <alignment vertical="center"/>
    </xf>
    <xf numFmtId="37" fontId="12" fillId="2" borderId="40" xfId="1" applyNumberFormat="1" applyFont="1" applyFill="1" applyBorder="1" applyAlignment="1">
      <alignment horizontal="right" vertical="center"/>
    </xf>
    <xf numFmtId="0" fontId="3" fillId="2" borderId="10" xfId="0" applyFont="1" applyFill="1" applyBorder="1" applyAlignment="1">
      <alignment horizontal="center" vertical="center"/>
    </xf>
    <xf numFmtId="0" fontId="3" fillId="2" borderId="41" xfId="0" applyFont="1" applyFill="1" applyBorder="1" applyAlignment="1">
      <alignment vertical="center"/>
    </xf>
    <xf numFmtId="0" fontId="3" fillId="2" borderId="0" xfId="0" applyFont="1" applyFill="1" applyAlignment="1">
      <alignment horizontal="center" vertical="center"/>
    </xf>
    <xf numFmtId="0" fontId="4" fillId="2" borderId="42" xfId="0" applyFont="1" applyFill="1" applyBorder="1" applyAlignment="1">
      <alignment horizontal="left" vertical="center"/>
    </xf>
    <xf numFmtId="0" fontId="12" fillId="2" borderId="13" xfId="0" applyFont="1" applyFill="1" applyBorder="1" applyAlignment="1">
      <alignment horizontal="left" vertical="center"/>
    </xf>
    <xf numFmtId="0" fontId="3" fillId="2" borderId="13" xfId="0" applyFont="1" applyFill="1" applyBorder="1" applyAlignment="1">
      <alignment vertical="center"/>
    </xf>
    <xf numFmtId="0" fontId="3" fillId="2" borderId="43" xfId="0" applyFont="1" applyFill="1" applyBorder="1" applyAlignment="1">
      <alignment vertical="center"/>
    </xf>
    <xf numFmtId="0" fontId="10" fillId="2" borderId="0" xfId="0" applyFont="1" applyFill="1" applyAlignment="1">
      <alignment vertical="center"/>
    </xf>
    <xf numFmtId="0" fontId="12" fillId="2" borderId="0" xfId="0" applyFont="1" applyFill="1" applyAlignment="1">
      <alignment horizontal="left" vertical="center" indent="1"/>
    </xf>
    <xf numFmtId="0" fontId="12" fillId="4" borderId="0" xfId="0" applyFont="1" applyFill="1" applyAlignment="1">
      <alignment horizontal="left" vertical="center" indent="1"/>
    </xf>
    <xf numFmtId="0" fontId="12" fillId="2" borderId="44" xfId="0" applyFont="1" applyFill="1" applyBorder="1" applyAlignment="1">
      <alignment horizontal="left" vertical="center" indent="1"/>
    </xf>
    <xf numFmtId="0" fontId="17" fillId="13" borderId="0" xfId="0" applyFont="1" applyFill="1" applyAlignment="1">
      <alignment horizontal="left" vertical="center" indent="2"/>
    </xf>
    <xf numFmtId="0" fontId="17" fillId="14" borderId="0" xfId="0" applyFont="1" applyFill="1" applyAlignment="1">
      <alignment horizontal="left" vertical="center" indent="2"/>
    </xf>
    <xf numFmtId="0" fontId="17" fillId="15" borderId="0" xfId="0" applyFont="1" applyFill="1" applyAlignment="1">
      <alignment horizontal="left" vertical="center" indent="2"/>
    </xf>
    <xf numFmtId="0" fontId="17" fillId="16" borderId="0" xfId="0" applyFont="1" applyFill="1" applyAlignment="1">
      <alignment horizontal="left" vertical="center" indent="2"/>
    </xf>
    <xf numFmtId="39" fontId="12" fillId="4" borderId="9" xfId="2" applyNumberFormat="1" applyFont="1" applyFill="1" applyBorder="1" applyAlignment="1">
      <alignment horizontal="right" vertical="center" wrapText="1" indent="1"/>
    </xf>
    <xf numFmtId="39" fontId="12" fillId="4" borderId="0" xfId="2" applyNumberFormat="1" applyFont="1" applyFill="1" applyBorder="1" applyAlignment="1">
      <alignment horizontal="right" vertical="center" wrapText="1" indent="1"/>
    </xf>
    <xf numFmtId="39" fontId="12" fillId="2" borderId="9" xfId="2" applyNumberFormat="1" applyFont="1" applyFill="1" applyBorder="1" applyAlignment="1">
      <alignment horizontal="right" vertical="center" wrapText="1" indent="1"/>
    </xf>
    <xf numFmtId="39" fontId="12" fillId="2" borderId="0" xfId="2" applyNumberFormat="1" applyFont="1" applyFill="1" applyBorder="1" applyAlignment="1">
      <alignment horizontal="right" vertical="center" wrapText="1" indent="1"/>
    </xf>
    <xf numFmtId="39" fontId="12" fillId="4" borderId="45" xfId="2" applyNumberFormat="1" applyFont="1" applyFill="1" applyBorder="1" applyAlignment="1">
      <alignment horizontal="right" vertical="center" wrapText="1" indent="1"/>
    </xf>
    <xf numFmtId="39" fontId="12" fillId="4" borderId="46" xfId="2" applyNumberFormat="1" applyFont="1" applyFill="1" applyBorder="1" applyAlignment="1">
      <alignment horizontal="right" vertical="center" wrapText="1" indent="1"/>
    </xf>
    <xf numFmtId="39" fontId="12" fillId="2" borderId="47" xfId="2" applyNumberFormat="1" applyFont="1" applyFill="1" applyBorder="1" applyAlignment="1">
      <alignment horizontal="right" vertical="center" wrapText="1" indent="1"/>
    </xf>
    <xf numFmtId="39" fontId="12" fillId="2" borderId="46" xfId="2" applyNumberFormat="1" applyFont="1" applyFill="1" applyBorder="1" applyAlignment="1">
      <alignment horizontal="right" vertical="center" wrapText="1" indent="1"/>
    </xf>
    <xf numFmtId="0" fontId="21" fillId="4" borderId="48" xfId="0" applyFont="1" applyFill="1" applyBorder="1" applyAlignment="1">
      <alignment horizontal="left" vertical="center" indent="1"/>
    </xf>
    <xf numFmtId="39" fontId="12" fillId="4" borderId="48" xfId="2" applyNumberFormat="1" applyFont="1" applyFill="1" applyBorder="1" applyAlignment="1">
      <alignment horizontal="left" vertical="center" indent="1"/>
    </xf>
    <xf numFmtId="39" fontId="12" fillId="4" borderId="0" xfId="2" applyNumberFormat="1" applyFont="1" applyFill="1" applyBorder="1" applyAlignment="1">
      <alignment horizontal="left" vertical="center" indent="1"/>
    </xf>
    <xf numFmtId="43" fontId="12" fillId="2" borderId="9" xfId="2" applyFont="1" applyFill="1" applyBorder="1" applyAlignment="1">
      <alignment horizontal="left" vertical="center" indent="1"/>
    </xf>
    <xf numFmtId="43" fontId="12" fillId="2" borderId="0" xfId="2" applyFont="1" applyFill="1" applyBorder="1" applyAlignment="1">
      <alignment horizontal="left" vertical="center" indent="1"/>
    </xf>
    <xf numFmtId="37" fontId="12" fillId="2" borderId="9" xfId="2" applyNumberFormat="1" applyFont="1" applyFill="1" applyBorder="1" applyAlignment="1">
      <alignment horizontal="left" vertical="center" indent="1"/>
    </xf>
    <xf numFmtId="37" fontId="12" fillId="2" borderId="0" xfId="2" applyNumberFormat="1" applyFont="1" applyFill="1" applyBorder="1" applyAlignment="1">
      <alignment horizontal="left" vertical="center" indent="1"/>
    </xf>
    <xf numFmtId="37" fontId="12" fillId="4" borderId="9" xfId="1" applyNumberFormat="1" applyFont="1" applyFill="1" applyBorder="1" applyAlignment="1">
      <alignment horizontal="right" vertical="center" indent="1"/>
    </xf>
    <xf numFmtId="37" fontId="12" fillId="2" borderId="9" xfId="1" applyNumberFormat="1" applyFont="1" applyFill="1" applyBorder="1" applyAlignment="1">
      <alignment horizontal="right" vertical="center" indent="1"/>
    </xf>
    <xf numFmtId="0" fontId="12" fillId="4" borderId="49" xfId="0" applyFont="1" applyFill="1" applyBorder="1" applyAlignment="1">
      <alignment horizontal="center" vertical="center"/>
    </xf>
    <xf numFmtId="0" fontId="12" fillId="2" borderId="49" xfId="0" applyFont="1" applyFill="1" applyBorder="1" applyAlignment="1">
      <alignment horizontal="center" vertical="center"/>
    </xf>
    <xf numFmtId="0" fontId="14" fillId="6" borderId="50" xfId="0" applyFont="1" applyFill="1" applyBorder="1" applyAlignment="1">
      <alignment horizontal="center" vertical="center"/>
    </xf>
    <xf numFmtId="0" fontId="14" fillId="6" borderId="51" xfId="0" applyFont="1" applyFill="1" applyBorder="1" applyAlignment="1">
      <alignment horizontal="left" vertical="center"/>
    </xf>
    <xf numFmtId="0" fontId="13" fillId="10" borderId="52" xfId="0" applyFont="1" applyFill="1" applyBorder="1" applyAlignment="1">
      <alignment horizontal="left" vertical="center" indent="1"/>
    </xf>
    <xf numFmtId="0" fontId="12" fillId="2" borderId="0" xfId="0" applyFont="1" applyFill="1" applyAlignment="1">
      <alignment horizontal="left" vertical="center" indent="3"/>
    </xf>
    <xf numFmtId="0" fontId="13" fillId="10" borderId="0" xfId="0" applyFont="1" applyFill="1" applyAlignment="1">
      <alignment horizontal="left" vertical="center" indent="1"/>
    </xf>
    <xf numFmtId="0" fontId="13" fillId="11" borderId="53" xfId="0" applyFont="1" applyFill="1" applyBorder="1" applyAlignment="1">
      <alignment horizontal="left" vertical="center" indent="1"/>
    </xf>
    <xf numFmtId="0" fontId="4" fillId="2" borderId="0" xfId="0" applyFont="1" applyFill="1" applyAlignment="1">
      <alignment horizontal="left" indent="1"/>
    </xf>
    <xf numFmtId="0" fontId="14" fillId="12" borderId="54" xfId="0" applyFont="1" applyFill="1" applyBorder="1" applyAlignment="1">
      <alignment horizontal="left" vertical="center" indent="1"/>
    </xf>
    <xf numFmtId="4" fontId="12" fillId="8" borderId="17" xfId="0" applyNumberFormat="1" applyFont="1" applyFill="1" applyBorder="1" applyAlignment="1">
      <alignment vertical="center" wrapText="1"/>
    </xf>
    <xf numFmtId="4" fontId="13" fillId="7" borderId="17" xfId="0" applyNumberFormat="1" applyFont="1" applyFill="1" applyBorder="1" applyAlignment="1">
      <alignment vertical="center" wrapText="1"/>
    </xf>
    <xf numFmtId="4" fontId="12" fillId="4" borderId="17" xfId="0" applyNumberFormat="1" applyFont="1" applyFill="1" applyBorder="1" applyAlignment="1">
      <alignment vertical="center" wrapText="1"/>
    </xf>
    <xf numFmtId="4" fontId="12" fillId="2" borderId="55" xfId="0" applyNumberFormat="1" applyFont="1" applyFill="1" applyBorder="1" applyAlignment="1">
      <alignment vertical="center" wrapText="1"/>
    </xf>
    <xf numFmtId="4" fontId="12" fillId="2" borderId="0" xfId="0" applyNumberFormat="1" applyFont="1" applyFill="1" applyAlignment="1">
      <alignment vertical="center" wrapText="1"/>
    </xf>
    <xf numFmtId="4" fontId="12" fillId="2" borderId="18" xfId="0" applyNumberFormat="1" applyFont="1" applyFill="1" applyBorder="1" applyAlignment="1">
      <alignment vertical="center" wrapText="1"/>
    </xf>
    <xf numFmtId="0" fontId="0" fillId="2" borderId="24" xfId="0" applyFill="1" applyBorder="1" applyAlignment="1">
      <alignment vertical="center"/>
    </xf>
    <xf numFmtId="0" fontId="3" fillId="4" borderId="10" xfId="0" applyFont="1" applyFill="1" applyBorder="1" applyAlignment="1">
      <alignment horizontal="center" vertical="center"/>
    </xf>
    <xf numFmtId="37" fontId="12" fillId="4" borderId="40" xfId="1" applyNumberFormat="1" applyFont="1" applyFill="1" applyBorder="1" applyAlignment="1">
      <alignment horizontal="right" vertical="center"/>
    </xf>
    <xf numFmtId="37" fontId="12" fillId="4" borderId="56" xfId="1" applyNumberFormat="1" applyFont="1" applyFill="1" applyBorder="1" applyAlignment="1">
      <alignment horizontal="right" vertical="center"/>
    </xf>
    <xf numFmtId="0" fontId="3" fillId="2" borderId="57" xfId="0" applyFont="1" applyFill="1" applyBorder="1" applyAlignment="1">
      <alignment vertical="center"/>
    </xf>
    <xf numFmtId="0" fontId="21" fillId="2" borderId="0" xfId="0" applyFont="1" applyFill="1" applyAlignment="1">
      <alignment horizontal="left" vertical="center" indent="1"/>
    </xf>
    <xf numFmtId="0" fontId="3" fillId="2" borderId="0" xfId="0" applyFont="1" applyFill="1" applyAlignment="1">
      <alignment horizontal="left" vertical="center" indent="1"/>
    </xf>
    <xf numFmtId="0" fontId="21" fillId="4" borderId="0" xfId="0" applyFont="1" applyFill="1" applyAlignment="1">
      <alignment horizontal="left" vertical="center" indent="1"/>
    </xf>
    <xf numFmtId="0" fontId="3" fillId="4" borderId="0" xfId="0" applyFont="1" applyFill="1" applyAlignment="1">
      <alignment horizontal="left" vertical="center" indent="1"/>
    </xf>
    <xf numFmtId="0" fontId="21" fillId="2" borderId="57" xfId="0" applyFont="1" applyFill="1" applyBorder="1" applyAlignment="1">
      <alignment horizontal="left" vertical="center" indent="1"/>
    </xf>
    <xf numFmtId="0" fontId="12" fillId="4" borderId="0" xfId="0" applyFont="1" applyFill="1" applyAlignment="1">
      <alignment horizontal="left" vertical="center" indent="2"/>
    </xf>
    <xf numFmtId="0" fontId="12" fillId="4" borderId="28" xfId="0" applyFont="1" applyFill="1" applyBorder="1" applyAlignment="1">
      <alignment horizontal="center"/>
    </xf>
    <xf numFmtId="0" fontId="12" fillId="2" borderId="28" xfId="0" applyFont="1" applyFill="1" applyBorder="1" applyAlignment="1">
      <alignment horizontal="center"/>
    </xf>
    <xf numFmtId="4" fontId="12" fillId="9" borderId="17" xfId="0" applyNumberFormat="1" applyFont="1" applyFill="1" applyBorder="1" applyAlignment="1">
      <alignment vertical="center"/>
    </xf>
    <xf numFmtId="10" fontId="3" fillId="2" borderId="0" xfId="1" applyNumberFormat="1" applyFont="1" applyFill="1" applyAlignment="1">
      <alignment horizontal="center"/>
    </xf>
    <xf numFmtId="0" fontId="12" fillId="2" borderId="58" xfId="0" applyFont="1" applyFill="1" applyBorder="1" applyAlignment="1">
      <alignment horizontal="center" vertical="center"/>
    </xf>
    <xf numFmtId="10" fontId="3" fillId="2" borderId="0" xfId="1" applyNumberFormat="1" applyFont="1" applyFill="1" applyAlignment="1">
      <alignment horizontal="center" vertical="center"/>
    </xf>
    <xf numFmtId="4" fontId="0" fillId="0" borderId="0" xfId="0" applyNumberFormat="1"/>
    <xf numFmtId="10" fontId="17" fillId="0" borderId="9" xfId="1" applyNumberFormat="1" applyFont="1" applyFill="1" applyBorder="1" applyAlignment="1">
      <alignment horizontal="right" vertical="center" wrapText="1"/>
    </xf>
    <xf numFmtId="10" fontId="17" fillId="0" borderId="10" xfId="1" applyNumberFormat="1" applyFont="1" applyFill="1" applyBorder="1" applyAlignment="1">
      <alignment horizontal="right" vertical="center" wrapText="1"/>
    </xf>
    <xf numFmtId="165" fontId="12" fillId="4" borderId="9" xfId="2" applyNumberFormat="1" applyFont="1" applyFill="1" applyBorder="1" applyAlignment="1">
      <alignment horizontal="left" vertical="center" wrapText="1"/>
    </xf>
    <xf numFmtId="165" fontId="12" fillId="4" borderId="0" xfId="2" applyNumberFormat="1" applyFont="1" applyFill="1" applyBorder="1" applyAlignment="1">
      <alignment horizontal="left" vertical="center" wrapText="1"/>
    </xf>
    <xf numFmtId="10" fontId="17" fillId="4" borderId="9" xfId="1" applyNumberFormat="1" applyFont="1" applyFill="1" applyBorder="1" applyAlignment="1">
      <alignment horizontal="right" vertical="center" wrapText="1"/>
    </xf>
    <xf numFmtId="10" fontId="17" fillId="4" borderId="0" xfId="1" applyNumberFormat="1" applyFont="1" applyFill="1" applyBorder="1" applyAlignment="1">
      <alignment horizontal="right" vertical="center" wrapText="1"/>
    </xf>
    <xf numFmtId="0" fontId="12" fillId="2" borderId="59" xfId="0" applyFont="1" applyFill="1" applyBorder="1" applyAlignment="1">
      <alignment horizontal="center"/>
    </xf>
    <xf numFmtId="4" fontId="12" fillId="2" borderId="60" xfId="2" applyNumberFormat="1" applyFont="1" applyFill="1" applyBorder="1" applyAlignment="1">
      <alignment horizontal="right" vertical="center" indent="1"/>
    </xf>
    <xf numFmtId="4" fontId="12" fillId="4" borderId="9" xfId="2" applyNumberFormat="1" applyFont="1" applyFill="1" applyBorder="1" applyAlignment="1">
      <alignment horizontal="right" vertical="center" wrapText="1" indent="1"/>
    </xf>
    <xf numFmtId="4" fontId="12" fillId="2" borderId="9" xfId="2" applyNumberFormat="1" applyFont="1" applyFill="1" applyBorder="1" applyAlignment="1">
      <alignment horizontal="right" vertical="center" wrapText="1" indent="1"/>
    </xf>
    <xf numFmtId="0" fontId="3" fillId="4" borderId="0" xfId="0" applyFont="1" applyFill="1" applyAlignment="1">
      <alignment horizontal="center" vertical="center"/>
    </xf>
    <xf numFmtId="43" fontId="12" fillId="2" borderId="9" xfId="2" applyFont="1" applyFill="1" applyBorder="1" applyAlignment="1">
      <alignment vertical="center" wrapText="1"/>
    </xf>
    <xf numFmtId="43" fontId="12" fillId="4" borderId="9" xfId="2" applyFont="1" applyFill="1" applyBorder="1" applyAlignment="1">
      <alignment vertical="center" wrapText="1"/>
    </xf>
    <xf numFmtId="1" fontId="12" fillId="2" borderId="9" xfId="2" applyNumberFormat="1" applyFont="1" applyFill="1" applyBorder="1" applyAlignment="1">
      <alignment vertical="center" wrapText="1"/>
    </xf>
    <xf numFmtId="2" fontId="12" fillId="2" borderId="9" xfId="2" applyNumberFormat="1" applyFont="1" applyFill="1" applyBorder="1" applyAlignment="1">
      <alignment vertical="center" wrapText="1"/>
    </xf>
    <xf numFmtId="1" fontId="12" fillId="2" borderId="0" xfId="2" applyNumberFormat="1" applyFont="1" applyFill="1" applyBorder="1" applyAlignment="1">
      <alignment vertical="center" wrapText="1"/>
    </xf>
    <xf numFmtId="10" fontId="12" fillId="4" borderId="9" xfId="2" applyNumberFormat="1" applyFont="1" applyFill="1" applyBorder="1" applyAlignment="1">
      <alignment vertical="center" wrapText="1"/>
    </xf>
    <xf numFmtId="10" fontId="12" fillId="2" borderId="9" xfId="2" applyNumberFormat="1" applyFont="1" applyFill="1" applyBorder="1" applyAlignment="1">
      <alignment vertical="center" wrapText="1"/>
    </xf>
    <xf numFmtId="4" fontId="12" fillId="4" borderId="9" xfId="2" applyNumberFormat="1" applyFont="1" applyFill="1" applyBorder="1" applyAlignment="1" applyProtection="1">
      <alignment horizontal="right" vertical="center" wrapText="1"/>
    </xf>
    <xf numFmtId="4" fontId="12" fillId="2" borderId="9" xfId="2" applyNumberFormat="1" applyFont="1" applyFill="1" applyBorder="1" applyAlignment="1" applyProtection="1">
      <alignment horizontal="right" vertical="center" wrapText="1"/>
    </xf>
    <xf numFmtId="4" fontId="13" fillId="10" borderId="61" xfId="0" applyNumberFormat="1" applyFont="1" applyFill="1" applyBorder="1" applyAlignment="1">
      <alignment vertical="center"/>
    </xf>
    <xf numFmtId="43" fontId="12" fillId="2" borderId="9" xfId="2" applyFont="1" applyFill="1" applyBorder="1" applyAlignment="1">
      <alignment horizontal="right" vertical="center" wrapText="1"/>
    </xf>
    <xf numFmtId="10" fontId="17" fillId="2" borderId="9" xfId="1" applyNumberFormat="1" applyFont="1" applyFill="1" applyBorder="1" applyAlignment="1">
      <alignment horizontal="right" vertical="center" wrapText="1"/>
    </xf>
    <xf numFmtId="10" fontId="17" fillId="2" borderId="10" xfId="1" applyNumberFormat="1" applyFont="1" applyFill="1" applyBorder="1" applyAlignment="1">
      <alignment horizontal="right" vertical="center" wrapText="1"/>
    </xf>
    <xf numFmtId="39" fontId="12" fillId="2" borderId="60" xfId="2" applyNumberFormat="1" applyFont="1" applyFill="1" applyBorder="1" applyAlignment="1">
      <alignment horizontal="right" vertical="center" wrapText="1" indent="1"/>
    </xf>
    <xf numFmtId="43" fontId="12" fillId="4" borderId="9" xfId="2" applyFont="1" applyFill="1" applyBorder="1" applyAlignment="1">
      <alignment horizontal="right" vertical="center" wrapText="1" indent="1"/>
    </xf>
    <xf numFmtId="165" fontId="17" fillId="4" borderId="9" xfId="2" applyNumberFormat="1" applyFont="1" applyFill="1" applyBorder="1" applyAlignment="1">
      <alignment vertical="center" wrapText="1"/>
    </xf>
    <xf numFmtId="165" fontId="17" fillId="4" borderId="0" xfId="2" applyNumberFormat="1" applyFont="1" applyFill="1" applyBorder="1" applyAlignment="1">
      <alignment vertical="center" wrapText="1"/>
    </xf>
    <xf numFmtId="165" fontId="17" fillId="2" borderId="9" xfId="2" applyNumberFormat="1" applyFont="1" applyFill="1" applyBorder="1" applyAlignment="1">
      <alignment vertical="center" wrapText="1"/>
    </xf>
    <xf numFmtId="165" fontId="17" fillId="2" borderId="0" xfId="2" applyNumberFormat="1" applyFont="1" applyFill="1" applyBorder="1" applyAlignment="1">
      <alignment vertical="center" wrapText="1"/>
    </xf>
    <xf numFmtId="4" fontId="12" fillId="8" borderId="17" xfId="0" applyNumberFormat="1" applyFont="1" applyFill="1" applyBorder="1" applyAlignment="1">
      <alignment horizontal="right" vertical="center" wrapText="1"/>
    </xf>
    <xf numFmtId="0" fontId="15" fillId="3" borderId="4" xfId="0" applyFont="1" applyFill="1" applyBorder="1" applyAlignment="1">
      <alignment horizontal="left" vertical="top"/>
    </xf>
    <xf numFmtId="0" fontId="15" fillId="3" borderId="0" xfId="0" applyFont="1" applyFill="1" applyAlignment="1">
      <alignment horizontal="left" vertical="top"/>
    </xf>
    <xf numFmtId="0" fontId="19" fillId="5" borderId="0" xfId="0" applyFont="1" applyFill="1" applyAlignment="1">
      <alignment horizontal="center" vertical="center"/>
    </xf>
    <xf numFmtId="164" fontId="2" fillId="2" borderId="36" xfId="0" applyNumberFormat="1" applyFont="1" applyFill="1" applyBorder="1" applyAlignment="1">
      <alignment horizontal="right"/>
    </xf>
    <xf numFmtId="0" fontId="21" fillId="4" borderId="0" xfId="0" applyFont="1" applyFill="1" applyAlignment="1">
      <alignment horizontal="left" vertical="center" wrapText="1"/>
    </xf>
    <xf numFmtId="0" fontId="14" fillId="5" borderId="62" xfId="0" applyFont="1" applyFill="1" applyBorder="1" applyAlignment="1">
      <alignment horizontal="center" vertical="center"/>
    </xf>
    <xf numFmtId="0" fontId="14" fillId="5" borderId="6" xfId="0" applyFont="1" applyFill="1" applyBorder="1" applyAlignment="1">
      <alignment horizontal="center" vertical="center"/>
    </xf>
    <xf numFmtId="0" fontId="14" fillId="5" borderId="63" xfId="0" applyFont="1" applyFill="1" applyBorder="1" applyAlignment="1">
      <alignment horizontal="center" vertical="center"/>
    </xf>
    <xf numFmtId="0" fontId="5" fillId="6" borderId="64" xfId="0" applyFont="1" applyFill="1" applyBorder="1" applyAlignment="1">
      <alignment horizontal="center" vertical="center" wrapText="1"/>
    </xf>
    <xf numFmtId="0" fontId="5" fillId="6" borderId="65" xfId="0" applyFont="1" applyFill="1" applyBorder="1" applyAlignment="1">
      <alignment horizontal="center" vertical="center" wrapText="1"/>
    </xf>
    <xf numFmtId="0" fontId="5" fillId="6" borderId="66" xfId="0" applyFont="1" applyFill="1" applyBorder="1" applyAlignment="1">
      <alignment horizontal="center" vertical="center" wrapText="1"/>
    </xf>
    <xf numFmtId="0" fontId="5" fillId="6" borderId="67" xfId="0" applyFont="1" applyFill="1" applyBorder="1" applyAlignment="1">
      <alignment horizontal="center" vertical="center" wrapText="1"/>
    </xf>
    <xf numFmtId="0" fontId="5" fillId="6" borderId="68" xfId="0" applyFont="1" applyFill="1" applyBorder="1" applyAlignment="1">
      <alignment horizontal="center" vertical="center" wrapText="1"/>
    </xf>
    <xf numFmtId="0" fontId="5" fillId="6" borderId="69" xfId="0" applyFont="1" applyFill="1" applyBorder="1" applyAlignment="1">
      <alignment horizontal="center" vertical="center" wrapText="1"/>
    </xf>
    <xf numFmtId="0" fontId="20" fillId="3" borderId="4" xfId="0" applyFont="1" applyFill="1" applyBorder="1" applyAlignment="1">
      <alignment horizontal="left" vertical="center"/>
    </xf>
    <xf numFmtId="0" fontId="20" fillId="3" borderId="0" xfId="0" applyFont="1" applyFill="1" applyAlignment="1">
      <alignment horizontal="left" vertical="center"/>
    </xf>
    <xf numFmtId="0" fontId="14" fillId="5" borderId="70" xfId="0" applyFont="1" applyFill="1" applyBorder="1" applyAlignment="1">
      <alignment horizontal="center" vertical="center"/>
    </xf>
    <xf numFmtId="0" fontId="14" fillId="5" borderId="0" xfId="0" applyFont="1" applyFill="1" applyAlignment="1">
      <alignment horizontal="center" vertical="center"/>
    </xf>
  </cellXfs>
  <cellStyles count="10">
    <cellStyle name="Normal" xfId="0" builtinId="0"/>
    <cellStyle name="Normal 2" xfId="4" xr:uid="{00000000-0005-0000-0000-000007000000}"/>
    <cellStyle name="Normal 3" xfId="3" xr:uid="{00000000-0005-0000-0000-000006000000}"/>
    <cellStyle name="Percentagem" xfId="1" builtinId="5"/>
    <cellStyle name="Percentagem 13" xfId="7" xr:uid="{00000000-0005-0000-0000-00000A000000}"/>
    <cellStyle name="Percentagem 2" xfId="5" xr:uid="{00000000-0005-0000-0000-000008000000}"/>
    <cellStyle name="Vírgula" xfId="2" builtinId="3"/>
    <cellStyle name="Vírgula 2" xfId="6" xr:uid="{00000000-0005-0000-0000-000009000000}"/>
    <cellStyle name="Vírgula 3" xfId="9" xr:uid="{00000000-0005-0000-0000-00000C000000}"/>
    <cellStyle name="Vírgula 4" xfId="8"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connections" Target="connection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charts/_rels/chart1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268253162592301"/>
          <c:y val="0.117778477690289"/>
          <c:w val="0.78936913380051199"/>
          <c:h val="0.84074004082822995"/>
        </c:manualLayout>
      </c:layout>
      <c:barChart>
        <c:barDir val="col"/>
        <c:grouping val="clustered"/>
        <c:varyColors val="0"/>
        <c:ser>
          <c:idx val="0"/>
          <c:order val="0"/>
          <c:tx>
            <c:v>PMR</c:v>
          </c:tx>
          <c:spPr>
            <a:solidFill>
              <a:schemeClr val="accent6"/>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900" b="0" i="0" u="non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val>
            <c:numRef>
              <c:f>'INDICADORES SECTORIAL'!$F$34:$I$34</c:f>
              <c:numCache>
                <c:formatCode>_-* #\ ##0_-;\-* #\ ##0_-;_-* "-"??_-;_-@_-</c:formatCode>
                <c:ptCount val="4"/>
                <c:pt idx="0">
                  <c:v>475.04701137628581</c:v>
                </c:pt>
                <c:pt idx="1">
                  <c:v>473.55276824068164</c:v>
                </c:pt>
                <c:pt idx="2">
                  <c:v>533.12679237607028</c:v>
                </c:pt>
                <c:pt idx="3">
                  <c:v>496.62930827276176</c:v>
                </c:pt>
              </c:numCache>
            </c:numRef>
          </c:val>
          <c:extLst>
            <c:ext xmlns:c16="http://schemas.microsoft.com/office/drawing/2014/chart" uri="{C3380CC4-5D6E-409C-BE32-E72D297353CC}">
              <c16:uniqueId val="{00000000-0EB8-4567-AB45-0CD85F1AAFE8}"/>
            </c:ext>
          </c:extLst>
        </c:ser>
        <c:ser>
          <c:idx val="1"/>
          <c:order val="1"/>
          <c:tx>
            <c:v>PMP</c:v>
          </c:tx>
          <c:spPr>
            <a:solidFill>
              <a:schemeClr val="accent5"/>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900" b="0" i="0" u="non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val>
            <c:numRef>
              <c:f>'INDICADORES SECTORIAL'!$F$35:$I$35</c:f>
              <c:numCache>
                <c:formatCode>_-* #\ ##0_-;\-* #\ ##0_-;_-* "-"??_-;_-@_-</c:formatCode>
                <c:ptCount val="4"/>
                <c:pt idx="0">
                  <c:v>471.62238839889818</c:v>
                </c:pt>
                <c:pt idx="1">
                  <c:v>491.31290577929502</c:v>
                </c:pt>
                <c:pt idx="2">
                  <c:v>579.79082109558146</c:v>
                </c:pt>
                <c:pt idx="3">
                  <c:v>517.59857019628407</c:v>
                </c:pt>
              </c:numCache>
            </c:numRef>
          </c:val>
          <c:extLst>
            <c:ext xmlns:c16="http://schemas.microsoft.com/office/drawing/2014/chart" uri="{C3380CC4-5D6E-409C-BE32-E72D297353CC}">
              <c16:uniqueId val="{00000001-0EB8-4567-AB45-0CD85F1AAFE8}"/>
            </c:ext>
          </c:extLst>
        </c:ser>
        <c:dLbls>
          <c:showLegendKey val="0"/>
          <c:showVal val="1"/>
          <c:showCatName val="0"/>
          <c:showSerName val="0"/>
          <c:showPercent val="0"/>
          <c:showBubbleSize val="0"/>
        </c:dLbls>
        <c:gapWidth val="40"/>
        <c:overlap val="-15"/>
        <c:axId val="747296714"/>
        <c:axId val="2036445894"/>
      </c:barChart>
      <c:catAx>
        <c:axId val="747296714"/>
        <c:scaling>
          <c:orientation val="minMax"/>
        </c:scaling>
        <c:delete val="1"/>
        <c:axPos val="b"/>
        <c:majorGridlines>
          <c:spPr>
            <a:ln w="9525" cap="flat" cmpd="sng">
              <a:solidFill>
                <a:schemeClr val="tx1">
                  <a:lumMod val="15000"/>
                  <a:lumOff val="85000"/>
                </a:schemeClr>
              </a:solidFill>
              <a:round/>
            </a:ln>
            <a:effectLst/>
          </c:spPr>
        </c:majorGridlines>
        <c:majorTickMark val="none"/>
        <c:minorTickMark val="none"/>
        <c:tickLblPos val="nextTo"/>
        <c:crossAx val="2036445894"/>
        <c:crosses val="autoZero"/>
        <c:auto val="1"/>
        <c:lblAlgn val="ctr"/>
        <c:lblOffset val="100"/>
        <c:noMultiLvlLbl val="0"/>
      </c:catAx>
      <c:valAx>
        <c:axId val="2036445894"/>
        <c:scaling>
          <c:orientation val="minMax"/>
        </c:scaling>
        <c:delete val="1"/>
        <c:axPos val="l"/>
        <c:title>
          <c:tx>
            <c:rich>
              <a:bodyPr rot="-5400000" spcFirstLastPara="1" vertOverflow="ellipsis" vert="horz" wrap="square" anchor="ctr" anchorCtr="1"/>
              <a:lstStyle/>
              <a:p>
                <a:pPr>
                  <a:defRPr lang="pt-PT" sz="800" b="0" i="0" u="none" kern="1200" cap="all" baseline="0">
                    <a:solidFill>
                      <a:schemeClr val="tx2">
                        <a:lumMod val="50000"/>
                      </a:schemeClr>
                    </a:solidFill>
                    <a:latin typeface="Segoe UI"/>
                    <a:ea typeface="Segoe UI"/>
                  </a:defRPr>
                </a:pPr>
                <a:r>
                  <a:rPr lang="pt-PT"/>
                  <a:t>Nº DE DIAS</a:t>
                </a:r>
              </a:p>
            </c:rich>
          </c:tx>
          <c:layout>
            <c:manualLayout>
              <c:xMode val="edge"/>
              <c:yMode val="edge"/>
              <c:x val="6.3705901607128204E-2"/>
              <c:y val="0.31119257151679602"/>
            </c:manualLayout>
          </c:layout>
          <c:overlay val="0"/>
          <c:spPr>
            <a:noFill/>
            <a:ln w="6350">
              <a:noFill/>
            </a:ln>
            <a:effectLst/>
          </c:spPr>
        </c:title>
        <c:numFmt formatCode="_-* #\ ##0_-;\-* #\ ##0_-;_-* &quot;-&quot;??_-;_-@_-" sourceLinked="1"/>
        <c:majorTickMark val="out"/>
        <c:minorTickMark val="none"/>
        <c:tickLblPos val="nextTo"/>
        <c:crossAx val="747296714"/>
        <c:crosses val="autoZero"/>
        <c:crossBetween val="between"/>
      </c:valAx>
      <c:spPr>
        <a:noFill/>
        <a:ln w="6350">
          <a:noFill/>
        </a:ln>
        <a:effectLst/>
      </c:spPr>
    </c:plotArea>
    <c:legend>
      <c:legendPos val="t"/>
      <c:layout>
        <c:manualLayout>
          <c:xMode val="edge"/>
          <c:yMode val="edge"/>
          <c:x val="0.30946277394373201"/>
          <c:y val="1.7777777777777799E-2"/>
          <c:w val="0.46850581949519898"/>
          <c:h val="7.62969962088072E-2"/>
        </c:manualLayout>
      </c:layout>
      <c:overlay val="0"/>
      <c:spPr>
        <a:noFill/>
        <a:ln w="6350">
          <a:noFill/>
        </a:ln>
        <a:effectLst/>
      </c:spPr>
      <c:txPr>
        <a:bodyPr rot="0" spcFirstLastPara="1" vertOverflow="ellipsis" vert="horz" wrap="square" anchor="ctr" anchorCtr="1"/>
        <a:lstStyle/>
        <a:p>
          <a:pPr>
            <a:defRPr lang="en-US" sz="900" b="0" i="0" u="none" kern="1200" baseline="0">
              <a:solidFill>
                <a:schemeClr val="tx2">
                  <a:lumMod val="50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solidFill>
      <a:schemeClr val="bg1"/>
    </a:solidFill>
    <a:ln w="9525">
      <a:noFill/>
      <a:round/>
    </a:ln>
    <a:effectLst/>
  </c:spPr>
  <c:txPr>
    <a:bodyPr rot="0" vert="horz" wrap="square"/>
    <a:lstStyle/>
    <a:p>
      <a:pPr>
        <a:defRPr lang="en-US" sz="900" u="none" baseline="0">
          <a:solidFill>
            <a:schemeClr val="tx2">
              <a:lumMod val="50000"/>
            </a:schemeClr>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45276438874201"/>
          <c:y val="1.14082034864188E-2"/>
          <c:w val="0.80454723561125796"/>
          <c:h val="0.98859179651358098"/>
        </c:manualLayout>
      </c:layout>
      <c:barChart>
        <c:barDir val="col"/>
        <c:grouping val="clustered"/>
        <c:varyColors val="0"/>
        <c:ser>
          <c:idx val="0"/>
          <c:order val="0"/>
          <c:spPr>
            <a:solidFill>
              <a:schemeClr val="accent1">
                <a:lumMod val="75000"/>
              </a:schemeClr>
            </a:solidFill>
            <a:ln w="6350">
              <a:noFill/>
            </a:ln>
            <a:effectLst/>
          </c:spPr>
          <c:invertIfNegative val="0"/>
          <c:dLbls>
            <c:numFmt formatCode="#,##0.00" sourceLinked="0"/>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SECTORIAL'!$F$13:$I$13</c:f>
              <c:numCache>
                <c:formatCode>#,##0.00_);\(#,##0.00\)</c:formatCode>
                <c:ptCount val="4"/>
                <c:pt idx="0">
                  <c:v>1442613.7381428201</c:v>
                </c:pt>
                <c:pt idx="1">
                  <c:v>1664040.1301369097</c:v>
                </c:pt>
                <c:pt idx="2">
                  <c:v>2087726.62744818</c:v>
                </c:pt>
                <c:pt idx="3">
                  <c:v>1957217.1409799997</c:v>
                </c:pt>
              </c:numCache>
            </c:numRef>
          </c:val>
          <c:extLst>
            <c:ext xmlns:c16="http://schemas.microsoft.com/office/drawing/2014/chart" uri="{C3380CC4-5D6E-409C-BE32-E72D297353CC}">
              <c16:uniqueId val="{00000000-561C-448B-8296-17A829FCD611}"/>
            </c:ext>
          </c:extLst>
        </c:ser>
        <c:dLbls>
          <c:showLegendKey val="0"/>
          <c:showVal val="1"/>
          <c:showCatName val="0"/>
          <c:showSerName val="0"/>
          <c:showPercent val="0"/>
          <c:showBubbleSize val="0"/>
        </c:dLbls>
        <c:gapWidth val="89"/>
        <c:overlap val="-90"/>
        <c:axId val="-1410941972"/>
        <c:axId val="204232003"/>
      </c:barChart>
      <c:catAx>
        <c:axId val="-1410941972"/>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out"/>
        <c:minorTickMark val="none"/>
        <c:tickLblPos val="nextTo"/>
        <c:crossAx val="204232003"/>
        <c:crosses val="autoZero"/>
        <c:auto val="1"/>
        <c:lblAlgn val="ctr"/>
        <c:lblOffset val="100"/>
        <c:noMultiLvlLbl val="0"/>
      </c:catAx>
      <c:valAx>
        <c:axId val="204232003"/>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kz</a:t>
                </a:r>
              </a:p>
            </c:rich>
          </c:tx>
          <c:layout>
            <c:manualLayout>
              <c:xMode val="edge"/>
              <c:yMode val="edge"/>
              <c:x val="6.1152668416447897E-2"/>
              <c:y val="0.34393518518518501"/>
            </c:manualLayout>
          </c:layout>
          <c:overlay val="0"/>
          <c:spPr>
            <a:noFill/>
            <a:ln w="6350">
              <a:noFill/>
            </a:ln>
            <a:effectLst/>
          </c:spPr>
        </c:title>
        <c:numFmt formatCode="#,##0.00_);\(#,##0.00\)" sourceLinked="1"/>
        <c:majorTickMark val="out"/>
        <c:minorTickMark val="none"/>
        <c:tickLblPos val="nextTo"/>
        <c:crossAx val="-1410941972"/>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334105911101"/>
          <c:y val="0"/>
          <c:w val="0.808665894088899"/>
          <c:h val="1"/>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4.4178569080497903E-3"/>
                  <c:y val="0.1918871465385879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AF-4E28-93B2-5F7BC5658FC5}"/>
                </c:ext>
              </c:extLst>
            </c:dLbl>
            <c:dLbl>
              <c:idx val="1"/>
              <c:layout>
                <c:manualLayout>
                  <c:x val="0"/>
                  <c:y val="0.1070901811818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AF-4E28-93B2-5F7BC5658FC5}"/>
                </c:ext>
              </c:extLst>
            </c:dLbl>
            <c:dLbl>
              <c:idx val="2"/>
              <c:layout>
                <c:manualLayout>
                  <c:x val="4.4178569080497096E-3"/>
                  <c:y val="0.34053124920843197"/>
                </c:manualLayout>
              </c:layout>
              <c:tx>
                <c:rich>
                  <a:bodyPr/>
                  <a:lstStyle/>
                  <a:p>
                    <a:fld id="{3021D82D-D6ED-4162-9C66-903890CC2BBC}" type="VALUE">
                      <a:rPr lang="en-US"/>
                      <a:pPr/>
                      <a:t>[VALOR]</a:t>
                    </a:fld>
                    <a:endParaRPr lang="pt-AO"/>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6AF-4E28-93B2-5F7BC5658FC5}"/>
                </c:ext>
              </c:extLst>
            </c:dLbl>
            <c:numFmt formatCode="#,##0.00" sourceLinked="0"/>
            <c:spPr>
              <a:noFill/>
              <a:ln w="6350">
                <a:noFill/>
              </a:ln>
              <a:effectLst/>
            </c:spPr>
            <c:txPr>
              <a:bodyPr rot="-5400000" spcFirstLastPara="1" vertOverflow="clip" vert="horz" wrap="square" lIns="38100" tIns="19050" rIns="38100" bIns="19050" anchor="ctr" anchorCtr="1">
                <a:spAutoFit/>
              </a:bodyPr>
              <a:lstStyle/>
              <a:p>
                <a:pPr algn="ctr">
                  <a:defRPr lang="en-US" sz="105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SECTORIAL'!$F$17:$I$17</c:f>
              <c:numCache>
                <c:formatCode>#,##0.00_);\(#,##0.00\)</c:formatCode>
                <c:ptCount val="4"/>
                <c:pt idx="0">
                  <c:v>973800.38512460981</c:v>
                </c:pt>
                <c:pt idx="1">
                  <c:v>1108013.9652054394</c:v>
                </c:pt>
                <c:pt idx="2">
                  <c:v>490709.89981448278</c:v>
                </c:pt>
                <c:pt idx="3">
                  <c:v>248036.37747984007</c:v>
                </c:pt>
              </c:numCache>
            </c:numRef>
          </c:val>
          <c:extLst>
            <c:ext xmlns:c16="http://schemas.microsoft.com/office/drawing/2014/chart" uri="{C3380CC4-5D6E-409C-BE32-E72D297353CC}">
              <c16:uniqueId val="{00000000-2E44-440C-99E2-99B47126442D}"/>
            </c:ext>
          </c:extLst>
        </c:ser>
        <c:dLbls>
          <c:showLegendKey val="0"/>
          <c:showVal val="1"/>
          <c:showCatName val="0"/>
          <c:showSerName val="0"/>
          <c:showPercent val="0"/>
          <c:showBubbleSize val="0"/>
        </c:dLbls>
        <c:gapWidth val="89"/>
        <c:overlap val="-90"/>
        <c:axId val="-1653653615"/>
        <c:axId val="1784171236"/>
      </c:barChart>
      <c:catAx>
        <c:axId val="-1653653615"/>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784171236"/>
        <c:crosses val="autoZero"/>
        <c:auto val="1"/>
        <c:lblAlgn val="ctr"/>
        <c:lblOffset val="100"/>
        <c:noMultiLvlLbl val="0"/>
      </c:catAx>
      <c:valAx>
        <c:axId val="1784171236"/>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kz</a:t>
                </a:r>
              </a:p>
            </c:rich>
          </c:tx>
          <c:layout>
            <c:manualLayout>
              <c:xMode val="edge"/>
              <c:yMode val="edge"/>
              <c:x val="6.1152668416447897E-2"/>
              <c:y val="0.34393518518518501"/>
            </c:manualLayout>
          </c:layout>
          <c:overlay val="0"/>
          <c:spPr>
            <a:noFill/>
            <a:ln w="6350">
              <a:noFill/>
            </a:ln>
            <a:effectLst/>
          </c:spPr>
        </c:title>
        <c:numFmt formatCode="#,##0.00_);\(#,##0.00\)" sourceLinked="1"/>
        <c:majorTickMark val="none"/>
        <c:minorTickMark val="none"/>
        <c:tickLblPos val="nextTo"/>
        <c:crossAx val="-1653653615"/>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7529198033337"/>
          <c:y val="1.0997238675786E-2"/>
          <c:w val="0.79247080196666297"/>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SECTORIAL'!$F$21:$I$21</c:f>
              <c:numCache>
                <c:formatCode>#,##0.00_);\(#,##0.00\)</c:formatCode>
                <c:ptCount val="4"/>
                <c:pt idx="0">
                  <c:v>1203998.6778308991</c:v>
                </c:pt>
                <c:pt idx="1">
                  <c:v>1231425.41116763</c:v>
                </c:pt>
                <c:pt idx="2">
                  <c:v>1570836.9515806204</c:v>
                </c:pt>
                <c:pt idx="3">
                  <c:v>1521023.6215826208</c:v>
                </c:pt>
              </c:numCache>
            </c:numRef>
          </c:val>
          <c:extLst>
            <c:ext xmlns:c16="http://schemas.microsoft.com/office/drawing/2014/chart" uri="{C3380CC4-5D6E-409C-BE32-E72D297353CC}">
              <c16:uniqueId val="{00000000-A836-4AB4-8F4C-F8D6231BE02B}"/>
            </c:ext>
          </c:extLst>
        </c:ser>
        <c:dLbls>
          <c:showLegendKey val="0"/>
          <c:showVal val="1"/>
          <c:showCatName val="0"/>
          <c:showSerName val="0"/>
          <c:showPercent val="0"/>
          <c:showBubbleSize val="0"/>
        </c:dLbls>
        <c:gapWidth val="89"/>
        <c:overlap val="-90"/>
        <c:axId val="-51782783"/>
        <c:axId val="-2065009784"/>
      </c:barChart>
      <c:catAx>
        <c:axId val="-51782783"/>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2065009784"/>
        <c:crosses val="autoZero"/>
        <c:auto val="1"/>
        <c:lblAlgn val="ctr"/>
        <c:lblOffset val="100"/>
        <c:noMultiLvlLbl val="0"/>
      </c:catAx>
      <c:valAx>
        <c:axId val="-2065009784"/>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kz</a:t>
                </a:r>
              </a:p>
            </c:rich>
          </c:tx>
          <c:layout>
            <c:manualLayout>
              <c:xMode val="edge"/>
              <c:yMode val="edge"/>
              <c:x val="6.1152668416447897E-2"/>
              <c:y val="0.34393518518518501"/>
            </c:manualLayout>
          </c:layout>
          <c:overlay val="0"/>
          <c:spPr>
            <a:noFill/>
            <a:ln w="6350">
              <a:noFill/>
            </a:ln>
            <a:effectLst/>
          </c:spPr>
        </c:title>
        <c:numFmt formatCode="#,##0.00_);\(#,##0.00\)" sourceLinked="1"/>
        <c:majorTickMark val="none"/>
        <c:minorTickMark val="none"/>
        <c:tickLblPos val="nextTo"/>
        <c:crossAx val="-51782783"/>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9417566386829"/>
          <c:y val="1.0997238675786E-2"/>
          <c:w val="0.80058243361317105"/>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SECTORIAL'!$F$25:$I$25</c:f>
              <c:numCache>
                <c:formatCode>_(* #,##0.00_);_(* \(#,##0.00\);_(* "-"??_);_(@_)</c:formatCode>
                <c:ptCount val="4"/>
                <c:pt idx="0">
                  <c:v>0.14279200240217033</c:v>
                </c:pt>
                <c:pt idx="1">
                  <c:v>0.11846368740722588</c:v>
                </c:pt>
                <c:pt idx="2">
                  <c:v>0.10857277956626603</c:v>
                </c:pt>
                <c:pt idx="3">
                  <c:v>0.10983971352144525</c:v>
                </c:pt>
              </c:numCache>
            </c:numRef>
          </c:val>
          <c:extLst>
            <c:ext xmlns:c16="http://schemas.microsoft.com/office/drawing/2014/chart" uri="{C3380CC4-5D6E-409C-BE32-E72D297353CC}">
              <c16:uniqueId val="{00000000-0EC3-4E98-9D5A-E4A095533E7C}"/>
            </c:ext>
          </c:extLst>
        </c:ser>
        <c:dLbls>
          <c:showLegendKey val="0"/>
          <c:showVal val="1"/>
          <c:showCatName val="0"/>
          <c:showSerName val="0"/>
          <c:showPercent val="0"/>
          <c:showBubbleSize val="0"/>
        </c:dLbls>
        <c:gapWidth val="89"/>
        <c:overlap val="-90"/>
        <c:axId val="1998787240"/>
        <c:axId val="1492461056"/>
      </c:barChart>
      <c:catAx>
        <c:axId val="1998787240"/>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492461056"/>
        <c:crosses val="autoZero"/>
        <c:auto val="1"/>
        <c:lblAlgn val="ctr"/>
        <c:lblOffset val="100"/>
        <c:noMultiLvlLbl val="0"/>
      </c:catAx>
      <c:valAx>
        <c:axId val="1492461056"/>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UNIDDAE</a:t>
                </a:r>
              </a:p>
            </c:rich>
          </c:tx>
          <c:layout>
            <c:manualLayout>
              <c:xMode val="edge"/>
              <c:yMode val="edge"/>
              <c:x val="6.1152668416447897E-2"/>
              <c:y val="0.34393518518518501"/>
            </c:manualLayout>
          </c:layout>
          <c:overlay val="0"/>
          <c:spPr>
            <a:noFill/>
            <a:ln w="6350">
              <a:noFill/>
            </a:ln>
            <a:effectLst/>
          </c:spPr>
        </c:title>
        <c:numFmt formatCode="_(* #,##0.00_);_(* \(#,##0.00\);_(* &quot;-&quot;??_);_(@_)" sourceLinked="1"/>
        <c:majorTickMark val="none"/>
        <c:minorTickMark val="none"/>
        <c:tickLblPos val="nextTo"/>
        <c:crossAx val="1998787240"/>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950913511982599"/>
          <c:y val="4.75940448995049E-3"/>
          <c:w val="0.80049086488017496"/>
          <c:h val="0.99524059551004895"/>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4.3867663349189002E-3"/>
                  <c:y val="6.529912801338480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19B-4461-AF69-22D90415699F}"/>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SECTORIAL'!$F$24:$I$24</c:f>
              <c:numCache>
                <c:formatCode>_(* #,##0.00_);_(* \(#,##0.00\);_(* "-"??_);_(@_)</c:formatCode>
                <c:ptCount val="4"/>
                <c:pt idx="0">
                  <c:v>1.128854910013162</c:v>
                </c:pt>
                <c:pt idx="1">
                  <c:v>1.141608355188622</c:v>
                </c:pt>
                <c:pt idx="2">
                  <c:v>0.99754267219862924</c:v>
                </c:pt>
                <c:pt idx="3">
                  <c:v>0.95122833264730167</c:v>
                </c:pt>
              </c:numCache>
            </c:numRef>
          </c:val>
          <c:extLst>
            <c:ext xmlns:c16="http://schemas.microsoft.com/office/drawing/2014/chart" uri="{C3380CC4-5D6E-409C-BE32-E72D297353CC}">
              <c16:uniqueId val="{00000000-ABEB-44B1-B3DC-0A9CEAB099D9}"/>
            </c:ext>
          </c:extLst>
        </c:ser>
        <c:dLbls>
          <c:showLegendKey val="0"/>
          <c:showVal val="1"/>
          <c:showCatName val="0"/>
          <c:showSerName val="0"/>
          <c:showPercent val="0"/>
          <c:showBubbleSize val="0"/>
        </c:dLbls>
        <c:gapWidth val="89"/>
        <c:overlap val="-90"/>
        <c:axId val="1360887449"/>
        <c:axId val="-109127952"/>
      </c:barChart>
      <c:catAx>
        <c:axId val="1360887449"/>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09127952"/>
        <c:crosses val="autoZero"/>
        <c:auto val="1"/>
        <c:lblAlgn val="ctr"/>
        <c:lblOffset val="100"/>
        <c:noMultiLvlLbl val="0"/>
      </c:catAx>
      <c:valAx>
        <c:axId val="-109127952"/>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UNIDADE</a:t>
                </a:r>
              </a:p>
            </c:rich>
          </c:tx>
          <c:layout>
            <c:manualLayout>
              <c:xMode val="edge"/>
              <c:yMode val="edge"/>
              <c:x val="6.1152668416447897E-2"/>
              <c:y val="0.34393518518518501"/>
            </c:manualLayout>
          </c:layout>
          <c:overlay val="0"/>
          <c:spPr>
            <a:noFill/>
            <a:ln w="6350">
              <a:noFill/>
            </a:ln>
            <a:effectLst/>
          </c:spPr>
        </c:title>
        <c:numFmt formatCode="_(* #,##0.00_);_(* \(#,##0.00\);_(* &quot;-&quot;??_);_(@_)" sourceLinked="1"/>
        <c:majorTickMark val="none"/>
        <c:minorTickMark val="none"/>
        <c:tickLblPos val="nextTo"/>
        <c:crossAx val="1360887449"/>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1218764121772"/>
          <c:y val="1.0997220488131201E-2"/>
          <c:w val="0.834481959044719"/>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4.5066208292466204E-3"/>
                  <c:y val="0.132932123995140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1D2-4B0D-9D8A-717839DF8CEB}"/>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SECTORIAL'!$F$23:$I$23</c:f>
              <c:numCache>
                <c:formatCode>_(* #,##0.00_);_(* \(#,##0.00\);_(* "-"??_);_(@_)</c:formatCode>
                <c:ptCount val="4"/>
                <c:pt idx="0">
                  <c:v>1.2163037852814655</c:v>
                </c:pt>
                <c:pt idx="1">
                  <c:v>1.2281229997665586</c:v>
                </c:pt>
                <c:pt idx="2">
                  <c:v>1.0762119443468778</c:v>
                </c:pt>
                <c:pt idx="3">
                  <c:v>1.0461389569829032</c:v>
                </c:pt>
              </c:numCache>
            </c:numRef>
          </c:val>
          <c:extLst>
            <c:ext xmlns:c16="http://schemas.microsoft.com/office/drawing/2014/chart" uri="{C3380CC4-5D6E-409C-BE32-E72D297353CC}">
              <c16:uniqueId val="{00000000-29F5-4009-81E2-026EC089C3CA}"/>
            </c:ext>
          </c:extLst>
        </c:ser>
        <c:dLbls>
          <c:showLegendKey val="0"/>
          <c:showVal val="1"/>
          <c:showCatName val="0"/>
          <c:showSerName val="0"/>
          <c:showPercent val="0"/>
          <c:showBubbleSize val="0"/>
        </c:dLbls>
        <c:gapWidth val="89"/>
        <c:overlap val="-90"/>
        <c:axId val="-1953214047"/>
        <c:axId val="147035175"/>
      </c:barChart>
      <c:catAx>
        <c:axId val="-1953214047"/>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47035175"/>
        <c:crosses val="autoZero"/>
        <c:auto val="1"/>
        <c:lblAlgn val="ctr"/>
        <c:lblOffset val="100"/>
        <c:noMultiLvlLbl val="0"/>
      </c:catAx>
      <c:valAx>
        <c:axId val="147035175"/>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UNIDADE</a:t>
                </a:r>
              </a:p>
            </c:rich>
          </c:tx>
          <c:layout>
            <c:manualLayout>
              <c:xMode val="edge"/>
              <c:yMode val="edge"/>
              <c:x val="6.1152668416447897E-2"/>
              <c:y val="0.34393518518518501"/>
            </c:manualLayout>
          </c:layout>
          <c:overlay val="0"/>
          <c:spPr>
            <a:noFill/>
            <a:ln w="6350">
              <a:noFill/>
            </a:ln>
            <a:effectLst/>
          </c:spPr>
        </c:title>
        <c:numFmt formatCode="_(* #,##0.00_);_(* \(#,##0.00\);_(* &quot;-&quot;??_);_(@_)" sourceLinked="1"/>
        <c:majorTickMark val="none"/>
        <c:minorTickMark val="none"/>
        <c:tickLblPos val="nextTo"/>
        <c:crossAx val="-1953214047"/>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77388350291899"/>
          <c:y val="1.0997220488131201E-2"/>
          <c:w val="0.83692696341879902"/>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3"/>
              <c:layout>
                <c:manualLayout>
                  <c:x val="-1.65178841200077E-16"/>
                  <c:y val="0.2202271960653189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12E-4F11-B939-38F0A952452A}"/>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SECTORIAL'!$F$30:$I$30</c:f>
              <c:numCache>
                <c:formatCode>0.00%</c:formatCode>
                <c:ptCount val="4"/>
                <c:pt idx="0">
                  <c:v>5.9031975113372534E-2</c:v>
                </c:pt>
                <c:pt idx="1">
                  <c:v>9.1493817934531887E-2</c:v>
                </c:pt>
                <c:pt idx="2">
                  <c:v>9.8318765226545132E-2</c:v>
                </c:pt>
                <c:pt idx="3">
                  <c:v>8.2885083995751951E-2</c:v>
                </c:pt>
              </c:numCache>
            </c:numRef>
          </c:val>
          <c:extLst>
            <c:ext xmlns:c16="http://schemas.microsoft.com/office/drawing/2014/chart" uri="{C3380CC4-5D6E-409C-BE32-E72D297353CC}">
              <c16:uniqueId val="{00000000-7239-494E-AA22-BA3FC7CC1A35}"/>
            </c:ext>
          </c:extLst>
        </c:ser>
        <c:dLbls>
          <c:showLegendKey val="0"/>
          <c:showVal val="1"/>
          <c:showCatName val="0"/>
          <c:showSerName val="0"/>
          <c:showPercent val="0"/>
          <c:showBubbleSize val="0"/>
        </c:dLbls>
        <c:gapWidth val="89"/>
        <c:overlap val="-90"/>
        <c:axId val="-668228124"/>
        <c:axId val="-2029080317"/>
      </c:barChart>
      <c:catAx>
        <c:axId val="-668228124"/>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2029080317"/>
        <c:crosses val="autoZero"/>
        <c:auto val="1"/>
        <c:lblAlgn val="ctr"/>
        <c:lblOffset val="100"/>
        <c:noMultiLvlLbl val="0"/>
      </c:catAx>
      <c:valAx>
        <c:axId val="-2029080317"/>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668228124"/>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60187591298899"/>
          <c:y val="4.75940448995049E-3"/>
          <c:w val="0.80409913040777403"/>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1"/>
              <c:layout>
                <c:manualLayout>
                  <c:x val="-8.1022899059683795E-17"/>
                  <c:y val="0.1927838584858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C11-48FE-90FB-135CCAC2FBCB}"/>
                </c:ext>
              </c:extLst>
            </c:dLbl>
            <c:dLbl>
              <c:idx val="2"/>
              <c:layout>
                <c:manualLayout>
                  <c:x val="-1.62045741728956E-16"/>
                  <c:y val="0.10447072402094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11-48FE-90FB-135CCAC2FBCB}"/>
                </c:ext>
              </c:extLst>
            </c:dLbl>
            <c:dLbl>
              <c:idx val="3"/>
              <c:layout>
                <c:manualLayout>
                  <c:x val="0"/>
                  <c:y val="0.2666011307874279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C11-48FE-90FB-135CCAC2FBCB}"/>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SECTORIAL'!$F$31:$I$31</c:f>
              <c:numCache>
                <c:formatCode>0.00%</c:formatCode>
                <c:ptCount val="4"/>
                <c:pt idx="0">
                  <c:v>7.7617960120024185E-2</c:v>
                </c:pt>
                <c:pt idx="1">
                  <c:v>0.1295724661940903</c:v>
                </c:pt>
                <c:pt idx="2">
                  <c:v>0.14987456494787321</c:v>
                </c:pt>
                <c:pt idx="3">
                  <c:v>0.12941097830235804</c:v>
                </c:pt>
              </c:numCache>
            </c:numRef>
          </c:val>
          <c:extLst>
            <c:ext xmlns:c16="http://schemas.microsoft.com/office/drawing/2014/chart" uri="{C3380CC4-5D6E-409C-BE32-E72D297353CC}">
              <c16:uniqueId val="{00000000-73A2-4DE8-BB52-0517552BE8F6}"/>
            </c:ext>
          </c:extLst>
        </c:ser>
        <c:dLbls>
          <c:showLegendKey val="0"/>
          <c:showVal val="1"/>
          <c:showCatName val="0"/>
          <c:showSerName val="0"/>
          <c:showPercent val="0"/>
          <c:showBubbleSize val="0"/>
        </c:dLbls>
        <c:gapWidth val="89"/>
        <c:overlap val="-90"/>
        <c:axId val="129199552"/>
        <c:axId val="-1408131953"/>
      </c:barChart>
      <c:catAx>
        <c:axId val="129199552"/>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408131953"/>
        <c:crosses val="autoZero"/>
        <c:auto val="1"/>
        <c:lblAlgn val="ctr"/>
        <c:lblOffset val="100"/>
        <c:noMultiLvlLbl val="0"/>
      </c:catAx>
      <c:valAx>
        <c:axId val="-1408131953"/>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129199552"/>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811232664345"/>
          <c:y val="4.75940448995049E-3"/>
          <c:w val="0.80418876733565503"/>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3"/>
              <c:layout>
                <c:manualLayout>
                  <c:x val="8.9803549432257695E-3"/>
                  <c:y val="0.25347438749766898"/>
                </c:manualLayout>
              </c:layout>
              <c:spPr>
                <a:noFill/>
                <a:ln w="6350">
                  <a:noFill/>
                </a:ln>
                <a:effectLst/>
              </c:spPr>
              <c:txPr>
                <a:bodyPr rot="-5400000" spcFirstLastPara="1" vertOverflow="clip" vert="horz" wrap="square" lIns="38100" tIns="19050" rIns="38100" bIns="19050" anchor="ctr" anchorCtr="1">
                  <a:spAutoFit/>
                </a:bodyPr>
                <a:lstStyle/>
                <a:p>
                  <a:pPr algn="ctr">
                    <a:defRPr lang="en-US" sz="1100" b="0" i="0" u="non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C68-4CC1-B3C0-CE3BC6A1D706}"/>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SECTORIAL'!$F$32:$I$32</c:f>
              <c:numCache>
                <c:formatCode>0.00%</c:formatCode>
                <c:ptCount val="4"/>
                <c:pt idx="0">
                  <c:v>1.6534773502265065E-2</c:v>
                </c:pt>
                <c:pt idx="1">
                  <c:v>2.8168528368539617E-2</c:v>
                </c:pt>
                <c:pt idx="2">
                  <c:v>2.9319587196576603E-2</c:v>
                </c:pt>
                <c:pt idx="3">
                  <c:v>2.7625502215186892E-2</c:v>
                </c:pt>
              </c:numCache>
            </c:numRef>
          </c:val>
          <c:extLst>
            <c:ext xmlns:c16="http://schemas.microsoft.com/office/drawing/2014/chart" uri="{C3380CC4-5D6E-409C-BE32-E72D297353CC}">
              <c16:uniqueId val="{00000000-0E96-44D6-AA60-DC2AAA245742}"/>
            </c:ext>
          </c:extLst>
        </c:ser>
        <c:dLbls>
          <c:showLegendKey val="0"/>
          <c:showVal val="1"/>
          <c:showCatName val="0"/>
          <c:showSerName val="0"/>
          <c:showPercent val="0"/>
          <c:showBubbleSize val="0"/>
        </c:dLbls>
        <c:gapWidth val="89"/>
        <c:overlap val="-90"/>
        <c:axId val="529510059"/>
        <c:axId val="222743510"/>
      </c:barChart>
      <c:catAx>
        <c:axId val="529510059"/>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222743510"/>
        <c:crosses val="autoZero"/>
        <c:auto val="1"/>
        <c:lblAlgn val="ctr"/>
        <c:lblOffset val="100"/>
        <c:noMultiLvlLbl val="0"/>
      </c:catAx>
      <c:valAx>
        <c:axId val="222743510"/>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529510059"/>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64755957927601"/>
          <c:y val="4.75940448995049E-3"/>
          <c:w val="0.80405338552561401"/>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3"/>
              <c:layout>
                <c:manualLayout>
                  <c:x val="-4.42314986084492E-3"/>
                  <c:y val="0.247030061448570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EBB-4E2E-A90A-67C598FB74DA}"/>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SECTORIAL'!$F$28:$I$28</c:f>
              <c:numCache>
                <c:formatCode>0.00%</c:formatCode>
                <c:ptCount val="4"/>
                <c:pt idx="0">
                  <c:v>0.27069271296756148</c:v>
                </c:pt>
                <c:pt idx="1">
                  <c:v>0.27778535008175997</c:v>
                </c:pt>
                <c:pt idx="2">
                  <c:v>0.24320511474078277</c:v>
                </c:pt>
                <c:pt idx="3">
                  <c:v>0.27140907796636776</c:v>
                </c:pt>
              </c:numCache>
            </c:numRef>
          </c:val>
          <c:extLst>
            <c:ext xmlns:c16="http://schemas.microsoft.com/office/drawing/2014/chart" uri="{C3380CC4-5D6E-409C-BE32-E72D297353CC}">
              <c16:uniqueId val="{00000000-0814-4010-A18B-8590CD6DFD91}"/>
            </c:ext>
          </c:extLst>
        </c:ser>
        <c:dLbls>
          <c:showLegendKey val="0"/>
          <c:showVal val="1"/>
          <c:showCatName val="0"/>
          <c:showSerName val="0"/>
          <c:showPercent val="0"/>
          <c:showBubbleSize val="0"/>
        </c:dLbls>
        <c:gapWidth val="89"/>
        <c:overlap val="-90"/>
        <c:axId val="805191910"/>
        <c:axId val="-1187009458"/>
      </c:barChart>
      <c:catAx>
        <c:axId val="805191910"/>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187009458"/>
        <c:crosses val="autoZero"/>
        <c:auto val="1"/>
        <c:lblAlgn val="ctr"/>
        <c:lblOffset val="100"/>
        <c:noMultiLvlLbl val="0"/>
      </c:catAx>
      <c:valAx>
        <c:axId val="-1187009458"/>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805191910"/>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628771692704"/>
          <c:y val="4.75940448995049E-3"/>
          <c:w val="0.81207193633856301"/>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SECTORIAL'!$F$27:$I$27</c:f>
              <c:numCache>
                <c:formatCode>0.00%</c:formatCode>
                <c:ptCount val="4"/>
                <c:pt idx="0">
                  <c:v>0.78697232603515233</c:v>
                </c:pt>
                <c:pt idx="1">
                  <c:v>0.78260405782239906</c:v>
                </c:pt>
                <c:pt idx="2">
                  <c:v>0.8043724950476151</c:v>
                </c:pt>
                <c:pt idx="3">
                  <c:v>0.78652891294398386</c:v>
                </c:pt>
              </c:numCache>
            </c:numRef>
          </c:val>
          <c:extLst>
            <c:ext xmlns:c16="http://schemas.microsoft.com/office/drawing/2014/chart" uri="{C3380CC4-5D6E-409C-BE32-E72D297353CC}">
              <c16:uniqueId val="{00000000-79A4-4B4B-9340-6A6C946688AE}"/>
            </c:ext>
          </c:extLst>
        </c:ser>
        <c:dLbls>
          <c:showLegendKey val="0"/>
          <c:showVal val="1"/>
          <c:showCatName val="0"/>
          <c:showSerName val="0"/>
          <c:showPercent val="0"/>
          <c:showBubbleSize val="0"/>
        </c:dLbls>
        <c:gapWidth val="89"/>
        <c:overlap val="-90"/>
        <c:axId val="-382728821"/>
        <c:axId val="2048959602"/>
      </c:barChart>
      <c:catAx>
        <c:axId val="-382728821"/>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2048959602"/>
        <c:crosses val="autoZero"/>
        <c:auto val="1"/>
        <c:lblAlgn val="ctr"/>
        <c:lblOffset val="100"/>
        <c:noMultiLvlLbl val="0"/>
      </c:catAx>
      <c:valAx>
        <c:axId val="2048959602"/>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382728821"/>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279409095834699"/>
          <c:y val="1.0463658134767699E-2"/>
          <c:w val="0.83290663362420103"/>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SECTORIAL'!$F$26:$I$26</c:f>
              <c:numCache>
                <c:formatCode>0.00%</c:formatCode>
                <c:ptCount val="4"/>
                <c:pt idx="0">
                  <c:v>0.2130276739648477</c:v>
                </c:pt>
                <c:pt idx="1">
                  <c:v>0.21739594217760103</c:v>
                </c:pt>
                <c:pt idx="2">
                  <c:v>0.19562750495238496</c:v>
                </c:pt>
                <c:pt idx="3">
                  <c:v>0.2134710870560162</c:v>
                </c:pt>
              </c:numCache>
            </c:numRef>
          </c:val>
          <c:extLst>
            <c:ext xmlns:c16="http://schemas.microsoft.com/office/drawing/2014/chart" uri="{C3380CC4-5D6E-409C-BE32-E72D297353CC}">
              <c16:uniqueId val="{00000000-97EE-4A52-A322-4E756A655021}"/>
            </c:ext>
          </c:extLst>
        </c:ser>
        <c:dLbls>
          <c:showLegendKey val="0"/>
          <c:showVal val="1"/>
          <c:showCatName val="0"/>
          <c:showSerName val="0"/>
          <c:showPercent val="0"/>
          <c:showBubbleSize val="0"/>
        </c:dLbls>
        <c:gapWidth val="89"/>
        <c:overlap val="-90"/>
        <c:axId val="-332944133"/>
        <c:axId val="-912348360"/>
      </c:barChart>
      <c:catAx>
        <c:axId val="-332944133"/>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912348360"/>
        <c:crosses val="autoZero"/>
        <c:auto val="1"/>
        <c:lblAlgn val="ctr"/>
        <c:lblOffset val="100"/>
        <c:noMultiLvlLbl val="0"/>
      </c:catAx>
      <c:valAx>
        <c:axId val="-912348360"/>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332944133"/>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857405324334501"/>
          <c:y val="4.75940448995049E-3"/>
          <c:w val="0.79712710911136098"/>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4.4012467657767399E-3"/>
                  <c:y val="0.168028532140113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1F1-4C7E-9441-0AB18BE088D2}"/>
                </c:ext>
              </c:extLst>
            </c:dLbl>
            <c:dLbl>
              <c:idx val="1"/>
              <c:layout>
                <c:manualLayout>
                  <c:x val="-8.8024935315535492E-3"/>
                  <c:y val="0.1893716278614389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1F1-4C7E-9441-0AB18BE088D2}"/>
                </c:ext>
              </c:extLst>
            </c:dLbl>
            <c:dLbl>
              <c:idx val="2"/>
              <c:layout>
                <c:manualLayout>
                  <c:x val="-1.47032530552041E-16"/>
                  <c:y val="0.159416453321631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1F1-4C7E-9441-0AB18BE088D2}"/>
                </c:ext>
              </c:extLst>
            </c:dLbl>
            <c:spPr>
              <a:noFill/>
              <a:ln w="6350">
                <a:noFill/>
              </a:ln>
              <a:effectLst/>
            </c:spPr>
            <c:txPr>
              <a:bodyPr rot="-5400000" spcFirstLastPara="1" vertOverflow="clip" vert="horz" wrap="square" lIns="38100" tIns="19050" rIns="38100" bIns="19050" anchor="ctr" anchorCtr="1">
                <a:spAutoFit/>
              </a:bodyPr>
              <a:lstStyle/>
              <a:p>
                <a:pPr algn="ctr">
                  <a:defRPr lang="en-US" sz="11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SECTORIAL'!$F$39:$I$39</c:f>
              <c:numCache>
                <c:formatCode>#,##0.00</c:formatCode>
                <c:ptCount val="4"/>
                <c:pt idx="0">
                  <c:v>6.7811805477170903E-2</c:v>
                </c:pt>
                <c:pt idx="1">
                  <c:v>8.0328921854893057E-2</c:v>
                </c:pt>
                <c:pt idx="2">
                  <c:v>7.4601516104440851E-2</c:v>
                </c:pt>
                <c:pt idx="3">
                  <c:v>0.16050263628919545</c:v>
                </c:pt>
              </c:numCache>
            </c:numRef>
          </c:val>
          <c:extLst>
            <c:ext xmlns:c16="http://schemas.microsoft.com/office/drawing/2014/chart" uri="{C3380CC4-5D6E-409C-BE32-E72D297353CC}">
              <c16:uniqueId val="{00000000-72D8-4070-BE79-0116A7EB3C9B}"/>
            </c:ext>
          </c:extLst>
        </c:ser>
        <c:dLbls>
          <c:showLegendKey val="0"/>
          <c:showVal val="1"/>
          <c:showCatName val="0"/>
          <c:showSerName val="0"/>
          <c:showPercent val="0"/>
          <c:showBubbleSize val="0"/>
        </c:dLbls>
        <c:gapWidth val="89"/>
        <c:overlap val="-90"/>
        <c:axId val="-1915624150"/>
        <c:axId val="-399937788"/>
      </c:barChart>
      <c:catAx>
        <c:axId val="-1915624150"/>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399937788"/>
        <c:crosses val="autoZero"/>
        <c:auto val="1"/>
        <c:lblAlgn val="ctr"/>
        <c:lblOffset val="100"/>
        <c:noMultiLvlLbl val="0"/>
      </c:catAx>
      <c:valAx>
        <c:axId val="-399937788"/>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UNIDADE</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1915624150"/>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857393410448099"/>
          <c:y val="4.7596171774404103E-3"/>
          <c:w val="0.79712710911136098"/>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4.0511449529841897E-17"/>
                  <c:y val="0.17269044062323799"/>
                </c:manualLayout>
              </c:layout>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D46-48FF-9968-FE1F55B66D1D}"/>
                </c:ext>
              </c:extLst>
            </c:dLbl>
            <c:dLbl>
              <c:idx val="1"/>
              <c:layout>
                <c:manualLayout>
                  <c:x val="-8.8389638228866495E-3"/>
                  <c:y val="0.16494756261009"/>
                </c:manualLayout>
              </c:layout>
              <c:spPr>
                <a:noFill/>
                <a:ln w="6350">
                  <a:noFill/>
                </a:ln>
                <a:effectLst/>
              </c:spPr>
              <c:txPr>
                <a:bodyPr rot="-5400000" spcFirstLastPara="1" vertOverflow="clip" vert="horz" wrap="square" lIns="38100" tIns="19050" rIns="38100" bIns="19050" anchor="ctr" anchorCtr="1">
                  <a:spAutoFit/>
                </a:bodyPr>
                <a:lstStyle/>
                <a:p>
                  <a:pPr algn="ctr">
                    <a:defRPr lang="en-US" sz="1100" b="0" i="0" u="non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46-48FF-9968-FE1F55B66D1D}"/>
                </c:ext>
              </c:extLst>
            </c:dLbl>
            <c:dLbl>
              <c:idx val="2"/>
              <c:layout>
                <c:manualLayout>
                  <c:x val="8.8389638228866495E-3"/>
                  <c:y val="0.15082752584578701"/>
                </c:manualLayout>
              </c:layout>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D46-48FF-9968-FE1F55B66D1D}"/>
                </c:ext>
              </c:extLst>
            </c:dLbl>
            <c:dLbl>
              <c:idx val="3"/>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3-7D46-48FF-9968-FE1F55B66D1D}"/>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rgbClr val="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SECTORIAL'!$F$38:$I$38</c:f>
              <c:numCache>
                <c:formatCode>#,##0.00</c:formatCode>
                <c:ptCount val="4"/>
                <c:pt idx="0">
                  <c:v>0.80629282699920046</c:v>
                </c:pt>
                <c:pt idx="1">
                  <c:v>0.68655639891364384</c:v>
                </c:pt>
                <c:pt idx="2">
                  <c:v>0.62122572967376011</c:v>
                </c:pt>
                <c:pt idx="3">
                  <c:v>1.3622557376667426</c:v>
                </c:pt>
              </c:numCache>
            </c:numRef>
          </c:val>
          <c:extLst>
            <c:ext xmlns:c16="http://schemas.microsoft.com/office/drawing/2014/chart" uri="{C3380CC4-5D6E-409C-BE32-E72D297353CC}">
              <c16:uniqueId val="{00000000-A558-4053-B0A2-EAA082FEE9B0}"/>
            </c:ext>
          </c:extLst>
        </c:ser>
        <c:dLbls>
          <c:showLegendKey val="0"/>
          <c:showVal val="1"/>
          <c:showCatName val="0"/>
          <c:showSerName val="0"/>
          <c:showPercent val="0"/>
          <c:showBubbleSize val="0"/>
        </c:dLbls>
        <c:gapWidth val="89"/>
        <c:overlap val="-90"/>
        <c:axId val="-1778520490"/>
        <c:axId val="-786057501"/>
      </c:barChart>
      <c:catAx>
        <c:axId val="-1778520490"/>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786057501"/>
        <c:crosses val="autoZero"/>
        <c:auto val="1"/>
        <c:lblAlgn val="ctr"/>
        <c:lblOffset val="100"/>
        <c:noMultiLvlLbl val="0"/>
      </c:catAx>
      <c:valAx>
        <c:axId val="-786057501"/>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UNIDADE</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1778520490"/>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3.6209275129277997E-2"/>
          <c:w val="1"/>
          <c:h val="0.89783455454650696"/>
        </c:manualLayout>
      </c:layout>
      <c:doughnutChart>
        <c:varyColors val="1"/>
        <c:ser>
          <c:idx val="0"/>
          <c:order val="0"/>
          <c:dPt>
            <c:idx val="0"/>
            <c:bubble3D val="0"/>
            <c:spPr>
              <a:solidFill>
                <a:schemeClr val="accent1"/>
              </a:solidFill>
              <a:ln w="19050" cap="flat" cmpd="sng">
                <a:solidFill>
                  <a:schemeClr val="bg1"/>
                </a:solidFill>
              </a:ln>
              <a:effectLst/>
            </c:spPr>
            <c:extLst>
              <c:ext xmlns:c16="http://schemas.microsoft.com/office/drawing/2014/chart" uri="{C3380CC4-5D6E-409C-BE32-E72D297353CC}">
                <c16:uniqueId val="{00000001-52C5-4AD3-A863-62DBBD89FB64}"/>
              </c:ext>
            </c:extLst>
          </c:dPt>
          <c:val>
            <c:numRef>
              <c:f>#REF!</c:f>
              <c:numCache>
                <c:formatCode>General</c:formatCode>
                <c:ptCount val="1"/>
                <c:pt idx="0">
                  <c:v>1</c:v>
                </c:pt>
              </c:numCache>
            </c:numRef>
          </c:val>
          <c:extLst>
            <c:ext xmlns:c16="http://schemas.microsoft.com/office/drawing/2014/chart" uri="{C3380CC4-5D6E-409C-BE32-E72D297353CC}">
              <c16:uniqueId val="{00000002-89CA-46F5-A7FD-8A856F581B35}"/>
            </c:ext>
          </c:extLst>
        </c:ser>
        <c:dLbls>
          <c:showLegendKey val="0"/>
          <c:showVal val="0"/>
          <c:showCatName val="0"/>
          <c:showSerName val="0"/>
          <c:showPercent val="0"/>
          <c:showBubbleSize val="0"/>
          <c:showLeaderLines val="1"/>
        </c:dLbls>
        <c:firstSliceAng val="0"/>
        <c:holeSize val="54"/>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AO"/>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0ACA-42E0-88BD-BCBBA209B1FD}"/>
              </c:ext>
            </c:extLst>
          </c:dPt>
          <c:dPt>
            <c:idx val="1"/>
            <c:bubble3D val="0"/>
            <c:extLst>
              <c:ext xmlns:c16="http://schemas.microsoft.com/office/drawing/2014/chart" uri="{C3380CC4-5D6E-409C-BE32-E72D297353CC}">
                <c16:uniqueId val="{00000001-0ACA-42E0-88BD-BCBBA209B1FD}"/>
              </c:ext>
            </c:extLst>
          </c:dPt>
          <c:dPt>
            <c:idx val="2"/>
            <c:bubble3D val="0"/>
            <c:extLst>
              <c:ext xmlns:c16="http://schemas.microsoft.com/office/drawing/2014/chart" uri="{C3380CC4-5D6E-409C-BE32-E72D297353CC}">
                <c16:uniqueId val="{00000002-0ACA-42E0-88BD-BCBBA209B1FD}"/>
              </c:ext>
            </c:extLst>
          </c:dPt>
          <c:dPt>
            <c:idx val="3"/>
            <c:bubble3D val="0"/>
            <c:extLst>
              <c:ext xmlns:c16="http://schemas.microsoft.com/office/drawing/2014/chart" uri="{C3380CC4-5D6E-409C-BE32-E72D297353CC}">
                <c16:uniqueId val="{00000003-0ACA-42E0-88BD-BCBBA209B1FD}"/>
              </c:ext>
            </c:extLst>
          </c:dPt>
          <c:dLbls>
            <c:dLbl>
              <c:idx val="0"/>
              <c:layout>
                <c:manualLayout>
                  <c:x val="-0.14646270848994"/>
                  <c:y val="0.134446901854644"/>
                </c:manualLayout>
              </c:layout>
              <c:numFmt formatCode="0.00%" sourceLinked="0"/>
              <c:spPr>
                <a:noFill/>
                <a:ln w="6350">
                  <a:noFill/>
                </a:ln>
                <a:effectLst/>
              </c:spPr>
              <c:txPr>
                <a:bodyPr rot="0" spcFirstLastPara="1" vertOverflow="ellipsis" vert="horz" wrap="square" lIns="38100" tIns="19050" rIns="38100" bIns="19050" anchor="ctr" anchorCtr="1">
                  <a:spAutoFit/>
                </a:bodyPr>
                <a:lstStyle/>
                <a:p>
                  <a:pPr algn="ctr">
                    <a:defRPr lang="en-US" sz="1000" b="1" i="0" u="non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622565070006321"/>
                      <c:h val="0.39011860711084401"/>
                    </c:manualLayout>
                  </c15:layout>
                </c:ext>
                <c:ext xmlns:c16="http://schemas.microsoft.com/office/drawing/2014/chart" uri="{C3380CC4-5D6E-409C-BE32-E72D297353CC}">
                  <c16:uniqueId val="{00000000-0ACA-42E0-88BD-BCBBA209B1FD}"/>
                </c:ext>
              </c:extLst>
            </c:dLbl>
            <c:dLbl>
              <c:idx val="1"/>
              <c:delete val="1"/>
              <c:extLst>
                <c:ext xmlns:c15="http://schemas.microsoft.com/office/drawing/2012/chart" uri="{CE6537A1-D6FC-4f65-9D91-7224C49458BB}"/>
                <c:ext xmlns:c16="http://schemas.microsoft.com/office/drawing/2014/chart" uri="{C3380CC4-5D6E-409C-BE32-E72D297353CC}">
                  <c16:uniqueId val="{00000001-0ACA-42E0-88BD-BCBBA209B1FD}"/>
                </c:ext>
              </c:extLst>
            </c:dLbl>
            <c:dLbl>
              <c:idx val="2"/>
              <c:delete val="1"/>
              <c:extLst>
                <c:ext xmlns:c15="http://schemas.microsoft.com/office/drawing/2012/chart" uri="{CE6537A1-D6FC-4f65-9D91-7224C49458BB}"/>
                <c:ext xmlns:c16="http://schemas.microsoft.com/office/drawing/2014/chart" uri="{C3380CC4-5D6E-409C-BE32-E72D297353CC}">
                  <c16:uniqueId val="{00000002-0ACA-42E0-88BD-BCBBA209B1FD}"/>
                </c:ext>
              </c:extLst>
            </c:dLbl>
            <c:dLbl>
              <c:idx val="3"/>
              <c:delete val="1"/>
              <c:extLst>
                <c:ext xmlns:c15="http://schemas.microsoft.com/office/drawing/2012/chart" uri="{CE6537A1-D6FC-4f65-9D91-7224C49458BB}"/>
                <c:ext xmlns:c16="http://schemas.microsoft.com/office/drawing/2014/chart" uri="{C3380CC4-5D6E-409C-BE32-E72D297353CC}">
                  <c16:uniqueId val="{00000003-0ACA-42E0-88BD-BCBBA209B1FD}"/>
                </c:ext>
              </c:extLst>
            </c:dLbl>
            <c:numFmt formatCode="0.0%" sourceLinked="0"/>
            <c:spPr>
              <a:noFill/>
              <a:ln w="6350">
                <a:noFill/>
              </a:ln>
              <a:effectLst/>
            </c:spPr>
            <c:txPr>
              <a:bodyPr rot="0" spcFirstLastPara="1" vertOverflow="ellipsis" vert="horz" wrap="square" lIns="38100" tIns="19050" rIns="38100" bIns="19050" anchor="ctr" anchorCtr="1">
                <a:spAutoFit/>
              </a:bodyPr>
              <a:lstStyle/>
              <a:p>
                <a:pPr algn="ctr">
                  <a:defRPr lang="en-US" sz="1000" b="1" i="0" u="none" kern="1200" baseline="0">
                    <a:solidFill>
                      <a:schemeClr val="accent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solidFill>
                    <a:schemeClr val="accent1">
                      <a:lumMod val="60000"/>
                      <a:lumOff val="40000"/>
                    </a:schemeClr>
                  </a:solidFill>
                </a:ln>
                <a:effectLst/>
              </c:spPr>
            </c:leaderLines>
            <c:extLst>
              <c:ext xmlns:c15="http://schemas.microsoft.com/office/drawing/2012/chart" uri="{CE6537A1-D6FC-4f65-9D91-7224C49458BB}"/>
            </c:extLst>
          </c:dLbls>
          <c:val>
            <c:numRef>
              <c:f>'INDICADORES SECTORIAL'!$E$54:$E$57</c:f>
              <c:numCache>
                <c:formatCode>0.00%</c:formatCode>
                <c:ptCount val="4"/>
                <c:pt idx="0">
                  <c:v>0.70328362933904309</c:v>
                </c:pt>
                <c:pt idx="1">
                  <c:v>0.148423912541671</c:v>
                </c:pt>
                <c:pt idx="2">
                  <c:v>0.13454677956471536</c:v>
                </c:pt>
                <c:pt idx="3">
                  <c:v>1.3745678554570392E-2</c:v>
                </c:pt>
              </c:numCache>
            </c:numRef>
          </c:val>
          <c:extLst>
            <c:ext xmlns:c16="http://schemas.microsoft.com/office/drawing/2014/chart" uri="{C3380CC4-5D6E-409C-BE32-E72D297353CC}">
              <c16:uniqueId val="{00000008-5D7D-4007-B05D-F407353F5A89}"/>
            </c:ext>
          </c:extLst>
        </c:ser>
        <c:dLbls>
          <c:showLegendKey val="0"/>
          <c:showVal val="0"/>
          <c:showCatName val="1"/>
          <c:showSerName val="0"/>
          <c:showPercent val="1"/>
          <c:showBubbleSize val="0"/>
          <c:showLeaderLines val="1"/>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E38D-4E4F-9BF1-DF3DCAD2F4C0}"/>
              </c:ext>
            </c:extLst>
          </c:dPt>
          <c:dPt>
            <c:idx val="1"/>
            <c:bubble3D val="0"/>
            <c:extLst>
              <c:ext xmlns:c16="http://schemas.microsoft.com/office/drawing/2014/chart" uri="{C3380CC4-5D6E-409C-BE32-E72D297353CC}">
                <c16:uniqueId val="{00000001-E38D-4E4F-9BF1-DF3DCAD2F4C0}"/>
              </c:ext>
            </c:extLst>
          </c:dPt>
          <c:dPt>
            <c:idx val="2"/>
            <c:bubble3D val="0"/>
            <c:extLst>
              <c:ext xmlns:c16="http://schemas.microsoft.com/office/drawing/2014/chart" uri="{C3380CC4-5D6E-409C-BE32-E72D297353CC}">
                <c16:uniqueId val="{00000002-E38D-4E4F-9BF1-DF3DCAD2F4C0}"/>
              </c:ext>
            </c:extLst>
          </c:dPt>
          <c:dPt>
            <c:idx val="3"/>
            <c:bubble3D val="0"/>
            <c:extLst>
              <c:ext xmlns:c16="http://schemas.microsoft.com/office/drawing/2014/chart" uri="{C3380CC4-5D6E-409C-BE32-E72D297353CC}">
                <c16:uniqueId val="{00000003-E38D-4E4F-9BF1-DF3DCAD2F4C0}"/>
              </c:ext>
            </c:extLst>
          </c:dPt>
          <c:dLbls>
            <c:dLbl>
              <c:idx val="0"/>
              <c:layout>
                <c:manualLayout>
                  <c:x val="-0.238323851463565"/>
                  <c:y val="6.7924873087396906E-2"/>
                </c:manualLayout>
              </c:layout>
              <c:numFmt formatCode="0.00%" sourceLinked="0"/>
              <c:spPr>
                <a:noFill/>
                <a:ln w="6350">
                  <a:noFill/>
                </a:ln>
                <a:effectLst/>
              </c:spPr>
              <c:txPr>
                <a:bodyPr rot="0" spcFirstLastPara="1" vertOverflow="ellipsis" vert="horz" wrap="square" lIns="38100" tIns="19050" rIns="38100" bIns="19050" anchor="ctr" anchorCtr="1">
                  <a:spAutoFit/>
                </a:bodyPr>
                <a:lstStyle/>
                <a:p>
                  <a:pPr algn="ctr">
                    <a:defRPr lang="en-US" sz="1000" b="1" i="0" u="none" kern="120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50723177875353298"/>
                      <c:h val="0.39011860711084401"/>
                    </c:manualLayout>
                  </c15:layout>
                </c:ext>
                <c:ext xmlns:c16="http://schemas.microsoft.com/office/drawing/2014/chart" uri="{C3380CC4-5D6E-409C-BE32-E72D297353CC}">
                  <c16:uniqueId val="{00000000-E38D-4E4F-9BF1-DF3DCAD2F4C0}"/>
                </c:ext>
              </c:extLst>
            </c:dLbl>
            <c:dLbl>
              <c:idx val="1"/>
              <c:delete val="1"/>
              <c:extLst>
                <c:ext xmlns:c15="http://schemas.microsoft.com/office/drawing/2012/chart" uri="{CE6537A1-D6FC-4f65-9D91-7224C49458BB}"/>
                <c:ext xmlns:c16="http://schemas.microsoft.com/office/drawing/2014/chart" uri="{C3380CC4-5D6E-409C-BE32-E72D297353CC}">
                  <c16:uniqueId val="{00000001-E38D-4E4F-9BF1-DF3DCAD2F4C0}"/>
                </c:ext>
              </c:extLst>
            </c:dLbl>
            <c:dLbl>
              <c:idx val="2"/>
              <c:delete val="1"/>
              <c:extLst>
                <c:ext xmlns:c15="http://schemas.microsoft.com/office/drawing/2012/chart" uri="{CE6537A1-D6FC-4f65-9D91-7224C49458BB}"/>
                <c:ext xmlns:c16="http://schemas.microsoft.com/office/drawing/2014/chart" uri="{C3380CC4-5D6E-409C-BE32-E72D297353CC}">
                  <c16:uniqueId val="{00000002-E38D-4E4F-9BF1-DF3DCAD2F4C0}"/>
                </c:ext>
              </c:extLst>
            </c:dLbl>
            <c:dLbl>
              <c:idx val="3"/>
              <c:delete val="1"/>
              <c:extLst>
                <c:ext xmlns:c15="http://schemas.microsoft.com/office/drawing/2012/chart" uri="{CE6537A1-D6FC-4f65-9D91-7224C49458BB}"/>
                <c:ext xmlns:c16="http://schemas.microsoft.com/office/drawing/2014/chart" uri="{C3380CC4-5D6E-409C-BE32-E72D297353CC}">
                  <c16:uniqueId val="{00000003-E38D-4E4F-9BF1-DF3DCAD2F4C0}"/>
                </c:ext>
              </c:extLst>
            </c:dLbl>
            <c:numFmt formatCode="0.0%" sourceLinked="0"/>
            <c:spPr>
              <a:noFill/>
              <a:ln w="6350">
                <a:noFill/>
              </a:ln>
              <a:effectLst/>
            </c:spPr>
            <c:txPr>
              <a:bodyPr rot="0" spcFirstLastPara="1" vertOverflow="ellipsis" vert="horz" wrap="square" lIns="38100" tIns="19050" rIns="38100" bIns="19050" anchor="ctr" anchorCtr="1">
                <a:spAutoFit/>
              </a:bodyPr>
              <a:lstStyle/>
              <a:p>
                <a:pPr algn="ctr">
                  <a:defRPr lang="en-US" sz="1000" b="1" i="0" u="non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val>
            <c:numRef>
              <c:f>'INDICADORES SECTORIAL'!$F$54:$F$57</c:f>
              <c:numCache>
                <c:formatCode>0.00%</c:formatCode>
                <c:ptCount val="4"/>
                <c:pt idx="0">
                  <c:v>0.74498841103720148</c:v>
                </c:pt>
                <c:pt idx="1">
                  <c:v>0.13330660946232747</c:v>
                </c:pt>
                <c:pt idx="2">
                  <c:v>0.11269611309450625</c:v>
                </c:pt>
                <c:pt idx="3">
                  <c:v>9.0088664059647851E-3</c:v>
                </c:pt>
              </c:numCache>
            </c:numRef>
          </c:val>
          <c:extLst>
            <c:ext xmlns:c16="http://schemas.microsoft.com/office/drawing/2014/chart" uri="{C3380CC4-5D6E-409C-BE32-E72D297353CC}">
              <c16:uniqueId val="{00000008-CCB7-4BA3-9C3E-D153B6501C1B}"/>
            </c:ext>
          </c:extLst>
        </c:ser>
        <c:dLbls>
          <c:showLegendKey val="0"/>
          <c:showVal val="0"/>
          <c:showCatName val="1"/>
          <c:showSerName val="0"/>
          <c:showPercent val="1"/>
          <c:showBubbleSize val="0"/>
          <c:showLeaderLines val="0"/>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0D21-4669-B7F2-96CD34AF9523}"/>
              </c:ext>
            </c:extLst>
          </c:dPt>
          <c:dPt>
            <c:idx val="1"/>
            <c:bubble3D val="0"/>
            <c:extLst>
              <c:ext xmlns:c16="http://schemas.microsoft.com/office/drawing/2014/chart" uri="{C3380CC4-5D6E-409C-BE32-E72D297353CC}">
                <c16:uniqueId val="{00000001-0D21-4669-B7F2-96CD34AF9523}"/>
              </c:ext>
            </c:extLst>
          </c:dPt>
          <c:dPt>
            <c:idx val="2"/>
            <c:bubble3D val="0"/>
            <c:extLst>
              <c:ext xmlns:c16="http://schemas.microsoft.com/office/drawing/2014/chart" uri="{C3380CC4-5D6E-409C-BE32-E72D297353CC}">
                <c16:uniqueId val="{00000002-0D21-4669-B7F2-96CD34AF9523}"/>
              </c:ext>
            </c:extLst>
          </c:dPt>
          <c:dPt>
            <c:idx val="3"/>
            <c:bubble3D val="0"/>
            <c:extLst>
              <c:ext xmlns:c16="http://schemas.microsoft.com/office/drawing/2014/chart" uri="{C3380CC4-5D6E-409C-BE32-E72D297353CC}">
                <c16:uniqueId val="{00000003-0D21-4669-B7F2-96CD34AF9523}"/>
              </c:ext>
            </c:extLst>
          </c:dPt>
          <c:dLbls>
            <c:dLbl>
              <c:idx val="0"/>
              <c:layout>
                <c:manualLayout>
                  <c:x val="-0.168680395654978"/>
                  <c:y val="3.3644408376066401E-2"/>
                </c:manualLayout>
              </c:layout>
              <c:numFmt formatCode="0.00%" sourceLinked="0"/>
              <c:spPr>
                <a:noFill/>
                <a:ln w="6350">
                  <a:noFill/>
                </a:ln>
                <a:effectLst/>
              </c:spPr>
              <c:txPr>
                <a:bodyPr rot="0" spcFirstLastPara="1" vertOverflow="ellipsis" vert="horz" wrap="square" lIns="38100" tIns="19050" rIns="38100" bIns="19050" anchor="ctr" anchorCtr="1"/>
                <a:lstStyle/>
                <a:p>
                  <a:pPr algn="ctr">
                    <a:defRPr lang="en-US" sz="900" b="1" i="0" u="non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584926731149913"/>
                      <c:h val="0.383470929878305"/>
                    </c:manualLayout>
                  </c15:layout>
                </c:ext>
                <c:ext xmlns:c16="http://schemas.microsoft.com/office/drawing/2014/chart" uri="{C3380CC4-5D6E-409C-BE32-E72D297353CC}">
                  <c16:uniqueId val="{00000000-0D21-4669-B7F2-96CD34AF9523}"/>
                </c:ext>
              </c:extLst>
            </c:dLbl>
            <c:dLbl>
              <c:idx val="1"/>
              <c:delete val="1"/>
              <c:extLst>
                <c:ext xmlns:c15="http://schemas.microsoft.com/office/drawing/2012/chart" uri="{CE6537A1-D6FC-4f65-9D91-7224C49458BB}"/>
                <c:ext xmlns:c16="http://schemas.microsoft.com/office/drawing/2014/chart" uri="{C3380CC4-5D6E-409C-BE32-E72D297353CC}">
                  <c16:uniqueId val="{00000001-0D21-4669-B7F2-96CD34AF9523}"/>
                </c:ext>
              </c:extLst>
            </c:dLbl>
            <c:dLbl>
              <c:idx val="2"/>
              <c:delete val="1"/>
              <c:extLst>
                <c:ext xmlns:c15="http://schemas.microsoft.com/office/drawing/2012/chart" uri="{CE6537A1-D6FC-4f65-9D91-7224C49458BB}"/>
                <c:ext xmlns:c16="http://schemas.microsoft.com/office/drawing/2014/chart" uri="{C3380CC4-5D6E-409C-BE32-E72D297353CC}">
                  <c16:uniqueId val="{00000002-0D21-4669-B7F2-96CD34AF9523}"/>
                </c:ext>
              </c:extLst>
            </c:dLbl>
            <c:dLbl>
              <c:idx val="3"/>
              <c:delete val="1"/>
              <c:extLst>
                <c:ext xmlns:c15="http://schemas.microsoft.com/office/drawing/2012/chart" uri="{CE6537A1-D6FC-4f65-9D91-7224C49458BB}"/>
                <c:ext xmlns:c16="http://schemas.microsoft.com/office/drawing/2014/chart" uri="{C3380CC4-5D6E-409C-BE32-E72D297353CC}">
                  <c16:uniqueId val="{00000003-0D21-4669-B7F2-96CD34AF9523}"/>
                </c:ext>
              </c:extLst>
            </c:dLbl>
            <c:spPr>
              <a:noFill/>
              <a:ln w="6350">
                <a:noFill/>
              </a:ln>
              <a:effectLst/>
            </c:spPr>
            <c:txPr>
              <a:bodyPr rot="0" spcFirstLastPara="1" vertOverflow="ellipsis" vert="horz" wrap="square" lIns="38100" tIns="19050" rIns="38100" bIns="19050" anchor="ctr" anchorCtr="1">
                <a:spAutoFit/>
              </a:bodyPr>
              <a:lstStyle/>
              <a:p>
                <a:pPr algn="ctr">
                  <a:defRPr lang="en-US" sz="900" b="1" i="0" u="none" kern="1200" baseline="0">
                    <a:solidFill>
                      <a:schemeClr val="accent1"/>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extLst>
          </c:dLbls>
          <c:val>
            <c:numRef>
              <c:f>'INDICADORES SECTORIAL'!$G$54:$G$57</c:f>
              <c:numCache>
                <c:formatCode>0.00%</c:formatCode>
                <c:ptCount val="4"/>
                <c:pt idx="0">
                  <c:v>0.78278044285159121</c:v>
                </c:pt>
                <c:pt idx="1">
                  <c:v>0.11952015590079727</c:v>
                </c:pt>
                <c:pt idx="2">
                  <c:v>9.0930259525552101E-2</c:v>
                </c:pt>
                <c:pt idx="3">
                  <c:v>6.7691417220593726E-3</c:v>
                </c:pt>
              </c:numCache>
            </c:numRef>
          </c:val>
          <c:extLst>
            <c:ext xmlns:c16="http://schemas.microsoft.com/office/drawing/2014/chart" uri="{C3380CC4-5D6E-409C-BE32-E72D297353CC}">
              <c16:uniqueId val="{00000008-314B-4B1F-A0C4-82E7AA89B441}"/>
            </c:ext>
          </c:extLst>
        </c:ser>
        <c:dLbls>
          <c:showLegendKey val="0"/>
          <c:showVal val="0"/>
          <c:showCatName val="1"/>
          <c:showSerName val="0"/>
          <c:showPercent val="1"/>
          <c:showBubbleSize val="0"/>
          <c:showLeaderLines val="0"/>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FD09-4659-8235-BB450DF0C3E2}"/>
              </c:ext>
            </c:extLst>
          </c:dPt>
          <c:dPt>
            <c:idx val="1"/>
            <c:bubble3D val="0"/>
            <c:extLst>
              <c:ext xmlns:c16="http://schemas.microsoft.com/office/drawing/2014/chart" uri="{C3380CC4-5D6E-409C-BE32-E72D297353CC}">
                <c16:uniqueId val="{00000001-FD09-4659-8235-BB450DF0C3E2}"/>
              </c:ext>
            </c:extLst>
          </c:dPt>
          <c:dPt>
            <c:idx val="2"/>
            <c:bubble3D val="0"/>
            <c:extLst>
              <c:ext xmlns:c16="http://schemas.microsoft.com/office/drawing/2014/chart" uri="{C3380CC4-5D6E-409C-BE32-E72D297353CC}">
                <c16:uniqueId val="{00000002-FD09-4659-8235-BB450DF0C3E2}"/>
              </c:ext>
            </c:extLst>
          </c:dPt>
          <c:dPt>
            <c:idx val="3"/>
            <c:bubble3D val="0"/>
            <c:extLst>
              <c:ext xmlns:c16="http://schemas.microsoft.com/office/drawing/2014/chart" uri="{C3380CC4-5D6E-409C-BE32-E72D297353CC}">
                <c16:uniqueId val="{00000003-FD09-4659-8235-BB450DF0C3E2}"/>
              </c:ext>
            </c:extLst>
          </c:dPt>
          <c:dLbls>
            <c:dLbl>
              <c:idx val="0"/>
              <c:layout>
                <c:manualLayout>
                  <c:x val="-0.214225470754251"/>
                  <c:y val="4.4444405560450102E-2"/>
                </c:manualLayout>
              </c:layout>
              <c:spPr>
                <a:noFill/>
                <a:ln w="6350">
                  <a:noFill/>
                </a:ln>
                <a:effectLst/>
              </c:spPr>
              <c:txPr>
                <a:bodyPr rot="0" spcFirstLastPara="1" vertOverflow="ellipsis" vert="horz" wrap="square" lIns="38100" tIns="19050" rIns="38100" bIns="19050" anchor="ctr" anchorCtr="1"/>
                <a:lstStyle/>
                <a:p>
                  <a:pPr algn="ctr">
                    <a:defRPr lang="en-US" sz="900" b="1" i="0" u="non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54612026386064305"/>
                      <c:h val="0.33423242849306301"/>
                    </c:manualLayout>
                  </c15:layout>
                </c:ext>
                <c:ext xmlns:c16="http://schemas.microsoft.com/office/drawing/2014/chart" uri="{C3380CC4-5D6E-409C-BE32-E72D297353CC}">
                  <c16:uniqueId val="{00000000-FD09-4659-8235-BB450DF0C3E2}"/>
                </c:ext>
              </c:extLst>
            </c:dLbl>
            <c:dLbl>
              <c:idx val="1"/>
              <c:delete val="1"/>
              <c:extLst>
                <c:ext xmlns:c15="http://schemas.microsoft.com/office/drawing/2012/chart" uri="{CE6537A1-D6FC-4f65-9D91-7224C49458BB}"/>
                <c:ext xmlns:c16="http://schemas.microsoft.com/office/drawing/2014/chart" uri="{C3380CC4-5D6E-409C-BE32-E72D297353CC}">
                  <c16:uniqueId val="{00000001-FD09-4659-8235-BB450DF0C3E2}"/>
                </c:ext>
              </c:extLst>
            </c:dLbl>
            <c:dLbl>
              <c:idx val="2"/>
              <c:delete val="1"/>
              <c:extLst>
                <c:ext xmlns:c15="http://schemas.microsoft.com/office/drawing/2012/chart" uri="{CE6537A1-D6FC-4f65-9D91-7224C49458BB}"/>
                <c:ext xmlns:c16="http://schemas.microsoft.com/office/drawing/2014/chart" uri="{C3380CC4-5D6E-409C-BE32-E72D297353CC}">
                  <c16:uniqueId val="{00000002-FD09-4659-8235-BB450DF0C3E2}"/>
                </c:ext>
              </c:extLst>
            </c:dLbl>
            <c:dLbl>
              <c:idx val="3"/>
              <c:delete val="1"/>
              <c:extLst>
                <c:ext xmlns:c15="http://schemas.microsoft.com/office/drawing/2012/chart" uri="{CE6537A1-D6FC-4f65-9D91-7224C49458BB}"/>
                <c:ext xmlns:c16="http://schemas.microsoft.com/office/drawing/2014/chart" uri="{C3380CC4-5D6E-409C-BE32-E72D297353CC}">
                  <c16:uniqueId val="{00000003-FD09-4659-8235-BB450DF0C3E2}"/>
                </c:ext>
              </c:extLst>
            </c:dLbl>
            <c:spPr>
              <a:noFill/>
              <a:ln w="6350">
                <a:noFill/>
              </a:ln>
              <a:effectLst/>
            </c:spPr>
            <c:txPr>
              <a:bodyPr rot="0" spcFirstLastPara="1" vertOverflow="ellipsis" vert="horz" wrap="square" lIns="38100" tIns="19050" rIns="38100" bIns="19050" anchor="ctr" anchorCtr="1">
                <a:spAutoFit/>
              </a:bodyPr>
              <a:lstStyle/>
              <a:p>
                <a:pPr algn="ctr">
                  <a:defRPr lang="en-US" sz="900" b="1" i="0" u="none" kern="1200" baseline="0">
                    <a:solidFill>
                      <a:schemeClr val="accent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solidFill>
                    <a:schemeClr val="accent1">
                      <a:lumMod val="60000"/>
                      <a:lumOff val="40000"/>
                    </a:schemeClr>
                  </a:solidFill>
                </a:ln>
                <a:effectLst/>
              </c:spPr>
            </c:leaderLines>
            <c:extLst>
              <c:ext xmlns:c15="http://schemas.microsoft.com/office/drawing/2012/chart" uri="{CE6537A1-D6FC-4f65-9D91-7224C49458BB}"/>
            </c:extLst>
          </c:dLbls>
          <c:val>
            <c:numRef>
              <c:f>'INDICADORES SECTORIAL'!$H$54:$H$57</c:f>
              <c:numCache>
                <c:formatCode>0.00%</c:formatCode>
                <c:ptCount val="4"/>
                <c:pt idx="0">
                  <c:v>0.76418782283706788</c:v>
                </c:pt>
                <c:pt idx="1">
                  <c:v>0.12818513011423052</c:v>
                </c:pt>
                <c:pt idx="2">
                  <c:v>9.8185506339404996E-2</c:v>
                </c:pt>
                <c:pt idx="3">
                  <c:v>9.4415407092966527E-3</c:v>
                </c:pt>
              </c:numCache>
            </c:numRef>
          </c:val>
          <c:extLst>
            <c:ext xmlns:c16="http://schemas.microsoft.com/office/drawing/2014/chart" uri="{C3380CC4-5D6E-409C-BE32-E72D297353CC}">
              <c16:uniqueId val="{00000008-FFBE-4E78-92EB-5A15D8711AC3}"/>
            </c:ext>
          </c:extLst>
        </c:ser>
        <c:dLbls>
          <c:showLegendKey val="0"/>
          <c:showVal val="0"/>
          <c:showCatName val="1"/>
          <c:showSerName val="0"/>
          <c:showPercent val="1"/>
          <c:showBubbleSize val="0"/>
          <c:showLeaderLines val="1"/>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6553-489D-AF1E-E534B83D6244}"/>
              </c:ext>
            </c:extLst>
          </c:dPt>
          <c:dPt>
            <c:idx val="1"/>
            <c:bubble3D val="0"/>
            <c:extLst>
              <c:ext xmlns:c16="http://schemas.microsoft.com/office/drawing/2014/chart" uri="{C3380CC4-5D6E-409C-BE32-E72D297353CC}">
                <c16:uniqueId val="{00000001-6553-489D-AF1E-E534B83D6244}"/>
              </c:ext>
            </c:extLst>
          </c:dPt>
          <c:dPt>
            <c:idx val="2"/>
            <c:bubble3D val="0"/>
            <c:extLst>
              <c:ext xmlns:c16="http://schemas.microsoft.com/office/drawing/2014/chart" uri="{C3380CC4-5D6E-409C-BE32-E72D297353CC}">
                <c16:uniqueId val="{00000002-6553-489D-AF1E-E534B83D6244}"/>
              </c:ext>
            </c:extLst>
          </c:dPt>
          <c:dPt>
            <c:idx val="3"/>
            <c:bubble3D val="0"/>
            <c:extLst>
              <c:ext xmlns:c16="http://schemas.microsoft.com/office/drawing/2014/chart" uri="{C3380CC4-5D6E-409C-BE32-E72D297353CC}">
                <c16:uniqueId val="{00000003-6553-489D-AF1E-E534B83D6244}"/>
              </c:ext>
            </c:extLst>
          </c:dPt>
          <c:dLbls>
            <c:dLbl>
              <c:idx val="0"/>
              <c:layout>
                <c:manualLayout>
                  <c:x val="-0.12445516478047899"/>
                  <c:y val="6.5991280837067401E-2"/>
                </c:manualLayout>
              </c:layout>
              <c:numFmt formatCode="0.00%" sourceLinked="0"/>
              <c:spPr>
                <a:noFill/>
                <a:ln w="6350">
                  <a:noFill/>
                </a:ln>
                <a:effectLst/>
              </c:spPr>
              <c:txPr>
                <a:bodyPr rot="0" spcFirstLastPara="1" vertOverflow="ellipsis" vert="horz" wrap="square" lIns="38100" tIns="19050" rIns="38100" bIns="19050" anchor="ctr" anchorCtr="1">
                  <a:spAutoFit/>
                </a:bodyPr>
                <a:lstStyle/>
                <a:p>
                  <a:pPr algn="ctr">
                    <a:defRPr lang="en-US" sz="900" b="1" i="0" u="non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67659115579551299"/>
                      <c:h val="0.39011860711084401"/>
                    </c:manualLayout>
                  </c15:layout>
                </c:ext>
                <c:ext xmlns:c16="http://schemas.microsoft.com/office/drawing/2014/chart" uri="{C3380CC4-5D6E-409C-BE32-E72D297353CC}">
                  <c16:uniqueId val="{00000000-6553-489D-AF1E-E534B83D6244}"/>
                </c:ext>
              </c:extLst>
            </c:dLbl>
            <c:dLbl>
              <c:idx val="1"/>
              <c:delete val="1"/>
              <c:extLst>
                <c:ext xmlns:c15="http://schemas.microsoft.com/office/drawing/2012/chart" uri="{CE6537A1-D6FC-4f65-9D91-7224C49458BB}"/>
                <c:ext xmlns:c16="http://schemas.microsoft.com/office/drawing/2014/chart" uri="{C3380CC4-5D6E-409C-BE32-E72D297353CC}">
                  <c16:uniqueId val="{00000001-6553-489D-AF1E-E534B83D6244}"/>
                </c:ext>
              </c:extLst>
            </c:dLbl>
            <c:dLbl>
              <c:idx val="2"/>
              <c:delete val="1"/>
              <c:extLst>
                <c:ext xmlns:c15="http://schemas.microsoft.com/office/drawing/2012/chart" uri="{CE6537A1-D6FC-4f65-9D91-7224C49458BB}"/>
                <c:ext xmlns:c16="http://schemas.microsoft.com/office/drawing/2014/chart" uri="{C3380CC4-5D6E-409C-BE32-E72D297353CC}">
                  <c16:uniqueId val="{00000002-6553-489D-AF1E-E534B83D6244}"/>
                </c:ext>
              </c:extLst>
            </c:dLbl>
            <c:dLbl>
              <c:idx val="3"/>
              <c:delete val="1"/>
              <c:extLst>
                <c:ext xmlns:c15="http://schemas.microsoft.com/office/drawing/2012/chart" uri="{CE6537A1-D6FC-4f65-9D91-7224C49458BB}"/>
                <c:ext xmlns:c16="http://schemas.microsoft.com/office/drawing/2014/chart" uri="{C3380CC4-5D6E-409C-BE32-E72D297353CC}">
                  <c16:uniqueId val="{00000003-6553-489D-AF1E-E534B83D6244}"/>
                </c:ext>
              </c:extLst>
            </c:dLbl>
            <c:numFmt formatCode="0.0%" sourceLinked="0"/>
            <c:spPr>
              <a:noFill/>
              <a:ln w="6350">
                <a:noFill/>
              </a:ln>
              <a:effectLst/>
            </c:spPr>
            <c:txPr>
              <a:bodyPr rot="0" spcFirstLastPara="1" vertOverflow="ellipsis" vert="horz" wrap="square" lIns="38100" tIns="19050" rIns="38100" bIns="19050" anchor="ctr" anchorCtr="1">
                <a:spAutoFit/>
              </a:bodyPr>
              <a:lstStyle/>
              <a:p>
                <a:pPr algn="ctr">
                  <a:defRPr lang="en-US" sz="900" b="1" i="0" u="non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1"/>
            <c:showBubbleSize val="0"/>
            <c:showLeaderLines val="0"/>
            <c:extLst>
              <c:ext xmlns:c15="http://schemas.microsoft.com/office/drawing/2012/chart" uri="{CE6537A1-D6FC-4f65-9D91-7224C49458BB}"/>
            </c:extLst>
          </c:dLbls>
          <c:val>
            <c:numRef>
              <c:f>'INDICADORES SECTORIAL'!$I$54:$I$57</c:f>
              <c:numCache>
                <c:formatCode>0.00%</c:formatCode>
                <c:ptCount val="4"/>
                <c:pt idx="0">
                  <c:v>0.74418883813722725</c:v>
                </c:pt>
                <c:pt idx="1">
                  <c:v>0.13235230673628434</c:v>
                </c:pt>
                <c:pt idx="2">
                  <c:v>0.1126768075596969</c:v>
                </c:pt>
                <c:pt idx="3">
                  <c:v>1.07820475667915E-2</c:v>
                </c:pt>
              </c:numCache>
            </c:numRef>
          </c:val>
          <c:extLst>
            <c:ext xmlns:c16="http://schemas.microsoft.com/office/drawing/2014/chart" uri="{C3380CC4-5D6E-409C-BE32-E72D297353CC}">
              <c16:uniqueId val="{00000008-FE85-4DB5-92C0-194ADDB06161}"/>
            </c:ext>
          </c:extLst>
        </c:ser>
        <c:dLbls>
          <c:showLegendKey val="0"/>
          <c:showVal val="0"/>
          <c:showCatName val="1"/>
          <c:showSerName val="0"/>
          <c:showPercent val="1"/>
          <c:showBubbleSize val="0"/>
          <c:showLeaderLines val="0"/>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2380</xdr:colOff>
      <xdr:row>4</xdr:row>
      <xdr:rowOff>47625</xdr:rowOff>
    </xdr:from>
    <xdr:to>
      <xdr:col>9</xdr:col>
      <xdr:colOff>23812</xdr:colOff>
      <xdr:row>64</xdr:row>
      <xdr:rowOff>0</xdr:rowOff>
    </xdr:to>
    <xdr:sp macro="" textlink="">
      <xdr:nvSpPr>
        <xdr:cNvPr id="2" name="Rectângulo 4">
          <a:extLst>
            <a:ext uri="{FF2B5EF4-FFF2-40B4-BE49-F238E27FC236}">
              <a16:creationId xmlns:a16="http://schemas.microsoft.com/office/drawing/2014/main" id="{402E5AAB-08D6-40E4-A2F4-B5C602FD2D94}"/>
            </a:ext>
          </a:extLst>
        </xdr:cNvPr>
        <xdr:cNvSpPr/>
      </xdr:nvSpPr>
      <xdr:spPr>
        <a:xfrm>
          <a:off x="295275" y="885825"/>
          <a:ext cx="7972425" cy="11449050"/>
        </a:xfrm>
        <a:prstGeom prst="rect">
          <a:avLst/>
        </a:prstGeom>
        <a:noFill/>
        <a:ln w="25400">
          <a:solidFill>
            <a:srgbClr val="002060"/>
          </a:solidFill>
          <a:prstDash val="solid"/>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pt-PT" sz="1100"/>
        </a:p>
      </xdr:txBody>
    </xdr:sp>
    <xdr:clientData/>
  </xdr:twoCellAnchor>
  <xdr:twoCellAnchor>
    <xdr:from>
      <xdr:col>2</xdr:col>
      <xdr:colOff>66675</xdr:colOff>
      <xdr:row>3</xdr:row>
      <xdr:rowOff>38100</xdr:rowOff>
    </xdr:from>
    <xdr:to>
      <xdr:col>2</xdr:col>
      <xdr:colOff>2552700</xdr:colOff>
      <xdr:row>5</xdr:row>
      <xdr:rowOff>28575</xdr:rowOff>
    </xdr:to>
    <xdr:sp macro="" textlink="">
      <xdr:nvSpPr>
        <xdr:cNvPr id="3" name="Text Box 41">
          <a:extLst>
            <a:ext uri="{FF2B5EF4-FFF2-40B4-BE49-F238E27FC236}">
              <a16:creationId xmlns:a16="http://schemas.microsoft.com/office/drawing/2014/main" id="{65746398-4F53-4498-9DEC-17DBCE6346CD}"/>
            </a:ext>
          </a:extLst>
        </xdr:cNvPr>
        <xdr:cNvSpPr txBox="1">
          <a:spLocks noChangeArrowheads="1"/>
        </xdr:cNvSpPr>
      </xdr:nvSpPr>
      <xdr:spPr bwMode="auto">
        <a:xfrm>
          <a:off x="361950" y="752475"/>
          <a:ext cx="2486025" cy="314325"/>
        </a:xfrm>
        <a:prstGeom prst="rect">
          <a:avLst/>
        </a:prstGeom>
        <a:solidFill>
          <a:schemeClr val="bg1">
            <a:lumMod val="95000"/>
          </a:schemeClr>
        </a:solidFill>
        <a:ln w="25400" algn="ctr">
          <a:solidFill>
            <a:srgbClr val="002060"/>
          </a:solidFill>
          <a:miter lim="800000"/>
        </a:ln>
      </xdr:spPr>
      <xdr:txBody>
        <a:bodyPr wrap="square" anchor="ctr" anchorCtr="1">
          <a:noAutofit/>
        </a:bodyPr>
        <a:lstStyle>
          <a:defPPr>
            <a:defRPr lang="en-US"/>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l" eaLnBrk="1" hangingPunct="1">
            <a:lnSpc>
              <a:spcPct val="110000"/>
            </a:lnSpc>
          </a:pPr>
          <a:r>
            <a:rPr lang="pt-PT" sz="1050" b="1" i="0">
              <a:solidFill>
                <a:schemeClr val="accent1">
                  <a:lumMod val="50000"/>
                </a:schemeClr>
              </a:solidFill>
              <a:latin typeface="Segoe UI" panose="020B0502040204020203" pitchFamily="34" charset="0"/>
              <a:ea typeface="Segoe UI" panose="020B0502040204020203" pitchFamily="34" charset="0"/>
              <a:cs typeface="Segoe UI" panose="020B0502040204020203" pitchFamily="34" charset="0"/>
            </a:rPr>
            <a:t>INDICADORES SÍNTESE</a:t>
          </a:r>
        </a:p>
      </xdr:txBody>
    </xdr:sp>
    <xdr:clientData/>
  </xdr:twoCellAnchor>
  <xdr:twoCellAnchor>
    <xdr:from>
      <xdr:col>10</xdr:col>
      <xdr:colOff>28574</xdr:colOff>
      <xdr:row>4</xdr:row>
      <xdr:rowOff>57150</xdr:rowOff>
    </xdr:from>
    <xdr:to>
      <xdr:col>26</xdr:col>
      <xdr:colOff>647699</xdr:colOff>
      <xdr:row>5</xdr:row>
      <xdr:rowOff>95250</xdr:rowOff>
    </xdr:to>
    <xdr:sp macro="" textlink="">
      <xdr:nvSpPr>
        <xdr:cNvPr id="4" name="Text Box 41">
          <a:extLst>
            <a:ext uri="{FF2B5EF4-FFF2-40B4-BE49-F238E27FC236}">
              <a16:creationId xmlns:a16="http://schemas.microsoft.com/office/drawing/2014/main" id="{265C1BF8-9DA5-42D4-9730-A4115188AC36}"/>
            </a:ext>
          </a:extLst>
        </xdr:cNvPr>
        <xdr:cNvSpPr txBox="1">
          <a:spLocks noChangeArrowheads="1"/>
        </xdr:cNvSpPr>
      </xdr:nvSpPr>
      <xdr:spPr bwMode="auto">
        <a:xfrm>
          <a:off x="8382000" y="895350"/>
          <a:ext cx="8743950" cy="238125"/>
        </a:xfrm>
        <a:prstGeom prst="rect">
          <a:avLst/>
        </a:prstGeom>
        <a:solidFill>
          <a:schemeClr val="bg1">
            <a:lumMod val="95000"/>
          </a:schemeClr>
        </a:solidFill>
        <a:ln w="22225" algn="ctr">
          <a:solidFill>
            <a:schemeClr val="tx2">
              <a:lumMod val="50000"/>
            </a:schemeClr>
          </a:solidFill>
          <a:miter lim="800000"/>
        </a:ln>
        <a:effectLst/>
        <a:scene3d>
          <a:camera prst="orthographicFront">
            <a:rot lat="0" lon="0" rev="0"/>
          </a:camera>
          <a:lightRig rig="contrasting" dir="t">
            <a:rot lat="0" lon="0" rev="7800000"/>
          </a:lightRig>
        </a:scene3d>
        <a:sp3d>
          <a:bevelT w="139700" h="139700"/>
        </a:sp3d>
      </xdr:spPr>
      <xdr:txBody>
        <a:bodyPr wrap="square" anchor="ctr" anchorCtr="1">
          <a:noAutofit/>
        </a:bodyPr>
        <a:lstStyle>
          <a:defPPr>
            <a:defRPr lang="en-US"/>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eaLnBrk="1" hangingPunct="1">
            <a:lnSpc>
              <a:spcPct val="110000"/>
            </a:lnSpc>
          </a:pPr>
          <a:r>
            <a:rPr lang="pt-PT" sz="1100" b="1" i="0" baseline="0">
              <a:solidFill>
                <a:schemeClr val="accent1">
                  <a:lumMod val="50000"/>
                </a:schemeClr>
              </a:solidFill>
              <a:latin typeface="Segoe UI" panose="020B0502040204020203" pitchFamily="34" charset="0"/>
              <a:ea typeface="Verdana" pitchFamily="34" charset="0"/>
              <a:cs typeface="Segoe UI" panose="020B0502040204020203" pitchFamily="34" charset="0"/>
            </a:rPr>
            <a:t>Gráficos Sectoriais dos Indicadores Económicos &amp; Financeiros</a:t>
          </a:r>
          <a:endParaRPr lang="pt-PT" sz="1100" b="1" i="0">
            <a:solidFill>
              <a:schemeClr val="accent1">
                <a:lumMod val="50000"/>
              </a:schemeClr>
            </a:solidFill>
            <a:latin typeface="Segoe UI" panose="020B0502040204020203" pitchFamily="34" charset="0"/>
            <a:ea typeface="Verdana" pitchFamily="34" charset="0"/>
            <a:cs typeface="Segoe UI" panose="020B0502040204020203" pitchFamily="34" charset="0"/>
          </a:endParaRPr>
        </a:p>
      </xdr:txBody>
    </xdr:sp>
    <xdr:clientData/>
  </xdr:twoCellAnchor>
  <xdr:twoCellAnchor>
    <xdr:from>
      <xdr:col>10</xdr:col>
      <xdr:colOff>0</xdr:colOff>
      <xdr:row>6</xdr:row>
      <xdr:rowOff>0</xdr:rowOff>
    </xdr:from>
    <xdr:to>
      <xdr:col>27</xdr:col>
      <xdr:colOff>11904</xdr:colOff>
      <xdr:row>77</xdr:row>
      <xdr:rowOff>0</xdr:rowOff>
    </xdr:to>
    <xdr:sp macro="" textlink="">
      <xdr:nvSpPr>
        <xdr:cNvPr id="5" name="TextBox 94">
          <a:extLst>
            <a:ext uri="{FF2B5EF4-FFF2-40B4-BE49-F238E27FC236}">
              <a16:creationId xmlns:a16="http://schemas.microsoft.com/office/drawing/2014/main" id="{289E16A3-8DBF-4B11-A690-DE131AA1AC04}"/>
            </a:ext>
          </a:extLst>
        </xdr:cNvPr>
        <xdr:cNvSpPr txBox="1">
          <a:spLocks noChangeArrowheads="1"/>
        </xdr:cNvSpPr>
      </xdr:nvSpPr>
      <xdr:spPr bwMode="auto">
        <a:xfrm flipH="1">
          <a:off x="8353425" y="1285875"/>
          <a:ext cx="8782050" cy="13582650"/>
        </a:xfrm>
        <a:prstGeom prst="rect">
          <a:avLst/>
        </a:prstGeom>
        <a:noFill/>
        <a:ln w="9525">
          <a:solidFill>
            <a:srgbClr val="1F497D"/>
          </a:solidFill>
          <a:prstDash val="sysDash"/>
          <a:miter lim="800000"/>
        </a:ln>
        <a:extLst>
          <a:ext uri="{909E8E84-426E-40DD-AFC4-6F175D3DCCD1}">
            <a14:hiddenFill xmlns:a14="http://schemas.microsoft.com/office/drawing/2010/main">
              <a:solidFill>
                <a:srgbClr val="FFFFFF"/>
              </a:solidFill>
            </a14:hiddenFill>
          </a:ext>
        </a:extLst>
      </xdr:spPr>
      <xdr:txBody>
        <a:bodyPr wrap="square">
          <a:noAutofit/>
        </a:bodyPr>
        <a:lstStyle>
          <a:defPPr>
            <a:defRPr lang="en-US"/>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marR="0" lvl="0" indent="0" algn="l" defTabSz="914400" rtl="0" eaLnBrk="1" fontAlgn="base" latinLnBrk="0" hangingPunct="1">
            <a:lnSpc>
              <a:spcPct val="100000"/>
            </a:lnSpc>
            <a:spcBef>
              <a:spcPct val="0"/>
            </a:spcBef>
            <a:spcAft>
              <a:spcPct val="0"/>
            </a:spcAft>
            <a:buClrTx/>
            <a:buSzTx/>
            <a:buFontTx/>
            <a:buNone/>
          </a:pPr>
          <a:endParaRPr kumimoji="0" lang="en-US" sz="900" b="0" i="0" u="none" kern="1200" spc="0" baseline="0">
            <a:ln>
              <a:noFill/>
            </a:ln>
            <a:solidFill>
              <a:srgbClr val="002774"/>
            </a:solidFill>
            <a:effectLst/>
            <a:latin typeface="Arial" charset="0"/>
            <a:ea typeface="+mn-ea"/>
            <a:cs typeface="Arial" charset="0"/>
          </a:endParaRPr>
        </a:p>
      </xdr:txBody>
    </xdr:sp>
    <xdr:clientData/>
  </xdr:twoCellAnchor>
  <xdr:twoCellAnchor>
    <xdr:from>
      <xdr:col>10</xdr:col>
      <xdr:colOff>14287</xdr:colOff>
      <xdr:row>65</xdr:row>
      <xdr:rowOff>19049</xdr:rowOff>
    </xdr:from>
    <xdr:to>
      <xdr:col>14</xdr:col>
      <xdr:colOff>619125</xdr:colOff>
      <xdr:row>76</xdr:row>
      <xdr:rowOff>161924</xdr:rowOff>
    </xdr:to>
    <xdr:graphicFrame macro="">
      <xdr:nvGraphicFramePr>
        <xdr:cNvPr id="8" name="Gráfico 7">
          <a:extLst>
            <a:ext uri="{FF2B5EF4-FFF2-40B4-BE49-F238E27FC236}">
              <a16:creationId xmlns:a16="http://schemas.microsoft.com/office/drawing/2014/main" id="{35B60D47-E65E-4521-927C-A9560CE41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17858</xdr:colOff>
      <xdr:row>8</xdr:row>
      <xdr:rowOff>23813</xdr:rowOff>
    </xdr:from>
    <xdr:to>
      <xdr:col>14</xdr:col>
      <xdr:colOff>631031</xdr:colOff>
      <xdr:row>19</xdr:row>
      <xdr:rowOff>154781</xdr:rowOff>
    </xdr:to>
    <xdr:graphicFrame macro="">
      <xdr:nvGraphicFramePr>
        <xdr:cNvPr id="17" name="Gráfico 16">
          <a:extLst>
            <a:ext uri="{FF2B5EF4-FFF2-40B4-BE49-F238E27FC236}">
              <a16:creationId xmlns:a16="http://schemas.microsoft.com/office/drawing/2014/main" id="{487D1AA7-D63A-4496-A089-352EEB64CB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35719</xdr:colOff>
      <xdr:row>8</xdr:row>
      <xdr:rowOff>11906</xdr:rowOff>
    </xdr:from>
    <xdr:to>
      <xdr:col>21</xdr:col>
      <xdr:colOff>0</xdr:colOff>
      <xdr:row>19</xdr:row>
      <xdr:rowOff>166687</xdr:rowOff>
    </xdr:to>
    <xdr:graphicFrame macro="">
      <xdr:nvGraphicFramePr>
        <xdr:cNvPr id="18" name="Gráfico 17">
          <a:extLst>
            <a:ext uri="{FF2B5EF4-FFF2-40B4-BE49-F238E27FC236}">
              <a16:creationId xmlns:a16="http://schemas.microsoft.com/office/drawing/2014/main" id="{2C96E4A0-B541-4B95-897D-8DED095143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23813</xdr:colOff>
      <xdr:row>8</xdr:row>
      <xdr:rowOff>11907</xdr:rowOff>
    </xdr:from>
    <xdr:to>
      <xdr:col>26</xdr:col>
      <xdr:colOff>581025</xdr:colOff>
      <xdr:row>19</xdr:row>
      <xdr:rowOff>142875</xdr:rowOff>
    </xdr:to>
    <xdr:graphicFrame macro="">
      <xdr:nvGraphicFramePr>
        <xdr:cNvPr id="19" name="Gráfico 18">
          <a:extLst>
            <a:ext uri="{FF2B5EF4-FFF2-40B4-BE49-F238E27FC236}">
              <a16:creationId xmlns:a16="http://schemas.microsoft.com/office/drawing/2014/main" id="{98B93B34-9C40-4435-93A0-E022A3A8A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35719</xdr:colOff>
      <xdr:row>22</xdr:row>
      <xdr:rowOff>47625</xdr:rowOff>
    </xdr:from>
    <xdr:to>
      <xdr:col>26</xdr:col>
      <xdr:colOff>595313</xdr:colOff>
      <xdr:row>34</xdr:row>
      <xdr:rowOff>154781</xdr:rowOff>
    </xdr:to>
    <xdr:graphicFrame macro="">
      <xdr:nvGraphicFramePr>
        <xdr:cNvPr id="20" name="Gráfico 19">
          <a:extLst>
            <a:ext uri="{FF2B5EF4-FFF2-40B4-BE49-F238E27FC236}">
              <a16:creationId xmlns:a16="http://schemas.microsoft.com/office/drawing/2014/main" id="{B66F0212-EBDD-4BBB-AAAB-91D8FCF456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11905</xdr:colOff>
      <xdr:row>22</xdr:row>
      <xdr:rowOff>47625</xdr:rowOff>
    </xdr:from>
    <xdr:to>
      <xdr:col>20</xdr:col>
      <xdr:colOff>607218</xdr:colOff>
      <xdr:row>34</xdr:row>
      <xdr:rowOff>154781</xdr:rowOff>
    </xdr:to>
    <xdr:graphicFrame macro="">
      <xdr:nvGraphicFramePr>
        <xdr:cNvPr id="21" name="Gráfico 20">
          <a:extLst>
            <a:ext uri="{FF2B5EF4-FFF2-40B4-BE49-F238E27FC236}">
              <a16:creationId xmlns:a16="http://schemas.microsoft.com/office/drawing/2014/main" id="{CC9EBB6B-D787-46D9-9D71-2620B587A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59532</xdr:colOff>
      <xdr:row>22</xdr:row>
      <xdr:rowOff>35719</xdr:rowOff>
    </xdr:from>
    <xdr:to>
      <xdr:col>14</xdr:col>
      <xdr:colOff>581024</xdr:colOff>
      <xdr:row>34</xdr:row>
      <xdr:rowOff>154781</xdr:rowOff>
    </xdr:to>
    <xdr:graphicFrame macro="">
      <xdr:nvGraphicFramePr>
        <xdr:cNvPr id="22" name="Gráfico 21">
          <a:extLst>
            <a:ext uri="{FF2B5EF4-FFF2-40B4-BE49-F238E27FC236}">
              <a16:creationId xmlns:a16="http://schemas.microsoft.com/office/drawing/2014/main" id="{6EC01F74-47E6-4273-B1C7-16C18ADF59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59532</xdr:colOff>
      <xdr:row>37</xdr:row>
      <xdr:rowOff>59531</xdr:rowOff>
    </xdr:from>
    <xdr:to>
      <xdr:col>15</xdr:col>
      <xdr:colOff>0</xdr:colOff>
      <xdr:row>48</xdr:row>
      <xdr:rowOff>178594</xdr:rowOff>
    </xdr:to>
    <xdr:graphicFrame macro="">
      <xdr:nvGraphicFramePr>
        <xdr:cNvPr id="23" name="Gráfico 22">
          <a:extLst>
            <a:ext uri="{FF2B5EF4-FFF2-40B4-BE49-F238E27FC236}">
              <a16:creationId xmlns:a16="http://schemas.microsoft.com/office/drawing/2014/main" id="{63DA803F-ACBE-423B-B48A-E7605D272C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35718</xdr:colOff>
      <xdr:row>37</xdr:row>
      <xdr:rowOff>11906</xdr:rowOff>
    </xdr:from>
    <xdr:to>
      <xdr:col>20</xdr:col>
      <xdr:colOff>619125</xdr:colOff>
      <xdr:row>48</xdr:row>
      <xdr:rowOff>130969</xdr:rowOff>
    </xdr:to>
    <xdr:graphicFrame macro="">
      <xdr:nvGraphicFramePr>
        <xdr:cNvPr id="24" name="Gráfico 23">
          <a:extLst>
            <a:ext uri="{FF2B5EF4-FFF2-40B4-BE49-F238E27FC236}">
              <a16:creationId xmlns:a16="http://schemas.microsoft.com/office/drawing/2014/main" id="{49AB73B7-5AB7-4AF7-A923-31D600E29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83343</xdr:colOff>
      <xdr:row>37</xdr:row>
      <xdr:rowOff>47625</xdr:rowOff>
    </xdr:from>
    <xdr:to>
      <xdr:col>26</xdr:col>
      <xdr:colOff>631031</xdr:colOff>
      <xdr:row>48</xdr:row>
      <xdr:rowOff>166688</xdr:rowOff>
    </xdr:to>
    <xdr:graphicFrame macro="">
      <xdr:nvGraphicFramePr>
        <xdr:cNvPr id="25" name="Gráfico 24">
          <a:extLst>
            <a:ext uri="{FF2B5EF4-FFF2-40B4-BE49-F238E27FC236}">
              <a16:creationId xmlns:a16="http://schemas.microsoft.com/office/drawing/2014/main" id="{32E28D2A-38AA-4784-9206-EF23189E46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35719</xdr:colOff>
      <xdr:row>51</xdr:row>
      <xdr:rowOff>35719</xdr:rowOff>
    </xdr:from>
    <xdr:to>
      <xdr:col>26</xdr:col>
      <xdr:colOff>607218</xdr:colOff>
      <xdr:row>62</xdr:row>
      <xdr:rowOff>142874</xdr:rowOff>
    </xdr:to>
    <xdr:graphicFrame macro="">
      <xdr:nvGraphicFramePr>
        <xdr:cNvPr id="26" name="Gráfico 25">
          <a:extLst>
            <a:ext uri="{FF2B5EF4-FFF2-40B4-BE49-F238E27FC236}">
              <a16:creationId xmlns:a16="http://schemas.microsoft.com/office/drawing/2014/main" id="{3BFB353F-2284-4291-AA82-96A565189A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83343</xdr:colOff>
      <xdr:row>51</xdr:row>
      <xdr:rowOff>23813</xdr:rowOff>
    </xdr:from>
    <xdr:to>
      <xdr:col>20</xdr:col>
      <xdr:colOff>607219</xdr:colOff>
      <xdr:row>62</xdr:row>
      <xdr:rowOff>154781</xdr:rowOff>
    </xdr:to>
    <xdr:graphicFrame macro="">
      <xdr:nvGraphicFramePr>
        <xdr:cNvPr id="27" name="Gráfico 26">
          <a:extLst>
            <a:ext uri="{FF2B5EF4-FFF2-40B4-BE49-F238E27FC236}">
              <a16:creationId xmlns:a16="http://schemas.microsoft.com/office/drawing/2014/main" id="{B6EC61C8-EFE8-4DE1-A73E-F345418D2D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71438</xdr:colOff>
      <xdr:row>51</xdr:row>
      <xdr:rowOff>23813</xdr:rowOff>
    </xdr:from>
    <xdr:to>
      <xdr:col>15</xdr:col>
      <xdr:colOff>1</xdr:colOff>
      <xdr:row>62</xdr:row>
      <xdr:rowOff>154781</xdr:rowOff>
    </xdr:to>
    <xdr:graphicFrame macro="">
      <xdr:nvGraphicFramePr>
        <xdr:cNvPr id="28" name="Gráfico 27">
          <a:extLst>
            <a:ext uri="{FF2B5EF4-FFF2-40B4-BE49-F238E27FC236}">
              <a16:creationId xmlns:a16="http://schemas.microsoft.com/office/drawing/2014/main" id="{A7E71A8A-9B85-4DDD-9F7E-092BDDF117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23811</xdr:colOff>
      <xdr:row>65</xdr:row>
      <xdr:rowOff>35718</xdr:rowOff>
    </xdr:from>
    <xdr:to>
      <xdr:col>26</xdr:col>
      <xdr:colOff>619124</xdr:colOff>
      <xdr:row>76</xdr:row>
      <xdr:rowOff>154780</xdr:rowOff>
    </xdr:to>
    <xdr:graphicFrame macro="">
      <xdr:nvGraphicFramePr>
        <xdr:cNvPr id="29" name="Gráfico 28">
          <a:extLst>
            <a:ext uri="{FF2B5EF4-FFF2-40B4-BE49-F238E27FC236}">
              <a16:creationId xmlns:a16="http://schemas.microsoft.com/office/drawing/2014/main" id="{BE406481-C74E-4E76-BB8A-73C9D9372D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35717</xdr:colOff>
      <xdr:row>65</xdr:row>
      <xdr:rowOff>35719</xdr:rowOff>
    </xdr:from>
    <xdr:to>
      <xdr:col>20</xdr:col>
      <xdr:colOff>619124</xdr:colOff>
      <xdr:row>76</xdr:row>
      <xdr:rowOff>166688</xdr:rowOff>
    </xdr:to>
    <xdr:graphicFrame macro="">
      <xdr:nvGraphicFramePr>
        <xdr:cNvPr id="30" name="Gráfico 29">
          <a:extLst>
            <a:ext uri="{FF2B5EF4-FFF2-40B4-BE49-F238E27FC236}">
              <a16:creationId xmlns:a16="http://schemas.microsoft.com/office/drawing/2014/main" id="{AB812189-B30B-48C1-8AFA-F5484F116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0</xdr:colOff>
      <xdr:row>57</xdr:row>
      <xdr:rowOff>11906</xdr:rowOff>
    </xdr:from>
    <xdr:to>
      <xdr:col>3</xdr:col>
      <xdr:colOff>2257</xdr:colOff>
      <xdr:row>64</xdr:row>
      <xdr:rowOff>27573</xdr:rowOff>
    </xdr:to>
    <xdr:graphicFrame macro="">
      <xdr:nvGraphicFramePr>
        <xdr:cNvPr id="33" name="Gráfico 32">
          <a:extLst>
            <a:ext uri="{FF2B5EF4-FFF2-40B4-BE49-F238E27FC236}">
              <a16:creationId xmlns:a16="http://schemas.microsoft.com/office/drawing/2014/main" id="{0E4E2AD2-AFDF-4E48-A043-8F22F8D55B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25137</xdr:colOff>
      <xdr:row>57</xdr:row>
      <xdr:rowOff>169332</xdr:rowOff>
    </xdr:from>
    <xdr:to>
      <xdr:col>4</xdr:col>
      <xdr:colOff>1026585</xdr:colOff>
      <xdr:row>63</xdr:row>
      <xdr:rowOff>159865</xdr:rowOff>
    </xdr:to>
    <xdr:graphicFrame macro="">
      <xdr:nvGraphicFramePr>
        <xdr:cNvPr id="9" name="Gráfico 8">
          <a:extLst>
            <a:ext uri="{FF2B5EF4-FFF2-40B4-BE49-F238E27FC236}">
              <a16:creationId xmlns:a16="http://schemas.microsoft.com/office/drawing/2014/main" id="{07C3D8F8-235D-46F0-B298-B941A64C8B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31750</xdr:colOff>
      <xdr:row>57</xdr:row>
      <xdr:rowOff>179915</xdr:rowOff>
    </xdr:from>
    <xdr:to>
      <xdr:col>6</xdr:col>
      <xdr:colOff>6699</xdr:colOff>
      <xdr:row>63</xdr:row>
      <xdr:rowOff>158750</xdr:rowOff>
    </xdr:to>
    <xdr:graphicFrame macro="">
      <xdr:nvGraphicFramePr>
        <xdr:cNvPr id="10" name="Gráfico 9">
          <a:extLst>
            <a:ext uri="{FF2B5EF4-FFF2-40B4-BE49-F238E27FC236}">
              <a16:creationId xmlns:a16="http://schemas.microsoft.com/office/drawing/2014/main" id="{6B0E0433-B591-444E-A13E-2C04F2778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35720</xdr:colOff>
      <xdr:row>57</xdr:row>
      <xdr:rowOff>169333</xdr:rowOff>
    </xdr:from>
    <xdr:to>
      <xdr:col>6</xdr:col>
      <xdr:colOff>1005418</xdr:colOff>
      <xdr:row>63</xdr:row>
      <xdr:rowOff>158750</xdr:rowOff>
    </xdr:to>
    <xdr:graphicFrame macro="">
      <xdr:nvGraphicFramePr>
        <xdr:cNvPr id="11" name="Gráfico 10">
          <a:extLst>
            <a:ext uri="{FF2B5EF4-FFF2-40B4-BE49-F238E27FC236}">
              <a16:creationId xmlns:a16="http://schemas.microsoft.com/office/drawing/2014/main" id="{038859ED-9438-48D3-84F3-61C6A0D923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35719</xdr:colOff>
      <xdr:row>57</xdr:row>
      <xdr:rowOff>158749</xdr:rowOff>
    </xdr:from>
    <xdr:to>
      <xdr:col>8</xdr:col>
      <xdr:colOff>0</xdr:colOff>
      <xdr:row>63</xdr:row>
      <xdr:rowOff>158750</xdr:rowOff>
    </xdr:to>
    <xdr:graphicFrame macro="">
      <xdr:nvGraphicFramePr>
        <xdr:cNvPr id="32" name="Gráfico 31">
          <a:extLst>
            <a:ext uri="{FF2B5EF4-FFF2-40B4-BE49-F238E27FC236}">
              <a16:creationId xmlns:a16="http://schemas.microsoft.com/office/drawing/2014/main" id="{379AE93A-85A7-4206-A7FC-2A37572E1C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xdr:col>
      <xdr:colOff>47625</xdr:colOff>
      <xdr:row>57</xdr:row>
      <xdr:rowOff>158750</xdr:rowOff>
    </xdr:from>
    <xdr:to>
      <xdr:col>8</xdr:col>
      <xdr:colOff>1037167</xdr:colOff>
      <xdr:row>63</xdr:row>
      <xdr:rowOff>170448</xdr:rowOff>
    </xdr:to>
    <xdr:graphicFrame macro="">
      <xdr:nvGraphicFramePr>
        <xdr:cNvPr id="34" name="Gráfico 33">
          <a:extLst>
            <a:ext uri="{FF2B5EF4-FFF2-40B4-BE49-F238E27FC236}">
              <a16:creationId xmlns:a16="http://schemas.microsoft.com/office/drawing/2014/main" id="{170DB0C7-8EBD-43D2-B266-3782F756C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lha3">
    <tabColor theme="9" tint="0.39997558519241921"/>
  </sheetPr>
  <dimension ref="A1:G30"/>
  <sheetViews>
    <sheetView workbookViewId="0">
      <pane xSplit="2" ySplit="5" topLeftCell="D6" activePane="bottomRight" state="frozen"/>
      <selection activeCell="E8" sqref="E8"/>
      <selection pane="topRight" activeCell="E8" sqref="E8"/>
      <selection pane="bottomLeft" activeCell="E8" sqref="E8"/>
      <selection pane="bottomRight" activeCell="B11" sqref="B11"/>
    </sheetView>
  </sheetViews>
  <sheetFormatPr defaultRowHeight="15" x14ac:dyDescent="0.25"/>
  <cols>
    <col min="1" max="1" width="2.5703125" style="5" customWidth="1"/>
    <col min="2" max="2" width="39.140625" style="5" customWidth="1"/>
    <col min="3" max="3" width="78.28515625" style="2" customWidth="1"/>
    <col min="4" max="4" width="41.5703125" style="4" bestFit="1" customWidth="1"/>
    <col min="5" max="5" width="25.140625" style="4" bestFit="1" customWidth="1"/>
    <col min="6" max="6" width="73" style="2" customWidth="1"/>
    <col min="7" max="206" width="9.140625" style="2"/>
    <col min="207" max="207" width="3.28515625" style="2" customWidth="1"/>
    <col min="208" max="208" width="48.28515625" style="2" customWidth="1"/>
    <col min="209" max="209" width="9.140625" style="2"/>
    <col min="210" max="210" width="17.85546875" style="2" customWidth="1"/>
    <col min="211" max="211" width="21" style="2" customWidth="1"/>
    <col min="212" max="212" width="1.85546875" style="2" customWidth="1"/>
    <col min="213" max="214" width="18.5703125" style="2" bestFit="1" customWidth="1"/>
    <col min="215" max="216" width="9.140625" style="2"/>
    <col min="217" max="217" width="14.28515625" style="2" bestFit="1" customWidth="1"/>
    <col min="218" max="462" width="9.140625" style="2"/>
    <col min="463" max="463" width="3.28515625" style="2" customWidth="1"/>
    <col min="464" max="464" width="48.28515625" style="2" customWidth="1"/>
    <col min="465" max="465" width="9.140625" style="2"/>
    <col min="466" max="466" width="17.85546875" style="2" customWidth="1"/>
    <col min="467" max="467" width="21" style="2" customWidth="1"/>
    <col min="468" max="468" width="1.85546875" style="2" customWidth="1"/>
    <col min="469" max="470" width="18.5703125" style="2" bestFit="1" customWidth="1"/>
    <col min="471" max="472" width="9.140625" style="2"/>
    <col min="473" max="473" width="14.28515625" style="2" bestFit="1" customWidth="1"/>
    <col min="474" max="718" width="9.140625" style="2"/>
    <col min="719" max="719" width="3.28515625" style="2" customWidth="1"/>
    <col min="720" max="720" width="48.28515625" style="2" customWidth="1"/>
    <col min="721" max="721" width="9.140625" style="2"/>
    <col min="722" max="722" width="17.85546875" style="2" customWidth="1"/>
    <col min="723" max="723" width="21" style="2" customWidth="1"/>
    <col min="724" max="724" width="1.85546875" style="2" customWidth="1"/>
    <col min="725" max="726" width="18.5703125" style="2" bestFit="1" customWidth="1"/>
    <col min="727" max="728" width="9.140625" style="2"/>
    <col min="729" max="729" width="14.28515625" style="2" bestFit="1" customWidth="1"/>
    <col min="730" max="974" width="9.140625" style="2"/>
    <col min="975" max="975" width="3.28515625" style="2" customWidth="1"/>
    <col min="976" max="976" width="48.28515625" style="2" customWidth="1"/>
    <col min="977" max="977" width="9.140625" style="2"/>
    <col min="978" max="978" width="17.85546875" style="2" customWidth="1"/>
    <col min="979" max="979" width="21" style="2" customWidth="1"/>
    <col min="980" max="980" width="1.85546875" style="2" customWidth="1"/>
    <col min="981" max="982" width="18.5703125" style="2" bestFit="1" customWidth="1"/>
    <col min="983" max="984" width="9.140625" style="2"/>
    <col min="985" max="985" width="14.28515625" style="2" bestFit="1" customWidth="1"/>
    <col min="986" max="1230" width="9.140625" style="2"/>
    <col min="1231" max="1231" width="3.28515625" style="2" customWidth="1"/>
    <col min="1232" max="1232" width="48.28515625" style="2" customWidth="1"/>
    <col min="1233" max="1233" width="9.140625" style="2"/>
    <col min="1234" max="1234" width="17.85546875" style="2" customWidth="1"/>
    <col min="1235" max="1235" width="21" style="2" customWidth="1"/>
    <col min="1236" max="1236" width="1.85546875" style="2" customWidth="1"/>
    <col min="1237" max="1238" width="18.5703125" style="2" bestFit="1" customWidth="1"/>
    <col min="1239" max="1240" width="9.140625" style="2"/>
    <col min="1241" max="1241" width="14.28515625" style="2" bestFit="1" customWidth="1"/>
    <col min="1242" max="1486" width="9.140625" style="2"/>
    <col min="1487" max="1487" width="3.28515625" style="2" customWidth="1"/>
    <col min="1488" max="1488" width="48.28515625" style="2" customWidth="1"/>
    <col min="1489" max="1489" width="9.140625" style="2"/>
    <col min="1490" max="1490" width="17.85546875" style="2" customWidth="1"/>
    <col min="1491" max="1491" width="21" style="2" customWidth="1"/>
    <col min="1492" max="1492" width="1.85546875" style="2" customWidth="1"/>
    <col min="1493" max="1494" width="18.5703125" style="2" bestFit="1" customWidth="1"/>
    <col min="1495" max="1496" width="9.140625" style="2"/>
    <col min="1497" max="1497" width="14.28515625" style="2" bestFit="1" customWidth="1"/>
    <col min="1498" max="1742" width="9.140625" style="2"/>
    <col min="1743" max="1743" width="3.28515625" style="2" customWidth="1"/>
    <col min="1744" max="1744" width="48.28515625" style="2" customWidth="1"/>
    <col min="1745" max="1745" width="9.140625" style="2"/>
    <col min="1746" max="1746" width="17.85546875" style="2" customWidth="1"/>
    <col min="1747" max="1747" width="21" style="2" customWidth="1"/>
    <col min="1748" max="1748" width="1.85546875" style="2" customWidth="1"/>
    <col min="1749" max="1750" width="18.5703125" style="2" bestFit="1" customWidth="1"/>
    <col min="1751" max="1752" width="9.140625" style="2"/>
    <col min="1753" max="1753" width="14.28515625" style="2" bestFit="1" customWidth="1"/>
    <col min="1754" max="1998" width="9.140625" style="2"/>
    <col min="1999" max="1999" width="3.28515625" style="2" customWidth="1"/>
    <col min="2000" max="2000" width="48.28515625" style="2" customWidth="1"/>
    <col min="2001" max="2001" width="9.140625" style="2"/>
    <col min="2002" max="2002" width="17.85546875" style="2" customWidth="1"/>
    <col min="2003" max="2003" width="21" style="2" customWidth="1"/>
    <col min="2004" max="2004" width="1.85546875" style="2" customWidth="1"/>
    <col min="2005" max="2006" width="18.5703125" style="2" bestFit="1" customWidth="1"/>
    <col min="2007" max="2008" width="9.140625" style="2"/>
    <col min="2009" max="2009" width="14.28515625" style="2" bestFit="1" customWidth="1"/>
    <col min="2010" max="2254" width="9.140625" style="2"/>
    <col min="2255" max="2255" width="3.28515625" style="2" customWidth="1"/>
    <col min="2256" max="2256" width="48.28515625" style="2" customWidth="1"/>
    <col min="2257" max="2257" width="9.140625" style="2"/>
    <col min="2258" max="2258" width="17.85546875" style="2" customWidth="1"/>
    <col min="2259" max="2259" width="21" style="2" customWidth="1"/>
    <col min="2260" max="2260" width="1.85546875" style="2" customWidth="1"/>
    <col min="2261" max="2262" width="18.5703125" style="2" bestFit="1" customWidth="1"/>
    <col min="2263" max="2264" width="9.140625" style="2"/>
    <col min="2265" max="2265" width="14.28515625" style="2" bestFit="1" customWidth="1"/>
    <col min="2266" max="2510" width="9.140625" style="2"/>
    <col min="2511" max="2511" width="3.28515625" style="2" customWidth="1"/>
    <col min="2512" max="2512" width="48.28515625" style="2" customWidth="1"/>
    <col min="2513" max="2513" width="9.140625" style="2"/>
    <col min="2514" max="2514" width="17.85546875" style="2" customWidth="1"/>
    <col min="2515" max="2515" width="21" style="2" customWidth="1"/>
    <col min="2516" max="2516" width="1.85546875" style="2" customWidth="1"/>
    <col min="2517" max="2518" width="18.5703125" style="2" bestFit="1" customWidth="1"/>
    <col min="2519" max="2520" width="9.140625" style="2"/>
    <col min="2521" max="2521" width="14.28515625" style="2" bestFit="1" customWidth="1"/>
    <col min="2522" max="2766" width="9.140625" style="2"/>
    <col min="2767" max="2767" width="3.28515625" style="2" customWidth="1"/>
    <col min="2768" max="2768" width="48.28515625" style="2" customWidth="1"/>
    <col min="2769" max="2769" width="9.140625" style="2"/>
    <col min="2770" max="2770" width="17.85546875" style="2" customWidth="1"/>
    <col min="2771" max="2771" width="21" style="2" customWidth="1"/>
    <col min="2772" max="2772" width="1.85546875" style="2" customWidth="1"/>
    <col min="2773" max="2774" width="18.5703125" style="2" bestFit="1" customWidth="1"/>
    <col min="2775" max="2776" width="9.140625" style="2"/>
    <col min="2777" max="2777" width="14.28515625" style="2" bestFit="1" customWidth="1"/>
    <col min="2778" max="3022" width="9.140625" style="2"/>
    <col min="3023" max="3023" width="3.28515625" style="2" customWidth="1"/>
    <col min="3024" max="3024" width="48.28515625" style="2" customWidth="1"/>
    <col min="3025" max="3025" width="9.140625" style="2"/>
    <col min="3026" max="3026" width="17.85546875" style="2" customWidth="1"/>
    <col min="3027" max="3027" width="21" style="2" customWidth="1"/>
    <col min="3028" max="3028" width="1.85546875" style="2" customWidth="1"/>
    <col min="3029" max="3030" width="18.5703125" style="2" bestFit="1" customWidth="1"/>
    <col min="3031" max="3032" width="9.140625" style="2"/>
    <col min="3033" max="3033" width="14.28515625" style="2" bestFit="1" customWidth="1"/>
    <col min="3034" max="3278" width="9.140625" style="2"/>
    <col min="3279" max="3279" width="3.28515625" style="2" customWidth="1"/>
    <col min="3280" max="3280" width="48.28515625" style="2" customWidth="1"/>
    <col min="3281" max="3281" width="9.140625" style="2"/>
    <col min="3282" max="3282" width="17.85546875" style="2" customWidth="1"/>
    <col min="3283" max="3283" width="21" style="2" customWidth="1"/>
    <col min="3284" max="3284" width="1.85546875" style="2" customWidth="1"/>
    <col min="3285" max="3286" width="18.5703125" style="2" bestFit="1" customWidth="1"/>
    <col min="3287" max="3288" width="9.140625" style="2"/>
    <col min="3289" max="3289" width="14.28515625" style="2" bestFit="1" customWidth="1"/>
    <col min="3290" max="3534" width="9.140625" style="2"/>
    <col min="3535" max="3535" width="3.28515625" style="2" customWidth="1"/>
    <col min="3536" max="3536" width="48.28515625" style="2" customWidth="1"/>
    <col min="3537" max="3537" width="9.140625" style="2"/>
    <col min="3538" max="3538" width="17.85546875" style="2" customWidth="1"/>
    <col min="3539" max="3539" width="21" style="2" customWidth="1"/>
    <col min="3540" max="3540" width="1.85546875" style="2" customWidth="1"/>
    <col min="3541" max="3542" width="18.5703125" style="2" bestFit="1" customWidth="1"/>
    <col min="3543" max="3544" width="9.140625" style="2"/>
    <col min="3545" max="3545" width="14.28515625" style="2" bestFit="1" customWidth="1"/>
    <col min="3546" max="3790" width="9.140625" style="2"/>
    <col min="3791" max="3791" width="3.28515625" style="2" customWidth="1"/>
    <col min="3792" max="3792" width="48.28515625" style="2" customWidth="1"/>
    <col min="3793" max="3793" width="9.140625" style="2"/>
    <col min="3794" max="3794" width="17.85546875" style="2" customWidth="1"/>
    <col min="3795" max="3795" width="21" style="2" customWidth="1"/>
    <col min="3796" max="3796" width="1.85546875" style="2" customWidth="1"/>
    <col min="3797" max="3798" width="18.5703125" style="2" bestFit="1" customWidth="1"/>
    <col min="3799" max="3800" width="9.140625" style="2"/>
    <col min="3801" max="3801" width="14.28515625" style="2" bestFit="1" customWidth="1"/>
    <col min="3802" max="4046" width="9.140625" style="2"/>
    <col min="4047" max="4047" width="3.28515625" style="2" customWidth="1"/>
    <col min="4048" max="4048" width="48.28515625" style="2" customWidth="1"/>
    <col min="4049" max="4049" width="9.140625" style="2"/>
    <col min="4050" max="4050" width="17.85546875" style="2" customWidth="1"/>
    <col min="4051" max="4051" width="21" style="2" customWidth="1"/>
    <col min="4052" max="4052" width="1.85546875" style="2" customWidth="1"/>
    <col min="4053" max="4054" width="18.5703125" style="2" bestFit="1" customWidth="1"/>
    <col min="4055" max="4056" width="9.140625" style="2"/>
    <col min="4057" max="4057" width="14.28515625" style="2" bestFit="1" customWidth="1"/>
    <col min="4058" max="4302" width="9.140625" style="2"/>
    <col min="4303" max="4303" width="3.28515625" style="2" customWidth="1"/>
    <col min="4304" max="4304" width="48.28515625" style="2" customWidth="1"/>
    <col min="4305" max="4305" width="9.140625" style="2"/>
    <col min="4306" max="4306" width="17.85546875" style="2" customWidth="1"/>
    <col min="4307" max="4307" width="21" style="2" customWidth="1"/>
    <col min="4308" max="4308" width="1.85546875" style="2" customWidth="1"/>
    <col min="4309" max="4310" width="18.5703125" style="2" bestFit="1" customWidth="1"/>
    <col min="4311" max="4312" width="9.140625" style="2"/>
    <col min="4313" max="4313" width="14.28515625" style="2" bestFit="1" customWidth="1"/>
    <col min="4314" max="4558" width="9.140625" style="2"/>
    <col min="4559" max="4559" width="3.28515625" style="2" customWidth="1"/>
    <col min="4560" max="4560" width="48.28515625" style="2" customWidth="1"/>
    <col min="4561" max="4561" width="9.140625" style="2"/>
    <col min="4562" max="4562" width="17.85546875" style="2" customWidth="1"/>
    <col min="4563" max="4563" width="21" style="2" customWidth="1"/>
    <col min="4564" max="4564" width="1.85546875" style="2" customWidth="1"/>
    <col min="4565" max="4566" width="18.5703125" style="2" bestFit="1" customWidth="1"/>
    <col min="4567" max="4568" width="9.140625" style="2"/>
    <col min="4569" max="4569" width="14.28515625" style="2" bestFit="1" customWidth="1"/>
    <col min="4570" max="4814" width="9.140625" style="2"/>
    <col min="4815" max="4815" width="3.28515625" style="2" customWidth="1"/>
    <col min="4816" max="4816" width="48.28515625" style="2" customWidth="1"/>
    <col min="4817" max="4817" width="9.140625" style="2"/>
    <col min="4818" max="4818" width="17.85546875" style="2" customWidth="1"/>
    <col min="4819" max="4819" width="21" style="2" customWidth="1"/>
    <col min="4820" max="4820" width="1.85546875" style="2" customWidth="1"/>
    <col min="4821" max="4822" width="18.5703125" style="2" bestFit="1" customWidth="1"/>
    <col min="4823" max="4824" width="9.140625" style="2"/>
    <col min="4825" max="4825" width="14.28515625" style="2" bestFit="1" customWidth="1"/>
    <col min="4826" max="5070" width="9.140625" style="2"/>
    <col min="5071" max="5071" width="3.28515625" style="2" customWidth="1"/>
    <col min="5072" max="5072" width="48.28515625" style="2" customWidth="1"/>
    <col min="5073" max="5073" width="9.140625" style="2"/>
    <col min="5074" max="5074" width="17.85546875" style="2" customWidth="1"/>
    <col min="5075" max="5075" width="21" style="2" customWidth="1"/>
    <col min="5076" max="5076" width="1.85546875" style="2" customWidth="1"/>
    <col min="5077" max="5078" width="18.5703125" style="2" bestFit="1" customWidth="1"/>
    <col min="5079" max="5080" width="9.140625" style="2"/>
    <col min="5081" max="5081" width="14.28515625" style="2" bestFit="1" customWidth="1"/>
    <col min="5082" max="5326" width="9.140625" style="2"/>
    <col min="5327" max="5327" width="3.28515625" style="2" customWidth="1"/>
    <col min="5328" max="5328" width="48.28515625" style="2" customWidth="1"/>
    <col min="5329" max="5329" width="9.140625" style="2"/>
    <col min="5330" max="5330" width="17.85546875" style="2" customWidth="1"/>
    <col min="5331" max="5331" width="21" style="2" customWidth="1"/>
    <col min="5332" max="5332" width="1.85546875" style="2" customWidth="1"/>
    <col min="5333" max="5334" width="18.5703125" style="2" bestFit="1" customWidth="1"/>
    <col min="5335" max="5336" width="9.140625" style="2"/>
    <col min="5337" max="5337" width="14.28515625" style="2" bestFit="1" customWidth="1"/>
    <col min="5338" max="5582" width="9.140625" style="2"/>
    <col min="5583" max="5583" width="3.28515625" style="2" customWidth="1"/>
    <col min="5584" max="5584" width="48.28515625" style="2" customWidth="1"/>
    <col min="5585" max="5585" width="9.140625" style="2"/>
    <col min="5586" max="5586" width="17.85546875" style="2" customWidth="1"/>
    <col min="5587" max="5587" width="21" style="2" customWidth="1"/>
    <col min="5588" max="5588" width="1.85546875" style="2" customWidth="1"/>
    <col min="5589" max="5590" width="18.5703125" style="2" bestFit="1" customWidth="1"/>
    <col min="5591" max="5592" width="9.140625" style="2"/>
    <col min="5593" max="5593" width="14.28515625" style="2" bestFit="1" customWidth="1"/>
    <col min="5594" max="5838" width="9.140625" style="2"/>
    <col min="5839" max="5839" width="3.28515625" style="2" customWidth="1"/>
    <col min="5840" max="5840" width="48.28515625" style="2" customWidth="1"/>
    <col min="5841" max="5841" width="9.140625" style="2"/>
    <col min="5842" max="5842" width="17.85546875" style="2" customWidth="1"/>
    <col min="5843" max="5843" width="21" style="2" customWidth="1"/>
    <col min="5844" max="5844" width="1.85546875" style="2" customWidth="1"/>
    <col min="5845" max="5846" width="18.5703125" style="2" bestFit="1" customWidth="1"/>
    <col min="5847" max="5848" width="9.140625" style="2"/>
    <col min="5849" max="5849" width="14.28515625" style="2" bestFit="1" customWidth="1"/>
    <col min="5850" max="6094" width="9.140625" style="2"/>
    <col min="6095" max="6095" width="3.28515625" style="2" customWidth="1"/>
    <col min="6096" max="6096" width="48.28515625" style="2" customWidth="1"/>
    <col min="6097" max="6097" width="9.140625" style="2"/>
    <col min="6098" max="6098" width="17.85546875" style="2" customWidth="1"/>
    <col min="6099" max="6099" width="21" style="2" customWidth="1"/>
    <col min="6100" max="6100" width="1.85546875" style="2" customWidth="1"/>
    <col min="6101" max="6102" width="18.5703125" style="2" bestFit="1" customWidth="1"/>
    <col min="6103" max="6104" width="9.140625" style="2"/>
    <col min="6105" max="6105" width="14.28515625" style="2" bestFit="1" customWidth="1"/>
    <col min="6106" max="6350" width="9.140625" style="2"/>
    <col min="6351" max="6351" width="3.28515625" style="2" customWidth="1"/>
    <col min="6352" max="6352" width="48.28515625" style="2" customWidth="1"/>
    <col min="6353" max="6353" width="9.140625" style="2"/>
    <col min="6354" max="6354" width="17.85546875" style="2" customWidth="1"/>
    <col min="6355" max="6355" width="21" style="2" customWidth="1"/>
    <col min="6356" max="6356" width="1.85546875" style="2" customWidth="1"/>
    <col min="6357" max="6358" width="18.5703125" style="2" bestFit="1" customWidth="1"/>
    <col min="6359" max="6360" width="9.140625" style="2"/>
    <col min="6361" max="6361" width="14.28515625" style="2" bestFit="1" customWidth="1"/>
    <col min="6362" max="6606" width="9.140625" style="2"/>
    <col min="6607" max="6607" width="3.28515625" style="2" customWidth="1"/>
    <col min="6608" max="6608" width="48.28515625" style="2" customWidth="1"/>
    <col min="6609" max="6609" width="9.140625" style="2"/>
    <col min="6610" max="6610" width="17.85546875" style="2" customWidth="1"/>
    <col min="6611" max="6611" width="21" style="2" customWidth="1"/>
    <col min="6612" max="6612" width="1.85546875" style="2" customWidth="1"/>
    <col min="6613" max="6614" width="18.5703125" style="2" bestFit="1" customWidth="1"/>
    <col min="6615" max="6616" width="9.140625" style="2"/>
    <col min="6617" max="6617" width="14.28515625" style="2" bestFit="1" customWidth="1"/>
    <col min="6618" max="6862" width="9.140625" style="2"/>
    <col min="6863" max="6863" width="3.28515625" style="2" customWidth="1"/>
    <col min="6864" max="6864" width="48.28515625" style="2" customWidth="1"/>
    <col min="6865" max="6865" width="9.140625" style="2"/>
    <col min="6866" max="6866" width="17.85546875" style="2" customWidth="1"/>
    <col min="6867" max="6867" width="21" style="2" customWidth="1"/>
    <col min="6868" max="6868" width="1.85546875" style="2" customWidth="1"/>
    <col min="6869" max="6870" width="18.5703125" style="2" bestFit="1" customWidth="1"/>
    <col min="6871" max="6872" width="9.140625" style="2"/>
    <col min="6873" max="6873" width="14.28515625" style="2" bestFit="1" customWidth="1"/>
    <col min="6874" max="7118" width="9.140625" style="2"/>
    <col min="7119" max="7119" width="3.28515625" style="2" customWidth="1"/>
    <col min="7120" max="7120" width="48.28515625" style="2" customWidth="1"/>
    <col min="7121" max="7121" width="9.140625" style="2"/>
    <col min="7122" max="7122" width="17.85546875" style="2" customWidth="1"/>
    <col min="7123" max="7123" width="21" style="2" customWidth="1"/>
    <col min="7124" max="7124" width="1.85546875" style="2" customWidth="1"/>
    <col min="7125" max="7126" width="18.5703125" style="2" bestFit="1" customWidth="1"/>
    <col min="7127" max="7128" width="9.140625" style="2"/>
    <col min="7129" max="7129" width="14.28515625" style="2" bestFit="1" customWidth="1"/>
    <col min="7130" max="7374" width="9.140625" style="2"/>
    <col min="7375" max="7375" width="3.28515625" style="2" customWidth="1"/>
    <col min="7376" max="7376" width="48.28515625" style="2" customWidth="1"/>
    <col min="7377" max="7377" width="9.140625" style="2"/>
    <col min="7378" max="7378" width="17.85546875" style="2" customWidth="1"/>
    <col min="7379" max="7379" width="21" style="2" customWidth="1"/>
    <col min="7380" max="7380" width="1.85546875" style="2" customWidth="1"/>
    <col min="7381" max="7382" width="18.5703125" style="2" bestFit="1" customWidth="1"/>
    <col min="7383" max="7384" width="9.140625" style="2"/>
    <col min="7385" max="7385" width="14.28515625" style="2" bestFit="1" customWidth="1"/>
    <col min="7386" max="7630" width="9.140625" style="2"/>
    <col min="7631" max="7631" width="3.28515625" style="2" customWidth="1"/>
    <col min="7632" max="7632" width="48.28515625" style="2" customWidth="1"/>
    <col min="7633" max="7633" width="9.140625" style="2"/>
    <col min="7634" max="7634" width="17.85546875" style="2" customWidth="1"/>
    <col min="7635" max="7635" width="21" style="2" customWidth="1"/>
    <col min="7636" max="7636" width="1.85546875" style="2" customWidth="1"/>
    <col min="7637" max="7638" width="18.5703125" style="2" bestFit="1" customWidth="1"/>
    <col min="7639" max="7640" width="9.140625" style="2"/>
    <col min="7641" max="7641" width="14.28515625" style="2" bestFit="1" customWidth="1"/>
    <col min="7642" max="7886" width="9.140625" style="2"/>
    <col min="7887" max="7887" width="3.28515625" style="2" customWidth="1"/>
    <col min="7888" max="7888" width="48.28515625" style="2" customWidth="1"/>
    <col min="7889" max="7889" width="9.140625" style="2"/>
    <col min="7890" max="7890" width="17.85546875" style="2" customWidth="1"/>
    <col min="7891" max="7891" width="21" style="2" customWidth="1"/>
    <col min="7892" max="7892" width="1.85546875" style="2" customWidth="1"/>
    <col min="7893" max="7894" width="18.5703125" style="2" bestFit="1" customWidth="1"/>
    <col min="7895" max="7896" width="9.140625" style="2"/>
    <col min="7897" max="7897" width="14.28515625" style="2" bestFit="1" customWidth="1"/>
    <col min="7898" max="8142" width="9.140625" style="2"/>
    <col min="8143" max="8143" width="3.28515625" style="2" customWidth="1"/>
    <col min="8144" max="8144" width="48.28515625" style="2" customWidth="1"/>
    <col min="8145" max="8145" width="9.140625" style="2"/>
    <col min="8146" max="8146" width="17.85546875" style="2" customWidth="1"/>
    <col min="8147" max="8147" width="21" style="2" customWidth="1"/>
    <col min="8148" max="8148" width="1.85546875" style="2" customWidth="1"/>
    <col min="8149" max="8150" width="18.5703125" style="2" bestFit="1" customWidth="1"/>
    <col min="8151" max="8152" width="9.140625" style="2"/>
    <col min="8153" max="8153" width="14.28515625" style="2" bestFit="1" customWidth="1"/>
    <col min="8154" max="8398" width="9.140625" style="2"/>
    <col min="8399" max="8399" width="3.28515625" style="2" customWidth="1"/>
    <col min="8400" max="8400" width="48.28515625" style="2" customWidth="1"/>
    <col min="8401" max="8401" width="9.140625" style="2"/>
    <col min="8402" max="8402" width="17.85546875" style="2" customWidth="1"/>
    <col min="8403" max="8403" width="21" style="2" customWidth="1"/>
    <col min="8404" max="8404" width="1.85546875" style="2" customWidth="1"/>
    <col min="8405" max="8406" width="18.5703125" style="2" bestFit="1" customWidth="1"/>
    <col min="8407" max="8408" width="9.140625" style="2"/>
    <col min="8409" max="8409" width="14.28515625" style="2" bestFit="1" customWidth="1"/>
    <col min="8410" max="8654" width="9.140625" style="2"/>
    <col min="8655" max="8655" width="3.28515625" style="2" customWidth="1"/>
    <col min="8656" max="8656" width="48.28515625" style="2" customWidth="1"/>
    <col min="8657" max="8657" width="9.140625" style="2"/>
    <col min="8658" max="8658" width="17.85546875" style="2" customWidth="1"/>
    <col min="8659" max="8659" width="21" style="2" customWidth="1"/>
    <col min="8660" max="8660" width="1.85546875" style="2" customWidth="1"/>
    <col min="8661" max="8662" width="18.5703125" style="2" bestFit="1" customWidth="1"/>
    <col min="8663" max="8664" width="9.140625" style="2"/>
    <col min="8665" max="8665" width="14.28515625" style="2" bestFit="1" customWidth="1"/>
    <col min="8666" max="8910" width="9.140625" style="2"/>
    <col min="8911" max="8911" width="3.28515625" style="2" customWidth="1"/>
    <col min="8912" max="8912" width="48.28515625" style="2" customWidth="1"/>
    <col min="8913" max="8913" width="9.140625" style="2"/>
    <col min="8914" max="8914" width="17.85546875" style="2" customWidth="1"/>
    <col min="8915" max="8915" width="21" style="2" customWidth="1"/>
    <col min="8916" max="8916" width="1.85546875" style="2" customWidth="1"/>
    <col min="8917" max="8918" width="18.5703125" style="2" bestFit="1" customWidth="1"/>
    <col min="8919" max="8920" width="9.140625" style="2"/>
    <col min="8921" max="8921" width="14.28515625" style="2" bestFit="1" customWidth="1"/>
    <col min="8922" max="9166" width="9.140625" style="2"/>
    <col min="9167" max="9167" width="3.28515625" style="2" customWidth="1"/>
    <col min="9168" max="9168" width="48.28515625" style="2" customWidth="1"/>
    <col min="9169" max="9169" width="9.140625" style="2"/>
    <col min="9170" max="9170" width="17.85546875" style="2" customWidth="1"/>
    <col min="9171" max="9171" width="21" style="2" customWidth="1"/>
    <col min="9172" max="9172" width="1.85546875" style="2" customWidth="1"/>
    <col min="9173" max="9174" width="18.5703125" style="2" bestFit="1" customWidth="1"/>
    <col min="9175" max="9176" width="9.140625" style="2"/>
    <col min="9177" max="9177" width="14.28515625" style="2" bestFit="1" customWidth="1"/>
    <col min="9178" max="9422" width="9.140625" style="2"/>
    <col min="9423" max="9423" width="3.28515625" style="2" customWidth="1"/>
    <col min="9424" max="9424" width="48.28515625" style="2" customWidth="1"/>
    <col min="9425" max="9425" width="9.140625" style="2"/>
    <col min="9426" max="9426" width="17.85546875" style="2" customWidth="1"/>
    <col min="9427" max="9427" width="21" style="2" customWidth="1"/>
    <col min="9428" max="9428" width="1.85546875" style="2" customWidth="1"/>
    <col min="9429" max="9430" width="18.5703125" style="2" bestFit="1" customWidth="1"/>
    <col min="9431" max="9432" width="9.140625" style="2"/>
    <col min="9433" max="9433" width="14.28515625" style="2" bestFit="1" customWidth="1"/>
    <col min="9434" max="9678" width="9.140625" style="2"/>
    <col min="9679" max="9679" width="3.28515625" style="2" customWidth="1"/>
    <col min="9680" max="9680" width="48.28515625" style="2" customWidth="1"/>
    <col min="9681" max="9681" width="9.140625" style="2"/>
    <col min="9682" max="9682" width="17.85546875" style="2" customWidth="1"/>
    <col min="9683" max="9683" width="21" style="2" customWidth="1"/>
    <col min="9684" max="9684" width="1.85546875" style="2" customWidth="1"/>
    <col min="9685" max="9686" width="18.5703125" style="2" bestFit="1" customWidth="1"/>
    <col min="9687" max="9688" width="9.140625" style="2"/>
    <col min="9689" max="9689" width="14.28515625" style="2" bestFit="1" customWidth="1"/>
    <col min="9690" max="9934" width="9.140625" style="2"/>
    <col min="9935" max="9935" width="3.28515625" style="2" customWidth="1"/>
    <col min="9936" max="9936" width="48.28515625" style="2" customWidth="1"/>
    <col min="9937" max="9937" width="9.140625" style="2"/>
    <col min="9938" max="9938" width="17.85546875" style="2" customWidth="1"/>
    <col min="9939" max="9939" width="21" style="2" customWidth="1"/>
    <col min="9940" max="9940" width="1.85546875" style="2" customWidth="1"/>
    <col min="9941" max="9942" width="18.5703125" style="2" bestFit="1" customWidth="1"/>
    <col min="9943" max="9944" width="9.140625" style="2"/>
    <col min="9945" max="9945" width="14.28515625" style="2" bestFit="1" customWidth="1"/>
    <col min="9946" max="10190" width="9.140625" style="2"/>
    <col min="10191" max="10191" width="3.28515625" style="2" customWidth="1"/>
    <col min="10192" max="10192" width="48.28515625" style="2" customWidth="1"/>
    <col min="10193" max="10193" width="9.140625" style="2"/>
    <col min="10194" max="10194" width="17.85546875" style="2" customWidth="1"/>
    <col min="10195" max="10195" width="21" style="2" customWidth="1"/>
    <col min="10196" max="10196" width="1.85546875" style="2" customWidth="1"/>
    <col min="10197" max="10198" width="18.5703125" style="2" bestFit="1" customWidth="1"/>
    <col min="10199" max="10200" width="9.140625" style="2"/>
    <col min="10201" max="10201" width="14.28515625" style="2" bestFit="1" customWidth="1"/>
    <col min="10202" max="10446" width="9.140625" style="2"/>
    <col min="10447" max="10447" width="3.28515625" style="2" customWidth="1"/>
    <col min="10448" max="10448" width="48.28515625" style="2" customWidth="1"/>
    <col min="10449" max="10449" width="9.140625" style="2"/>
    <col min="10450" max="10450" width="17.85546875" style="2" customWidth="1"/>
    <col min="10451" max="10451" width="21" style="2" customWidth="1"/>
    <col min="10452" max="10452" width="1.85546875" style="2" customWidth="1"/>
    <col min="10453" max="10454" width="18.5703125" style="2" bestFit="1" customWidth="1"/>
    <col min="10455" max="10456" width="9.140625" style="2"/>
    <col min="10457" max="10457" width="14.28515625" style="2" bestFit="1" customWidth="1"/>
    <col min="10458" max="10702" width="9.140625" style="2"/>
    <col min="10703" max="10703" width="3.28515625" style="2" customWidth="1"/>
    <col min="10704" max="10704" width="48.28515625" style="2" customWidth="1"/>
    <col min="10705" max="10705" width="9.140625" style="2"/>
    <col min="10706" max="10706" width="17.85546875" style="2" customWidth="1"/>
    <col min="10707" max="10707" width="21" style="2" customWidth="1"/>
    <col min="10708" max="10708" width="1.85546875" style="2" customWidth="1"/>
    <col min="10709" max="10710" width="18.5703125" style="2" bestFit="1" customWidth="1"/>
    <col min="10711" max="10712" width="9.140625" style="2"/>
    <col min="10713" max="10713" width="14.28515625" style="2" bestFit="1" customWidth="1"/>
    <col min="10714" max="10958" width="9.140625" style="2"/>
    <col min="10959" max="10959" width="3.28515625" style="2" customWidth="1"/>
    <col min="10960" max="10960" width="48.28515625" style="2" customWidth="1"/>
    <col min="10961" max="10961" width="9.140625" style="2"/>
    <col min="10962" max="10962" width="17.85546875" style="2" customWidth="1"/>
    <col min="10963" max="10963" width="21" style="2" customWidth="1"/>
    <col min="10964" max="10964" width="1.85546875" style="2" customWidth="1"/>
    <col min="10965" max="10966" width="18.5703125" style="2" bestFit="1" customWidth="1"/>
    <col min="10967" max="10968" width="9.140625" style="2"/>
    <col min="10969" max="10969" width="14.28515625" style="2" bestFit="1" customWidth="1"/>
    <col min="10970" max="11214" width="9.140625" style="2"/>
    <col min="11215" max="11215" width="3.28515625" style="2" customWidth="1"/>
    <col min="11216" max="11216" width="48.28515625" style="2" customWidth="1"/>
    <col min="11217" max="11217" width="9.140625" style="2"/>
    <col min="11218" max="11218" width="17.85546875" style="2" customWidth="1"/>
    <col min="11219" max="11219" width="21" style="2" customWidth="1"/>
    <col min="11220" max="11220" width="1.85546875" style="2" customWidth="1"/>
    <col min="11221" max="11222" width="18.5703125" style="2" bestFit="1" customWidth="1"/>
    <col min="11223" max="11224" width="9.140625" style="2"/>
    <col min="11225" max="11225" width="14.28515625" style="2" bestFit="1" customWidth="1"/>
    <col min="11226" max="11470" width="9.140625" style="2"/>
    <col min="11471" max="11471" width="3.28515625" style="2" customWidth="1"/>
    <col min="11472" max="11472" width="48.28515625" style="2" customWidth="1"/>
    <col min="11473" max="11473" width="9.140625" style="2"/>
    <col min="11474" max="11474" width="17.85546875" style="2" customWidth="1"/>
    <col min="11475" max="11475" width="21" style="2" customWidth="1"/>
    <col min="11476" max="11476" width="1.85546875" style="2" customWidth="1"/>
    <col min="11477" max="11478" width="18.5703125" style="2" bestFit="1" customWidth="1"/>
    <col min="11479" max="11480" width="9.140625" style="2"/>
    <col min="11481" max="11481" width="14.28515625" style="2" bestFit="1" customWidth="1"/>
    <col min="11482" max="11726" width="9.140625" style="2"/>
    <col min="11727" max="11727" width="3.28515625" style="2" customWidth="1"/>
    <col min="11728" max="11728" width="48.28515625" style="2" customWidth="1"/>
    <col min="11729" max="11729" width="9.140625" style="2"/>
    <col min="11730" max="11730" width="17.85546875" style="2" customWidth="1"/>
    <col min="11731" max="11731" width="21" style="2" customWidth="1"/>
    <col min="11732" max="11732" width="1.85546875" style="2" customWidth="1"/>
    <col min="11733" max="11734" width="18.5703125" style="2" bestFit="1" customWidth="1"/>
    <col min="11735" max="11736" width="9.140625" style="2"/>
    <col min="11737" max="11737" width="14.28515625" style="2" bestFit="1" customWidth="1"/>
    <col min="11738" max="11982" width="9.140625" style="2"/>
    <col min="11983" max="11983" width="3.28515625" style="2" customWidth="1"/>
    <col min="11984" max="11984" width="48.28515625" style="2" customWidth="1"/>
    <col min="11985" max="11985" width="9.140625" style="2"/>
    <col min="11986" max="11986" width="17.85546875" style="2" customWidth="1"/>
    <col min="11987" max="11987" width="21" style="2" customWidth="1"/>
    <col min="11988" max="11988" width="1.85546875" style="2" customWidth="1"/>
    <col min="11989" max="11990" width="18.5703125" style="2" bestFit="1" customWidth="1"/>
    <col min="11991" max="11992" width="9.140625" style="2"/>
    <col min="11993" max="11993" width="14.28515625" style="2" bestFit="1" customWidth="1"/>
    <col min="11994" max="12238" width="9.140625" style="2"/>
    <col min="12239" max="12239" width="3.28515625" style="2" customWidth="1"/>
    <col min="12240" max="12240" width="48.28515625" style="2" customWidth="1"/>
    <col min="12241" max="12241" width="9.140625" style="2"/>
    <col min="12242" max="12242" width="17.85546875" style="2" customWidth="1"/>
    <col min="12243" max="12243" width="21" style="2" customWidth="1"/>
    <col min="12244" max="12244" width="1.85546875" style="2" customWidth="1"/>
    <col min="12245" max="12246" width="18.5703125" style="2" bestFit="1" customWidth="1"/>
    <col min="12247" max="12248" width="9.140625" style="2"/>
    <col min="12249" max="12249" width="14.28515625" style="2" bestFit="1" customWidth="1"/>
    <col min="12250" max="12494" width="9.140625" style="2"/>
    <col min="12495" max="12495" width="3.28515625" style="2" customWidth="1"/>
    <col min="12496" max="12496" width="48.28515625" style="2" customWidth="1"/>
    <col min="12497" max="12497" width="9.140625" style="2"/>
    <col min="12498" max="12498" width="17.85546875" style="2" customWidth="1"/>
    <col min="12499" max="12499" width="21" style="2" customWidth="1"/>
    <col min="12500" max="12500" width="1.85546875" style="2" customWidth="1"/>
    <col min="12501" max="12502" width="18.5703125" style="2" bestFit="1" customWidth="1"/>
    <col min="12503" max="12504" width="9.140625" style="2"/>
    <col min="12505" max="12505" width="14.28515625" style="2" bestFit="1" customWidth="1"/>
    <col min="12506" max="12750" width="9.140625" style="2"/>
    <col min="12751" max="12751" width="3.28515625" style="2" customWidth="1"/>
    <col min="12752" max="12752" width="48.28515625" style="2" customWidth="1"/>
    <col min="12753" max="12753" width="9.140625" style="2"/>
    <col min="12754" max="12754" width="17.85546875" style="2" customWidth="1"/>
    <col min="12755" max="12755" width="21" style="2" customWidth="1"/>
    <col min="12756" max="12756" width="1.85546875" style="2" customWidth="1"/>
    <col min="12757" max="12758" width="18.5703125" style="2" bestFit="1" customWidth="1"/>
    <col min="12759" max="12760" width="9.140625" style="2"/>
    <col min="12761" max="12761" width="14.28515625" style="2" bestFit="1" customWidth="1"/>
    <col min="12762" max="13006" width="9.140625" style="2"/>
    <col min="13007" max="13007" width="3.28515625" style="2" customWidth="1"/>
    <col min="13008" max="13008" width="48.28515625" style="2" customWidth="1"/>
    <col min="13009" max="13009" width="9.140625" style="2"/>
    <col min="13010" max="13010" width="17.85546875" style="2" customWidth="1"/>
    <col min="13011" max="13011" width="21" style="2" customWidth="1"/>
    <col min="13012" max="13012" width="1.85546875" style="2" customWidth="1"/>
    <col min="13013" max="13014" width="18.5703125" style="2" bestFit="1" customWidth="1"/>
    <col min="13015" max="13016" width="9.140625" style="2"/>
    <col min="13017" max="13017" width="14.28515625" style="2" bestFit="1" customWidth="1"/>
    <col min="13018" max="13262" width="9.140625" style="2"/>
    <col min="13263" max="13263" width="3.28515625" style="2" customWidth="1"/>
    <col min="13264" max="13264" width="48.28515625" style="2" customWidth="1"/>
    <col min="13265" max="13265" width="9.140625" style="2"/>
    <col min="13266" max="13266" width="17.85546875" style="2" customWidth="1"/>
    <col min="13267" max="13267" width="21" style="2" customWidth="1"/>
    <col min="13268" max="13268" width="1.85546875" style="2" customWidth="1"/>
    <col min="13269" max="13270" width="18.5703125" style="2" bestFit="1" customWidth="1"/>
    <col min="13271" max="13272" width="9.140625" style="2"/>
    <col min="13273" max="13273" width="14.28515625" style="2" bestFit="1" customWidth="1"/>
    <col min="13274" max="13518" width="9.140625" style="2"/>
    <col min="13519" max="13519" width="3.28515625" style="2" customWidth="1"/>
    <col min="13520" max="13520" width="48.28515625" style="2" customWidth="1"/>
    <col min="13521" max="13521" width="9.140625" style="2"/>
    <col min="13522" max="13522" width="17.85546875" style="2" customWidth="1"/>
    <col min="13523" max="13523" width="21" style="2" customWidth="1"/>
    <col min="13524" max="13524" width="1.85546875" style="2" customWidth="1"/>
    <col min="13525" max="13526" width="18.5703125" style="2" bestFit="1" customWidth="1"/>
    <col min="13527" max="13528" width="9.140625" style="2"/>
    <col min="13529" max="13529" width="14.28515625" style="2" bestFit="1" customWidth="1"/>
    <col min="13530" max="13774" width="9.140625" style="2"/>
    <col min="13775" max="13775" width="3.28515625" style="2" customWidth="1"/>
    <col min="13776" max="13776" width="48.28515625" style="2" customWidth="1"/>
    <col min="13777" max="13777" width="9.140625" style="2"/>
    <col min="13778" max="13778" width="17.85546875" style="2" customWidth="1"/>
    <col min="13779" max="13779" width="21" style="2" customWidth="1"/>
    <col min="13780" max="13780" width="1.85546875" style="2" customWidth="1"/>
    <col min="13781" max="13782" width="18.5703125" style="2" bestFit="1" customWidth="1"/>
    <col min="13783" max="13784" width="9.140625" style="2"/>
    <col min="13785" max="13785" width="14.28515625" style="2" bestFit="1" customWidth="1"/>
    <col min="13786" max="14030" width="9.140625" style="2"/>
    <col min="14031" max="14031" width="3.28515625" style="2" customWidth="1"/>
    <col min="14032" max="14032" width="48.28515625" style="2" customWidth="1"/>
    <col min="14033" max="14033" width="9.140625" style="2"/>
    <col min="14034" max="14034" width="17.85546875" style="2" customWidth="1"/>
    <col min="14035" max="14035" width="21" style="2" customWidth="1"/>
    <col min="14036" max="14036" width="1.85546875" style="2" customWidth="1"/>
    <col min="14037" max="14038" width="18.5703125" style="2" bestFit="1" customWidth="1"/>
    <col min="14039" max="14040" width="9.140625" style="2"/>
    <col min="14041" max="14041" width="14.28515625" style="2" bestFit="1" customWidth="1"/>
    <col min="14042" max="14286" width="9.140625" style="2"/>
    <col min="14287" max="14287" width="3.28515625" style="2" customWidth="1"/>
    <col min="14288" max="14288" width="48.28515625" style="2" customWidth="1"/>
    <col min="14289" max="14289" width="9.140625" style="2"/>
    <col min="14290" max="14290" width="17.85546875" style="2" customWidth="1"/>
    <col min="14291" max="14291" width="21" style="2" customWidth="1"/>
    <col min="14292" max="14292" width="1.85546875" style="2" customWidth="1"/>
    <col min="14293" max="14294" width="18.5703125" style="2" bestFit="1" customWidth="1"/>
    <col min="14295" max="14296" width="9.140625" style="2"/>
    <col min="14297" max="14297" width="14.28515625" style="2" bestFit="1" customWidth="1"/>
    <col min="14298" max="14542" width="9.140625" style="2"/>
    <col min="14543" max="14543" width="3.28515625" style="2" customWidth="1"/>
    <col min="14544" max="14544" width="48.28515625" style="2" customWidth="1"/>
    <col min="14545" max="14545" width="9.140625" style="2"/>
    <col min="14546" max="14546" width="17.85546875" style="2" customWidth="1"/>
    <col min="14547" max="14547" width="21" style="2" customWidth="1"/>
    <col min="14548" max="14548" width="1.85546875" style="2" customWidth="1"/>
    <col min="14549" max="14550" width="18.5703125" style="2" bestFit="1" customWidth="1"/>
    <col min="14551" max="14552" width="9.140625" style="2"/>
    <col min="14553" max="14553" width="14.28515625" style="2" bestFit="1" customWidth="1"/>
    <col min="14554" max="14798" width="9.140625" style="2"/>
    <col min="14799" max="14799" width="3.28515625" style="2" customWidth="1"/>
    <col min="14800" max="14800" width="48.28515625" style="2" customWidth="1"/>
    <col min="14801" max="14801" width="9.140625" style="2"/>
    <col min="14802" max="14802" width="17.85546875" style="2" customWidth="1"/>
    <col min="14803" max="14803" width="21" style="2" customWidth="1"/>
    <col min="14804" max="14804" width="1.85546875" style="2" customWidth="1"/>
    <col min="14805" max="14806" width="18.5703125" style="2" bestFit="1" customWidth="1"/>
    <col min="14807" max="14808" width="9.140625" style="2"/>
    <col min="14809" max="14809" width="14.28515625" style="2" bestFit="1" customWidth="1"/>
    <col min="14810" max="15054" width="9.140625" style="2"/>
    <col min="15055" max="15055" width="3.28515625" style="2" customWidth="1"/>
    <col min="15056" max="15056" width="48.28515625" style="2" customWidth="1"/>
    <col min="15057" max="15057" width="9.140625" style="2"/>
    <col min="15058" max="15058" width="17.85546875" style="2" customWidth="1"/>
    <col min="15059" max="15059" width="21" style="2" customWidth="1"/>
    <col min="15060" max="15060" width="1.85546875" style="2" customWidth="1"/>
    <col min="15061" max="15062" width="18.5703125" style="2" bestFit="1" customWidth="1"/>
    <col min="15063" max="15064" width="9.140625" style="2"/>
    <col min="15065" max="15065" width="14.28515625" style="2" bestFit="1" customWidth="1"/>
    <col min="15066" max="15310" width="9.140625" style="2"/>
    <col min="15311" max="15311" width="3.28515625" style="2" customWidth="1"/>
    <col min="15312" max="15312" width="48.28515625" style="2" customWidth="1"/>
    <col min="15313" max="15313" width="9.140625" style="2"/>
    <col min="15314" max="15314" width="17.85546875" style="2" customWidth="1"/>
    <col min="15315" max="15315" width="21" style="2" customWidth="1"/>
    <col min="15316" max="15316" width="1.85546875" style="2" customWidth="1"/>
    <col min="15317" max="15318" width="18.5703125" style="2" bestFit="1" customWidth="1"/>
    <col min="15319" max="15320" width="9.140625" style="2"/>
    <col min="15321" max="15321" width="14.28515625" style="2" bestFit="1" customWidth="1"/>
    <col min="15322" max="15566" width="9.140625" style="2"/>
    <col min="15567" max="15567" width="3.28515625" style="2" customWidth="1"/>
    <col min="15568" max="15568" width="48.28515625" style="2" customWidth="1"/>
    <col min="15569" max="15569" width="9.140625" style="2"/>
    <col min="15570" max="15570" width="17.85546875" style="2" customWidth="1"/>
    <col min="15571" max="15571" width="21" style="2" customWidth="1"/>
    <col min="15572" max="15572" width="1.85546875" style="2" customWidth="1"/>
    <col min="15573" max="15574" width="18.5703125" style="2" bestFit="1" customWidth="1"/>
    <col min="15575" max="15576" width="9.140625" style="2"/>
    <col min="15577" max="15577" width="14.28515625" style="2" bestFit="1" customWidth="1"/>
    <col min="15578" max="15822" width="9.140625" style="2"/>
    <col min="15823" max="15823" width="3.28515625" style="2" customWidth="1"/>
    <col min="15824" max="15824" width="48.28515625" style="2" customWidth="1"/>
    <col min="15825" max="15825" width="9.140625" style="2"/>
    <col min="15826" max="15826" width="17.85546875" style="2" customWidth="1"/>
    <col min="15827" max="15827" width="21" style="2" customWidth="1"/>
    <col min="15828" max="15828" width="1.85546875" style="2" customWidth="1"/>
    <col min="15829" max="15830" width="18.5703125" style="2" bestFit="1" customWidth="1"/>
    <col min="15831" max="15832" width="9.140625" style="2"/>
    <col min="15833" max="15833" width="14.28515625" style="2" bestFit="1" customWidth="1"/>
    <col min="15834" max="16078" width="9.140625" style="2"/>
    <col min="16079" max="16079" width="3.28515625" style="2" customWidth="1"/>
    <col min="16080" max="16080" width="48.28515625" style="2" customWidth="1"/>
    <col min="16081" max="16081" width="9.140625" style="2"/>
    <col min="16082" max="16082" width="17.85546875" style="2" customWidth="1"/>
    <col min="16083" max="16083" width="21" style="2" customWidth="1"/>
    <col min="16084" max="16084" width="1.85546875" style="2" customWidth="1"/>
    <col min="16085" max="16086" width="18.5703125" style="2" bestFit="1" customWidth="1"/>
    <col min="16087" max="16088" width="9.140625" style="2"/>
    <col min="16089" max="16089" width="14.28515625" style="2" bestFit="1" customWidth="1"/>
    <col min="16090" max="16384" width="9.140625" style="2"/>
  </cols>
  <sheetData>
    <row r="1" spans="1:6" ht="8.25" customHeight="1" x14ac:dyDescent="0.25"/>
    <row r="2" spans="1:6" ht="24" customHeight="1" x14ac:dyDescent="0.25">
      <c r="B2" s="216" t="s">
        <v>76</v>
      </c>
      <c r="C2" s="217"/>
      <c r="D2" s="217"/>
      <c r="E2" s="217"/>
      <c r="F2" s="217"/>
    </row>
    <row r="3" spans="1:6" ht="24" customHeight="1" x14ac:dyDescent="0.25">
      <c r="B3" s="216" t="s">
        <v>77</v>
      </c>
      <c r="C3" s="217"/>
      <c r="D3" s="217"/>
      <c r="E3" s="217"/>
      <c r="F3" s="217"/>
    </row>
    <row r="4" spans="1:6" ht="2.25" customHeight="1" x14ac:dyDescent="0.25"/>
    <row r="5" spans="1:6" s="32" customFormat="1" ht="18.95" customHeight="1" x14ac:dyDescent="0.25">
      <c r="A5" s="31"/>
      <c r="B5" s="35" t="s">
        <v>78</v>
      </c>
      <c r="C5" s="35" t="s">
        <v>79</v>
      </c>
      <c r="D5" s="35" t="s">
        <v>80</v>
      </c>
      <c r="E5" s="35" t="s">
        <v>81</v>
      </c>
      <c r="F5" s="36" t="s">
        <v>90</v>
      </c>
    </row>
    <row r="6" spans="1:6" ht="85.5" x14ac:dyDescent="0.25">
      <c r="B6" s="38" t="s">
        <v>134</v>
      </c>
      <c r="C6" s="40" t="s">
        <v>135</v>
      </c>
      <c r="D6" s="44" t="s">
        <v>118</v>
      </c>
      <c r="E6" s="29"/>
      <c r="F6" s="46" t="s">
        <v>126</v>
      </c>
    </row>
    <row r="7" spans="1:6" ht="28.5" x14ac:dyDescent="0.25">
      <c r="B7" s="37" t="s">
        <v>171</v>
      </c>
      <c r="C7" s="39" t="s">
        <v>66</v>
      </c>
      <c r="D7" s="28"/>
      <c r="E7" s="45"/>
      <c r="F7" s="48" t="s">
        <v>138</v>
      </c>
    </row>
    <row r="8" spans="1:6" ht="28.5" x14ac:dyDescent="0.25">
      <c r="B8" s="38" t="s">
        <v>132</v>
      </c>
      <c r="C8" s="40" t="s">
        <v>65</v>
      </c>
      <c r="D8" s="29"/>
      <c r="E8" s="29"/>
      <c r="F8" s="50" t="s">
        <v>138</v>
      </c>
    </row>
    <row r="9" spans="1:6" ht="28.5" x14ac:dyDescent="0.25">
      <c r="B9" s="37" t="s">
        <v>47</v>
      </c>
      <c r="C9" s="39" t="s">
        <v>119</v>
      </c>
      <c r="D9" s="43" t="s">
        <v>47</v>
      </c>
      <c r="E9" s="41"/>
      <c r="F9" s="52"/>
    </row>
    <row r="10" spans="1:6" ht="57" x14ac:dyDescent="0.25">
      <c r="B10" s="38" t="s">
        <v>133</v>
      </c>
      <c r="C10" s="40" t="s">
        <v>123</v>
      </c>
      <c r="D10" s="44" t="s">
        <v>32</v>
      </c>
      <c r="E10" s="29"/>
      <c r="F10" s="50" t="s">
        <v>124</v>
      </c>
    </row>
    <row r="11" spans="1:6" ht="42.75" x14ac:dyDescent="0.25">
      <c r="B11" s="37" t="s">
        <v>33</v>
      </c>
      <c r="C11" s="39" t="s">
        <v>63</v>
      </c>
      <c r="D11" s="43" t="s">
        <v>87</v>
      </c>
      <c r="E11" s="45" t="s">
        <v>113</v>
      </c>
      <c r="F11" s="48" t="s">
        <v>120</v>
      </c>
    </row>
    <row r="12" spans="1:6" ht="42.75" x14ac:dyDescent="0.25">
      <c r="B12" s="38" t="s">
        <v>35</v>
      </c>
      <c r="C12" s="40" t="s">
        <v>67</v>
      </c>
      <c r="D12" s="42" t="s">
        <v>88</v>
      </c>
      <c r="E12" s="44" t="s">
        <v>113</v>
      </c>
      <c r="F12" s="50" t="s">
        <v>121</v>
      </c>
    </row>
    <row r="13" spans="1:6" ht="71.25" x14ac:dyDescent="0.25">
      <c r="B13" s="37" t="s">
        <v>34</v>
      </c>
      <c r="C13" s="39" t="s">
        <v>68</v>
      </c>
      <c r="D13" s="45" t="s">
        <v>125</v>
      </c>
      <c r="E13" s="45" t="s">
        <v>113</v>
      </c>
      <c r="F13" s="49" t="s">
        <v>122</v>
      </c>
    </row>
    <row r="14" spans="1:6" ht="42.75" customHeight="1" x14ac:dyDescent="0.25">
      <c r="B14" s="38" t="s">
        <v>30</v>
      </c>
      <c r="C14" s="40" t="s">
        <v>69</v>
      </c>
      <c r="D14" s="44" t="s">
        <v>89</v>
      </c>
      <c r="E14" s="44" t="s">
        <v>115</v>
      </c>
      <c r="F14" s="50" t="s">
        <v>91</v>
      </c>
    </row>
    <row r="15" spans="1:6" ht="71.25" x14ac:dyDescent="0.25">
      <c r="B15" s="37" t="s">
        <v>36</v>
      </c>
      <c r="C15" s="39" t="s">
        <v>143</v>
      </c>
      <c r="D15" s="45" t="s">
        <v>86</v>
      </c>
      <c r="E15" s="45" t="s">
        <v>114</v>
      </c>
      <c r="F15" s="48" t="s">
        <v>92</v>
      </c>
    </row>
    <row r="16" spans="1:6" ht="57" x14ac:dyDescent="0.25">
      <c r="B16" s="38" t="s">
        <v>37</v>
      </c>
      <c r="C16" s="40" t="s">
        <v>137</v>
      </c>
      <c r="D16" s="44" t="s">
        <v>94</v>
      </c>
      <c r="E16" s="44" t="s">
        <v>114</v>
      </c>
      <c r="F16" s="50" t="s">
        <v>93</v>
      </c>
    </row>
    <row r="17" spans="2:7" ht="28.5" x14ac:dyDescent="0.25">
      <c r="B17" s="37" t="s">
        <v>44</v>
      </c>
      <c r="C17" s="39" t="s">
        <v>70</v>
      </c>
      <c r="D17" s="43" t="s">
        <v>97</v>
      </c>
      <c r="E17" s="43" t="s">
        <v>114</v>
      </c>
      <c r="F17" s="51" t="s">
        <v>70</v>
      </c>
    </row>
    <row r="18" spans="2:7" ht="28.5" x14ac:dyDescent="0.25">
      <c r="B18" s="38" t="s">
        <v>40</v>
      </c>
      <c r="C18" s="40" t="s">
        <v>71</v>
      </c>
      <c r="D18" s="44" t="s">
        <v>101</v>
      </c>
      <c r="E18" s="44" t="s">
        <v>117</v>
      </c>
      <c r="F18" s="46" t="s">
        <v>102</v>
      </c>
    </row>
    <row r="19" spans="2:7" ht="28.5" x14ac:dyDescent="0.25">
      <c r="B19" s="37" t="s">
        <v>31</v>
      </c>
      <c r="C19" s="39" t="s">
        <v>84</v>
      </c>
      <c r="D19" s="28" t="s">
        <v>95</v>
      </c>
      <c r="E19" s="45" t="s">
        <v>116</v>
      </c>
      <c r="F19" s="47" t="s">
        <v>96</v>
      </c>
    </row>
    <row r="20" spans="2:7" ht="28.5" x14ac:dyDescent="0.25">
      <c r="B20" s="38" t="s">
        <v>39</v>
      </c>
      <c r="C20" s="40" t="s">
        <v>83</v>
      </c>
      <c r="D20" s="44" t="s">
        <v>99</v>
      </c>
      <c r="E20" s="44" t="s">
        <v>115</v>
      </c>
      <c r="F20" s="50" t="s">
        <v>100</v>
      </c>
    </row>
    <row r="21" spans="2:7" ht="28.5" x14ac:dyDescent="0.25">
      <c r="B21" s="37" t="s">
        <v>38</v>
      </c>
      <c r="C21" s="39" t="s">
        <v>64</v>
      </c>
      <c r="D21" s="45" t="s">
        <v>111</v>
      </c>
      <c r="E21" s="45" t="s">
        <v>114</v>
      </c>
      <c r="F21" s="49" t="s">
        <v>98</v>
      </c>
    </row>
    <row r="22" spans="2:7" ht="28.5" x14ac:dyDescent="0.25">
      <c r="B22" s="38" t="s">
        <v>41</v>
      </c>
      <c r="C22" s="40" t="s">
        <v>85</v>
      </c>
      <c r="D22" s="42" t="s">
        <v>103</v>
      </c>
      <c r="E22" s="44" t="s">
        <v>114</v>
      </c>
      <c r="F22" s="50" t="s">
        <v>104</v>
      </c>
    </row>
    <row r="23" spans="2:7" ht="28.5" x14ac:dyDescent="0.25">
      <c r="B23" s="37" t="s">
        <v>42</v>
      </c>
      <c r="C23" s="39" t="s">
        <v>82</v>
      </c>
      <c r="D23" s="43" t="s">
        <v>105</v>
      </c>
      <c r="E23" s="45" t="s">
        <v>114</v>
      </c>
      <c r="F23" s="48" t="s">
        <v>106</v>
      </c>
    </row>
    <row r="24" spans="2:7" ht="71.25" x14ac:dyDescent="0.25">
      <c r="B24" s="38" t="s">
        <v>53</v>
      </c>
      <c r="C24" s="40" t="s">
        <v>127</v>
      </c>
      <c r="D24" s="44" t="s">
        <v>107</v>
      </c>
      <c r="E24" s="42" t="s">
        <v>112</v>
      </c>
      <c r="F24" s="46" t="s">
        <v>108</v>
      </c>
    </row>
    <row r="25" spans="2:7" ht="85.5" x14ac:dyDescent="0.25">
      <c r="B25" s="37" t="s">
        <v>54</v>
      </c>
      <c r="C25" s="39" t="s">
        <v>72</v>
      </c>
      <c r="D25" s="43" t="s">
        <v>109</v>
      </c>
      <c r="E25" s="45" t="s">
        <v>114</v>
      </c>
      <c r="F25" s="49" t="s">
        <v>110</v>
      </c>
    </row>
    <row r="26" spans="2:7" ht="28.5" hidden="1" x14ac:dyDescent="0.25">
      <c r="B26" s="38" t="s">
        <v>59</v>
      </c>
      <c r="C26" s="40" t="s">
        <v>136</v>
      </c>
      <c r="D26" s="30"/>
      <c r="E26" s="30"/>
      <c r="F26" s="34"/>
    </row>
    <row r="27" spans="2:7" ht="42.75" hidden="1" x14ac:dyDescent="0.25">
      <c r="B27" s="37" t="s">
        <v>60</v>
      </c>
      <c r="C27" s="39" t="s">
        <v>73</v>
      </c>
      <c r="D27" s="28"/>
      <c r="E27" s="28"/>
      <c r="F27" s="33"/>
      <c r="G27" s="38"/>
    </row>
    <row r="28" spans="2:7" ht="42.75" hidden="1" x14ac:dyDescent="0.25">
      <c r="B28" s="38" t="s">
        <v>61</v>
      </c>
      <c r="C28" s="40" t="s">
        <v>74</v>
      </c>
      <c r="D28" s="30"/>
      <c r="E28" s="30"/>
      <c r="F28" s="34"/>
    </row>
    <row r="29" spans="2:7" ht="28.5" hidden="1" x14ac:dyDescent="0.25">
      <c r="B29" s="37" t="s">
        <v>62</v>
      </c>
      <c r="C29" s="39" t="s">
        <v>75</v>
      </c>
      <c r="D29" s="28"/>
      <c r="E29" s="28"/>
      <c r="F29" s="33"/>
    </row>
    <row r="30" spans="2:7" x14ac:dyDescent="0.25">
      <c r="B30" s="38"/>
      <c r="C30" s="40"/>
      <c r="D30" s="30"/>
      <c r="E30" s="30"/>
      <c r="F30" s="34"/>
    </row>
  </sheetData>
  <mergeCells count="2">
    <mergeCell ref="B2:F2"/>
    <mergeCell ref="B3:F3"/>
  </mergeCells>
  <printOptions horizontalCentered="1"/>
  <pageMargins left="0" right="0" top="0" bottom="0" header="0" footer="0"/>
  <pageSetup paperSize="9" scale="48" orientation="landscape" horizontalDpi="300" verticalDpi="300" r:id="rId1"/>
  <colBreaks count="1" manualBreakCount="1">
    <brk id="6"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EADDC-D319-4F80-9D68-1BCBFC68D4F5}">
  <sheetPr codeName="Folha1">
    <tabColor theme="9" tint="0.39997558519241921"/>
  </sheetPr>
  <dimension ref="A1:AB81"/>
  <sheetViews>
    <sheetView tabSelected="1" zoomScale="90" zoomScaleNormal="90" workbookViewId="0">
      <pane xSplit="3" ySplit="7" topLeftCell="D12" activePane="bottomRight" state="frozen"/>
      <selection pane="topRight" activeCell="D1" sqref="D1"/>
      <selection pane="bottomLeft" activeCell="A8" sqref="A8"/>
      <selection pane="bottomRight" activeCell="I42" sqref="I42"/>
    </sheetView>
  </sheetViews>
  <sheetFormatPr defaultRowHeight="15" x14ac:dyDescent="0.25"/>
  <cols>
    <col min="1" max="1" width="2.42578125" style="5" customWidth="1"/>
    <col min="2" max="2" width="2" style="5" customWidth="1"/>
    <col min="3" max="3" width="39.42578125" style="2" customWidth="1"/>
    <col min="4" max="4" width="6.85546875" style="2" customWidth="1"/>
    <col min="5" max="5" width="14.140625" style="4" bestFit="1" customWidth="1"/>
    <col min="6" max="9" width="14.7109375" style="4" customWidth="1"/>
    <col min="10" max="10" width="1.5703125" style="2" customWidth="1"/>
    <col min="11" max="11" width="8.28515625" style="2" customWidth="1"/>
    <col min="12" max="15" width="8.7109375" style="2" customWidth="1"/>
    <col min="16" max="16" width="0.7109375" style="2" customWidth="1"/>
    <col min="17" max="21" width="8.7109375" style="2" customWidth="1"/>
    <col min="22" max="22" width="0.5703125" style="2" customWidth="1"/>
    <col min="23" max="27" width="8.7109375" style="2" customWidth="1"/>
    <col min="28" max="28" width="2.28515625" style="2" customWidth="1"/>
    <col min="29" max="233" width="9.140625" style="2"/>
    <col min="234" max="234" width="3.28515625" style="2" customWidth="1"/>
    <col min="235" max="235" width="48.28515625" style="2" customWidth="1"/>
    <col min="236" max="236" width="9.140625" style="2" customWidth="1"/>
    <col min="237" max="237" width="17.85546875" style="2" customWidth="1"/>
    <col min="238" max="238" width="21" style="2" customWidth="1"/>
    <col min="239" max="239" width="1.85546875" style="2" customWidth="1"/>
    <col min="240" max="241" width="18.5703125" style="2" bestFit="1" customWidth="1"/>
    <col min="242" max="243" width="9.140625" style="2"/>
    <col min="244" max="244" width="14.28515625" style="2" bestFit="1" customWidth="1"/>
    <col min="245" max="489" width="9.140625" style="2"/>
    <col min="490" max="490" width="3.28515625" style="2" customWidth="1"/>
    <col min="491" max="491" width="48.28515625" style="2" customWidth="1"/>
    <col min="492" max="492" width="9.140625" style="2" customWidth="1"/>
    <col min="493" max="493" width="17.85546875" style="2" customWidth="1"/>
    <col min="494" max="494" width="21" style="2" customWidth="1"/>
    <col min="495" max="495" width="1.85546875" style="2" customWidth="1"/>
    <col min="496" max="497" width="18.5703125" style="2" bestFit="1" customWidth="1"/>
    <col min="498" max="499" width="9.140625" style="2"/>
    <col min="500" max="500" width="14.28515625" style="2" bestFit="1" customWidth="1"/>
    <col min="501" max="745" width="9.140625" style="2"/>
    <col min="746" max="746" width="3.28515625" style="2" customWidth="1"/>
    <col min="747" max="747" width="48.28515625" style="2" customWidth="1"/>
    <col min="748" max="748" width="9.140625" style="2" customWidth="1"/>
    <col min="749" max="749" width="17.85546875" style="2" customWidth="1"/>
    <col min="750" max="750" width="21" style="2" customWidth="1"/>
    <col min="751" max="751" width="1.85546875" style="2" customWidth="1"/>
    <col min="752" max="753" width="18.5703125" style="2" bestFit="1" customWidth="1"/>
    <col min="754" max="755" width="9.140625" style="2"/>
    <col min="756" max="756" width="14.28515625" style="2" bestFit="1" customWidth="1"/>
    <col min="757" max="1001" width="9.140625" style="2"/>
    <col min="1002" max="1002" width="3.28515625" style="2" customWidth="1"/>
    <col min="1003" max="1003" width="48.28515625" style="2" customWidth="1"/>
    <col min="1004" max="1004" width="9.140625" style="2" customWidth="1"/>
    <col min="1005" max="1005" width="17.85546875" style="2" customWidth="1"/>
    <col min="1006" max="1006" width="21" style="2" customWidth="1"/>
    <col min="1007" max="1007" width="1.85546875" style="2" customWidth="1"/>
    <col min="1008" max="1009" width="18.5703125" style="2" bestFit="1" customWidth="1"/>
    <col min="1010" max="1011" width="9.140625" style="2"/>
    <col min="1012" max="1012" width="14.28515625" style="2" bestFit="1" customWidth="1"/>
    <col min="1013" max="1257" width="9.140625" style="2"/>
    <col min="1258" max="1258" width="3.28515625" style="2" customWidth="1"/>
    <col min="1259" max="1259" width="48.28515625" style="2" customWidth="1"/>
    <col min="1260" max="1260" width="9.140625" style="2" customWidth="1"/>
    <col min="1261" max="1261" width="17.85546875" style="2" customWidth="1"/>
    <col min="1262" max="1262" width="21" style="2" customWidth="1"/>
    <col min="1263" max="1263" width="1.85546875" style="2" customWidth="1"/>
    <col min="1264" max="1265" width="18.5703125" style="2" bestFit="1" customWidth="1"/>
    <col min="1266" max="1267" width="9.140625" style="2"/>
    <col min="1268" max="1268" width="14.28515625" style="2" bestFit="1" customWidth="1"/>
    <col min="1269" max="1513" width="9.140625" style="2"/>
    <col min="1514" max="1514" width="3.28515625" style="2" customWidth="1"/>
    <col min="1515" max="1515" width="48.28515625" style="2" customWidth="1"/>
    <col min="1516" max="1516" width="9.140625" style="2" customWidth="1"/>
    <col min="1517" max="1517" width="17.85546875" style="2" customWidth="1"/>
    <col min="1518" max="1518" width="21" style="2" customWidth="1"/>
    <col min="1519" max="1519" width="1.85546875" style="2" customWidth="1"/>
    <col min="1520" max="1521" width="18.5703125" style="2" bestFit="1" customWidth="1"/>
    <col min="1522" max="1523" width="9.140625" style="2"/>
    <col min="1524" max="1524" width="14.28515625" style="2" bestFit="1" customWidth="1"/>
    <col min="1525" max="1769" width="9.140625" style="2"/>
    <col min="1770" max="1770" width="3.28515625" style="2" customWidth="1"/>
    <col min="1771" max="1771" width="48.28515625" style="2" customWidth="1"/>
    <col min="1772" max="1772" width="9.140625" style="2" customWidth="1"/>
    <col min="1773" max="1773" width="17.85546875" style="2" customWidth="1"/>
    <col min="1774" max="1774" width="21" style="2" customWidth="1"/>
    <col min="1775" max="1775" width="1.85546875" style="2" customWidth="1"/>
    <col min="1776" max="1777" width="18.5703125" style="2" bestFit="1" customWidth="1"/>
    <col min="1778" max="1779" width="9.140625" style="2"/>
    <col min="1780" max="1780" width="14.28515625" style="2" bestFit="1" customWidth="1"/>
    <col min="1781" max="2025" width="9.140625" style="2"/>
    <col min="2026" max="2026" width="3.28515625" style="2" customWidth="1"/>
    <col min="2027" max="2027" width="48.28515625" style="2" customWidth="1"/>
    <col min="2028" max="2028" width="9.140625" style="2" customWidth="1"/>
    <col min="2029" max="2029" width="17.85546875" style="2" customWidth="1"/>
    <col min="2030" max="2030" width="21" style="2" customWidth="1"/>
    <col min="2031" max="2031" width="1.85546875" style="2" customWidth="1"/>
    <col min="2032" max="2033" width="18.5703125" style="2" bestFit="1" customWidth="1"/>
    <col min="2034" max="2035" width="9.140625" style="2"/>
    <col min="2036" max="2036" width="14.28515625" style="2" bestFit="1" customWidth="1"/>
    <col min="2037" max="2281" width="9.140625" style="2"/>
    <col min="2282" max="2282" width="3.28515625" style="2" customWidth="1"/>
    <col min="2283" max="2283" width="48.28515625" style="2" customWidth="1"/>
    <col min="2284" max="2284" width="9.140625" style="2" customWidth="1"/>
    <col min="2285" max="2285" width="17.85546875" style="2" customWidth="1"/>
    <col min="2286" max="2286" width="21" style="2" customWidth="1"/>
    <col min="2287" max="2287" width="1.85546875" style="2" customWidth="1"/>
    <col min="2288" max="2289" width="18.5703125" style="2" bestFit="1" customWidth="1"/>
    <col min="2290" max="2291" width="9.140625" style="2"/>
    <col min="2292" max="2292" width="14.28515625" style="2" bestFit="1" customWidth="1"/>
    <col min="2293" max="2537" width="9.140625" style="2"/>
    <col min="2538" max="2538" width="3.28515625" style="2" customWidth="1"/>
    <col min="2539" max="2539" width="48.28515625" style="2" customWidth="1"/>
    <col min="2540" max="2540" width="9.140625" style="2" customWidth="1"/>
    <col min="2541" max="2541" width="17.85546875" style="2" customWidth="1"/>
    <col min="2542" max="2542" width="21" style="2" customWidth="1"/>
    <col min="2543" max="2543" width="1.85546875" style="2" customWidth="1"/>
    <col min="2544" max="2545" width="18.5703125" style="2" bestFit="1" customWidth="1"/>
    <col min="2546" max="2547" width="9.140625" style="2"/>
    <col min="2548" max="2548" width="14.28515625" style="2" bestFit="1" customWidth="1"/>
    <col min="2549" max="2793" width="9.140625" style="2"/>
    <col min="2794" max="2794" width="3.28515625" style="2" customWidth="1"/>
    <col min="2795" max="2795" width="48.28515625" style="2" customWidth="1"/>
    <col min="2796" max="2796" width="9.140625" style="2" customWidth="1"/>
    <col min="2797" max="2797" width="17.85546875" style="2" customWidth="1"/>
    <col min="2798" max="2798" width="21" style="2" customWidth="1"/>
    <col min="2799" max="2799" width="1.85546875" style="2" customWidth="1"/>
    <col min="2800" max="2801" width="18.5703125" style="2" bestFit="1" customWidth="1"/>
    <col min="2802" max="2803" width="9.140625" style="2"/>
    <col min="2804" max="2804" width="14.28515625" style="2" bestFit="1" customWidth="1"/>
    <col min="2805" max="3049" width="9.140625" style="2"/>
    <col min="3050" max="3050" width="3.28515625" style="2" customWidth="1"/>
    <col min="3051" max="3051" width="48.28515625" style="2" customWidth="1"/>
    <col min="3052" max="3052" width="9.140625" style="2" customWidth="1"/>
    <col min="3053" max="3053" width="17.85546875" style="2" customWidth="1"/>
    <col min="3054" max="3054" width="21" style="2" customWidth="1"/>
    <col min="3055" max="3055" width="1.85546875" style="2" customWidth="1"/>
    <col min="3056" max="3057" width="18.5703125" style="2" bestFit="1" customWidth="1"/>
    <col min="3058" max="3059" width="9.140625" style="2"/>
    <col min="3060" max="3060" width="14.28515625" style="2" bestFit="1" customWidth="1"/>
    <col min="3061" max="3305" width="9.140625" style="2"/>
    <col min="3306" max="3306" width="3.28515625" style="2" customWidth="1"/>
    <col min="3307" max="3307" width="48.28515625" style="2" customWidth="1"/>
    <col min="3308" max="3308" width="9.140625" style="2" customWidth="1"/>
    <col min="3309" max="3309" width="17.85546875" style="2" customWidth="1"/>
    <col min="3310" max="3310" width="21" style="2" customWidth="1"/>
    <col min="3311" max="3311" width="1.85546875" style="2" customWidth="1"/>
    <col min="3312" max="3313" width="18.5703125" style="2" bestFit="1" customWidth="1"/>
    <col min="3314" max="3315" width="9.140625" style="2"/>
    <col min="3316" max="3316" width="14.28515625" style="2" bestFit="1" customWidth="1"/>
    <col min="3317" max="3561" width="9.140625" style="2"/>
    <col min="3562" max="3562" width="3.28515625" style="2" customWidth="1"/>
    <col min="3563" max="3563" width="48.28515625" style="2" customWidth="1"/>
    <col min="3564" max="3564" width="9.140625" style="2" customWidth="1"/>
    <col min="3565" max="3565" width="17.85546875" style="2" customWidth="1"/>
    <col min="3566" max="3566" width="21" style="2" customWidth="1"/>
    <col min="3567" max="3567" width="1.85546875" style="2" customWidth="1"/>
    <col min="3568" max="3569" width="18.5703125" style="2" bestFit="1" customWidth="1"/>
    <col min="3570" max="3571" width="9.140625" style="2"/>
    <col min="3572" max="3572" width="14.28515625" style="2" bestFit="1" customWidth="1"/>
    <col min="3573" max="3817" width="9.140625" style="2"/>
    <col min="3818" max="3818" width="3.28515625" style="2" customWidth="1"/>
    <col min="3819" max="3819" width="48.28515625" style="2" customWidth="1"/>
    <col min="3820" max="3820" width="9.140625" style="2" customWidth="1"/>
    <col min="3821" max="3821" width="17.85546875" style="2" customWidth="1"/>
    <col min="3822" max="3822" width="21" style="2" customWidth="1"/>
    <col min="3823" max="3823" width="1.85546875" style="2" customWidth="1"/>
    <col min="3824" max="3825" width="18.5703125" style="2" bestFit="1" customWidth="1"/>
    <col min="3826" max="3827" width="9.140625" style="2"/>
    <col min="3828" max="3828" width="14.28515625" style="2" bestFit="1" customWidth="1"/>
    <col min="3829" max="4073" width="9.140625" style="2"/>
    <col min="4074" max="4074" width="3.28515625" style="2" customWidth="1"/>
    <col min="4075" max="4075" width="48.28515625" style="2" customWidth="1"/>
    <col min="4076" max="4076" width="9.140625" style="2" customWidth="1"/>
    <col min="4077" max="4077" width="17.85546875" style="2" customWidth="1"/>
    <col min="4078" max="4078" width="21" style="2" customWidth="1"/>
    <col min="4079" max="4079" width="1.85546875" style="2" customWidth="1"/>
    <col min="4080" max="4081" width="18.5703125" style="2" bestFit="1" customWidth="1"/>
    <col min="4082" max="4083" width="9.140625" style="2"/>
    <col min="4084" max="4084" width="14.28515625" style="2" bestFit="1" customWidth="1"/>
    <col min="4085" max="4329" width="9.140625" style="2"/>
    <col min="4330" max="4330" width="3.28515625" style="2" customWidth="1"/>
    <col min="4331" max="4331" width="48.28515625" style="2" customWidth="1"/>
    <col min="4332" max="4332" width="9.140625" style="2" customWidth="1"/>
    <col min="4333" max="4333" width="17.85546875" style="2" customWidth="1"/>
    <col min="4334" max="4334" width="21" style="2" customWidth="1"/>
    <col min="4335" max="4335" width="1.85546875" style="2" customWidth="1"/>
    <col min="4336" max="4337" width="18.5703125" style="2" bestFit="1" customWidth="1"/>
    <col min="4338" max="4339" width="9.140625" style="2"/>
    <col min="4340" max="4340" width="14.28515625" style="2" bestFit="1" customWidth="1"/>
    <col min="4341" max="4585" width="9.140625" style="2"/>
    <col min="4586" max="4586" width="3.28515625" style="2" customWidth="1"/>
    <col min="4587" max="4587" width="48.28515625" style="2" customWidth="1"/>
    <col min="4588" max="4588" width="9.140625" style="2" customWidth="1"/>
    <col min="4589" max="4589" width="17.85546875" style="2" customWidth="1"/>
    <col min="4590" max="4590" width="21" style="2" customWidth="1"/>
    <col min="4591" max="4591" width="1.85546875" style="2" customWidth="1"/>
    <col min="4592" max="4593" width="18.5703125" style="2" bestFit="1" customWidth="1"/>
    <col min="4594" max="4595" width="9.140625" style="2"/>
    <col min="4596" max="4596" width="14.28515625" style="2" bestFit="1" customWidth="1"/>
    <col min="4597" max="4841" width="9.140625" style="2"/>
    <col min="4842" max="4842" width="3.28515625" style="2" customWidth="1"/>
    <col min="4843" max="4843" width="48.28515625" style="2" customWidth="1"/>
    <col min="4844" max="4844" width="9.140625" style="2" customWidth="1"/>
    <col min="4845" max="4845" width="17.85546875" style="2" customWidth="1"/>
    <col min="4846" max="4846" width="21" style="2" customWidth="1"/>
    <col min="4847" max="4847" width="1.85546875" style="2" customWidth="1"/>
    <col min="4848" max="4849" width="18.5703125" style="2" bestFit="1" customWidth="1"/>
    <col min="4850" max="4851" width="9.140625" style="2"/>
    <col min="4852" max="4852" width="14.28515625" style="2" bestFit="1" customWidth="1"/>
    <col min="4853" max="5097" width="9.140625" style="2"/>
    <col min="5098" max="5098" width="3.28515625" style="2" customWidth="1"/>
    <col min="5099" max="5099" width="48.28515625" style="2" customWidth="1"/>
    <col min="5100" max="5100" width="9.140625" style="2" customWidth="1"/>
    <col min="5101" max="5101" width="17.85546875" style="2" customWidth="1"/>
    <col min="5102" max="5102" width="21" style="2" customWidth="1"/>
    <col min="5103" max="5103" width="1.85546875" style="2" customWidth="1"/>
    <col min="5104" max="5105" width="18.5703125" style="2" bestFit="1" customWidth="1"/>
    <col min="5106" max="5107" width="9.140625" style="2"/>
    <col min="5108" max="5108" width="14.28515625" style="2" bestFit="1" customWidth="1"/>
    <col min="5109" max="5353" width="9.140625" style="2"/>
    <col min="5354" max="5354" width="3.28515625" style="2" customWidth="1"/>
    <col min="5355" max="5355" width="48.28515625" style="2" customWidth="1"/>
    <col min="5356" max="5356" width="9.140625" style="2" customWidth="1"/>
    <col min="5357" max="5357" width="17.85546875" style="2" customWidth="1"/>
    <col min="5358" max="5358" width="21" style="2" customWidth="1"/>
    <col min="5359" max="5359" width="1.85546875" style="2" customWidth="1"/>
    <col min="5360" max="5361" width="18.5703125" style="2" bestFit="1" customWidth="1"/>
    <col min="5362" max="5363" width="9.140625" style="2"/>
    <col min="5364" max="5364" width="14.28515625" style="2" bestFit="1" customWidth="1"/>
    <col min="5365" max="5609" width="9.140625" style="2"/>
    <col min="5610" max="5610" width="3.28515625" style="2" customWidth="1"/>
    <col min="5611" max="5611" width="48.28515625" style="2" customWidth="1"/>
    <col min="5612" max="5612" width="9.140625" style="2" customWidth="1"/>
    <col min="5613" max="5613" width="17.85546875" style="2" customWidth="1"/>
    <col min="5614" max="5614" width="21" style="2" customWidth="1"/>
    <col min="5615" max="5615" width="1.85546875" style="2" customWidth="1"/>
    <col min="5616" max="5617" width="18.5703125" style="2" bestFit="1" customWidth="1"/>
    <col min="5618" max="5619" width="9.140625" style="2"/>
    <col min="5620" max="5620" width="14.28515625" style="2" bestFit="1" customWidth="1"/>
    <col min="5621" max="5865" width="9.140625" style="2"/>
    <col min="5866" max="5866" width="3.28515625" style="2" customWidth="1"/>
    <col min="5867" max="5867" width="48.28515625" style="2" customWidth="1"/>
    <col min="5868" max="5868" width="9.140625" style="2" customWidth="1"/>
    <col min="5869" max="5869" width="17.85546875" style="2" customWidth="1"/>
    <col min="5870" max="5870" width="21" style="2" customWidth="1"/>
    <col min="5871" max="5871" width="1.85546875" style="2" customWidth="1"/>
    <col min="5872" max="5873" width="18.5703125" style="2" bestFit="1" customWidth="1"/>
    <col min="5874" max="5875" width="9.140625" style="2"/>
    <col min="5876" max="5876" width="14.28515625" style="2" bestFit="1" customWidth="1"/>
    <col min="5877" max="6121" width="9.140625" style="2"/>
    <col min="6122" max="6122" width="3.28515625" style="2" customWidth="1"/>
    <col min="6123" max="6123" width="48.28515625" style="2" customWidth="1"/>
    <col min="6124" max="6124" width="9.140625" style="2" customWidth="1"/>
    <col min="6125" max="6125" width="17.85546875" style="2" customWidth="1"/>
    <col min="6126" max="6126" width="21" style="2" customWidth="1"/>
    <col min="6127" max="6127" width="1.85546875" style="2" customWidth="1"/>
    <col min="6128" max="6129" width="18.5703125" style="2" bestFit="1" customWidth="1"/>
    <col min="6130" max="6131" width="9.140625" style="2"/>
    <col min="6132" max="6132" width="14.28515625" style="2" bestFit="1" customWidth="1"/>
    <col min="6133" max="6377" width="9.140625" style="2"/>
    <col min="6378" max="6378" width="3.28515625" style="2" customWidth="1"/>
    <col min="6379" max="6379" width="48.28515625" style="2" customWidth="1"/>
    <col min="6380" max="6380" width="9.140625" style="2" customWidth="1"/>
    <col min="6381" max="6381" width="17.85546875" style="2" customWidth="1"/>
    <col min="6382" max="6382" width="21" style="2" customWidth="1"/>
    <col min="6383" max="6383" width="1.85546875" style="2" customWidth="1"/>
    <col min="6384" max="6385" width="18.5703125" style="2" bestFit="1" customWidth="1"/>
    <col min="6386" max="6387" width="9.140625" style="2"/>
    <col min="6388" max="6388" width="14.28515625" style="2" bestFit="1" customWidth="1"/>
    <col min="6389" max="6633" width="9.140625" style="2"/>
    <col min="6634" max="6634" width="3.28515625" style="2" customWidth="1"/>
    <col min="6635" max="6635" width="48.28515625" style="2" customWidth="1"/>
    <col min="6636" max="6636" width="9.140625" style="2" customWidth="1"/>
    <col min="6637" max="6637" width="17.85546875" style="2" customWidth="1"/>
    <col min="6638" max="6638" width="21" style="2" customWidth="1"/>
    <col min="6639" max="6639" width="1.85546875" style="2" customWidth="1"/>
    <col min="6640" max="6641" width="18.5703125" style="2" bestFit="1" customWidth="1"/>
    <col min="6642" max="6643" width="9.140625" style="2"/>
    <col min="6644" max="6644" width="14.28515625" style="2" bestFit="1" customWidth="1"/>
    <col min="6645" max="6889" width="9.140625" style="2"/>
    <col min="6890" max="6890" width="3.28515625" style="2" customWidth="1"/>
    <col min="6891" max="6891" width="48.28515625" style="2" customWidth="1"/>
    <col min="6892" max="6892" width="9.140625" style="2" customWidth="1"/>
    <col min="6893" max="6893" width="17.85546875" style="2" customWidth="1"/>
    <col min="6894" max="6894" width="21" style="2" customWidth="1"/>
    <col min="6895" max="6895" width="1.85546875" style="2" customWidth="1"/>
    <col min="6896" max="6897" width="18.5703125" style="2" bestFit="1" customWidth="1"/>
    <col min="6898" max="6899" width="9.140625" style="2"/>
    <col min="6900" max="6900" width="14.28515625" style="2" bestFit="1" customWidth="1"/>
    <col min="6901" max="7145" width="9.140625" style="2"/>
    <col min="7146" max="7146" width="3.28515625" style="2" customWidth="1"/>
    <col min="7147" max="7147" width="48.28515625" style="2" customWidth="1"/>
    <col min="7148" max="7148" width="9.140625" style="2" customWidth="1"/>
    <col min="7149" max="7149" width="17.85546875" style="2" customWidth="1"/>
    <col min="7150" max="7150" width="21" style="2" customWidth="1"/>
    <col min="7151" max="7151" width="1.85546875" style="2" customWidth="1"/>
    <col min="7152" max="7153" width="18.5703125" style="2" bestFit="1" customWidth="1"/>
    <col min="7154" max="7155" width="9.140625" style="2"/>
    <col min="7156" max="7156" width="14.28515625" style="2" bestFit="1" customWidth="1"/>
    <col min="7157" max="7401" width="9.140625" style="2"/>
    <col min="7402" max="7402" width="3.28515625" style="2" customWidth="1"/>
    <col min="7403" max="7403" width="48.28515625" style="2" customWidth="1"/>
    <col min="7404" max="7404" width="9.140625" style="2" customWidth="1"/>
    <col min="7405" max="7405" width="17.85546875" style="2" customWidth="1"/>
    <col min="7406" max="7406" width="21" style="2" customWidth="1"/>
    <col min="7407" max="7407" width="1.85546875" style="2" customWidth="1"/>
    <col min="7408" max="7409" width="18.5703125" style="2" bestFit="1" customWidth="1"/>
    <col min="7410" max="7411" width="9.140625" style="2"/>
    <col min="7412" max="7412" width="14.28515625" style="2" bestFit="1" customWidth="1"/>
    <col min="7413" max="7657" width="9.140625" style="2"/>
    <col min="7658" max="7658" width="3.28515625" style="2" customWidth="1"/>
    <col min="7659" max="7659" width="48.28515625" style="2" customWidth="1"/>
    <col min="7660" max="7660" width="9.140625" style="2" customWidth="1"/>
    <col min="7661" max="7661" width="17.85546875" style="2" customWidth="1"/>
    <col min="7662" max="7662" width="21" style="2" customWidth="1"/>
    <col min="7663" max="7663" width="1.85546875" style="2" customWidth="1"/>
    <col min="7664" max="7665" width="18.5703125" style="2" bestFit="1" customWidth="1"/>
    <col min="7666" max="7667" width="9.140625" style="2"/>
    <col min="7668" max="7668" width="14.28515625" style="2" bestFit="1" customWidth="1"/>
    <col min="7669" max="7913" width="9.140625" style="2"/>
    <col min="7914" max="7914" width="3.28515625" style="2" customWidth="1"/>
    <col min="7915" max="7915" width="48.28515625" style="2" customWidth="1"/>
    <col min="7916" max="7916" width="9.140625" style="2" customWidth="1"/>
    <col min="7917" max="7917" width="17.85546875" style="2" customWidth="1"/>
    <col min="7918" max="7918" width="21" style="2" customWidth="1"/>
    <col min="7919" max="7919" width="1.85546875" style="2" customWidth="1"/>
    <col min="7920" max="7921" width="18.5703125" style="2" bestFit="1" customWidth="1"/>
    <col min="7922" max="7923" width="9.140625" style="2"/>
    <col min="7924" max="7924" width="14.28515625" style="2" bestFit="1" customWidth="1"/>
    <col min="7925" max="8169" width="9.140625" style="2"/>
    <col min="8170" max="8170" width="3.28515625" style="2" customWidth="1"/>
    <col min="8171" max="8171" width="48.28515625" style="2" customWidth="1"/>
    <col min="8172" max="8172" width="9.140625" style="2" customWidth="1"/>
    <col min="8173" max="8173" width="17.85546875" style="2" customWidth="1"/>
    <col min="8174" max="8174" width="21" style="2" customWidth="1"/>
    <col min="8175" max="8175" width="1.85546875" style="2" customWidth="1"/>
    <col min="8176" max="8177" width="18.5703125" style="2" bestFit="1" customWidth="1"/>
    <col min="8178" max="8179" width="9.140625" style="2"/>
    <col min="8180" max="8180" width="14.28515625" style="2" bestFit="1" customWidth="1"/>
    <col min="8181" max="8425" width="9.140625" style="2"/>
    <col min="8426" max="8426" width="3.28515625" style="2" customWidth="1"/>
    <col min="8427" max="8427" width="48.28515625" style="2" customWidth="1"/>
    <col min="8428" max="8428" width="9.140625" style="2" customWidth="1"/>
    <col min="8429" max="8429" width="17.85546875" style="2" customWidth="1"/>
    <col min="8430" max="8430" width="21" style="2" customWidth="1"/>
    <col min="8431" max="8431" width="1.85546875" style="2" customWidth="1"/>
    <col min="8432" max="8433" width="18.5703125" style="2" bestFit="1" customWidth="1"/>
    <col min="8434" max="8435" width="9.140625" style="2"/>
    <col min="8436" max="8436" width="14.28515625" style="2" bestFit="1" customWidth="1"/>
    <col min="8437" max="8681" width="9.140625" style="2"/>
    <col min="8682" max="8682" width="3.28515625" style="2" customWidth="1"/>
    <col min="8683" max="8683" width="48.28515625" style="2" customWidth="1"/>
    <col min="8684" max="8684" width="9.140625" style="2" customWidth="1"/>
    <col min="8685" max="8685" width="17.85546875" style="2" customWidth="1"/>
    <col min="8686" max="8686" width="21" style="2" customWidth="1"/>
    <col min="8687" max="8687" width="1.85546875" style="2" customWidth="1"/>
    <col min="8688" max="8689" width="18.5703125" style="2" bestFit="1" customWidth="1"/>
    <col min="8690" max="8691" width="9.140625" style="2"/>
    <col min="8692" max="8692" width="14.28515625" style="2" bestFit="1" customWidth="1"/>
    <col min="8693" max="8937" width="9.140625" style="2"/>
    <col min="8938" max="8938" width="3.28515625" style="2" customWidth="1"/>
    <col min="8939" max="8939" width="48.28515625" style="2" customWidth="1"/>
    <col min="8940" max="8940" width="9.140625" style="2" customWidth="1"/>
    <col min="8941" max="8941" width="17.85546875" style="2" customWidth="1"/>
    <col min="8942" max="8942" width="21" style="2" customWidth="1"/>
    <col min="8943" max="8943" width="1.85546875" style="2" customWidth="1"/>
    <col min="8944" max="8945" width="18.5703125" style="2" bestFit="1" customWidth="1"/>
    <col min="8946" max="8947" width="9.140625" style="2"/>
    <col min="8948" max="8948" width="14.28515625" style="2" bestFit="1" customWidth="1"/>
    <col min="8949" max="9193" width="9.140625" style="2"/>
    <col min="9194" max="9194" width="3.28515625" style="2" customWidth="1"/>
    <col min="9195" max="9195" width="48.28515625" style="2" customWidth="1"/>
    <col min="9196" max="9196" width="9.140625" style="2" customWidth="1"/>
    <col min="9197" max="9197" width="17.85546875" style="2" customWidth="1"/>
    <col min="9198" max="9198" width="21" style="2" customWidth="1"/>
    <col min="9199" max="9199" width="1.85546875" style="2" customWidth="1"/>
    <col min="9200" max="9201" width="18.5703125" style="2" bestFit="1" customWidth="1"/>
    <col min="9202" max="9203" width="9.140625" style="2"/>
    <col min="9204" max="9204" width="14.28515625" style="2" bestFit="1" customWidth="1"/>
    <col min="9205" max="9449" width="9.140625" style="2"/>
    <col min="9450" max="9450" width="3.28515625" style="2" customWidth="1"/>
    <col min="9451" max="9451" width="48.28515625" style="2" customWidth="1"/>
    <col min="9452" max="9452" width="9.140625" style="2" customWidth="1"/>
    <col min="9453" max="9453" width="17.85546875" style="2" customWidth="1"/>
    <col min="9454" max="9454" width="21" style="2" customWidth="1"/>
    <col min="9455" max="9455" width="1.85546875" style="2" customWidth="1"/>
    <col min="9456" max="9457" width="18.5703125" style="2" bestFit="1" customWidth="1"/>
    <col min="9458" max="9459" width="9.140625" style="2"/>
    <col min="9460" max="9460" width="14.28515625" style="2" bestFit="1" customWidth="1"/>
    <col min="9461" max="9705" width="9.140625" style="2"/>
    <col min="9706" max="9706" width="3.28515625" style="2" customWidth="1"/>
    <col min="9707" max="9707" width="48.28515625" style="2" customWidth="1"/>
    <col min="9708" max="9708" width="9.140625" style="2" customWidth="1"/>
    <col min="9709" max="9709" width="17.85546875" style="2" customWidth="1"/>
    <col min="9710" max="9710" width="21" style="2" customWidth="1"/>
    <col min="9711" max="9711" width="1.85546875" style="2" customWidth="1"/>
    <col min="9712" max="9713" width="18.5703125" style="2" bestFit="1" customWidth="1"/>
    <col min="9714" max="9715" width="9.140625" style="2"/>
    <col min="9716" max="9716" width="14.28515625" style="2" bestFit="1" customWidth="1"/>
    <col min="9717" max="9961" width="9.140625" style="2"/>
    <col min="9962" max="9962" width="3.28515625" style="2" customWidth="1"/>
    <col min="9963" max="9963" width="48.28515625" style="2" customWidth="1"/>
    <col min="9964" max="9964" width="9.140625" style="2" customWidth="1"/>
    <col min="9965" max="9965" width="17.85546875" style="2" customWidth="1"/>
    <col min="9966" max="9966" width="21" style="2" customWidth="1"/>
    <col min="9967" max="9967" width="1.85546875" style="2" customWidth="1"/>
    <col min="9968" max="9969" width="18.5703125" style="2" bestFit="1" customWidth="1"/>
    <col min="9970" max="9971" width="9.140625" style="2"/>
    <col min="9972" max="9972" width="14.28515625" style="2" bestFit="1" customWidth="1"/>
    <col min="9973" max="10217" width="9.140625" style="2"/>
    <col min="10218" max="10218" width="3.28515625" style="2" customWidth="1"/>
    <col min="10219" max="10219" width="48.28515625" style="2" customWidth="1"/>
    <col min="10220" max="10220" width="9.140625" style="2" customWidth="1"/>
    <col min="10221" max="10221" width="17.85546875" style="2" customWidth="1"/>
    <col min="10222" max="10222" width="21" style="2" customWidth="1"/>
    <col min="10223" max="10223" width="1.85546875" style="2" customWidth="1"/>
    <col min="10224" max="10225" width="18.5703125" style="2" bestFit="1" customWidth="1"/>
    <col min="10226" max="10227" width="9.140625" style="2"/>
    <col min="10228" max="10228" width="14.28515625" style="2" bestFit="1" customWidth="1"/>
    <col min="10229" max="10473" width="9.140625" style="2"/>
    <col min="10474" max="10474" width="3.28515625" style="2" customWidth="1"/>
    <col min="10475" max="10475" width="48.28515625" style="2" customWidth="1"/>
    <col min="10476" max="10476" width="9.140625" style="2" customWidth="1"/>
    <col min="10477" max="10477" width="17.85546875" style="2" customWidth="1"/>
    <col min="10478" max="10478" width="21" style="2" customWidth="1"/>
    <col min="10479" max="10479" width="1.85546875" style="2" customWidth="1"/>
    <col min="10480" max="10481" width="18.5703125" style="2" bestFit="1" customWidth="1"/>
    <col min="10482" max="10483" width="9.140625" style="2"/>
    <col min="10484" max="10484" width="14.28515625" style="2" bestFit="1" customWidth="1"/>
    <col min="10485" max="10729" width="9.140625" style="2"/>
    <col min="10730" max="10730" width="3.28515625" style="2" customWidth="1"/>
    <col min="10731" max="10731" width="48.28515625" style="2" customWidth="1"/>
    <col min="10732" max="10732" width="9.140625" style="2" customWidth="1"/>
    <col min="10733" max="10733" width="17.85546875" style="2" customWidth="1"/>
    <col min="10734" max="10734" width="21" style="2" customWidth="1"/>
    <col min="10735" max="10735" width="1.85546875" style="2" customWidth="1"/>
    <col min="10736" max="10737" width="18.5703125" style="2" bestFit="1" customWidth="1"/>
    <col min="10738" max="10739" width="9.140625" style="2"/>
    <col min="10740" max="10740" width="14.28515625" style="2" bestFit="1" customWidth="1"/>
    <col min="10741" max="10985" width="9.140625" style="2"/>
    <col min="10986" max="10986" width="3.28515625" style="2" customWidth="1"/>
    <col min="10987" max="10987" width="48.28515625" style="2" customWidth="1"/>
    <col min="10988" max="10988" width="9.140625" style="2" customWidth="1"/>
    <col min="10989" max="10989" width="17.85546875" style="2" customWidth="1"/>
    <col min="10990" max="10990" width="21" style="2" customWidth="1"/>
    <col min="10991" max="10991" width="1.85546875" style="2" customWidth="1"/>
    <col min="10992" max="10993" width="18.5703125" style="2" bestFit="1" customWidth="1"/>
    <col min="10994" max="10995" width="9.140625" style="2"/>
    <col min="10996" max="10996" width="14.28515625" style="2" bestFit="1" customWidth="1"/>
    <col min="10997" max="11241" width="9.140625" style="2"/>
    <col min="11242" max="11242" width="3.28515625" style="2" customWidth="1"/>
    <col min="11243" max="11243" width="48.28515625" style="2" customWidth="1"/>
    <col min="11244" max="11244" width="9.140625" style="2" customWidth="1"/>
    <col min="11245" max="11245" width="17.85546875" style="2" customWidth="1"/>
    <col min="11246" max="11246" width="21" style="2" customWidth="1"/>
    <col min="11247" max="11247" width="1.85546875" style="2" customWidth="1"/>
    <col min="11248" max="11249" width="18.5703125" style="2" bestFit="1" customWidth="1"/>
    <col min="11250" max="11251" width="9.140625" style="2"/>
    <col min="11252" max="11252" width="14.28515625" style="2" bestFit="1" customWidth="1"/>
    <col min="11253" max="11497" width="9.140625" style="2"/>
    <col min="11498" max="11498" width="3.28515625" style="2" customWidth="1"/>
    <col min="11499" max="11499" width="48.28515625" style="2" customWidth="1"/>
    <col min="11500" max="11500" width="9.140625" style="2" customWidth="1"/>
    <col min="11501" max="11501" width="17.85546875" style="2" customWidth="1"/>
    <col min="11502" max="11502" width="21" style="2" customWidth="1"/>
    <col min="11503" max="11503" width="1.85546875" style="2" customWidth="1"/>
    <col min="11504" max="11505" width="18.5703125" style="2" bestFit="1" customWidth="1"/>
    <col min="11506" max="11507" width="9.140625" style="2"/>
    <col min="11508" max="11508" width="14.28515625" style="2" bestFit="1" customWidth="1"/>
    <col min="11509" max="11753" width="9.140625" style="2"/>
    <col min="11754" max="11754" width="3.28515625" style="2" customWidth="1"/>
    <col min="11755" max="11755" width="48.28515625" style="2" customWidth="1"/>
    <col min="11756" max="11756" width="9.140625" style="2" customWidth="1"/>
    <col min="11757" max="11757" width="17.85546875" style="2" customWidth="1"/>
    <col min="11758" max="11758" width="21" style="2" customWidth="1"/>
    <col min="11759" max="11759" width="1.85546875" style="2" customWidth="1"/>
    <col min="11760" max="11761" width="18.5703125" style="2" bestFit="1" customWidth="1"/>
    <col min="11762" max="11763" width="9.140625" style="2"/>
    <col min="11764" max="11764" width="14.28515625" style="2" bestFit="1" customWidth="1"/>
    <col min="11765" max="12009" width="9.140625" style="2"/>
    <col min="12010" max="12010" width="3.28515625" style="2" customWidth="1"/>
    <col min="12011" max="12011" width="48.28515625" style="2" customWidth="1"/>
    <col min="12012" max="12012" width="9.140625" style="2" customWidth="1"/>
    <col min="12013" max="12013" width="17.85546875" style="2" customWidth="1"/>
    <col min="12014" max="12014" width="21" style="2" customWidth="1"/>
    <col min="12015" max="12015" width="1.85546875" style="2" customWidth="1"/>
    <col min="12016" max="12017" width="18.5703125" style="2" bestFit="1" customWidth="1"/>
    <col min="12018" max="12019" width="9.140625" style="2"/>
    <col min="12020" max="12020" width="14.28515625" style="2" bestFit="1" customWidth="1"/>
    <col min="12021" max="12265" width="9.140625" style="2"/>
    <col min="12266" max="12266" width="3.28515625" style="2" customWidth="1"/>
    <col min="12267" max="12267" width="48.28515625" style="2" customWidth="1"/>
    <col min="12268" max="12268" width="9.140625" style="2" customWidth="1"/>
    <col min="12269" max="12269" width="17.85546875" style="2" customWidth="1"/>
    <col min="12270" max="12270" width="21" style="2" customWidth="1"/>
    <col min="12271" max="12271" width="1.85546875" style="2" customWidth="1"/>
    <col min="12272" max="12273" width="18.5703125" style="2" bestFit="1" customWidth="1"/>
    <col min="12274" max="12275" width="9.140625" style="2"/>
    <col min="12276" max="12276" width="14.28515625" style="2" bestFit="1" customWidth="1"/>
    <col min="12277" max="12521" width="9.140625" style="2"/>
    <col min="12522" max="12522" width="3.28515625" style="2" customWidth="1"/>
    <col min="12523" max="12523" width="48.28515625" style="2" customWidth="1"/>
    <col min="12524" max="12524" width="9.140625" style="2" customWidth="1"/>
    <col min="12525" max="12525" width="17.85546875" style="2" customWidth="1"/>
    <col min="12526" max="12526" width="21" style="2" customWidth="1"/>
    <col min="12527" max="12527" width="1.85546875" style="2" customWidth="1"/>
    <col min="12528" max="12529" width="18.5703125" style="2" bestFit="1" customWidth="1"/>
    <col min="12530" max="12531" width="9.140625" style="2"/>
    <col min="12532" max="12532" width="14.28515625" style="2" bestFit="1" customWidth="1"/>
    <col min="12533" max="12777" width="9.140625" style="2"/>
    <col min="12778" max="12778" width="3.28515625" style="2" customWidth="1"/>
    <col min="12779" max="12779" width="48.28515625" style="2" customWidth="1"/>
    <col min="12780" max="12780" width="9.140625" style="2" customWidth="1"/>
    <col min="12781" max="12781" width="17.85546875" style="2" customWidth="1"/>
    <col min="12782" max="12782" width="21" style="2" customWidth="1"/>
    <col min="12783" max="12783" width="1.85546875" style="2" customWidth="1"/>
    <col min="12784" max="12785" width="18.5703125" style="2" bestFit="1" customWidth="1"/>
    <col min="12786" max="12787" width="9.140625" style="2"/>
    <col min="12788" max="12788" width="14.28515625" style="2" bestFit="1" customWidth="1"/>
    <col min="12789" max="13033" width="9.140625" style="2"/>
    <col min="13034" max="13034" width="3.28515625" style="2" customWidth="1"/>
    <col min="13035" max="13035" width="48.28515625" style="2" customWidth="1"/>
    <col min="13036" max="13036" width="9.140625" style="2" customWidth="1"/>
    <col min="13037" max="13037" width="17.85546875" style="2" customWidth="1"/>
    <col min="13038" max="13038" width="21" style="2" customWidth="1"/>
    <col min="13039" max="13039" width="1.85546875" style="2" customWidth="1"/>
    <col min="13040" max="13041" width="18.5703125" style="2" bestFit="1" customWidth="1"/>
    <col min="13042" max="13043" width="9.140625" style="2"/>
    <col min="13044" max="13044" width="14.28515625" style="2" bestFit="1" customWidth="1"/>
    <col min="13045" max="13289" width="9.140625" style="2"/>
    <col min="13290" max="13290" width="3.28515625" style="2" customWidth="1"/>
    <col min="13291" max="13291" width="48.28515625" style="2" customWidth="1"/>
    <col min="13292" max="13292" width="9.140625" style="2" customWidth="1"/>
    <col min="13293" max="13293" width="17.85546875" style="2" customWidth="1"/>
    <col min="13294" max="13294" width="21" style="2" customWidth="1"/>
    <col min="13295" max="13295" width="1.85546875" style="2" customWidth="1"/>
    <col min="13296" max="13297" width="18.5703125" style="2" bestFit="1" customWidth="1"/>
    <col min="13298" max="13299" width="9.140625" style="2"/>
    <col min="13300" max="13300" width="14.28515625" style="2" bestFit="1" customWidth="1"/>
    <col min="13301" max="13545" width="9.140625" style="2"/>
    <col min="13546" max="13546" width="3.28515625" style="2" customWidth="1"/>
    <col min="13547" max="13547" width="48.28515625" style="2" customWidth="1"/>
    <col min="13548" max="13548" width="9.140625" style="2" customWidth="1"/>
    <col min="13549" max="13549" width="17.85546875" style="2" customWidth="1"/>
    <col min="13550" max="13550" width="21" style="2" customWidth="1"/>
    <col min="13551" max="13551" width="1.85546875" style="2" customWidth="1"/>
    <col min="13552" max="13553" width="18.5703125" style="2" bestFit="1" customWidth="1"/>
    <col min="13554" max="13555" width="9.140625" style="2"/>
    <col min="13556" max="13556" width="14.28515625" style="2" bestFit="1" customWidth="1"/>
    <col min="13557" max="13801" width="9.140625" style="2"/>
    <col min="13802" max="13802" width="3.28515625" style="2" customWidth="1"/>
    <col min="13803" max="13803" width="48.28515625" style="2" customWidth="1"/>
    <col min="13804" max="13804" width="9.140625" style="2" customWidth="1"/>
    <col min="13805" max="13805" width="17.85546875" style="2" customWidth="1"/>
    <col min="13806" max="13806" width="21" style="2" customWidth="1"/>
    <col min="13807" max="13807" width="1.85546875" style="2" customWidth="1"/>
    <col min="13808" max="13809" width="18.5703125" style="2" bestFit="1" customWidth="1"/>
    <col min="13810" max="13811" width="9.140625" style="2"/>
    <col min="13812" max="13812" width="14.28515625" style="2" bestFit="1" customWidth="1"/>
    <col min="13813" max="14057" width="9.140625" style="2"/>
    <col min="14058" max="14058" width="3.28515625" style="2" customWidth="1"/>
    <col min="14059" max="14059" width="48.28515625" style="2" customWidth="1"/>
    <col min="14060" max="14060" width="9.140625" style="2" customWidth="1"/>
    <col min="14061" max="14061" width="17.85546875" style="2" customWidth="1"/>
    <col min="14062" max="14062" width="21" style="2" customWidth="1"/>
    <col min="14063" max="14063" width="1.85546875" style="2" customWidth="1"/>
    <col min="14064" max="14065" width="18.5703125" style="2" bestFit="1" customWidth="1"/>
    <col min="14066" max="14067" width="9.140625" style="2"/>
    <col min="14068" max="14068" width="14.28515625" style="2" bestFit="1" customWidth="1"/>
    <col min="14069" max="14313" width="9.140625" style="2"/>
    <col min="14314" max="14314" width="3.28515625" style="2" customWidth="1"/>
    <col min="14315" max="14315" width="48.28515625" style="2" customWidth="1"/>
    <col min="14316" max="14316" width="9.140625" style="2" customWidth="1"/>
    <col min="14317" max="14317" width="17.85546875" style="2" customWidth="1"/>
    <col min="14318" max="14318" width="21" style="2" customWidth="1"/>
    <col min="14319" max="14319" width="1.85546875" style="2" customWidth="1"/>
    <col min="14320" max="14321" width="18.5703125" style="2" bestFit="1" customWidth="1"/>
    <col min="14322" max="14323" width="9.140625" style="2"/>
    <col min="14324" max="14324" width="14.28515625" style="2" bestFit="1" customWidth="1"/>
    <col min="14325" max="14569" width="9.140625" style="2"/>
    <col min="14570" max="14570" width="3.28515625" style="2" customWidth="1"/>
    <col min="14571" max="14571" width="48.28515625" style="2" customWidth="1"/>
    <col min="14572" max="14572" width="9.140625" style="2" customWidth="1"/>
    <col min="14573" max="14573" width="17.85546875" style="2" customWidth="1"/>
    <col min="14574" max="14574" width="21" style="2" customWidth="1"/>
    <col min="14575" max="14575" width="1.85546875" style="2" customWidth="1"/>
    <col min="14576" max="14577" width="18.5703125" style="2" bestFit="1" customWidth="1"/>
    <col min="14578" max="14579" width="9.140625" style="2"/>
    <col min="14580" max="14580" width="14.28515625" style="2" bestFit="1" customWidth="1"/>
    <col min="14581" max="14825" width="9.140625" style="2"/>
    <col min="14826" max="14826" width="3.28515625" style="2" customWidth="1"/>
    <col min="14827" max="14827" width="48.28515625" style="2" customWidth="1"/>
    <col min="14828" max="14828" width="9.140625" style="2" customWidth="1"/>
    <col min="14829" max="14829" width="17.85546875" style="2" customWidth="1"/>
    <col min="14830" max="14830" width="21" style="2" customWidth="1"/>
    <col min="14831" max="14831" width="1.85546875" style="2" customWidth="1"/>
    <col min="14832" max="14833" width="18.5703125" style="2" bestFit="1" customWidth="1"/>
    <col min="14834" max="14835" width="9.140625" style="2"/>
    <col min="14836" max="14836" width="14.28515625" style="2" bestFit="1" customWidth="1"/>
    <col min="14837" max="15081" width="9.140625" style="2"/>
    <col min="15082" max="15082" width="3.28515625" style="2" customWidth="1"/>
    <col min="15083" max="15083" width="48.28515625" style="2" customWidth="1"/>
    <col min="15084" max="15084" width="9.140625" style="2" customWidth="1"/>
    <col min="15085" max="15085" width="17.85546875" style="2" customWidth="1"/>
    <col min="15086" max="15086" width="21" style="2" customWidth="1"/>
    <col min="15087" max="15087" width="1.85546875" style="2" customWidth="1"/>
    <col min="15088" max="15089" width="18.5703125" style="2" bestFit="1" customWidth="1"/>
    <col min="15090" max="15091" width="9.140625" style="2"/>
    <col min="15092" max="15092" width="14.28515625" style="2" bestFit="1" customWidth="1"/>
    <col min="15093" max="15337" width="9.140625" style="2"/>
    <col min="15338" max="15338" width="3.28515625" style="2" customWidth="1"/>
    <col min="15339" max="15339" width="48.28515625" style="2" customWidth="1"/>
    <col min="15340" max="15340" width="9.140625" style="2" customWidth="1"/>
    <col min="15341" max="15341" width="17.85546875" style="2" customWidth="1"/>
    <col min="15342" max="15342" width="21" style="2" customWidth="1"/>
    <col min="15343" max="15343" width="1.85546875" style="2" customWidth="1"/>
    <col min="15344" max="15345" width="18.5703125" style="2" bestFit="1" customWidth="1"/>
    <col min="15346" max="15347" width="9.140625" style="2"/>
    <col min="15348" max="15348" width="14.28515625" style="2" bestFit="1" customWidth="1"/>
    <col min="15349" max="15593" width="9.140625" style="2"/>
    <col min="15594" max="15594" width="3.28515625" style="2" customWidth="1"/>
    <col min="15595" max="15595" width="48.28515625" style="2" customWidth="1"/>
    <col min="15596" max="15596" width="9.140625" style="2" customWidth="1"/>
    <col min="15597" max="15597" width="17.85546875" style="2" customWidth="1"/>
    <col min="15598" max="15598" width="21" style="2" customWidth="1"/>
    <col min="15599" max="15599" width="1.85546875" style="2" customWidth="1"/>
    <col min="15600" max="15601" width="18.5703125" style="2" bestFit="1" customWidth="1"/>
    <col min="15602" max="15603" width="9.140625" style="2"/>
    <col min="15604" max="15604" width="14.28515625" style="2" bestFit="1" customWidth="1"/>
    <col min="15605" max="15849" width="9.140625" style="2"/>
    <col min="15850" max="15850" width="3.28515625" style="2" customWidth="1"/>
    <col min="15851" max="15851" width="48.28515625" style="2" customWidth="1"/>
    <col min="15852" max="15852" width="9.140625" style="2" customWidth="1"/>
    <col min="15853" max="15853" width="17.85546875" style="2" customWidth="1"/>
    <col min="15854" max="15854" width="21" style="2" customWidth="1"/>
    <col min="15855" max="15855" width="1.85546875" style="2" customWidth="1"/>
    <col min="15856" max="15857" width="18.5703125" style="2" bestFit="1" customWidth="1"/>
    <col min="15858" max="15859" width="9.140625" style="2"/>
    <col min="15860" max="15860" width="14.28515625" style="2" bestFit="1" customWidth="1"/>
    <col min="15861" max="16105" width="9.140625" style="2"/>
    <col min="16106" max="16106" width="3.28515625" style="2" customWidth="1"/>
    <col min="16107" max="16107" width="48.28515625" style="2" customWidth="1"/>
    <col min="16108" max="16108" width="9.140625" style="2" customWidth="1"/>
    <col min="16109" max="16109" width="17.85546875" style="2" customWidth="1"/>
    <col min="16110" max="16110" width="21" style="2" customWidth="1"/>
    <col min="16111" max="16111" width="1.85546875" style="2" customWidth="1"/>
    <col min="16112" max="16113" width="18.5703125" style="2" bestFit="1" customWidth="1"/>
    <col min="16114" max="16115" width="9.140625" style="2"/>
    <col min="16116" max="16116" width="14.28515625" style="2" bestFit="1" customWidth="1"/>
    <col min="16117" max="16384" width="9.140625" style="2"/>
  </cols>
  <sheetData>
    <row r="1" spans="1:28" ht="8.25" customHeight="1" thickBot="1" x14ac:dyDescent="0.3"/>
    <row r="2" spans="1:28" ht="24" customHeight="1" x14ac:dyDescent="0.25">
      <c r="B2" s="26" t="s">
        <v>45</v>
      </c>
      <c r="C2" s="19"/>
      <c r="D2" s="19"/>
      <c r="E2" s="19"/>
      <c r="F2" s="19"/>
      <c r="G2" s="19"/>
      <c r="H2" s="19"/>
      <c r="I2" s="19"/>
      <c r="J2" s="19"/>
      <c r="K2" s="19"/>
      <c r="L2" s="19"/>
      <c r="M2" s="19"/>
      <c r="N2" s="19"/>
      <c r="O2" s="19"/>
      <c r="P2" s="19"/>
      <c r="Q2" s="19"/>
      <c r="R2" s="19"/>
      <c r="S2" s="19"/>
      <c r="T2" s="19"/>
      <c r="U2" s="19"/>
      <c r="V2" s="19"/>
      <c r="W2" s="19"/>
      <c r="X2" s="19"/>
      <c r="Y2" s="19"/>
      <c r="Z2" s="19"/>
      <c r="AA2" s="19"/>
      <c r="AB2" s="20"/>
    </row>
    <row r="3" spans="1:28" ht="24" customHeight="1" thickBot="1" x14ac:dyDescent="0.3">
      <c r="B3" s="27" t="s">
        <v>76</v>
      </c>
      <c r="C3" s="9"/>
      <c r="D3" s="9"/>
      <c r="E3" s="9"/>
      <c r="F3" s="9"/>
      <c r="G3" s="9"/>
      <c r="H3" s="9"/>
      <c r="I3" s="9"/>
      <c r="J3" s="9"/>
      <c r="K3" s="9"/>
      <c r="L3" s="9"/>
      <c r="M3" s="9"/>
      <c r="N3" s="9"/>
      <c r="O3" s="9"/>
      <c r="P3" s="9"/>
      <c r="Q3" s="9"/>
      <c r="R3" s="9"/>
      <c r="S3" s="9"/>
      <c r="T3" s="9"/>
      <c r="U3" s="9"/>
      <c r="V3" s="9"/>
      <c r="W3" s="9"/>
      <c r="X3" s="9"/>
      <c r="Y3" s="9"/>
      <c r="Z3" s="9"/>
      <c r="AA3" s="9"/>
      <c r="AB3" s="21"/>
    </row>
    <row r="4" spans="1:28" ht="9.9499999999999993" customHeight="1" x14ac:dyDescent="0.25">
      <c r="B4" s="11"/>
      <c r="C4" s="12"/>
      <c r="D4" s="12"/>
      <c r="E4" s="13"/>
      <c r="F4" s="13"/>
      <c r="G4" s="13"/>
      <c r="H4" s="13"/>
      <c r="I4" s="13"/>
      <c r="J4" s="12"/>
      <c r="K4" s="12"/>
      <c r="L4" s="12"/>
      <c r="M4" s="12"/>
      <c r="N4" s="12"/>
      <c r="O4" s="12"/>
      <c r="P4" s="12"/>
      <c r="Q4" s="12"/>
      <c r="R4" s="12"/>
      <c r="S4" s="12"/>
      <c r="T4" s="12"/>
      <c r="U4" s="12"/>
      <c r="V4" s="12"/>
      <c r="W4" s="12"/>
      <c r="X4" s="12"/>
      <c r="Y4" s="12"/>
      <c r="Z4" s="12"/>
      <c r="AA4" s="12"/>
      <c r="AB4" s="14"/>
    </row>
    <row r="5" spans="1:28" ht="15.75" customHeight="1" x14ac:dyDescent="0.25">
      <c r="B5" s="15"/>
      <c r="C5" s="7"/>
      <c r="D5" s="7"/>
      <c r="E5" s="8"/>
      <c r="F5" s="8"/>
      <c r="G5" s="8"/>
      <c r="H5" s="8"/>
      <c r="I5" s="8"/>
      <c r="AB5" s="16"/>
    </row>
    <row r="6" spans="1:28" ht="20.100000000000001" customHeight="1" x14ac:dyDescent="0.25">
      <c r="A6" s="5" t="s">
        <v>43</v>
      </c>
      <c r="B6" s="15"/>
      <c r="C6" s="54"/>
      <c r="D6" s="54"/>
      <c r="E6" s="218" t="s">
        <v>217</v>
      </c>
      <c r="F6" s="218"/>
      <c r="G6" s="218"/>
      <c r="H6" s="218"/>
      <c r="I6" s="218"/>
      <c r="AB6" s="16"/>
    </row>
    <row r="7" spans="1:28" s="3" customFormat="1" ht="15" customHeight="1" x14ac:dyDescent="0.25">
      <c r="A7" s="6"/>
      <c r="B7" s="17"/>
      <c r="C7" s="22" t="s">
        <v>46</v>
      </c>
      <c r="D7" s="92"/>
      <c r="E7" s="219" t="s">
        <v>175</v>
      </c>
      <c r="F7" s="219"/>
      <c r="G7" s="219"/>
      <c r="H7" s="219"/>
      <c r="I7" s="219"/>
      <c r="K7" s="221" t="s">
        <v>24</v>
      </c>
      <c r="L7" s="222"/>
      <c r="M7" s="222"/>
      <c r="N7" s="222"/>
      <c r="O7" s="223"/>
      <c r="P7" s="10"/>
      <c r="Q7" s="221" t="s">
        <v>144</v>
      </c>
      <c r="R7" s="222"/>
      <c r="S7" s="222"/>
      <c r="T7" s="222"/>
      <c r="U7" s="223"/>
      <c r="W7" s="221" t="s">
        <v>145</v>
      </c>
      <c r="X7" s="222"/>
      <c r="Y7" s="222"/>
      <c r="Z7" s="222"/>
      <c r="AA7" s="223"/>
      <c r="AB7" s="18"/>
    </row>
    <row r="8" spans="1:28" s="32" customFormat="1" ht="15" customHeight="1" x14ac:dyDescent="0.25">
      <c r="A8" s="31"/>
      <c r="B8" s="98"/>
      <c r="C8" s="25" t="s">
        <v>172</v>
      </c>
      <c r="D8" s="93" t="s">
        <v>176</v>
      </c>
      <c r="E8" s="24">
        <v>2020</v>
      </c>
      <c r="F8" s="24">
        <v>2021</v>
      </c>
      <c r="G8" s="24">
        <v>2022</v>
      </c>
      <c r="H8" s="24">
        <v>2023</v>
      </c>
      <c r="I8" s="24">
        <v>2024</v>
      </c>
      <c r="K8" s="23" t="s">
        <v>153</v>
      </c>
      <c r="L8" s="99">
        <v>2021</v>
      </c>
      <c r="M8" s="99">
        <v>2022</v>
      </c>
      <c r="N8" s="99">
        <v>2023</v>
      </c>
      <c r="O8" s="100">
        <v>2024</v>
      </c>
      <c r="P8" s="101"/>
      <c r="Q8" s="23" t="s">
        <v>153</v>
      </c>
      <c r="R8" s="99">
        <v>2021</v>
      </c>
      <c r="S8" s="99">
        <v>2022</v>
      </c>
      <c r="T8" s="99">
        <v>2023</v>
      </c>
      <c r="U8" s="100">
        <v>2024</v>
      </c>
      <c r="W8" s="23" t="s">
        <v>153</v>
      </c>
      <c r="X8" s="99">
        <v>2021</v>
      </c>
      <c r="Y8" s="99">
        <v>2022</v>
      </c>
      <c r="Z8" s="99">
        <v>2023</v>
      </c>
      <c r="AA8" s="100">
        <v>2024</v>
      </c>
      <c r="AB8" s="102"/>
    </row>
    <row r="9" spans="1:28" s="32" customFormat="1" ht="15" customHeight="1" x14ac:dyDescent="0.25">
      <c r="A9" s="31" t="s">
        <v>0</v>
      </c>
      <c r="B9" s="98"/>
      <c r="C9" s="128" t="s">
        <v>128</v>
      </c>
      <c r="D9" s="94">
        <v>1</v>
      </c>
      <c r="E9" s="138">
        <v>6893685.6802465403</v>
      </c>
      <c r="F9" s="138">
        <v>6410590.063736869</v>
      </c>
      <c r="G9" s="139">
        <v>6772387.4885885697</v>
      </c>
      <c r="H9" s="139">
        <v>8709209.8883157112</v>
      </c>
      <c r="I9" s="139">
        <v>7516139.7501705009</v>
      </c>
      <c r="K9" s="103"/>
      <c r="L9" s="104"/>
      <c r="M9" s="104"/>
      <c r="N9" s="104"/>
      <c r="O9" s="105"/>
      <c r="Q9" s="106"/>
      <c r="R9" s="107"/>
      <c r="S9" s="107"/>
      <c r="T9" s="107"/>
      <c r="U9" s="108"/>
      <c r="W9" s="109"/>
      <c r="AA9" s="110"/>
      <c r="AB9" s="102"/>
    </row>
    <row r="10" spans="1:28" s="32" customFormat="1" ht="15" customHeight="1" x14ac:dyDescent="0.25">
      <c r="A10" s="31" t="s">
        <v>2</v>
      </c>
      <c r="B10" s="98"/>
      <c r="C10" s="129" t="s">
        <v>129</v>
      </c>
      <c r="D10" s="182">
        <v>2</v>
      </c>
      <c r="E10" s="140">
        <v>5507054.3742921604</v>
      </c>
      <c r="F10" s="140">
        <v>5044956.9737168392</v>
      </c>
      <c r="G10" s="140">
        <v>5300097.9297150606</v>
      </c>
      <c r="H10" s="140">
        <v>7005448.8877578694</v>
      </c>
      <c r="I10" s="140">
        <v>5911661.2272366704</v>
      </c>
      <c r="K10" s="109"/>
      <c r="O10" s="110"/>
      <c r="Q10" s="109"/>
      <c r="U10" s="110"/>
      <c r="W10" s="109"/>
      <c r="AA10" s="110"/>
      <c r="AB10" s="102"/>
    </row>
    <row r="11" spans="1:28" s="32" customFormat="1" ht="15" customHeight="1" x14ac:dyDescent="0.25">
      <c r="A11" s="31" t="s">
        <v>1</v>
      </c>
      <c r="B11" s="98"/>
      <c r="C11" s="128" t="s">
        <v>130</v>
      </c>
      <c r="D11" s="94">
        <v>3</v>
      </c>
      <c r="E11" s="134">
        <v>1386631.3059543804</v>
      </c>
      <c r="F11" s="135">
        <v>1365633.09002003</v>
      </c>
      <c r="G11" s="139">
        <v>1472289.5588735093</v>
      </c>
      <c r="H11" s="139">
        <v>1703761.0005578417</v>
      </c>
      <c r="I11" s="139">
        <v>1604478.5229338307</v>
      </c>
      <c r="J11" s="111"/>
      <c r="K11" s="109"/>
      <c r="O11" s="110"/>
      <c r="Q11" s="109"/>
      <c r="U11" s="110"/>
      <c r="W11" s="109"/>
      <c r="AA11" s="110"/>
      <c r="AB11" s="102"/>
    </row>
    <row r="12" spans="1:28" s="32" customFormat="1" ht="15" customHeight="1" x14ac:dyDescent="0.25">
      <c r="A12" s="31" t="s">
        <v>4</v>
      </c>
      <c r="B12" s="98"/>
      <c r="C12" s="127" t="s">
        <v>199</v>
      </c>
      <c r="D12" s="95">
        <v>4</v>
      </c>
      <c r="E12" s="136">
        <v>1502440.1227157302</v>
      </c>
      <c r="F12" s="137">
        <v>1795597.29309732</v>
      </c>
      <c r="G12" s="141">
        <v>2085039.1141350497</v>
      </c>
      <c r="H12" s="141">
        <v>2597168.8939073198</v>
      </c>
      <c r="I12" s="141">
        <v>2505120.6478674896</v>
      </c>
      <c r="K12" s="109"/>
      <c r="O12" s="110"/>
      <c r="Q12" s="109"/>
      <c r="U12" s="110"/>
      <c r="W12" s="109"/>
      <c r="AA12" s="110"/>
      <c r="AB12" s="102"/>
    </row>
    <row r="13" spans="1:28" s="32" customFormat="1" ht="15" customHeight="1" x14ac:dyDescent="0.25">
      <c r="A13" s="31" t="s">
        <v>5</v>
      </c>
      <c r="B13" s="98"/>
      <c r="C13" s="177" t="s">
        <v>214</v>
      </c>
      <c r="D13" s="94">
        <v>5</v>
      </c>
      <c r="E13" s="134">
        <v>1131293.0256377002</v>
      </c>
      <c r="F13" s="135">
        <v>1442613.7381428201</v>
      </c>
      <c r="G13" s="139">
        <v>1664040.1301369097</v>
      </c>
      <c r="H13" s="139">
        <v>2087726.62744818</v>
      </c>
      <c r="I13" s="139">
        <v>1957217.1409799997</v>
      </c>
      <c r="K13" s="109"/>
      <c r="O13" s="110"/>
      <c r="Q13" s="109"/>
      <c r="U13" s="110"/>
      <c r="W13" s="109"/>
      <c r="AA13" s="110"/>
      <c r="AB13" s="102"/>
    </row>
    <row r="14" spans="1:28" s="32" customFormat="1" ht="15" customHeight="1" x14ac:dyDescent="0.25">
      <c r="A14" s="31"/>
      <c r="B14" s="98"/>
      <c r="C14" s="127" t="s">
        <v>200</v>
      </c>
      <c r="D14" s="95">
        <v>6</v>
      </c>
      <c r="E14" s="136">
        <v>1428684.1310901199</v>
      </c>
      <c r="F14" s="137">
        <v>1673834.5987424699</v>
      </c>
      <c r="G14" s="141">
        <v>1917550.1700712999</v>
      </c>
      <c r="H14" s="141">
        <v>2403416.15684254</v>
      </c>
      <c r="I14" s="141">
        <v>2103042.1796622602</v>
      </c>
      <c r="K14" s="109"/>
      <c r="O14" s="110"/>
      <c r="Q14" s="109"/>
      <c r="U14" s="110"/>
      <c r="W14" s="109"/>
      <c r="AA14" s="110"/>
      <c r="AB14" s="102"/>
    </row>
    <row r="15" spans="1:28" s="32" customFormat="1" ht="15" customHeight="1" x14ac:dyDescent="0.25">
      <c r="A15" s="31"/>
      <c r="B15" s="98"/>
      <c r="C15" s="128" t="s">
        <v>189</v>
      </c>
      <c r="D15" s="94">
        <v>7</v>
      </c>
      <c r="E15" s="134">
        <v>204641.16375179033</v>
      </c>
      <c r="F15" s="135">
        <v>105997.65471976009</v>
      </c>
      <c r="G15" s="139">
        <v>190768.18909504989</v>
      </c>
      <c r="H15" s="139">
        <v>255350.43873375969</v>
      </c>
      <c r="I15" s="139">
        <v>207637.13531798942</v>
      </c>
      <c r="K15" s="109"/>
      <c r="O15" s="110"/>
      <c r="Q15" s="109"/>
      <c r="U15" s="110"/>
      <c r="W15" s="109"/>
      <c r="AA15" s="110"/>
      <c r="AB15" s="102"/>
    </row>
    <row r="16" spans="1:28" s="32" customFormat="1" ht="15" customHeight="1" x14ac:dyDescent="0.25">
      <c r="A16" s="31"/>
      <c r="B16" s="98"/>
      <c r="C16" s="154" t="s">
        <v>173</v>
      </c>
      <c r="D16" s="97"/>
      <c r="E16" s="136"/>
      <c r="F16" s="136"/>
      <c r="G16" s="136"/>
      <c r="H16" s="136"/>
      <c r="I16" s="136"/>
      <c r="K16" s="109"/>
      <c r="O16" s="110"/>
      <c r="Q16" s="109"/>
      <c r="U16" s="110"/>
      <c r="W16" s="109"/>
      <c r="AA16" s="110"/>
      <c r="AB16" s="102"/>
    </row>
    <row r="17" spans="1:28" s="32" customFormat="1" ht="15" customHeight="1" x14ac:dyDescent="0.25">
      <c r="A17" s="31"/>
      <c r="B17" s="98"/>
      <c r="C17" s="128" t="s">
        <v>134</v>
      </c>
      <c r="D17" s="94">
        <v>8</v>
      </c>
      <c r="E17" s="134">
        <v>977953.21042133961</v>
      </c>
      <c r="F17" s="134">
        <v>973800.38512460981</v>
      </c>
      <c r="G17" s="134">
        <v>1108013.9652054394</v>
      </c>
      <c r="H17" s="134">
        <v>490709.89981448278</v>
      </c>
      <c r="I17" s="134">
        <v>248036.37747984007</v>
      </c>
      <c r="K17" s="109"/>
      <c r="O17" s="110"/>
      <c r="Q17" s="109"/>
      <c r="U17" s="110"/>
      <c r="W17" s="109"/>
      <c r="AA17" s="110"/>
      <c r="AB17" s="102"/>
    </row>
    <row r="18" spans="1:28" s="32" customFormat="1" ht="15" customHeight="1" x14ac:dyDescent="0.25">
      <c r="A18" s="31"/>
      <c r="B18" s="98"/>
      <c r="C18" s="127" t="s">
        <v>131</v>
      </c>
      <c r="D18" s="95">
        <v>9</v>
      </c>
      <c r="E18" s="136">
        <v>4741207.5132002095</v>
      </c>
      <c r="F18" s="136">
        <v>4271805.1459180098</v>
      </c>
      <c r="G18" s="136">
        <v>4733678.6604246497</v>
      </c>
      <c r="H18" s="136">
        <v>5358626.1386920614</v>
      </c>
      <c r="I18" s="136">
        <v>4102868.5120589798</v>
      </c>
      <c r="K18" s="109"/>
      <c r="O18" s="110"/>
      <c r="Q18" s="109"/>
      <c r="U18" s="110"/>
      <c r="W18" s="109"/>
      <c r="AA18" s="110"/>
      <c r="AB18" s="102"/>
    </row>
    <row r="19" spans="1:28" s="32" customFormat="1" ht="15" customHeight="1" x14ac:dyDescent="0.25">
      <c r="A19" s="31"/>
      <c r="B19" s="98"/>
      <c r="C19" s="128" t="s">
        <v>132</v>
      </c>
      <c r="D19" s="94">
        <v>10</v>
      </c>
      <c r="E19" s="134">
        <v>4900060.2796654906</v>
      </c>
      <c r="F19" s="134">
        <v>4502003.4386242991</v>
      </c>
      <c r="G19" s="134">
        <v>4857090.1063868403</v>
      </c>
      <c r="H19" s="134">
        <v>6438753.190458199</v>
      </c>
      <c r="I19" s="134">
        <v>5375855.7561617605</v>
      </c>
      <c r="K19" s="109"/>
      <c r="O19" s="110"/>
      <c r="Q19" s="109"/>
      <c r="U19" s="110"/>
      <c r="W19" s="109"/>
      <c r="AA19" s="110"/>
      <c r="AB19" s="102"/>
    </row>
    <row r="20" spans="1:28" s="32" customFormat="1" ht="15" customHeight="1" x14ac:dyDescent="0.25">
      <c r="A20" s="31" t="s">
        <v>3</v>
      </c>
      <c r="B20" s="98"/>
      <c r="C20" s="127" t="s">
        <v>47</v>
      </c>
      <c r="D20" s="95">
        <v>11</v>
      </c>
      <c r="E20" s="136">
        <v>-158852.76646528114</v>
      </c>
      <c r="F20" s="136">
        <v>-230198.29270628933</v>
      </c>
      <c r="G20" s="136">
        <v>-123411.44596219063</v>
      </c>
      <c r="H20" s="136">
        <v>-1080127.0517661376</v>
      </c>
      <c r="I20" s="136">
        <v>-1272987.2441027807</v>
      </c>
      <c r="K20" s="112"/>
      <c r="L20" s="113"/>
      <c r="M20" s="113"/>
      <c r="N20" s="113"/>
      <c r="O20" s="114"/>
      <c r="Q20" s="112"/>
      <c r="R20" s="113"/>
      <c r="S20" s="113"/>
      <c r="T20" s="113"/>
      <c r="U20" s="114"/>
      <c r="W20" s="109"/>
      <c r="AA20" s="110"/>
      <c r="AB20" s="115"/>
    </row>
    <row r="21" spans="1:28" s="32" customFormat="1" ht="15" customHeight="1" x14ac:dyDescent="0.25">
      <c r="A21" s="31"/>
      <c r="B21" s="98"/>
      <c r="C21" s="128" t="s">
        <v>133</v>
      </c>
      <c r="D21" s="94">
        <v>12</v>
      </c>
      <c r="E21" s="134">
        <v>1136805.9768866207</v>
      </c>
      <c r="F21" s="134">
        <v>1203998.6778308991</v>
      </c>
      <c r="G21" s="134">
        <v>1231425.41116763</v>
      </c>
      <c r="H21" s="134">
        <v>1570836.9515806204</v>
      </c>
      <c r="I21" s="134">
        <v>1521023.6215826208</v>
      </c>
      <c r="J21" s="3"/>
      <c r="K21" s="221" t="s">
        <v>150</v>
      </c>
      <c r="L21" s="222"/>
      <c r="M21" s="222"/>
      <c r="N21" s="222"/>
      <c r="O21" s="223"/>
      <c r="Q21" s="221" t="s">
        <v>151</v>
      </c>
      <c r="R21" s="222"/>
      <c r="S21" s="222"/>
      <c r="T21" s="222"/>
      <c r="U21" s="223"/>
      <c r="W21" s="221" t="s">
        <v>152</v>
      </c>
      <c r="X21" s="222"/>
      <c r="Y21" s="222"/>
      <c r="Z21" s="222"/>
      <c r="AA21" s="223"/>
      <c r="AB21" s="102"/>
    </row>
    <row r="22" spans="1:28" s="32" customFormat="1" ht="15" customHeight="1" x14ac:dyDescent="0.25">
      <c r="A22" s="31"/>
      <c r="B22" s="98"/>
      <c r="C22" s="25" t="s">
        <v>52</v>
      </c>
      <c r="D22" s="153"/>
      <c r="E22" s="24">
        <v>2020</v>
      </c>
      <c r="F22" s="24">
        <v>2021</v>
      </c>
      <c r="G22" s="24">
        <v>2022</v>
      </c>
      <c r="H22" s="24">
        <v>2023</v>
      </c>
      <c r="I22" s="24">
        <v>2024</v>
      </c>
      <c r="K22" s="23" t="s">
        <v>153</v>
      </c>
      <c r="L22" s="99">
        <v>2021</v>
      </c>
      <c r="M22" s="99">
        <v>2022</v>
      </c>
      <c r="N22" s="99">
        <v>2023</v>
      </c>
      <c r="O22" s="100">
        <v>2024</v>
      </c>
      <c r="Q22" s="23" t="s">
        <v>153</v>
      </c>
      <c r="R22" s="99">
        <v>2021</v>
      </c>
      <c r="S22" s="99">
        <v>2022</v>
      </c>
      <c r="T22" s="99">
        <v>2023</v>
      </c>
      <c r="U22" s="100">
        <v>2024</v>
      </c>
      <c r="W22" s="23" t="s">
        <v>153</v>
      </c>
      <c r="X22" s="99">
        <v>2021</v>
      </c>
      <c r="Y22" s="99">
        <v>2022</v>
      </c>
      <c r="Z22" s="99">
        <v>2023</v>
      </c>
      <c r="AA22" s="100">
        <v>2024</v>
      </c>
      <c r="AB22" s="102"/>
    </row>
    <row r="23" spans="1:28" s="32" customFormat="1" ht="15" customHeight="1" x14ac:dyDescent="0.25">
      <c r="A23" s="31"/>
      <c r="B23" s="98"/>
      <c r="C23" s="127" t="s">
        <v>33</v>
      </c>
      <c r="D23" s="95">
        <v>13</v>
      </c>
      <c r="E23" s="196">
        <v>1.1995798326154676</v>
      </c>
      <c r="F23" s="196">
        <v>1.2163037852814655</v>
      </c>
      <c r="G23" s="196">
        <v>1.2281229997665586</v>
      </c>
      <c r="H23" s="196">
        <v>1.0762119443468778</v>
      </c>
      <c r="I23" s="196">
        <v>1.0461389569829032</v>
      </c>
      <c r="K23" s="109"/>
      <c r="O23" s="110"/>
      <c r="Q23" s="109"/>
      <c r="U23" s="110"/>
      <c r="W23" s="109"/>
      <c r="AA23" s="110"/>
      <c r="AB23" s="102"/>
    </row>
    <row r="24" spans="1:28" s="32" customFormat="1" ht="15" customHeight="1" x14ac:dyDescent="0.25">
      <c r="A24" s="31"/>
      <c r="B24" s="98"/>
      <c r="C24" s="128" t="s">
        <v>35</v>
      </c>
      <c r="D24" s="94">
        <v>14</v>
      </c>
      <c r="E24" s="197">
        <v>1.1188928906975142</v>
      </c>
      <c r="F24" s="197">
        <v>1.128854910013162</v>
      </c>
      <c r="G24" s="197">
        <v>1.141608355188622</v>
      </c>
      <c r="H24" s="197">
        <v>0.99754267219862924</v>
      </c>
      <c r="I24" s="197">
        <v>0.95122833264730167</v>
      </c>
      <c r="K24" s="109"/>
      <c r="O24" s="110"/>
      <c r="Q24" s="109"/>
      <c r="U24" s="110"/>
      <c r="W24" s="109"/>
      <c r="AA24" s="110"/>
      <c r="AB24" s="102"/>
    </row>
    <row r="25" spans="1:28" s="32" customFormat="1" ht="15" customHeight="1" x14ac:dyDescent="0.25">
      <c r="A25" s="31"/>
      <c r="B25" s="98"/>
      <c r="C25" s="127" t="s">
        <v>34</v>
      </c>
      <c r="D25" s="95">
        <v>15</v>
      </c>
      <c r="E25" s="196">
        <v>0.13664966542051615</v>
      </c>
      <c r="F25" s="196">
        <v>0.14279200240217033</v>
      </c>
      <c r="G25" s="196">
        <v>0.11846368740722588</v>
      </c>
      <c r="H25" s="196">
        <v>0.10857277956626603</v>
      </c>
      <c r="I25" s="196">
        <v>0.10983971352144525</v>
      </c>
      <c r="J25" s="111"/>
      <c r="K25" s="109"/>
      <c r="O25" s="110"/>
      <c r="Q25" s="109"/>
      <c r="U25" s="110"/>
      <c r="W25" s="109"/>
      <c r="AA25" s="110"/>
      <c r="AB25" s="102"/>
    </row>
    <row r="26" spans="1:28" s="32" customFormat="1" ht="15" customHeight="1" x14ac:dyDescent="0.25">
      <c r="A26" s="31"/>
      <c r="B26" s="98"/>
      <c r="C26" s="128" t="s">
        <v>30</v>
      </c>
      <c r="D26" s="94">
        <v>16</v>
      </c>
      <c r="E26" s="88">
        <v>0.20114513052541583</v>
      </c>
      <c r="F26" s="88">
        <v>0.2130276739648477</v>
      </c>
      <c r="G26" s="88">
        <v>0.21739594217760103</v>
      </c>
      <c r="H26" s="88">
        <v>0.19562750495238496</v>
      </c>
      <c r="I26" s="88">
        <v>0.2134710870560162</v>
      </c>
      <c r="K26" s="109"/>
      <c r="O26" s="110"/>
      <c r="Q26" s="109"/>
      <c r="U26" s="110"/>
      <c r="W26" s="109"/>
      <c r="AA26" s="110"/>
      <c r="AB26" s="102"/>
    </row>
    <row r="27" spans="1:28" s="32" customFormat="1" ht="15" customHeight="1" x14ac:dyDescent="0.25">
      <c r="A27" s="31"/>
      <c r="B27" s="98"/>
      <c r="C27" s="127" t="s">
        <v>36</v>
      </c>
      <c r="D27" s="95">
        <v>17</v>
      </c>
      <c r="E27" s="89">
        <v>0.79885486947458428</v>
      </c>
      <c r="F27" s="89">
        <v>0.78697232603515233</v>
      </c>
      <c r="G27" s="89">
        <v>0.78260405782239906</v>
      </c>
      <c r="H27" s="89">
        <v>0.8043724950476151</v>
      </c>
      <c r="I27" s="89">
        <v>0.78652891294398386</v>
      </c>
      <c r="K27" s="109"/>
      <c r="O27" s="110"/>
      <c r="Q27" s="109"/>
      <c r="U27" s="110"/>
      <c r="W27" s="109"/>
      <c r="AA27" s="110"/>
      <c r="AB27" s="102"/>
    </row>
    <row r="28" spans="1:28" s="32" customFormat="1" ht="15" customHeight="1" x14ac:dyDescent="0.25">
      <c r="A28" s="31"/>
      <c r="B28" s="98"/>
      <c r="C28" s="128" t="s">
        <v>37</v>
      </c>
      <c r="D28" s="94">
        <v>18</v>
      </c>
      <c r="E28" s="88">
        <v>0.25179183129685523</v>
      </c>
      <c r="F28" s="88">
        <v>0.27069271296756148</v>
      </c>
      <c r="G28" s="88">
        <v>0.27778535008175997</v>
      </c>
      <c r="H28" s="88">
        <v>0.24320511474078277</v>
      </c>
      <c r="I28" s="88">
        <v>0.27140907796636776</v>
      </c>
      <c r="K28" s="109"/>
      <c r="O28" s="110"/>
      <c r="Q28" s="109"/>
      <c r="U28" s="110"/>
      <c r="W28" s="109"/>
      <c r="AA28" s="110"/>
      <c r="AB28" s="102"/>
    </row>
    <row r="29" spans="1:28" s="32" customFormat="1" ht="15" customHeight="1" x14ac:dyDescent="0.25">
      <c r="A29" s="31"/>
      <c r="B29" s="98"/>
      <c r="C29" s="154" t="s">
        <v>206</v>
      </c>
      <c r="D29" s="116"/>
      <c r="E29" s="198"/>
      <c r="F29" s="198"/>
      <c r="G29" s="198"/>
      <c r="H29" s="199"/>
      <c r="I29" s="200"/>
      <c r="K29" s="109"/>
      <c r="O29" s="110"/>
      <c r="Q29" s="109"/>
      <c r="U29" s="110"/>
      <c r="W29" s="109"/>
      <c r="AA29" s="110"/>
      <c r="AB29" s="102"/>
    </row>
    <row r="30" spans="1:28" s="32" customFormat="1" ht="15" customHeight="1" x14ac:dyDescent="0.25">
      <c r="A30" s="31"/>
      <c r="B30" s="98"/>
      <c r="C30" s="128" t="s">
        <v>40</v>
      </c>
      <c r="D30" s="94">
        <v>19</v>
      </c>
      <c r="E30" s="201">
        <v>0.13620586980990093</v>
      </c>
      <c r="F30" s="201">
        <v>5.9031975113372534E-2</v>
      </c>
      <c r="G30" s="201">
        <v>9.1493817934531887E-2</v>
      </c>
      <c r="H30" s="201">
        <v>9.8318765226545132E-2</v>
      </c>
      <c r="I30" s="201">
        <v>8.2885083995751951E-2</v>
      </c>
      <c r="K30" s="109"/>
      <c r="O30" s="110"/>
      <c r="Q30" s="109"/>
      <c r="U30" s="110"/>
      <c r="W30" s="109"/>
      <c r="AA30" s="110"/>
      <c r="AB30" s="102"/>
    </row>
    <row r="31" spans="1:28" s="32" customFormat="1" ht="15" customHeight="1" x14ac:dyDescent="0.25">
      <c r="A31" s="31"/>
      <c r="B31" s="98"/>
      <c r="C31" s="127" t="s">
        <v>31</v>
      </c>
      <c r="D31" s="95">
        <v>20</v>
      </c>
      <c r="E31" s="202">
        <v>0.14758152572571656</v>
      </c>
      <c r="F31" s="202">
        <v>7.7617960120024185E-2</v>
      </c>
      <c r="G31" s="202">
        <v>0.1295724661940903</v>
      </c>
      <c r="H31" s="202">
        <v>0.14987456494787321</v>
      </c>
      <c r="I31" s="202">
        <v>0.12941097830235804</v>
      </c>
      <c r="K31" s="109"/>
      <c r="O31" s="110"/>
      <c r="Q31" s="109"/>
      <c r="U31" s="110"/>
      <c r="W31" s="109"/>
      <c r="AA31" s="110"/>
      <c r="AB31" s="102"/>
    </row>
    <row r="32" spans="1:28" s="32" customFormat="1" ht="15" customHeight="1" x14ac:dyDescent="0.25">
      <c r="A32" s="31"/>
      <c r="B32" s="98"/>
      <c r="C32" s="128" t="s">
        <v>39</v>
      </c>
      <c r="D32" s="94">
        <v>21</v>
      </c>
      <c r="E32" s="201">
        <v>2.9685305255239269E-2</v>
      </c>
      <c r="F32" s="201">
        <v>1.6534773502265065E-2</v>
      </c>
      <c r="G32" s="201">
        <v>2.8168528368539617E-2</v>
      </c>
      <c r="H32" s="201">
        <v>2.9319587196576603E-2</v>
      </c>
      <c r="I32" s="201">
        <v>2.7625502215186892E-2</v>
      </c>
      <c r="K32" s="109"/>
      <c r="O32" s="110"/>
      <c r="Q32" s="109"/>
      <c r="U32" s="110"/>
      <c r="W32" s="109"/>
      <c r="AA32" s="110"/>
      <c r="AB32" s="102"/>
    </row>
    <row r="33" spans="1:28" s="32" customFormat="1" ht="15" customHeight="1" x14ac:dyDescent="0.25">
      <c r="A33" s="31"/>
      <c r="B33" s="98"/>
      <c r="C33" s="127" t="s">
        <v>204</v>
      </c>
      <c r="D33" s="95">
        <v>22</v>
      </c>
      <c r="E33" s="202">
        <v>0.18718801195124887</v>
      </c>
      <c r="F33" s="202">
        <v>0.28433992009174253</v>
      </c>
      <c r="G33" s="202">
        <v>0.36628356241026006</v>
      </c>
      <c r="H33" s="202">
        <v>0.29779379027291353</v>
      </c>
      <c r="I33" s="202">
        <v>0.54740903810256303</v>
      </c>
      <c r="K33" s="109"/>
      <c r="O33" s="110"/>
      <c r="Q33" s="109"/>
      <c r="U33" s="110"/>
      <c r="W33" s="109"/>
      <c r="AA33" s="110"/>
      <c r="AB33" s="102"/>
    </row>
    <row r="34" spans="1:28" s="32" customFormat="1" ht="15" customHeight="1" x14ac:dyDescent="0.25">
      <c r="A34" s="31"/>
      <c r="B34" s="98"/>
      <c r="C34" s="128" t="s">
        <v>41</v>
      </c>
      <c r="D34" s="94">
        <v>23</v>
      </c>
      <c r="E34" s="211">
        <v>514.45410056955291</v>
      </c>
      <c r="F34" s="211">
        <v>475.04701137628581</v>
      </c>
      <c r="G34" s="211">
        <v>473.55276824068164</v>
      </c>
      <c r="H34" s="211">
        <v>533.12679237607028</v>
      </c>
      <c r="I34" s="212">
        <v>496.62930827276176</v>
      </c>
      <c r="K34" s="109"/>
      <c r="O34" s="110"/>
      <c r="Q34" s="109"/>
      <c r="U34" s="110"/>
      <c r="W34" s="109"/>
      <c r="AA34" s="110"/>
      <c r="AB34" s="102"/>
    </row>
    <row r="35" spans="1:28" s="32" customFormat="1" ht="15" customHeight="1" x14ac:dyDescent="0.25">
      <c r="A35" s="31"/>
      <c r="B35" s="98"/>
      <c r="C35" s="127" t="s">
        <v>42</v>
      </c>
      <c r="D35" s="95">
        <v>24</v>
      </c>
      <c r="E35" s="213">
        <v>575.55252505280998</v>
      </c>
      <c r="F35" s="213">
        <v>471.62238839889818</v>
      </c>
      <c r="G35" s="213">
        <v>491.31290577929502</v>
      </c>
      <c r="H35" s="213">
        <v>579.79082109558146</v>
      </c>
      <c r="I35" s="214">
        <v>517.59857019628407</v>
      </c>
      <c r="K35" s="109"/>
      <c r="O35" s="110"/>
      <c r="Q35" s="109"/>
      <c r="U35" s="110"/>
      <c r="W35" s="109"/>
      <c r="AA35" s="110"/>
      <c r="AB35" s="102"/>
    </row>
    <row r="36" spans="1:28" s="32" customFormat="1" ht="15" customHeight="1" x14ac:dyDescent="0.25">
      <c r="A36" s="31"/>
      <c r="B36" s="98"/>
      <c r="C36" s="128" t="s">
        <v>205</v>
      </c>
      <c r="D36" s="94">
        <v>25</v>
      </c>
      <c r="E36" s="197">
        <v>0.21794439033112373</v>
      </c>
      <c r="F36" s="197">
        <v>0.28009859860710362</v>
      </c>
      <c r="G36" s="197">
        <v>0.30787357008858807</v>
      </c>
      <c r="H36" s="197">
        <v>0.29820947332911169</v>
      </c>
      <c r="I36" s="197">
        <v>0.33329883838451274</v>
      </c>
      <c r="K36" s="221" t="s">
        <v>40</v>
      </c>
      <c r="L36" s="222"/>
      <c r="M36" s="222"/>
      <c r="N36" s="222"/>
      <c r="O36" s="223"/>
      <c r="Q36" s="221" t="s">
        <v>146</v>
      </c>
      <c r="R36" s="222"/>
      <c r="S36" s="222"/>
      <c r="T36" s="222"/>
      <c r="U36" s="223"/>
      <c r="W36" s="221" t="s">
        <v>39</v>
      </c>
      <c r="X36" s="222"/>
      <c r="Y36" s="222"/>
      <c r="Z36" s="222"/>
      <c r="AA36" s="223"/>
      <c r="AB36" s="102"/>
    </row>
    <row r="37" spans="1:28" s="32" customFormat="1" ht="15" customHeight="1" x14ac:dyDescent="0.25">
      <c r="A37" s="31"/>
      <c r="B37" s="98"/>
      <c r="C37" s="154" t="s">
        <v>208</v>
      </c>
      <c r="D37" s="153"/>
      <c r="E37" s="24">
        <v>2020</v>
      </c>
      <c r="F37" s="24">
        <v>2021</v>
      </c>
      <c r="G37" s="24">
        <v>2022</v>
      </c>
      <c r="H37" s="24">
        <v>2023</v>
      </c>
      <c r="I37" s="24">
        <v>2024</v>
      </c>
      <c r="K37" s="23" t="s">
        <v>153</v>
      </c>
      <c r="L37" s="99">
        <v>2021</v>
      </c>
      <c r="M37" s="99">
        <v>2022</v>
      </c>
      <c r="N37" s="99">
        <v>2023</v>
      </c>
      <c r="O37" s="100">
        <v>2024</v>
      </c>
      <c r="Q37" s="23" t="s">
        <v>153</v>
      </c>
      <c r="R37" s="99">
        <v>2021</v>
      </c>
      <c r="S37" s="99">
        <v>2022</v>
      </c>
      <c r="T37" s="99">
        <v>2023</v>
      </c>
      <c r="U37" s="100">
        <v>2024</v>
      </c>
      <c r="W37" s="23" t="s">
        <v>153</v>
      </c>
      <c r="X37" s="99">
        <v>2021</v>
      </c>
      <c r="Y37" s="99">
        <v>2022</v>
      </c>
      <c r="Z37" s="99">
        <v>2023</v>
      </c>
      <c r="AA37" s="100">
        <v>2024</v>
      </c>
      <c r="AB37" s="102"/>
    </row>
    <row r="38" spans="1:28" s="32" customFormat="1" ht="15" customHeight="1" x14ac:dyDescent="0.25">
      <c r="A38" s="31"/>
      <c r="B38" s="98"/>
      <c r="C38" s="128" t="s">
        <v>53</v>
      </c>
      <c r="D38" s="94">
        <v>26</v>
      </c>
      <c r="E38" s="203">
        <v>0.27055402422882202</v>
      </c>
      <c r="F38" s="203">
        <v>0.80629282699920046</v>
      </c>
      <c r="G38" s="203">
        <v>0.68655639891364384</v>
      </c>
      <c r="H38" s="203">
        <v>0.62122572967376011</v>
      </c>
      <c r="I38" s="203">
        <v>1.3622557376667426</v>
      </c>
      <c r="K38" s="109"/>
      <c r="O38" s="110"/>
      <c r="Q38" s="109"/>
      <c r="U38" s="110"/>
      <c r="W38" s="109"/>
      <c r="AA38" s="117"/>
      <c r="AB38" s="102"/>
    </row>
    <row r="39" spans="1:28" s="32" customFormat="1" ht="15" customHeight="1" x14ac:dyDescent="0.25">
      <c r="A39" s="31"/>
      <c r="B39" s="98"/>
      <c r="C39" s="127" t="s">
        <v>54</v>
      </c>
      <c r="D39" s="95">
        <v>27</v>
      </c>
      <c r="E39" s="204">
        <v>4.9090802695213501E-2</v>
      </c>
      <c r="F39" s="204">
        <v>6.7811805477170903E-2</v>
      </c>
      <c r="G39" s="204">
        <v>8.0328921854893057E-2</v>
      </c>
      <c r="H39" s="204">
        <v>7.4601516104440851E-2</v>
      </c>
      <c r="I39" s="204">
        <v>0.16050263628919545</v>
      </c>
      <c r="K39" s="109"/>
      <c r="O39" s="110"/>
      <c r="Q39" s="109"/>
      <c r="U39" s="110"/>
      <c r="W39" s="109"/>
      <c r="AA39" s="117"/>
      <c r="AB39" s="102"/>
    </row>
    <row r="40" spans="1:28" s="32" customFormat="1" ht="15" customHeight="1" x14ac:dyDescent="0.25">
      <c r="A40" s="31"/>
      <c r="B40" s="98"/>
      <c r="C40" s="128" t="s">
        <v>207</v>
      </c>
      <c r="D40" s="195">
        <v>28</v>
      </c>
      <c r="E40" s="86">
        <v>0.88977880852961644</v>
      </c>
      <c r="F40" s="86">
        <v>0.89237697409091621</v>
      </c>
      <c r="G40" s="86">
        <v>0.91641516266246859</v>
      </c>
      <c r="H40" s="86">
        <v>0.91910644037529421</v>
      </c>
      <c r="I40" s="86">
        <v>0.90936465225606888</v>
      </c>
      <c r="J40" s="111"/>
      <c r="K40" s="109"/>
      <c r="O40" s="110"/>
      <c r="Q40" s="109"/>
      <c r="U40" s="110"/>
      <c r="W40" s="109"/>
      <c r="AA40" s="117"/>
      <c r="AB40" s="102"/>
    </row>
    <row r="41" spans="1:28" s="32" customFormat="1" ht="15" customHeight="1" x14ac:dyDescent="0.25">
      <c r="A41" s="31"/>
      <c r="B41" s="98"/>
      <c r="C41" s="154" t="s">
        <v>203</v>
      </c>
      <c r="D41" s="95"/>
      <c r="E41" s="206"/>
      <c r="F41" s="206"/>
      <c r="G41" s="206"/>
      <c r="H41" s="206"/>
      <c r="I41" s="206"/>
      <c r="K41" s="109"/>
      <c r="O41" s="110"/>
      <c r="Q41" s="109"/>
      <c r="U41" s="110"/>
      <c r="W41" s="109"/>
      <c r="AA41" s="117"/>
      <c r="AB41" s="102"/>
    </row>
    <row r="42" spans="1:28" s="32" customFormat="1" ht="15" customHeight="1" x14ac:dyDescent="0.25">
      <c r="A42" s="31"/>
      <c r="B42" s="98"/>
      <c r="C42" s="128" t="s">
        <v>128</v>
      </c>
      <c r="D42" s="94">
        <v>29</v>
      </c>
      <c r="E42" s="210">
        <v>845313.52424033731</v>
      </c>
      <c r="F42" s="193">
        <v>-483095.61650967132</v>
      </c>
      <c r="G42" s="193">
        <v>361797.42485170066</v>
      </c>
      <c r="H42" s="193">
        <v>1936822.3997271415</v>
      </c>
      <c r="I42" s="193">
        <v>-1193070.1381452102</v>
      </c>
      <c r="K42" s="109"/>
      <c r="O42" s="110"/>
      <c r="Q42" s="109"/>
      <c r="U42" s="110"/>
      <c r="W42" s="109"/>
      <c r="AA42" s="117"/>
      <c r="AB42" s="102"/>
    </row>
    <row r="43" spans="1:28" s="32" customFormat="1" ht="15" customHeight="1" x14ac:dyDescent="0.25">
      <c r="A43" s="31"/>
      <c r="B43" s="98"/>
      <c r="C43" s="129" t="s">
        <v>129</v>
      </c>
      <c r="D43" s="95">
        <v>30</v>
      </c>
      <c r="E43" s="194">
        <v>672714.75369265117</v>
      </c>
      <c r="F43" s="194">
        <v>-462097.40057532117</v>
      </c>
      <c r="G43" s="194">
        <v>255140.95599822141</v>
      </c>
      <c r="H43" s="194">
        <v>1705350.9580428088</v>
      </c>
      <c r="I43" s="194">
        <v>-1093787.660521199</v>
      </c>
      <c r="K43" s="109"/>
      <c r="O43" s="110"/>
      <c r="Q43" s="109"/>
      <c r="U43" s="110"/>
      <c r="W43" s="109"/>
      <c r="AA43" s="117"/>
      <c r="AB43" s="102"/>
    </row>
    <row r="44" spans="1:28" s="32" customFormat="1" ht="15" customHeight="1" x14ac:dyDescent="0.25">
      <c r="A44" s="31"/>
      <c r="B44" s="98"/>
      <c r="C44" s="128" t="s">
        <v>130</v>
      </c>
      <c r="D44" s="94">
        <v>31</v>
      </c>
      <c r="E44" s="193">
        <v>172598.77056924044</v>
      </c>
      <c r="F44" s="193">
        <v>-20998.215934350388</v>
      </c>
      <c r="G44" s="193">
        <v>106656.46885347925</v>
      </c>
      <c r="H44" s="193">
        <v>231471.44168433244</v>
      </c>
      <c r="I44" s="193">
        <v>-99282.477624010993</v>
      </c>
      <c r="K44" s="109"/>
      <c r="O44" s="110"/>
      <c r="Q44" s="109"/>
      <c r="U44" s="110"/>
      <c r="W44" s="109"/>
      <c r="AA44" s="117"/>
      <c r="AB44" s="102"/>
    </row>
    <row r="45" spans="1:28" s="32" customFormat="1" ht="15" customHeight="1" x14ac:dyDescent="0.25">
      <c r="A45" s="31"/>
      <c r="B45" s="98"/>
      <c r="C45" s="127" t="s">
        <v>199</v>
      </c>
      <c r="D45" s="95">
        <v>32</v>
      </c>
      <c r="E45" s="194">
        <v>-213403.71842980036</v>
      </c>
      <c r="F45" s="194">
        <v>293157.17038158979</v>
      </c>
      <c r="G45" s="194">
        <v>289441.82103772974</v>
      </c>
      <c r="H45" s="194">
        <v>512129.77977227001</v>
      </c>
      <c r="I45" s="194">
        <v>-92048.246039830148</v>
      </c>
      <c r="K45" s="109"/>
      <c r="O45" s="110"/>
      <c r="Q45" s="109"/>
      <c r="U45" s="110"/>
      <c r="W45" s="109"/>
      <c r="AA45" s="117"/>
      <c r="AB45" s="102"/>
    </row>
    <row r="46" spans="1:28" s="32" customFormat="1" ht="15" customHeight="1" x14ac:dyDescent="0.25">
      <c r="A46" s="31"/>
      <c r="B46" s="98"/>
      <c r="C46" s="128" t="s">
        <v>200</v>
      </c>
      <c r="D46" s="94">
        <v>33</v>
      </c>
      <c r="E46" s="193">
        <v>-124533.1288010201</v>
      </c>
      <c r="F46" s="193">
        <v>245150.46765234997</v>
      </c>
      <c r="G46" s="193">
        <v>243715.57132882997</v>
      </c>
      <c r="H46" s="193">
        <v>485865.98677124013</v>
      </c>
      <c r="I46" s="193">
        <v>-300373.97718027979</v>
      </c>
      <c r="K46" s="109"/>
      <c r="O46" s="110"/>
      <c r="Q46" s="109"/>
      <c r="U46" s="110"/>
      <c r="W46" s="109"/>
      <c r="AA46" s="117"/>
      <c r="AB46" s="102"/>
    </row>
    <row r="47" spans="1:28" s="32" customFormat="1" ht="15" customHeight="1" thickBot="1" x14ac:dyDescent="0.3">
      <c r="A47" s="31"/>
      <c r="B47" s="98"/>
      <c r="C47" s="127" t="s">
        <v>189</v>
      </c>
      <c r="D47" s="191">
        <v>34</v>
      </c>
      <c r="E47" s="209">
        <v>-19798.38324886965</v>
      </c>
      <c r="F47" s="192">
        <v>-98643.509032030241</v>
      </c>
      <c r="G47" s="192">
        <v>84770.534375289804</v>
      </c>
      <c r="H47" s="192">
        <v>64582.249638709793</v>
      </c>
      <c r="I47" s="192">
        <v>-47713.303415770264</v>
      </c>
      <c r="K47" s="109"/>
      <c r="O47" s="110"/>
      <c r="Q47" s="109"/>
      <c r="U47" s="110"/>
      <c r="W47" s="109"/>
      <c r="AA47" s="117"/>
      <c r="AB47" s="102"/>
    </row>
    <row r="48" spans="1:28" s="32" customFormat="1" ht="15" customHeight="1" x14ac:dyDescent="0.25">
      <c r="A48" s="31"/>
      <c r="B48" s="98"/>
      <c r="C48" s="154" t="s">
        <v>56</v>
      </c>
      <c r="D48" s="169"/>
      <c r="E48" s="169"/>
      <c r="F48" s="169"/>
      <c r="G48" s="169"/>
      <c r="H48" s="169"/>
      <c r="I48" s="170"/>
      <c r="K48" s="109"/>
      <c r="O48" s="110"/>
      <c r="Q48" s="109"/>
      <c r="U48" s="110"/>
      <c r="W48" s="109"/>
      <c r="AA48" s="117"/>
      <c r="AB48" s="102"/>
    </row>
    <row r="49" spans="1:28" s="32" customFormat="1" ht="15" customHeight="1" x14ac:dyDescent="0.25">
      <c r="A49" s="31"/>
      <c r="B49" s="98"/>
      <c r="C49" s="127" t="s">
        <v>196</v>
      </c>
      <c r="D49" s="179">
        <v>35</v>
      </c>
      <c r="E49" s="150">
        <v>1386631.30595438</v>
      </c>
      <c r="F49" s="150">
        <v>1365633.0900200298</v>
      </c>
      <c r="G49" s="150">
        <v>1472289.5588735091</v>
      </c>
      <c r="H49" s="150">
        <v>1703761.0005578417</v>
      </c>
      <c r="I49" s="150">
        <v>1604478.5229338305</v>
      </c>
      <c r="K49" s="109"/>
      <c r="O49" s="110"/>
      <c r="Q49" s="109"/>
      <c r="U49" s="110"/>
      <c r="W49" s="109"/>
      <c r="AA49" s="117"/>
      <c r="AB49" s="102"/>
    </row>
    <row r="50" spans="1:28" s="32" customFormat="1" ht="15" customHeight="1" x14ac:dyDescent="0.25">
      <c r="A50" s="31"/>
      <c r="B50" s="98"/>
      <c r="C50" s="128" t="s">
        <v>197</v>
      </c>
      <c r="D50" s="178">
        <v>36</v>
      </c>
      <c r="E50" s="149" t="s">
        <v>202</v>
      </c>
      <c r="F50" s="149" t="s">
        <v>202</v>
      </c>
      <c r="G50" s="149" t="s">
        <v>202</v>
      </c>
      <c r="H50" s="149" t="s">
        <v>202</v>
      </c>
      <c r="I50" s="149" t="s">
        <v>202</v>
      </c>
      <c r="K50" s="221" t="s">
        <v>221</v>
      </c>
      <c r="L50" s="222"/>
      <c r="M50" s="222"/>
      <c r="N50" s="222"/>
      <c r="O50" s="223"/>
      <c r="Q50" s="221" t="s">
        <v>147</v>
      </c>
      <c r="R50" s="222"/>
      <c r="S50" s="222"/>
      <c r="T50" s="222"/>
      <c r="U50" s="223"/>
      <c r="W50" s="221" t="s">
        <v>148</v>
      </c>
      <c r="X50" s="222"/>
      <c r="Y50" s="222"/>
      <c r="Z50" s="222"/>
      <c r="AA50" s="223"/>
      <c r="AB50" s="102"/>
    </row>
    <row r="51" spans="1:28" s="32" customFormat="1" ht="15" customHeight="1" x14ac:dyDescent="0.25">
      <c r="A51" s="31"/>
      <c r="B51" s="98"/>
      <c r="C51" s="154" t="s">
        <v>55</v>
      </c>
      <c r="D51" s="153"/>
      <c r="E51" s="24">
        <v>2020</v>
      </c>
      <c r="F51" s="24">
        <v>2021</v>
      </c>
      <c r="G51" s="24">
        <v>2022</v>
      </c>
      <c r="H51" s="24">
        <v>2023</v>
      </c>
      <c r="I51" s="24">
        <v>2024</v>
      </c>
      <c r="K51" s="23" t="s">
        <v>153</v>
      </c>
      <c r="L51" s="99">
        <v>2021</v>
      </c>
      <c r="M51" s="99">
        <v>2022</v>
      </c>
      <c r="N51" s="99">
        <v>2023</v>
      </c>
      <c r="O51" s="100">
        <v>2024</v>
      </c>
      <c r="Q51" s="23" t="s">
        <v>153</v>
      </c>
      <c r="R51" s="99">
        <v>2021</v>
      </c>
      <c r="S51" s="99">
        <v>2022</v>
      </c>
      <c r="T51" s="99">
        <v>2023</v>
      </c>
      <c r="U51" s="100">
        <v>2024</v>
      </c>
      <c r="W51" s="23" t="s">
        <v>153</v>
      </c>
      <c r="X51" s="99">
        <v>2021</v>
      </c>
      <c r="Y51" s="99">
        <v>2022</v>
      </c>
      <c r="Z51" s="99">
        <v>2023</v>
      </c>
      <c r="AA51" s="100">
        <v>2024</v>
      </c>
      <c r="AB51" s="102"/>
    </row>
    <row r="52" spans="1:28" s="32" customFormat="1" ht="15" customHeight="1" x14ac:dyDescent="0.25">
      <c r="A52" s="31"/>
      <c r="B52" s="98"/>
      <c r="C52" s="127" t="s">
        <v>178</v>
      </c>
      <c r="D52" s="95">
        <v>37</v>
      </c>
      <c r="E52" s="207">
        <v>0.48826959417641952</v>
      </c>
      <c r="F52" s="208">
        <v>0.62198379287295402</v>
      </c>
      <c r="G52" s="208">
        <v>0.63613269863072408</v>
      </c>
      <c r="H52" s="208">
        <v>0.61502023435663045</v>
      </c>
      <c r="I52" s="208">
        <v>0.6594130166269675</v>
      </c>
      <c r="K52" s="109"/>
      <c r="O52" s="110"/>
      <c r="Q52" s="109"/>
      <c r="U52" s="110"/>
      <c r="W52" s="109"/>
      <c r="AA52" s="110"/>
      <c r="AB52" s="102"/>
    </row>
    <row r="53" spans="1:28" s="32" customFormat="1" ht="15" customHeight="1" x14ac:dyDescent="0.25">
      <c r="A53" s="31"/>
      <c r="B53" s="98"/>
      <c r="C53" s="128" t="s">
        <v>139</v>
      </c>
      <c r="D53" s="94">
        <v>38</v>
      </c>
      <c r="E53" s="187"/>
      <c r="F53" s="188"/>
      <c r="G53" s="188"/>
      <c r="H53" s="188"/>
      <c r="I53" s="188"/>
      <c r="K53" s="109"/>
      <c r="O53" s="110"/>
      <c r="Q53" s="109"/>
      <c r="U53" s="110"/>
      <c r="W53" s="109"/>
      <c r="AA53" s="110"/>
      <c r="AB53" s="102"/>
    </row>
    <row r="54" spans="1:28" s="32" customFormat="1" ht="15" customHeight="1" x14ac:dyDescent="0.25">
      <c r="A54" s="31"/>
      <c r="B54" s="98"/>
      <c r="C54" s="127" t="s">
        <v>48</v>
      </c>
      <c r="D54" s="95">
        <v>39</v>
      </c>
      <c r="E54" s="185">
        <v>0.70328362933904309</v>
      </c>
      <c r="F54" s="185">
        <v>0.74498841103720148</v>
      </c>
      <c r="G54" s="186">
        <v>0.78278044285159121</v>
      </c>
      <c r="H54" s="186">
        <v>0.76418782283706788</v>
      </c>
      <c r="I54" s="186">
        <v>0.74418883813722725</v>
      </c>
      <c r="K54" s="109"/>
      <c r="O54" s="110"/>
      <c r="Q54" s="109"/>
      <c r="U54" s="110"/>
      <c r="W54" s="109"/>
      <c r="AA54" s="110"/>
      <c r="AB54" s="102"/>
    </row>
    <row r="55" spans="1:28" s="32" customFormat="1" ht="15" customHeight="1" x14ac:dyDescent="0.25">
      <c r="A55" s="31"/>
      <c r="B55" s="98"/>
      <c r="C55" s="128" t="s">
        <v>49</v>
      </c>
      <c r="D55" s="94">
        <v>40</v>
      </c>
      <c r="E55" s="189">
        <v>0.148423912541671</v>
      </c>
      <c r="F55" s="189">
        <v>0.13330660946232747</v>
      </c>
      <c r="G55" s="190">
        <v>0.11952015590079727</v>
      </c>
      <c r="H55" s="190">
        <v>0.12818513011423052</v>
      </c>
      <c r="I55" s="190">
        <v>0.13235230673628434</v>
      </c>
      <c r="K55" s="109"/>
      <c r="O55" s="110"/>
      <c r="Q55" s="109"/>
      <c r="U55" s="110"/>
      <c r="W55" s="109"/>
      <c r="AA55" s="110"/>
      <c r="AB55" s="102"/>
    </row>
    <row r="56" spans="1:28" s="32" customFormat="1" ht="15" customHeight="1" x14ac:dyDescent="0.25">
      <c r="A56" s="31"/>
      <c r="B56" s="98"/>
      <c r="C56" s="127" t="s">
        <v>50</v>
      </c>
      <c r="D56" s="95">
        <v>41</v>
      </c>
      <c r="E56" s="185">
        <v>0.13454677956471536</v>
      </c>
      <c r="F56" s="185">
        <v>0.11269611309450625</v>
      </c>
      <c r="G56" s="186">
        <v>9.0930259525552101E-2</v>
      </c>
      <c r="H56" s="186">
        <v>9.8185506339404996E-2</v>
      </c>
      <c r="I56" s="186">
        <v>0.1126768075596969</v>
      </c>
      <c r="K56" s="109"/>
      <c r="O56" s="110"/>
      <c r="Q56" s="109"/>
      <c r="U56" s="110"/>
      <c r="W56" s="109"/>
      <c r="AA56" s="110"/>
      <c r="AB56" s="102"/>
    </row>
    <row r="57" spans="1:28" s="32" customFormat="1" ht="15" customHeight="1" thickBot="1" x14ac:dyDescent="0.3">
      <c r="A57" s="31"/>
      <c r="B57" s="98"/>
      <c r="C57" s="128" t="s">
        <v>51</v>
      </c>
      <c r="D57" s="94">
        <v>42</v>
      </c>
      <c r="E57" s="189">
        <v>1.3745678554570392E-2</v>
      </c>
      <c r="F57" s="189">
        <v>9.0088664059647851E-3</v>
      </c>
      <c r="G57" s="189">
        <v>6.7691417220593726E-3</v>
      </c>
      <c r="H57" s="189">
        <v>9.4415407092966527E-3</v>
      </c>
      <c r="I57" s="190">
        <v>1.07820475667915E-2</v>
      </c>
      <c r="K57" s="109"/>
      <c r="O57" s="110"/>
      <c r="Q57" s="109"/>
      <c r="U57" s="110"/>
      <c r="W57" s="109"/>
      <c r="AA57" s="110"/>
      <c r="AB57" s="102"/>
    </row>
    <row r="58" spans="1:28" s="32" customFormat="1" ht="15" customHeight="1" x14ac:dyDescent="0.25">
      <c r="A58" s="31"/>
      <c r="B58" s="98"/>
      <c r="C58" s="154" t="s">
        <v>58</v>
      </c>
      <c r="D58" s="118"/>
      <c r="E58" s="118"/>
      <c r="F58" s="118"/>
      <c r="G58" s="118"/>
      <c r="H58" s="118"/>
      <c r="I58" s="118"/>
      <c r="K58" s="109"/>
      <c r="O58" s="110"/>
      <c r="Q58" s="109"/>
      <c r="U58" s="110"/>
      <c r="W58" s="109"/>
      <c r="AA58" s="110"/>
      <c r="AB58" s="102"/>
    </row>
    <row r="59" spans="1:28" s="32" customFormat="1" ht="15" customHeight="1" x14ac:dyDescent="0.25">
      <c r="A59" s="31"/>
      <c r="B59" s="98"/>
      <c r="C59" s="101"/>
      <c r="D59" s="101"/>
      <c r="E59" s="119"/>
      <c r="F59" s="119"/>
      <c r="G59" s="119"/>
      <c r="H59" s="119"/>
      <c r="I59" s="119"/>
      <c r="K59" s="109"/>
      <c r="O59" s="110"/>
      <c r="Q59" s="109"/>
      <c r="U59" s="110"/>
      <c r="W59" s="109"/>
      <c r="AA59" s="110"/>
      <c r="AB59" s="102"/>
    </row>
    <row r="60" spans="1:28" s="32" customFormat="1" ht="15" customHeight="1" x14ac:dyDescent="0.25">
      <c r="A60" s="31"/>
      <c r="B60" s="98"/>
      <c r="C60" s="130" t="s">
        <v>140</v>
      </c>
      <c r="D60" s="152">
        <v>43</v>
      </c>
      <c r="E60" s="168"/>
      <c r="F60" s="168"/>
      <c r="G60" s="168"/>
      <c r="H60" s="168"/>
      <c r="I60" s="168"/>
      <c r="K60" s="109"/>
      <c r="O60" s="110"/>
      <c r="Q60" s="109"/>
      <c r="U60" s="110"/>
      <c r="W60" s="109"/>
      <c r="AA60" s="110"/>
      <c r="AB60" s="102"/>
    </row>
    <row r="61" spans="1:28" s="32" customFormat="1" ht="15" customHeight="1" x14ac:dyDescent="0.25">
      <c r="A61" s="31"/>
      <c r="B61" s="98"/>
      <c r="C61" s="131" t="s">
        <v>141</v>
      </c>
      <c r="D61" s="151">
        <v>44</v>
      </c>
      <c r="E61" s="119"/>
      <c r="F61" s="119"/>
      <c r="G61" s="119"/>
      <c r="H61" s="119"/>
      <c r="I61" s="119"/>
      <c r="K61" s="109"/>
      <c r="O61" s="110"/>
      <c r="Q61" s="109"/>
      <c r="U61" s="110"/>
      <c r="W61" s="109"/>
      <c r="AA61" s="110"/>
      <c r="AB61" s="102"/>
    </row>
    <row r="62" spans="1:28" s="32" customFormat="1" ht="15" customHeight="1" x14ac:dyDescent="0.25">
      <c r="A62" s="31"/>
      <c r="B62" s="98"/>
      <c r="C62" s="132" t="s">
        <v>174</v>
      </c>
      <c r="D62" s="152">
        <v>45</v>
      </c>
      <c r="E62" s="119"/>
      <c r="F62" s="119"/>
      <c r="G62" s="119"/>
      <c r="H62" s="119"/>
      <c r="I62" s="119"/>
      <c r="K62" s="109"/>
      <c r="O62" s="110"/>
      <c r="Q62" s="109"/>
      <c r="U62" s="110"/>
      <c r="W62" s="109"/>
      <c r="AA62" s="110"/>
      <c r="AB62" s="102"/>
    </row>
    <row r="63" spans="1:28" s="32" customFormat="1" ht="15" customHeight="1" x14ac:dyDescent="0.25">
      <c r="A63" s="31"/>
      <c r="B63" s="98"/>
      <c r="C63" s="133" t="s">
        <v>142</v>
      </c>
      <c r="D63" s="151">
        <v>46</v>
      </c>
      <c r="E63" s="119"/>
      <c r="F63" s="119"/>
      <c r="G63" s="119"/>
      <c r="H63" s="119"/>
      <c r="I63" s="119"/>
      <c r="K63" s="112"/>
      <c r="L63" s="113"/>
      <c r="M63" s="113"/>
      <c r="N63" s="113"/>
      <c r="O63" s="114"/>
      <c r="P63" s="120"/>
      <c r="Q63" s="112"/>
      <c r="R63" s="113"/>
      <c r="S63" s="113"/>
      <c r="T63" s="113"/>
      <c r="U63" s="114"/>
      <c r="V63" s="120"/>
      <c r="W63" s="112"/>
      <c r="X63" s="113"/>
      <c r="Y63" s="113"/>
      <c r="Z63" s="113"/>
      <c r="AA63" s="114"/>
      <c r="AB63" s="102"/>
    </row>
    <row r="64" spans="1:28" s="32" customFormat="1" ht="15" customHeight="1" x14ac:dyDescent="0.25">
      <c r="A64" s="31"/>
      <c r="B64" s="98"/>
      <c r="D64" s="152"/>
      <c r="E64" s="119"/>
      <c r="F64" s="119"/>
      <c r="G64" s="119"/>
      <c r="H64" s="119"/>
      <c r="I64" s="119"/>
      <c r="K64" s="221" t="s">
        <v>149</v>
      </c>
      <c r="L64" s="222"/>
      <c r="M64" s="222"/>
      <c r="N64" s="222"/>
      <c r="O64" s="223"/>
      <c r="Q64" s="221" t="s">
        <v>222</v>
      </c>
      <c r="R64" s="222"/>
      <c r="S64" s="222"/>
      <c r="T64" s="222"/>
      <c r="U64" s="223"/>
      <c r="W64" s="221" t="s">
        <v>223</v>
      </c>
      <c r="X64" s="222"/>
      <c r="Y64" s="222"/>
      <c r="Z64" s="222"/>
      <c r="AA64" s="223"/>
      <c r="AB64" s="102"/>
    </row>
    <row r="65" spans="1:28" s="32" customFormat="1" ht="15" customHeight="1" thickBot="1" x14ac:dyDescent="0.3">
      <c r="A65" s="31"/>
      <c r="B65" s="98"/>
      <c r="C65" s="96" t="s">
        <v>177</v>
      </c>
      <c r="E65" s="121"/>
      <c r="F65" s="121"/>
      <c r="G65" s="121"/>
      <c r="H65" s="121"/>
      <c r="I65" s="121"/>
      <c r="K65" s="23" t="s">
        <v>153</v>
      </c>
      <c r="L65" s="99">
        <v>2021</v>
      </c>
      <c r="M65" s="99">
        <v>2022</v>
      </c>
      <c r="N65" s="99">
        <v>2023</v>
      </c>
      <c r="O65" s="100">
        <v>2024</v>
      </c>
      <c r="Q65" s="23" t="s">
        <v>153</v>
      </c>
      <c r="R65" s="99">
        <v>2021</v>
      </c>
      <c r="S65" s="99">
        <v>2022</v>
      </c>
      <c r="T65" s="99">
        <v>2023</v>
      </c>
      <c r="U65" s="100">
        <v>2024</v>
      </c>
      <c r="W65" s="23" t="s">
        <v>153</v>
      </c>
      <c r="X65" s="99">
        <v>2021</v>
      </c>
      <c r="Y65" s="99">
        <v>2022</v>
      </c>
      <c r="Z65" s="99">
        <v>2023</v>
      </c>
      <c r="AA65" s="100">
        <v>2024</v>
      </c>
      <c r="AB65" s="102"/>
    </row>
    <row r="66" spans="1:28" s="32" customFormat="1" ht="19.5" customHeight="1" x14ac:dyDescent="0.25">
      <c r="A66" s="31"/>
      <c r="B66" s="98"/>
      <c r="C66" s="142" t="s">
        <v>201</v>
      </c>
      <c r="D66" s="143"/>
      <c r="E66" s="143"/>
      <c r="F66" s="143"/>
      <c r="G66" s="143"/>
      <c r="H66" s="143"/>
      <c r="I66" s="143"/>
      <c r="K66" s="109"/>
      <c r="O66" s="110"/>
      <c r="Q66" s="109"/>
      <c r="U66" s="110"/>
      <c r="W66" s="109"/>
      <c r="AA66" s="110"/>
      <c r="AB66" s="102"/>
    </row>
    <row r="67" spans="1:28" s="32" customFormat="1" ht="15" customHeight="1" x14ac:dyDescent="0.25">
      <c r="A67" s="31"/>
      <c r="B67" s="98"/>
      <c r="C67" s="172" t="s">
        <v>195</v>
      </c>
      <c r="D67" s="173"/>
      <c r="E67" s="173"/>
      <c r="F67" s="173"/>
      <c r="G67" s="173"/>
      <c r="H67" s="173"/>
      <c r="I67" s="173"/>
      <c r="K67" s="109"/>
      <c r="O67" s="110"/>
      <c r="Q67" s="109"/>
      <c r="U67" s="110"/>
      <c r="W67" s="109"/>
      <c r="AA67" s="110"/>
      <c r="AB67" s="102"/>
    </row>
    <row r="68" spans="1:28" s="32" customFormat="1" ht="15" customHeight="1" x14ac:dyDescent="0.25">
      <c r="A68" s="31"/>
      <c r="B68" s="98"/>
      <c r="C68" s="174" t="s">
        <v>183</v>
      </c>
      <c r="D68" s="144"/>
      <c r="E68" s="144"/>
      <c r="F68" s="144"/>
      <c r="G68" s="144"/>
      <c r="H68" s="144"/>
      <c r="I68" s="144"/>
      <c r="K68" s="109"/>
      <c r="O68" s="110"/>
      <c r="Q68" s="109"/>
      <c r="U68" s="110"/>
      <c r="W68" s="109"/>
      <c r="AA68" s="110"/>
      <c r="AB68" s="102"/>
    </row>
    <row r="69" spans="1:28" s="32" customFormat="1" ht="15" customHeight="1" x14ac:dyDescent="0.25">
      <c r="A69" s="31"/>
      <c r="B69" s="98"/>
      <c r="C69" s="172" t="s">
        <v>184</v>
      </c>
      <c r="D69" s="175"/>
      <c r="E69" s="173"/>
      <c r="F69" s="173"/>
      <c r="G69" s="173"/>
      <c r="H69" s="173"/>
      <c r="I69" s="173"/>
      <c r="K69" s="109"/>
      <c r="O69" s="110"/>
      <c r="Q69" s="109"/>
      <c r="U69" s="110"/>
      <c r="W69" s="109"/>
      <c r="AA69" s="110"/>
      <c r="AB69" s="102"/>
    </row>
    <row r="70" spans="1:28" s="32" customFormat="1" ht="15" customHeight="1" x14ac:dyDescent="0.25">
      <c r="A70" s="31"/>
      <c r="B70" s="98"/>
      <c r="C70" s="174" t="s">
        <v>185</v>
      </c>
      <c r="D70" s="144"/>
      <c r="E70" s="144"/>
      <c r="F70" s="144"/>
      <c r="G70" s="144"/>
      <c r="H70" s="144"/>
      <c r="I70" s="144"/>
      <c r="K70" s="109"/>
      <c r="O70" s="110"/>
      <c r="Q70" s="109"/>
      <c r="U70" s="110"/>
      <c r="W70" s="109"/>
      <c r="AA70" s="110"/>
      <c r="AB70" s="102"/>
    </row>
    <row r="71" spans="1:28" s="32" customFormat="1" ht="15" customHeight="1" x14ac:dyDescent="0.25">
      <c r="A71" s="31"/>
      <c r="B71" s="98"/>
      <c r="C71" s="172" t="s">
        <v>186</v>
      </c>
      <c r="D71" s="173"/>
      <c r="E71" s="145"/>
      <c r="F71" s="145"/>
      <c r="G71" s="145"/>
      <c r="H71" s="146"/>
      <c r="I71" s="146"/>
      <c r="K71" s="109"/>
      <c r="O71" s="110"/>
      <c r="Q71" s="109"/>
      <c r="U71" s="110"/>
      <c r="W71" s="109"/>
      <c r="AA71" s="110"/>
      <c r="AB71" s="102"/>
    </row>
    <row r="72" spans="1:28" s="32" customFormat="1" ht="15" customHeight="1" x14ac:dyDescent="0.25">
      <c r="A72" s="31"/>
      <c r="B72" s="98"/>
      <c r="C72" s="174" t="s">
        <v>187</v>
      </c>
      <c r="D72" s="144"/>
      <c r="E72" s="144"/>
      <c r="F72" s="144"/>
      <c r="G72" s="144"/>
      <c r="H72" s="144"/>
      <c r="I72" s="144"/>
      <c r="K72" s="109"/>
      <c r="O72" s="110"/>
      <c r="Q72" s="109"/>
      <c r="U72" s="110"/>
      <c r="W72" s="109"/>
      <c r="AA72" s="110"/>
      <c r="AB72" s="102"/>
    </row>
    <row r="73" spans="1:28" s="32" customFormat="1" ht="15" customHeight="1" x14ac:dyDescent="0.25">
      <c r="A73" s="31"/>
      <c r="B73" s="98"/>
      <c r="C73" s="172" t="s">
        <v>188</v>
      </c>
      <c r="D73" s="173"/>
      <c r="E73" s="147"/>
      <c r="F73" s="147"/>
      <c r="G73" s="147"/>
      <c r="H73" s="148"/>
      <c r="I73" s="148"/>
      <c r="K73" s="109"/>
      <c r="O73" s="110"/>
      <c r="Q73" s="109"/>
      <c r="U73" s="110"/>
      <c r="W73" s="109"/>
      <c r="AA73" s="110"/>
      <c r="AB73" s="102"/>
    </row>
    <row r="74" spans="1:28" s="32" customFormat="1" ht="15" customHeight="1" x14ac:dyDescent="0.25">
      <c r="A74" s="31"/>
      <c r="B74" s="98"/>
      <c r="C74" s="220" t="s">
        <v>213</v>
      </c>
      <c r="D74" s="220"/>
      <c r="E74" s="220"/>
      <c r="F74" s="220"/>
      <c r="G74" s="220"/>
      <c r="H74" s="220"/>
      <c r="I74" s="220"/>
      <c r="K74" s="109"/>
      <c r="O74" s="110"/>
      <c r="Q74" s="109"/>
      <c r="U74" s="110"/>
      <c r="W74" s="109"/>
      <c r="AA74" s="110"/>
      <c r="AB74" s="102"/>
    </row>
    <row r="75" spans="1:28" s="32" customFormat="1" ht="15" customHeight="1" x14ac:dyDescent="0.25">
      <c r="A75" s="31"/>
      <c r="B75" s="98"/>
      <c r="C75" s="172" t="s">
        <v>209</v>
      </c>
      <c r="D75" s="173"/>
      <c r="E75" s="147"/>
      <c r="F75" s="147"/>
      <c r="G75" s="147"/>
      <c r="H75" s="148"/>
      <c r="I75" s="148"/>
      <c r="K75" s="109"/>
      <c r="O75" s="110"/>
      <c r="Q75" s="109"/>
      <c r="U75" s="110"/>
      <c r="W75" s="109"/>
      <c r="AA75" s="110"/>
      <c r="AB75" s="102"/>
    </row>
    <row r="76" spans="1:28" s="32" customFormat="1" ht="15" customHeight="1" x14ac:dyDescent="0.25">
      <c r="A76" s="31"/>
      <c r="B76" s="98"/>
      <c r="C76" s="220" t="s">
        <v>215</v>
      </c>
      <c r="D76" s="220"/>
      <c r="E76" s="220"/>
      <c r="F76" s="220"/>
      <c r="G76" s="220"/>
      <c r="H76" s="220"/>
      <c r="I76" s="220"/>
      <c r="K76" s="109"/>
      <c r="O76" s="110"/>
      <c r="Q76" s="109"/>
      <c r="U76" s="110"/>
      <c r="W76" s="109"/>
      <c r="AA76" s="110"/>
      <c r="AB76" s="102"/>
    </row>
    <row r="77" spans="1:28" s="32" customFormat="1" ht="15" customHeight="1" thickBot="1" x14ac:dyDescent="0.3">
      <c r="A77" s="31"/>
      <c r="B77" s="98"/>
      <c r="C77" s="176" t="s">
        <v>198</v>
      </c>
      <c r="D77" s="171"/>
      <c r="E77" s="171"/>
      <c r="F77" s="171"/>
      <c r="G77" s="171"/>
      <c r="H77" s="171"/>
      <c r="I77" s="171"/>
      <c r="K77" s="112"/>
      <c r="L77" s="113"/>
      <c r="M77" s="113"/>
      <c r="N77" s="113"/>
      <c r="O77" s="114"/>
      <c r="Q77" s="112"/>
      <c r="R77" s="113"/>
      <c r="S77" s="113"/>
      <c r="T77" s="113"/>
      <c r="U77" s="114"/>
      <c r="W77" s="112"/>
      <c r="X77" s="113"/>
      <c r="Y77" s="113"/>
      <c r="Z77" s="113"/>
      <c r="AA77" s="114"/>
      <c r="AB77" s="102"/>
    </row>
    <row r="78" spans="1:28" s="32" customFormat="1" ht="8.25" customHeight="1" thickBot="1" x14ac:dyDescent="0.3">
      <c r="A78" s="31"/>
      <c r="B78" s="122"/>
      <c r="C78" s="123"/>
      <c r="D78" s="123"/>
      <c r="E78" s="53"/>
      <c r="F78" s="53"/>
      <c r="G78" s="53"/>
      <c r="H78" s="53"/>
      <c r="I78" s="53"/>
      <c r="J78" s="124"/>
      <c r="K78" s="124"/>
      <c r="L78" s="124"/>
      <c r="M78" s="124"/>
      <c r="N78" s="124"/>
      <c r="O78" s="124"/>
      <c r="P78" s="124"/>
      <c r="Q78" s="124"/>
      <c r="R78" s="124"/>
      <c r="S78" s="124"/>
      <c r="T78" s="124"/>
      <c r="U78" s="124"/>
      <c r="V78" s="124"/>
      <c r="W78" s="124"/>
      <c r="X78" s="124"/>
      <c r="Y78" s="124"/>
      <c r="Z78" s="124"/>
      <c r="AA78" s="124"/>
      <c r="AB78" s="125"/>
    </row>
    <row r="79" spans="1:28" s="32" customFormat="1" x14ac:dyDescent="0.25">
      <c r="A79" s="31"/>
      <c r="B79" s="31"/>
      <c r="C79" s="126"/>
      <c r="D79" s="126"/>
      <c r="E79" s="121"/>
      <c r="F79" s="121"/>
      <c r="G79" s="121"/>
      <c r="H79" s="121"/>
      <c r="I79" s="121"/>
    </row>
    <row r="80" spans="1:28" s="32" customFormat="1" x14ac:dyDescent="0.25">
      <c r="A80" s="31"/>
      <c r="B80" s="31"/>
      <c r="E80" s="183"/>
      <c r="F80" s="183"/>
      <c r="G80" s="183"/>
      <c r="H80" s="183"/>
      <c r="I80" s="183"/>
    </row>
    <row r="81" spans="5:9" x14ac:dyDescent="0.25">
      <c r="E81" s="181"/>
      <c r="F81" s="181"/>
      <c r="G81" s="181"/>
      <c r="H81" s="181"/>
      <c r="I81" s="181"/>
    </row>
  </sheetData>
  <sheetProtection algorithmName="SHA-512" hashValue="c73y+zLeZZhbGKVTXn2oMMuGamlpVxJTX4GtkVTt4AjIKe3DA8A/L3RjwaqDuxIOrJ9gnSt3Yz2jT49RGGi8AA==" saltValue="f6p3FecGvgiynH/YX85HFg==" spinCount="100000" sheet="1" formatCells="0" formatColumns="0" formatRows="0" insertColumns="0" insertRows="0" insertHyperlinks="0" deleteColumns="0" deleteRows="0" sort="0" autoFilter="0" pivotTables="0"/>
  <mergeCells count="19">
    <mergeCell ref="W64:AA64"/>
    <mergeCell ref="K36:O36"/>
    <mergeCell ref="W7:AA7"/>
    <mergeCell ref="K21:O21"/>
    <mergeCell ref="Q21:U21"/>
    <mergeCell ref="W21:AA21"/>
    <mergeCell ref="Q7:U7"/>
    <mergeCell ref="Q64:U64"/>
    <mergeCell ref="Q36:U36"/>
    <mergeCell ref="W36:AA36"/>
    <mergeCell ref="Q50:U50"/>
    <mergeCell ref="W50:AA50"/>
    <mergeCell ref="E6:I6"/>
    <mergeCell ref="E7:I7"/>
    <mergeCell ref="C76:I76"/>
    <mergeCell ref="K7:O7"/>
    <mergeCell ref="K64:O64"/>
    <mergeCell ref="K50:O50"/>
    <mergeCell ref="C74:I74"/>
  </mergeCells>
  <conditionalFormatting sqref="E42:I47">
    <cfRule type="iconSet" priority="2">
      <iconSet iconSet="3ArrowsGray">
        <cfvo type="percent" val="0"/>
        <cfvo type="percent" val="33"/>
        <cfvo type="percent" val="67"/>
      </iconSet>
    </cfRule>
  </conditionalFormatting>
  <conditionalFormatting sqref="K6:O6">
    <cfRule type="dataBar" priority="7">
      <dataBar>
        <cfvo type="min"/>
        <cfvo type="max"/>
        <color rgb="FF638EC6"/>
      </dataBar>
      <extLst>
        <ext xmlns:x14="http://schemas.microsoft.com/office/spreadsheetml/2009/9/main" uri="{B025F937-C7B1-47D3-B67F-A62EFF666E3E}">
          <x14:id>{F4F78D40-A840-40A4-AD72-4FEF2E526C0E}</x14:id>
        </ext>
      </extLst>
    </cfRule>
  </conditionalFormatting>
  <dataValidations count="1">
    <dataValidation type="list" allowBlank="1" showInputMessage="1" showErrorMessage="1" promptTitle="Setor de atividade" sqref="C6:D6" xr:uid="{00000000-0002-0000-0100-000000000000}">
      <formula1>#REF!</formula1>
    </dataValidation>
  </dataValidations>
  <printOptions horizontalCentered="1"/>
  <pageMargins left="0" right="0" top="0" bottom="0" header="0" footer="0"/>
  <pageSetup paperSize="9" scale="49" orientation="landscape" r:id="rId1"/>
  <colBreaks count="2" manualBreakCount="2">
    <brk id="44" max="52" man="1"/>
    <brk id="330" max="1048575" man="1"/>
  </colBreaks>
  <customProperties>
    <customPr name="EpmWorksheetKeyString_GUID" r:id="rId2"/>
  </customProperties>
  <drawing r:id="rId3"/>
  <extLst>
    <ext xmlns:x14="http://schemas.microsoft.com/office/spreadsheetml/2009/9/main" uri="{78C0D931-6437-407d-A8EE-F0AAD7539E65}">
      <x14:conditionalFormattings>
        <x14:conditionalFormatting xmlns:xm="http://schemas.microsoft.com/office/excel/2006/main">
          <x14:cfRule type="iconSet" priority="1" id="{97BEA08A-C582-4653-A7C8-6BF90A750FFA}">
            <x14:iconSet iconSet="3ArrowsGray" custom="1">
              <x14:cfvo type="percent">
                <xm:f>0</xm:f>
              </x14:cfvo>
              <x14:cfvo type="num">
                <xm:f>0</xm:f>
              </x14:cfvo>
              <x14:cfvo type="num">
                <xm:f>0</xm:f>
              </x14:cfvo>
              <x14:cfIcon iconSet="3ArrowsGray" iconId="0"/>
              <x14:cfIcon iconSet="3ArrowsGray" iconId="0"/>
              <x14:cfIcon iconSet="3ArrowsGray" iconId="2"/>
            </x14:iconSet>
          </x14:cfRule>
          <xm:sqref>E42:I47</xm:sqref>
        </x14:conditionalFormatting>
        <x14:conditionalFormatting xmlns:xm="http://schemas.microsoft.com/office/excel/2006/main">
          <x14:cfRule type="dataBar" id="{F4F78D40-A840-40A4-AD72-4FEF2E526C0E}">
            <x14:dataBar minLength="0" maxLength="100" gradient="0">
              <x14:cfvo type="autoMin"/>
              <x14:cfvo type="autoMax"/>
              <x14:negativeFillColor rgb="FFFF0000"/>
              <x14:axisColor rgb="FF000000"/>
            </x14:dataBar>
          </x14:cfRule>
          <xm:sqref>K6:O6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4F9FC-344E-4BC9-B271-021D17062B73}">
  <sheetPr codeName="Folha14"/>
  <dimension ref="B1:Y193"/>
  <sheetViews>
    <sheetView zoomScale="96" zoomScaleNormal="96" workbookViewId="0">
      <pane xSplit="3" ySplit="7" topLeftCell="D54" activePane="bottomRight" state="frozen"/>
      <selection pane="topRight" activeCell="D1" sqref="D1"/>
      <selection pane="bottomLeft" activeCell="A8" sqref="A8"/>
      <selection pane="bottomRight" activeCell="G62" sqref="G62"/>
    </sheetView>
  </sheetViews>
  <sheetFormatPr defaultColWidth="9.140625" defaultRowHeight="15" x14ac:dyDescent="0.25"/>
  <cols>
    <col min="1" max="1" width="2.85546875" customWidth="1"/>
    <col min="2" max="2" width="11.85546875" style="1" hidden="1" customWidth="1"/>
    <col min="3" max="3" width="44.5703125" customWidth="1"/>
    <col min="4" max="4" width="16.85546875" customWidth="1"/>
    <col min="5" max="6" width="17.42578125" customWidth="1"/>
    <col min="7" max="7" width="16.42578125" customWidth="1"/>
    <col min="8" max="8" width="12.140625" customWidth="1"/>
    <col min="9" max="23" width="9.140625" style="55"/>
    <col min="24" max="24" width="9" style="55" customWidth="1"/>
    <col min="25" max="25" width="9.140625" style="55"/>
  </cols>
  <sheetData>
    <row r="1" spans="2:8" x14ac:dyDescent="0.25">
      <c r="D1" s="184"/>
      <c r="E1" s="184"/>
      <c r="F1" s="184"/>
      <c r="G1" s="184"/>
      <c r="H1" s="184"/>
    </row>
    <row r="2" spans="2:8" ht="20.25" customHeight="1" x14ac:dyDescent="0.25">
      <c r="B2" s="56"/>
      <c r="C2" s="230" t="s">
        <v>45</v>
      </c>
      <c r="D2" s="231"/>
      <c r="E2" s="231"/>
      <c r="F2" s="231"/>
      <c r="G2" s="231"/>
      <c r="H2" s="231"/>
    </row>
    <row r="3" spans="2:8" ht="25.5" customHeight="1" x14ac:dyDescent="0.25">
      <c r="B3" s="57"/>
      <c r="C3" s="230" t="s">
        <v>169</v>
      </c>
      <c r="D3" s="231"/>
      <c r="E3" s="231"/>
      <c r="F3" s="231"/>
      <c r="G3" s="231"/>
      <c r="H3" s="231"/>
    </row>
    <row r="4" spans="2:8" s="55" customFormat="1" ht="5.25" customHeight="1" x14ac:dyDescent="0.25">
      <c r="B4" s="1"/>
    </row>
    <row r="5" spans="2:8" s="55" customFormat="1" ht="18" customHeight="1" x14ac:dyDescent="0.25">
      <c r="B5" s="58"/>
      <c r="C5" s="227" t="s">
        <v>167</v>
      </c>
      <c r="D5" s="232" t="s">
        <v>218</v>
      </c>
      <c r="E5" s="233"/>
      <c r="F5" s="233"/>
      <c r="G5" s="233"/>
      <c r="H5" s="233"/>
    </row>
    <row r="6" spans="2:8" s="55" customFormat="1" ht="17.100000000000001" customHeight="1" x14ac:dyDescent="0.25">
      <c r="C6" s="228"/>
      <c r="F6" s="167" t="s">
        <v>220</v>
      </c>
      <c r="G6" s="167"/>
      <c r="H6" s="167"/>
    </row>
    <row r="7" spans="2:8" s="64" customFormat="1" ht="17.100000000000001" customHeight="1" x14ac:dyDescent="0.25">
      <c r="B7" s="76"/>
      <c r="C7" s="229"/>
      <c r="D7" s="60">
        <v>2020</v>
      </c>
      <c r="E7" s="60">
        <v>2021</v>
      </c>
      <c r="F7" s="60">
        <v>2022</v>
      </c>
      <c r="G7" s="60">
        <v>2023</v>
      </c>
      <c r="H7" s="60">
        <v>2024</v>
      </c>
    </row>
    <row r="8" spans="2:8" s="64" customFormat="1" ht="17.100000000000001" customHeight="1" x14ac:dyDescent="0.25">
      <c r="C8" s="65" t="s">
        <v>6</v>
      </c>
      <c r="D8" s="66">
        <f>+D9+D15</f>
        <v>6893685.6802465403</v>
      </c>
      <c r="E8" s="66">
        <f>+E9+E15</f>
        <v>6410590.063736869</v>
      </c>
      <c r="F8" s="66">
        <f>+F9+F15</f>
        <v>6772387.4885885697</v>
      </c>
      <c r="G8" s="66">
        <f>+G9+G15</f>
        <v>8709209.8883157112</v>
      </c>
      <c r="H8" s="66">
        <f>+H9+H15</f>
        <v>7516139.7501705009</v>
      </c>
    </row>
    <row r="9" spans="2:8" s="64" customFormat="1" ht="17.100000000000001" customHeight="1" x14ac:dyDescent="0.25">
      <c r="C9" s="81" t="s">
        <v>179</v>
      </c>
      <c r="D9" s="67">
        <f>+SUM(D10:D14)</f>
        <v>1015672.1901597099</v>
      </c>
      <c r="E9" s="67">
        <f t="shared" ref="E9:H9" si="0">+SUM(E10:E14)</f>
        <v>934786.23998795985</v>
      </c>
      <c r="F9" s="67">
        <f t="shared" si="0"/>
        <v>807283.41699629009</v>
      </c>
      <c r="G9" s="67">
        <f>+SUM(G10:G14)</f>
        <v>1779746.7980430298</v>
      </c>
      <c r="H9" s="161">
        <f t="shared" si="0"/>
        <v>1892247.6165289001</v>
      </c>
    </row>
    <row r="10" spans="2:8" s="64" customFormat="1" ht="17.100000000000001" customHeight="1" x14ac:dyDescent="0.25">
      <c r="C10" s="82" t="s">
        <v>211</v>
      </c>
      <c r="D10" s="68">
        <v>394020.91435651999</v>
      </c>
      <c r="E10" s="68">
        <v>428229.3331009</v>
      </c>
      <c r="F10" s="68">
        <v>457265.79418857995</v>
      </c>
      <c r="G10" s="69">
        <v>650627.19033601996</v>
      </c>
      <c r="H10" s="69">
        <v>734511.92840900004</v>
      </c>
    </row>
    <row r="11" spans="2:8" s="64" customFormat="1" ht="17.100000000000001" customHeight="1" x14ac:dyDescent="0.25">
      <c r="C11" s="82" t="s">
        <v>7</v>
      </c>
      <c r="D11" s="68">
        <v>17092.564817860002</v>
      </c>
      <c r="E11" s="68">
        <v>16605.279337609998</v>
      </c>
      <c r="F11" s="68">
        <v>16136.734747019998</v>
      </c>
      <c r="G11" s="69">
        <v>20477.446360200003</v>
      </c>
      <c r="H11" s="69">
        <v>35794.478187110006</v>
      </c>
    </row>
    <row r="12" spans="2:8" s="64" customFormat="1" ht="17.100000000000001" customHeight="1" x14ac:dyDescent="0.25">
      <c r="C12" s="82" t="s">
        <v>154</v>
      </c>
      <c r="D12" s="68">
        <v>44627.771473740002</v>
      </c>
      <c r="E12" s="68">
        <v>42873.452279480007</v>
      </c>
      <c r="F12" s="68">
        <v>41698.545524199995</v>
      </c>
      <c r="G12" s="69">
        <v>44682.510808500003</v>
      </c>
      <c r="H12" s="69">
        <v>57836.736337050002</v>
      </c>
    </row>
    <row r="13" spans="2:8" s="64" customFormat="1" ht="17.100000000000001" customHeight="1" x14ac:dyDescent="0.25">
      <c r="C13" s="82" t="s">
        <v>8</v>
      </c>
      <c r="D13" s="68">
        <v>384461.68560726993</v>
      </c>
      <c r="E13" s="68">
        <v>300838.94857957994</v>
      </c>
      <c r="F13" s="68">
        <v>157758.84505507001</v>
      </c>
      <c r="G13" s="69">
        <v>136044.30362548001</v>
      </c>
      <c r="H13" s="69">
        <v>107072.59355895</v>
      </c>
    </row>
    <row r="14" spans="2:8" s="64" customFormat="1" ht="17.100000000000001" customHeight="1" x14ac:dyDescent="0.25">
      <c r="C14" s="82" t="s">
        <v>9</v>
      </c>
      <c r="D14" s="68">
        <v>175469.25390431998</v>
      </c>
      <c r="E14" s="68">
        <v>146239.22669038997</v>
      </c>
      <c r="F14" s="68">
        <v>134423.49748142002</v>
      </c>
      <c r="G14" s="68">
        <v>927915.34691283002</v>
      </c>
      <c r="H14" s="69">
        <v>957031.88003679004</v>
      </c>
    </row>
    <row r="15" spans="2:8" s="64" customFormat="1" ht="17.100000000000001" customHeight="1" x14ac:dyDescent="0.25">
      <c r="C15" s="81" t="s">
        <v>180</v>
      </c>
      <c r="D15" s="67">
        <f>+SUM(D16:D19)</f>
        <v>5878013.4900868302</v>
      </c>
      <c r="E15" s="67">
        <f t="shared" ref="E15:H15" si="1">+SUM(E16:E19)</f>
        <v>5475803.8237489089</v>
      </c>
      <c r="F15" s="67">
        <f t="shared" si="1"/>
        <v>5965104.0715922797</v>
      </c>
      <c r="G15" s="67">
        <f t="shared" si="1"/>
        <v>6929463.0902726818</v>
      </c>
      <c r="H15" s="161">
        <f t="shared" si="1"/>
        <v>5623892.1336416006</v>
      </c>
    </row>
    <row r="16" spans="2:8" s="64" customFormat="1" ht="17.100000000000001" customHeight="1" x14ac:dyDescent="0.25">
      <c r="C16" s="82" t="s">
        <v>193</v>
      </c>
      <c r="D16" s="68">
        <v>395370.87917984009</v>
      </c>
      <c r="E16" s="68">
        <v>393695.13716172997</v>
      </c>
      <c r="F16" s="68">
        <v>420209.42423706996</v>
      </c>
      <c r="G16" s="69">
        <v>506532.02703556005</v>
      </c>
      <c r="H16" s="69">
        <v>510225.82615545008</v>
      </c>
    </row>
    <row r="17" spans="3:8" s="64" customFormat="1" ht="17.100000000000001" customHeight="1" x14ac:dyDescent="0.25">
      <c r="C17" s="82" t="s">
        <v>10</v>
      </c>
      <c r="D17" s="68">
        <v>4345836.6340203695</v>
      </c>
      <c r="E17" s="68">
        <v>3878110.0087562799</v>
      </c>
      <c r="F17" s="68">
        <v>4313469.23618758</v>
      </c>
      <c r="G17" s="69">
        <v>4852094.111656501</v>
      </c>
      <c r="H17" s="69">
        <v>3592642.6859035296</v>
      </c>
    </row>
    <row r="18" spans="3:8" s="64" customFormat="1" ht="17.100000000000001" customHeight="1" x14ac:dyDescent="0.25">
      <c r="C18" s="82" t="s">
        <v>11</v>
      </c>
      <c r="D18" s="68">
        <v>669591.59775665007</v>
      </c>
      <c r="E18" s="68">
        <v>642850.08582261996</v>
      </c>
      <c r="F18" s="68">
        <v>575388.80407174013</v>
      </c>
      <c r="G18" s="69">
        <v>699073.33082921011</v>
      </c>
      <c r="H18" s="69">
        <v>590482.45618942019</v>
      </c>
    </row>
    <row r="19" spans="3:8" s="64" customFormat="1" ht="17.100000000000001" customHeight="1" x14ac:dyDescent="0.25">
      <c r="C19" s="82" t="s">
        <v>12</v>
      </c>
      <c r="D19" s="68">
        <v>467214.37912997004</v>
      </c>
      <c r="E19" s="68">
        <v>561148.59200827999</v>
      </c>
      <c r="F19" s="68">
        <v>656036.60709588986</v>
      </c>
      <c r="G19" s="68">
        <v>871763.62075141037</v>
      </c>
      <c r="H19" s="69">
        <v>930541.16539320024</v>
      </c>
    </row>
    <row r="20" spans="3:8" s="64" customFormat="1" ht="17.100000000000001" customHeight="1" x14ac:dyDescent="0.25">
      <c r="C20" s="70" t="s">
        <v>13</v>
      </c>
      <c r="D20" s="71">
        <f t="shared" ref="D20:H20" si="2">+D21+D26</f>
        <v>6893685.6802465413</v>
      </c>
      <c r="E20" s="71">
        <f t="shared" si="2"/>
        <v>6410590.063736869</v>
      </c>
      <c r="F20" s="71">
        <f t="shared" si="2"/>
        <v>6772387.4885885697</v>
      </c>
      <c r="G20" s="71">
        <f t="shared" si="2"/>
        <v>8709209.8883157112</v>
      </c>
      <c r="H20" s="162">
        <f t="shared" si="2"/>
        <v>7516139.7501705009</v>
      </c>
    </row>
    <row r="21" spans="3:8" s="64" customFormat="1" ht="17.100000000000001" customHeight="1" x14ac:dyDescent="0.25">
      <c r="C21" s="81" t="s">
        <v>168</v>
      </c>
      <c r="D21" s="67">
        <f>+SUM(D22:D25)</f>
        <v>1386631.3059543804</v>
      </c>
      <c r="E21" s="67">
        <f t="shared" ref="E21" si="3">+SUM(E22:E25)</f>
        <v>1365633.09002003</v>
      </c>
      <c r="F21" s="67">
        <f t="shared" ref="F21" si="4">+SUM(F22:F25)</f>
        <v>1472289.5588735093</v>
      </c>
      <c r="G21" s="67">
        <f t="shared" ref="G21" si="5">+SUM(G22:G25)</f>
        <v>1703761.0005578417</v>
      </c>
      <c r="H21" s="161">
        <f t="shared" ref="H21" si="6">+SUM(H22:H25)</f>
        <v>1604478.5229338307</v>
      </c>
    </row>
    <row r="22" spans="3:8" s="64" customFormat="1" ht="17.100000000000001" customHeight="1" x14ac:dyDescent="0.25">
      <c r="C22" s="82" t="s">
        <v>14</v>
      </c>
      <c r="D22" s="68">
        <v>93101.362237119989</v>
      </c>
      <c r="E22" s="68">
        <v>105143.71877928</v>
      </c>
      <c r="F22" s="68">
        <v>99700.364052399993</v>
      </c>
      <c r="G22" s="68">
        <v>224350.28941689999</v>
      </c>
      <c r="H22" s="69">
        <v>97202.589519069996</v>
      </c>
    </row>
    <row r="23" spans="3:8" s="64" customFormat="1" ht="17.100000000000001" customHeight="1" x14ac:dyDescent="0.25">
      <c r="C23" s="82" t="s">
        <v>15</v>
      </c>
      <c r="D23" s="68">
        <v>634670.17315518996</v>
      </c>
      <c r="E23" s="68">
        <v>665061.77568535006</v>
      </c>
      <c r="F23" s="68">
        <v>664721.55212747992</v>
      </c>
      <c r="G23" s="69">
        <v>784592.16856142995</v>
      </c>
      <c r="H23" s="69">
        <v>733601.59424805001</v>
      </c>
    </row>
    <row r="24" spans="3:8" s="64" customFormat="1" ht="17.100000000000001" customHeight="1" x14ac:dyDescent="0.25">
      <c r="C24" s="82" t="s">
        <v>212</v>
      </c>
      <c r="D24" s="68">
        <v>454218.60681028012</v>
      </c>
      <c r="E24" s="68">
        <v>489429.94083563983</v>
      </c>
      <c r="F24" s="68">
        <v>517099.45359857939</v>
      </c>
      <c r="G24" s="69">
        <v>439468.10384575184</v>
      </c>
      <c r="H24" s="69">
        <v>566037.20384872146</v>
      </c>
    </row>
    <row r="25" spans="3:8" s="64" customFormat="1" ht="17.100000000000001" customHeight="1" x14ac:dyDescent="0.25">
      <c r="C25" s="82" t="s">
        <v>216</v>
      </c>
      <c r="D25" s="68">
        <v>204641.16375179033</v>
      </c>
      <c r="E25" s="68">
        <v>105997.65471976009</v>
      </c>
      <c r="F25" s="68">
        <v>190768.18909504989</v>
      </c>
      <c r="G25" s="69">
        <v>255350.43873375969</v>
      </c>
      <c r="H25" s="69">
        <v>207637.13531798942</v>
      </c>
    </row>
    <row r="26" spans="3:8" s="64" customFormat="1" ht="17.100000000000001" customHeight="1" x14ac:dyDescent="0.25">
      <c r="C26" s="81" t="s">
        <v>182</v>
      </c>
      <c r="D26" s="80">
        <f>+D27+D33</f>
        <v>5507054.3742921604</v>
      </c>
      <c r="E26" s="80">
        <f t="shared" ref="E26:H26" si="7">+E27+E33</f>
        <v>5044956.9737168392</v>
      </c>
      <c r="F26" s="80">
        <f t="shared" si="7"/>
        <v>5300097.9297150606</v>
      </c>
      <c r="G26" s="80">
        <f t="shared" si="7"/>
        <v>7005448.8877578694</v>
      </c>
      <c r="H26" s="215">
        <f t="shared" si="7"/>
        <v>5911661.2272366704</v>
      </c>
    </row>
    <row r="27" spans="3:8" s="64" customFormat="1" ht="17.100000000000001" customHeight="1" x14ac:dyDescent="0.25">
      <c r="C27" s="83" t="s">
        <v>16</v>
      </c>
      <c r="D27" s="72">
        <f>+SUM(D28:D32)</f>
        <v>606994.09462666989</v>
      </c>
      <c r="E27" s="72">
        <f t="shared" ref="E27:H27" si="8">+SUM(E28:E32)</f>
        <v>542953.53509253997</v>
      </c>
      <c r="F27" s="72">
        <f t="shared" si="8"/>
        <v>443007.82332822005</v>
      </c>
      <c r="G27" s="72">
        <f t="shared" si="8"/>
        <v>566695.69729967008</v>
      </c>
      <c r="H27" s="163">
        <f t="shared" si="8"/>
        <v>535805.47107491002</v>
      </c>
    </row>
    <row r="28" spans="3:8" s="64" customFormat="1" ht="17.100000000000001" customHeight="1" x14ac:dyDescent="0.25">
      <c r="C28" s="82" t="s">
        <v>17</v>
      </c>
      <c r="D28" s="68">
        <v>266683.37675045995</v>
      </c>
      <c r="E28" s="68">
        <v>225355.82933554001</v>
      </c>
      <c r="F28" s="68">
        <v>180961.16245062003</v>
      </c>
      <c r="G28" s="68">
        <v>265754.60973715002</v>
      </c>
      <c r="H28" s="69">
        <v>160326.94532309001</v>
      </c>
    </row>
    <row r="29" spans="3:8" s="64" customFormat="1" ht="17.100000000000001" customHeight="1" x14ac:dyDescent="0.25">
      <c r="C29" s="82" t="s">
        <v>18</v>
      </c>
      <c r="D29" s="68">
        <v>3234.8485732799995</v>
      </c>
      <c r="E29" s="68">
        <v>3354.3867038400003</v>
      </c>
      <c r="F29" s="68">
        <v>2723.5672945699998</v>
      </c>
      <c r="G29" s="69">
        <v>6662.9248316700005</v>
      </c>
      <c r="H29" s="69">
        <v>13442.095858060002</v>
      </c>
    </row>
    <row r="30" spans="3:8" s="64" customFormat="1" ht="17.100000000000001" customHeight="1" x14ac:dyDescent="0.25">
      <c r="C30" s="82" t="s">
        <v>19</v>
      </c>
      <c r="D30" s="68">
        <v>13628.72481387</v>
      </c>
      <c r="E30" s="68">
        <v>11156.901991969999</v>
      </c>
      <c r="F30" s="68">
        <v>1606.1708000000001</v>
      </c>
      <c r="G30" s="69">
        <v>1260.3970779700001</v>
      </c>
      <c r="H30" s="69">
        <v>1537.8670781800001</v>
      </c>
    </row>
    <row r="31" spans="3:8" s="64" customFormat="1" ht="17.100000000000001" customHeight="1" x14ac:dyDescent="0.25">
      <c r="C31" s="82" t="s">
        <v>156</v>
      </c>
      <c r="D31" s="68">
        <v>72020.65286722999</v>
      </c>
      <c r="E31" s="68">
        <v>57348.393111200006</v>
      </c>
      <c r="F31" s="68">
        <v>97754.330933639998</v>
      </c>
      <c r="G31" s="69">
        <v>92100.432080980012</v>
      </c>
      <c r="H31" s="69">
        <v>246355.44527436999</v>
      </c>
    </row>
    <row r="32" spans="3:8" s="64" customFormat="1" ht="17.100000000000001" customHeight="1" x14ac:dyDescent="0.25">
      <c r="C32" s="82" t="s">
        <v>20</v>
      </c>
      <c r="D32" s="68">
        <v>251426.49162182998</v>
      </c>
      <c r="E32" s="68">
        <v>245738.02394998999</v>
      </c>
      <c r="F32" s="68">
        <v>159962.59184939004</v>
      </c>
      <c r="G32" s="68">
        <v>200917.33357190003</v>
      </c>
      <c r="H32" s="69">
        <v>114143.11754121001</v>
      </c>
    </row>
    <row r="33" spans="3:8" s="64" customFormat="1" ht="17.100000000000001" customHeight="1" x14ac:dyDescent="0.25">
      <c r="C33" s="83" t="s">
        <v>181</v>
      </c>
      <c r="D33" s="72">
        <f>+SUM(D34:D37)</f>
        <v>4900060.2796654906</v>
      </c>
      <c r="E33" s="72">
        <f t="shared" ref="E33:H33" si="9">+SUM(E34:E37)</f>
        <v>4502003.4386242991</v>
      </c>
      <c r="F33" s="72">
        <f t="shared" si="9"/>
        <v>4857090.1063868403</v>
      </c>
      <c r="G33" s="72">
        <f t="shared" si="9"/>
        <v>6438753.190458199</v>
      </c>
      <c r="H33" s="163">
        <f t="shared" si="9"/>
        <v>5375855.7561617605</v>
      </c>
    </row>
    <row r="34" spans="3:8" s="64" customFormat="1" ht="17.100000000000001" customHeight="1" x14ac:dyDescent="0.25">
      <c r="C34" s="82" t="s">
        <v>21</v>
      </c>
      <c r="D34" s="68">
        <v>3903947.3178227204</v>
      </c>
      <c r="E34" s="68">
        <v>3404874.5945457793</v>
      </c>
      <c r="F34" s="68">
        <v>3838647.1064876704</v>
      </c>
      <c r="G34" s="68">
        <v>4945665.9700811179</v>
      </c>
      <c r="H34" s="69">
        <v>4138865.9954122999</v>
      </c>
    </row>
    <row r="35" spans="3:8" s="64" customFormat="1" ht="17.100000000000001" customHeight="1" x14ac:dyDescent="0.25">
      <c r="C35" s="82" t="s">
        <v>22</v>
      </c>
      <c r="D35" s="68">
        <v>145736.03823793997</v>
      </c>
      <c r="E35" s="68">
        <v>145331.06181256002</v>
      </c>
      <c r="F35" s="68">
        <v>145442.18408635</v>
      </c>
      <c r="G35" s="68">
        <v>213586.06356529001</v>
      </c>
      <c r="H35" s="69">
        <v>152307.12469038001</v>
      </c>
    </row>
    <row r="36" spans="3:8" s="64" customFormat="1" ht="17.100000000000001" customHeight="1" x14ac:dyDescent="0.25">
      <c r="C36" s="82" t="s">
        <v>155</v>
      </c>
      <c r="D36" s="68">
        <v>41228.869374250011</v>
      </c>
      <c r="E36" s="68">
        <v>48263.75787596</v>
      </c>
      <c r="F36" s="68">
        <v>33397.199470959997</v>
      </c>
      <c r="G36" s="68">
        <v>19496.590835039999</v>
      </c>
      <c r="H36" s="69">
        <v>83855.620226710002</v>
      </c>
    </row>
    <row r="37" spans="3:8" s="64" customFormat="1" ht="17.100000000000001" customHeight="1" x14ac:dyDescent="0.25">
      <c r="C37" s="84" t="s">
        <v>23</v>
      </c>
      <c r="D37" s="73">
        <v>809148.05423058011</v>
      </c>
      <c r="E37" s="73">
        <v>903534.02439000004</v>
      </c>
      <c r="F37" s="73">
        <v>839603.61634186003</v>
      </c>
      <c r="G37" s="73">
        <v>1260004.5659767506</v>
      </c>
      <c r="H37" s="164">
        <v>1000827.0158323701</v>
      </c>
    </row>
    <row r="38" spans="3:8" s="64" customFormat="1" ht="17.100000000000001" customHeight="1" x14ac:dyDescent="0.25">
      <c r="C38" s="61"/>
      <c r="D38" s="165"/>
      <c r="E38" s="166"/>
      <c r="F38" s="166"/>
      <c r="G38" s="165"/>
      <c r="H38" s="165"/>
    </row>
    <row r="39" spans="3:8" s="64" customFormat="1" ht="17.100000000000001" customHeight="1" x14ac:dyDescent="0.25">
      <c r="C39" s="224" t="s">
        <v>167</v>
      </c>
      <c r="D39" s="232" t="s">
        <v>219</v>
      </c>
      <c r="E39" s="233"/>
      <c r="F39" s="233"/>
      <c r="G39" s="233"/>
      <c r="H39" s="233"/>
    </row>
    <row r="40" spans="3:8" s="64" customFormat="1" ht="17.100000000000001" customHeight="1" x14ac:dyDescent="0.25">
      <c r="C40" s="225"/>
      <c r="D40" s="165"/>
      <c r="E40" s="91"/>
      <c r="F40" s="167" t="s">
        <v>220</v>
      </c>
      <c r="G40" s="167"/>
      <c r="H40" s="167"/>
    </row>
    <row r="41" spans="3:8" s="55" customFormat="1" ht="17.100000000000001" customHeight="1" x14ac:dyDescent="0.25">
      <c r="C41" s="226"/>
      <c r="D41" s="77">
        <v>2020</v>
      </c>
      <c r="E41" s="77">
        <v>2021</v>
      </c>
      <c r="F41" s="77">
        <v>2022</v>
      </c>
      <c r="G41" s="77">
        <v>2023</v>
      </c>
      <c r="H41" s="77">
        <v>2024</v>
      </c>
    </row>
    <row r="42" spans="3:8" s="64" customFormat="1" ht="17.100000000000001" customHeight="1" x14ac:dyDescent="0.25">
      <c r="C42" s="82" t="s">
        <v>24</v>
      </c>
      <c r="D42" s="62">
        <v>302937.77281215996</v>
      </c>
      <c r="E42" s="62">
        <v>292115.36938748998</v>
      </c>
      <c r="F42" s="62">
        <v>336879.80372407997</v>
      </c>
      <c r="G42" s="63">
        <v>407528.30547801999</v>
      </c>
      <c r="H42" s="63">
        <v>440152.62068708002</v>
      </c>
    </row>
    <row r="43" spans="3:8" s="64" customFormat="1" ht="17.100000000000001" customHeight="1" x14ac:dyDescent="0.25">
      <c r="C43" s="82" t="s">
        <v>190</v>
      </c>
      <c r="D43" s="62">
        <v>1131293.0256377002</v>
      </c>
      <c r="E43" s="62">
        <v>1442613.7381428201</v>
      </c>
      <c r="F43" s="62">
        <v>1664040.1301369097</v>
      </c>
      <c r="G43" s="63">
        <v>2087726.62744818</v>
      </c>
      <c r="H43" s="63">
        <v>1957217.1409799997</v>
      </c>
    </row>
    <row r="44" spans="3:8" s="64" customFormat="1" ht="17.100000000000001" customHeight="1" x14ac:dyDescent="0.25">
      <c r="C44" s="82" t="s">
        <v>25</v>
      </c>
      <c r="D44" s="62">
        <v>54020.853523410005</v>
      </c>
      <c r="E44" s="62">
        <v>55091.264080869994</v>
      </c>
      <c r="F44" s="62">
        <v>69711.231442339995</v>
      </c>
      <c r="G44" s="63">
        <v>87087.287271690002</v>
      </c>
      <c r="H44" s="63">
        <v>91310.221738849999</v>
      </c>
    </row>
    <row r="45" spans="3:8" s="64" customFormat="1" ht="17.100000000000001" customHeight="1" x14ac:dyDescent="0.25">
      <c r="C45" s="82" t="s">
        <v>158</v>
      </c>
      <c r="D45" s="62">
        <v>6023.7432490300007</v>
      </c>
      <c r="E45" s="62">
        <v>1720.5997163200002</v>
      </c>
      <c r="F45" s="62">
        <v>12370.471963259999</v>
      </c>
      <c r="G45" s="63">
        <v>4902.283333710001</v>
      </c>
      <c r="H45" s="63">
        <v>6586.7077247199995</v>
      </c>
    </row>
    <row r="46" spans="3:8" s="64" customFormat="1" ht="17.100000000000001" customHeight="1" x14ac:dyDescent="0.25">
      <c r="C46" s="82" t="s">
        <v>26</v>
      </c>
      <c r="D46" s="62">
        <v>8164.7274934300003</v>
      </c>
      <c r="E46" s="62">
        <v>4056.3217698200001</v>
      </c>
      <c r="F46" s="62">
        <v>2037.4768684600001</v>
      </c>
      <c r="G46" s="63">
        <v>9924.3903757200005</v>
      </c>
      <c r="H46" s="63">
        <v>9853.9567368400021</v>
      </c>
    </row>
    <row r="47" spans="3:8" s="64" customFormat="1" ht="17.100000000000001" customHeight="1" x14ac:dyDescent="0.25">
      <c r="C47" s="85" t="s">
        <v>165</v>
      </c>
      <c r="D47" s="74">
        <f>+SUM(D42:D46)</f>
        <v>1502440.1227157302</v>
      </c>
      <c r="E47" s="74">
        <f t="shared" ref="E47:G47" si="10">+SUM(E42:E46)</f>
        <v>1795597.29309732</v>
      </c>
      <c r="F47" s="74">
        <f t="shared" si="10"/>
        <v>2085039.1141350497</v>
      </c>
      <c r="G47" s="74">
        <f t="shared" si="10"/>
        <v>2597168.8939073198</v>
      </c>
      <c r="H47" s="180">
        <f>+SUM(H42:H46)</f>
        <v>2505120.6478674896</v>
      </c>
    </row>
    <row r="48" spans="3:8" s="64" customFormat="1" ht="17.100000000000001" customHeight="1" x14ac:dyDescent="0.25">
      <c r="C48" s="82" t="s">
        <v>191</v>
      </c>
      <c r="D48" s="62">
        <v>439070.45352429996</v>
      </c>
      <c r="E48" s="62">
        <v>511339.24905820994</v>
      </c>
      <c r="F48" s="62">
        <v>659975.38556209009</v>
      </c>
      <c r="G48" s="63">
        <v>735133.34751753008</v>
      </c>
      <c r="H48" s="63">
        <v>533036.89903728</v>
      </c>
    </row>
    <row r="49" spans="3:8" s="64" customFormat="1" ht="17.100000000000001" customHeight="1" x14ac:dyDescent="0.25">
      <c r="C49" s="82" t="s">
        <v>157</v>
      </c>
      <c r="D49" s="62">
        <v>4501.6148613000005</v>
      </c>
      <c r="E49" s="62">
        <v>-734.98256314000014</v>
      </c>
      <c r="F49" s="62">
        <v>1827.1127062799997</v>
      </c>
      <c r="G49" s="63">
        <v>1666.8690196199998</v>
      </c>
      <c r="H49" s="63">
        <v>1153.1287591600001</v>
      </c>
    </row>
    <row r="50" spans="3:8" s="64" customFormat="1" ht="17.100000000000001" customHeight="1" x14ac:dyDescent="0.25">
      <c r="C50" s="82" t="s">
        <v>27</v>
      </c>
      <c r="D50" s="62">
        <v>316041.55680189002</v>
      </c>
      <c r="E50" s="62">
        <v>360206.26702927001</v>
      </c>
      <c r="F50" s="62">
        <v>346538.26091909996</v>
      </c>
      <c r="G50" s="62">
        <v>454933.27191138006</v>
      </c>
      <c r="H50" s="63">
        <v>431158.81603540003</v>
      </c>
    </row>
    <row r="51" spans="3:8" s="64" customFormat="1" ht="17.100000000000001" customHeight="1" x14ac:dyDescent="0.25">
      <c r="C51" s="82" t="s">
        <v>28</v>
      </c>
      <c r="D51" s="62">
        <v>43010.213999660002</v>
      </c>
      <c r="E51" s="62">
        <v>56012.582359909997</v>
      </c>
      <c r="F51" s="62">
        <v>59241.032602390005</v>
      </c>
      <c r="G51" s="63">
        <v>80677.440712900003</v>
      </c>
      <c r="H51" s="63">
        <v>104307.22265924999</v>
      </c>
    </row>
    <row r="52" spans="3:8" s="64" customFormat="1" ht="17.100000000000001" customHeight="1" x14ac:dyDescent="0.25">
      <c r="C52" s="82" t="s">
        <v>29</v>
      </c>
      <c r="D52" s="62">
        <v>626060.29190296994</v>
      </c>
      <c r="E52" s="62">
        <v>747011.48285821988</v>
      </c>
      <c r="F52" s="62">
        <v>849968.37828143989</v>
      </c>
      <c r="G52" s="63">
        <v>1131005.2276811101</v>
      </c>
      <c r="H52" s="63">
        <v>1033386.1131711701</v>
      </c>
    </row>
    <row r="53" spans="3:8" s="64" customFormat="1" ht="17.100000000000001" customHeight="1" x14ac:dyDescent="0.25">
      <c r="C53" s="85" t="s">
        <v>166</v>
      </c>
      <c r="D53" s="74">
        <f>+SUM(D48:D52)</f>
        <v>1428684.1310901199</v>
      </c>
      <c r="E53" s="74">
        <f t="shared" ref="E53" si="11">+SUM(E48:E52)</f>
        <v>1673834.5987424699</v>
      </c>
      <c r="F53" s="74">
        <f t="shared" ref="F53" si="12">+SUM(F48:F52)</f>
        <v>1917550.1700712999</v>
      </c>
      <c r="G53" s="74">
        <f t="shared" ref="G53" si="13">+SUM(G48:G52)</f>
        <v>2403416.15684254</v>
      </c>
      <c r="H53" s="180">
        <f>+SUM(H48:H52)</f>
        <v>2103042.1796622602</v>
      </c>
    </row>
    <row r="54" spans="3:8" s="64" customFormat="1" ht="17.100000000000001" customHeight="1" x14ac:dyDescent="0.25">
      <c r="C54" s="155" t="s">
        <v>159</v>
      </c>
      <c r="D54" s="78">
        <f t="shared" ref="D54:G54" si="14">+D47-D53</f>
        <v>73755.991625610273</v>
      </c>
      <c r="E54" s="78">
        <f t="shared" si="14"/>
        <v>121762.6943548501</v>
      </c>
      <c r="F54" s="78">
        <f t="shared" si="14"/>
        <v>167488.94406374986</v>
      </c>
      <c r="G54" s="78">
        <f t="shared" si="14"/>
        <v>193752.73706477974</v>
      </c>
      <c r="H54" s="78">
        <f>+H47-H53</f>
        <v>402078.46820522938</v>
      </c>
    </row>
    <row r="55" spans="3:8" s="64" customFormat="1" ht="17.100000000000001" customHeight="1" x14ac:dyDescent="0.25">
      <c r="C55" s="155" t="s">
        <v>160</v>
      </c>
      <c r="D55" s="78">
        <v>84944.343346349997</v>
      </c>
      <c r="E55" s="78">
        <v>-13878.780406089982</v>
      </c>
      <c r="F55" s="78">
        <v>23628.430460500014</v>
      </c>
      <c r="G55" s="79">
        <v>103225.59262974998</v>
      </c>
      <c r="H55" s="79">
        <v>85594.467240189988</v>
      </c>
    </row>
    <row r="56" spans="3:8" s="64" customFormat="1" ht="17.100000000000001" customHeight="1" x14ac:dyDescent="0.25">
      <c r="C56" s="155" t="s">
        <v>161</v>
      </c>
      <c r="D56" s="78">
        <v>449.76291975999999</v>
      </c>
      <c r="E56" s="78">
        <v>1273.80740823</v>
      </c>
      <c r="F56" s="78">
        <v>6619.1421217400011</v>
      </c>
      <c r="G56" s="79">
        <v>1443.94540175</v>
      </c>
      <c r="H56" s="79">
        <v>-1271.9033182599999</v>
      </c>
    </row>
    <row r="57" spans="3:8" s="64" customFormat="1" ht="17.100000000000001" customHeight="1" x14ac:dyDescent="0.25">
      <c r="C57" s="155" t="s">
        <v>162</v>
      </c>
      <c r="D57" s="78">
        <v>113460.85970109999</v>
      </c>
      <c r="E57" s="78">
        <v>41857.753762659988</v>
      </c>
      <c r="F57" s="78">
        <v>46218.596624779995</v>
      </c>
      <c r="G57" s="79">
        <v>13465.542503500003</v>
      </c>
      <c r="H57" s="79">
        <v>-191244.65503315997</v>
      </c>
    </row>
    <row r="58" spans="3:8" s="64" customFormat="1" ht="17.100000000000001" customHeight="1" x14ac:dyDescent="0.25">
      <c r="C58" s="155" t="s">
        <v>163</v>
      </c>
      <c r="D58" s="78">
        <f>+SUM(D54:D57)</f>
        <v>272610.95759282028</v>
      </c>
      <c r="E58" s="78">
        <f t="shared" ref="E58:F58" si="15">+SUM(E54:E57)</f>
        <v>151015.4751196501</v>
      </c>
      <c r="F58" s="78">
        <f t="shared" si="15"/>
        <v>243955.11327076989</v>
      </c>
      <c r="G58" s="78">
        <f>+SUM(G54:G57)</f>
        <v>311887.81759977969</v>
      </c>
      <c r="H58" s="78">
        <f>+SUM(H54:H57)</f>
        <v>295156.37709399941</v>
      </c>
    </row>
    <row r="59" spans="3:8" s="64" customFormat="1" ht="17.100000000000001" customHeight="1" x14ac:dyDescent="0.25">
      <c r="C59" s="156" t="s">
        <v>170</v>
      </c>
      <c r="D59" s="62">
        <v>64318.364735459982</v>
      </c>
      <c r="E59" s="62">
        <v>53633.32668505</v>
      </c>
      <c r="F59" s="62">
        <v>62185.168997510002</v>
      </c>
      <c r="G59" s="63">
        <v>58529.820329020004</v>
      </c>
      <c r="H59" s="63">
        <v>89562.3537316</v>
      </c>
    </row>
    <row r="60" spans="3:8" s="64" customFormat="1" ht="17.100000000000001" customHeight="1" x14ac:dyDescent="0.25">
      <c r="C60" s="157" t="s">
        <v>192</v>
      </c>
      <c r="D60" s="75">
        <f>+D58-D59</f>
        <v>208292.59285736032</v>
      </c>
      <c r="E60" s="75">
        <f t="shared" ref="E60:H60" si="16">+E58-E59</f>
        <v>97382.148434600094</v>
      </c>
      <c r="F60" s="75">
        <f t="shared" si="16"/>
        <v>181769.9442732599</v>
      </c>
      <c r="G60" s="75">
        <f t="shared" si="16"/>
        <v>253357.99727075969</v>
      </c>
      <c r="H60" s="205">
        <f t="shared" si="16"/>
        <v>205594.02336239943</v>
      </c>
    </row>
    <row r="61" spans="3:8" s="64" customFormat="1" ht="17.100000000000001" customHeight="1" thickBot="1" x14ac:dyDescent="0.3">
      <c r="C61" s="157" t="s">
        <v>164</v>
      </c>
      <c r="D61" s="78">
        <v>-3651.4291055699991</v>
      </c>
      <c r="E61" s="78">
        <v>8615.5062851599996</v>
      </c>
      <c r="F61" s="78">
        <v>8998.2448217899982</v>
      </c>
      <c r="G61" s="79">
        <v>1992.4414629999994</v>
      </c>
      <c r="H61" s="79">
        <v>2043.11195559</v>
      </c>
    </row>
    <row r="62" spans="3:8" s="64" customFormat="1" ht="17.100000000000001" customHeight="1" thickBot="1" x14ac:dyDescent="0.3">
      <c r="C62" s="158" t="s">
        <v>194</v>
      </c>
      <c r="D62" s="87">
        <f>+SUM(D60:D61)</f>
        <v>204641.16375179033</v>
      </c>
      <c r="E62" s="87">
        <f t="shared" ref="E62:G62" si="17">+SUM(E60:E61)</f>
        <v>105997.65471976009</v>
      </c>
      <c r="F62" s="87">
        <f t="shared" si="17"/>
        <v>190768.18909504989</v>
      </c>
      <c r="G62" s="87">
        <f t="shared" si="17"/>
        <v>255350.43873375969</v>
      </c>
      <c r="H62" s="87">
        <f>+SUM(H60:H61)</f>
        <v>207637.13531798942</v>
      </c>
    </row>
    <row r="63" spans="3:8" s="55" customFormat="1" ht="6.75" customHeight="1" thickBot="1" x14ac:dyDescent="0.3">
      <c r="C63" s="159"/>
      <c r="D63" s="59"/>
      <c r="E63" s="59"/>
      <c r="F63" s="59"/>
      <c r="G63" s="59"/>
      <c r="H63" s="59"/>
    </row>
    <row r="64" spans="3:8" s="64" customFormat="1" ht="17.100000000000001" customHeight="1" thickBot="1" x14ac:dyDescent="0.3">
      <c r="C64" s="160" t="s">
        <v>57</v>
      </c>
      <c r="D64" s="90">
        <f>+D8-D20</f>
        <v>0</v>
      </c>
      <c r="E64" s="90">
        <f>+E8-E20</f>
        <v>0</v>
      </c>
      <c r="F64" s="90">
        <f>+F8-F20</f>
        <v>0</v>
      </c>
      <c r="G64" s="90">
        <f>+G8-G20</f>
        <v>0</v>
      </c>
      <c r="H64" s="90">
        <f>+H8-H20</f>
        <v>0</v>
      </c>
    </row>
    <row r="65" spans="2:8" s="55" customFormat="1" ht="17.100000000000001" customHeight="1" x14ac:dyDescent="0.25">
      <c r="B65" s="1"/>
      <c r="C65" s="64" t="s">
        <v>210</v>
      </c>
      <c r="D65" s="64"/>
      <c r="E65" s="64"/>
      <c r="F65" s="64"/>
      <c r="G65" s="64"/>
      <c r="H65" s="64"/>
    </row>
    <row r="66" spans="2:8" s="55" customFormat="1" ht="17.100000000000001" customHeight="1" x14ac:dyDescent="0.25">
      <c r="B66" s="1"/>
      <c r="C66" s="64"/>
      <c r="D66" s="64"/>
      <c r="E66" s="64"/>
      <c r="F66" s="64"/>
      <c r="G66" s="64"/>
      <c r="H66" s="64"/>
    </row>
    <row r="67" spans="2:8" s="55" customFormat="1" ht="17.100000000000001" customHeight="1" x14ac:dyDescent="0.25">
      <c r="B67" s="1"/>
      <c r="C67" s="64"/>
      <c r="D67" s="64"/>
      <c r="E67" s="64"/>
      <c r="F67" s="64"/>
      <c r="G67" s="64"/>
      <c r="H67" s="64"/>
    </row>
    <row r="68" spans="2:8" s="55" customFormat="1" ht="17.100000000000001" customHeight="1" x14ac:dyDescent="0.25">
      <c r="B68" s="1"/>
      <c r="C68" s="64"/>
      <c r="D68" s="64"/>
      <c r="E68" s="64"/>
      <c r="F68" s="64"/>
      <c r="G68" s="64"/>
      <c r="H68" s="64"/>
    </row>
    <row r="69" spans="2:8" s="55" customFormat="1" ht="17.100000000000001" customHeight="1" x14ac:dyDescent="0.25">
      <c r="B69" s="1"/>
      <c r="C69" s="64"/>
      <c r="D69" s="64"/>
      <c r="E69" s="64"/>
      <c r="F69" s="64"/>
      <c r="G69" s="64"/>
      <c r="H69" s="64"/>
    </row>
    <row r="70" spans="2:8" s="55" customFormat="1" ht="17.100000000000001" customHeight="1" x14ac:dyDescent="0.25">
      <c r="B70" s="1"/>
      <c r="C70" s="64"/>
      <c r="D70" s="64"/>
      <c r="E70" s="64"/>
      <c r="F70" s="64"/>
      <c r="G70" s="64"/>
      <c r="H70" s="64"/>
    </row>
    <row r="71" spans="2:8" s="55" customFormat="1" ht="17.100000000000001" customHeight="1" x14ac:dyDescent="0.25">
      <c r="B71" s="1"/>
      <c r="C71" s="64"/>
      <c r="D71" s="64"/>
      <c r="E71" s="64"/>
      <c r="F71" s="64"/>
      <c r="G71" s="64"/>
      <c r="H71" s="64"/>
    </row>
    <row r="72" spans="2:8" s="55" customFormat="1" ht="17.100000000000001" customHeight="1" x14ac:dyDescent="0.25">
      <c r="B72" s="1"/>
      <c r="C72" s="64"/>
      <c r="D72" s="64"/>
      <c r="E72" s="64"/>
      <c r="F72" s="64"/>
      <c r="G72" s="64"/>
      <c r="H72" s="64"/>
    </row>
    <row r="73" spans="2:8" s="55" customFormat="1" ht="17.100000000000001" customHeight="1" x14ac:dyDescent="0.25">
      <c r="B73" s="1"/>
      <c r="C73" s="64"/>
      <c r="D73" s="64"/>
      <c r="E73" s="64"/>
      <c r="F73" s="64"/>
      <c r="G73" s="64"/>
      <c r="H73" s="64"/>
    </row>
    <row r="74" spans="2:8" s="55" customFormat="1" ht="17.100000000000001" customHeight="1" x14ac:dyDescent="0.25">
      <c r="B74" s="1"/>
      <c r="C74" s="64"/>
      <c r="D74" s="64"/>
      <c r="E74" s="64"/>
      <c r="F74" s="64"/>
      <c r="G74" s="64"/>
      <c r="H74" s="64"/>
    </row>
    <row r="75" spans="2:8" s="55" customFormat="1" ht="17.100000000000001" customHeight="1" x14ac:dyDescent="0.25">
      <c r="B75" s="1"/>
      <c r="C75" s="64"/>
      <c r="D75" s="64"/>
      <c r="E75" s="64"/>
      <c r="F75" s="64"/>
      <c r="G75" s="64"/>
      <c r="H75" s="64"/>
    </row>
    <row r="76" spans="2:8" s="55" customFormat="1" ht="17.100000000000001" customHeight="1" x14ac:dyDescent="0.25">
      <c r="B76" s="1"/>
      <c r="C76" s="64"/>
      <c r="D76" s="64"/>
      <c r="E76" s="64"/>
      <c r="F76" s="64"/>
      <c r="G76" s="64"/>
      <c r="H76" s="64"/>
    </row>
    <row r="77" spans="2:8" s="55" customFormat="1" ht="17.100000000000001" customHeight="1" x14ac:dyDescent="0.25">
      <c r="B77" s="1"/>
      <c r="C77" s="64"/>
      <c r="D77" s="64"/>
      <c r="E77" s="64"/>
      <c r="F77" s="64"/>
      <c r="G77" s="64"/>
      <c r="H77" s="64"/>
    </row>
    <row r="78" spans="2:8" s="55" customFormat="1" ht="17.100000000000001" customHeight="1" x14ac:dyDescent="0.25">
      <c r="B78" s="1"/>
      <c r="C78" s="64"/>
      <c r="D78" s="64"/>
      <c r="E78" s="64"/>
      <c r="F78" s="64"/>
      <c r="G78" s="64"/>
      <c r="H78" s="64"/>
    </row>
    <row r="79" spans="2:8" s="55" customFormat="1" ht="17.100000000000001" customHeight="1" x14ac:dyDescent="0.25">
      <c r="B79" s="1"/>
      <c r="C79" s="64"/>
      <c r="D79" s="64"/>
      <c r="E79" s="64"/>
      <c r="F79" s="64"/>
      <c r="G79" s="64"/>
      <c r="H79" s="64"/>
    </row>
    <row r="80" spans="2:8" s="55" customFormat="1" ht="17.100000000000001" customHeight="1" x14ac:dyDescent="0.25">
      <c r="B80" s="1"/>
      <c r="C80" s="64"/>
      <c r="D80" s="64"/>
      <c r="E80" s="64"/>
      <c r="F80" s="64"/>
      <c r="G80" s="64"/>
      <c r="H80" s="64"/>
    </row>
    <row r="81" spans="2:8" s="55" customFormat="1" ht="17.100000000000001" customHeight="1" x14ac:dyDescent="0.25">
      <c r="B81" s="1"/>
      <c r="C81" s="64"/>
      <c r="D81" s="64"/>
      <c r="E81" s="64"/>
      <c r="F81" s="64"/>
      <c r="G81" s="64"/>
      <c r="H81" s="64"/>
    </row>
    <row r="82" spans="2:8" s="55" customFormat="1" ht="17.100000000000001" customHeight="1" x14ac:dyDescent="0.25">
      <c r="B82" s="1"/>
      <c r="C82" s="64"/>
      <c r="D82" s="64"/>
      <c r="E82" s="64"/>
      <c r="F82" s="64"/>
      <c r="G82" s="64"/>
      <c r="H82" s="64"/>
    </row>
    <row r="83" spans="2:8" s="55" customFormat="1" ht="17.100000000000001" customHeight="1" x14ac:dyDescent="0.25">
      <c r="B83" s="1"/>
      <c r="C83" s="64"/>
      <c r="D83" s="64"/>
      <c r="E83" s="64"/>
      <c r="F83" s="64"/>
      <c r="G83" s="64"/>
      <c r="H83" s="64"/>
    </row>
    <row r="84" spans="2:8" s="55" customFormat="1" ht="17.100000000000001" customHeight="1" x14ac:dyDescent="0.25">
      <c r="B84" s="1"/>
      <c r="C84" s="64"/>
      <c r="D84" s="64"/>
      <c r="E84" s="64"/>
      <c r="F84" s="64"/>
      <c r="G84" s="64"/>
      <c r="H84" s="64"/>
    </row>
    <row r="85" spans="2:8" s="55" customFormat="1" ht="17.100000000000001" customHeight="1" x14ac:dyDescent="0.25">
      <c r="B85" s="1"/>
      <c r="C85" s="64"/>
      <c r="D85" s="64"/>
      <c r="E85" s="64"/>
      <c r="F85" s="64"/>
      <c r="G85" s="64"/>
      <c r="H85" s="64"/>
    </row>
    <row r="86" spans="2:8" s="55" customFormat="1" ht="17.100000000000001" customHeight="1" x14ac:dyDescent="0.25">
      <c r="B86" s="1"/>
      <c r="C86" s="64"/>
      <c r="D86" s="64"/>
      <c r="E86" s="64"/>
      <c r="F86" s="64"/>
      <c r="G86" s="64"/>
      <c r="H86" s="64"/>
    </row>
    <row r="87" spans="2:8" s="55" customFormat="1" ht="17.100000000000001" customHeight="1" x14ac:dyDescent="0.25">
      <c r="B87" s="1"/>
      <c r="C87" s="64"/>
      <c r="D87" s="64"/>
      <c r="E87" s="64"/>
      <c r="F87" s="64"/>
      <c r="G87" s="64"/>
      <c r="H87" s="64"/>
    </row>
    <row r="88" spans="2:8" s="55" customFormat="1" ht="17.100000000000001" customHeight="1" x14ac:dyDescent="0.25">
      <c r="B88" s="1"/>
      <c r="C88" s="64"/>
      <c r="D88" s="64"/>
      <c r="E88" s="64"/>
      <c r="F88" s="64"/>
      <c r="G88" s="64"/>
      <c r="H88" s="64"/>
    </row>
    <row r="89" spans="2:8" s="55" customFormat="1" ht="17.100000000000001" customHeight="1" x14ac:dyDescent="0.25">
      <c r="B89" s="1"/>
      <c r="C89" s="64"/>
      <c r="D89" s="64"/>
      <c r="E89" s="64"/>
      <c r="F89" s="64"/>
      <c r="G89" s="64"/>
      <c r="H89" s="64"/>
    </row>
    <row r="90" spans="2:8" s="55" customFormat="1" ht="17.100000000000001" customHeight="1" x14ac:dyDescent="0.25">
      <c r="B90" s="1"/>
      <c r="C90" s="64"/>
      <c r="D90" s="64"/>
      <c r="E90" s="64"/>
      <c r="F90" s="64"/>
      <c r="G90" s="64"/>
      <c r="H90" s="64"/>
    </row>
    <row r="91" spans="2:8" s="55" customFormat="1" ht="17.100000000000001" customHeight="1" x14ac:dyDescent="0.25">
      <c r="B91" s="1"/>
      <c r="C91" s="64"/>
      <c r="D91" s="64"/>
      <c r="E91" s="64"/>
      <c r="F91" s="64"/>
      <c r="G91" s="64"/>
      <c r="H91" s="64"/>
    </row>
    <row r="92" spans="2:8" s="55" customFormat="1" ht="17.100000000000001" customHeight="1" x14ac:dyDescent="0.25">
      <c r="B92" s="1"/>
      <c r="C92" s="64"/>
      <c r="D92" s="64"/>
      <c r="E92" s="64"/>
      <c r="F92" s="64"/>
      <c r="G92" s="64"/>
      <c r="H92" s="64"/>
    </row>
    <row r="93" spans="2:8" s="55" customFormat="1" ht="17.100000000000001" customHeight="1" x14ac:dyDescent="0.25">
      <c r="B93" s="1"/>
      <c r="C93" s="64"/>
      <c r="D93" s="64"/>
      <c r="E93" s="64"/>
      <c r="F93" s="64"/>
      <c r="G93" s="64"/>
      <c r="H93" s="64"/>
    </row>
    <row r="94" spans="2:8" s="55" customFormat="1" ht="17.100000000000001" customHeight="1" x14ac:dyDescent="0.25">
      <c r="B94" s="1"/>
      <c r="C94" s="64"/>
      <c r="D94" s="64"/>
      <c r="E94" s="64"/>
      <c r="F94" s="64"/>
      <c r="G94" s="64"/>
      <c r="H94" s="64"/>
    </row>
    <row r="95" spans="2:8" s="55" customFormat="1" ht="17.100000000000001" customHeight="1" x14ac:dyDescent="0.25">
      <c r="B95" s="1"/>
      <c r="C95" s="64"/>
      <c r="D95" s="64"/>
      <c r="E95" s="64"/>
      <c r="F95" s="64"/>
      <c r="G95" s="64"/>
      <c r="H95" s="64"/>
    </row>
    <row r="96" spans="2:8" s="55" customFormat="1" ht="17.100000000000001" customHeight="1" x14ac:dyDescent="0.25">
      <c r="B96" s="1"/>
      <c r="C96" s="64"/>
      <c r="D96" s="64"/>
      <c r="E96" s="64"/>
      <c r="F96" s="64"/>
      <c r="G96" s="64"/>
      <c r="H96" s="64"/>
    </row>
    <row r="97" spans="2:8" s="55" customFormat="1" ht="17.100000000000001" customHeight="1" x14ac:dyDescent="0.25">
      <c r="B97" s="1"/>
      <c r="C97" s="64"/>
      <c r="D97" s="64"/>
      <c r="E97" s="64"/>
      <c r="F97" s="64"/>
      <c r="G97" s="64"/>
      <c r="H97" s="64"/>
    </row>
    <row r="98" spans="2:8" s="55" customFormat="1" ht="17.100000000000001" customHeight="1" x14ac:dyDescent="0.25">
      <c r="B98" s="1"/>
      <c r="C98" s="64"/>
      <c r="D98" s="64"/>
      <c r="E98" s="64"/>
      <c r="F98" s="64"/>
      <c r="G98" s="64"/>
      <c r="H98" s="64"/>
    </row>
    <row r="99" spans="2:8" s="55" customFormat="1" ht="17.100000000000001" customHeight="1" x14ac:dyDescent="0.25">
      <c r="B99" s="1"/>
      <c r="C99" s="64"/>
      <c r="D99" s="64"/>
      <c r="E99" s="64"/>
      <c r="F99" s="64"/>
      <c r="G99" s="64"/>
      <c r="H99" s="64"/>
    </row>
    <row r="100" spans="2:8" s="55" customFormat="1" ht="17.100000000000001" customHeight="1" x14ac:dyDescent="0.25">
      <c r="B100" s="1"/>
      <c r="C100" s="64"/>
      <c r="D100" s="64"/>
      <c r="E100" s="64"/>
      <c r="F100" s="64"/>
      <c r="G100" s="64"/>
      <c r="H100" s="64"/>
    </row>
    <row r="101" spans="2:8" s="55" customFormat="1" ht="17.100000000000001" customHeight="1" x14ac:dyDescent="0.25">
      <c r="B101" s="1"/>
      <c r="C101" s="64"/>
      <c r="D101" s="64"/>
      <c r="E101" s="64"/>
      <c r="F101" s="64"/>
      <c r="G101" s="64"/>
      <c r="H101" s="64"/>
    </row>
    <row r="102" spans="2:8" s="55" customFormat="1" ht="17.100000000000001" customHeight="1" x14ac:dyDescent="0.25">
      <c r="B102" s="1"/>
      <c r="C102" s="64"/>
      <c r="D102" s="64"/>
      <c r="E102" s="64"/>
      <c r="F102" s="64"/>
      <c r="G102" s="64"/>
      <c r="H102" s="64"/>
    </row>
    <row r="103" spans="2:8" s="55" customFormat="1" ht="17.100000000000001" customHeight="1" x14ac:dyDescent="0.25">
      <c r="B103" s="1"/>
      <c r="C103" s="64"/>
      <c r="D103" s="64"/>
      <c r="E103" s="64"/>
      <c r="F103" s="64"/>
      <c r="G103" s="64"/>
      <c r="H103" s="64"/>
    </row>
    <row r="104" spans="2:8" s="55" customFormat="1" ht="17.100000000000001" customHeight="1" x14ac:dyDescent="0.25">
      <c r="B104" s="1"/>
      <c r="C104" s="64"/>
      <c r="D104" s="64"/>
      <c r="E104" s="64"/>
      <c r="F104" s="64"/>
      <c r="G104" s="64"/>
      <c r="H104" s="64"/>
    </row>
    <row r="105" spans="2:8" s="55" customFormat="1" ht="17.100000000000001" customHeight="1" x14ac:dyDescent="0.25">
      <c r="B105" s="1"/>
      <c r="C105" s="64"/>
      <c r="D105" s="64"/>
      <c r="E105" s="64"/>
      <c r="F105" s="64"/>
      <c r="G105" s="64"/>
      <c r="H105" s="64"/>
    </row>
    <row r="106" spans="2:8" s="55" customFormat="1" ht="17.100000000000001" customHeight="1" x14ac:dyDescent="0.25">
      <c r="B106" s="1"/>
      <c r="C106" s="64"/>
      <c r="D106" s="64"/>
      <c r="E106" s="64"/>
      <c r="F106" s="64"/>
      <c r="G106" s="64"/>
      <c r="H106" s="64"/>
    </row>
    <row r="107" spans="2:8" s="55" customFormat="1" ht="17.100000000000001" customHeight="1" x14ac:dyDescent="0.25">
      <c r="B107" s="1"/>
      <c r="C107" s="64"/>
      <c r="D107" s="64"/>
      <c r="E107" s="64"/>
      <c r="F107" s="64"/>
      <c r="G107" s="64"/>
      <c r="H107" s="64"/>
    </row>
    <row r="108" spans="2:8" s="55" customFormat="1" ht="17.100000000000001" customHeight="1" x14ac:dyDescent="0.25">
      <c r="B108" s="1"/>
      <c r="C108" s="64"/>
      <c r="D108" s="64"/>
      <c r="E108" s="64"/>
      <c r="F108" s="64"/>
      <c r="G108" s="64"/>
      <c r="H108" s="64"/>
    </row>
    <row r="109" spans="2:8" s="55" customFormat="1" ht="17.100000000000001" customHeight="1" x14ac:dyDescent="0.25">
      <c r="B109" s="1"/>
      <c r="C109" s="64"/>
      <c r="D109" s="64"/>
      <c r="E109" s="64"/>
      <c r="F109" s="64"/>
      <c r="G109" s="64"/>
      <c r="H109" s="64"/>
    </row>
    <row r="110" spans="2:8" s="55" customFormat="1" ht="17.100000000000001" customHeight="1" x14ac:dyDescent="0.25">
      <c r="B110" s="1"/>
      <c r="C110" s="64"/>
      <c r="D110" s="64"/>
      <c r="E110" s="64"/>
      <c r="F110" s="64"/>
      <c r="G110" s="64"/>
      <c r="H110" s="64"/>
    </row>
    <row r="111" spans="2:8" s="55" customFormat="1" ht="17.100000000000001" customHeight="1" x14ac:dyDescent="0.25">
      <c r="B111" s="1"/>
      <c r="C111" s="64"/>
      <c r="D111" s="64"/>
      <c r="E111" s="64"/>
      <c r="F111" s="64"/>
      <c r="G111" s="64"/>
      <c r="H111" s="64"/>
    </row>
    <row r="112" spans="2:8" s="55" customFormat="1" ht="17.100000000000001" customHeight="1" x14ac:dyDescent="0.25">
      <c r="B112" s="1"/>
      <c r="C112" s="64"/>
      <c r="D112" s="64"/>
      <c r="E112" s="64"/>
      <c r="F112" s="64"/>
      <c r="G112" s="64"/>
      <c r="H112" s="64"/>
    </row>
    <row r="113" spans="2:8" s="55" customFormat="1" ht="17.100000000000001" customHeight="1" x14ac:dyDescent="0.25">
      <c r="B113" s="1"/>
      <c r="C113" s="64"/>
      <c r="D113" s="64"/>
      <c r="E113" s="64"/>
      <c r="F113" s="64"/>
      <c r="G113" s="64"/>
      <c r="H113" s="64"/>
    </row>
    <row r="114" spans="2:8" s="55" customFormat="1" ht="17.100000000000001" customHeight="1" x14ac:dyDescent="0.25">
      <c r="B114" s="1"/>
      <c r="C114" s="64"/>
      <c r="D114" s="64"/>
      <c r="E114" s="64"/>
      <c r="F114" s="64"/>
      <c r="G114" s="64"/>
      <c r="H114" s="64"/>
    </row>
    <row r="115" spans="2:8" s="55" customFormat="1" ht="17.100000000000001" customHeight="1" x14ac:dyDescent="0.25">
      <c r="B115" s="1"/>
      <c r="C115" s="64"/>
      <c r="D115" s="64"/>
      <c r="E115" s="64"/>
      <c r="F115" s="64"/>
      <c r="G115" s="64"/>
      <c r="H115" s="64"/>
    </row>
    <row r="116" spans="2:8" s="55" customFormat="1" ht="17.100000000000001" customHeight="1" x14ac:dyDescent="0.25">
      <c r="B116" s="1"/>
      <c r="C116" s="64"/>
      <c r="D116" s="64"/>
      <c r="E116" s="64"/>
      <c r="F116" s="64"/>
      <c r="G116" s="64"/>
      <c r="H116" s="64"/>
    </row>
    <row r="117" spans="2:8" s="55" customFormat="1" ht="17.100000000000001" customHeight="1" x14ac:dyDescent="0.25">
      <c r="B117" s="1"/>
      <c r="C117" s="64"/>
      <c r="D117" s="64"/>
      <c r="E117" s="64"/>
      <c r="F117" s="64"/>
      <c r="G117" s="64"/>
      <c r="H117" s="64"/>
    </row>
    <row r="118" spans="2:8" s="55" customFormat="1" ht="17.100000000000001" customHeight="1" x14ac:dyDescent="0.25">
      <c r="B118" s="1"/>
      <c r="C118" s="64"/>
      <c r="D118" s="64"/>
      <c r="E118" s="64"/>
      <c r="F118" s="64"/>
      <c r="G118" s="64"/>
      <c r="H118" s="64"/>
    </row>
    <row r="119" spans="2:8" s="55" customFormat="1" ht="17.100000000000001" customHeight="1" x14ac:dyDescent="0.25">
      <c r="B119" s="1"/>
      <c r="C119" s="64"/>
      <c r="D119" s="64"/>
      <c r="E119" s="64"/>
      <c r="F119" s="64"/>
      <c r="G119" s="64"/>
      <c r="H119" s="64"/>
    </row>
    <row r="120" spans="2:8" s="55" customFormat="1" ht="17.100000000000001" customHeight="1" x14ac:dyDescent="0.25">
      <c r="B120" s="1"/>
      <c r="C120" s="64"/>
      <c r="D120" s="64"/>
      <c r="E120" s="64"/>
      <c r="F120" s="64"/>
      <c r="G120" s="64"/>
      <c r="H120" s="64"/>
    </row>
    <row r="121" spans="2:8" s="55" customFormat="1" ht="17.100000000000001" customHeight="1" x14ac:dyDescent="0.25">
      <c r="B121" s="1"/>
      <c r="C121" s="64"/>
      <c r="D121" s="64"/>
      <c r="E121" s="64"/>
      <c r="F121" s="64"/>
      <c r="G121" s="64"/>
      <c r="H121" s="64"/>
    </row>
    <row r="122" spans="2:8" s="55" customFormat="1" ht="17.100000000000001" customHeight="1" x14ac:dyDescent="0.25">
      <c r="B122" s="1"/>
      <c r="C122" s="64"/>
      <c r="D122" s="64"/>
      <c r="E122" s="64"/>
      <c r="F122" s="64"/>
      <c r="G122" s="64"/>
      <c r="H122" s="64"/>
    </row>
    <row r="123" spans="2:8" s="55" customFormat="1" ht="17.100000000000001" customHeight="1" x14ac:dyDescent="0.25">
      <c r="B123" s="1"/>
      <c r="C123" s="64"/>
      <c r="D123" s="64"/>
      <c r="E123" s="64"/>
      <c r="F123" s="64"/>
      <c r="G123" s="64"/>
      <c r="H123" s="64"/>
    </row>
    <row r="124" spans="2:8" s="55" customFormat="1" ht="17.100000000000001" customHeight="1" x14ac:dyDescent="0.25">
      <c r="B124" s="1"/>
      <c r="C124" s="64"/>
      <c r="D124" s="64"/>
      <c r="E124" s="64"/>
      <c r="F124" s="64"/>
      <c r="G124" s="64"/>
      <c r="H124" s="64"/>
    </row>
    <row r="125" spans="2:8" s="55" customFormat="1" ht="17.100000000000001" customHeight="1" x14ac:dyDescent="0.25">
      <c r="B125" s="1"/>
      <c r="C125" s="64"/>
      <c r="D125" s="64"/>
      <c r="E125" s="64"/>
      <c r="F125" s="64"/>
      <c r="G125" s="64"/>
      <c r="H125" s="64"/>
    </row>
    <row r="126" spans="2:8" s="55" customFormat="1" ht="17.100000000000001" customHeight="1" x14ac:dyDescent="0.25">
      <c r="B126" s="1"/>
      <c r="C126" s="64"/>
      <c r="D126" s="64"/>
      <c r="E126" s="64"/>
      <c r="F126" s="64"/>
      <c r="G126" s="64"/>
      <c r="H126" s="64"/>
    </row>
    <row r="127" spans="2:8" s="55" customFormat="1" ht="17.100000000000001" customHeight="1" x14ac:dyDescent="0.25">
      <c r="B127" s="1"/>
      <c r="C127" s="64"/>
      <c r="D127" s="64"/>
      <c r="E127" s="64"/>
      <c r="F127" s="64"/>
      <c r="G127" s="64"/>
      <c r="H127" s="64"/>
    </row>
    <row r="128" spans="2:8" s="55" customFormat="1" ht="17.100000000000001" customHeight="1" x14ac:dyDescent="0.25">
      <c r="B128" s="1"/>
      <c r="C128" s="64"/>
      <c r="D128" s="64"/>
      <c r="E128" s="64"/>
      <c r="F128" s="64"/>
      <c r="G128" s="64"/>
      <c r="H128" s="64"/>
    </row>
    <row r="129" spans="2:8" s="55" customFormat="1" ht="17.100000000000001" customHeight="1" x14ac:dyDescent="0.25">
      <c r="B129" s="1"/>
      <c r="C129" s="64"/>
      <c r="D129" s="64"/>
      <c r="E129" s="64"/>
      <c r="F129" s="64"/>
      <c r="G129" s="64"/>
      <c r="H129" s="64"/>
    </row>
    <row r="130" spans="2:8" s="55" customFormat="1" ht="17.100000000000001" customHeight="1" x14ac:dyDescent="0.25">
      <c r="B130" s="1"/>
      <c r="C130" s="64"/>
      <c r="D130" s="64"/>
      <c r="E130" s="64"/>
      <c r="F130" s="64"/>
      <c r="G130" s="64"/>
      <c r="H130" s="64"/>
    </row>
    <row r="131" spans="2:8" s="55" customFormat="1" ht="17.100000000000001" customHeight="1" x14ac:dyDescent="0.25">
      <c r="B131" s="1"/>
      <c r="C131" s="64"/>
      <c r="D131" s="64"/>
      <c r="E131" s="64"/>
      <c r="F131" s="64"/>
      <c r="G131" s="64"/>
      <c r="H131" s="64"/>
    </row>
    <row r="132" spans="2:8" s="55" customFormat="1" ht="17.100000000000001" customHeight="1" x14ac:dyDescent="0.25">
      <c r="B132" s="1"/>
      <c r="C132" s="64"/>
      <c r="D132" s="64"/>
      <c r="E132" s="64"/>
      <c r="F132" s="64"/>
      <c r="G132" s="64"/>
      <c r="H132" s="64"/>
    </row>
    <row r="133" spans="2:8" s="55" customFormat="1" ht="17.100000000000001" customHeight="1" x14ac:dyDescent="0.25">
      <c r="B133" s="1"/>
      <c r="C133" s="64"/>
      <c r="D133" s="64"/>
      <c r="E133" s="64"/>
      <c r="F133" s="64"/>
      <c r="G133" s="64"/>
      <c r="H133" s="64"/>
    </row>
    <row r="134" spans="2:8" s="55" customFormat="1" ht="17.100000000000001" customHeight="1" x14ac:dyDescent="0.25">
      <c r="B134" s="1"/>
      <c r="C134" s="64"/>
      <c r="D134" s="64"/>
      <c r="E134" s="64"/>
      <c r="F134" s="64"/>
      <c r="G134" s="64"/>
      <c r="H134" s="64"/>
    </row>
    <row r="135" spans="2:8" s="55" customFormat="1" ht="17.100000000000001" customHeight="1" x14ac:dyDescent="0.25">
      <c r="B135" s="1"/>
      <c r="C135" s="64"/>
      <c r="D135" s="64"/>
      <c r="E135" s="64"/>
      <c r="F135" s="64"/>
      <c r="G135" s="64"/>
      <c r="H135" s="64"/>
    </row>
    <row r="136" spans="2:8" s="55" customFormat="1" ht="17.100000000000001" customHeight="1" x14ac:dyDescent="0.25">
      <c r="B136" s="1"/>
      <c r="C136" s="64"/>
      <c r="D136" s="64"/>
      <c r="E136" s="64"/>
      <c r="F136" s="64"/>
      <c r="G136" s="64"/>
      <c r="H136" s="64"/>
    </row>
    <row r="137" spans="2:8" s="55" customFormat="1" ht="17.100000000000001" customHeight="1" x14ac:dyDescent="0.25">
      <c r="B137" s="1"/>
      <c r="C137" s="64"/>
      <c r="D137" s="64"/>
      <c r="E137" s="64"/>
      <c r="F137" s="64"/>
      <c r="G137" s="64"/>
      <c r="H137" s="64"/>
    </row>
    <row r="138" spans="2:8" s="55" customFormat="1" ht="17.100000000000001" customHeight="1" x14ac:dyDescent="0.25">
      <c r="B138" s="1"/>
      <c r="C138" s="64"/>
      <c r="D138" s="64"/>
      <c r="E138" s="64"/>
      <c r="F138" s="64"/>
      <c r="G138" s="64"/>
      <c r="H138" s="64"/>
    </row>
    <row r="139" spans="2:8" s="55" customFormat="1" ht="17.100000000000001" customHeight="1" x14ac:dyDescent="0.25">
      <c r="B139" s="1"/>
      <c r="C139" s="64"/>
      <c r="D139" s="64"/>
      <c r="E139" s="64"/>
      <c r="F139" s="64"/>
      <c r="G139" s="64"/>
      <c r="H139" s="64"/>
    </row>
    <row r="140" spans="2:8" s="55" customFormat="1" ht="17.100000000000001" customHeight="1" x14ac:dyDescent="0.25">
      <c r="B140" s="1"/>
      <c r="C140" s="64"/>
      <c r="D140" s="64"/>
      <c r="E140" s="64"/>
      <c r="F140" s="64"/>
      <c r="G140" s="64"/>
      <c r="H140" s="64"/>
    </row>
    <row r="141" spans="2:8" s="55" customFormat="1" ht="17.100000000000001" customHeight="1" x14ac:dyDescent="0.25">
      <c r="B141" s="1"/>
      <c r="C141" s="64"/>
      <c r="D141" s="64"/>
      <c r="E141" s="64"/>
      <c r="F141" s="64"/>
      <c r="G141" s="64"/>
      <c r="H141" s="64"/>
    </row>
    <row r="142" spans="2:8" s="55" customFormat="1" ht="17.100000000000001" customHeight="1" x14ac:dyDescent="0.25">
      <c r="B142" s="1"/>
      <c r="C142" s="64"/>
      <c r="D142" s="64"/>
      <c r="E142" s="64"/>
      <c r="F142" s="64"/>
      <c r="G142" s="64"/>
      <c r="H142" s="64"/>
    </row>
    <row r="143" spans="2:8" s="55" customFormat="1" ht="17.100000000000001" customHeight="1" x14ac:dyDescent="0.25">
      <c r="B143" s="1"/>
      <c r="C143" s="64"/>
      <c r="D143" s="64"/>
      <c r="E143" s="64"/>
      <c r="F143" s="64"/>
      <c r="G143" s="64"/>
      <c r="H143" s="64"/>
    </row>
    <row r="144" spans="2:8" s="55" customFormat="1" ht="17.100000000000001" customHeight="1" x14ac:dyDescent="0.25">
      <c r="B144" s="1"/>
      <c r="C144" s="64"/>
      <c r="D144" s="64"/>
      <c r="E144" s="64"/>
      <c r="F144" s="64"/>
      <c r="G144" s="64"/>
      <c r="H144" s="64"/>
    </row>
    <row r="145" spans="2:8" s="55" customFormat="1" ht="17.100000000000001" customHeight="1" x14ac:dyDescent="0.25">
      <c r="B145" s="1"/>
      <c r="C145" s="64"/>
      <c r="D145" s="64"/>
      <c r="E145" s="64"/>
      <c r="F145" s="64"/>
      <c r="G145" s="64"/>
      <c r="H145" s="64"/>
    </row>
    <row r="146" spans="2:8" s="55" customFormat="1" ht="17.100000000000001" customHeight="1" x14ac:dyDescent="0.25">
      <c r="B146" s="1"/>
      <c r="C146" s="64"/>
      <c r="D146" s="64"/>
      <c r="E146" s="64"/>
      <c r="F146" s="64"/>
      <c r="G146" s="64"/>
      <c r="H146" s="64"/>
    </row>
    <row r="147" spans="2:8" s="55" customFormat="1" ht="17.100000000000001" customHeight="1" x14ac:dyDescent="0.25">
      <c r="B147" s="1"/>
      <c r="C147" s="64"/>
      <c r="D147" s="64"/>
      <c r="E147" s="64"/>
      <c r="F147" s="64"/>
      <c r="G147" s="64"/>
      <c r="H147" s="64"/>
    </row>
    <row r="148" spans="2:8" s="55" customFormat="1" ht="17.100000000000001" customHeight="1" x14ac:dyDescent="0.25">
      <c r="B148" s="1"/>
      <c r="C148" s="64"/>
      <c r="D148" s="64"/>
      <c r="E148" s="64"/>
      <c r="F148" s="64"/>
      <c r="G148" s="64"/>
      <c r="H148" s="64"/>
    </row>
    <row r="149" spans="2:8" s="55" customFormat="1" ht="17.100000000000001" customHeight="1" x14ac:dyDescent="0.25">
      <c r="B149" s="1"/>
      <c r="C149" s="64"/>
      <c r="D149" s="64"/>
      <c r="E149" s="64"/>
      <c r="F149" s="64"/>
      <c r="G149" s="64"/>
      <c r="H149" s="64"/>
    </row>
    <row r="150" spans="2:8" s="55" customFormat="1" ht="17.100000000000001" customHeight="1" x14ac:dyDescent="0.25">
      <c r="B150" s="1"/>
      <c r="C150" s="64"/>
      <c r="D150" s="64"/>
      <c r="E150" s="64"/>
      <c r="F150" s="64"/>
      <c r="G150" s="64"/>
      <c r="H150" s="64"/>
    </row>
    <row r="151" spans="2:8" s="55" customFormat="1" ht="17.100000000000001" customHeight="1" x14ac:dyDescent="0.25">
      <c r="B151" s="1"/>
      <c r="C151" s="64"/>
      <c r="D151" s="64"/>
      <c r="E151" s="64"/>
      <c r="F151" s="64"/>
      <c r="G151" s="64"/>
      <c r="H151" s="64"/>
    </row>
    <row r="152" spans="2:8" s="55" customFormat="1" ht="17.100000000000001" customHeight="1" x14ac:dyDescent="0.25">
      <c r="B152" s="1"/>
      <c r="C152" s="64"/>
      <c r="D152" s="64"/>
      <c r="E152" s="64"/>
      <c r="F152" s="64"/>
      <c r="G152" s="64"/>
      <c r="H152" s="64"/>
    </row>
    <row r="153" spans="2:8" s="55" customFormat="1" ht="17.100000000000001" customHeight="1" x14ac:dyDescent="0.25">
      <c r="B153" s="1"/>
      <c r="C153" s="64"/>
      <c r="D153" s="64"/>
      <c r="E153" s="64"/>
      <c r="F153" s="64"/>
      <c r="G153" s="64"/>
      <c r="H153" s="64"/>
    </row>
    <row r="154" spans="2:8" s="55" customFormat="1" ht="17.100000000000001" customHeight="1" x14ac:dyDescent="0.25">
      <c r="B154" s="1"/>
      <c r="C154" s="64"/>
      <c r="D154" s="64"/>
      <c r="E154" s="64"/>
      <c r="F154" s="64"/>
      <c r="G154" s="64"/>
      <c r="H154" s="64"/>
    </row>
    <row r="155" spans="2:8" s="55" customFormat="1" ht="17.100000000000001" customHeight="1" x14ac:dyDescent="0.25">
      <c r="B155" s="1"/>
      <c r="C155" s="64"/>
      <c r="D155" s="64"/>
      <c r="E155" s="64"/>
      <c r="F155" s="64"/>
      <c r="G155" s="64"/>
      <c r="H155" s="64"/>
    </row>
    <row r="156" spans="2:8" s="55" customFormat="1" ht="17.100000000000001" customHeight="1" x14ac:dyDescent="0.25">
      <c r="B156" s="1"/>
      <c r="C156" s="64"/>
      <c r="D156" s="64"/>
      <c r="E156" s="64"/>
      <c r="F156" s="64"/>
      <c r="G156" s="64"/>
      <c r="H156" s="64"/>
    </row>
    <row r="157" spans="2:8" s="55" customFormat="1" ht="17.100000000000001" customHeight="1" x14ac:dyDescent="0.25">
      <c r="B157" s="1"/>
      <c r="C157" s="64"/>
      <c r="D157" s="64"/>
      <c r="E157" s="64"/>
      <c r="F157" s="64"/>
      <c r="G157" s="64"/>
      <c r="H157" s="64"/>
    </row>
    <row r="158" spans="2:8" s="55" customFormat="1" ht="17.100000000000001" customHeight="1" x14ac:dyDescent="0.25">
      <c r="B158" s="1"/>
      <c r="C158" s="64"/>
      <c r="D158" s="64"/>
      <c r="E158" s="64"/>
      <c r="F158" s="64"/>
      <c r="G158" s="64"/>
      <c r="H158" s="64"/>
    </row>
    <row r="159" spans="2:8" s="55" customFormat="1" ht="17.100000000000001" customHeight="1" x14ac:dyDescent="0.25">
      <c r="B159" s="1"/>
      <c r="C159" s="64"/>
      <c r="D159" s="64"/>
      <c r="E159" s="64"/>
      <c r="F159" s="64"/>
      <c r="G159" s="64"/>
      <c r="H159" s="64"/>
    </row>
    <row r="160" spans="2:8" s="55" customFormat="1" ht="17.100000000000001" customHeight="1" x14ac:dyDescent="0.25">
      <c r="B160" s="1"/>
      <c r="C160" s="64"/>
      <c r="D160" s="64"/>
      <c r="E160" s="64"/>
      <c r="F160" s="64"/>
      <c r="G160" s="64"/>
      <c r="H160" s="64"/>
    </row>
    <row r="161" spans="2:8" s="55" customFormat="1" ht="17.100000000000001" customHeight="1" x14ac:dyDescent="0.25">
      <c r="B161" s="1"/>
      <c r="C161" s="64"/>
      <c r="D161" s="64"/>
      <c r="E161" s="64"/>
      <c r="F161" s="64"/>
      <c r="G161" s="64"/>
      <c r="H161" s="64"/>
    </row>
    <row r="162" spans="2:8" s="55" customFormat="1" ht="17.100000000000001" customHeight="1" x14ac:dyDescent="0.25">
      <c r="B162" s="1"/>
      <c r="C162" s="64"/>
      <c r="D162" s="64"/>
      <c r="E162" s="64"/>
      <c r="F162" s="64"/>
      <c r="G162" s="64"/>
      <c r="H162" s="64"/>
    </row>
    <row r="163" spans="2:8" s="55" customFormat="1" ht="17.100000000000001" customHeight="1" x14ac:dyDescent="0.25">
      <c r="B163" s="1"/>
      <c r="C163" s="64"/>
      <c r="D163" s="64"/>
      <c r="E163" s="64"/>
      <c r="F163" s="64"/>
      <c r="G163" s="64"/>
      <c r="H163" s="64"/>
    </row>
    <row r="164" spans="2:8" s="55" customFormat="1" ht="17.100000000000001" customHeight="1" x14ac:dyDescent="0.25">
      <c r="B164" s="1"/>
      <c r="C164" s="64"/>
      <c r="D164" s="64"/>
      <c r="E164" s="64"/>
      <c r="F164" s="64"/>
      <c r="G164" s="64"/>
      <c r="H164" s="64"/>
    </row>
    <row r="165" spans="2:8" s="55" customFormat="1" ht="17.100000000000001" customHeight="1" x14ac:dyDescent="0.25">
      <c r="B165" s="1"/>
      <c r="C165" s="64"/>
      <c r="D165" s="64"/>
      <c r="E165" s="64"/>
      <c r="F165" s="64"/>
      <c r="G165" s="64"/>
      <c r="H165" s="64"/>
    </row>
    <row r="166" spans="2:8" s="55" customFormat="1" ht="17.100000000000001" customHeight="1" x14ac:dyDescent="0.25">
      <c r="B166" s="1"/>
      <c r="C166" s="64"/>
      <c r="D166" s="64"/>
      <c r="E166" s="64"/>
      <c r="F166" s="64"/>
      <c r="G166" s="64"/>
      <c r="H166" s="64"/>
    </row>
    <row r="167" spans="2:8" s="55" customFormat="1" ht="17.100000000000001" customHeight="1" x14ac:dyDescent="0.25">
      <c r="B167" s="1"/>
      <c r="C167" s="64"/>
      <c r="D167" s="64"/>
      <c r="E167" s="64"/>
      <c r="F167" s="64"/>
      <c r="G167" s="64"/>
      <c r="H167" s="64"/>
    </row>
    <row r="168" spans="2:8" s="55" customFormat="1" ht="17.100000000000001" customHeight="1" x14ac:dyDescent="0.25">
      <c r="B168" s="1"/>
      <c r="C168" s="64"/>
      <c r="D168" s="64"/>
      <c r="E168" s="64"/>
      <c r="F168" s="64"/>
      <c r="G168" s="64"/>
      <c r="H168" s="64"/>
    </row>
    <row r="169" spans="2:8" s="55" customFormat="1" ht="17.100000000000001" customHeight="1" x14ac:dyDescent="0.25">
      <c r="B169" s="1"/>
      <c r="C169" s="64"/>
      <c r="D169" s="64"/>
      <c r="E169" s="64"/>
      <c r="F169" s="64"/>
      <c r="G169" s="64"/>
      <c r="H169" s="64"/>
    </row>
    <row r="170" spans="2:8" s="55" customFormat="1" ht="17.100000000000001" customHeight="1" x14ac:dyDescent="0.25">
      <c r="B170" s="1"/>
      <c r="C170" s="64"/>
      <c r="D170" s="64"/>
      <c r="E170" s="64"/>
      <c r="F170" s="64"/>
      <c r="G170" s="64"/>
      <c r="H170" s="64"/>
    </row>
    <row r="171" spans="2:8" s="55" customFormat="1" ht="17.100000000000001" customHeight="1" x14ac:dyDescent="0.25">
      <c r="B171" s="1"/>
      <c r="C171" s="64"/>
      <c r="D171" s="64"/>
      <c r="E171" s="64"/>
      <c r="F171" s="64"/>
      <c r="G171" s="64"/>
      <c r="H171" s="64"/>
    </row>
    <row r="172" spans="2:8" s="55" customFormat="1" ht="17.100000000000001" customHeight="1" x14ac:dyDescent="0.25">
      <c r="B172" s="1"/>
      <c r="C172" s="64"/>
      <c r="D172" s="64"/>
      <c r="E172" s="64"/>
      <c r="F172" s="64"/>
      <c r="G172" s="64"/>
      <c r="H172" s="64"/>
    </row>
    <row r="173" spans="2:8" s="55" customFormat="1" ht="17.100000000000001" customHeight="1" x14ac:dyDescent="0.25">
      <c r="B173" s="1"/>
      <c r="C173" s="64"/>
      <c r="D173" s="64"/>
      <c r="E173" s="64"/>
      <c r="F173" s="64"/>
      <c r="G173" s="64"/>
      <c r="H173" s="64"/>
    </row>
    <row r="174" spans="2:8" s="55" customFormat="1" ht="17.100000000000001" customHeight="1" x14ac:dyDescent="0.25">
      <c r="B174" s="1"/>
      <c r="C174" s="64"/>
      <c r="D174" s="64"/>
      <c r="E174" s="64"/>
      <c r="F174" s="64"/>
      <c r="G174" s="64"/>
      <c r="H174" s="64"/>
    </row>
    <row r="175" spans="2:8" s="55" customFormat="1" ht="17.100000000000001" customHeight="1" x14ac:dyDescent="0.25">
      <c r="B175" s="1"/>
      <c r="C175" s="64"/>
      <c r="D175" s="64"/>
      <c r="E175" s="64"/>
      <c r="F175" s="64"/>
      <c r="G175" s="64"/>
      <c r="H175" s="64"/>
    </row>
    <row r="176" spans="2:8" s="55" customFormat="1" ht="17.100000000000001" customHeight="1" x14ac:dyDescent="0.25">
      <c r="B176" s="1"/>
      <c r="C176" s="64"/>
      <c r="D176" s="64"/>
      <c r="E176" s="64"/>
      <c r="F176" s="64"/>
      <c r="G176" s="64"/>
      <c r="H176" s="64"/>
    </row>
    <row r="177" spans="2:8" s="55" customFormat="1" ht="17.100000000000001" customHeight="1" x14ac:dyDescent="0.25">
      <c r="B177" s="1"/>
      <c r="C177" s="64"/>
      <c r="D177" s="64"/>
      <c r="E177" s="64"/>
      <c r="F177" s="64"/>
      <c r="G177" s="64"/>
      <c r="H177" s="64"/>
    </row>
    <row r="178" spans="2:8" s="55" customFormat="1" ht="17.100000000000001" customHeight="1" x14ac:dyDescent="0.25">
      <c r="B178" s="1"/>
      <c r="C178" s="64"/>
      <c r="D178" s="64"/>
      <c r="E178" s="64"/>
      <c r="F178" s="64"/>
      <c r="G178" s="64"/>
      <c r="H178" s="64"/>
    </row>
    <row r="179" spans="2:8" s="55" customFormat="1" ht="17.100000000000001" customHeight="1" x14ac:dyDescent="0.25">
      <c r="B179" s="1"/>
      <c r="C179" s="64"/>
      <c r="D179" s="64"/>
      <c r="E179" s="64"/>
      <c r="F179" s="64"/>
      <c r="G179" s="64"/>
      <c r="H179" s="64"/>
    </row>
    <row r="180" spans="2:8" s="55" customFormat="1" ht="17.100000000000001" customHeight="1" x14ac:dyDescent="0.25">
      <c r="B180" s="1"/>
      <c r="C180" s="64"/>
      <c r="D180" s="64"/>
      <c r="E180" s="64"/>
      <c r="F180" s="64"/>
      <c r="G180" s="64"/>
      <c r="H180" s="64"/>
    </row>
    <row r="181" spans="2:8" s="55" customFormat="1" ht="17.100000000000001" customHeight="1" x14ac:dyDescent="0.25">
      <c r="B181" s="1"/>
      <c r="C181" s="64"/>
      <c r="D181" s="64"/>
      <c r="E181" s="64"/>
      <c r="F181" s="64"/>
      <c r="G181" s="64"/>
      <c r="H181" s="64"/>
    </row>
    <row r="182" spans="2:8" s="55" customFormat="1" ht="17.100000000000001" customHeight="1" x14ac:dyDescent="0.25">
      <c r="B182" s="1"/>
      <c r="C182" s="64"/>
      <c r="D182" s="64"/>
      <c r="E182" s="64"/>
      <c r="F182" s="64"/>
      <c r="G182" s="64"/>
      <c r="H182" s="64"/>
    </row>
    <row r="183" spans="2:8" s="55" customFormat="1" ht="17.100000000000001" customHeight="1" x14ac:dyDescent="0.25">
      <c r="B183" s="1"/>
      <c r="C183" s="64"/>
      <c r="D183" s="64"/>
      <c r="E183" s="64"/>
      <c r="F183" s="64"/>
      <c r="G183" s="64"/>
      <c r="H183" s="64"/>
    </row>
    <row r="184" spans="2:8" s="55" customFormat="1" ht="17.100000000000001" customHeight="1" x14ac:dyDescent="0.25">
      <c r="B184" s="1"/>
      <c r="C184" s="64"/>
      <c r="D184" s="64"/>
      <c r="E184" s="64"/>
      <c r="F184" s="64"/>
      <c r="G184" s="64"/>
      <c r="H184" s="64"/>
    </row>
    <row r="185" spans="2:8" s="55" customFormat="1" ht="17.100000000000001" customHeight="1" x14ac:dyDescent="0.25">
      <c r="B185" s="1"/>
      <c r="C185" s="64"/>
      <c r="D185" s="64"/>
      <c r="E185" s="64"/>
      <c r="F185" s="64"/>
      <c r="G185" s="64"/>
      <c r="H185" s="64"/>
    </row>
    <row r="186" spans="2:8" s="55" customFormat="1" ht="17.100000000000001" customHeight="1" x14ac:dyDescent="0.25">
      <c r="B186" s="1"/>
      <c r="C186" s="64"/>
      <c r="D186" s="64"/>
      <c r="E186" s="64"/>
      <c r="F186" s="64"/>
      <c r="G186" s="64"/>
      <c r="H186" s="64"/>
    </row>
    <row r="187" spans="2:8" s="55" customFormat="1" ht="17.100000000000001" customHeight="1" x14ac:dyDescent="0.25">
      <c r="B187" s="1"/>
      <c r="C187" s="64"/>
      <c r="D187" s="64"/>
      <c r="E187" s="64"/>
      <c r="F187" s="64"/>
      <c r="G187" s="64"/>
      <c r="H187" s="64"/>
    </row>
    <row r="188" spans="2:8" s="55" customFormat="1" ht="17.100000000000001" customHeight="1" x14ac:dyDescent="0.25">
      <c r="B188" s="1"/>
      <c r="C188" s="64"/>
      <c r="D188" s="64"/>
      <c r="E188" s="64"/>
      <c r="F188" s="64"/>
      <c r="G188" s="64"/>
      <c r="H188" s="64"/>
    </row>
    <row r="189" spans="2:8" s="55" customFormat="1" ht="17.100000000000001" customHeight="1" x14ac:dyDescent="0.25">
      <c r="B189" s="1"/>
      <c r="C189" s="64"/>
      <c r="D189" s="64"/>
      <c r="E189" s="64"/>
      <c r="F189" s="64"/>
      <c r="G189" s="64"/>
      <c r="H189" s="64"/>
    </row>
    <row r="190" spans="2:8" s="55" customFormat="1" ht="17.100000000000001" customHeight="1" x14ac:dyDescent="0.25">
      <c r="B190" s="1"/>
      <c r="C190" s="64"/>
      <c r="D190" s="64"/>
      <c r="E190" s="64"/>
      <c r="F190" s="64"/>
      <c r="G190" s="64"/>
      <c r="H190" s="64"/>
    </row>
    <row r="191" spans="2:8" s="55" customFormat="1" ht="17.100000000000001" customHeight="1" x14ac:dyDescent="0.25">
      <c r="B191" s="1"/>
      <c r="C191" s="64"/>
      <c r="D191" s="64"/>
      <c r="E191" s="64"/>
      <c r="F191" s="64"/>
      <c r="G191" s="64"/>
      <c r="H191" s="64"/>
    </row>
    <row r="192" spans="2:8" s="55" customFormat="1" ht="17.100000000000001" customHeight="1" x14ac:dyDescent="0.25">
      <c r="B192" s="1"/>
      <c r="C192" s="64"/>
    </row>
    <row r="193" spans="2:2" s="55" customFormat="1" x14ac:dyDescent="0.25">
      <c r="B193" s="1"/>
    </row>
  </sheetData>
  <sheetProtection algorithmName="SHA-512" hashValue="xOA8QTXi4lePA5Pv2wbrnFeU8xTQV3pEJ1MnALcgW6enzWz6Pqdp1lh6lnHmCVbuIFeNdwmFKPo8LFiIW27cPQ==" saltValue="ynSfBklwzxI9sqrBP59sAw==" spinCount="100000" sheet="1" formatCells="0" formatColumns="0" formatRows="0" insertColumns="0" insertRows="0" insertHyperlinks="0" deleteColumns="0" deleteRows="0" sort="0" autoFilter="0" pivotTables="0"/>
  <mergeCells count="6">
    <mergeCell ref="C39:C41"/>
    <mergeCell ref="C5:C7"/>
    <mergeCell ref="C2:H2"/>
    <mergeCell ref="C3:H3"/>
    <mergeCell ref="D5:H5"/>
    <mergeCell ref="D39:H39"/>
  </mergeCells>
  <printOptions horizontalCentered="1"/>
  <pageMargins left="0" right="0" top="0" bottom="0" header="0" footer="0"/>
  <pageSetup paperSize="9" scale="64" orientation="portrait" r:id="rId1"/>
  <ignoredErrors>
    <ignoredError sqref="D47:H4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04071EE6621830479B48F405F238C2E8" ma:contentTypeVersion="9" ma:contentTypeDescription="Criar um novo documento." ma:contentTypeScope="" ma:versionID="1c5046b7c60cea07c566e4ff1f017650">
  <xsd:schema xmlns:xsd="http://www.w3.org/2001/XMLSchema" xmlns:xs="http://www.w3.org/2001/XMLSchema" xmlns:p="http://schemas.microsoft.com/office/2006/metadata/properties" xmlns:ns2="8305f4f8-dae7-4523-8257-656d8cb4d040" xmlns:ns3="ac26e13a-c3a6-41fe-a080-680c457ab7ba" targetNamespace="http://schemas.microsoft.com/office/2006/metadata/properties" ma:root="true" ma:fieldsID="eb11d6bc583e13672d468da3899839af" ns2:_="" ns3:_="">
    <xsd:import namespace="8305f4f8-dae7-4523-8257-656d8cb4d040"/>
    <xsd:import namespace="ac26e13a-c3a6-41fe-a080-680c457ab7ba"/>
    <xsd:element name="properties">
      <xsd:complexType>
        <xsd:sequence>
          <xsd:element name="documentManagement">
            <xsd:complexType>
              <xsd:all>
                <xsd:element ref="ns2:_dlc_DocId" minOccurs="0"/>
                <xsd:element ref="ns2:_dlc_DocIdUrl" minOccurs="0"/>
                <xsd:element ref="ns2:_dlc_DocIdPersistId" minOccurs="0"/>
                <xsd:element ref="ns3:Categoria"/>
                <xsd:element ref="ns3:Visualizar"/>
                <xsd:element ref="ns3:Conteudo" minOccurs="0"/>
                <xsd:element ref="ns3:Fonte" minOccurs="0"/>
                <xsd:element ref="ns3:Ano" minOccurs="0"/>
                <xsd:element ref="ns3:DataDePublicacao" minOccurs="0"/>
                <xsd:element ref="ns3:Link" minOccurs="0"/>
                <xsd:element ref="ns3:EstatisticaMonetariaFinanceira" minOccurs="0"/>
                <xsd:element ref="ns3:Idioma"/>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05f4f8-dae7-4523-8257-656d8cb4d040" elementFormDefault="qualified">
    <xsd:import namespace="http://schemas.microsoft.com/office/2006/documentManagement/types"/>
    <xsd:import namespace="http://schemas.microsoft.com/office/infopath/2007/PartnerControls"/>
    <xsd:element name="_dlc_DocId" ma:index="8" nillable="true" ma:displayName="Valor do ID do Documento" ma:description="O valor do ID do documento atribuído a este item." ma:internalName="_dlc_DocId" ma:readOnly="true">
      <xsd:simpleType>
        <xsd:restriction base="dms:Text"/>
      </xsd:simpleType>
    </xsd:element>
    <xsd:element name="_dlc_DocIdUrl" ma:index="9" nillable="true" ma:displayName="ID do Documento" ma:description="Ligaçã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c26e13a-c3a6-41fe-a080-680c457ab7ba" elementFormDefault="qualified">
    <xsd:import namespace="http://schemas.microsoft.com/office/2006/documentManagement/types"/>
    <xsd:import namespace="http://schemas.microsoft.com/office/infopath/2007/PartnerControls"/>
    <xsd:element name="Categoria" ma:index="11" ma:displayName="Categoria" ma:description="Categoria" ma:format="Dropdown" ma:internalName="Categoria">
      <xsd:simpleType>
        <xsd:restriction base="dms:Choice">
          <xsd:enumeration value="Calendário de Divulgação"/>
          <xsd:enumeration value="Código de Conduta das Estatísticas"/>
          <xsd:enumeration value="Evolução da Taxa de Inflação"/>
          <xsd:enumeration value="Estatísticas Monetárias e Financeira"/>
          <xsd:enumeration value="Formulário Instrutivos"/>
          <xsd:enumeration value="Guia de Consulta"/>
          <xsd:enumeration value="Metadados"/>
          <xsd:enumeration value="Evolução das Reservas Internacionais"/>
          <xsd:enumeration value="Contas Nacionais"/>
          <xsd:enumeration value="Evolução Mensal da Taxa de Inflação"/>
          <xsd:enumeration value="Índice de Preço do Consumidor"/>
          <xsd:enumeration value="Estatísticas Externas Mensais"/>
          <xsd:enumeration value="Estatísticas Externas Trimestral"/>
          <xsd:enumeration value="Estatísticas Externas Anual"/>
          <xsd:enumeration value="Estatísticas da Central de Balanços_Glossário"/>
          <xsd:enumeration value="ECB_PICB_Sector da Indústria de Bebidas"/>
          <xsd:enumeration value="ECB_PICB_Sector de Actividades de Informação e de Comunicação"/>
          <xsd:enumeration value="ECB_PICB_Sector da Construção"/>
          <xsd:enumeration value="ECB_PICB_Sector dos Transportes e Armazenagem"/>
          <xsd:enumeration value="Sector de Extraccao de Petroleo Bruto e Gas Natural"/>
          <xsd:enumeration value="ECB_PICB_Sector de Outras Indústria Extractivas"/>
        </xsd:restriction>
      </xsd:simpleType>
    </xsd:element>
    <xsd:element name="Visualizar" ma:index="12" ma:displayName="Visualizar" ma:default="0" ma:description="Visualizar" ma:internalName="Visualizar">
      <xsd:simpleType>
        <xsd:restriction base="dms:Boolean"/>
      </xsd:simpleType>
    </xsd:element>
    <xsd:element name="Conteudo" ma:index="13" nillable="true" ma:displayName="Conteudo" ma:internalName="Conteudo">
      <xsd:simpleType>
        <xsd:restriction base="dms:Note">
          <xsd:maxLength value="255"/>
        </xsd:restriction>
      </xsd:simpleType>
    </xsd:element>
    <xsd:element name="Fonte" ma:index="14" nillable="true" ma:displayName="Fonte" ma:internalName="Fonte">
      <xsd:simpleType>
        <xsd:restriction base="dms:Text">
          <xsd:maxLength value="255"/>
        </xsd:restriction>
      </xsd:simpleType>
    </xsd:element>
    <xsd:element name="Ano" ma:index="15" nillable="true" ma:displayName="Ano" ma:internalName="Ano" ma:percentage="FALSE">
      <xsd:simpleType>
        <xsd:restriction base="dms:Number"/>
      </xsd:simpleType>
    </xsd:element>
    <xsd:element name="DataDePublicacao" ma:index="16" nillable="true" ma:displayName="DataDePublicacao" ma:default="[today]" ma:format="DateTime" ma:internalName="DataDePublicacao">
      <xsd:simpleType>
        <xsd:restriction base="dms:DateTime"/>
      </xsd:simpleType>
    </xsd:element>
    <xsd:element name="Link" ma:index="17"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EstatisticaMonetariaFinanceira" ma:index="18" nillable="true" ma:displayName="EstatisticaMonetariaFinanceira" ma:default="0" ma:internalName="EstatisticaMonetariaFinanceira">
      <xsd:simpleType>
        <xsd:restriction base="dms:Boolean"/>
      </xsd:simpleType>
    </xsd:element>
    <xsd:element name="Idioma" ma:index="19" ma:displayName="Idioma" ma:default="Português" ma:format="Dropdown" ma:internalName="Idioma">
      <xsd:simpleType>
        <xsd:restriction base="dms:Choice">
          <xsd:enumeration value="Português"/>
          <xsd:enumeration value="Inglê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Conteudo xmlns="ac26e13a-c3a6-41fe-a080-680c457ab7ba" xsi:nil="true"/>
    <Link xmlns="ac26e13a-c3a6-41fe-a080-680c457ab7ba">
      <Url xsi:nil="true"/>
      <Description xsi:nil="true"/>
    </Link>
    <_dlc_DocId xmlns="8305f4f8-dae7-4523-8257-656d8cb4d040">AE2CRDQUTFAC-2123509798-1379</_dlc_DocId>
    <DataDePublicacao xmlns="ac26e13a-c3a6-41fe-a080-680c457ab7ba">2022-09-08T13:31:43+00:00</DataDePublicacao>
    <EstatisticaMonetariaFinanceira xmlns="ac26e13a-c3a6-41fe-a080-680c457ab7ba">false</EstatisticaMonetariaFinanceira>
    <Categoria xmlns="ac26e13a-c3a6-41fe-a080-680c457ab7ba">ECB_PICB_Sector da Construção</Categoria>
    <Visualizar xmlns="ac26e13a-c3a6-41fe-a080-680c457ab7ba">true</Visualizar>
    <Ano xmlns="ac26e13a-c3a6-41fe-a080-680c457ab7ba" xsi:nil="true"/>
    <Fonte xmlns="ac26e13a-c3a6-41fe-a080-680c457ab7ba" xsi:nil="true"/>
    <_dlc_DocIdUrl xmlns="8305f4f8-dae7-4523-8257-656d8cb4d040">
      <Url>http://172.20.42.86/sites/cms/_layouts/15/DocIdRedir.aspx?ID=AE2CRDQUTFAC-2123509798-1379</Url>
      <Description>AE2CRDQUTFAC-2123509798-1379</Description>
    </_dlc_DocIdUrl>
    <Idioma xmlns="ac26e13a-c3a6-41fe-a080-680c457ab7ba">Português</Idioma>
  </documentManagement>
</p:properties>
</file>

<file path=customXml/itemProps1.xml><?xml version="1.0" encoding="utf-8"?>
<ds:datastoreItem xmlns:ds="http://schemas.openxmlformats.org/officeDocument/2006/customXml" ds:itemID="{33FC9CED-1439-4E5E-9D80-311791AB2494}">
  <ds:schemaRefs>
    <ds:schemaRef ds:uri="http://schemas.microsoft.com/sharepoint/v3/contenttype/forms"/>
  </ds:schemaRefs>
</ds:datastoreItem>
</file>

<file path=customXml/itemProps2.xml><?xml version="1.0" encoding="utf-8"?>
<ds:datastoreItem xmlns:ds="http://schemas.openxmlformats.org/officeDocument/2006/customXml" ds:itemID="{74F362AC-4992-485C-87C1-B1DB14A746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05f4f8-dae7-4523-8257-656d8cb4d040"/>
    <ds:schemaRef ds:uri="ac26e13a-c3a6-41fe-a080-680c457ab7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F7D762E-F499-45D8-AD26-FA59B846C3FF}">
  <ds:schemaRefs>
    <ds:schemaRef ds:uri="http://schemas.microsoft.com/sharepoint/events"/>
  </ds:schemaRefs>
</ds:datastoreItem>
</file>

<file path=customXml/itemProps4.xml><?xml version="1.0" encoding="utf-8"?>
<ds:datastoreItem xmlns:ds="http://schemas.openxmlformats.org/officeDocument/2006/customXml" ds:itemID="{1DD35055-6D7E-4624-82E1-65F8D88D7CB8}">
  <ds:schemaRefs>
    <ds:schemaRef ds:uri="http://schemas.microsoft.com/office/2006/metadata/properties"/>
    <ds:schemaRef ds:uri="http://schemas.microsoft.com/office/infopath/2007/PartnerControls"/>
    <ds:schemaRef ds:uri="ac26e13a-c3a6-41fe-a080-680c457ab7ba"/>
    <ds:schemaRef ds:uri="8305f4f8-dae7-4523-8257-656d8cb4d040"/>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Folhas de Cálculo</vt:lpstr>
      </vt:variant>
      <vt:variant>
        <vt:i4>3</vt:i4>
      </vt:variant>
      <vt:variant>
        <vt:lpstr>Intervalos com Nome</vt:lpstr>
      </vt:variant>
      <vt:variant>
        <vt:i4>3</vt:i4>
      </vt:variant>
    </vt:vector>
  </HeadingPairs>
  <TitlesOfParts>
    <vt:vector size="6" baseType="lpstr">
      <vt:lpstr>Formulário - Rácios</vt:lpstr>
      <vt:lpstr>INDICADORES SECTORIAL</vt:lpstr>
      <vt:lpstr>PANORAMA SECTORIAL</vt:lpstr>
      <vt:lpstr>'Formulário - Rácios'!Área_de_Impressão</vt:lpstr>
      <vt:lpstr>'INDICADORES SECTORIAL'!Área_de_Impressão</vt:lpstr>
      <vt:lpstr>'PANORAMA SECTORIAL'!Área_de_Impressão</vt:lpstr>
    </vt:vector>
  </TitlesOfParts>
  <Manager/>
  <Company>Banco de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Sector da Construção</dc:title>
  <dc:subject/>
  <dc:creator>Carla I. Ferreira</dc:creator>
  <cp:keywords/>
  <dc:description/>
  <cp:lastModifiedBy>Denilson Ricardo dos Santos Lopes</cp:lastModifiedBy>
  <cp:lastPrinted>2023-08-18T08:49:05Z</cp:lastPrinted>
  <dcterms:created xsi:type="dcterms:W3CDTF">2021-03-08T17:35:21Z</dcterms:created>
  <dcterms:modified xsi:type="dcterms:W3CDTF">2026-01-13T13:01:20Z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4339546-1082-4534-91e1-91aa69eb15e8_Enabled">
    <vt:lpwstr>true</vt:lpwstr>
  </property>
  <property fmtid="{D5CDD505-2E9C-101B-9397-08002B2CF9AE}" pid="3" name="MSIP_Label_84339546-1082-4534-91e1-91aa69eb15e8_SetDate">
    <vt:lpwstr>2021-03-08T17:45:10Z</vt:lpwstr>
  </property>
  <property fmtid="{D5CDD505-2E9C-101B-9397-08002B2CF9AE}" pid="4" name="MSIP_Label_84339546-1082-4534-91e1-91aa69eb15e8_Method">
    <vt:lpwstr>Privileged</vt:lpwstr>
  </property>
  <property fmtid="{D5CDD505-2E9C-101B-9397-08002B2CF9AE}" pid="5" name="MSIP_Label_84339546-1082-4534-91e1-91aa69eb15e8_Name">
    <vt:lpwstr>Interno - Sem marca de água</vt:lpwstr>
  </property>
  <property fmtid="{D5CDD505-2E9C-101B-9397-08002B2CF9AE}" pid="6" name="MSIP_Label_84339546-1082-4534-91e1-91aa69eb15e8_SiteId">
    <vt:lpwstr>f92c299d-3d5a-4621-abd4-755e52e5161d</vt:lpwstr>
  </property>
  <property fmtid="{D5CDD505-2E9C-101B-9397-08002B2CF9AE}" pid="7" name="MSIP_Label_84339546-1082-4534-91e1-91aa69eb15e8_ActionId">
    <vt:lpwstr>f818666c-4451-4aad-9915-00006b18b1de</vt:lpwstr>
  </property>
  <property fmtid="{D5CDD505-2E9C-101B-9397-08002B2CF9AE}" pid="8" name="MSIP_Label_84339546-1082-4534-91e1-91aa69eb15e8_ContentBits">
    <vt:lpwstr>0</vt:lpwstr>
  </property>
  <property fmtid="{D5CDD505-2E9C-101B-9397-08002B2CF9AE}" pid="9" name="MSIP_Label_6849ffa4-678e-4825-b0af-573abed55832_Enabled">
    <vt:lpwstr>true</vt:lpwstr>
  </property>
  <property fmtid="{D5CDD505-2E9C-101B-9397-08002B2CF9AE}" pid="10" name="MSIP_Label_6849ffa4-678e-4825-b0af-573abed55832_SetDate">
    <vt:lpwstr>2022-08-01T08:54:08Z</vt:lpwstr>
  </property>
  <property fmtid="{D5CDD505-2E9C-101B-9397-08002B2CF9AE}" pid="11" name="MSIP_Label_6849ffa4-678e-4825-b0af-573abed55832_Method">
    <vt:lpwstr>Privileged</vt:lpwstr>
  </property>
  <property fmtid="{D5CDD505-2E9C-101B-9397-08002B2CF9AE}" pid="12" name="MSIP_Label_6849ffa4-678e-4825-b0af-573abed55832_Name">
    <vt:lpwstr>Público</vt:lpwstr>
  </property>
  <property fmtid="{D5CDD505-2E9C-101B-9397-08002B2CF9AE}" pid="13" name="MSIP_Label_6849ffa4-678e-4825-b0af-573abed55832_SiteId">
    <vt:lpwstr>7907c12b-e008-40cb-a028-5419a08865fb</vt:lpwstr>
  </property>
  <property fmtid="{D5CDD505-2E9C-101B-9397-08002B2CF9AE}" pid="14" name="MSIP_Label_6849ffa4-678e-4825-b0af-573abed55832_ActionId">
    <vt:lpwstr>67535c3d-5d88-4016-be80-23b75e861c40</vt:lpwstr>
  </property>
  <property fmtid="{D5CDD505-2E9C-101B-9397-08002B2CF9AE}" pid="15" name="MSIP_Label_6849ffa4-678e-4825-b0af-573abed55832_ContentBits">
    <vt:lpwstr>0</vt:lpwstr>
  </property>
  <property fmtid="{D5CDD505-2E9C-101B-9397-08002B2CF9AE}" pid="16" name="ContentTypeId">
    <vt:lpwstr>0x01010004071EE6621830479B48F405F238C2E8</vt:lpwstr>
  </property>
  <property fmtid="{D5CDD505-2E9C-101B-9397-08002B2CF9AE}" pid="17" name="_dlc_DocIdItemGuid">
    <vt:lpwstr>6fab853d-c83d-431c-930b-09c6435fa4ac</vt:lpwstr>
  </property>
</Properties>
</file>