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SONGUE\OneDrive - bna.ao\Ambiente de Trabalho\CPM JAN 2026\"/>
    </mc:Choice>
  </mc:AlternateContent>
  <xr:revisionPtr revIDLastSave="0" documentId="8_{AEF5F551-BB76-4B4F-8F10-9EBA976B2BB1}"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120" yWindow="-120" windowWidth="20730" windowHeight="11040" tabRatio="1000" firstSheet="1" activeTab="1"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SECTORIAL'!$A$1:$I$65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42" l="1"/>
  <c r="N64" i="42"/>
  <c r="M64" i="42"/>
  <c r="L64" i="42"/>
  <c r="K64" i="42"/>
  <c r="J64" i="42"/>
  <c r="H64" i="42"/>
  <c r="G64" i="42"/>
  <c r="F64" i="42"/>
  <c r="E64" i="42"/>
  <c r="D64" i="42"/>
  <c r="S62" i="42"/>
  <c r="R62" i="42"/>
  <c r="Q62" i="42"/>
  <c r="P62" i="42"/>
  <c r="N62" i="42"/>
  <c r="M62" i="42"/>
  <c r="L62" i="42"/>
  <c r="K62" i="42"/>
  <c r="J62" i="42"/>
  <c r="H62" i="42"/>
  <c r="G62" i="42"/>
  <c r="F62" i="42"/>
  <c r="E62" i="42"/>
  <c r="D62" i="42"/>
  <c r="S61" i="42"/>
  <c r="R61" i="42"/>
  <c r="Q61" i="42"/>
  <c r="P61" i="42"/>
  <c r="S60" i="42"/>
  <c r="R60" i="42"/>
  <c r="Q60" i="42"/>
  <c r="P60" i="42"/>
  <c r="N60" i="42"/>
  <c r="M60" i="42"/>
  <c r="L60" i="42"/>
  <c r="K60" i="42"/>
  <c r="J60" i="42"/>
  <c r="H60" i="42"/>
  <c r="G60" i="42"/>
  <c r="F60" i="42"/>
  <c r="E60" i="42"/>
  <c r="D60" i="42"/>
  <c r="S59" i="42"/>
  <c r="R59" i="42"/>
  <c r="Q59" i="42"/>
  <c r="P59" i="42"/>
  <c r="S58" i="42"/>
  <c r="R58" i="42"/>
  <c r="Q58" i="42"/>
  <c r="P58" i="42"/>
  <c r="N58" i="42"/>
  <c r="M58" i="42"/>
  <c r="L58" i="42"/>
  <c r="K58" i="42"/>
  <c r="J58" i="42"/>
  <c r="H58" i="42"/>
  <c r="G58" i="42"/>
  <c r="F58" i="42"/>
  <c r="E58" i="42"/>
  <c r="D58" i="42"/>
  <c r="S57" i="42"/>
  <c r="R57" i="42"/>
  <c r="Q57" i="42"/>
  <c r="P57" i="42"/>
  <c r="S56" i="42"/>
  <c r="R56" i="42"/>
  <c r="Q56" i="42"/>
  <c r="P56" i="42"/>
  <c r="S55" i="42"/>
  <c r="R55" i="42"/>
  <c r="Q55" i="42"/>
  <c r="P55" i="42"/>
  <c r="S54" i="42"/>
  <c r="R54" i="42"/>
  <c r="Q54" i="42"/>
  <c r="P54" i="42"/>
  <c r="N54" i="42"/>
  <c r="M54" i="42"/>
  <c r="L54" i="42"/>
  <c r="K54" i="42"/>
  <c r="J54" i="42"/>
  <c r="H54" i="42"/>
  <c r="G54" i="42"/>
  <c r="F54" i="42"/>
  <c r="E54" i="42"/>
  <c r="D54" i="42"/>
  <c r="S53" i="42"/>
  <c r="R53" i="42"/>
  <c r="Q53" i="42"/>
  <c r="P53" i="42"/>
  <c r="N53" i="42"/>
  <c r="M53" i="42"/>
  <c r="L53" i="42"/>
  <c r="K53" i="42"/>
  <c r="J53" i="42"/>
  <c r="H53" i="42"/>
  <c r="G53" i="42"/>
  <c r="F53" i="42"/>
  <c r="E53" i="42"/>
  <c r="D53" i="42"/>
  <c r="S52" i="42"/>
  <c r="R52" i="42"/>
  <c r="Q52" i="42"/>
  <c r="P52" i="42"/>
  <c r="S51" i="42"/>
  <c r="R51" i="42"/>
  <c r="Q51" i="42"/>
  <c r="P51" i="42"/>
  <c r="S50" i="42"/>
  <c r="R50" i="42"/>
  <c r="Q50" i="42"/>
  <c r="P50" i="42"/>
  <c r="S49" i="42"/>
  <c r="R49" i="42"/>
  <c r="Q49" i="42"/>
  <c r="P49" i="42"/>
  <c r="S48" i="42"/>
  <c r="R48" i="42"/>
  <c r="Q48" i="42"/>
  <c r="P48" i="42"/>
  <c r="S47" i="42"/>
  <c r="R47" i="42"/>
  <c r="Q47" i="42"/>
  <c r="P47" i="42"/>
  <c r="N47" i="42"/>
  <c r="M47" i="42"/>
  <c r="L47" i="42"/>
  <c r="K47" i="42"/>
  <c r="J47" i="42"/>
  <c r="H47" i="42"/>
  <c r="G47" i="42"/>
  <c r="F47" i="42"/>
  <c r="E47" i="42"/>
  <c r="D47" i="42"/>
  <c r="S46" i="42"/>
  <c r="R46" i="42"/>
  <c r="Q46" i="42"/>
  <c r="P46" i="42"/>
  <c r="S45" i="42"/>
  <c r="R45" i="42"/>
  <c r="Q45" i="42"/>
  <c r="P45" i="42"/>
  <c r="S44" i="42"/>
  <c r="R44" i="42"/>
  <c r="Q44" i="42"/>
  <c r="P44" i="42"/>
  <c r="S43" i="42"/>
  <c r="R43" i="42"/>
  <c r="Q43" i="42"/>
  <c r="P43" i="42"/>
  <c r="S42" i="42"/>
  <c r="R42" i="42"/>
  <c r="Q42" i="42"/>
  <c r="P42" i="42"/>
  <c r="S41" i="42"/>
  <c r="R41" i="42"/>
  <c r="Q41" i="42"/>
  <c r="P41" i="42"/>
  <c r="S40" i="42"/>
  <c r="R40" i="42"/>
  <c r="Q40" i="42"/>
  <c r="P40" i="42"/>
  <c r="S39" i="42"/>
  <c r="R39" i="42"/>
  <c r="Q39" i="42"/>
  <c r="P39" i="42"/>
  <c r="S38" i="42"/>
  <c r="R38" i="42"/>
  <c r="Q38" i="42"/>
  <c r="P38" i="42"/>
  <c r="S37" i="42"/>
  <c r="R37" i="42"/>
  <c r="Q37" i="42"/>
  <c r="P37" i="42"/>
  <c r="S36" i="42"/>
  <c r="R36" i="42"/>
  <c r="Q36" i="42"/>
  <c r="P36" i="42"/>
  <c r="S35" i="42"/>
  <c r="R35" i="42"/>
  <c r="Q35" i="42"/>
  <c r="P35" i="42"/>
  <c r="S34" i="42"/>
  <c r="R34" i="42"/>
  <c r="Q34" i="42"/>
  <c r="P34" i="42"/>
  <c r="S33" i="42"/>
  <c r="R33" i="42"/>
  <c r="Q33" i="42"/>
  <c r="P33" i="42"/>
  <c r="N33" i="42"/>
  <c r="M33" i="42"/>
  <c r="L33" i="42"/>
  <c r="K33" i="42"/>
  <c r="J33" i="42"/>
  <c r="H33" i="42"/>
  <c r="G33" i="42"/>
  <c r="F33" i="42"/>
  <c r="E33" i="42"/>
  <c r="D33" i="42"/>
  <c r="S32" i="42"/>
  <c r="R32" i="42"/>
  <c r="Q32" i="42"/>
  <c r="P32" i="42"/>
  <c r="S31" i="42"/>
  <c r="R31" i="42"/>
  <c r="Q31" i="42"/>
  <c r="P31" i="42"/>
  <c r="S30" i="42"/>
  <c r="R30" i="42"/>
  <c r="Q30" i="42"/>
  <c r="P30" i="42"/>
  <c r="S29" i="42"/>
  <c r="R29" i="42"/>
  <c r="Q29" i="42"/>
  <c r="P29" i="42"/>
  <c r="S28" i="42"/>
  <c r="R28" i="42"/>
  <c r="Q28" i="42"/>
  <c r="P28" i="42"/>
  <c r="S27" i="42"/>
  <c r="R27" i="42"/>
  <c r="Q27" i="42"/>
  <c r="P27" i="42"/>
  <c r="N27" i="42"/>
  <c r="M27" i="42"/>
  <c r="L27" i="42"/>
  <c r="K27" i="42"/>
  <c r="J27" i="42"/>
  <c r="H27" i="42"/>
  <c r="G27" i="42"/>
  <c r="F27" i="42"/>
  <c r="E27" i="42"/>
  <c r="D27" i="42"/>
  <c r="S26" i="42"/>
  <c r="R26" i="42"/>
  <c r="Q26" i="42"/>
  <c r="P26" i="42"/>
  <c r="N26" i="42"/>
  <c r="M26" i="42"/>
  <c r="L26" i="42"/>
  <c r="K26" i="42"/>
  <c r="J26" i="42"/>
  <c r="H26" i="42"/>
  <c r="G26" i="42"/>
  <c r="F26" i="42"/>
  <c r="E26" i="42"/>
  <c r="D26" i="42"/>
  <c r="S25" i="42"/>
  <c r="R25" i="42"/>
  <c r="Q25" i="42"/>
  <c r="P25" i="42"/>
  <c r="S24" i="42"/>
  <c r="R24" i="42"/>
  <c r="Q24" i="42"/>
  <c r="P24" i="42"/>
  <c r="S23" i="42"/>
  <c r="R23" i="42"/>
  <c r="Q23" i="42"/>
  <c r="P23" i="42"/>
  <c r="S22" i="42"/>
  <c r="R22" i="42"/>
  <c r="Q22" i="42"/>
  <c r="P22" i="42"/>
  <c r="S21" i="42"/>
  <c r="R21" i="42"/>
  <c r="Q21" i="42"/>
  <c r="P21" i="42"/>
  <c r="N21" i="42"/>
  <c r="M21" i="42"/>
  <c r="L21" i="42"/>
  <c r="K21" i="42"/>
  <c r="J21" i="42"/>
  <c r="H21" i="42"/>
  <c r="G21" i="42"/>
  <c r="F21" i="42"/>
  <c r="E21" i="42"/>
  <c r="D21" i="42"/>
  <c r="S20" i="42"/>
  <c r="R20" i="42"/>
  <c r="Q20" i="42"/>
  <c r="P20" i="42"/>
  <c r="N20" i="42"/>
  <c r="M20" i="42"/>
  <c r="L20" i="42"/>
  <c r="K20" i="42"/>
  <c r="J20" i="42"/>
  <c r="H20" i="42"/>
  <c r="G20" i="42"/>
  <c r="F20" i="42"/>
  <c r="E20" i="42"/>
  <c r="D20" i="42"/>
  <c r="S19" i="42"/>
  <c r="R19" i="42"/>
  <c r="Q19" i="42"/>
  <c r="P19" i="42"/>
  <c r="S18" i="42"/>
  <c r="R18" i="42"/>
  <c r="Q18" i="42"/>
  <c r="P18" i="42"/>
  <c r="S17" i="42"/>
  <c r="R17" i="42"/>
  <c r="Q17" i="42"/>
  <c r="P17" i="42"/>
  <c r="S16" i="42"/>
  <c r="R16" i="42"/>
  <c r="Q16" i="42"/>
  <c r="P16" i="42"/>
  <c r="S15" i="42"/>
  <c r="R15" i="42"/>
  <c r="Q15" i="42"/>
  <c r="P15" i="42"/>
  <c r="N15" i="42"/>
  <c r="M15" i="42"/>
  <c r="L15" i="42"/>
  <c r="K15" i="42"/>
  <c r="J15" i="42"/>
  <c r="H15" i="42"/>
  <c r="G15" i="42"/>
  <c r="F15" i="42"/>
  <c r="E15" i="42"/>
  <c r="D15" i="42"/>
  <c r="S14" i="42"/>
  <c r="R14" i="42"/>
  <c r="Q14" i="42"/>
  <c r="P14" i="42"/>
  <c r="S13" i="42"/>
  <c r="R13" i="42"/>
  <c r="Q13" i="42"/>
  <c r="P13" i="42"/>
  <c r="S12" i="42"/>
  <c r="R12" i="42"/>
  <c r="Q12" i="42"/>
  <c r="P12" i="42"/>
  <c r="S11" i="42"/>
  <c r="R11" i="42"/>
  <c r="Q11" i="42"/>
  <c r="P11" i="42"/>
  <c r="S10" i="42"/>
  <c r="R10" i="42"/>
  <c r="Q10" i="42"/>
  <c r="P10" i="42"/>
  <c r="S9" i="42"/>
  <c r="R9" i="42"/>
  <c r="Q9" i="42"/>
  <c r="P9" i="42"/>
  <c r="N9" i="42"/>
  <c r="M9" i="42"/>
  <c r="L9" i="42"/>
  <c r="K9" i="42"/>
  <c r="J9" i="42"/>
  <c r="H9" i="42"/>
  <c r="G9" i="42"/>
  <c r="F9" i="42"/>
  <c r="E9" i="42"/>
  <c r="D9" i="42"/>
  <c r="S8" i="42"/>
  <c r="R8" i="42"/>
  <c r="Q8" i="42"/>
  <c r="P8" i="42"/>
  <c r="N8" i="42"/>
  <c r="M8" i="42"/>
  <c r="L8" i="42"/>
  <c r="K8" i="42"/>
  <c r="J8" i="42"/>
  <c r="H8" i="42"/>
  <c r="G8" i="42"/>
  <c r="F8" i="42"/>
  <c r="E8"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<sst xmlns="http://schemas.openxmlformats.org/spreadsheetml/2006/main" count="288" uniqueCount="225">
  <si>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</si>
  <si>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</si>
  <si>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</si>
  <si>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</si>
  <si>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</si>
  <si>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</si>
  <si>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</si>
  <si>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</si>
  <si>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</si>
  <si>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</si>
  <si>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</si>
  <si>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</si>
  <si>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</si>
  <si>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</si>
  <si>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</si>
  <si>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</si>
  <si>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</si>
  <si>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</si>
  <si>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</si>
  <si>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</si>
  <si>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</si>
  <si>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</si>
  <si>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</si>
  <si>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</si>
  <si>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</si>
  <si>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</si>
  <si>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</si>
  <si>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</si>
  <si>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</si>
  <si>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</si>
  <si>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</si>
  <si>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</si>
  <si>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</si>
  <si>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</si>
  <si>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</si>
  <si>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</si>
  <si>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</si>
  <si>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</si>
  <si>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</si>
  <si>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</si>
  <si>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</si>
  <si>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</si>
  <si>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</si>
  <si>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</si>
  <si>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</si>
  <si>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</si>
  <si>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</si>
  <si>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</si>
  <si>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</si>
  <si>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</si>
  <si>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</si>
  <si>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</si>
  <si>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</si>
  <si>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</si>
  <si>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</si>
  <si>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</si>
  <si>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</si>
  <si>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</si>
  <si>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</si>
  <si>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</si>
  <si>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</si>
  <si>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</si>
  <si>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</si>
  <si>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</si>
  <si>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</si>
  <si>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</si>
  <si>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</si>
  <si>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</si>
  <si>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</si>
  <si>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</si>
  <si>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</si>
  <si>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</si>
  <si>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</si>
  <si>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</si>
  <si>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</si>
  <si>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</si>
  <si>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</si>
  <si>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</si>
  <si>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</si>
  <si>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</si>
  <si>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</si>
  <si>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</si>
  <si>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</si>
  <si>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</si>
  <si>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</si>
  <si>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</si>
  <si>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</si>
  <si>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</si>
  <si>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</si>
  <si>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</si>
  <si>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</si>
  <si>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</si>
  <si>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</si>
  <si>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</si>
  <si>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</si>
  <si>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</si>
  <si>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</si>
  <si>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</si>
  <si>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</si>
  <si>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</si>
  <si>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</si>
  <si>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</si>
  <si>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</si>
  <si>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</si>
  <si>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</si>
  <si>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</si>
  <si>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</si>
  <si>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</si>
  <si>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</si>
  <si>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</si>
  <si>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</si>
  <si>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</si>
  <si>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</si>
  <si>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</si>
  <si>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</si>
  <si>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</si>
  <si>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</si>
  <si>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</si>
  <si>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</si>
  <si>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</si>
  <si>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</si>
  <si>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</si>
  <si>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</si>
  <si>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</si>
  <si>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</si>
  <si>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</si>
  <si>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</si>
  <si>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</si>
  <si>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</si>
  <si>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</si>
  <si>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</si>
  <si>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</si>
  <si>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</si>
  <si>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</si>
  <si>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</si>
  <si>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</si>
  <si>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</si>
  <si>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</si>
  <si>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</si>
  <si>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</si>
  <si>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</si>
  <si>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</si>
  <si>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</si>
  <si>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</si>
  <si>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</si>
  <si>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</si>
  <si>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</si>
  <si>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</si>
  <si>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</si>
  <si>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</si>
  <si>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</si>
  <si>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</si>
  <si>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</si>
  <si>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</si>
  <si>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</si>
  <si>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</si>
  <si>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</si>
  <si>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</si>
  <si>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</si>
  <si>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</si>
  <si>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</si>
  <si>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</si>
  <si>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</si>
  <si>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</si>
  <si>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</si>
  <si>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</si>
  <si>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</si>
  <si>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</si>
  <si>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</si>
  <si>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</si>
  <si>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</si>
  <si>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</si>
  <si>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</si>
  <si>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Equilibrio Financeiro</t>
  </si>
  <si>
    <t>Pequena Empresa (PE)</t>
  </si>
  <si>
    <t>Valores Expressos em : Milhões de Kz</t>
  </si>
  <si>
    <t>Notas</t>
  </si>
  <si>
    <t>NOTAS</t>
  </si>
  <si>
    <t>Cobertura Sectorial</t>
  </si>
  <si>
    <t>Activo não Corrente</t>
  </si>
  <si>
    <t>Activo Corrente</t>
  </si>
  <si>
    <t>Passivo Corrente</t>
  </si>
  <si>
    <t xml:space="preserve">Passivo </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</si>
  <si>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</si>
  <si>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</si>
  <si>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</si>
  <si>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</si>
  <si>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</si>
  <si>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20| Quanto mais elevado melhor para investidores - os sócios/acionistas detém mais retorno, salvo redução do capital.</t>
  </si>
  <si>
    <t>Resultado Líquido do Exercício</t>
  </si>
  <si>
    <t>Prestação de serviços</t>
  </si>
  <si>
    <t>Custos das exist. Vend. e mat. primas consum.</t>
  </si>
  <si>
    <t xml:space="preserve">Resultados Líquidos das Actividades Correntes </t>
  </si>
  <si>
    <t>Existências</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</si>
  <si>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</si>
  <si>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</si>
  <si>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</si>
  <si>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</si>
  <si>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</si>
  <si>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</si>
  <si>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</si>
  <si>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</si>
  <si>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</si>
  <si>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 xml:space="preserve">    Valores Expressos em : Milhões de Kz</t>
  </si>
  <si>
    <t xml:space="preserve">   Valores Expressos em : Milhões de Kz</t>
  </si>
  <si>
    <t>Variação Absoluta Patrimonial</t>
  </si>
  <si>
    <t>Produtividade do Equipamento</t>
  </si>
  <si>
    <t>Rotação do Activo</t>
  </si>
  <si>
    <t>Rendibilidade e Produtividade</t>
  </si>
  <si>
    <t>Estrutura do Endividamento</t>
  </si>
  <si>
    <t>Risco ou Técnicos</t>
  </si>
  <si>
    <t>27| GAO Elevado: Altos custos fixos e baixos custos variáveis / GAO Baixo : Baixos custos fixos e altos custos variáveis.</t>
  </si>
  <si>
    <t>(1)   Inclui ajustamentos contabilísticos e estatísticos</t>
  </si>
  <si>
    <t xml:space="preserve">Imobilizações corpóreas </t>
  </si>
  <si>
    <r>
      <t xml:space="preserve">Resultados transitados </t>
    </r>
    <r>
      <rPr>
        <sz val="8"/>
        <color theme="3" tint="-0.49995422223578601"/>
        <rFont val="Segoe UI"/>
        <family val="2"/>
      </rPr>
      <t>(1)</t>
    </r>
  </si>
  <si>
    <t xml:space="preserve">  26| GAF &gt; 1 : Alavanca financeira favorável / GAF &lt; 1 : Alavancagem financeira desfavorável.</t>
  </si>
  <si>
    <t>ACTIVIDADES DE INFORMAÇÃO E DE COMUNICAÇÃO</t>
  </si>
  <si>
    <t>Prestação de serviços (Kz)</t>
  </si>
  <si>
    <t>BALANÇO - ACTIVIDADES DE INFORMAÇÃO E DE COMUNICAÇÃO</t>
  </si>
  <si>
    <t>DEMONSTRAÇÃO DE RESULTADOS - ACTIVIDADES DE INFORMAÇÃO E DE COMUNICAÇÃO</t>
  </si>
  <si>
    <t xml:space="preserve">  37| CB Vs Estimavas - Dados do Ficheiro de Unidade Empresarial (FUE) do INE</t>
  </si>
  <si>
    <t>Resultados do exercício</t>
  </si>
  <si>
    <t xml:space="preserve">Autonomia Financeira </t>
  </si>
  <si>
    <t xml:space="preserve">Grau de Alavancagem Financeira </t>
  </si>
  <si>
    <t xml:space="preserve">Grau de Alavancagem Operacional (GAO)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</si>
</sst>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8"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b/>
      <sz val="11"/>
      <name val="Segoe UI"/>
      <family val="2"/>
    </font>
    <font>
      <sz val="11"/>
      <color rgb="FFFF0000"/>
      <name val="Calibri"/>
      <family val="2"/>
      <scheme val="minor"/>
    </font>
    <font>
      <b/>
      <sz val="10"/>
      <color theme="3" tint="-0.49992370372631001"/>
      <name val="Segoe UI"/>
      <family val="2"/>
    </font>
    <font>
      <sz val="10"/>
      <color theme="3" tint="-0.49992370372631001"/>
      <name val="Segoe UI"/>
      <family val="2"/>
    </font>
    <font>
      <sz val="11"/>
      <color theme="1"/>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
      <patternFill patternType="solid">
        <fgColor theme="4" tint="-0.24991607409894101"/>
        <bgColor indexed="64"/>
      </patternFill>
    </fill>
    <fill>
      <patternFill patternType="solid">
        <fgColor theme="8" tint="0.59993285927915285"/>
        <bgColor indexed="64"/>
      </patternFill>
    </fill>
    <fill>
      <patternFill patternType="solid">
        <fgColor theme="0" tint="-0.14993743705557422"/>
        <bgColor indexed="64"/>
      </patternFill>
    </fill>
    <fill>
      <patternFill patternType="solid">
        <fgColor theme="0" tint="-4.992828150273141E-2"/>
        <bgColor indexed="64"/>
      </patternFill>
    </fill>
    <fill>
      <patternFill patternType="solid">
        <fgColor theme="9" tint="-0.49992370372631001"/>
        <bgColor indexed="64"/>
      </patternFill>
    </fill>
    <fill>
      <patternFill patternType="solid">
        <fgColor rgb="FFFFFF00"/>
        <bgColor indexed="64"/>
      </patternFill>
    </fill>
    <fill>
      <patternFill patternType="solid">
        <fgColor theme="8" tint="-0.49992370372631001"/>
        <bgColor indexed="64"/>
      </patternFill>
    </fill>
  </fills>
  <borders count="8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thin">
        <color theme="0"/>
      </left>
      <right style="thin">
        <color theme="0"/>
      </right>
      <top style="medium">
        <color theme="9" tint="-0.49995422223578601"/>
      </top>
      <bottom style="medium">
        <color theme="9" tint="-0.49995422223578601"/>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style="thin">
        <color auto="1"/>
      </top>
      <bottom/>
      <diagonal/>
    </border>
    <border>
      <left style="hair">
        <color theme="4" tint="-0.49995422223578601"/>
      </left>
      <right/>
      <top/>
      <bottom style="thin">
        <color auto="1"/>
      </bottom>
      <diagonal/>
    </border>
    <border>
      <left style="hair">
        <color theme="0"/>
      </left>
      <right style="hair">
        <color theme="0"/>
      </right>
      <top/>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hair">
        <color theme="4" tint="-0.49992370372631001"/>
      </left>
      <right style="hair">
        <color theme="4" tint="-0.49992370372631001"/>
      </right>
      <top style="thin">
        <color auto="1"/>
      </top>
      <bottom/>
      <diagonal/>
    </border>
    <border>
      <left style="hair">
        <color theme="4" tint="-0.49992370372631001"/>
      </left>
      <right/>
      <top style="thin">
        <color auto="1"/>
      </top>
      <bottom/>
      <diagonal/>
    </border>
    <border>
      <left style="hair">
        <color theme="4" tint="-0.49992370372631001"/>
      </left>
      <right style="hair">
        <color theme="4" tint="-0.49992370372631001"/>
      </right>
      <top/>
      <bottom/>
      <diagonal/>
    </border>
    <border>
      <left style="hair">
        <color theme="4" tint="-0.49992370372631001"/>
      </left>
      <right/>
      <top/>
      <bottom/>
      <diagonal/>
    </border>
    <border>
      <left style="hair">
        <color theme="4" tint="-0.49992370372631001"/>
      </left>
      <right style="hair">
        <color theme="4" tint="-0.49992370372631001"/>
      </right>
      <top/>
      <bottom style="thin">
        <color auto="1"/>
      </bottom>
      <diagonal/>
    </border>
    <border>
      <left style="hair">
        <color theme="4" tint="-0.49992370372631001"/>
      </left>
      <right/>
      <top/>
      <bottom style="thin">
        <color auto="1"/>
      </bottom>
      <diagonal/>
    </border>
    <border>
      <left style="hair">
        <color theme="4" tint="-0.49992370372631001"/>
      </left>
      <right/>
      <top/>
      <bottom style="hair">
        <color theme="0" tint="-0.14990691854609822"/>
      </bottom>
      <diagonal/>
    </border>
    <border>
      <left style="hair">
        <color theme="0" tint="-4.992828150273141E-2"/>
      </left>
      <right style="hair">
        <color theme="0" tint="-4.992828150273141E-2"/>
      </right>
      <top style="hair">
        <color theme="0" tint="-0.14990691854609822"/>
      </top>
      <bottom style="hair">
        <color theme="0" tint="-0.14990691854609822"/>
      </bottom>
      <diagonal/>
    </border>
    <border>
      <left style="hair">
        <color theme="0" tint="-4.992828150273141E-2"/>
      </left>
      <right/>
      <top style="hair">
        <color theme="0" tint="-0.14990691854609822"/>
      </top>
      <bottom style="hair">
        <color theme="0" tint="-0.14990691854609822"/>
      </bottom>
      <diagonal/>
    </border>
    <border>
      <left style="thin">
        <color theme="0"/>
      </left>
      <right style="thin">
        <color theme="0"/>
      </right>
      <top style="medium">
        <color theme="9" tint="-0.49992370372631001"/>
      </top>
      <bottom style="medium">
        <color theme="9" tint="-0.4999237037263100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
      <left style="thin">
        <color theme="0"/>
      </left>
      <right/>
      <top/>
      <bottom/>
      <diagonal/>
    </border>
    <border>
      <left style="hair">
        <color theme="4" tint="-0.49995422223578601"/>
      </left>
      <right/>
      <top/>
      <bottom style="hair">
        <color theme="0" tint="-0.14993743705557422"/>
      </bottom>
      <diagonal/>
    </border>
  </borders>
  <cellStyleXfs count="10">
    <xf numFmtId="0" fontId="0" fillId="0" borderId="0"/>
    <xf numFmtId="9" fontId="27" fillId="0" borderId="0" applyFont="0" applyFill="0" applyBorder="0" applyAlignment="0" applyProtection="0"/>
    <xf numFmtId="43" fontId="27"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cellStyleXfs>
  <cellXfs count="283">
    <xf numFmtId="0" fontId="0" fillId="0" borderId="0" xfId="0"/>
    <xf numFmtId="0" fontId="14" fillId="23" borderId="0" xfId="0" applyFont="1" applyFill="1" applyAlignment="1">
      <alignment horizontal="center" vertical="center"/>
    </xf>
    <xf numFmtId="0" fontId="14" fillId="5" borderId="0" xfId="0" applyFont="1" applyFill="1" applyAlignment="1">
      <alignment horizontal="center" vertical="center"/>
    </xf>
    <xf numFmtId="0" fontId="14" fillId="5" borderId="81" xfId="0" applyFont="1" applyFill="1" applyBorder="1" applyAlignment="1">
      <alignment horizontal="center" vertical="center"/>
    </xf>
    <xf numFmtId="0" fontId="0" fillId="2" borderId="24" xfId="0" applyFill="1" applyBorder="1" applyAlignment="1">
      <alignment horizontal="center" vertical="center"/>
    </xf>
    <xf numFmtId="0" fontId="20" fillId="3" borderId="0" xfId="0" applyFont="1" applyFill="1" applyAlignment="1">
      <alignment horizontal="left" vertical="center"/>
    </xf>
    <xf numFmtId="0" fontId="20" fillId="3" borderId="4" xfId="0" applyFont="1" applyFill="1" applyBorder="1" applyAlignment="1">
      <alignment horizontal="left" vertical="center"/>
    </xf>
    <xf numFmtId="0" fontId="14" fillId="5" borderId="74"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73" xfId="0" applyFont="1" applyFill="1" applyBorder="1" applyAlignment="1">
      <alignment horizontal="center" vertical="center"/>
    </xf>
    <xf numFmtId="0" fontId="21" fillId="4" borderId="0" xfId="0" applyFont="1" applyFill="1" applyAlignment="1">
      <alignment horizontal="left" vertical="center" wrapText="1"/>
    </xf>
    <xf numFmtId="164" fontId="2" fillId="2" borderId="36" xfId="0" applyNumberFormat="1" applyFont="1" applyFill="1" applyBorder="1" applyAlignment="1">
      <alignment horizontal="right"/>
    </xf>
    <xf numFmtId="0" fontId="19" fillId="5" borderId="0" xfId="0" applyFont="1" applyFill="1" applyAlignment="1">
      <alignment horizontal="center" vertical="center"/>
    </xf>
    <xf numFmtId="0" fontId="15" fillId="3" borderId="0" xfId="0" applyFont="1" applyFill="1" applyAlignment="1">
      <alignment horizontal="left" vertical="top"/>
    </xf>
    <xf numFmtId="0" fontId="15" fillId="3" borderId="4" xfId="0" applyFont="1" applyFill="1" applyBorder="1" applyAlignment="1">
      <alignment horizontal="left" vertical="top"/>
    </xf>
    <xf numFmtId="0" fontId="5" fillId="6" borderId="76" xfId="0" applyFont="1" applyFill="1" applyBorder="1" applyAlignment="1">
      <alignment horizontal="center" vertical="center" wrapText="1"/>
    </xf>
    <xf numFmtId="0" fontId="5" fillId="6" borderId="75" xfId="0" applyFont="1" applyFill="1" applyBorder="1" applyAlignment="1">
      <alignment horizontal="center" vertical="center" wrapText="1"/>
    </xf>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4" fontId="12" fillId="2" borderId="0" xfId="0" applyNumberFormat="1" applyFont="1" applyFill="1"/>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3" fillId="7" borderId="19" xfId="0" applyNumberFormat="1" applyFont="1" applyFill="1" applyBorder="1" applyAlignment="1">
      <alignment vertical="center" wrapText="1"/>
    </xf>
    <xf numFmtId="4" fontId="12" fillId="8" borderId="16" xfId="0" applyNumberFormat="1" applyFont="1" applyFill="1" applyBorder="1" applyAlignment="1">
      <alignment vertical="center" wrapText="1"/>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3" fillId="7" borderId="16" xfId="0" applyNumberFormat="1" applyFont="1" applyFill="1" applyBorder="1" applyAlignment="1">
      <alignment vertical="center" wrapText="1"/>
    </xf>
    <xf numFmtId="4" fontId="12" fillId="4" borderId="16" xfId="0" applyNumberFormat="1" applyFont="1" applyFill="1" applyBorder="1" applyAlignment="1">
      <alignment vertical="center" wrapText="1"/>
    </xf>
    <xf numFmtId="4" fontId="12" fillId="2" borderId="20" xfId="0" applyNumberFormat="1" applyFont="1" applyFill="1" applyBorder="1" applyAlignment="1">
      <alignment vertical="center" wrapText="1"/>
    </xf>
    <xf numFmtId="4" fontId="12" fillId="9" borderId="16" xfId="0" applyNumberFormat="1" applyFont="1" applyFill="1" applyBorder="1" applyAlignment="1">
      <alignment vertical="center"/>
    </xf>
    <xf numFmtId="4" fontId="13" fillId="10" borderId="16" xfId="0" applyNumberFormat="1" applyFont="1" applyFill="1" applyBorder="1" applyAlignment="1">
      <alignment vertical="center"/>
    </xf>
    <xf numFmtId="0" fontId="10" fillId="2" borderId="21" xfId="0" applyFont="1" applyFill="1" applyBorder="1" applyAlignment="1">
      <alignment vertical="center"/>
    </xf>
    <xf numFmtId="0" fontId="5" fillId="6" borderId="15" xfId="0" applyFont="1" applyFill="1" applyBorder="1" applyAlignment="1">
      <alignment horizontal="right" wrapText="1"/>
    </xf>
    <xf numFmtId="4" fontId="13" fillId="10" borderId="22" xfId="0" applyNumberFormat="1" applyFont="1" applyFill="1" applyBorder="1" applyAlignment="1">
      <alignment vertical="center"/>
    </xf>
    <xf numFmtId="4" fontId="13" fillId="10" borderId="23" xfId="0" applyNumberFormat="1" applyFont="1" applyFill="1" applyBorder="1" applyAlignment="1">
      <alignment vertical="center"/>
    </xf>
    <xf numFmtId="4" fontId="12" fillId="8" borderId="16" xfId="0" applyNumberFormat="1" applyFont="1" applyFill="1" applyBorder="1" applyAlignment="1">
      <alignment horizontal="right" vertical="center" wrapText="1"/>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4" xfId="0" applyFont="1" applyFill="1" applyBorder="1" applyAlignment="1">
      <alignment horizontal="left" vertical="center" indent="2"/>
    </xf>
    <xf numFmtId="0" fontId="13" fillId="9" borderId="0" xfId="0" applyFont="1" applyFill="1" applyAlignment="1">
      <alignment horizontal="left" vertical="center" indent="1"/>
    </xf>
    <xf numFmtId="10" fontId="12" fillId="4" borderId="0" xfId="2" applyNumberFormat="1" applyFont="1" applyFill="1" applyBorder="1" applyAlignment="1">
      <alignment horizontal="right" vertical="center" wrapText="1"/>
    </xf>
    <xf numFmtId="10" fontId="12" fillId="4" borderId="9" xfId="2" applyNumberFormat="1" applyFont="1" applyFill="1" applyBorder="1" applyAlignment="1">
      <alignment horizontal="right" vertical="center" wrapText="1"/>
    </xf>
    <xf numFmtId="4" fontId="13" fillId="11" borderId="25" xfId="0" applyNumberFormat="1" applyFont="1" applyFill="1" applyBorder="1" applyAlignment="1">
      <alignment horizontal="right" vertical="center" wrapText="1"/>
    </xf>
    <xf numFmtId="10" fontId="12" fillId="4" borderId="9" xfId="1" applyNumberFormat="1" applyFont="1" applyFill="1" applyBorder="1" applyAlignment="1">
      <alignment horizontal="right" vertical="center" wrapText="1"/>
    </xf>
    <xf numFmtId="10" fontId="12" fillId="2" borderId="9" xfId="1" applyNumberFormat="1" applyFont="1" applyFill="1" applyBorder="1" applyAlignment="1">
      <alignment horizontal="right" vertical="center" wrapText="1"/>
    </xf>
    <xf numFmtId="10" fontId="12" fillId="4" borderId="0" xfId="1" applyNumberFormat="1" applyFont="1" applyFill="1" applyBorder="1" applyAlignment="1">
      <alignment horizontal="right" vertical="center" wrapText="1"/>
    </xf>
    <xf numFmtId="10" fontId="12" fillId="2" borderId="0" xfId="1" applyNumberFormat="1" applyFont="1" applyFill="1" applyBorder="1" applyAlignment="1">
      <alignment horizontal="right" vertical="center" wrapText="1"/>
    </xf>
    <xf numFmtId="4" fontId="16" fillId="12" borderId="26" xfId="0" applyNumberFormat="1" applyFont="1" applyFill="1" applyBorder="1" applyAlignment="1">
      <alignment vertical="center"/>
    </xf>
    <xf numFmtId="4" fontId="12" fillId="2" borderId="24" xfId="0" applyNumberFormat="1" applyFont="1" applyFill="1" applyBorder="1" applyAlignment="1">
      <alignment vertical="center" wrapText="1"/>
    </xf>
    <xf numFmtId="0" fontId="14" fillId="2" borderId="0" xfId="0" applyFont="1" applyFill="1" applyAlignment="1">
      <alignment horizontal="left"/>
    </xf>
    <xf numFmtId="0" fontId="14" fillId="6"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2" borderId="28" xfId="0" applyFont="1" applyFill="1" applyBorder="1" applyAlignment="1">
      <alignment horizontal="center" vertical="center"/>
    </xf>
    <xf numFmtId="0" fontId="2" fillId="2" borderId="0" xfId="0" applyFont="1" applyFill="1" applyAlignment="1">
      <alignment vertical="center"/>
    </xf>
    <xf numFmtId="49" fontId="12" fillId="2" borderId="28"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9"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30" xfId="0" applyFont="1" applyFill="1" applyBorder="1" applyAlignment="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8" fillId="2" borderId="0" xfId="0" applyFont="1" applyFill="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0" fontId="3" fillId="2" borderId="37" xfId="0" applyFont="1" applyFill="1" applyBorder="1" applyAlignment="1">
      <alignment vertical="center"/>
    </xf>
    <xf numFmtId="0" fontId="3" fillId="2" borderId="38" xfId="0" applyFont="1" applyFill="1" applyBorder="1" applyAlignment="1">
      <alignment vertical="center"/>
    </xf>
    <xf numFmtId="166" fontId="12" fillId="2" borderId="9" xfId="2" applyNumberFormat="1" applyFont="1" applyFill="1" applyBorder="1" applyAlignment="1">
      <alignment horizontal="left" vertical="center" wrapText="1"/>
    </xf>
    <xf numFmtId="0" fontId="3" fillId="2" borderId="39" xfId="0" applyFont="1" applyFill="1" applyBorder="1" applyAlignment="1">
      <alignment vertical="center"/>
    </xf>
    <xf numFmtId="37" fontId="12" fillId="2" borderId="40"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41" xfId="0" applyFont="1" applyFill="1" applyBorder="1" applyAlignment="1">
      <alignment vertical="center"/>
    </xf>
    <xf numFmtId="0" fontId="3" fillId="2" borderId="0" xfId="0" applyFont="1" applyFill="1" applyAlignment="1">
      <alignment horizontal="center" vertical="center"/>
    </xf>
    <xf numFmtId="0" fontId="4" fillId="2" borderId="4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3"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4"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5" xfId="2" applyNumberFormat="1" applyFont="1" applyFill="1" applyBorder="1" applyAlignment="1">
      <alignment horizontal="right" vertical="center" wrapText="1" indent="1"/>
    </xf>
    <xf numFmtId="39" fontId="12" fillId="4" borderId="46" xfId="2" applyNumberFormat="1" applyFont="1" applyFill="1" applyBorder="1" applyAlignment="1">
      <alignment horizontal="right" vertical="center" wrapText="1" indent="1"/>
    </xf>
    <xf numFmtId="39" fontId="12" fillId="2" borderId="47" xfId="2" applyNumberFormat="1" applyFont="1" applyFill="1" applyBorder="1" applyAlignment="1">
      <alignment horizontal="right" vertical="center" wrapText="1" indent="1"/>
    </xf>
    <xf numFmtId="39" fontId="12" fillId="2" borderId="46" xfId="2" applyNumberFormat="1" applyFont="1" applyFill="1" applyBorder="1" applyAlignment="1">
      <alignment horizontal="right" vertical="center" wrapText="1" indent="1"/>
    </xf>
    <xf numFmtId="0" fontId="21" fillId="4" borderId="48" xfId="0" applyFont="1" applyFill="1" applyBorder="1" applyAlignment="1">
      <alignment horizontal="left" vertical="center" indent="1"/>
    </xf>
    <xf numFmtId="39" fontId="12" fillId="4" borderId="48"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9" xfId="0" applyFont="1" applyFill="1" applyBorder="1" applyAlignment="1">
      <alignment horizontal="center" vertical="center"/>
    </xf>
    <xf numFmtId="0" fontId="12" fillId="2" borderId="49" xfId="0" applyFont="1" applyFill="1" applyBorder="1" applyAlignment="1">
      <alignment horizontal="center" vertical="center"/>
    </xf>
    <xf numFmtId="0" fontId="14" fillId="6" borderId="50" xfId="0" applyFont="1" applyFill="1" applyBorder="1" applyAlignment="1">
      <alignment horizontal="center" vertical="center"/>
    </xf>
    <xf numFmtId="0" fontId="14" fillId="6" borderId="51" xfId="0" applyFont="1" applyFill="1" applyBorder="1" applyAlignment="1">
      <alignment horizontal="left" vertical="center"/>
    </xf>
    <xf numFmtId="0" fontId="13" fillId="10" borderId="52"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3" xfId="0" applyFont="1" applyFill="1" applyBorder="1" applyAlignment="1">
      <alignment horizontal="left" vertical="center" indent="1"/>
    </xf>
    <xf numFmtId="0" fontId="4" fillId="2" borderId="0" xfId="0" applyFont="1" applyFill="1" applyAlignment="1">
      <alignment horizontal="left" indent="1"/>
    </xf>
    <xf numFmtId="0" fontId="14" fillId="12" borderId="54" xfId="0" applyFont="1" applyFill="1" applyBorder="1" applyAlignment="1">
      <alignment horizontal="left" vertical="center" indent="1"/>
    </xf>
    <xf numFmtId="4" fontId="13" fillId="7" borderId="55" xfId="0" applyNumberFormat="1" applyFont="1" applyFill="1" applyBorder="1" applyAlignment="1">
      <alignment vertical="center" wrapText="1"/>
    </xf>
    <xf numFmtId="4" fontId="12" fillId="8" borderId="17" xfId="0" applyNumberFormat="1" applyFont="1" applyFill="1" applyBorder="1" applyAlignment="1">
      <alignment vertical="center" wrapText="1"/>
    </xf>
    <xf numFmtId="4" fontId="13" fillId="7" borderId="17" xfId="0" applyNumberFormat="1" applyFont="1" applyFill="1" applyBorder="1" applyAlignment="1">
      <alignment vertical="center" wrapText="1"/>
    </xf>
    <xf numFmtId="4" fontId="12" fillId="8" borderId="17" xfId="0" applyNumberFormat="1" applyFont="1" applyFill="1" applyBorder="1" applyAlignment="1">
      <alignment horizontal="right" vertical="center" wrapText="1"/>
    </xf>
    <xf numFmtId="4" fontId="12" fillId="4" borderId="17" xfId="0" applyNumberFormat="1" applyFont="1" applyFill="1" applyBorder="1" applyAlignment="1">
      <alignment vertical="center" wrapText="1"/>
    </xf>
    <xf numFmtId="4" fontId="12" fillId="2" borderId="56"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0" fontId="0" fillId="2" borderId="24" xfId="0" applyFill="1" applyBorder="1" applyAlignment="1">
      <alignment vertical="center"/>
    </xf>
    <xf numFmtId="39" fontId="12" fillId="2" borderId="57" xfId="2" applyNumberFormat="1" applyFont="1" applyFill="1" applyBorder="1" applyAlignment="1">
      <alignment horizontal="right" vertical="center" wrapText="1" indent="1"/>
    </xf>
    <xf numFmtId="39" fontId="12" fillId="4" borderId="57" xfId="2" applyNumberFormat="1" applyFont="1" applyFill="1" applyBorder="1" applyAlignment="1">
      <alignment horizontal="right" vertical="center" wrapText="1" indent="1"/>
    </xf>
    <xf numFmtId="0" fontId="3" fillId="4" borderId="10" xfId="0" applyFont="1" applyFill="1" applyBorder="1" applyAlignment="1">
      <alignment horizontal="center" vertical="center"/>
    </xf>
    <xf numFmtId="37" fontId="12" fillId="4" borderId="40" xfId="1" applyNumberFormat="1" applyFont="1" applyFill="1" applyBorder="1" applyAlignment="1">
      <alignment horizontal="right" vertical="center"/>
    </xf>
    <xf numFmtId="37" fontId="12" fillId="4" borderId="58" xfId="1" applyNumberFormat="1" applyFont="1" applyFill="1" applyBorder="1" applyAlignment="1">
      <alignment horizontal="right" vertical="center"/>
    </xf>
    <xf numFmtId="0" fontId="3" fillId="2" borderId="59"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9" xfId="0" applyFont="1" applyFill="1" applyBorder="1" applyAlignment="1">
      <alignment horizontal="left" vertical="center" indent="1"/>
    </xf>
    <xf numFmtId="0" fontId="12" fillId="4" borderId="0" xfId="0" applyFont="1" applyFill="1" applyAlignment="1">
      <alignment horizontal="left" vertical="center" indent="2"/>
    </xf>
    <xf numFmtId="165" fontId="12" fillId="4" borderId="9" xfId="2" applyNumberFormat="1" applyFont="1" applyFill="1" applyBorder="1" applyAlignment="1">
      <alignment horizontal="right" vertical="center" wrapText="1" indent="1"/>
    </xf>
    <xf numFmtId="0" fontId="12" fillId="4" borderId="28" xfId="0" applyFont="1" applyFill="1" applyBorder="1" applyAlignment="1">
      <alignment horizontal="center"/>
    </xf>
    <xf numFmtId="0" fontId="12" fillId="2" borderId="28" xfId="0" applyFont="1" applyFill="1" applyBorder="1" applyAlignment="1">
      <alignment horizontal="center"/>
    </xf>
    <xf numFmtId="4" fontId="12" fillId="9" borderId="17" xfId="0" applyNumberFormat="1" applyFont="1" applyFill="1" applyBorder="1" applyAlignment="1">
      <alignment vertical="center"/>
    </xf>
    <xf numFmtId="4" fontId="0" fillId="2" borderId="0" xfId="0" applyNumberFormat="1" applyFill="1" applyAlignment="1">
      <alignment vertical="center"/>
    </xf>
    <xf numFmtId="10" fontId="3" fillId="2" borderId="0" xfId="1" applyNumberFormat="1" applyFont="1" applyFill="1" applyAlignment="1">
      <alignment horizontal="center"/>
    </xf>
    <xf numFmtId="0" fontId="12" fillId="2" borderId="60" xfId="0" applyFont="1" applyFill="1" applyBorder="1" applyAlignment="1">
      <alignment horizontal="center" vertical="center"/>
    </xf>
    <xf numFmtId="10" fontId="3" fillId="2" borderId="0" xfId="1" applyNumberFormat="1" applyFont="1" applyFill="1" applyAlignment="1">
      <alignment horizontal="center" vertical="center"/>
    </xf>
    <xf numFmtId="10" fontId="3" fillId="2" borderId="0" xfId="0" applyNumberFormat="1" applyFont="1" applyFill="1" applyAlignment="1">
      <alignment horizontal="center"/>
    </xf>
    <xf numFmtId="4" fontId="0" fillId="0" borderId="0" xfId="0" applyNumberFormat="1"/>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65" fontId="12" fillId="4" borderId="9" xfId="2" applyNumberFormat="1" applyFont="1" applyFill="1" applyBorder="1" applyAlignment="1">
      <alignment horizontal="left" vertical="center" wrapText="1"/>
    </xf>
    <xf numFmtId="165" fontId="12" fillId="4" borderId="0" xfId="2" applyNumberFormat="1" applyFont="1" applyFill="1" applyBorder="1" applyAlignment="1">
      <alignment horizontal="lef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165" fontId="12" fillId="2" borderId="9" xfId="2" applyNumberFormat="1" applyFont="1" applyFill="1" applyBorder="1" applyAlignment="1">
      <alignment horizontal="right" vertical="center" wrapText="1"/>
    </xf>
    <xf numFmtId="165" fontId="12" fillId="2" borderId="0" xfId="2" applyNumberFormat="1" applyFont="1" applyFill="1" applyBorder="1" applyAlignment="1">
      <alignment horizontal="right" vertical="center" wrapText="1"/>
    </xf>
    <xf numFmtId="0" fontId="12" fillId="2" borderId="61" xfId="0" applyFont="1" applyFill="1" applyBorder="1" applyAlignment="1">
      <alignment horizontal="center"/>
    </xf>
    <xf numFmtId="37" fontId="12" fillId="2" borderId="62" xfId="2" applyNumberFormat="1" applyFont="1" applyFill="1" applyBorder="1" applyAlignment="1">
      <alignment horizontal="right" vertical="center" wrapText="1" indent="1"/>
    </xf>
    <xf numFmtId="4" fontId="12" fillId="2" borderId="62"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0" fontId="5" fillId="17" borderId="15" xfId="0" applyFont="1" applyFill="1" applyBorder="1" applyAlignment="1">
      <alignment horizontal="right" vertical="center" indent="1"/>
    </xf>
    <xf numFmtId="4" fontId="25" fillId="18" borderId="63" xfId="0" applyNumberFormat="1" applyFont="1" applyFill="1" applyBorder="1" applyAlignment="1">
      <alignment vertical="center" wrapText="1"/>
    </xf>
    <xf numFmtId="4" fontId="25" fillId="18" borderId="64" xfId="0" applyNumberFormat="1" applyFont="1" applyFill="1" applyBorder="1" applyAlignment="1">
      <alignment vertical="center" wrapText="1"/>
    </xf>
    <xf numFmtId="4" fontId="26" fillId="19" borderId="65" xfId="0" applyNumberFormat="1" applyFont="1" applyFill="1" applyBorder="1" applyAlignment="1">
      <alignment vertical="center" wrapText="1"/>
    </xf>
    <xf numFmtId="4" fontId="26" fillId="19" borderId="66" xfId="0" applyNumberFormat="1" applyFont="1" applyFill="1" applyBorder="1" applyAlignment="1">
      <alignment vertical="center" wrapText="1"/>
    </xf>
    <xf numFmtId="4" fontId="26" fillId="2" borderId="65" xfId="0" applyNumberFormat="1" applyFont="1" applyFill="1" applyBorder="1" applyAlignment="1">
      <alignment vertical="center" wrapText="1"/>
    </xf>
    <xf numFmtId="4" fontId="26" fillId="2" borderId="66" xfId="0" applyNumberFormat="1" applyFont="1" applyFill="1" applyBorder="1" applyAlignment="1">
      <alignment vertical="center" wrapText="1"/>
    </xf>
    <xf numFmtId="4" fontId="25" fillId="18" borderId="65" xfId="0" applyNumberFormat="1" applyFont="1" applyFill="1" applyBorder="1" applyAlignment="1">
      <alignment vertical="center" wrapText="1"/>
    </xf>
    <xf numFmtId="4" fontId="25" fillId="18" borderId="66" xfId="0" applyNumberFormat="1" applyFont="1" applyFill="1" applyBorder="1" applyAlignment="1">
      <alignment vertical="center" wrapText="1"/>
    </xf>
    <xf numFmtId="4" fontId="26" fillId="19" borderId="65" xfId="0" applyNumberFormat="1" applyFont="1" applyFill="1" applyBorder="1" applyAlignment="1">
      <alignment horizontal="right" vertical="center" wrapText="1"/>
    </xf>
    <xf numFmtId="4" fontId="26" fillId="19" borderId="66" xfId="0" applyNumberFormat="1" applyFont="1" applyFill="1" applyBorder="1" applyAlignment="1">
      <alignment horizontal="right" vertical="center" wrapText="1"/>
    </xf>
    <xf numFmtId="4" fontId="26" fillId="20" borderId="65" xfId="0" applyNumberFormat="1" applyFont="1" applyFill="1" applyBorder="1" applyAlignment="1">
      <alignment vertical="center" wrapText="1"/>
    </xf>
    <xf numFmtId="4" fontId="26" fillId="20" borderId="66" xfId="0" applyNumberFormat="1" applyFont="1" applyFill="1" applyBorder="1" applyAlignment="1">
      <alignment vertical="center" wrapText="1"/>
    </xf>
    <xf numFmtId="4" fontId="26" fillId="2" borderId="67" xfId="0" applyNumberFormat="1" applyFont="1" applyFill="1" applyBorder="1" applyAlignment="1">
      <alignment vertical="center" wrapText="1"/>
    </xf>
    <xf numFmtId="4" fontId="26" fillId="2" borderId="68" xfId="0" applyNumberFormat="1" applyFont="1" applyFill="1" applyBorder="1" applyAlignment="1">
      <alignment vertical="center" wrapText="1"/>
    </xf>
    <xf numFmtId="4" fontId="26" fillId="2" borderId="0" xfId="0" applyNumberFormat="1" applyFont="1" applyFill="1" applyAlignment="1">
      <alignment vertical="center" wrapText="1"/>
    </xf>
    <xf numFmtId="4" fontId="26" fillId="2" borderId="18" xfId="0" applyNumberFormat="1" applyFont="1" applyFill="1" applyBorder="1" applyAlignment="1">
      <alignment vertical="center" wrapText="1"/>
    </xf>
    <xf numFmtId="4" fontId="26" fillId="2" borderId="24" xfId="0" applyNumberFormat="1" applyFont="1" applyFill="1" applyBorder="1" applyAlignment="1">
      <alignment vertical="center" wrapText="1"/>
    </xf>
    <xf numFmtId="0" fontId="5" fillId="17" borderId="15" xfId="0" applyFont="1" applyFill="1" applyBorder="1" applyAlignment="1">
      <alignment horizontal="right" wrapText="1"/>
    </xf>
    <xf numFmtId="4" fontId="26" fillId="2" borderId="65" xfId="0" applyNumberFormat="1" applyFont="1" applyFill="1" applyBorder="1" applyAlignment="1">
      <alignment vertical="center"/>
    </xf>
    <xf numFmtId="4" fontId="26" fillId="2" borderId="66" xfId="0" applyNumberFormat="1" applyFont="1" applyFill="1" applyBorder="1" applyAlignment="1">
      <alignment vertical="center"/>
    </xf>
    <xf numFmtId="4" fontId="26" fillId="19" borderId="65" xfId="0" applyNumberFormat="1" applyFont="1" applyFill="1" applyBorder="1" applyAlignment="1">
      <alignment vertical="center"/>
    </xf>
    <xf numFmtId="4" fontId="26" fillId="19" borderId="66" xfId="0" applyNumberFormat="1" applyFont="1" applyFill="1" applyBorder="1" applyAlignment="1">
      <alignment vertical="center"/>
    </xf>
    <xf numFmtId="4" fontId="26" fillId="19" borderId="69" xfId="0" applyNumberFormat="1" applyFont="1" applyFill="1" applyBorder="1" applyAlignment="1">
      <alignment vertical="center"/>
    </xf>
    <xf numFmtId="4" fontId="25" fillId="18" borderId="70" xfId="0" applyNumberFormat="1" applyFont="1" applyFill="1" applyBorder="1" applyAlignment="1">
      <alignment vertical="center"/>
    </xf>
    <xf numFmtId="4" fontId="25" fillId="18" borderId="71" xfId="0" applyNumberFormat="1" applyFont="1" applyFill="1" applyBorder="1" applyAlignment="1">
      <alignment vertical="center"/>
    </xf>
    <xf numFmtId="4" fontId="25" fillId="18" borderId="65" xfId="0" applyNumberFormat="1" applyFont="1" applyFill="1" applyBorder="1" applyAlignment="1">
      <alignment vertical="center"/>
    </xf>
    <xf numFmtId="4" fontId="25" fillId="16" borderId="25" xfId="0" applyNumberFormat="1" applyFont="1" applyFill="1" applyBorder="1" applyAlignment="1">
      <alignment horizontal="right" vertical="center" wrapText="1"/>
    </xf>
    <xf numFmtId="4" fontId="26" fillId="2" borderId="0" xfId="0" applyNumberFormat="1" applyFont="1" applyFill="1"/>
    <xf numFmtId="4" fontId="16" fillId="21" borderId="72" xfId="0" applyNumberFormat="1" applyFont="1" applyFill="1" applyBorder="1" applyAlignment="1">
      <alignment vertical="center"/>
    </xf>
    <xf numFmtId="4" fontId="0" fillId="2" borderId="0" xfId="0" applyNumberFormat="1" applyFill="1"/>
    <xf numFmtId="4" fontId="0" fillId="22" borderId="0" xfId="0" applyNumberFormat="1" applyFill="1" applyAlignment="1">
      <alignment vertical="center"/>
    </xf>
    <xf numFmtId="4" fontId="24" fillId="2" borderId="0" xfId="0" applyNumberFormat="1" applyFont="1" applyFill="1" applyAlignment="1">
      <alignment vertical="center"/>
    </xf>
    <xf numFmtId="43" fontId="12" fillId="2" borderId="9" xfId="2" applyFont="1" applyFill="1" applyBorder="1" applyAlignment="1">
      <alignment vertical="center" wrapText="1"/>
    </xf>
    <xf numFmtId="43" fontId="12" fillId="2" borderId="0" xfId="2" applyFont="1" applyFill="1" applyBorder="1" applyAlignment="1">
      <alignment vertical="center" wrapText="1"/>
    </xf>
    <xf numFmtId="43" fontId="12" fillId="4" borderId="9" xfId="2" applyFont="1" applyFill="1" applyBorder="1" applyAlignment="1">
      <alignment vertical="center" wrapText="1"/>
    </xf>
    <xf numFmtId="43" fontId="12" fillId="4" borderId="0" xfId="2" applyFont="1" applyFill="1" applyBorder="1" applyAlignment="1">
      <alignment vertical="center" wrapText="1"/>
    </xf>
    <xf numFmtId="1" fontId="12" fillId="2" borderId="9" xfId="2" applyNumberFormat="1" applyFont="1" applyFill="1" applyBorder="1" applyAlignment="1">
      <alignment vertical="center" wrapText="1"/>
    </xf>
    <xf numFmtId="2" fontId="12" fillId="2" borderId="9" xfId="2" applyNumberFormat="1" applyFont="1" applyFill="1" applyBorder="1" applyAlignment="1">
      <alignment vertical="center" wrapText="1"/>
    </xf>
    <xf numFmtId="1" fontId="12" fillId="2" borderId="0" xfId="2" applyNumberFormat="1" applyFont="1" applyFill="1" applyBorder="1" applyAlignment="1">
      <alignment vertical="center" wrapText="1"/>
    </xf>
    <xf numFmtId="10" fontId="12" fillId="4" borderId="9" xfId="2" applyNumberFormat="1" applyFont="1" applyFill="1" applyBorder="1" applyAlignment="1">
      <alignment vertical="center" wrapText="1"/>
    </xf>
    <xf numFmtId="10" fontId="12" fillId="4" borderId="0" xfId="2" applyNumberFormat="1" applyFont="1" applyFill="1" applyBorder="1" applyAlignment="1">
      <alignment vertical="center" wrapText="1"/>
    </xf>
    <xf numFmtId="10" fontId="12" fillId="2" borderId="9" xfId="2" applyNumberFormat="1" applyFont="1" applyFill="1" applyBorder="1" applyAlignment="1">
      <alignment vertical="center" wrapText="1"/>
    </xf>
    <xf numFmtId="10" fontId="12" fillId="2" borderId="0" xfId="2" applyNumberFormat="1" applyFont="1" applyFill="1" applyBorder="1" applyAlignment="1">
      <alignment vertical="center" wrapText="1"/>
    </xf>
    <xf numFmtId="165" fontId="12" fillId="4" borderId="9" xfId="2" applyNumberFormat="1" applyFont="1" applyFill="1" applyBorder="1" applyAlignment="1">
      <alignment vertical="center" wrapText="1"/>
    </xf>
    <xf numFmtId="165" fontId="12" fillId="4" borderId="0" xfId="2" applyNumberFormat="1" applyFont="1" applyFill="1" applyBorder="1" applyAlignment="1">
      <alignment vertical="center" wrapText="1"/>
    </xf>
    <xf numFmtId="165" fontId="12" fillId="2" borderId="9" xfId="2" applyNumberFormat="1" applyFont="1" applyFill="1" applyBorder="1" applyAlignment="1">
      <alignment vertical="center" wrapText="1"/>
    </xf>
    <xf numFmtId="165" fontId="12" fillId="2" borderId="0" xfId="2" applyNumberFormat="1" applyFont="1" applyFill="1" applyBorder="1" applyAlignment="1">
      <alignment vertical="center" wrapText="1"/>
    </xf>
    <xf numFmtId="43" fontId="12" fillId="4" borderId="0" xfId="2" applyFont="1" applyFill="1" applyBorder="1" applyAlignment="1" applyProtection="1">
      <alignment vertical="center" wrapText="1"/>
    </xf>
    <xf numFmtId="4" fontId="12" fillId="4" borderId="9" xfId="2" applyNumberFormat="1" applyFont="1" applyFill="1" applyBorder="1" applyAlignment="1" applyProtection="1">
      <alignment horizontal="right" vertical="center" wrapText="1"/>
    </xf>
    <xf numFmtId="4" fontId="12" fillId="4" borderId="0" xfId="2" applyNumberFormat="1" applyFont="1" applyFill="1" applyBorder="1" applyAlignment="1" applyProtection="1">
      <alignment horizontal="right" vertical="center" wrapText="1"/>
    </xf>
    <xf numFmtId="4" fontId="12" fillId="2" borderId="9" xfId="2" applyNumberFormat="1" applyFont="1" applyFill="1" applyBorder="1" applyAlignment="1" applyProtection="1">
      <alignment horizontal="right" vertical="center" wrapText="1"/>
    </xf>
    <xf numFmtId="4" fontId="12" fillId="2" borderId="0" xfId="2" applyNumberFormat="1" applyFont="1" applyFill="1" applyBorder="1" applyAlignment="1" applyProtection="1">
      <alignment horizontal="right" vertical="center" wrapText="1"/>
    </xf>
    <xf numFmtId="4" fontId="13" fillId="10" borderId="82" xfId="0" applyNumberFormat="1" applyFont="1" applyFill="1" applyBorder="1" applyAlignment="1">
      <alignment vertical="center"/>
    </xf>
    <xf numFmtId="0" fontId="5" fillId="6" borderId="77" xfId="0" applyFont="1" applyFill="1" applyBorder="1" applyAlignment="1">
      <alignment horizontal="center" vertical="center" wrapText="1"/>
    </xf>
    <xf numFmtId="0" fontId="5" fillId="6" borderId="78" xfId="0" applyFont="1" applyFill="1" applyBorder="1" applyAlignment="1">
      <alignment horizontal="center" vertical="center" wrapText="1"/>
    </xf>
    <xf numFmtId="0" fontId="5" fillId="6" borderId="79" xfId="0" applyFont="1" applyFill="1" applyBorder="1" applyAlignment="1">
      <alignment horizontal="center" vertical="center" wrapText="1"/>
    </xf>
    <xf numFmtId="0" fontId="5" fillId="6" borderId="80" xfId="0" applyFont="1" applyFill="1" applyBorder="1" applyAlignment="1">
      <alignment horizontal="center" vertical="center" wrapText="1"/>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179.10341198093212</c:v>
                </c:pt>
                <c:pt idx="1">
                  <c:v>178.77337478185291</c:v>
                </c:pt>
                <c:pt idx="2">
                  <c:v>141.23205385292047</c:v>
                </c:pt>
                <c:pt idx="3">
                  <c:v>147.12267597094382</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255.47298295036154</c:v>
                </c:pt>
                <c:pt idx="1">
                  <c:v>242.81821434003572</c:v>
                </c:pt>
                <c:pt idx="2">
                  <c:v>257.2238563660012</c:v>
                </c:pt>
                <c:pt idx="3">
                  <c:v>256.16226123562154</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824691039"/>
        <c:axId val="-1158102238"/>
      </c:barChart>
      <c:catAx>
        <c:axId val="824691039"/>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1158102238"/>
        <c:crosses val="autoZero"/>
        <c:auto val="1"/>
        <c:lblAlgn val="ctr"/>
        <c:lblOffset val="100"/>
        <c:noMultiLvlLbl val="0"/>
      </c:catAx>
      <c:valAx>
        <c:axId val="-1158102238"/>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824691039"/>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648323.26940486988</c:v>
                </c:pt>
                <c:pt idx="1">
                  <c:v>721213.00631621981</c:v>
                </c:pt>
                <c:pt idx="2">
                  <c:v>744271.97776340006</c:v>
                </c:pt>
                <c:pt idx="3">
                  <c:v>833063.43365193019</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1827316935"/>
        <c:axId val="1579965369"/>
      </c:barChart>
      <c:catAx>
        <c:axId val="-182731693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1579965369"/>
        <c:crosses val="autoZero"/>
        <c:auto val="1"/>
        <c:lblAlgn val="ctr"/>
        <c:lblOffset val="100"/>
        <c:noMultiLvlLbl val="0"/>
      </c:catAx>
      <c:valAx>
        <c:axId val="157996536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182731693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78569080497903E-3"/>
                  <c:y val="8.46560940611417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E7-4FE2-BEFD-D03937402E67}"/>
                </c:ext>
              </c:extLst>
            </c:dLbl>
            <c:dLbl>
              <c:idx val="1"/>
              <c:layout>
                <c:manualLayout>
                  <c:x val="0"/>
                  <c:y val="0.3328397653448609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E7-4FE2-BEFD-D03937402E67}"/>
                </c:ext>
              </c:extLst>
            </c:dLbl>
            <c:dLbl>
              <c:idx val="2"/>
              <c:layout>
                <c:manualLayout>
                  <c:x val="4.4178569080497096E-3"/>
                  <c:y val="0.34053124920843197"/>
                </c:manualLayout>
              </c:layout>
              <c:tx>
                <c:rich>
                  <a:bodyPr/>
                  <a:lstStyle/>
                  <a:p>
                    <a:fld id="{B39E3359-51A7-4689-A014-CE5FF05A3E86}" type="VALUE">
                      <a:rPr lang="en-US"/>
                      <a:pPr/>
                      <a:t>[VALOR]</a:t>
                    </a:fld>
                    <a:endParaRPr lang="pt-AO"/>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EE7-4FE2-BEFD-D03937402E67}"/>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SECTORIAL'!$F$17:$I$17</c:f>
              <c:numCache>
                <c:formatCode>#,##0.00_);\(#,##0.00\)</c:formatCode>
                <c:ptCount val="4"/>
                <c:pt idx="0">
                  <c:v>-557300.88768804981</c:v>
                </c:pt>
                <c:pt idx="1">
                  <c:v>-210649.59044758033</c:v>
                </c:pt>
                <c:pt idx="2">
                  <c:v>-358825.85831911961</c:v>
                </c:pt>
                <c:pt idx="3">
                  <c:v>-438579.57179723989</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348819334"/>
        <c:axId val="-1366119982"/>
      </c:barChart>
      <c:catAx>
        <c:axId val="34881933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366119982"/>
        <c:crosses val="autoZero"/>
        <c:auto val="1"/>
        <c:lblAlgn val="ctr"/>
        <c:lblOffset val="100"/>
        <c:noMultiLvlLbl val="0"/>
      </c:catAx>
      <c:valAx>
        <c:axId val="-136611998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34881933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SECTORIAL'!$F$21:$I$21</c:f>
              <c:numCache>
                <c:formatCode>#,##0.00_);\(#,##0.00\)</c:formatCode>
                <c:ptCount val="4"/>
                <c:pt idx="0">
                  <c:v>791639.11740823998</c:v>
                </c:pt>
                <c:pt idx="1">
                  <c:v>481728.70123776991</c:v>
                </c:pt>
                <c:pt idx="2">
                  <c:v>597264.62317856029</c:v>
                </c:pt>
                <c:pt idx="3">
                  <c:v>564080.60427466035</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497169619"/>
        <c:axId val="1323376151"/>
      </c:barChart>
      <c:catAx>
        <c:axId val="49716961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323376151"/>
        <c:crosses val="autoZero"/>
        <c:auto val="1"/>
        <c:lblAlgn val="ctr"/>
        <c:lblOffset val="100"/>
        <c:noMultiLvlLbl val="0"/>
      </c:catAx>
      <c:valAx>
        <c:axId val="132337615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49716961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SECTORIAL'!$F$25:$I$25</c:f>
              <c:numCache>
                <c:formatCode>_(* #,##0.00_);_(* \(#,##0.00\);_(* "-"??_);_(@_)</c:formatCode>
                <c:ptCount val="4"/>
                <c:pt idx="0">
                  <c:v>0.40042386318600598</c:v>
                </c:pt>
                <c:pt idx="1">
                  <c:v>0.36468103293066684</c:v>
                </c:pt>
                <c:pt idx="2">
                  <c:v>0.38783288889840928</c:v>
                </c:pt>
                <c:pt idx="3">
                  <c:v>0.33016142583815117</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1947977631"/>
        <c:axId val="2121307762"/>
      </c:barChart>
      <c:catAx>
        <c:axId val="-194797763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121307762"/>
        <c:crosses val="autoZero"/>
        <c:auto val="1"/>
        <c:lblAlgn val="ctr"/>
        <c:lblOffset val="100"/>
        <c:noMultiLvlLbl val="0"/>
      </c:catAx>
      <c:valAx>
        <c:axId val="212130776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94797763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0.18735552550690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CC-41E5-83D6-07ADF21D3006}"/>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SECTORIAL'!$F$24:$I$24</c:f>
              <c:numCache>
                <c:formatCode>_(* #,##0.00_);_(* \(#,##0.00\);_(* "-"??_);_(@_)</c:formatCode>
                <c:ptCount val="4"/>
                <c:pt idx="0">
                  <c:v>0.66150858335855611</c:v>
                </c:pt>
                <c:pt idx="1">
                  <c:v>0.78029584407562746</c:v>
                </c:pt>
                <c:pt idx="2">
                  <c:v>0.693226350663671</c:v>
                </c:pt>
                <c:pt idx="3">
                  <c:v>0.65735970988214332</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1383728462"/>
        <c:axId val="639994643"/>
      </c:barChart>
      <c:catAx>
        <c:axId val="-138372846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639994643"/>
        <c:crosses val="autoZero"/>
        <c:auto val="1"/>
        <c:lblAlgn val="ctr"/>
        <c:lblOffset val="100"/>
        <c:noMultiLvlLbl val="0"/>
      </c:catAx>
      <c:valAx>
        <c:axId val="63999464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38372846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1.35198672852923E-2"/>
                  <c:y val="0.201579002952938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F2-4B04-8410-27D58861C75F}"/>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SECTORIAL'!$F$23:$I$23</c:f>
              <c:numCache>
                <c:formatCode>_(* #,##0.00_);_(* \(#,##0.00\);_(* "-"??_);_(@_)</c:formatCode>
                <c:ptCount val="4"/>
                <c:pt idx="0">
                  <c:v>0.68797576931973037</c:v>
                </c:pt>
                <c:pt idx="1">
                  <c:v>0.81996679127219751</c:v>
                </c:pt>
                <c:pt idx="2">
                  <c:v>0.73943605846432836</c:v>
                </c:pt>
                <c:pt idx="3">
                  <c:v>0.70335932672844359</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1641148755"/>
        <c:axId val="-1113013681"/>
      </c:barChart>
      <c:catAx>
        <c:axId val="164114875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113013681"/>
        <c:crosses val="autoZero"/>
        <c:auto val="1"/>
        <c:lblAlgn val="ctr"/>
        <c:lblOffset val="100"/>
        <c:noMultiLvlLbl val="0"/>
      </c:catAx>
      <c:valAx>
        <c:axId val="-111301368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64114875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1.65178841200077E-16"/>
                  <c:y val="1.37756297743618E-2"/>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99-4CD0-82FC-B25FA47677B0}"/>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SECTORIAL'!$F$30:$I$30</c:f>
              <c:numCache>
                <c:formatCode>0.00%</c:formatCode>
                <c:ptCount val="4"/>
                <c:pt idx="0">
                  <c:v>0.13356466303891518</c:v>
                </c:pt>
                <c:pt idx="1">
                  <c:v>0.11561439852894941</c:v>
                </c:pt>
                <c:pt idx="2">
                  <c:v>-0.22873886226575807</c:v>
                </c:pt>
                <c:pt idx="3">
                  <c:v>-1.9314606276757167E-2</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1950880967"/>
        <c:axId val="1167847732"/>
      </c:barChart>
      <c:catAx>
        <c:axId val="-19508809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167847732"/>
        <c:crosses val="autoZero"/>
        <c:auto val="1"/>
        <c:lblAlgn val="ctr"/>
        <c:lblOffset val="100"/>
        <c:noMultiLvlLbl val="0"/>
      </c:catAx>
      <c:valAx>
        <c:axId val="116784773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9508809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1"/>
              <c:layout>
                <c:manualLayout>
                  <c:x val="8.8389638228866495E-3"/>
                  <c:y val="0.1469057326434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D6-43F8-96DC-80266EA477E0}"/>
                </c:ext>
              </c:extLst>
            </c:dLbl>
            <c:dLbl>
              <c:idx val="2"/>
              <c:layout>
                <c:manualLayout>
                  <c:x val="-8.1022899059683795E-17"/>
                  <c:y val="0.1331445526724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D6-43F8-96DC-80266EA477E0}"/>
                </c:ext>
              </c:extLst>
            </c:dLbl>
            <c:dLbl>
              <c:idx val="3"/>
              <c:layout>
                <c:manualLayout>
                  <c:x val="0"/>
                  <c:y val="0.266601130787427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D6-43F8-96DC-80266EA477E0}"/>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SECTORIAL'!$F$31:$I$31</c:f>
              <c:numCache>
                <c:formatCode>0.00%</c:formatCode>
                <c:ptCount val="4"/>
                <c:pt idx="0">
                  <c:v>0.27656279575976145</c:v>
                </c:pt>
                <c:pt idx="1">
                  <c:v>0.20760636546518507</c:v>
                </c:pt>
                <c:pt idx="2">
                  <c:v>-0.56254042118814418</c:v>
                </c:pt>
                <c:pt idx="3">
                  <c:v>-3.7741679555977244E-2</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1012522993"/>
        <c:axId val="360624105"/>
      </c:barChart>
      <c:catAx>
        <c:axId val="101252299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60624105"/>
        <c:crosses val="autoZero"/>
        <c:auto val="1"/>
        <c:lblAlgn val="ctr"/>
        <c:lblOffset val="100"/>
        <c:noMultiLvlLbl val="0"/>
      </c:catAx>
      <c:valAx>
        <c:axId val="36062410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01252299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B2-4282-BF01-EEA610AC4E27}"/>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SECTORIAL'!$F$32:$I$32</c:f>
              <c:numCache>
                <c:formatCode>0.00%</c:formatCode>
                <c:ptCount val="4"/>
                <c:pt idx="0">
                  <c:v>4.2255392364128279E-2</c:v>
                </c:pt>
                <c:pt idx="1">
                  <c:v>5.1253099454817694E-2</c:v>
                </c:pt>
                <c:pt idx="2">
                  <c:v>-9.2186586554748221E-2</c:v>
                </c:pt>
                <c:pt idx="3">
                  <c:v>-7.6608982587422709E-3</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1282260669"/>
        <c:axId val="1499921120"/>
      </c:barChart>
      <c:catAx>
        <c:axId val="-128226066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499921120"/>
        <c:crosses val="autoZero"/>
        <c:auto val="1"/>
        <c:lblAlgn val="ctr"/>
        <c:lblOffset val="100"/>
        <c:noMultiLvlLbl val="0"/>
      </c:catAx>
      <c:valAx>
        <c:axId val="149992112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28226066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0"/>
                  <c:y val="0.2239669852972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A7-435B-84DC-D99262338B4E}"/>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SECTORIAL'!$F$28:$I$28</c:f>
              <c:numCache>
                <c:formatCode>0.00%</c:formatCode>
                <c:ptCount val="4"/>
                <c:pt idx="0">
                  <c:v>0.1803416868258276</c:v>
                </c:pt>
                <c:pt idx="1">
                  <c:v>0.32780319057370516</c:v>
                </c:pt>
                <c:pt idx="2">
                  <c:v>0.19599412137587968</c:v>
                </c:pt>
                <c:pt idx="3">
                  <c:v>0.25467750265670336</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1827213674"/>
        <c:axId val="-1875829020"/>
      </c:barChart>
      <c:catAx>
        <c:axId val="-182721367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875829020"/>
        <c:crosses val="autoZero"/>
        <c:auto val="1"/>
        <c:lblAlgn val="ctr"/>
        <c:lblOffset val="100"/>
        <c:noMultiLvlLbl val="0"/>
      </c:catAx>
      <c:valAx>
        <c:axId val="-187582902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82721367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SECTORIAL'!$F$27:$I$27</c:f>
              <c:numCache>
                <c:formatCode>0.00%</c:formatCode>
                <c:ptCount val="4"/>
                <c:pt idx="0">
                  <c:v>0.84721230399715841</c:v>
                </c:pt>
                <c:pt idx="1">
                  <c:v>0.75312366102082429</c:v>
                </c:pt>
                <c:pt idx="2">
                  <c:v>0.83612451108839325</c:v>
                </c:pt>
                <c:pt idx="3">
                  <c:v>0.79701755860176082</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1637754431"/>
        <c:axId val="2072872659"/>
      </c:barChart>
      <c:catAx>
        <c:axId val="-163775443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72872659"/>
        <c:crosses val="autoZero"/>
        <c:auto val="1"/>
        <c:lblAlgn val="ctr"/>
        <c:lblOffset val="100"/>
        <c:noMultiLvlLbl val="0"/>
      </c:catAx>
      <c:valAx>
        <c:axId val="207287265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63775443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SECTORIAL'!$F$26:$I$26</c:f>
              <c:numCache>
                <c:formatCode>0.00%</c:formatCode>
                <c:ptCount val="4"/>
                <c:pt idx="0">
                  <c:v>0.15278769600244341</c:v>
                </c:pt>
                <c:pt idx="1">
                  <c:v>0.24687633897917582</c:v>
                </c:pt>
                <c:pt idx="2">
                  <c:v>0.16387548891160661</c:v>
                </c:pt>
                <c:pt idx="3">
                  <c:v>0.20298244139823915</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1879694096"/>
        <c:axId val="756650908"/>
      </c:barChart>
      <c:catAx>
        <c:axId val="187969409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56650908"/>
        <c:crosses val="autoZero"/>
        <c:auto val="1"/>
        <c:lblAlgn val="ctr"/>
        <c:lblOffset val="100"/>
        <c:noMultiLvlLbl val="0"/>
      </c:catAx>
      <c:valAx>
        <c:axId val="75665090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87969409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012467657767399E-3"/>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2A-4D06-80B5-C114E1DE7D36}"/>
                </c:ext>
              </c:extLst>
            </c:dLbl>
            <c:dLbl>
              <c:idx val="1"/>
              <c:layout>
                <c:manualLayout>
                  <c:x val="-8.8024935315535492E-3"/>
                  <c:y val="9.4155709559254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2A-4D06-80B5-C114E1DE7D36}"/>
                </c:ext>
              </c:extLst>
            </c:dLbl>
            <c:dLbl>
              <c:idx val="2"/>
              <c:layout>
                <c:manualLayout>
                  <c:x val="-1.47032530552041E-16"/>
                  <c:y val="0.159416453321631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2A-4D06-80B5-C114E1DE7D36}"/>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SECTORIAL'!$F$39:$I$39</c:f>
              <c:numCache>
                <c:formatCode>#,##0.00</c:formatCode>
                <c:ptCount val="4"/>
                <c:pt idx="0">
                  <c:v>0.26371432781412668</c:v>
                </c:pt>
                <c:pt idx="1">
                  <c:v>0.64928202972083138</c:v>
                </c:pt>
                <c:pt idx="2">
                  <c:v>0.2591164126753962</c:v>
                </c:pt>
                <c:pt idx="3">
                  <c:v>0.16845659784151615</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1185378430"/>
        <c:axId val="2133026091"/>
      </c:barChart>
      <c:catAx>
        <c:axId val="-118537843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133026091"/>
        <c:crosses val="autoZero"/>
        <c:auto val="1"/>
        <c:lblAlgn val="ctr"/>
        <c:lblOffset val="100"/>
        <c:noMultiLvlLbl val="0"/>
      </c:catAx>
      <c:valAx>
        <c:axId val="213302609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18537843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393410448099"/>
          <c:y val="4.7596171774404103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511449529841897E-17"/>
                  <c:y val="0.17269044062323799"/>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7D-4EA4-ACF1-22692894F6D0}"/>
                </c:ext>
              </c:extLst>
            </c:dLbl>
            <c:dLbl>
              <c:idx val="1"/>
              <c:layout>
                <c:manualLayout>
                  <c:x val="-8.8389638228866495E-3"/>
                  <c:y val="0.16494756261009"/>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7D-4EA4-ACF1-22692894F6D0}"/>
                </c:ext>
              </c:extLst>
            </c:dLbl>
            <c:dLbl>
              <c:idx val="2"/>
              <c:layout>
                <c:manualLayout>
                  <c:x val="8.8389638228866495E-3"/>
                  <c:y val="0.15082752584578701"/>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7D-4EA4-ACF1-22692894F6D0}"/>
                </c:ext>
              </c:extLst>
            </c:dLbl>
            <c:dLbl>
              <c:idx val="3"/>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5A7D-4EA4-ACF1-22692894F6D0}"/>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SECTORIAL'!$F$38:$I$38</c:f>
              <c:numCache>
                <c:formatCode>#,##0.00</c:formatCode>
                <c:ptCount val="4"/>
                <c:pt idx="0">
                  <c:v>0.23498402770225152</c:v>
                </c:pt>
                <c:pt idx="1">
                  <c:v>0.78725555411969406</c:v>
                </c:pt>
                <c:pt idx="2">
                  <c:v>-0.17769695041257177</c:v>
                </c:pt>
                <c:pt idx="3">
                  <c:v>-0.31598449574712273</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454102441"/>
        <c:axId val="-1007745588"/>
      </c:barChart>
      <c:catAx>
        <c:axId val="45410244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007745588"/>
        <c:crosses val="autoZero"/>
        <c:auto val="1"/>
        <c:lblAlgn val="ctr"/>
        <c:lblOffset val="100"/>
        <c:noMultiLvlLbl val="0"/>
      </c:catAx>
      <c:valAx>
        <c:axId val="-100774558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45410244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2B22-42E0-A171-00DBC774823B}"/>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AD1A-45E8-9C71-7B7C967F0FDF}"/>
              </c:ext>
            </c:extLst>
          </c:dPt>
          <c:dPt>
            <c:idx val="1"/>
            <c:bubble3D val="0"/>
            <c:extLst>
              <c:ext xmlns:c16="http://schemas.microsoft.com/office/drawing/2014/chart" uri="{C3380CC4-5D6E-409C-BE32-E72D297353CC}">
                <c16:uniqueId val="{00000001-AD1A-45E8-9C71-7B7C967F0FDF}"/>
              </c:ext>
            </c:extLst>
          </c:dPt>
          <c:dPt>
            <c:idx val="2"/>
            <c:bubble3D val="0"/>
            <c:extLst>
              <c:ext xmlns:c16="http://schemas.microsoft.com/office/drawing/2014/chart" uri="{C3380CC4-5D6E-409C-BE32-E72D297353CC}">
                <c16:uniqueId val="{00000002-AD1A-45E8-9C71-7B7C967F0FDF}"/>
              </c:ext>
            </c:extLst>
          </c:dPt>
          <c:dPt>
            <c:idx val="3"/>
            <c:bubble3D val="0"/>
            <c:extLst>
              <c:ext xmlns:c16="http://schemas.microsoft.com/office/drawing/2014/chart" uri="{C3380CC4-5D6E-409C-BE32-E72D297353CC}">
                <c16:uniqueId val="{00000003-AD1A-45E8-9C71-7B7C967F0FDF}"/>
              </c:ext>
            </c:extLst>
          </c:dPt>
          <c:dLbls>
            <c:dLbl>
              <c:idx val="0"/>
              <c:layout>
                <c:manualLayout>
                  <c:x val="-9.3203351145862506E-2"/>
                  <c:y val="-1.0270130805802301E-16"/>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AD1A-45E8-9C71-7B7C967F0FDF}"/>
                </c:ext>
              </c:extLst>
            </c:dLbl>
            <c:dLbl>
              <c:idx val="1"/>
              <c:delete val="1"/>
              <c:extLst>
                <c:ext xmlns:c15="http://schemas.microsoft.com/office/drawing/2012/chart" uri="{CE6537A1-D6FC-4f65-9D91-7224C49458BB}"/>
                <c:ext xmlns:c16="http://schemas.microsoft.com/office/drawing/2014/chart" uri="{C3380CC4-5D6E-409C-BE32-E72D297353CC}">
                  <c16:uniqueId val="{00000001-AD1A-45E8-9C71-7B7C967F0FDF}"/>
                </c:ext>
              </c:extLst>
            </c:dLbl>
            <c:dLbl>
              <c:idx val="2"/>
              <c:delete val="1"/>
              <c:extLst>
                <c:ext xmlns:c15="http://schemas.microsoft.com/office/drawing/2012/chart" uri="{CE6537A1-D6FC-4f65-9D91-7224C49458BB}"/>
                <c:ext xmlns:c16="http://schemas.microsoft.com/office/drawing/2014/chart" uri="{C3380CC4-5D6E-409C-BE32-E72D297353CC}">
                  <c16:uniqueId val="{00000002-AD1A-45E8-9C71-7B7C967F0FDF}"/>
                </c:ext>
              </c:extLst>
            </c:dLbl>
            <c:dLbl>
              <c:idx val="3"/>
              <c:delete val="1"/>
              <c:extLst>
                <c:ext xmlns:c15="http://schemas.microsoft.com/office/drawing/2012/chart" uri="{CE6537A1-D6FC-4f65-9D91-7224C49458BB}"/>
                <c:ext xmlns:c16="http://schemas.microsoft.com/office/drawing/2014/chart" uri="{C3380CC4-5D6E-409C-BE32-E72D297353CC}">
                  <c16:uniqueId val="{00000003-AD1A-45E8-9C71-7B7C967F0FDF}"/>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0.9190442227939184</c:v>
                </c:pt>
                <c:pt idx="1">
                  <c:v>6.1991286140633609E-2</c:v>
                </c:pt>
                <c:pt idx="2">
                  <c:v>1.7933817326509359E-2</c:v>
                </c:pt>
                <c:pt idx="3">
                  <c:v>1.0306737389387415E-3</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3E1C-43A5-8380-F9AC541E8C00}"/>
              </c:ext>
            </c:extLst>
          </c:dPt>
          <c:dPt>
            <c:idx val="1"/>
            <c:bubble3D val="0"/>
            <c:extLst>
              <c:ext xmlns:c16="http://schemas.microsoft.com/office/drawing/2014/chart" uri="{C3380CC4-5D6E-409C-BE32-E72D297353CC}">
                <c16:uniqueId val="{00000001-3E1C-43A5-8380-F9AC541E8C00}"/>
              </c:ext>
            </c:extLst>
          </c:dPt>
          <c:dPt>
            <c:idx val="2"/>
            <c:bubble3D val="0"/>
            <c:extLst>
              <c:ext xmlns:c16="http://schemas.microsoft.com/office/drawing/2014/chart" uri="{C3380CC4-5D6E-409C-BE32-E72D297353CC}">
                <c16:uniqueId val="{00000002-3E1C-43A5-8380-F9AC541E8C00}"/>
              </c:ext>
            </c:extLst>
          </c:dPt>
          <c:dPt>
            <c:idx val="3"/>
            <c:bubble3D val="0"/>
            <c:extLst>
              <c:ext xmlns:c16="http://schemas.microsoft.com/office/drawing/2014/chart" uri="{C3380CC4-5D6E-409C-BE32-E72D297353CC}">
                <c16:uniqueId val="{00000003-3E1C-43A5-8380-F9AC541E8C00}"/>
              </c:ext>
            </c:extLst>
          </c:dPt>
          <c:dLbls>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3E1C-43A5-8380-F9AC541E8C00}"/>
                </c:ext>
              </c:extLst>
            </c:dLbl>
            <c:dLbl>
              <c:idx val="1"/>
              <c:delete val="1"/>
              <c:extLst>
                <c:ext xmlns:c15="http://schemas.microsoft.com/office/drawing/2012/chart" uri="{CE6537A1-D6FC-4f65-9D91-7224C49458BB}"/>
                <c:ext xmlns:c16="http://schemas.microsoft.com/office/drawing/2014/chart" uri="{C3380CC4-5D6E-409C-BE32-E72D297353CC}">
                  <c16:uniqueId val="{00000001-3E1C-43A5-8380-F9AC541E8C00}"/>
                </c:ext>
              </c:extLst>
            </c:dLbl>
            <c:dLbl>
              <c:idx val="2"/>
              <c:delete val="1"/>
              <c:extLst>
                <c:ext xmlns:c15="http://schemas.microsoft.com/office/drawing/2012/chart" uri="{CE6537A1-D6FC-4f65-9D91-7224C49458BB}"/>
                <c:ext xmlns:c16="http://schemas.microsoft.com/office/drawing/2014/chart" uri="{C3380CC4-5D6E-409C-BE32-E72D297353CC}">
                  <c16:uniqueId val="{00000002-3E1C-43A5-8380-F9AC541E8C00}"/>
                </c:ext>
              </c:extLst>
            </c:dLbl>
            <c:dLbl>
              <c:idx val="3"/>
              <c:delete val="1"/>
              <c:extLst>
                <c:ext xmlns:c15="http://schemas.microsoft.com/office/drawing/2012/chart" uri="{CE6537A1-D6FC-4f65-9D91-7224C49458BB}"/>
                <c:ext xmlns:c16="http://schemas.microsoft.com/office/drawing/2014/chart" uri="{C3380CC4-5D6E-409C-BE32-E72D297353CC}">
                  <c16:uniqueId val="{00000003-3E1C-43A5-8380-F9AC541E8C00}"/>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0.94873686936509127</c:v>
                </c:pt>
                <c:pt idx="1">
                  <c:v>3.2961234968723586E-2</c:v>
                </c:pt>
                <c:pt idx="2">
                  <c:v>1.7710653578173495E-2</c:v>
                </c:pt>
                <c:pt idx="3">
                  <c:v>5.9124208801162985E-4</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CE76-4B50-AC08-03B6337FC977}"/>
              </c:ext>
            </c:extLst>
          </c:dPt>
          <c:dPt>
            <c:idx val="1"/>
            <c:bubble3D val="0"/>
            <c:extLst>
              <c:ext xmlns:c16="http://schemas.microsoft.com/office/drawing/2014/chart" uri="{C3380CC4-5D6E-409C-BE32-E72D297353CC}">
                <c16:uniqueId val="{00000001-CE76-4B50-AC08-03B6337FC977}"/>
              </c:ext>
            </c:extLst>
          </c:dPt>
          <c:dPt>
            <c:idx val="2"/>
            <c:bubble3D val="0"/>
            <c:extLst>
              <c:ext xmlns:c16="http://schemas.microsoft.com/office/drawing/2014/chart" uri="{C3380CC4-5D6E-409C-BE32-E72D297353CC}">
                <c16:uniqueId val="{00000002-CE76-4B50-AC08-03B6337FC977}"/>
              </c:ext>
            </c:extLst>
          </c:dPt>
          <c:dPt>
            <c:idx val="3"/>
            <c:bubble3D val="0"/>
            <c:extLst>
              <c:ext xmlns:c16="http://schemas.microsoft.com/office/drawing/2014/chart" uri="{C3380CC4-5D6E-409C-BE32-E72D297353CC}">
                <c16:uniqueId val="{00000003-CE76-4B50-AC08-03B6337FC977}"/>
              </c:ext>
            </c:extLst>
          </c:dPt>
          <c:dLbls>
            <c:dLbl>
              <c:idx val="0"/>
              <c:layout>
                <c:manualLayout>
                  <c:x val="-6.7461957682470796E-3"/>
                  <c:y val="-4.4153346337965602E-7"/>
                </c:manualLayout>
              </c:layout>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4926731149913"/>
                      <c:h val="0.383470929878305"/>
                    </c:manualLayout>
                  </c15:layout>
                </c:ext>
                <c:ext xmlns:c16="http://schemas.microsoft.com/office/drawing/2014/chart" uri="{C3380CC4-5D6E-409C-BE32-E72D297353CC}">
                  <c16:uniqueId val="{00000000-CE76-4B50-AC08-03B6337FC977}"/>
                </c:ext>
              </c:extLst>
            </c:dLbl>
            <c:dLbl>
              <c:idx val="1"/>
              <c:delete val="1"/>
              <c:extLst>
                <c:ext xmlns:c15="http://schemas.microsoft.com/office/drawing/2012/chart" uri="{CE6537A1-D6FC-4f65-9D91-7224C49458BB}"/>
                <c:ext xmlns:c16="http://schemas.microsoft.com/office/drawing/2014/chart" uri="{C3380CC4-5D6E-409C-BE32-E72D297353CC}">
                  <c16:uniqueId val="{00000001-CE76-4B50-AC08-03B6337FC977}"/>
                </c:ext>
              </c:extLst>
            </c:dLbl>
            <c:dLbl>
              <c:idx val="2"/>
              <c:delete val="1"/>
              <c:extLst>
                <c:ext xmlns:c15="http://schemas.microsoft.com/office/drawing/2012/chart" uri="{CE6537A1-D6FC-4f65-9D91-7224C49458BB}"/>
                <c:ext xmlns:c16="http://schemas.microsoft.com/office/drawing/2014/chart" uri="{C3380CC4-5D6E-409C-BE32-E72D297353CC}">
                  <c16:uniqueId val="{00000002-CE76-4B50-AC08-03B6337FC977}"/>
                </c:ext>
              </c:extLst>
            </c:dLbl>
            <c:dLbl>
              <c:idx val="3"/>
              <c:delete val="1"/>
              <c:extLst>
                <c:ext xmlns:c15="http://schemas.microsoft.com/office/drawing/2012/chart" uri="{CE6537A1-D6FC-4f65-9D91-7224C49458BB}"/>
                <c:ext xmlns:c16="http://schemas.microsoft.com/office/drawing/2014/chart" uri="{C3380CC4-5D6E-409C-BE32-E72D297353CC}">
                  <c16:uniqueId val="{00000003-CE76-4B50-AC08-03B6337FC977}"/>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0.95765611306712328</c:v>
                </c:pt>
                <c:pt idx="1">
                  <c:v>2.7895722347689708E-2</c:v>
                </c:pt>
                <c:pt idx="2">
                  <c:v>1.3985186074580616E-2</c:v>
                </c:pt>
                <c:pt idx="3">
                  <c:v>4.6297851060654154E-4</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4A4E-49F5-A226-0FFBF54E5C77}"/>
              </c:ext>
            </c:extLst>
          </c:dPt>
          <c:dPt>
            <c:idx val="1"/>
            <c:bubble3D val="0"/>
            <c:extLst>
              <c:ext xmlns:c16="http://schemas.microsoft.com/office/drawing/2014/chart" uri="{C3380CC4-5D6E-409C-BE32-E72D297353CC}">
                <c16:uniqueId val="{00000001-4A4E-49F5-A226-0FFBF54E5C77}"/>
              </c:ext>
            </c:extLst>
          </c:dPt>
          <c:dPt>
            <c:idx val="2"/>
            <c:bubble3D val="0"/>
            <c:extLst>
              <c:ext xmlns:c16="http://schemas.microsoft.com/office/drawing/2014/chart" uri="{C3380CC4-5D6E-409C-BE32-E72D297353CC}">
                <c16:uniqueId val="{00000002-4A4E-49F5-A226-0FFBF54E5C77}"/>
              </c:ext>
            </c:extLst>
          </c:dPt>
          <c:dPt>
            <c:idx val="3"/>
            <c:bubble3D val="0"/>
            <c:extLst>
              <c:ext xmlns:c16="http://schemas.microsoft.com/office/drawing/2014/chart" uri="{C3380CC4-5D6E-409C-BE32-E72D297353CC}">
                <c16:uniqueId val="{00000003-4A4E-49F5-A226-0FFBF54E5C77}"/>
              </c:ext>
            </c:extLst>
          </c:dPt>
          <c:dLbls>
            <c:dLbl>
              <c:idx val="0"/>
              <c:layout>
                <c:manualLayout>
                  <c:x val="-8.0334222076031303E-2"/>
                  <c:y val="0"/>
                </c:manualLayout>
              </c:layout>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2026386064305"/>
                      <c:h val="0.33423242849306301"/>
                    </c:manualLayout>
                  </c15:layout>
                </c:ext>
                <c:ext xmlns:c16="http://schemas.microsoft.com/office/drawing/2014/chart" uri="{C3380CC4-5D6E-409C-BE32-E72D297353CC}">
                  <c16:uniqueId val="{00000000-4A4E-49F5-A226-0FFBF54E5C77}"/>
                </c:ext>
              </c:extLst>
            </c:dLbl>
            <c:dLbl>
              <c:idx val="1"/>
              <c:delete val="1"/>
              <c:extLst>
                <c:ext xmlns:c15="http://schemas.microsoft.com/office/drawing/2012/chart" uri="{CE6537A1-D6FC-4f65-9D91-7224C49458BB}"/>
                <c:ext xmlns:c16="http://schemas.microsoft.com/office/drawing/2014/chart" uri="{C3380CC4-5D6E-409C-BE32-E72D297353CC}">
                  <c16:uniqueId val="{00000001-4A4E-49F5-A226-0FFBF54E5C77}"/>
                </c:ext>
              </c:extLst>
            </c:dLbl>
            <c:dLbl>
              <c:idx val="2"/>
              <c:delete val="1"/>
              <c:extLst>
                <c:ext xmlns:c15="http://schemas.microsoft.com/office/drawing/2012/chart" uri="{CE6537A1-D6FC-4f65-9D91-7224C49458BB}"/>
                <c:ext xmlns:c16="http://schemas.microsoft.com/office/drawing/2014/chart" uri="{C3380CC4-5D6E-409C-BE32-E72D297353CC}">
                  <c16:uniqueId val="{00000002-4A4E-49F5-A226-0FFBF54E5C77}"/>
                </c:ext>
              </c:extLst>
            </c:dLbl>
            <c:dLbl>
              <c:idx val="3"/>
              <c:delete val="1"/>
              <c:extLst>
                <c:ext xmlns:c15="http://schemas.microsoft.com/office/drawing/2012/chart" uri="{CE6537A1-D6FC-4f65-9D91-7224C49458BB}"/>
                <c:ext xmlns:c16="http://schemas.microsoft.com/office/drawing/2014/chart" uri="{C3380CC4-5D6E-409C-BE32-E72D297353CC}">
                  <c16:uniqueId val="{00000003-4A4E-49F5-A226-0FFBF54E5C77}"/>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0.9203041077223304</c:v>
                </c:pt>
                <c:pt idx="1">
                  <c:v>6.0832373229463582E-2</c:v>
                </c:pt>
                <c:pt idx="2">
                  <c:v>1.8158232051929339E-2</c:v>
                </c:pt>
                <c:pt idx="3">
                  <c:v>7.0528699627667461E-4</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F5AA-432B-B1AB-936C8BF315E5}"/>
              </c:ext>
            </c:extLst>
          </c:dPt>
          <c:dPt>
            <c:idx val="1"/>
            <c:bubble3D val="0"/>
            <c:extLst>
              <c:ext xmlns:c16="http://schemas.microsoft.com/office/drawing/2014/chart" uri="{C3380CC4-5D6E-409C-BE32-E72D297353CC}">
                <c16:uniqueId val="{00000001-F5AA-432B-B1AB-936C8BF315E5}"/>
              </c:ext>
            </c:extLst>
          </c:dPt>
          <c:dPt>
            <c:idx val="2"/>
            <c:bubble3D val="0"/>
            <c:extLst>
              <c:ext xmlns:c16="http://schemas.microsoft.com/office/drawing/2014/chart" uri="{C3380CC4-5D6E-409C-BE32-E72D297353CC}">
                <c16:uniqueId val="{00000002-F5AA-432B-B1AB-936C8BF315E5}"/>
              </c:ext>
            </c:extLst>
          </c:dPt>
          <c:dPt>
            <c:idx val="3"/>
            <c:bubble3D val="0"/>
            <c:extLst>
              <c:ext xmlns:c16="http://schemas.microsoft.com/office/drawing/2014/chart" uri="{C3380CC4-5D6E-409C-BE32-E72D297353CC}">
                <c16:uniqueId val="{00000003-F5AA-432B-B1AB-936C8BF315E5}"/>
              </c:ext>
            </c:extLst>
          </c:dPt>
          <c:dLbls>
            <c:dLbl>
              <c:idx val="0"/>
              <c:layout>
                <c:manualLayout>
                  <c:x val="-6.9971642828338301E-2"/>
                  <c:y val="-2.19970936123558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F5AA-432B-B1AB-936C8BF315E5}"/>
                </c:ext>
              </c:extLst>
            </c:dLbl>
            <c:dLbl>
              <c:idx val="1"/>
              <c:delete val="1"/>
              <c:extLst>
                <c:ext xmlns:c15="http://schemas.microsoft.com/office/drawing/2012/chart" uri="{CE6537A1-D6FC-4f65-9D91-7224C49458BB}"/>
                <c:ext xmlns:c16="http://schemas.microsoft.com/office/drawing/2014/chart" uri="{C3380CC4-5D6E-409C-BE32-E72D297353CC}">
                  <c16:uniqueId val="{00000001-F5AA-432B-B1AB-936C8BF315E5}"/>
                </c:ext>
              </c:extLst>
            </c:dLbl>
            <c:dLbl>
              <c:idx val="2"/>
              <c:delete val="1"/>
              <c:extLst>
                <c:ext xmlns:c15="http://schemas.microsoft.com/office/drawing/2012/chart" uri="{CE6537A1-D6FC-4f65-9D91-7224C49458BB}"/>
                <c:ext xmlns:c16="http://schemas.microsoft.com/office/drawing/2014/chart" uri="{C3380CC4-5D6E-409C-BE32-E72D297353CC}">
                  <c16:uniqueId val="{00000002-F5AA-432B-B1AB-936C8BF315E5}"/>
                </c:ext>
              </c:extLst>
            </c:dLbl>
            <c:dLbl>
              <c:idx val="3"/>
              <c:delete val="1"/>
              <c:extLst>
                <c:ext xmlns:c15="http://schemas.microsoft.com/office/drawing/2012/chart" uri="{CE6537A1-D6FC-4f65-9D91-7224C49458BB}"/>
                <c:ext xmlns:c16="http://schemas.microsoft.com/office/drawing/2014/chart" uri="{C3380CC4-5D6E-409C-BE32-E72D297353CC}">
                  <c16:uniqueId val="{00000003-F5AA-432B-B1AB-936C8BF315E5}"/>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0.9184764047694598</c:v>
                </c:pt>
                <c:pt idx="1">
                  <c:v>6.0546902951335684E-2</c:v>
                </c:pt>
                <c:pt idx="2">
                  <c:v>1.9861067839787781E-2</c:v>
                </c:pt>
                <c:pt idx="3">
                  <c:v>1.1156244394165968E-3</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8010525"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420100"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391525"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35719</xdr:colOff>
      <xdr:row>57</xdr:row>
      <xdr:rowOff>158749</xdr:rowOff>
    </xdr:from>
    <xdr:to>
      <xdr:col>8</xdr:col>
      <xdr:colOff>0</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1037167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21" customWidth="1"/>
    <col min="2" max="2" width="39.140625" style="21" customWidth="1"/>
    <col min="3" max="3" width="78.28515625" style="18" customWidth="1"/>
    <col min="4" max="4" width="41.5703125" style="20" bestFit="1" customWidth="1"/>
    <col min="5" max="5" width="25.140625" style="20" bestFit="1" customWidth="1"/>
    <col min="6" max="6" width="73" style="18" customWidth="1"/>
    <col min="7" max="206" width="9.140625" style="18"/>
    <col min="207" max="207" width="3.28515625" style="18" customWidth="1"/>
    <col min="208" max="208" width="48.28515625" style="18" customWidth="1"/>
    <col min="209" max="209" width="9.140625" style="18"/>
    <col min="210" max="210" width="17.85546875" style="18" customWidth="1"/>
    <col min="211" max="211" width="21" style="18" customWidth="1"/>
    <col min="212" max="212" width="1.85546875" style="18" customWidth="1"/>
    <col min="213" max="214" width="18.5703125" style="18" bestFit="1" customWidth="1"/>
    <col min="215" max="216" width="9.140625" style="18"/>
    <col min="217" max="217" width="14.28515625" style="18" bestFit="1" customWidth="1"/>
    <col min="218" max="462" width="9.140625" style="18"/>
    <col min="463" max="463" width="3.28515625" style="18" customWidth="1"/>
    <col min="464" max="464" width="48.28515625" style="18" customWidth="1"/>
    <col min="465" max="465" width="9.140625" style="18"/>
    <col min="466" max="466" width="17.85546875" style="18" customWidth="1"/>
    <col min="467" max="467" width="21" style="18" customWidth="1"/>
    <col min="468" max="468" width="1.85546875" style="18" customWidth="1"/>
    <col min="469" max="470" width="18.5703125" style="18" bestFit="1" customWidth="1"/>
    <col min="471" max="472" width="9.140625" style="18"/>
    <col min="473" max="473" width="14.28515625" style="18" bestFit="1" customWidth="1"/>
    <col min="474" max="718" width="9.140625" style="18"/>
    <col min="719" max="719" width="3.28515625" style="18" customWidth="1"/>
    <col min="720" max="720" width="48.28515625" style="18" customWidth="1"/>
    <col min="721" max="721" width="9.140625" style="18"/>
    <col min="722" max="722" width="17.85546875" style="18" customWidth="1"/>
    <col min="723" max="723" width="21" style="18" customWidth="1"/>
    <col min="724" max="724" width="1.85546875" style="18" customWidth="1"/>
    <col min="725" max="726" width="18.5703125" style="18" bestFit="1" customWidth="1"/>
    <col min="727" max="728" width="9.140625" style="18"/>
    <col min="729" max="729" width="14.28515625" style="18" bestFit="1" customWidth="1"/>
    <col min="730" max="974" width="9.140625" style="18"/>
    <col min="975" max="975" width="3.28515625" style="18" customWidth="1"/>
    <col min="976" max="976" width="48.28515625" style="18" customWidth="1"/>
    <col min="977" max="977" width="9.140625" style="18"/>
    <col min="978" max="978" width="17.85546875" style="18" customWidth="1"/>
    <col min="979" max="979" width="21" style="18" customWidth="1"/>
    <col min="980" max="980" width="1.85546875" style="18" customWidth="1"/>
    <col min="981" max="982" width="18.5703125" style="18" bestFit="1" customWidth="1"/>
    <col min="983" max="984" width="9.140625" style="18"/>
    <col min="985" max="985" width="14.28515625" style="18" bestFit="1" customWidth="1"/>
    <col min="986" max="1230" width="9.140625" style="18"/>
    <col min="1231" max="1231" width="3.28515625" style="18" customWidth="1"/>
    <col min="1232" max="1232" width="48.28515625" style="18" customWidth="1"/>
    <col min="1233" max="1233" width="9.140625" style="18"/>
    <col min="1234" max="1234" width="17.85546875" style="18" customWidth="1"/>
    <col min="1235" max="1235" width="21" style="18" customWidth="1"/>
    <col min="1236" max="1236" width="1.85546875" style="18" customWidth="1"/>
    <col min="1237" max="1238" width="18.5703125" style="18" bestFit="1" customWidth="1"/>
    <col min="1239" max="1240" width="9.140625" style="18"/>
    <col min="1241" max="1241" width="14.28515625" style="18" bestFit="1" customWidth="1"/>
    <col min="1242" max="1486" width="9.140625" style="18"/>
    <col min="1487" max="1487" width="3.28515625" style="18" customWidth="1"/>
    <col min="1488" max="1488" width="48.28515625" style="18" customWidth="1"/>
    <col min="1489" max="1489" width="9.140625" style="18"/>
    <col min="1490" max="1490" width="17.85546875" style="18" customWidth="1"/>
    <col min="1491" max="1491" width="21" style="18" customWidth="1"/>
    <col min="1492" max="1492" width="1.85546875" style="18" customWidth="1"/>
    <col min="1493" max="1494" width="18.5703125" style="18" bestFit="1" customWidth="1"/>
    <col min="1495" max="1496" width="9.140625" style="18"/>
    <col min="1497" max="1497" width="14.28515625" style="18" bestFit="1" customWidth="1"/>
    <col min="1498" max="1742" width="9.140625" style="18"/>
    <col min="1743" max="1743" width="3.28515625" style="18" customWidth="1"/>
    <col min="1744" max="1744" width="48.28515625" style="18" customWidth="1"/>
    <col min="1745" max="1745" width="9.140625" style="18"/>
    <col min="1746" max="1746" width="17.85546875" style="18" customWidth="1"/>
    <col min="1747" max="1747" width="21" style="18" customWidth="1"/>
    <col min="1748" max="1748" width="1.85546875" style="18" customWidth="1"/>
    <col min="1749" max="1750" width="18.5703125" style="18" bestFit="1" customWidth="1"/>
    <col min="1751" max="1752" width="9.140625" style="18"/>
    <col min="1753" max="1753" width="14.28515625" style="18" bestFit="1" customWidth="1"/>
    <col min="1754" max="1998" width="9.140625" style="18"/>
    <col min="1999" max="1999" width="3.28515625" style="18" customWidth="1"/>
    <col min="2000" max="2000" width="48.28515625" style="18" customWidth="1"/>
    <col min="2001" max="2001" width="9.140625" style="18"/>
    <col min="2002" max="2002" width="17.85546875" style="18" customWidth="1"/>
    <col min="2003" max="2003" width="21" style="18" customWidth="1"/>
    <col min="2004" max="2004" width="1.85546875" style="18" customWidth="1"/>
    <col min="2005" max="2006" width="18.5703125" style="18" bestFit="1" customWidth="1"/>
    <col min="2007" max="2008" width="9.140625" style="18"/>
    <col min="2009" max="2009" width="14.28515625" style="18" bestFit="1" customWidth="1"/>
    <col min="2010" max="2254" width="9.140625" style="18"/>
    <col min="2255" max="2255" width="3.28515625" style="18" customWidth="1"/>
    <col min="2256" max="2256" width="48.28515625" style="18" customWidth="1"/>
    <col min="2257" max="2257" width="9.140625" style="18"/>
    <col min="2258" max="2258" width="17.85546875" style="18" customWidth="1"/>
    <col min="2259" max="2259" width="21" style="18" customWidth="1"/>
    <col min="2260" max="2260" width="1.85546875" style="18" customWidth="1"/>
    <col min="2261" max="2262" width="18.5703125" style="18" bestFit="1" customWidth="1"/>
    <col min="2263" max="2264" width="9.140625" style="18"/>
    <col min="2265" max="2265" width="14.28515625" style="18" bestFit="1" customWidth="1"/>
    <col min="2266" max="2510" width="9.140625" style="18"/>
    <col min="2511" max="2511" width="3.28515625" style="18" customWidth="1"/>
    <col min="2512" max="2512" width="48.28515625" style="18" customWidth="1"/>
    <col min="2513" max="2513" width="9.140625" style="18"/>
    <col min="2514" max="2514" width="17.85546875" style="18" customWidth="1"/>
    <col min="2515" max="2515" width="21" style="18" customWidth="1"/>
    <col min="2516" max="2516" width="1.85546875" style="18" customWidth="1"/>
    <col min="2517" max="2518" width="18.5703125" style="18" bestFit="1" customWidth="1"/>
    <col min="2519" max="2520" width="9.140625" style="18"/>
    <col min="2521" max="2521" width="14.28515625" style="18" bestFit="1" customWidth="1"/>
    <col min="2522" max="2766" width="9.140625" style="18"/>
    <col min="2767" max="2767" width="3.28515625" style="18" customWidth="1"/>
    <col min="2768" max="2768" width="48.28515625" style="18" customWidth="1"/>
    <col min="2769" max="2769" width="9.140625" style="18"/>
    <col min="2770" max="2770" width="17.85546875" style="18" customWidth="1"/>
    <col min="2771" max="2771" width="21" style="18" customWidth="1"/>
    <col min="2772" max="2772" width="1.85546875" style="18" customWidth="1"/>
    <col min="2773" max="2774" width="18.5703125" style="18" bestFit="1" customWidth="1"/>
    <col min="2775" max="2776" width="9.140625" style="18"/>
    <col min="2777" max="2777" width="14.28515625" style="18" bestFit="1" customWidth="1"/>
    <col min="2778" max="3022" width="9.140625" style="18"/>
    <col min="3023" max="3023" width="3.28515625" style="18" customWidth="1"/>
    <col min="3024" max="3024" width="48.28515625" style="18" customWidth="1"/>
    <col min="3025" max="3025" width="9.140625" style="18"/>
    <col min="3026" max="3026" width="17.85546875" style="18" customWidth="1"/>
    <col min="3027" max="3027" width="21" style="18" customWidth="1"/>
    <col min="3028" max="3028" width="1.85546875" style="18" customWidth="1"/>
    <col min="3029" max="3030" width="18.5703125" style="18" bestFit="1" customWidth="1"/>
    <col min="3031" max="3032" width="9.140625" style="18"/>
    <col min="3033" max="3033" width="14.28515625" style="18" bestFit="1" customWidth="1"/>
    <col min="3034" max="3278" width="9.140625" style="18"/>
    <col min="3279" max="3279" width="3.28515625" style="18" customWidth="1"/>
    <col min="3280" max="3280" width="48.28515625" style="18" customWidth="1"/>
    <col min="3281" max="3281" width="9.140625" style="18"/>
    <col min="3282" max="3282" width="17.85546875" style="18" customWidth="1"/>
    <col min="3283" max="3283" width="21" style="18" customWidth="1"/>
    <col min="3284" max="3284" width="1.85546875" style="18" customWidth="1"/>
    <col min="3285" max="3286" width="18.5703125" style="18" bestFit="1" customWidth="1"/>
    <col min="3287" max="3288" width="9.140625" style="18"/>
    <col min="3289" max="3289" width="14.28515625" style="18" bestFit="1" customWidth="1"/>
    <col min="3290" max="3534" width="9.140625" style="18"/>
    <col min="3535" max="3535" width="3.28515625" style="18" customWidth="1"/>
    <col min="3536" max="3536" width="48.28515625" style="18" customWidth="1"/>
    <col min="3537" max="3537" width="9.140625" style="18"/>
    <col min="3538" max="3538" width="17.85546875" style="18" customWidth="1"/>
    <col min="3539" max="3539" width="21" style="18" customWidth="1"/>
    <col min="3540" max="3540" width="1.85546875" style="18" customWidth="1"/>
    <col min="3541" max="3542" width="18.5703125" style="18" bestFit="1" customWidth="1"/>
    <col min="3543" max="3544" width="9.140625" style="18"/>
    <col min="3545" max="3545" width="14.28515625" style="18" bestFit="1" customWidth="1"/>
    <col min="3546" max="3790" width="9.140625" style="18"/>
    <col min="3791" max="3791" width="3.28515625" style="18" customWidth="1"/>
    <col min="3792" max="3792" width="48.28515625" style="18" customWidth="1"/>
    <col min="3793" max="3793" width="9.140625" style="18"/>
    <col min="3794" max="3794" width="17.85546875" style="18" customWidth="1"/>
    <col min="3795" max="3795" width="21" style="18" customWidth="1"/>
    <col min="3796" max="3796" width="1.85546875" style="18" customWidth="1"/>
    <col min="3797" max="3798" width="18.5703125" style="18" bestFit="1" customWidth="1"/>
    <col min="3799" max="3800" width="9.140625" style="18"/>
    <col min="3801" max="3801" width="14.28515625" style="18" bestFit="1" customWidth="1"/>
    <col min="3802" max="4046" width="9.140625" style="18"/>
    <col min="4047" max="4047" width="3.28515625" style="18" customWidth="1"/>
    <col min="4048" max="4048" width="48.28515625" style="18" customWidth="1"/>
    <col min="4049" max="4049" width="9.140625" style="18"/>
    <col min="4050" max="4050" width="17.85546875" style="18" customWidth="1"/>
    <col min="4051" max="4051" width="21" style="18" customWidth="1"/>
    <col min="4052" max="4052" width="1.85546875" style="18" customWidth="1"/>
    <col min="4053" max="4054" width="18.5703125" style="18" bestFit="1" customWidth="1"/>
    <col min="4055" max="4056" width="9.140625" style="18"/>
    <col min="4057" max="4057" width="14.28515625" style="18" bestFit="1" customWidth="1"/>
    <col min="4058" max="4302" width="9.140625" style="18"/>
    <col min="4303" max="4303" width="3.28515625" style="18" customWidth="1"/>
    <col min="4304" max="4304" width="48.28515625" style="18" customWidth="1"/>
    <col min="4305" max="4305" width="9.140625" style="18"/>
    <col min="4306" max="4306" width="17.85546875" style="18" customWidth="1"/>
    <col min="4307" max="4307" width="21" style="18" customWidth="1"/>
    <col min="4308" max="4308" width="1.85546875" style="18" customWidth="1"/>
    <col min="4309" max="4310" width="18.5703125" style="18" bestFit="1" customWidth="1"/>
    <col min="4311" max="4312" width="9.140625" style="18"/>
    <col min="4313" max="4313" width="14.28515625" style="18" bestFit="1" customWidth="1"/>
    <col min="4314" max="4558" width="9.140625" style="18"/>
    <col min="4559" max="4559" width="3.28515625" style="18" customWidth="1"/>
    <col min="4560" max="4560" width="48.28515625" style="18" customWidth="1"/>
    <col min="4561" max="4561" width="9.140625" style="18"/>
    <col min="4562" max="4562" width="17.85546875" style="18" customWidth="1"/>
    <col min="4563" max="4563" width="21" style="18" customWidth="1"/>
    <col min="4564" max="4564" width="1.85546875" style="18" customWidth="1"/>
    <col min="4565" max="4566" width="18.5703125" style="18" bestFit="1" customWidth="1"/>
    <col min="4567" max="4568" width="9.140625" style="18"/>
    <col min="4569" max="4569" width="14.28515625" style="18" bestFit="1" customWidth="1"/>
    <col min="4570" max="4814" width="9.140625" style="18"/>
    <col min="4815" max="4815" width="3.28515625" style="18" customWidth="1"/>
    <col min="4816" max="4816" width="48.28515625" style="18" customWidth="1"/>
    <col min="4817" max="4817" width="9.140625" style="18"/>
    <col min="4818" max="4818" width="17.85546875" style="18" customWidth="1"/>
    <col min="4819" max="4819" width="21" style="18" customWidth="1"/>
    <col min="4820" max="4820" width="1.85546875" style="18" customWidth="1"/>
    <col min="4821" max="4822" width="18.5703125" style="18" bestFit="1" customWidth="1"/>
    <col min="4823" max="4824" width="9.140625" style="18"/>
    <col min="4825" max="4825" width="14.28515625" style="18" bestFit="1" customWidth="1"/>
    <col min="4826" max="5070" width="9.140625" style="18"/>
    <col min="5071" max="5071" width="3.28515625" style="18" customWidth="1"/>
    <col min="5072" max="5072" width="48.28515625" style="18" customWidth="1"/>
    <col min="5073" max="5073" width="9.140625" style="18"/>
    <col min="5074" max="5074" width="17.85546875" style="18" customWidth="1"/>
    <col min="5075" max="5075" width="21" style="18" customWidth="1"/>
    <col min="5076" max="5076" width="1.85546875" style="18" customWidth="1"/>
    <col min="5077" max="5078" width="18.5703125" style="18" bestFit="1" customWidth="1"/>
    <col min="5079" max="5080" width="9.140625" style="18"/>
    <col min="5081" max="5081" width="14.28515625" style="18" bestFit="1" customWidth="1"/>
    <col min="5082" max="5326" width="9.140625" style="18"/>
    <col min="5327" max="5327" width="3.28515625" style="18" customWidth="1"/>
    <col min="5328" max="5328" width="48.28515625" style="18" customWidth="1"/>
    <col min="5329" max="5329" width="9.140625" style="18"/>
    <col min="5330" max="5330" width="17.85546875" style="18" customWidth="1"/>
    <col min="5331" max="5331" width="21" style="18" customWidth="1"/>
    <col min="5332" max="5332" width="1.85546875" style="18" customWidth="1"/>
    <col min="5333" max="5334" width="18.5703125" style="18" bestFit="1" customWidth="1"/>
    <col min="5335" max="5336" width="9.140625" style="18"/>
    <col min="5337" max="5337" width="14.28515625" style="18" bestFit="1" customWidth="1"/>
    <col min="5338" max="5582" width="9.140625" style="18"/>
    <col min="5583" max="5583" width="3.28515625" style="18" customWidth="1"/>
    <col min="5584" max="5584" width="48.28515625" style="18" customWidth="1"/>
    <col min="5585" max="5585" width="9.140625" style="18"/>
    <col min="5586" max="5586" width="17.85546875" style="18" customWidth="1"/>
    <col min="5587" max="5587" width="21" style="18" customWidth="1"/>
    <col min="5588" max="5588" width="1.85546875" style="18" customWidth="1"/>
    <col min="5589" max="5590" width="18.5703125" style="18" bestFit="1" customWidth="1"/>
    <col min="5591" max="5592" width="9.140625" style="18"/>
    <col min="5593" max="5593" width="14.28515625" style="18" bestFit="1" customWidth="1"/>
    <col min="5594" max="5838" width="9.140625" style="18"/>
    <col min="5839" max="5839" width="3.28515625" style="18" customWidth="1"/>
    <col min="5840" max="5840" width="48.28515625" style="18" customWidth="1"/>
    <col min="5841" max="5841" width="9.140625" style="18"/>
    <col min="5842" max="5842" width="17.85546875" style="18" customWidth="1"/>
    <col min="5843" max="5843" width="21" style="18" customWidth="1"/>
    <col min="5844" max="5844" width="1.85546875" style="18" customWidth="1"/>
    <col min="5845" max="5846" width="18.5703125" style="18" bestFit="1" customWidth="1"/>
    <col min="5847" max="5848" width="9.140625" style="18"/>
    <col min="5849" max="5849" width="14.28515625" style="18" bestFit="1" customWidth="1"/>
    <col min="5850" max="6094" width="9.140625" style="18"/>
    <col min="6095" max="6095" width="3.28515625" style="18" customWidth="1"/>
    <col min="6096" max="6096" width="48.28515625" style="18" customWidth="1"/>
    <col min="6097" max="6097" width="9.140625" style="18"/>
    <col min="6098" max="6098" width="17.85546875" style="18" customWidth="1"/>
    <col min="6099" max="6099" width="21" style="18" customWidth="1"/>
    <col min="6100" max="6100" width="1.85546875" style="18" customWidth="1"/>
    <col min="6101" max="6102" width="18.5703125" style="18" bestFit="1" customWidth="1"/>
    <col min="6103" max="6104" width="9.140625" style="18"/>
    <col min="6105" max="6105" width="14.28515625" style="18" bestFit="1" customWidth="1"/>
    <col min="6106" max="6350" width="9.140625" style="18"/>
    <col min="6351" max="6351" width="3.28515625" style="18" customWidth="1"/>
    <col min="6352" max="6352" width="48.28515625" style="18" customWidth="1"/>
    <col min="6353" max="6353" width="9.140625" style="18"/>
    <col min="6354" max="6354" width="17.85546875" style="18" customWidth="1"/>
    <col min="6355" max="6355" width="21" style="18" customWidth="1"/>
    <col min="6356" max="6356" width="1.85546875" style="18" customWidth="1"/>
    <col min="6357" max="6358" width="18.5703125" style="18" bestFit="1" customWidth="1"/>
    <col min="6359" max="6360" width="9.140625" style="18"/>
    <col min="6361" max="6361" width="14.28515625" style="18" bestFit="1" customWidth="1"/>
    <col min="6362" max="6606" width="9.140625" style="18"/>
    <col min="6607" max="6607" width="3.28515625" style="18" customWidth="1"/>
    <col min="6608" max="6608" width="48.28515625" style="18" customWidth="1"/>
    <col min="6609" max="6609" width="9.140625" style="18"/>
    <col min="6610" max="6610" width="17.85546875" style="18" customWidth="1"/>
    <col min="6611" max="6611" width="21" style="18" customWidth="1"/>
    <col min="6612" max="6612" width="1.85546875" style="18" customWidth="1"/>
    <col min="6613" max="6614" width="18.5703125" style="18" bestFit="1" customWidth="1"/>
    <col min="6615" max="6616" width="9.140625" style="18"/>
    <col min="6617" max="6617" width="14.28515625" style="18" bestFit="1" customWidth="1"/>
    <col min="6618" max="6862" width="9.140625" style="18"/>
    <col min="6863" max="6863" width="3.28515625" style="18" customWidth="1"/>
    <col min="6864" max="6864" width="48.28515625" style="18" customWidth="1"/>
    <col min="6865" max="6865" width="9.140625" style="18"/>
    <col min="6866" max="6866" width="17.85546875" style="18" customWidth="1"/>
    <col min="6867" max="6867" width="21" style="18" customWidth="1"/>
    <col min="6868" max="6868" width="1.85546875" style="18" customWidth="1"/>
    <col min="6869" max="6870" width="18.5703125" style="18" bestFit="1" customWidth="1"/>
    <col min="6871" max="6872" width="9.140625" style="18"/>
    <col min="6873" max="6873" width="14.28515625" style="18" bestFit="1" customWidth="1"/>
    <col min="6874" max="7118" width="9.140625" style="18"/>
    <col min="7119" max="7119" width="3.28515625" style="18" customWidth="1"/>
    <col min="7120" max="7120" width="48.28515625" style="18" customWidth="1"/>
    <col min="7121" max="7121" width="9.140625" style="18"/>
    <col min="7122" max="7122" width="17.85546875" style="18" customWidth="1"/>
    <col min="7123" max="7123" width="21" style="18" customWidth="1"/>
    <col min="7124" max="7124" width="1.85546875" style="18" customWidth="1"/>
    <col min="7125" max="7126" width="18.5703125" style="18" bestFit="1" customWidth="1"/>
    <col min="7127" max="7128" width="9.140625" style="18"/>
    <col min="7129" max="7129" width="14.28515625" style="18" bestFit="1" customWidth="1"/>
    <col min="7130" max="7374" width="9.140625" style="18"/>
    <col min="7375" max="7375" width="3.28515625" style="18" customWidth="1"/>
    <col min="7376" max="7376" width="48.28515625" style="18" customWidth="1"/>
    <col min="7377" max="7377" width="9.140625" style="18"/>
    <col min="7378" max="7378" width="17.85546875" style="18" customWidth="1"/>
    <col min="7379" max="7379" width="21" style="18" customWidth="1"/>
    <col min="7380" max="7380" width="1.85546875" style="18" customWidth="1"/>
    <col min="7381" max="7382" width="18.5703125" style="18" bestFit="1" customWidth="1"/>
    <col min="7383" max="7384" width="9.140625" style="18"/>
    <col min="7385" max="7385" width="14.28515625" style="18" bestFit="1" customWidth="1"/>
    <col min="7386" max="7630" width="9.140625" style="18"/>
    <col min="7631" max="7631" width="3.28515625" style="18" customWidth="1"/>
    <col min="7632" max="7632" width="48.28515625" style="18" customWidth="1"/>
    <col min="7633" max="7633" width="9.140625" style="18"/>
    <col min="7634" max="7634" width="17.85546875" style="18" customWidth="1"/>
    <col min="7635" max="7635" width="21" style="18" customWidth="1"/>
    <col min="7636" max="7636" width="1.85546875" style="18" customWidth="1"/>
    <col min="7637" max="7638" width="18.5703125" style="18" bestFit="1" customWidth="1"/>
    <col min="7639" max="7640" width="9.140625" style="18"/>
    <col min="7641" max="7641" width="14.28515625" style="18" bestFit="1" customWidth="1"/>
    <col min="7642" max="7886" width="9.140625" style="18"/>
    <col min="7887" max="7887" width="3.28515625" style="18" customWidth="1"/>
    <col min="7888" max="7888" width="48.28515625" style="18" customWidth="1"/>
    <col min="7889" max="7889" width="9.140625" style="18"/>
    <col min="7890" max="7890" width="17.85546875" style="18" customWidth="1"/>
    <col min="7891" max="7891" width="21" style="18" customWidth="1"/>
    <col min="7892" max="7892" width="1.85546875" style="18" customWidth="1"/>
    <col min="7893" max="7894" width="18.5703125" style="18" bestFit="1" customWidth="1"/>
    <col min="7895" max="7896" width="9.140625" style="18"/>
    <col min="7897" max="7897" width="14.28515625" style="18" bestFit="1" customWidth="1"/>
    <col min="7898" max="8142" width="9.140625" style="18"/>
    <col min="8143" max="8143" width="3.28515625" style="18" customWidth="1"/>
    <col min="8144" max="8144" width="48.28515625" style="18" customWidth="1"/>
    <col min="8145" max="8145" width="9.140625" style="18"/>
    <col min="8146" max="8146" width="17.85546875" style="18" customWidth="1"/>
    <col min="8147" max="8147" width="21" style="18" customWidth="1"/>
    <col min="8148" max="8148" width="1.85546875" style="18" customWidth="1"/>
    <col min="8149" max="8150" width="18.5703125" style="18" bestFit="1" customWidth="1"/>
    <col min="8151" max="8152" width="9.140625" style="18"/>
    <col min="8153" max="8153" width="14.28515625" style="18" bestFit="1" customWidth="1"/>
    <col min="8154" max="8398" width="9.140625" style="18"/>
    <col min="8399" max="8399" width="3.28515625" style="18" customWidth="1"/>
    <col min="8400" max="8400" width="48.28515625" style="18" customWidth="1"/>
    <col min="8401" max="8401" width="9.140625" style="18"/>
    <col min="8402" max="8402" width="17.85546875" style="18" customWidth="1"/>
    <col min="8403" max="8403" width="21" style="18" customWidth="1"/>
    <col min="8404" max="8404" width="1.85546875" style="18" customWidth="1"/>
    <col min="8405" max="8406" width="18.5703125" style="18" bestFit="1" customWidth="1"/>
    <col min="8407" max="8408" width="9.140625" style="18"/>
    <col min="8409" max="8409" width="14.28515625" style="18" bestFit="1" customWidth="1"/>
    <col min="8410" max="8654" width="9.140625" style="18"/>
    <col min="8655" max="8655" width="3.28515625" style="18" customWidth="1"/>
    <col min="8656" max="8656" width="48.28515625" style="18" customWidth="1"/>
    <col min="8657" max="8657" width="9.140625" style="18"/>
    <col min="8658" max="8658" width="17.85546875" style="18" customWidth="1"/>
    <col min="8659" max="8659" width="21" style="18" customWidth="1"/>
    <col min="8660" max="8660" width="1.85546875" style="18" customWidth="1"/>
    <col min="8661" max="8662" width="18.5703125" style="18" bestFit="1" customWidth="1"/>
    <col min="8663" max="8664" width="9.140625" style="18"/>
    <col min="8665" max="8665" width="14.28515625" style="18" bestFit="1" customWidth="1"/>
    <col min="8666" max="8910" width="9.140625" style="18"/>
    <col min="8911" max="8911" width="3.28515625" style="18" customWidth="1"/>
    <col min="8912" max="8912" width="48.28515625" style="18" customWidth="1"/>
    <col min="8913" max="8913" width="9.140625" style="18"/>
    <col min="8914" max="8914" width="17.85546875" style="18" customWidth="1"/>
    <col min="8915" max="8915" width="21" style="18" customWidth="1"/>
    <col min="8916" max="8916" width="1.85546875" style="18" customWidth="1"/>
    <col min="8917" max="8918" width="18.5703125" style="18" bestFit="1" customWidth="1"/>
    <col min="8919" max="8920" width="9.140625" style="18"/>
    <col min="8921" max="8921" width="14.28515625" style="18" bestFit="1" customWidth="1"/>
    <col min="8922" max="9166" width="9.140625" style="18"/>
    <col min="9167" max="9167" width="3.28515625" style="18" customWidth="1"/>
    <col min="9168" max="9168" width="48.28515625" style="18" customWidth="1"/>
    <col min="9169" max="9169" width="9.140625" style="18"/>
    <col min="9170" max="9170" width="17.85546875" style="18" customWidth="1"/>
    <col min="9171" max="9171" width="21" style="18" customWidth="1"/>
    <col min="9172" max="9172" width="1.85546875" style="18" customWidth="1"/>
    <col min="9173" max="9174" width="18.5703125" style="18" bestFit="1" customWidth="1"/>
    <col min="9175" max="9176" width="9.140625" style="18"/>
    <col min="9177" max="9177" width="14.28515625" style="18" bestFit="1" customWidth="1"/>
    <col min="9178" max="9422" width="9.140625" style="18"/>
    <col min="9423" max="9423" width="3.28515625" style="18" customWidth="1"/>
    <col min="9424" max="9424" width="48.28515625" style="18" customWidth="1"/>
    <col min="9425" max="9425" width="9.140625" style="18"/>
    <col min="9426" max="9426" width="17.85546875" style="18" customWidth="1"/>
    <col min="9427" max="9427" width="21" style="18" customWidth="1"/>
    <col min="9428" max="9428" width="1.85546875" style="18" customWidth="1"/>
    <col min="9429" max="9430" width="18.5703125" style="18" bestFit="1" customWidth="1"/>
    <col min="9431" max="9432" width="9.140625" style="18"/>
    <col min="9433" max="9433" width="14.28515625" style="18" bestFit="1" customWidth="1"/>
    <col min="9434" max="9678" width="9.140625" style="18"/>
    <col min="9679" max="9679" width="3.28515625" style="18" customWidth="1"/>
    <col min="9680" max="9680" width="48.28515625" style="18" customWidth="1"/>
    <col min="9681" max="9681" width="9.140625" style="18"/>
    <col min="9682" max="9682" width="17.85546875" style="18" customWidth="1"/>
    <col min="9683" max="9683" width="21" style="18" customWidth="1"/>
    <col min="9684" max="9684" width="1.85546875" style="18" customWidth="1"/>
    <col min="9685" max="9686" width="18.5703125" style="18" bestFit="1" customWidth="1"/>
    <col min="9687" max="9688" width="9.140625" style="18"/>
    <col min="9689" max="9689" width="14.28515625" style="18" bestFit="1" customWidth="1"/>
    <col min="9690" max="9934" width="9.140625" style="18"/>
    <col min="9935" max="9935" width="3.28515625" style="18" customWidth="1"/>
    <col min="9936" max="9936" width="48.28515625" style="18" customWidth="1"/>
    <col min="9937" max="9937" width="9.140625" style="18"/>
    <col min="9938" max="9938" width="17.85546875" style="18" customWidth="1"/>
    <col min="9939" max="9939" width="21" style="18" customWidth="1"/>
    <col min="9940" max="9940" width="1.85546875" style="18" customWidth="1"/>
    <col min="9941" max="9942" width="18.5703125" style="18" bestFit="1" customWidth="1"/>
    <col min="9943" max="9944" width="9.140625" style="18"/>
    <col min="9945" max="9945" width="14.28515625" style="18" bestFit="1" customWidth="1"/>
    <col min="9946" max="10190" width="9.140625" style="18"/>
    <col min="10191" max="10191" width="3.28515625" style="18" customWidth="1"/>
    <col min="10192" max="10192" width="48.28515625" style="18" customWidth="1"/>
    <col min="10193" max="10193" width="9.140625" style="18"/>
    <col min="10194" max="10194" width="17.85546875" style="18" customWidth="1"/>
    <col min="10195" max="10195" width="21" style="18" customWidth="1"/>
    <col min="10196" max="10196" width="1.85546875" style="18" customWidth="1"/>
    <col min="10197" max="10198" width="18.5703125" style="18" bestFit="1" customWidth="1"/>
    <col min="10199" max="10200" width="9.140625" style="18"/>
    <col min="10201" max="10201" width="14.28515625" style="18" bestFit="1" customWidth="1"/>
    <col min="10202" max="10446" width="9.140625" style="18"/>
    <col min="10447" max="10447" width="3.28515625" style="18" customWidth="1"/>
    <col min="10448" max="10448" width="48.28515625" style="18" customWidth="1"/>
    <col min="10449" max="10449" width="9.140625" style="18"/>
    <col min="10450" max="10450" width="17.85546875" style="18" customWidth="1"/>
    <col min="10451" max="10451" width="21" style="18" customWidth="1"/>
    <col min="10452" max="10452" width="1.85546875" style="18" customWidth="1"/>
    <col min="10453" max="10454" width="18.5703125" style="18" bestFit="1" customWidth="1"/>
    <col min="10455" max="10456" width="9.140625" style="18"/>
    <col min="10457" max="10457" width="14.28515625" style="18" bestFit="1" customWidth="1"/>
    <col min="10458" max="10702" width="9.140625" style="18"/>
    <col min="10703" max="10703" width="3.28515625" style="18" customWidth="1"/>
    <col min="10704" max="10704" width="48.28515625" style="18" customWidth="1"/>
    <col min="10705" max="10705" width="9.140625" style="18"/>
    <col min="10706" max="10706" width="17.85546875" style="18" customWidth="1"/>
    <col min="10707" max="10707" width="21" style="18" customWidth="1"/>
    <col min="10708" max="10708" width="1.85546875" style="18" customWidth="1"/>
    <col min="10709" max="10710" width="18.5703125" style="18" bestFit="1" customWidth="1"/>
    <col min="10711" max="10712" width="9.140625" style="18"/>
    <col min="10713" max="10713" width="14.28515625" style="18" bestFit="1" customWidth="1"/>
    <col min="10714" max="10958" width="9.140625" style="18"/>
    <col min="10959" max="10959" width="3.28515625" style="18" customWidth="1"/>
    <col min="10960" max="10960" width="48.28515625" style="18" customWidth="1"/>
    <col min="10961" max="10961" width="9.140625" style="18"/>
    <col min="10962" max="10962" width="17.85546875" style="18" customWidth="1"/>
    <col min="10963" max="10963" width="21" style="18" customWidth="1"/>
    <col min="10964" max="10964" width="1.85546875" style="18" customWidth="1"/>
    <col min="10965" max="10966" width="18.5703125" style="18" bestFit="1" customWidth="1"/>
    <col min="10967" max="10968" width="9.140625" style="18"/>
    <col min="10969" max="10969" width="14.28515625" style="18" bestFit="1" customWidth="1"/>
    <col min="10970" max="11214" width="9.140625" style="18"/>
    <col min="11215" max="11215" width="3.28515625" style="18" customWidth="1"/>
    <col min="11216" max="11216" width="48.28515625" style="18" customWidth="1"/>
    <col min="11217" max="11217" width="9.140625" style="18"/>
    <col min="11218" max="11218" width="17.85546875" style="18" customWidth="1"/>
    <col min="11219" max="11219" width="21" style="18" customWidth="1"/>
    <col min="11220" max="11220" width="1.85546875" style="18" customWidth="1"/>
    <col min="11221" max="11222" width="18.5703125" style="18" bestFit="1" customWidth="1"/>
    <col min="11223" max="11224" width="9.140625" style="18"/>
    <col min="11225" max="11225" width="14.28515625" style="18" bestFit="1" customWidth="1"/>
    <col min="11226" max="11470" width="9.140625" style="18"/>
    <col min="11471" max="11471" width="3.28515625" style="18" customWidth="1"/>
    <col min="11472" max="11472" width="48.28515625" style="18" customWidth="1"/>
    <col min="11473" max="11473" width="9.140625" style="18"/>
    <col min="11474" max="11474" width="17.85546875" style="18" customWidth="1"/>
    <col min="11475" max="11475" width="21" style="18" customWidth="1"/>
    <col min="11476" max="11476" width="1.85546875" style="18" customWidth="1"/>
    <col min="11477" max="11478" width="18.5703125" style="18" bestFit="1" customWidth="1"/>
    <col min="11479" max="11480" width="9.140625" style="18"/>
    <col min="11481" max="11481" width="14.28515625" style="18" bestFit="1" customWidth="1"/>
    <col min="11482" max="11726" width="9.140625" style="18"/>
    <col min="11727" max="11727" width="3.28515625" style="18" customWidth="1"/>
    <col min="11728" max="11728" width="48.28515625" style="18" customWidth="1"/>
    <col min="11729" max="11729" width="9.140625" style="18"/>
    <col min="11730" max="11730" width="17.85546875" style="18" customWidth="1"/>
    <col min="11731" max="11731" width="21" style="18" customWidth="1"/>
    <col min="11732" max="11732" width="1.85546875" style="18" customWidth="1"/>
    <col min="11733" max="11734" width="18.5703125" style="18" bestFit="1" customWidth="1"/>
    <col min="11735" max="11736" width="9.140625" style="18"/>
    <col min="11737" max="11737" width="14.28515625" style="18" bestFit="1" customWidth="1"/>
    <col min="11738" max="11982" width="9.140625" style="18"/>
    <col min="11983" max="11983" width="3.28515625" style="18" customWidth="1"/>
    <col min="11984" max="11984" width="48.28515625" style="18" customWidth="1"/>
    <col min="11985" max="11985" width="9.140625" style="18"/>
    <col min="11986" max="11986" width="17.85546875" style="18" customWidth="1"/>
    <col min="11987" max="11987" width="21" style="18" customWidth="1"/>
    <col min="11988" max="11988" width="1.85546875" style="18" customWidth="1"/>
    <col min="11989" max="11990" width="18.5703125" style="18" bestFit="1" customWidth="1"/>
    <col min="11991" max="11992" width="9.140625" style="18"/>
    <col min="11993" max="11993" width="14.28515625" style="18" bestFit="1" customWidth="1"/>
    <col min="11994" max="12238" width="9.140625" style="18"/>
    <col min="12239" max="12239" width="3.28515625" style="18" customWidth="1"/>
    <col min="12240" max="12240" width="48.28515625" style="18" customWidth="1"/>
    <col min="12241" max="12241" width="9.140625" style="18"/>
    <col min="12242" max="12242" width="17.85546875" style="18" customWidth="1"/>
    <col min="12243" max="12243" width="21" style="18" customWidth="1"/>
    <col min="12244" max="12244" width="1.85546875" style="18" customWidth="1"/>
    <col min="12245" max="12246" width="18.5703125" style="18" bestFit="1" customWidth="1"/>
    <col min="12247" max="12248" width="9.140625" style="18"/>
    <col min="12249" max="12249" width="14.28515625" style="18" bestFit="1" customWidth="1"/>
    <col min="12250" max="12494" width="9.140625" style="18"/>
    <col min="12495" max="12495" width="3.28515625" style="18" customWidth="1"/>
    <col min="12496" max="12496" width="48.28515625" style="18" customWidth="1"/>
    <col min="12497" max="12497" width="9.140625" style="18"/>
    <col min="12498" max="12498" width="17.85546875" style="18" customWidth="1"/>
    <col min="12499" max="12499" width="21" style="18" customWidth="1"/>
    <col min="12500" max="12500" width="1.85546875" style="18" customWidth="1"/>
    <col min="12501" max="12502" width="18.5703125" style="18" bestFit="1" customWidth="1"/>
    <col min="12503" max="12504" width="9.140625" style="18"/>
    <col min="12505" max="12505" width="14.28515625" style="18" bestFit="1" customWidth="1"/>
    <col min="12506" max="12750" width="9.140625" style="18"/>
    <col min="12751" max="12751" width="3.28515625" style="18" customWidth="1"/>
    <col min="12752" max="12752" width="48.28515625" style="18" customWidth="1"/>
    <col min="12753" max="12753" width="9.140625" style="18"/>
    <col min="12754" max="12754" width="17.85546875" style="18" customWidth="1"/>
    <col min="12755" max="12755" width="21" style="18" customWidth="1"/>
    <col min="12756" max="12756" width="1.85546875" style="18" customWidth="1"/>
    <col min="12757" max="12758" width="18.5703125" style="18" bestFit="1" customWidth="1"/>
    <col min="12759" max="12760" width="9.140625" style="18"/>
    <col min="12761" max="12761" width="14.28515625" style="18" bestFit="1" customWidth="1"/>
    <col min="12762" max="13006" width="9.140625" style="18"/>
    <col min="13007" max="13007" width="3.28515625" style="18" customWidth="1"/>
    <col min="13008" max="13008" width="48.28515625" style="18" customWidth="1"/>
    <col min="13009" max="13009" width="9.140625" style="18"/>
    <col min="13010" max="13010" width="17.85546875" style="18" customWidth="1"/>
    <col min="13011" max="13011" width="21" style="18" customWidth="1"/>
    <col min="13012" max="13012" width="1.85546875" style="18" customWidth="1"/>
    <col min="13013" max="13014" width="18.5703125" style="18" bestFit="1" customWidth="1"/>
    <col min="13015" max="13016" width="9.140625" style="18"/>
    <col min="13017" max="13017" width="14.28515625" style="18" bestFit="1" customWidth="1"/>
    <col min="13018" max="13262" width="9.140625" style="18"/>
    <col min="13263" max="13263" width="3.28515625" style="18" customWidth="1"/>
    <col min="13264" max="13264" width="48.28515625" style="18" customWidth="1"/>
    <col min="13265" max="13265" width="9.140625" style="18"/>
    <col min="13266" max="13266" width="17.85546875" style="18" customWidth="1"/>
    <col min="13267" max="13267" width="21" style="18" customWidth="1"/>
    <col min="13268" max="13268" width="1.85546875" style="18" customWidth="1"/>
    <col min="13269" max="13270" width="18.5703125" style="18" bestFit="1" customWidth="1"/>
    <col min="13271" max="13272" width="9.140625" style="18"/>
    <col min="13273" max="13273" width="14.28515625" style="18" bestFit="1" customWidth="1"/>
    <col min="13274" max="13518" width="9.140625" style="18"/>
    <col min="13519" max="13519" width="3.28515625" style="18" customWidth="1"/>
    <col min="13520" max="13520" width="48.28515625" style="18" customWidth="1"/>
    <col min="13521" max="13521" width="9.140625" style="18"/>
    <col min="13522" max="13522" width="17.85546875" style="18" customWidth="1"/>
    <col min="13523" max="13523" width="21" style="18" customWidth="1"/>
    <col min="13524" max="13524" width="1.85546875" style="18" customWidth="1"/>
    <col min="13525" max="13526" width="18.5703125" style="18" bestFit="1" customWidth="1"/>
    <col min="13527" max="13528" width="9.140625" style="18"/>
    <col min="13529" max="13529" width="14.28515625" style="18" bestFit="1" customWidth="1"/>
    <col min="13530" max="13774" width="9.140625" style="18"/>
    <col min="13775" max="13775" width="3.28515625" style="18" customWidth="1"/>
    <col min="13776" max="13776" width="48.28515625" style="18" customWidth="1"/>
    <col min="13777" max="13777" width="9.140625" style="18"/>
    <col min="13778" max="13778" width="17.85546875" style="18" customWidth="1"/>
    <col min="13779" max="13779" width="21" style="18" customWidth="1"/>
    <col min="13780" max="13780" width="1.85546875" style="18" customWidth="1"/>
    <col min="13781" max="13782" width="18.5703125" style="18" bestFit="1" customWidth="1"/>
    <col min="13783" max="13784" width="9.140625" style="18"/>
    <col min="13785" max="13785" width="14.28515625" style="18" bestFit="1" customWidth="1"/>
    <col min="13786" max="14030" width="9.140625" style="18"/>
    <col min="14031" max="14031" width="3.28515625" style="18" customWidth="1"/>
    <col min="14032" max="14032" width="48.28515625" style="18" customWidth="1"/>
    <col min="14033" max="14033" width="9.140625" style="18"/>
    <col min="14034" max="14034" width="17.85546875" style="18" customWidth="1"/>
    <col min="14035" max="14035" width="21" style="18" customWidth="1"/>
    <col min="14036" max="14036" width="1.85546875" style="18" customWidth="1"/>
    <col min="14037" max="14038" width="18.5703125" style="18" bestFit="1" customWidth="1"/>
    <col min="14039" max="14040" width="9.140625" style="18"/>
    <col min="14041" max="14041" width="14.28515625" style="18" bestFit="1" customWidth="1"/>
    <col min="14042" max="14286" width="9.140625" style="18"/>
    <col min="14287" max="14287" width="3.28515625" style="18" customWidth="1"/>
    <col min="14288" max="14288" width="48.28515625" style="18" customWidth="1"/>
    <col min="14289" max="14289" width="9.140625" style="18"/>
    <col min="14290" max="14290" width="17.85546875" style="18" customWidth="1"/>
    <col min="14291" max="14291" width="21" style="18" customWidth="1"/>
    <col min="14292" max="14292" width="1.85546875" style="18" customWidth="1"/>
    <col min="14293" max="14294" width="18.5703125" style="18" bestFit="1" customWidth="1"/>
    <col min="14295" max="14296" width="9.140625" style="18"/>
    <col min="14297" max="14297" width="14.28515625" style="18" bestFit="1" customWidth="1"/>
    <col min="14298" max="14542" width="9.140625" style="18"/>
    <col min="14543" max="14543" width="3.28515625" style="18" customWidth="1"/>
    <col min="14544" max="14544" width="48.28515625" style="18" customWidth="1"/>
    <col min="14545" max="14545" width="9.140625" style="18"/>
    <col min="14546" max="14546" width="17.85546875" style="18" customWidth="1"/>
    <col min="14547" max="14547" width="21" style="18" customWidth="1"/>
    <col min="14548" max="14548" width="1.85546875" style="18" customWidth="1"/>
    <col min="14549" max="14550" width="18.5703125" style="18" bestFit="1" customWidth="1"/>
    <col min="14551" max="14552" width="9.140625" style="18"/>
    <col min="14553" max="14553" width="14.28515625" style="18" bestFit="1" customWidth="1"/>
    <col min="14554" max="14798" width="9.140625" style="18"/>
    <col min="14799" max="14799" width="3.28515625" style="18" customWidth="1"/>
    <col min="14800" max="14800" width="48.28515625" style="18" customWidth="1"/>
    <col min="14801" max="14801" width="9.140625" style="18"/>
    <col min="14802" max="14802" width="17.85546875" style="18" customWidth="1"/>
    <col min="14803" max="14803" width="21" style="18" customWidth="1"/>
    <col min="14804" max="14804" width="1.85546875" style="18" customWidth="1"/>
    <col min="14805" max="14806" width="18.5703125" style="18" bestFit="1" customWidth="1"/>
    <col min="14807" max="14808" width="9.140625" style="18"/>
    <col min="14809" max="14809" width="14.28515625" style="18" bestFit="1" customWidth="1"/>
    <col min="14810" max="15054" width="9.140625" style="18"/>
    <col min="15055" max="15055" width="3.28515625" style="18" customWidth="1"/>
    <col min="15056" max="15056" width="48.28515625" style="18" customWidth="1"/>
    <col min="15057" max="15057" width="9.140625" style="18"/>
    <col min="15058" max="15058" width="17.85546875" style="18" customWidth="1"/>
    <col min="15059" max="15059" width="21" style="18" customWidth="1"/>
    <col min="15060" max="15060" width="1.85546875" style="18" customWidth="1"/>
    <col min="15061" max="15062" width="18.5703125" style="18" bestFit="1" customWidth="1"/>
    <col min="15063" max="15064" width="9.140625" style="18"/>
    <col min="15065" max="15065" width="14.28515625" style="18" bestFit="1" customWidth="1"/>
    <col min="15066" max="15310" width="9.140625" style="18"/>
    <col min="15311" max="15311" width="3.28515625" style="18" customWidth="1"/>
    <col min="15312" max="15312" width="48.28515625" style="18" customWidth="1"/>
    <col min="15313" max="15313" width="9.140625" style="18"/>
    <col min="15314" max="15314" width="17.85546875" style="18" customWidth="1"/>
    <col min="15315" max="15315" width="21" style="18" customWidth="1"/>
    <col min="15316" max="15316" width="1.85546875" style="18" customWidth="1"/>
    <col min="15317" max="15318" width="18.5703125" style="18" bestFit="1" customWidth="1"/>
    <col min="15319" max="15320" width="9.140625" style="18"/>
    <col min="15321" max="15321" width="14.28515625" style="18" bestFit="1" customWidth="1"/>
    <col min="15322" max="15566" width="9.140625" style="18"/>
    <col min="15567" max="15567" width="3.28515625" style="18" customWidth="1"/>
    <col min="15568" max="15568" width="48.28515625" style="18" customWidth="1"/>
    <col min="15569" max="15569" width="9.140625" style="18"/>
    <col min="15570" max="15570" width="17.85546875" style="18" customWidth="1"/>
    <col min="15571" max="15571" width="21" style="18" customWidth="1"/>
    <col min="15572" max="15572" width="1.85546875" style="18" customWidth="1"/>
    <col min="15573" max="15574" width="18.5703125" style="18" bestFit="1" customWidth="1"/>
    <col min="15575" max="15576" width="9.140625" style="18"/>
    <col min="15577" max="15577" width="14.28515625" style="18" bestFit="1" customWidth="1"/>
    <col min="15578" max="15822" width="9.140625" style="18"/>
    <col min="15823" max="15823" width="3.28515625" style="18" customWidth="1"/>
    <col min="15824" max="15824" width="48.28515625" style="18" customWidth="1"/>
    <col min="15825" max="15825" width="9.140625" style="18"/>
    <col min="15826" max="15826" width="17.85546875" style="18" customWidth="1"/>
    <col min="15827" max="15827" width="21" style="18" customWidth="1"/>
    <col min="15828" max="15828" width="1.85546875" style="18" customWidth="1"/>
    <col min="15829" max="15830" width="18.5703125" style="18" bestFit="1" customWidth="1"/>
    <col min="15831" max="15832" width="9.140625" style="18"/>
    <col min="15833" max="15833" width="14.28515625" style="18" bestFit="1" customWidth="1"/>
    <col min="15834" max="16078" width="9.140625" style="18"/>
    <col min="16079" max="16079" width="3.28515625" style="18" customWidth="1"/>
    <col min="16080" max="16080" width="48.28515625" style="18" customWidth="1"/>
    <col min="16081" max="16081" width="9.140625" style="18"/>
    <col min="16082" max="16082" width="17.85546875" style="18" customWidth="1"/>
    <col min="16083" max="16083" width="21" style="18" customWidth="1"/>
    <col min="16084" max="16084" width="1.85546875" style="18" customWidth="1"/>
    <col min="16085" max="16086" width="18.5703125" style="18" bestFit="1" customWidth="1"/>
    <col min="16087" max="16088" width="9.140625" style="18"/>
    <col min="16089" max="16089" width="14.28515625" style="18" bestFit="1" customWidth="1"/>
    <col min="16090" max="16384" width="9.140625" style="18"/>
  </cols>
  <sheetData>
    <row r="1" spans="1:6" ht="8.25" customHeight="1" x14ac:dyDescent="0.25"/>
    <row r="2" spans="1:6" ht="24" customHeight="1" x14ac:dyDescent="0.25">
      <c r="B2" s="14" t="s">
        <v>76</v>
      </c>
      <c r="C2" s="13"/>
      <c r="D2" s="13"/>
      <c r="E2" s="13"/>
      <c r="F2" s="13"/>
    </row>
    <row r="3" spans="1:6" ht="24" customHeight="1" x14ac:dyDescent="0.25">
      <c r="B3" s="14" t="s">
        <v>77</v>
      </c>
      <c r="C3" s="13"/>
      <c r="D3" s="13"/>
      <c r="E3" s="13"/>
      <c r="F3" s="13"/>
    </row>
    <row r="4" spans="1:6" ht="2.25" customHeight="1" x14ac:dyDescent="0.25"/>
    <row r="5" spans="1:6" s="48" customFormat="1" ht="18.95" customHeight="1" x14ac:dyDescent="0.25">
      <c r="A5" s="47"/>
      <c r="B5" s="51" t="s">
        <v>78</v>
      </c>
      <c r="C5" s="51" t="s">
        <v>79</v>
      </c>
      <c r="D5" s="51" t="s">
        <v>80</v>
      </c>
      <c r="E5" s="51" t="s">
        <v>81</v>
      </c>
      <c r="F5" s="52" t="s">
        <v>90</v>
      </c>
    </row>
    <row r="6" spans="1:6" ht="85.5" x14ac:dyDescent="0.25">
      <c r="B6" s="54" t="s">
        <v>134</v>
      </c>
      <c r="C6" s="56" t="s">
        <v>135</v>
      </c>
      <c r="D6" s="60" t="s">
        <v>118</v>
      </c>
      <c r="E6" s="45"/>
      <c r="F6" s="62" t="s">
        <v>126</v>
      </c>
    </row>
    <row r="7" spans="1:6" ht="28.5" x14ac:dyDescent="0.25">
      <c r="B7" s="53" t="s">
        <v>171</v>
      </c>
      <c r="C7" s="55" t="s">
        <v>66</v>
      </c>
      <c r="D7" s="44"/>
      <c r="E7" s="61"/>
      <c r="F7" s="64" t="s">
        <v>138</v>
      </c>
    </row>
    <row r="8" spans="1:6" ht="28.5" x14ac:dyDescent="0.25">
      <c r="B8" s="54" t="s">
        <v>132</v>
      </c>
      <c r="C8" s="56" t="s">
        <v>65</v>
      </c>
      <c r="D8" s="45"/>
      <c r="E8" s="45"/>
      <c r="F8" s="66" t="s">
        <v>138</v>
      </c>
    </row>
    <row r="9" spans="1:6" ht="28.5" x14ac:dyDescent="0.25">
      <c r="B9" s="53" t="s">
        <v>47</v>
      </c>
      <c r="C9" s="55" t="s">
        <v>119</v>
      </c>
      <c r="D9" s="59" t="s">
        <v>47</v>
      </c>
      <c r="E9" s="57"/>
      <c r="F9" s="68"/>
    </row>
    <row r="10" spans="1:6" ht="57" x14ac:dyDescent="0.25">
      <c r="B10" s="54" t="s">
        <v>133</v>
      </c>
      <c r="C10" s="56" t="s">
        <v>123</v>
      </c>
      <c r="D10" s="60" t="s">
        <v>32</v>
      </c>
      <c r="E10" s="45"/>
      <c r="F10" s="66" t="s">
        <v>124</v>
      </c>
    </row>
    <row r="11" spans="1:6" ht="42.75" x14ac:dyDescent="0.25">
      <c r="B11" s="53" t="s">
        <v>33</v>
      </c>
      <c r="C11" s="55" t="s">
        <v>63</v>
      </c>
      <c r="D11" s="59" t="s">
        <v>87</v>
      </c>
      <c r="E11" s="61" t="s">
        <v>113</v>
      </c>
      <c r="F11" s="64" t="s">
        <v>120</v>
      </c>
    </row>
    <row r="12" spans="1:6" ht="42.75" x14ac:dyDescent="0.25">
      <c r="B12" s="54" t="s">
        <v>35</v>
      </c>
      <c r="C12" s="56" t="s">
        <v>67</v>
      </c>
      <c r="D12" s="58" t="s">
        <v>88</v>
      </c>
      <c r="E12" s="60" t="s">
        <v>113</v>
      </c>
      <c r="F12" s="66" t="s">
        <v>121</v>
      </c>
    </row>
    <row r="13" spans="1:6" ht="71.25" x14ac:dyDescent="0.25">
      <c r="B13" s="53" t="s">
        <v>34</v>
      </c>
      <c r="C13" s="55" t="s">
        <v>68</v>
      </c>
      <c r="D13" s="61" t="s">
        <v>125</v>
      </c>
      <c r="E13" s="61" t="s">
        <v>113</v>
      </c>
      <c r="F13" s="65" t="s">
        <v>122</v>
      </c>
    </row>
    <row r="14" spans="1:6" ht="42.75" customHeight="1" x14ac:dyDescent="0.25">
      <c r="B14" s="54" t="s">
        <v>30</v>
      </c>
      <c r="C14" s="56" t="s">
        <v>69</v>
      </c>
      <c r="D14" s="60" t="s">
        <v>89</v>
      </c>
      <c r="E14" s="60" t="s">
        <v>115</v>
      </c>
      <c r="F14" s="66" t="s">
        <v>91</v>
      </c>
    </row>
    <row r="15" spans="1:6" ht="71.25" x14ac:dyDescent="0.25">
      <c r="B15" s="53" t="s">
        <v>36</v>
      </c>
      <c r="C15" s="55" t="s">
        <v>143</v>
      </c>
      <c r="D15" s="61" t="s">
        <v>86</v>
      </c>
      <c r="E15" s="61" t="s">
        <v>114</v>
      </c>
      <c r="F15" s="64" t="s">
        <v>92</v>
      </c>
    </row>
    <row r="16" spans="1:6" ht="57" x14ac:dyDescent="0.25">
      <c r="B16" s="54" t="s">
        <v>37</v>
      </c>
      <c r="C16" s="56" t="s">
        <v>137</v>
      </c>
      <c r="D16" s="60" t="s">
        <v>94</v>
      </c>
      <c r="E16" s="60" t="s">
        <v>114</v>
      </c>
      <c r="F16" s="66" t="s">
        <v>93</v>
      </c>
    </row>
    <row r="17" spans="2:7" ht="28.5" x14ac:dyDescent="0.25">
      <c r="B17" s="53" t="s">
        <v>44</v>
      </c>
      <c r="C17" s="55" t="s">
        <v>70</v>
      </c>
      <c r="D17" s="59" t="s">
        <v>97</v>
      </c>
      <c r="E17" s="59" t="s">
        <v>114</v>
      </c>
      <c r="F17" s="67" t="s">
        <v>70</v>
      </c>
    </row>
    <row r="18" spans="2:7" ht="28.5" x14ac:dyDescent="0.25">
      <c r="B18" s="54" t="s">
        <v>40</v>
      </c>
      <c r="C18" s="56" t="s">
        <v>71</v>
      </c>
      <c r="D18" s="60" t="s">
        <v>101</v>
      </c>
      <c r="E18" s="60" t="s">
        <v>117</v>
      </c>
      <c r="F18" s="62" t="s">
        <v>102</v>
      </c>
    </row>
    <row r="19" spans="2:7" ht="28.5" x14ac:dyDescent="0.25">
      <c r="B19" s="53" t="s">
        <v>31</v>
      </c>
      <c r="C19" s="55" t="s">
        <v>84</v>
      </c>
      <c r="D19" s="44" t="s">
        <v>95</v>
      </c>
      <c r="E19" s="61" t="s">
        <v>116</v>
      </c>
      <c r="F19" s="63" t="s">
        <v>96</v>
      </c>
    </row>
    <row r="20" spans="2:7" ht="28.5" x14ac:dyDescent="0.25">
      <c r="B20" s="54" t="s">
        <v>39</v>
      </c>
      <c r="C20" s="56" t="s">
        <v>83</v>
      </c>
      <c r="D20" s="60" t="s">
        <v>99</v>
      </c>
      <c r="E20" s="60" t="s">
        <v>115</v>
      </c>
      <c r="F20" s="66" t="s">
        <v>100</v>
      </c>
    </row>
    <row r="21" spans="2:7" ht="28.5" x14ac:dyDescent="0.25">
      <c r="B21" s="53" t="s">
        <v>38</v>
      </c>
      <c r="C21" s="55" t="s">
        <v>64</v>
      </c>
      <c r="D21" s="61" t="s">
        <v>111</v>
      </c>
      <c r="E21" s="61" t="s">
        <v>114</v>
      </c>
      <c r="F21" s="65" t="s">
        <v>98</v>
      </c>
    </row>
    <row r="22" spans="2:7" ht="28.5" x14ac:dyDescent="0.25">
      <c r="B22" s="54" t="s">
        <v>41</v>
      </c>
      <c r="C22" s="56" t="s">
        <v>85</v>
      </c>
      <c r="D22" s="58" t="s">
        <v>103</v>
      </c>
      <c r="E22" s="60" t="s">
        <v>114</v>
      </c>
      <c r="F22" s="66" t="s">
        <v>104</v>
      </c>
    </row>
    <row r="23" spans="2:7" ht="28.5" x14ac:dyDescent="0.25">
      <c r="B23" s="53" t="s">
        <v>42</v>
      </c>
      <c r="C23" s="55" t="s">
        <v>82</v>
      </c>
      <c r="D23" s="59" t="s">
        <v>105</v>
      </c>
      <c r="E23" s="61" t="s">
        <v>114</v>
      </c>
      <c r="F23" s="64" t="s">
        <v>106</v>
      </c>
    </row>
    <row r="24" spans="2:7" ht="71.25" x14ac:dyDescent="0.25">
      <c r="B24" s="54" t="s">
        <v>53</v>
      </c>
      <c r="C24" s="56" t="s">
        <v>127</v>
      </c>
      <c r="D24" s="60" t="s">
        <v>107</v>
      </c>
      <c r="E24" s="58" t="s">
        <v>112</v>
      </c>
      <c r="F24" s="62" t="s">
        <v>108</v>
      </c>
    </row>
    <row r="25" spans="2:7" ht="85.5" x14ac:dyDescent="0.25">
      <c r="B25" s="53" t="s">
        <v>54</v>
      </c>
      <c r="C25" s="55" t="s">
        <v>72</v>
      </c>
      <c r="D25" s="59" t="s">
        <v>109</v>
      </c>
      <c r="E25" s="61" t="s">
        <v>114</v>
      </c>
      <c r="F25" s="65" t="s">
        <v>110</v>
      </c>
    </row>
    <row r="26" spans="2:7" ht="28.5" hidden="1" x14ac:dyDescent="0.25">
      <c r="B26" s="54" t="s">
        <v>59</v>
      </c>
      <c r="C26" s="56" t="s">
        <v>136</v>
      </c>
      <c r="D26" s="46"/>
      <c r="E26" s="46"/>
      <c r="F26" s="50"/>
    </row>
    <row r="27" spans="2:7" ht="42.75" hidden="1" x14ac:dyDescent="0.25">
      <c r="B27" s="53" t="s">
        <v>60</v>
      </c>
      <c r="C27" s="55" t="s">
        <v>73</v>
      </c>
      <c r="D27" s="44"/>
      <c r="E27" s="44"/>
      <c r="F27" s="49"/>
      <c r="G27" s="54"/>
    </row>
    <row r="28" spans="2:7" ht="42.75" hidden="1" x14ac:dyDescent="0.25">
      <c r="B28" s="54" t="s">
        <v>61</v>
      </c>
      <c r="C28" s="56" t="s">
        <v>74</v>
      </c>
      <c r="D28" s="46"/>
      <c r="E28" s="46"/>
      <c r="F28" s="50"/>
    </row>
    <row r="29" spans="2:7" ht="28.5" hidden="1" x14ac:dyDescent="0.25">
      <c r="B29" s="53" t="s">
        <v>62</v>
      </c>
      <c r="C29" s="55" t="s">
        <v>75</v>
      </c>
      <c r="D29" s="44"/>
      <c r="E29" s="44"/>
      <c r="F29" s="49"/>
    </row>
    <row r="30" spans="2:7" x14ac:dyDescent="0.25">
      <c r="B30" s="54"/>
      <c r="C30" s="56"/>
      <c r="D30" s="46"/>
      <c r="E30" s="46"/>
      <c r="F30" s="50"/>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B86"/>
  <sheetViews>
    <sheetView tabSelected="1" zoomScale="90" zoomScaleNormal="90" workbookViewId="0">
      <pane xSplit="3" ySplit="7" topLeftCell="H8" activePane="bottomRight" state="frozen"/>
      <selection pane="topRight" activeCell="D1" sqref="D1"/>
      <selection pane="bottomLeft" activeCell="A8" sqref="A8"/>
      <selection pane="bottomRight" activeCell="R82" sqref="R82"/>
    </sheetView>
  </sheetViews>
  <sheetFormatPr defaultRowHeight="15" x14ac:dyDescent="0.25"/>
  <cols>
    <col min="1" max="1" width="2.42578125" style="21" customWidth="1"/>
    <col min="2" max="2" width="2" style="21" customWidth="1"/>
    <col min="3" max="3" width="39.42578125" style="18" customWidth="1"/>
    <col min="4" max="4" width="6.85546875" style="18" customWidth="1"/>
    <col min="5" max="9" width="14.7109375" style="20" customWidth="1"/>
    <col min="10" max="10" width="1.5703125" style="18" customWidth="1"/>
    <col min="11" max="11" width="8.28515625" style="18" customWidth="1"/>
    <col min="12" max="15" width="8.7109375" style="18" customWidth="1"/>
    <col min="16" max="16" width="0.7109375" style="18" customWidth="1"/>
    <col min="17" max="21" width="8.7109375" style="18" customWidth="1"/>
    <col min="22" max="22" width="0.5703125" style="18" customWidth="1"/>
    <col min="23" max="27" width="8.7109375" style="18" customWidth="1"/>
    <col min="28" max="28" width="2.28515625" style="18" customWidth="1"/>
    <col min="29" max="233" width="9.140625" style="18"/>
    <col min="234" max="234" width="3.28515625" style="18" customWidth="1"/>
    <col min="235" max="235" width="48.28515625" style="18" customWidth="1"/>
    <col min="236" max="236" width="9.140625" style="18" customWidth="1"/>
    <col min="237" max="237" width="17.85546875" style="18" customWidth="1"/>
    <col min="238" max="238" width="21" style="18" customWidth="1"/>
    <col min="239" max="239" width="1.85546875" style="18" customWidth="1"/>
    <col min="240" max="241" width="18.5703125" style="18" bestFit="1" customWidth="1"/>
    <col min="242" max="243" width="9.140625" style="18"/>
    <col min="244" max="244" width="14.28515625" style="18" bestFit="1" customWidth="1"/>
    <col min="245" max="489" width="9.140625" style="18"/>
    <col min="490" max="490" width="3.28515625" style="18" customWidth="1"/>
    <col min="491" max="491" width="48.28515625" style="18" customWidth="1"/>
    <col min="492" max="492" width="9.140625" style="18" customWidth="1"/>
    <col min="493" max="493" width="17.85546875" style="18" customWidth="1"/>
    <col min="494" max="494" width="21" style="18" customWidth="1"/>
    <col min="495" max="495" width="1.85546875" style="18" customWidth="1"/>
    <col min="496" max="497" width="18.5703125" style="18" bestFit="1" customWidth="1"/>
    <col min="498" max="499" width="9.140625" style="18"/>
    <col min="500" max="500" width="14.28515625" style="18" bestFit="1" customWidth="1"/>
    <col min="501" max="745" width="9.140625" style="18"/>
    <col min="746" max="746" width="3.28515625" style="18" customWidth="1"/>
    <col min="747" max="747" width="48.28515625" style="18" customWidth="1"/>
    <col min="748" max="748" width="9.140625" style="18" customWidth="1"/>
    <col min="749" max="749" width="17.85546875" style="18" customWidth="1"/>
    <col min="750" max="750" width="21" style="18" customWidth="1"/>
    <col min="751" max="751" width="1.85546875" style="18" customWidth="1"/>
    <col min="752" max="753" width="18.5703125" style="18" bestFit="1" customWidth="1"/>
    <col min="754" max="755" width="9.140625" style="18"/>
    <col min="756" max="756" width="14.28515625" style="18" bestFit="1" customWidth="1"/>
    <col min="757" max="1001" width="9.140625" style="18"/>
    <col min="1002" max="1002" width="3.28515625" style="18" customWidth="1"/>
    <col min="1003" max="1003" width="48.28515625" style="18" customWidth="1"/>
    <col min="1004" max="1004" width="9.140625" style="18" customWidth="1"/>
    <col min="1005" max="1005" width="17.85546875" style="18" customWidth="1"/>
    <col min="1006" max="1006" width="21" style="18" customWidth="1"/>
    <col min="1007" max="1007" width="1.85546875" style="18" customWidth="1"/>
    <col min="1008" max="1009" width="18.5703125" style="18" bestFit="1" customWidth="1"/>
    <col min="1010" max="1011" width="9.140625" style="18"/>
    <col min="1012" max="1012" width="14.28515625" style="18" bestFit="1" customWidth="1"/>
    <col min="1013" max="1257" width="9.140625" style="18"/>
    <col min="1258" max="1258" width="3.28515625" style="18" customWidth="1"/>
    <col min="1259" max="1259" width="48.28515625" style="18" customWidth="1"/>
    <col min="1260" max="1260" width="9.140625" style="18" customWidth="1"/>
    <col min="1261" max="1261" width="17.85546875" style="18" customWidth="1"/>
    <col min="1262" max="1262" width="21" style="18" customWidth="1"/>
    <col min="1263" max="1263" width="1.85546875" style="18" customWidth="1"/>
    <col min="1264" max="1265" width="18.5703125" style="18" bestFit="1" customWidth="1"/>
    <col min="1266" max="1267" width="9.140625" style="18"/>
    <col min="1268" max="1268" width="14.28515625" style="18" bestFit="1" customWidth="1"/>
    <col min="1269" max="1513" width="9.140625" style="18"/>
    <col min="1514" max="1514" width="3.28515625" style="18" customWidth="1"/>
    <col min="1515" max="1515" width="48.28515625" style="18" customWidth="1"/>
    <col min="1516" max="1516" width="9.140625" style="18" customWidth="1"/>
    <col min="1517" max="1517" width="17.85546875" style="18" customWidth="1"/>
    <col min="1518" max="1518" width="21" style="18" customWidth="1"/>
    <col min="1519" max="1519" width="1.85546875" style="18" customWidth="1"/>
    <col min="1520" max="1521" width="18.5703125" style="18" bestFit="1" customWidth="1"/>
    <col min="1522" max="1523" width="9.140625" style="18"/>
    <col min="1524" max="1524" width="14.28515625" style="18" bestFit="1" customWidth="1"/>
    <col min="1525" max="1769" width="9.140625" style="18"/>
    <col min="1770" max="1770" width="3.28515625" style="18" customWidth="1"/>
    <col min="1771" max="1771" width="48.28515625" style="18" customWidth="1"/>
    <col min="1772" max="1772" width="9.140625" style="18" customWidth="1"/>
    <col min="1773" max="1773" width="17.85546875" style="18" customWidth="1"/>
    <col min="1774" max="1774" width="21" style="18" customWidth="1"/>
    <col min="1775" max="1775" width="1.85546875" style="18" customWidth="1"/>
    <col min="1776" max="1777" width="18.5703125" style="18" bestFit="1" customWidth="1"/>
    <col min="1778" max="1779" width="9.140625" style="18"/>
    <col min="1780" max="1780" width="14.28515625" style="18" bestFit="1" customWidth="1"/>
    <col min="1781" max="2025" width="9.140625" style="18"/>
    <col min="2026" max="2026" width="3.28515625" style="18" customWidth="1"/>
    <col min="2027" max="2027" width="48.28515625" style="18" customWidth="1"/>
    <col min="2028" max="2028" width="9.140625" style="18" customWidth="1"/>
    <col min="2029" max="2029" width="17.85546875" style="18" customWidth="1"/>
    <col min="2030" max="2030" width="21" style="18" customWidth="1"/>
    <col min="2031" max="2031" width="1.85546875" style="18" customWidth="1"/>
    <col min="2032" max="2033" width="18.5703125" style="18" bestFit="1" customWidth="1"/>
    <col min="2034" max="2035" width="9.140625" style="18"/>
    <col min="2036" max="2036" width="14.28515625" style="18" bestFit="1" customWidth="1"/>
    <col min="2037" max="2281" width="9.140625" style="18"/>
    <col min="2282" max="2282" width="3.28515625" style="18" customWidth="1"/>
    <col min="2283" max="2283" width="48.28515625" style="18" customWidth="1"/>
    <col min="2284" max="2284" width="9.140625" style="18" customWidth="1"/>
    <col min="2285" max="2285" width="17.85546875" style="18" customWidth="1"/>
    <col min="2286" max="2286" width="21" style="18" customWidth="1"/>
    <col min="2287" max="2287" width="1.85546875" style="18" customWidth="1"/>
    <col min="2288" max="2289" width="18.5703125" style="18" bestFit="1" customWidth="1"/>
    <col min="2290" max="2291" width="9.140625" style="18"/>
    <col min="2292" max="2292" width="14.28515625" style="18" bestFit="1" customWidth="1"/>
    <col min="2293" max="2537" width="9.140625" style="18"/>
    <col min="2538" max="2538" width="3.28515625" style="18" customWidth="1"/>
    <col min="2539" max="2539" width="48.28515625" style="18" customWidth="1"/>
    <col min="2540" max="2540" width="9.140625" style="18" customWidth="1"/>
    <col min="2541" max="2541" width="17.85546875" style="18" customWidth="1"/>
    <col min="2542" max="2542" width="21" style="18" customWidth="1"/>
    <col min="2543" max="2543" width="1.85546875" style="18" customWidth="1"/>
    <col min="2544" max="2545" width="18.5703125" style="18" bestFit="1" customWidth="1"/>
    <col min="2546" max="2547" width="9.140625" style="18"/>
    <col min="2548" max="2548" width="14.28515625" style="18" bestFit="1" customWidth="1"/>
    <col min="2549" max="2793" width="9.140625" style="18"/>
    <col min="2794" max="2794" width="3.28515625" style="18" customWidth="1"/>
    <col min="2795" max="2795" width="48.28515625" style="18" customWidth="1"/>
    <col min="2796" max="2796" width="9.140625" style="18" customWidth="1"/>
    <col min="2797" max="2797" width="17.85546875" style="18" customWidth="1"/>
    <col min="2798" max="2798" width="21" style="18" customWidth="1"/>
    <col min="2799" max="2799" width="1.85546875" style="18" customWidth="1"/>
    <col min="2800" max="2801" width="18.5703125" style="18" bestFit="1" customWidth="1"/>
    <col min="2802" max="2803" width="9.140625" style="18"/>
    <col min="2804" max="2804" width="14.28515625" style="18" bestFit="1" customWidth="1"/>
    <col min="2805" max="3049" width="9.140625" style="18"/>
    <col min="3050" max="3050" width="3.28515625" style="18" customWidth="1"/>
    <col min="3051" max="3051" width="48.28515625" style="18" customWidth="1"/>
    <col min="3052" max="3052" width="9.140625" style="18" customWidth="1"/>
    <col min="3053" max="3053" width="17.85546875" style="18" customWidth="1"/>
    <col min="3054" max="3054" width="21" style="18" customWidth="1"/>
    <col min="3055" max="3055" width="1.85546875" style="18" customWidth="1"/>
    <col min="3056" max="3057" width="18.5703125" style="18" bestFit="1" customWidth="1"/>
    <col min="3058" max="3059" width="9.140625" style="18"/>
    <col min="3060" max="3060" width="14.28515625" style="18" bestFit="1" customWidth="1"/>
    <col min="3061" max="3305" width="9.140625" style="18"/>
    <col min="3306" max="3306" width="3.28515625" style="18" customWidth="1"/>
    <col min="3307" max="3307" width="48.28515625" style="18" customWidth="1"/>
    <col min="3308" max="3308" width="9.140625" style="18" customWidth="1"/>
    <col min="3309" max="3309" width="17.85546875" style="18" customWidth="1"/>
    <col min="3310" max="3310" width="21" style="18" customWidth="1"/>
    <col min="3311" max="3311" width="1.85546875" style="18" customWidth="1"/>
    <col min="3312" max="3313" width="18.5703125" style="18" bestFit="1" customWidth="1"/>
    <col min="3314" max="3315" width="9.140625" style="18"/>
    <col min="3316" max="3316" width="14.28515625" style="18" bestFit="1" customWidth="1"/>
    <col min="3317" max="3561" width="9.140625" style="18"/>
    <col min="3562" max="3562" width="3.28515625" style="18" customWidth="1"/>
    <col min="3563" max="3563" width="48.28515625" style="18" customWidth="1"/>
    <col min="3564" max="3564" width="9.140625" style="18" customWidth="1"/>
    <col min="3565" max="3565" width="17.85546875" style="18" customWidth="1"/>
    <col min="3566" max="3566" width="21" style="18" customWidth="1"/>
    <col min="3567" max="3567" width="1.85546875" style="18" customWidth="1"/>
    <col min="3568" max="3569" width="18.5703125" style="18" bestFit="1" customWidth="1"/>
    <col min="3570" max="3571" width="9.140625" style="18"/>
    <col min="3572" max="3572" width="14.28515625" style="18" bestFit="1" customWidth="1"/>
    <col min="3573" max="3817" width="9.140625" style="18"/>
    <col min="3818" max="3818" width="3.28515625" style="18" customWidth="1"/>
    <col min="3819" max="3819" width="48.28515625" style="18" customWidth="1"/>
    <col min="3820" max="3820" width="9.140625" style="18" customWidth="1"/>
    <col min="3821" max="3821" width="17.85546875" style="18" customWidth="1"/>
    <col min="3822" max="3822" width="21" style="18" customWidth="1"/>
    <col min="3823" max="3823" width="1.85546875" style="18" customWidth="1"/>
    <col min="3824" max="3825" width="18.5703125" style="18" bestFit="1" customWidth="1"/>
    <col min="3826" max="3827" width="9.140625" style="18"/>
    <col min="3828" max="3828" width="14.28515625" style="18" bestFit="1" customWidth="1"/>
    <col min="3829" max="4073" width="9.140625" style="18"/>
    <col min="4074" max="4074" width="3.28515625" style="18" customWidth="1"/>
    <col min="4075" max="4075" width="48.28515625" style="18" customWidth="1"/>
    <col min="4076" max="4076" width="9.140625" style="18" customWidth="1"/>
    <col min="4077" max="4077" width="17.85546875" style="18" customWidth="1"/>
    <col min="4078" max="4078" width="21" style="18" customWidth="1"/>
    <col min="4079" max="4079" width="1.85546875" style="18" customWidth="1"/>
    <col min="4080" max="4081" width="18.5703125" style="18" bestFit="1" customWidth="1"/>
    <col min="4082" max="4083" width="9.140625" style="18"/>
    <col min="4084" max="4084" width="14.28515625" style="18" bestFit="1" customWidth="1"/>
    <col min="4085" max="4329" width="9.140625" style="18"/>
    <col min="4330" max="4330" width="3.28515625" style="18" customWidth="1"/>
    <col min="4331" max="4331" width="48.28515625" style="18" customWidth="1"/>
    <col min="4332" max="4332" width="9.140625" style="18" customWidth="1"/>
    <col min="4333" max="4333" width="17.85546875" style="18" customWidth="1"/>
    <col min="4334" max="4334" width="21" style="18" customWidth="1"/>
    <col min="4335" max="4335" width="1.85546875" style="18" customWidth="1"/>
    <col min="4336" max="4337" width="18.5703125" style="18" bestFit="1" customWidth="1"/>
    <col min="4338" max="4339" width="9.140625" style="18"/>
    <col min="4340" max="4340" width="14.28515625" style="18" bestFit="1" customWidth="1"/>
    <col min="4341" max="4585" width="9.140625" style="18"/>
    <col min="4586" max="4586" width="3.28515625" style="18" customWidth="1"/>
    <col min="4587" max="4587" width="48.28515625" style="18" customWidth="1"/>
    <col min="4588" max="4588" width="9.140625" style="18" customWidth="1"/>
    <col min="4589" max="4589" width="17.85546875" style="18" customWidth="1"/>
    <col min="4590" max="4590" width="21" style="18" customWidth="1"/>
    <col min="4591" max="4591" width="1.85546875" style="18" customWidth="1"/>
    <col min="4592" max="4593" width="18.5703125" style="18" bestFit="1" customWidth="1"/>
    <col min="4594" max="4595" width="9.140625" style="18"/>
    <col min="4596" max="4596" width="14.28515625" style="18" bestFit="1" customWidth="1"/>
    <col min="4597" max="4841" width="9.140625" style="18"/>
    <col min="4842" max="4842" width="3.28515625" style="18" customWidth="1"/>
    <col min="4843" max="4843" width="48.28515625" style="18" customWidth="1"/>
    <col min="4844" max="4844" width="9.140625" style="18" customWidth="1"/>
    <col min="4845" max="4845" width="17.85546875" style="18" customWidth="1"/>
    <col min="4846" max="4846" width="21" style="18" customWidth="1"/>
    <col min="4847" max="4847" width="1.85546875" style="18" customWidth="1"/>
    <col min="4848" max="4849" width="18.5703125" style="18" bestFit="1" customWidth="1"/>
    <col min="4850" max="4851" width="9.140625" style="18"/>
    <col min="4852" max="4852" width="14.28515625" style="18" bestFit="1" customWidth="1"/>
    <col min="4853" max="5097" width="9.140625" style="18"/>
    <col min="5098" max="5098" width="3.28515625" style="18" customWidth="1"/>
    <col min="5099" max="5099" width="48.28515625" style="18" customWidth="1"/>
    <col min="5100" max="5100" width="9.140625" style="18" customWidth="1"/>
    <col min="5101" max="5101" width="17.85546875" style="18" customWidth="1"/>
    <col min="5102" max="5102" width="21" style="18" customWidth="1"/>
    <col min="5103" max="5103" width="1.85546875" style="18" customWidth="1"/>
    <col min="5104" max="5105" width="18.5703125" style="18" bestFit="1" customWidth="1"/>
    <col min="5106" max="5107" width="9.140625" style="18"/>
    <col min="5108" max="5108" width="14.28515625" style="18" bestFit="1" customWidth="1"/>
    <col min="5109" max="5353" width="9.140625" style="18"/>
    <col min="5354" max="5354" width="3.28515625" style="18" customWidth="1"/>
    <col min="5355" max="5355" width="48.28515625" style="18" customWidth="1"/>
    <col min="5356" max="5356" width="9.140625" style="18" customWidth="1"/>
    <col min="5357" max="5357" width="17.85546875" style="18" customWidth="1"/>
    <col min="5358" max="5358" width="21" style="18" customWidth="1"/>
    <col min="5359" max="5359" width="1.85546875" style="18" customWidth="1"/>
    <col min="5360" max="5361" width="18.5703125" style="18" bestFit="1" customWidth="1"/>
    <col min="5362" max="5363" width="9.140625" style="18"/>
    <col min="5364" max="5364" width="14.28515625" style="18" bestFit="1" customWidth="1"/>
    <col min="5365" max="5609" width="9.140625" style="18"/>
    <col min="5610" max="5610" width="3.28515625" style="18" customWidth="1"/>
    <col min="5611" max="5611" width="48.28515625" style="18" customWidth="1"/>
    <col min="5612" max="5612" width="9.140625" style="18" customWidth="1"/>
    <col min="5613" max="5613" width="17.85546875" style="18" customWidth="1"/>
    <col min="5614" max="5614" width="21" style="18" customWidth="1"/>
    <col min="5615" max="5615" width="1.85546875" style="18" customWidth="1"/>
    <col min="5616" max="5617" width="18.5703125" style="18" bestFit="1" customWidth="1"/>
    <col min="5618" max="5619" width="9.140625" style="18"/>
    <col min="5620" max="5620" width="14.28515625" style="18" bestFit="1" customWidth="1"/>
    <col min="5621" max="5865" width="9.140625" style="18"/>
    <col min="5866" max="5866" width="3.28515625" style="18" customWidth="1"/>
    <col min="5867" max="5867" width="48.28515625" style="18" customWidth="1"/>
    <col min="5868" max="5868" width="9.140625" style="18" customWidth="1"/>
    <col min="5869" max="5869" width="17.85546875" style="18" customWidth="1"/>
    <col min="5870" max="5870" width="21" style="18" customWidth="1"/>
    <col min="5871" max="5871" width="1.85546875" style="18" customWidth="1"/>
    <col min="5872" max="5873" width="18.5703125" style="18" bestFit="1" customWidth="1"/>
    <col min="5874" max="5875" width="9.140625" style="18"/>
    <col min="5876" max="5876" width="14.28515625" style="18" bestFit="1" customWidth="1"/>
    <col min="5877" max="6121" width="9.140625" style="18"/>
    <col min="6122" max="6122" width="3.28515625" style="18" customWidth="1"/>
    <col min="6123" max="6123" width="48.28515625" style="18" customWidth="1"/>
    <col min="6124" max="6124" width="9.140625" style="18" customWidth="1"/>
    <col min="6125" max="6125" width="17.85546875" style="18" customWidth="1"/>
    <col min="6126" max="6126" width="21" style="18" customWidth="1"/>
    <col min="6127" max="6127" width="1.85546875" style="18" customWidth="1"/>
    <col min="6128" max="6129" width="18.5703125" style="18" bestFit="1" customWidth="1"/>
    <col min="6130" max="6131" width="9.140625" style="18"/>
    <col min="6132" max="6132" width="14.28515625" style="18" bestFit="1" customWidth="1"/>
    <col min="6133" max="6377" width="9.140625" style="18"/>
    <col min="6378" max="6378" width="3.28515625" style="18" customWidth="1"/>
    <col min="6379" max="6379" width="48.28515625" style="18" customWidth="1"/>
    <col min="6380" max="6380" width="9.140625" style="18" customWidth="1"/>
    <col min="6381" max="6381" width="17.85546875" style="18" customWidth="1"/>
    <col min="6382" max="6382" width="21" style="18" customWidth="1"/>
    <col min="6383" max="6383" width="1.85546875" style="18" customWidth="1"/>
    <col min="6384" max="6385" width="18.5703125" style="18" bestFit="1" customWidth="1"/>
    <col min="6386" max="6387" width="9.140625" style="18"/>
    <col min="6388" max="6388" width="14.28515625" style="18" bestFit="1" customWidth="1"/>
    <col min="6389" max="6633" width="9.140625" style="18"/>
    <col min="6634" max="6634" width="3.28515625" style="18" customWidth="1"/>
    <col min="6635" max="6635" width="48.28515625" style="18" customWidth="1"/>
    <col min="6636" max="6636" width="9.140625" style="18" customWidth="1"/>
    <col min="6637" max="6637" width="17.85546875" style="18" customWidth="1"/>
    <col min="6638" max="6638" width="21" style="18" customWidth="1"/>
    <col min="6639" max="6639" width="1.85546875" style="18" customWidth="1"/>
    <col min="6640" max="6641" width="18.5703125" style="18" bestFit="1" customWidth="1"/>
    <col min="6642" max="6643" width="9.140625" style="18"/>
    <col min="6644" max="6644" width="14.28515625" style="18" bestFit="1" customWidth="1"/>
    <col min="6645" max="6889" width="9.140625" style="18"/>
    <col min="6890" max="6890" width="3.28515625" style="18" customWidth="1"/>
    <col min="6891" max="6891" width="48.28515625" style="18" customWidth="1"/>
    <col min="6892" max="6892" width="9.140625" style="18" customWidth="1"/>
    <col min="6893" max="6893" width="17.85546875" style="18" customWidth="1"/>
    <col min="6894" max="6894" width="21" style="18" customWidth="1"/>
    <col min="6895" max="6895" width="1.85546875" style="18" customWidth="1"/>
    <col min="6896" max="6897" width="18.5703125" style="18" bestFit="1" customWidth="1"/>
    <col min="6898" max="6899" width="9.140625" style="18"/>
    <col min="6900" max="6900" width="14.28515625" style="18" bestFit="1" customWidth="1"/>
    <col min="6901" max="7145" width="9.140625" style="18"/>
    <col min="7146" max="7146" width="3.28515625" style="18" customWidth="1"/>
    <col min="7147" max="7147" width="48.28515625" style="18" customWidth="1"/>
    <col min="7148" max="7148" width="9.140625" style="18" customWidth="1"/>
    <col min="7149" max="7149" width="17.85546875" style="18" customWidth="1"/>
    <col min="7150" max="7150" width="21" style="18" customWidth="1"/>
    <col min="7151" max="7151" width="1.85546875" style="18" customWidth="1"/>
    <col min="7152" max="7153" width="18.5703125" style="18" bestFit="1" customWidth="1"/>
    <col min="7154" max="7155" width="9.140625" style="18"/>
    <col min="7156" max="7156" width="14.28515625" style="18" bestFit="1" customWidth="1"/>
    <col min="7157" max="7401" width="9.140625" style="18"/>
    <col min="7402" max="7402" width="3.28515625" style="18" customWidth="1"/>
    <col min="7403" max="7403" width="48.28515625" style="18" customWidth="1"/>
    <col min="7404" max="7404" width="9.140625" style="18" customWidth="1"/>
    <col min="7405" max="7405" width="17.85546875" style="18" customWidth="1"/>
    <col min="7406" max="7406" width="21" style="18" customWidth="1"/>
    <col min="7407" max="7407" width="1.85546875" style="18" customWidth="1"/>
    <col min="7408" max="7409" width="18.5703125" style="18" bestFit="1" customWidth="1"/>
    <col min="7410" max="7411" width="9.140625" style="18"/>
    <col min="7412" max="7412" width="14.28515625" style="18" bestFit="1" customWidth="1"/>
    <col min="7413" max="7657" width="9.140625" style="18"/>
    <col min="7658" max="7658" width="3.28515625" style="18" customWidth="1"/>
    <col min="7659" max="7659" width="48.28515625" style="18" customWidth="1"/>
    <col min="7660" max="7660" width="9.140625" style="18" customWidth="1"/>
    <col min="7661" max="7661" width="17.85546875" style="18" customWidth="1"/>
    <col min="7662" max="7662" width="21" style="18" customWidth="1"/>
    <col min="7663" max="7663" width="1.85546875" style="18" customWidth="1"/>
    <col min="7664" max="7665" width="18.5703125" style="18" bestFit="1" customWidth="1"/>
    <col min="7666" max="7667" width="9.140625" style="18"/>
    <col min="7668" max="7668" width="14.28515625" style="18" bestFit="1" customWidth="1"/>
    <col min="7669" max="7913" width="9.140625" style="18"/>
    <col min="7914" max="7914" width="3.28515625" style="18" customWidth="1"/>
    <col min="7915" max="7915" width="48.28515625" style="18" customWidth="1"/>
    <col min="7916" max="7916" width="9.140625" style="18" customWidth="1"/>
    <col min="7917" max="7917" width="17.85546875" style="18" customWidth="1"/>
    <col min="7918" max="7918" width="21" style="18" customWidth="1"/>
    <col min="7919" max="7919" width="1.85546875" style="18" customWidth="1"/>
    <col min="7920" max="7921" width="18.5703125" style="18" bestFit="1" customWidth="1"/>
    <col min="7922" max="7923" width="9.140625" style="18"/>
    <col min="7924" max="7924" width="14.28515625" style="18" bestFit="1" customWidth="1"/>
    <col min="7925" max="8169" width="9.140625" style="18"/>
    <col min="8170" max="8170" width="3.28515625" style="18" customWidth="1"/>
    <col min="8171" max="8171" width="48.28515625" style="18" customWidth="1"/>
    <col min="8172" max="8172" width="9.140625" style="18" customWidth="1"/>
    <col min="8173" max="8173" width="17.85546875" style="18" customWidth="1"/>
    <col min="8174" max="8174" width="21" style="18" customWidth="1"/>
    <col min="8175" max="8175" width="1.85546875" style="18" customWidth="1"/>
    <col min="8176" max="8177" width="18.5703125" style="18" bestFit="1" customWidth="1"/>
    <col min="8178" max="8179" width="9.140625" style="18"/>
    <col min="8180" max="8180" width="14.28515625" style="18" bestFit="1" customWidth="1"/>
    <col min="8181" max="8425" width="9.140625" style="18"/>
    <col min="8426" max="8426" width="3.28515625" style="18" customWidth="1"/>
    <col min="8427" max="8427" width="48.28515625" style="18" customWidth="1"/>
    <col min="8428" max="8428" width="9.140625" style="18" customWidth="1"/>
    <col min="8429" max="8429" width="17.85546875" style="18" customWidth="1"/>
    <col min="8430" max="8430" width="21" style="18" customWidth="1"/>
    <col min="8431" max="8431" width="1.85546875" style="18" customWidth="1"/>
    <col min="8432" max="8433" width="18.5703125" style="18" bestFit="1" customWidth="1"/>
    <col min="8434" max="8435" width="9.140625" style="18"/>
    <col min="8436" max="8436" width="14.28515625" style="18" bestFit="1" customWidth="1"/>
    <col min="8437" max="8681" width="9.140625" style="18"/>
    <col min="8682" max="8682" width="3.28515625" style="18" customWidth="1"/>
    <col min="8683" max="8683" width="48.28515625" style="18" customWidth="1"/>
    <col min="8684" max="8684" width="9.140625" style="18" customWidth="1"/>
    <col min="8685" max="8685" width="17.85546875" style="18" customWidth="1"/>
    <col min="8686" max="8686" width="21" style="18" customWidth="1"/>
    <col min="8687" max="8687" width="1.85546875" style="18" customWidth="1"/>
    <col min="8688" max="8689" width="18.5703125" style="18" bestFit="1" customWidth="1"/>
    <col min="8690" max="8691" width="9.140625" style="18"/>
    <col min="8692" max="8692" width="14.28515625" style="18" bestFit="1" customWidth="1"/>
    <col min="8693" max="8937" width="9.140625" style="18"/>
    <col min="8938" max="8938" width="3.28515625" style="18" customWidth="1"/>
    <col min="8939" max="8939" width="48.28515625" style="18" customWidth="1"/>
    <col min="8940" max="8940" width="9.140625" style="18" customWidth="1"/>
    <col min="8941" max="8941" width="17.85546875" style="18" customWidth="1"/>
    <col min="8942" max="8942" width="21" style="18" customWidth="1"/>
    <col min="8943" max="8943" width="1.85546875" style="18" customWidth="1"/>
    <col min="8944" max="8945" width="18.5703125" style="18" bestFit="1" customWidth="1"/>
    <col min="8946" max="8947" width="9.140625" style="18"/>
    <col min="8948" max="8948" width="14.28515625" style="18" bestFit="1" customWidth="1"/>
    <col min="8949" max="9193" width="9.140625" style="18"/>
    <col min="9194" max="9194" width="3.28515625" style="18" customWidth="1"/>
    <col min="9195" max="9195" width="48.28515625" style="18" customWidth="1"/>
    <col min="9196" max="9196" width="9.140625" style="18" customWidth="1"/>
    <col min="9197" max="9197" width="17.85546875" style="18" customWidth="1"/>
    <col min="9198" max="9198" width="21" style="18" customWidth="1"/>
    <col min="9199" max="9199" width="1.85546875" style="18" customWidth="1"/>
    <col min="9200" max="9201" width="18.5703125" style="18" bestFit="1" customWidth="1"/>
    <col min="9202" max="9203" width="9.140625" style="18"/>
    <col min="9204" max="9204" width="14.28515625" style="18" bestFit="1" customWidth="1"/>
    <col min="9205" max="9449" width="9.140625" style="18"/>
    <col min="9450" max="9450" width="3.28515625" style="18" customWidth="1"/>
    <col min="9451" max="9451" width="48.28515625" style="18" customWidth="1"/>
    <col min="9452" max="9452" width="9.140625" style="18" customWidth="1"/>
    <col min="9453" max="9453" width="17.85546875" style="18" customWidth="1"/>
    <col min="9454" max="9454" width="21" style="18" customWidth="1"/>
    <col min="9455" max="9455" width="1.85546875" style="18" customWidth="1"/>
    <col min="9456" max="9457" width="18.5703125" style="18" bestFit="1" customWidth="1"/>
    <col min="9458" max="9459" width="9.140625" style="18"/>
    <col min="9460" max="9460" width="14.28515625" style="18" bestFit="1" customWidth="1"/>
    <col min="9461" max="9705" width="9.140625" style="18"/>
    <col min="9706" max="9706" width="3.28515625" style="18" customWidth="1"/>
    <col min="9707" max="9707" width="48.28515625" style="18" customWidth="1"/>
    <col min="9708" max="9708" width="9.140625" style="18" customWidth="1"/>
    <col min="9709" max="9709" width="17.85546875" style="18" customWidth="1"/>
    <col min="9710" max="9710" width="21" style="18" customWidth="1"/>
    <col min="9711" max="9711" width="1.85546875" style="18" customWidth="1"/>
    <col min="9712" max="9713" width="18.5703125" style="18" bestFit="1" customWidth="1"/>
    <col min="9714" max="9715" width="9.140625" style="18"/>
    <col min="9716" max="9716" width="14.28515625" style="18" bestFit="1" customWidth="1"/>
    <col min="9717" max="9961" width="9.140625" style="18"/>
    <col min="9962" max="9962" width="3.28515625" style="18" customWidth="1"/>
    <col min="9963" max="9963" width="48.28515625" style="18" customWidth="1"/>
    <col min="9964" max="9964" width="9.140625" style="18" customWidth="1"/>
    <col min="9965" max="9965" width="17.85546875" style="18" customWidth="1"/>
    <col min="9966" max="9966" width="21" style="18" customWidth="1"/>
    <col min="9967" max="9967" width="1.85546875" style="18" customWidth="1"/>
    <col min="9968" max="9969" width="18.5703125" style="18" bestFit="1" customWidth="1"/>
    <col min="9970" max="9971" width="9.140625" style="18"/>
    <col min="9972" max="9972" width="14.28515625" style="18" bestFit="1" customWidth="1"/>
    <col min="9973" max="10217" width="9.140625" style="18"/>
    <col min="10218" max="10218" width="3.28515625" style="18" customWidth="1"/>
    <col min="10219" max="10219" width="48.28515625" style="18" customWidth="1"/>
    <col min="10220" max="10220" width="9.140625" style="18" customWidth="1"/>
    <col min="10221" max="10221" width="17.85546875" style="18" customWidth="1"/>
    <col min="10222" max="10222" width="21" style="18" customWidth="1"/>
    <col min="10223" max="10223" width="1.85546875" style="18" customWidth="1"/>
    <col min="10224" max="10225" width="18.5703125" style="18" bestFit="1" customWidth="1"/>
    <col min="10226" max="10227" width="9.140625" style="18"/>
    <col min="10228" max="10228" width="14.28515625" style="18" bestFit="1" customWidth="1"/>
    <col min="10229" max="10473" width="9.140625" style="18"/>
    <col min="10474" max="10474" width="3.28515625" style="18" customWidth="1"/>
    <col min="10475" max="10475" width="48.28515625" style="18" customWidth="1"/>
    <col min="10476" max="10476" width="9.140625" style="18" customWidth="1"/>
    <col min="10477" max="10477" width="17.85546875" style="18" customWidth="1"/>
    <col min="10478" max="10478" width="21" style="18" customWidth="1"/>
    <col min="10479" max="10479" width="1.85546875" style="18" customWidth="1"/>
    <col min="10480" max="10481" width="18.5703125" style="18" bestFit="1" customWidth="1"/>
    <col min="10482" max="10483" width="9.140625" style="18"/>
    <col min="10484" max="10484" width="14.28515625" style="18" bestFit="1" customWidth="1"/>
    <col min="10485" max="10729" width="9.140625" style="18"/>
    <col min="10730" max="10730" width="3.28515625" style="18" customWidth="1"/>
    <col min="10731" max="10731" width="48.28515625" style="18" customWidth="1"/>
    <col min="10732" max="10732" width="9.140625" style="18" customWidth="1"/>
    <col min="10733" max="10733" width="17.85546875" style="18" customWidth="1"/>
    <col min="10734" max="10734" width="21" style="18" customWidth="1"/>
    <col min="10735" max="10735" width="1.85546875" style="18" customWidth="1"/>
    <col min="10736" max="10737" width="18.5703125" style="18" bestFit="1" customWidth="1"/>
    <col min="10738" max="10739" width="9.140625" style="18"/>
    <col min="10740" max="10740" width="14.28515625" style="18" bestFit="1" customWidth="1"/>
    <col min="10741" max="10985" width="9.140625" style="18"/>
    <col min="10986" max="10986" width="3.28515625" style="18" customWidth="1"/>
    <col min="10987" max="10987" width="48.28515625" style="18" customWidth="1"/>
    <col min="10988" max="10988" width="9.140625" style="18" customWidth="1"/>
    <col min="10989" max="10989" width="17.85546875" style="18" customWidth="1"/>
    <col min="10990" max="10990" width="21" style="18" customWidth="1"/>
    <col min="10991" max="10991" width="1.85546875" style="18" customWidth="1"/>
    <col min="10992" max="10993" width="18.5703125" style="18" bestFit="1" customWidth="1"/>
    <col min="10994" max="10995" width="9.140625" style="18"/>
    <col min="10996" max="10996" width="14.28515625" style="18" bestFit="1" customWidth="1"/>
    <col min="10997" max="11241" width="9.140625" style="18"/>
    <col min="11242" max="11242" width="3.28515625" style="18" customWidth="1"/>
    <col min="11243" max="11243" width="48.28515625" style="18" customWidth="1"/>
    <col min="11244" max="11244" width="9.140625" style="18" customWidth="1"/>
    <col min="11245" max="11245" width="17.85546875" style="18" customWidth="1"/>
    <col min="11246" max="11246" width="21" style="18" customWidth="1"/>
    <col min="11247" max="11247" width="1.85546875" style="18" customWidth="1"/>
    <col min="11248" max="11249" width="18.5703125" style="18" bestFit="1" customWidth="1"/>
    <col min="11250" max="11251" width="9.140625" style="18"/>
    <col min="11252" max="11252" width="14.28515625" style="18" bestFit="1" customWidth="1"/>
    <col min="11253" max="11497" width="9.140625" style="18"/>
    <col min="11498" max="11498" width="3.28515625" style="18" customWidth="1"/>
    <col min="11499" max="11499" width="48.28515625" style="18" customWidth="1"/>
    <col min="11500" max="11500" width="9.140625" style="18" customWidth="1"/>
    <col min="11501" max="11501" width="17.85546875" style="18" customWidth="1"/>
    <col min="11502" max="11502" width="21" style="18" customWidth="1"/>
    <col min="11503" max="11503" width="1.85546875" style="18" customWidth="1"/>
    <col min="11504" max="11505" width="18.5703125" style="18" bestFit="1" customWidth="1"/>
    <col min="11506" max="11507" width="9.140625" style="18"/>
    <col min="11508" max="11508" width="14.28515625" style="18" bestFit="1" customWidth="1"/>
    <col min="11509" max="11753" width="9.140625" style="18"/>
    <col min="11754" max="11754" width="3.28515625" style="18" customWidth="1"/>
    <col min="11755" max="11755" width="48.28515625" style="18" customWidth="1"/>
    <col min="11756" max="11756" width="9.140625" style="18" customWidth="1"/>
    <col min="11757" max="11757" width="17.85546875" style="18" customWidth="1"/>
    <col min="11758" max="11758" width="21" style="18" customWidth="1"/>
    <col min="11759" max="11759" width="1.85546875" style="18" customWidth="1"/>
    <col min="11760" max="11761" width="18.5703125" style="18" bestFit="1" customWidth="1"/>
    <col min="11762" max="11763" width="9.140625" style="18"/>
    <col min="11764" max="11764" width="14.28515625" style="18" bestFit="1" customWidth="1"/>
    <col min="11765" max="12009" width="9.140625" style="18"/>
    <col min="12010" max="12010" width="3.28515625" style="18" customWidth="1"/>
    <col min="12011" max="12011" width="48.28515625" style="18" customWidth="1"/>
    <col min="12012" max="12012" width="9.140625" style="18" customWidth="1"/>
    <col min="12013" max="12013" width="17.85546875" style="18" customWidth="1"/>
    <col min="12014" max="12014" width="21" style="18" customWidth="1"/>
    <col min="12015" max="12015" width="1.85546875" style="18" customWidth="1"/>
    <col min="12016" max="12017" width="18.5703125" style="18" bestFit="1" customWidth="1"/>
    <col min="12018" max="12019" width="9.140625" style="18"/>
    <col min="12020" max="12020" width="14.28515625" style="18" bestFit="1" customWidth="1"/>
    <col min="12021" max="12265" width="9.140625" style="18"/>
    <col min="12266" max="12266" width="3.28515625" style="18" customWidth="1"/>
    <col min="12267" max="12267" width="48.28515625" style="18" customWidth="1"/>
    <col min="12268" max="12268" width="9.140625" style="18" customWidth="1"/>
    <col min="12269" max="12269" width="17.85546875" style="18" customWidth="1"/>
    <col min="12270" max="12270" width="21" style="18" customWidth="1"/>
    <col min="12271" max="12271" width="1.85546875" style="18" customWidth="1"/>
    <col min="12272" max="12273" width="18.5703125" style="18" bestFit="1" customWidth="1"/>
    <col min="12274" max="12275" width="9.140625" style="18"/>
    <col min="12276" max="12276" width="14.28515625" style="18" bestFit="1" customWidth="1"/>
    <col min="12277" max="12521" width="9.140625" style="18"/>
    <col min="12522" max="12522" width="3.28515625" style="18" customWidth="1"/>
    <col min="12523" max="12523" width="48.28515625" style="18" customWidth="1"/>
    <col min="12524" max="12524" width="9.140625" style="18" customWidth="1"/>
    <col min="12525" max="12525" width="17.85546875" style="18" customWidth="1"/>
    <col min="12526" max="12526" width="21" style="18" customWidth="1"/>
    <col min="12527" max="12527" width="1.85546875" style="18" customWidth="1"/>
    <col min="12528" max="12529" width="18.5703125" style="18" bestFit="1" customWidth="1"/>
    <col min="12530" max="12531" width="9.140625" style="18"/>
    <col min="12532" max="12532" width="14.28515625" style="18" bestFit="1" customWidth="1"/>
    <col min="12533" max="12777" width="9.140625" style="18"/>
    <col min="12778" max="12778" width="3.28515625" style="18" customWidth="1"/>
    <col min="12779" max="12779" width="48.28515625" style="18" customWidth="1"/>
    <col min="12780" max="12780" width="9.140625" style="18" customWidth="1"/>
    <col min="12781" max="12781" width="17.85546875" style="18" customWidth="1"/>
    <col min="12782" max="12782" width="21" style="18" customWidth="1"/>
    <col min="12783" max="12783" width="1.85546875" style="18" customWidth="1"/>
    <col min="12784" max="12785" width="18.5703125" style="18" bestFit="1" customWidth="1"/>
    <col min="12786" max="12787" width="9.140625" style="18"/>
    <col min="12788" max="12788" width="14.28515625" style="18" bestFit="1" customWidth="1"/>
    <col min="12789" max="13033" width="9.140625" style="18"/>
    <col min="13034" max="13034" width="3.28515625" style="18" customWidth="1"/>
    <col min="13035" max="13035" width="48.28515625" style="18" customWidth="1"/>
    <col min="13036" max="13036" width="9.140625" style="18" customWidth="1"/>
    <col min="13037" max="13037" width="17.85546875" style="18" customWidth="1"/>
    <col min="13038" max="13038" width="21" style="18" customWidth="1"/>
    <col min="13039" max="13039" width="1.85546875" style="18" customWidth="1"/>
    <col min="13040" max="13041" width="18.5703125" style="18" bestFit="1" customWidth="1"/>
    <col min="13042" max="13043" width="9.140625" style="18"/>
    <col min="13044" max="13044" width="14.28515625" style="18" bestFit="1" customWidth="1"/>
    <col min="13045" max="13289" width="9.140625" style="18"/>
    <col min="13290" max="13290" width="3.28515625" style="18" customWidth="1"/>
    <col min="13291" max="13291" width="48.28515625" style="18" customWidth="1"/>
    <col min="13292" max="13292" width="9.140625" style="18" customWidth="1"/>
    <col min="13293" max="13293" width="17.85546875" style="18" customWidth="1"/>
    <col min="13294" max="13294" width="21" style="18" customWidth="1"/>
    <col min="13295" max="13295" width="1.85546875" style="18" customWidth="1"/>
    <col min="13296" max="13297" width="18.5703125" style="18" bestFit="1" customWidth="1"/>
    <col min="13298" max="13299" width="9.140625" style="18"/>
    <col min="13300" max="13300" width="14.28515625" style="18" bestFit="1" customWidth="1"/>
    <col min="13301" max="13545" width="9.140625" style="18"/>
    <col min="13546" max="13546" width="3.28515625" style="18" customWidth="1"/>
    <col min="13547" max="13547" width="48.28515625" style="18" customWidth="1"/>
    <col min="13548" max="13548" width="9.140625" style="18" customWidth="1"/>
    <col min="13549" max="13549" width="17.85546875" style="18" customWidth="1"/>
    <col min="13550" max="13550" width="21" style="18" customWidth="1"/>
    <col min="13551" max="13551" width="1.85546875" style="18" customWidth="1"/>
    <col min="13552" max="13553" width="18.5703125" style="18" bestFit="1" customWidth="1"/>
    <col min="13554" max="13555" width="9.140625" style="18"/>
    <col min="13556" max="13556" width="14.28515625" style="18" bestFit="1" customWidth="1"/>
    <col min="13557" max="13801" width="9.140625" style="18"/>
    <col min="13802" max="13802" width="3.28515625" style="18" customWidth="1"/>
    <col min="13803" max="13803" width="48.28515625" style="18" customWidth="1"/>
    <col min="13804" max="13804" width="9.140625" style="18" customWidth="1"/>
    <col min="13805" max="13805" width="17.85546875" style="18" customWidth="1"/>
    <col min="13806" max="13806" width="21" style="18" customWidth="1"/>
    <col min="13807" max="13807" width="1.85546875" style="18" customWidth="1"/>
    <col min="13808" max="13809" width="18.5703125" style="18" bestFit="1" customWidth="1"/>
    <col min="13810" max="13811" width="9.140625" style="18"/>
    <col min="13812" max="13812" width="14.28515625" style="18" bestFit="1" customWidth="1"/>
    <col min="13813" max="14057" width="9.140625" style="18"/>
    <col min="14058" max="14058" width="3.28515625" style="18" customWidth="1"/>
    <col min="14059" max="14059" width="48.28515625" style="18" customWidth="1"/>
    <col min="14060" max="14060" width="9.140625" style="18" customWidth="1"/>
    <col min="14061" max="14061" width="17.85546875" style="18" customWidth="1"/>
    <col min="14062" max="14062" width="21" style="18" customWidth="1"/>
    <col min="14063" max="14063" width="1.85546875" style="18" customWidth="1"/>
    <col min="14064" max="14065" width="18.5703125" style="18" bestFit="1" customWidth="1"/>
    <col min="14066" max="14067" width="9.140625" style="18"/>
    <col min="14068" max="14068" width="14.28515625" style="18" bestFit="1" customWidth="1"/>
    <col min="14069" max="14313" width="9.140625" style="18"/>
    <col min="14314" max="14314" width="3.28515625" style="18" customWidth="1"/>
    <col min="14315" max="14315" width="48.28515625" style="18" customWidth="1"/>
    <col min="14316" max="14316" width="9.140625" style="18" customWidth="1"/>
    <col min="14317" max="14317" width="17.85546875" style="18" customWidth="1"/>
    <col min="14318" max="14318" width="21" style="18" customWidth="1"/>
    <col min="14319" max="14319" width="1.85546875" style="18" customWidth="1"/>
    <col min="14320" max="14321" width="18.5703125" style="18" bestFit="1" customWidth="1"/>
    <col min="14322" max="14323" width="9.140625" style="18"/>
    <col min="14324" max="14324" width="14.28515625" style="18" bestFit="1" customWidth="1"/>
    <col min="14325" max="14569" width="9.140625" style="18"/>
    <col min="14570" max="14570" width="3.28515625" style="18" customWidth="1"/>
    <col min="14571" max="14571" width="48.28515625" style="18" customWidth="1"/>
    <col min="14572" max="14572" width="9.140625" style="18" customWidth="1"/>
    <col min="14573" max="14573" width="17.85546875" style="18" customWidth="1"/>
    <col min="14574" max="14574" width="21" style="18" customWidth="1"/>
    <col min="14575" max="14575" width="1.85546875" style="18" customWidth="1"/>
    <col min="14576" max="14577" width="18.5703125" style="18" bestFit="1" customWidth="1"/>
    <col min="14578" max="14579" width="9.140625" style="18"/>
    <col min="14580" max="14580" width="14.28515625" style="18" bestFit="1" customWidth="1"/>
    <col min="14581" max="14825" width="9.140625" style="18"/>
    <col min="14826" max="14826" width="3.28515625" style="18" customWidth="1"/>
    <col min="14827" max="14827" width="48.28515625" style="18" customWidth="1"/>
    <col min="14828" max="14828" width="9.140625" style="18" customWidth="1"/>
    <col min="14829" max="14829" width="17.85546875" style="18" customWidth="1"/>
    <col min="14830" max="14830" width="21" style="18" customWidth="1"/>
    <col min="14831" max="14831" width="1.85546875" style="18" customWidth="1"/>
    <col min="14832" max="14833" width="18.5703125" style="18" bestFit="1" customWidth="1"/>
    <col min="14834" max="14835" width="9.140625" style="18"/>
    <col min="14836" max="14836" width="14.28515625" style="18" bestFit="1" customWidth="1"/>
    <col min="14837" max="15081" width="9.140625" style="18"/>
    <col min="15082" max="15082" width="3.28515625" style="18" customWidth="1"/>
    <col min="15083" max="15083" width="48.28515625" style="18" customWidth="1"/>
    <col min="15084" max="15084" width="9.140625" style="18" customWidth="1"/>
    <col min="15085" max="15085" width="17.85546875" style="18" customWidth="1"/>
    <col min="15086" max="15086" width="21" style="18" customWidth="1"/>
    <col min="15087" max="15087" width="1.85546875" style="18" customWidth="1"/>
    <col min="15088" max="15089" width="18.5703125" style="18" bestFit="1" customWidth="1"/>
    <col min="15090" max="15091" width="9.140625" style="18"/>
    <col min="15092" max="15092" width="14.28515625" style="18" bestFit="1" customWidth="1"/>
    <col min="15093" max="15337" width="9.140625" style="18"/>
    <col min="15338" max="15338" width="3.28515625" style="18" customWidth="1"/>
    <col min="15339" max="15339" width="48.28515625" style="18" customWidth="1"/>
    <col min="15340" max="15340" width="9.140625" style="18" customWidth="1"/>
    <col min="15341" max="15341" width="17.85546875" style="18" customWidth="1"/>
    <col min="15342" max="15342" width="21" style="18" customWidth="1"/>
    <col min="15343" max="15343" width="1.85546875" style="18" customWidth="1"/>
    <col min="15344" max="15345" width="18.5703125" style="18" bestFit="1" customWidth="1"/>
    <col min="15346" max="15347" width="9.140625" style="18"/>
    <col min="15348" max="15348" width="14.28515625" style="18" bestFit="1" customWidth="1"/>
    <col min="15349" max="15593" width="9.140625" style="18"/>
    <col min="15594" max="15594" width="3.28515625" style="18" customWidth="1"/>
    <col min="15595" max="15595" width="48.28515625" style="18" customWidth="1"/>
    <col min="15596" max="15596" width="9.140625" style="18" customWidth="1"/>
    <col min="15597" max="15597" width="17.85546875" style="18" customWidth="1"/>
    <col min="15598" max="15598" width="21" style="18" customWidth="1"/>
    <col min="15599" max="15599" width="1.85546875" style="18" customWidth="1"/>
    <col min="15600" max="15601" width="18.5703125" style="18" bestFit="1" customWidth="1"/>
    <col min="15602" max="15603" width="9.140625" style="18"/>
    <col min="15604" max="15604" width="14.28515625" style="18" bestFit="1" customWidth="1"/>
    <col min="15605" max="15849" width="9.140625" style="18"/>
    <col min="15850" max="15850" width="3.28515625" style="18" customWidth="1"/>
    <col min="15851" max="15851" width="48.28515625" style="18" customWidth="1"/>
    <col min="15852" max="15852" width="9.140625" style="18" customWidth="1"/>
    <col min="15853" max="15853" width="17.85546875" style="18" customWidth="1"/>
    <col min="15854" max="15854" width="21" style="18" customWidth="1"/>
    <col min="15855" max="15855" width="1.85546875" style="18" customWidth="1"/>
    <col min="15856" max="15857" width="18.5703125" style="18" bestFit="1" customWidth="1"/>
    <col min="15858" max="15859" width="9.140625" style="18"/>
    <col min="15860" max="15860" width="14.28515625" style="18" bestFit="1" customWidth="1"/>
    <col min="15861" max="16105" width="9.140625" style="18"/>
    <col min="16106" max="16106" width="3.28515625" style="18" customWidth="1"/>
    <col min="16107" max="16107" width="48.28515625" style="18" customWidth="1"/>
    <col min="16108" max="16108" width="9.140625" style="18" customWidth="1"/>
    <col min="16109" max="16109" width="17.85546875" style="18" customWidth="1"/>
    <col min="16110" max="16110" width="21" style="18" customWidth="1"/>
    <col min="16111" max="16111" width="1.85546875" style="18" customWidth="1"/>
    <col min="16112" max="16113" width="18.5703125" style="18" bestFit="1" customWidth="1"/>
    <col min="16114" max="16115" width="9.140625" style="18"/>
    <col min="16116" max="16116" width="14.28515625" style="18" bestFit="1" customWidth="1"/>
    <col min="16117" max="16384" width="9.140625" style="18"/>
  </cols>
  <sheetData>
    <row r="1" spans="1:28" ht="8.25" customHeight="1" thickBot="1" x14ac:dyDescent="0.3"/>
    <row r="2" spans="1:28" ht="24" customHeight="1" x14ac:dyDescent="0.25">
      <c r="B2" s="42" t="s">
        <v>45</v>
      </c>
      <c r="C2" s="35"/>
      <c r="D2" s="35"/>
      <c r="E2" s="35"/>
      <c r="F2" s="35"/>
      <c r="G2" s="35"/>
      <c r="H2" s="35"/>
      <c r="I2" s="35"/>
      <c r="J2" s="35"/>
      <c r="K2" s="35"/>
      <c r="L2" s="35"/>
      <c r="M2" s="35"/>
      <c r="N2" s="35"/>
      <c r="O2" s="35"/>
      <c r="P2" s="35"/>
      <c r="Q2" s="35"/>
      <c r="R2" s="35"/>
      <c r="S2" s="35"/>
      <c r="T2" s="35"/>
      <c r="U2" s="35"/>
      <c r="V2" s="35"/>
      <c r="W2" s="35"/>
      <c r="X2" s="35"/>
      <c r="Y2" s="35"/>
      <c r="Z2" s="35"/>
      <c r="AA2" s="35"/>
      <c r="AB2" s="36"/>
    </row>
    <row r="3" spans="1:28" ht="24" customHeight="1" thickBot="1" x14ac:dyDescent="0.3">
      <c r="B3" s="43" t="s">
        <v>76</v>
      </c>
      <c r="C3" s="25"/>
      <c r="D3" s="25"/>
      <c r="E3" s="25"/>
      <c r="F3" s="25"/>
      <c r="G3" s="25"/>
      <c r="H3" s="25"/>
      <c r="I3" s="25"/>
      <c r="J3" s="25"/>
      <c r="K3" s="25"/>
      <c r="L3" s="25"/>
      <c r="M3" s="25"/>
      <c r="N3" s="25"/>
      <c r="O3" s="25"/>
      <c r="P3" s="25"/>
      <c r="Q3" s="25"/>
      <c r="R3" s="25"/>
      <c r="S3" s="25"/>
      <c r="T3" s="25"/>
      <c r="U3" s="25"/>
      <c r="V3" s="25"/>
      <c r="W3" s="25"/>
      <c r="X3" s="25"/>
      <c r="Y3" s="25"/>
      <c r="Z3" s="25"/>
      <c r="AA3" s="25"/>
      <c r="AB3" s="37"/>
    </row>
    <row r="4" spans="1:28" ht="9.9499999999999993" customHeight="1" x14ac:dyDescent="0.25">
      <c r="B4" s="27"/>
      <c r="C4" s="28"/>
      <c r="D4" s="28"/>
      <c r="E4" s="29"/>
      <c r="F4" s="29"/>
      <c r="G4" s="29"/>
      <c r="H4" s="29"/>
      <c r="I4" s="29"/>
      <c r="J4" s="28"/>
      <c r="K4" s="28"/>
      <c r="L4" s="28"/>
      <c r="M4" s="28"/>
      <c r="N4" s="28"/>
      <c r="O4" s="28"/>
      <c r="P4" s="28"/>
      <c r="Q4" s="28"/>
      <c r="R4" s="28"/>
      <c r="S4" s="28"/>
      <c r="T4" s="28"/>
      <c r="U4" s="28"/>
      <c r="V4" s="28"/>
      <c r="W4" s="28"/>
      <c r="X4" s="28"/>
      <c r="Y4" s="28"/>
      <c r="Z4" s="28"/>
      <c r="AA4" s="28"/>
      <c r="AB4" s="30"/>
    </row>
    <row r="5" spans="1:28" ht="15.75" customHeight="1" x14ac:dyDescent="0.25">
      <c r="B5" s="31"/>
      <c r="C5" s="23"/>
      <c r="D5" s="23"/>
      <c r="E5" s="24"/>
      <c r="F5" s="24"/>
      <c r="G5" s="24"/>
      <c r="H5" s="24"/>
      <c r="I5" s="24"/>
      <c r="AB5" s="32"/>
    </row>
    <row r="6" spans="1:28" ht="20.100000000000001" customHeight="1" x14ac:dyDescent="0.25">
      <c r="A6" s="21" t="s">
        <v>43</v>
      </c>
      <c r="B6" s="31"/>
      <c r="C6" s="70"/>
      <c r="D6" s="70"/>
      <c r="E6" s="12" t="s">
        <v>216</v>
      </c>
      <c r="F6" s="12"/>
      <c r="G6" s="12"/>
      <c r="H6" s="12"/>
      <c r="I6" s="12"/>
      <c r="AB6" s="32"/>
    </row>
    <row r="7" spans="1:28" s="19" customFormat="1" ht="15" customHeight="1" x14ac:dyDescent="0.25">
      <c r="A7" s="22"/>
      <c r="B7" s="33"/>
      <c r="C7" s="38" t="s">
        <v>46</v>
      </c>
      <c r="D7" s="111"/>
      <c r="E7" s="11" t="s">
        <v>175</v>
      </c>
      <c r="F7" s="11"/>
      <c r="G7" s="11"/>
      <c r="H7" s="11"/>
      <c r="I7" s="11"/>
      <c r="K7" s="9" t="s">
        <v>24</v>
      </c>
      <c r="L7" s="8"/>
      <c r="M7" s="8"/>
      <c r="N7" s="8"/>
      <c r="O7" s="7"/>
      <c r="P7" s="26"/>
      <c r="Q7" s="9" t="s">
        <v>144</v>
      </c>
      <c r="R7" s="8"/>
      <c r="S7" s="8"/>
      <c r="T7" s="8"/>
      <c r="U7" s="7"/>
      <c r="W7" s="9" t="s">
        <v>145</v>
      </c>
      <c r="X7" s="8"/>
      <c r="Y7" s="8"/>
      <c r="Z7" s="8"/>
      <c r="AA7" s="7"/>
      <c r="AB7" s="34"/>
    </row>
    <row r="8" spans="1:28" s="48" customFormat="1" ht="15" customHeight="1" x14ac:dyDescent="0.25">
      <c r="A8" s="47"/>
      <c r="B8" s="117"/>
      <c r="C8" s="41" t="s">
        <v>172</v>
      </c>
      <c r="D8" s="112" t="s">
        <v>176</v>
      </c>
      <c r="E8" s="40">
        <v>2020</v>
      </c>
      <c r="F8" s="40">
        <v>2021</v>
      </c>
      <c r="G8" s="40">
        <v>2022</v>
      </c>
      <c r="H8" s="40">
        <v>2023</v>
      </c>
      <c r="I8" s="40">
        <v>2024</v>
      </c>
      <c r="K8" s="39" t="s">
        <v>153</v>
      </c>
      <c r="L8" s="118">
        <v>2021</v>
      </c>
      <c r="M8" s="118">
        <v>2022</v>
      </c>
      <c r="N8" s="118">
        <v>2023</v>
      </c>
      <c r="O8" s="119">
        <v>2024</v>
      </c>
      <c r="P8" s="120"/>
      <c r="Q8" s="39" t="s">
        <v>153</v>
      </c>
      <c r="R8" s="118">
        <v>2021</v>
      </c>
      <c r="S8" s="118">
        <v>2022</v>
      </c>
      <c r="T8" s="118">
        <v>2023</v>
      </c>
      <c r="U8" s="119">
        <v>2024</v>
      </c>
      <c r="W8" s="39" t="s">
        <v>153</v>
      </c>
      <c r="X8" s="118">
        <v>2021</v>
      </c>
      <c r="Y8" s="118">
        <v>2022</v>
      </c>
      <c r="Z8" s="118">
        <v>2023</v>
      </c>
      <c r="AA8" s="119">
        <v>2024</v>
      </c>
      <c r="AB8" s="121"/>
    </row>
    <row r="9" spans="1:28" s="48" customFormat="1" ht="15" customHeight="1" x14ac:dyDescent="0.25">
      <c r="A9" s="47" t="s">
        <v>0</v>
      </c>
      <c r="B9" s="117"/>
      <c r="C9" s="147" t="s">
        <v>128</v>
      </c>
      <c r="D9" s="113">
        <v>1</v>
      </c>
      <c r="E9" s="157">
        <v>2244597.1883875402</v>
      </c>
      <c r="F9" s="157">
        <v>2511410.5375608495</v>
      </c>
      <c r="G9" s="158">
        <v>1986209.21170907</v>
      </c>
      <c r="H9" s="158">
        <v>2291761.3951602401</v>
      </c>
      <c r="I9" s="158">
        <v>2550852.7359503503</v>
      </c>
      <c r="K9" s="122"/>
      <c r="L9" s="123"/>
      <c r="M9" s="123"/>
      <c r="N9" s="123"/>
      <c r="O9" s="124"/>
      <c r="Q9" s="125"/>
      <c r="R9" s="126"/>
      <c r="S9" s="126"/>
      <c r="T9" s="126"/>
      <c r="U9" s="127"/>
      <c r="W9" s="128"/>
      <c r="AA9" s="129"/>
      <c r="AB9" s="121"/>
    </row>
    <row r="10" spans="1:28" s="48" customFormat="1" ht="15" customHeight="1" x14ac:dyDescent="0.25">
      <c r="A10" s="47" t="s">
        <v>2</v>
      </c>
      <c r="B10" s="117"/>
      <c r="C10" s="148" t="s">
        <v>129</v>
      </c>
      <c r="D10" s="207">
        <v>2</v>
      </c>
      <c r="E10" s="159">
        <v>2024330.9789865301</v>
      </c>
      <c r="F10" s="159">
        <v>2127697.9078096696</v>
      </c>
      <c r="G10" s="159">
        <v>1495861.1530756203</v>
      </c>
      <c r="H10" s="159">
        <v>1916197.8760596099</v>
      </c>
      <c r="I10" s="160">
        <v>2033074.41995977</v>
      </c>
      <c r="K10" s="128"/>
      <c r="O10" s="129"/>
      <c r="Q10" s="128"/>
      <c r="U10" s="129"/>
      <c r="W10" s="128"/>
      <c r="AA10" s="129"/>
      <c r="AB10" s="121"/>
    </row>
    <row r="11" spans="1:28" s="48" customFormat="1" ht="15" customHeight="1" x14ac:dyDescent="0.25">
      <c r="A11" s="47" t="s">
        <v>1</v>
      </c>
      <c r="B11" s="117"/>
      <c r="C11" s="147" t="s">
        <v>130</v>
      </c>
      <c r="D11" s="113">
        <v>3</v>
      </c>
      <c r="E11" s="153">
        <v>220266.20940001</v>
      </c>
      <c r="F11" s="154">
        <v>383712.62975018006</v>
      </c>
      <c r="G11" s="158">
        <v>490348.05863344995</v>
      </c>
      <c r="H11" s="158">
        <v>375563.51910063002</v>
      </c>
      <c r="I11" s="158">
        <v>517778.31599057995</v>
      </c>
      <c r="J11" s="130"/>
      <c r="K11" s="128"/>
      <c r="O11" s="129"/>
      <c r="Q11" s="128"/>
      <c r="U11" s="129"/>
      <c r="W11" s="128"/>
      <c r="AA11" s="129"/>
      <c r="AB11" s="121"/>
    </row>
    <row r="12" spans="1:28" s="48" customFormat="1" ht="15" customHeight="1" x14ac:dyDescent="0.25">
      <c r="A12" s="47" t="s">
        <v>4</v>
      </c>
      <c r="B12" s="117"/>
      <c r="C12" s="146" t="s">
        <v>199</v>
      </c>
      <c r="D12" s="114">
        <v>4</v>
      </c>
      <c r="E12" s="155">
        <v>708856.35300292005</v>
      </c>
      <c r="F12" s="156">
        <v>794526.30087586015</v>
      </c>
      <c r="G12" s="160">
        <v>880507.78762049985</v>
      </c>
      <c r="H12" s="160">
        <v>923628.18510616</v>
      </c>
      <c r="I12" s="160">
        <v>1011763.9988688901</v>
      </c>
      <c r="K12" s="128"/>
      <c r="O12" s="129"/>
      <c r="Q12" s="128"/>
      <c r="U12" s="129"/>
      <c r="W12" s="128"/>
      <c r="AA12" s="129"/>
      <c r="AB12" s="121"/>
    </row>
    <row r="13" spans="1:28" s="48" customFormat="1" ht="15" customHeight="1" x14ac:dyDescent="0.25">
      <c r="A13" s="47" t="s">
        <v>5</v>
      </c>
      <c r="B13" s="117"/>
      <c r="C13" s="200" t="s">
        <v>217</v>
      </c>
      <c r="D13" s="113">
        <v>5</v>
      </c>
      <c r="E13" s="153">
        <v>580321.07256669004</v>
      </c>
      <c r="F13" s="154">
        <v>648323.26940486988</v>
      </c>
      <c r="G13" s="158">
        <v>721213.00631621981</v>
      </c>
      <c r="H13" s="158">
        <v>744271.97776340006</v>
      </c>
      <c r="I13" s="158">
        <v>833063.43365193019</v>
      </c>
      <c r="K13" s="128"/>
      <c r="O13" s="129"/>
      <c r="Q13" s="128"/>
      <c r="U13" s="129"/>
      <c r="W13" s="128"/>
      <c r="AA13" s="129"/>
      <c r="AB13" s="121"/>
    </row>
    <row r="14" spans="1:28" s="48" customFormat="1" ht="15" customHeight="1" x14ac:dyDescent="0.25">
      <c r="A14" s="47"/>
      <c r="B14" s="117"/>
      <c r="C14" s="146" t="s">
        <v>200</v>
      </c>
      <c r="D14" s="114">
        <v>6</v>
      </c>
      <c r="E14" s="155">
        <v>714121.72728313995</v>
      </c>
      <c r="F14" s="156">
        <v>767534.61560904002</v>
      </c>
      <c r="G14" s="160">
        <v>812079.31503398984</v>
      </c>
      <c r="H14" s="160">
        <v>890380.53836050001</v>
      </c>
      <c r="I14" s="160">
        <v>990854.55330491008</v>
      </c>
      <c r="K14" s="128"/>
      <c r="O14" s="129"/>
      <c r="Q14" s="128"/>
      <c r="U14" s="129"/>
      <c r="W14" s="128"/>
      <c r="AA14" s="129"/>
      <c r="AB14" s="121"/>
    </row>
    <row r="15" spans="1:28" s="48" customFormat="1" ht="15" customHeight="1" x14ac:dyDescent="0.25">
      <c r="A15" s="47"/>
      <c r="B15" s="117"/>
      <c r="C15" s="147" t="s">
        <v>189</v>
      </c>
      <c r="D15" s="113">
        <v>7</v>
      </c>
      <c r="E15" s="153">
        <v>-77484.455568420002</v>
      </c>
      <c r="F15" s="154">
        <v>106120.63765204001</v>
      </c>
      <c r="G15" s="158">
        <v>101799.37826580001</v>
      </c>
      <c r="H15" s="158">
        <v>-211269.66021777003</v>
      </c>
      <c r="I15" s="158">
        <v>-19541.823283149995</v>
      </c>
      <c r="K15" s="128"/>
      <c r="O15" s="129"/>
      <c r="Q15" s="128"/>
      <c r="U15" s="129"/>
      <c r="W15" s="128"/>
      <c r="AA15" s="129"/>
      <c r="AB15" s="121"/>
    </row>
    <row r="16" spans="1:28" s="48" customFormat="1" ht="15" customHeight="1" x14ac:dyDescent="0.25">
      <c r="A16" s="47"/>
      <c r="B16" s="117"/>
      <c r="C16" s="173" t="s">
        <v>173</v>
      </c>
      <c r="D16" s="116"/>
      <c r="E16" s="155"/>
      <c r="F16" s="155"/>
      <c r="G16" s="155"/>
      <c r="H16" s="155"/>
      <c r="I16" s="155"/>
      <c r="K16" s="128"/>
      <c r="O16" s="129"/>
      <c r="Q16" s="128"/>
      <c r="U16" s="129"/>
      <c r="W16" s="128"/>
      <c r="AA16" s="129"/>
      <c r="AB16" s="121"/>
    </row>
    <row r="17" spans="1:28" s="48" customFormat="1" ht="15" customHeight="1" x14ac:dyDescent="0.25">
      <c r="A17" s="47"/>
      <c r="B17" s="117"/>
      <c r="C17" s="147" t="s">
        <v>134</v>
      </c>
      <c r="D17" s="113">
        <v>8</v>
      </c>
      <c r="E17" s="153">
        <v>-586912.17055653979</v>
      </c>
      <c r="F17" s="154">
        <v>-557300.88768804981</v>
      </c>
      <c r="G17" s="190">
        <v>-210649.59044758033</v>
      </c>
      <c r="H17" s="190">
        <v>-358825.85831911961</v>
      </c>
      <c r="I17" s="190">
        <v>-438579.57179723989</v>
      </c>
      <c r="K17" s="128"/>
      <c r="O17" s="129"/>
      <c r="Q17" s="128"/>
      <c r="U17" s="129"/>
      <c r="W17" s="128"/>
      <c r="AA17" s="129"/>
      <c r="AB17" s="121"/>
    </row>
    <row r="18" spans="1:28" s="48" customFormat="1" ht="15" customHeight="1" x14ac:dyDescent="0.25">
      <c r="A18" s="47"/>
      <c r="B18" s="117"/>
      <c r="C18" s="146" t="s">
        <v>131</v>
      </c>
      <c r="D18" s="114">
        <v>9</v>
      </c>
      <c r="E18" s="155">
        <v>390139.58210345003</v>
      </c>
      <c r="F18" s="156">
        <v>437142.07728889002</v>
      </c>
      <c r="G18" s="189">
        <v>477681.34306830005</v>
      </c>
      <c r="H18" s="189">
        <v>421022.00845133996</v>
      </c>
      <c r="I18" s="189">
        <v>475827.47351533995</v>
      </c>
      <c r="K18" s="128"/>
      <c r="O18" s="129"/>
      <c r="Q18" s="128"/>
      <c r="U18" s="129"/>
      <c r="W18" s="128"/>
      <c r="AA18" s="129"/>
      <c r="AB18" s="121"/>
    </row>
    <row r="19" spans="1:28" s="48" customFormat="1" ht="15" customHeight="1" x14ac:dyDescent="0.25">
      <c r="A19" s="47"/>
      <c r="B19" s="117"/>
      <c r="C19" s="147" t="s">
        <v>132</v>
      </c>
      <c r="D19" s="113">
        <v>10</v>
      </c>
      <c r="E19" s="153">
        <v>1729977.8225491897</v>
      </c>
      <c r="F19" s="154">
        <v>1786082.0823851798</v>
      </c>
      <c r="G19" s="190">
        <v>1170059.6347536503</v>
      </c>
      <c r="H19" s="190">
        <v>1377112.4899490199</v>
      </c>
      <c r="I19" s="190">
        <v>1478487.6495872401</v>
      </c>
      <c r="K19" s="128"/>
      <c r="O19" s="129"/>
      <c r="Q19" s="128"/>
      <c r="U19" s="129"/>
      <c r="W19" s="128"/>
      <c r="AA19" s="129"/>
      <c r="AB19" s="121"/>
    </row>
    <row r="20" spans="1:28" s="48" customFormat="1" ht="15" customHeight="1" x14ac:dyDescent="0.25">
      <c r="A20" s="47" t="s">
        <v>3</v>
      </c>
      <c r="B20" s="117"/>
      <c r="C20" s="146" t="s">
        <v>47</v>
      </c>
      <c r="D20" s="114">
        <v>11</v>
      </c>
      <c r="E20" s="155">
        <v>-1339838.2404457396</v>
      </c>
      <c r="F20" s="156">
        <v>-1348940.0050962898</v>
      </c>
      <c r="G20" s="189">
        <v>-692378.29168535024</v>
      </c>
      <c r="H20" s="189">
        <v>-956090.48149767984</v>
      </c>
      <c r="I20" s="189">
        <v>-1002660.1760719002</v>
      </c>
      <c r="K20" s="131"/>
      <c r="L20" s="132"/>
      <c r="M20" s="132"/>
      <c r="N20" s="132"/>
      <c r="O20" s="133"/>
      <c r="Q20" s="131"/>
      <c r="R20" s="132"/>
      <c r="S20" s="132"/>
      <c r="T20" s="132"/>
      <c r="U20" s="133"/>
      <c r="W20" s="128"/>
      <c r="AA20" s="129"/>
      <c r="AB20" s="134"/>
    </row>
    <row r="21" spans="1:28" s="48" customFormat="1" ht="15" customHeight="1" x14ac:dyDescent="0.25">
      <c r="A21" s="47"/>
      <c r="B21" s="117"/>
      <c r="C21" s="147" t="s">
        <v>133</v>
      </c>
      <c r="D21" s="113">
        <v>12</v>
      </c>
      <c r="E21" s="153">
        <v>752926.0698891998</v>
      </c>
      <c r="F21" s="154">
        <v>791639.11740823998</v>
      </c>
      <c r="G21" s="190">
        <v>481728.70123776991</v>
      </c>
      <c r="H21" s="190">
        <v>597264.62317856029</v>
      </c>
      <c r="I21" s="190">
        <v>564080.60427466035</v>
      </c>
      <c r="J21" s="19"/>
      <c r="K21" s="9" t="s">
        <v>150</v>
      </c>
      <c r="L21" s="8"/>
      <c r="M21" s="8"/>
      <c r="N21" s="8"/>
      <c r="O21" s="7"/>
      <c r="Q21" s="9" t="s">
        <v>151</v>
      </c>
      <c r="R21" s="8"/>
      <c r="S21" s="8"/>
      <c r="T21" s="8"/>
      <c r="U21" s="7"/>
      <c r="W21" s="9" t="s">
        <v>152</v>
      </c>
      <c r="X21" s="8"/>
      <c r="Y21" s="8"/>
      <c r="Z21" s="8"/>
      <c r="AA21" s="7"/>
      <c r="AB21" s="121"/>
    </row>
    <row r="22" spans="1:28" s="48" customFormat="1" ht="15" customHeight="1" x14ac:dyDescent="0.25">
      <c r="A22" s="47"/>
      <c r="B22" s="117"/>
      <c r="C22" s="41" t="s">
        <v>52</v>
      </c>
      <c r="D22" s="172"/>
      <c r="E22" s="40">
        <v>2020</v>
      </c>
      <c r="F22" s="40">
        <v>2021</v>
      </c>
      <c r="G22" s="40">
        <v>2022</v>
      </c>
      <c r="H22" s="40">
        <v>2023</v>
      </c>
      <c r="I22" s="40">
        <v>2024</v>
      </c>
      <c r="K22" s="39" t="s">
        <v>153</v>
      </c>
      <c r="L22" s="118">
        <v>2021</v>
      </c>
      <c r="M22" s="118">
        <v>2022</v>
      </c>
      <c r="N22" s="118">
        <v>2023</v>
      </c>
      <c r="O22" s="119">
        <v>2024</v>
      </c>
      <c r="Q22" s="39" t="s">
        <v>153</v>
      </c>
      <c r="R22" s="118">
        <v>2021</v>
      </c>
      <c r="S22" s="118">
        <v>2022</v>
      </c>
      <c r="T22" s="118">
        <v>2023</v>
      </c>
      <c r="U22" s="119">
        <v>2024</v>
      </c>
      <c r="W22" s="39" t="s">
        <v>153</v>
      </c>
      <c r="X22" s="118">
        <v>2021</v>
      </c>
      <c r="Y22" s="118">
        <v>2022</v>
      </c>
      <c r="Z22" s="118">
        <v>2023</v>
      </c>
      <c r="AA22" s="119">
        <v>2024</v>
      </c>
      <c r="AB22" s="121"/>
    </row>
    <row r="23" spans="1:28" s="48" customFormat="1" ht="15" customHeight="1" x14ac:dyDescent="0.25">
      <c r="A23" s="47"/>
      <c r="B23" s="117"/>
      <c r="C23" s="146" t="s">
        <v>33</v>
      </c>
      <c r="D23" s="114">
        <v>13</v>
      </c>
      <c r="E23" s="258">
        <v>0.66074006099586768</v>
      </c>
      <c r="F23" s="259">
        <v>0.68797576931973037</v>
      </c>
      <c r="G23" s="259">
        <v>0.81996679127219751</v>
      </c>
      <c r="H23" s="259">
        <v>0.73943605846432836</v>
      </c>
      <c r="I23" s="259">
        <v>0.70335932672844359</v>
      </c>
      <c r="K23" s="128"/>
      <c r="O23" s="129"/>
      <c r="Q23" s="128"/>
      <c r="U23" s="129"/>
      <c r="W23" s="128"/>
      <c r="AA23" s="129"/>
      <c r="AB23" s="121"/>
    </row>
    <row r="24" spans="1:28" s="48" customFormat="1" ht="15" customHeight="1" x14ac:dyDescent="0.25">
      <c r="A24" s="47"/>
      <c r="B24" s="117"/>
      <c r="C24" s="147" t="s">
        <v>35</v>
      </c>
      <c r="D24" s="113">
        <v>14</v>
      </c>
      <c r="E24" s="260">
        <v>0.63438565292819793</v>
      </c>
      <c r="F24" s="261">
        <v>0.66150858335855611</v>
      </c>
      <c r="G24" s="261">
        <v>0.78029584407562746</v>
      </c>
      <c r="H24" s="261">
        <v>0.693226350663671</v>
      </c>
      <c r="I24" s="261">
        <v>0.65735970988214332</v>
      </c>
      <c r="K24" s="128"/>
      <c r="O24" s="129"/>
      <c r="Q24" s="128"/>
      <c r="U24" s="129"/>
      <c r="W24" s="128"/>
      <c r="AA24" s="129"/>
      <c r="AB24" s="121"/>
    </row>
    <row r="25" spans="1:28" s="48" customFormat="1" ht="15" customHeight="1" x14ac:dyDescent="0.25">
      <c r="A25" s="47"/>
      <c r="B25" s="117"/>
      <c r="C25" s="146" t="s">
        <v>34</v>
      </c>
      <c r="D25" s="114">
        <v>15</v>
      </c>
      <c r="E25" s="258">
        <v>0.38621348324093463</v>
      </c>
      <c r="F25" s="259">
        <v>0.40042386318600598</v>
      </c>
      <c r="G25" s="259">
        <v>0.36468103293066684</v>
      </c>
      <c r="H25" s="259">
        <v>0.38783288889840928</v>
      </c>
      <c r="I25" s="259">
        <v>0.33016142583815117</v>
      </c>
      <c r="J25" s="130"/>
      <c r="K25" s="128"/>
      <c r="O25" s="129"/>
      <c r="Q25" s="128"/>
      <c r="U25" s="129"/>
      <c r="W25" s="128"/>
      <c r="AA25" s="129"/>
      <c r="AB25" s="121"/>
    </row>
    <row r="26" spans="1:28" s="48" customFormat="1" ht="15" customHeight="1" x14ac:dyDescent="0.25">
      <c r="A26" s="47"/>
      <c r="B26" s="117"/>
      <c r="C26" s="147" t="s">
        <v>30</v>
      </c>
      <c r="D26" s="113">
        <v>16</v>
      </c>
      <c r="E26" s="105">
        <v>9.8131731849064416E-2</v>
      </c>
      <c r="F26" s="107">
        <v>0.15278769600244341</v>
      </c>
      <c r="G26" s="107">
        <v>0.24687633897917582</v>
      </c>
      <c r="H26" s="107">
        <v>0.16387548891160661</v>
      </c>
      <c r="I26" s="107">
        <v>0.20298244139823915</v>
      </c>
      <c r="K26" s="128"/>
      <c r="O26" s="129"/>
      <c r="Q26" s="128"/>
      <c r="U26" s="129"/>
      <c r="W26" s="128"/>
      <c r="AA26" s="129"/>
      <c r="AB26" s="121"/>
    </row>
    <row r="27" spans="1:28" s="48" customFormat="1" ht="15" customHeight="1" x14ac:dyDescent="0.25">
      <c r="A27" s="47"/>
      <c r="B27" s="117"/>
      <c r="C27" s="146" t="s">
        <v>36</v>
      </c>
      <c r="D27" s="114">
        <v>17</v>
      </c>
      <c r="E27" s="106">
        <v>0.90186826815049004</v>
      </c>
      <c r="F27" s="108">
        <v>0.84721230399715841</v>
      </c>
      <c r="G27" s="108">
        <v>0.75312366102082429</v>
      </c>
      <c r="H27" s="108">
        <v>0.83612451108839325</v>
      </c>
      <c r="I27" s="108">
        <v>0.79701755860176082</v>
      </c>
      <c r="K27" s="128"/>
      <c r="O27" s="129"/>
      <c r="Q27" s="128"/>
      <c r="U27" s="129"/>
      <c r="W27" s="128"/>
      <c r="AA27" s="129"/>
      <c r="AB27" s="121"/>
    </row>
    <row r="28" spans="1:28" s="48" customFormat="1" ht="15" customHeight="1" x14ac:dyDescent="0.25">
      <c r="A28" s="47"/>
      <c r="B28" s="117"/>
      <c r="C28" s="147" t="s">
        <v>37</v>
      </c>
      <c r="D28" s="113">
        <v>18</v>
      </c>
      <c r="E28" s="105">
        <v>0.10880938526677345</v>
      </c>
      <c r="F28" s="107">
        <v>0.1803416868258276</v>
      </c>
      <c r="G28" s="107">
        <v>0.32780319057370516</v>
      </c>
      <c r="H28" s="107">
        <v>0.19599412137587968</v>
      </c>
      <c r="I28" s="107">
        <v>0.25467750265670336</v>
      </c>
      <c r="K28" s="128"/>
      <c r="O28" s="129"/>
      <c r="Q28" s="128"/>
      <c r="U28" s="129"/>
      <c r="W28" s="128"/>
      <c r="AA28" s="129"/>
      <c r="AB28" s="121"/>
    </row>
    <row r="29" spans="1:28" s="48" customFormat="1" ht="15" customHeight="1" x14ac:dyDescent="0.25">
      <c r="A29" s="47"/>
      <c r="B29" s="117"/>
      <c r="C29" s="173" t="s">
        <v>208</v>
      </c>
      <c r="D29" s="135"/>
      <c r="E29" s="262"/>
      <c r="F29" s="262"/>
      <c r="G29" s="262"/>
      <c r="H29" s="263"/>
      <c r="I29" s="264"/>
      <c r="K29" s="128"/>
      <c r="O29" s="129"/>
      <c r="Q29" s="128"/>
      <c r="U29" s="129"/>
      <c r="W29" s="128"/>
      <c r="AA29" s="129"/>
      <c r="AB29" s="121"/>
    </row>
    <row r="30" spans="1:28" s="48" customFormat="1" ht="15" customHeight="1" x14ac:dyDescent="0.25">
      <c r="A30" s="47"/>
      <c r="B30" s="117"/>
      <c r="C30" s="147" t="s">
        <v>40</v>
      </c>
      <c r="D30" s="113">
        <v>19</v>
      </c>
      <c r="E30" s="265">
        <v>-0.1090030289493529</v>
      </c>
      <c r="F30" s="265">
        <v>0.13356466303891518</v>
      </c>
      <c r="G30" s="265">
        <v>0.11561439852894941</v>
      </c>
      <c r="H30" s="265">
        <v>-0.22873886226575807</v>
      </c>
      <c r="I30" s="266">
        <v>-1.9314606276757167E-2</v>
      </c>
      <c r="K30" s="128"/>
      <c r="O30" s="129"/>
      <c r="Q30" s="128"/>
      <c r="U30" s="129"/>
      <c r="W30" s="128"/>
      <c r="AA30" s="129"/>
      <c r="AB30" s="121"/>
    </row>
    <row r="31" spans="1:28" s="48" customFormat="1" ht="15" customHeight="1" x14ac:dyDescent="0.25">
      <c r="A31" s="47"/>
      <c r="B31" s="117"/>
      <c r="C31" s="146" t="s">
        <v>31</v>
      </c>
      <c r="D31" s="114">
        <v>20</v>
      </c>
      <c r="E31" s="267">
        <v>-0.35079138910040414</v>
      </c>
      <c r="F31" s="267">
        <v>0.27656279575976145</v>
      </c>
      <c r="G31" s="267">
        <v>0.20760636546518507</v>
      </c>
      <c r="H31" s="267">
        <v>-0.56254042118814418</v>
      </c>
      <c r="I31" s="268">
        <v>-3.7741679555977244E-2</v>
      </c>
      <c r="K31" s="128"/>
      <c r="O31" s="129"/>
      <c r="Q31" s="128"/>
      <c r="U31" s="129"/>
      <c r="W31" s="128"/>
      <c r="AA31" s="129"/>
      <c r="AB31" s="121"/>
    </row>
    <row r="32" spans="1:28" s="48" customFormat="1" ht="15" customHeight="1" x14ac:dyDescent="0.25">
      <c r="A32" s="47"/>
      <c r="B32" s="117"/>
      <c r="C32" s="147" t="s">
        <v>39</v>
      </c>
      <c r="D32" s="113">
        <v>21</v>
      </c>
      <c r="E32" s="265">
        <v>-3.442376653016168E-2</v>
      </c>
      <c r="F32" s="265">
        <v>4.2255392364128279E-2</v>
      </c>
      <c r="G32" s="265">
        <v>5.1253099454817694E-2</v>
      </c>
      <c r="H32" s="265">
        <v>-9.2186586554748221E-2</v>
      </c>
      <c r="I32" s="266">
        <v>-7.6608982587422709E-3</v>
      </c>
      <c r="K32" s="128"/>
      <c r="O32" s="129"/>
      <c r="Q32" s="128"/>
      <c r="U32" s="129"/>
      <c r="W32" s="128"/>
      <c r="AA32" s="129"/>
      <c r="AB32" s="121"/>
    </row>
    <row r="33" spans="1:28" s="48" customFormat="1" ht="15" customHeight="1" x14ac:dyDescent="0.25">
      <c r="A33" s="47"/>
      <c r="B33" s="117"/>
      <c r="C33" s="146" t="s">
        <v>206</v>
      </c>
      <c r="D33" s="114">
        <v>22</v>
      </c>
      <c r="E33" s="267">
        <v>-8.5839707960832477E-3</v>
      </c>
      <c r="F33" s="267">
        <v>3.4395172449221641E-2</v>
      </c>
      <c r="G33" s="267">
        <v>8.2498973865289468E-2</v>
      </c>
      <c r="H33" s="267">
        <v>3.1995933078578301E-2</v>
      </c>
      <c r="I33" s="267">
        <v>1.6992281890673928E-2</v>
      </c>
      <c r="K33" s="128"/>
      <c r="O33" s="129"/>
      <c r="Q33" s="128"/>
      <c r="U33" s="129"/>
      <c r="W33" s="128"/>
      <c r="AA33" s="129"/>
      <c r="AB33" s="121"/>
    </row>
    <row r="34" spans="1:28" s="48" customFormat="1" ht="15" customHeight="1" x14ac:dyDescent="0.25">
      <c r="A34" s="47"/>
      <c r="B34" s="117"/>
      <c r="C34" s="147" t="s">
        <v>41</v>
      </c>
      <c r="D34" s="113">
        <v>23</v>
      </c>
      <c r="E34" s="269">
        <v>177.41206563718418</v>
      </c>
      <c r="F34" s="269">
        <v>179.10341198093212</v>
      </c>
      <c r="G34" s="269">
        <v>178.77337478185291</v>
      </c>
      <c r="H34" s="269">
        <v>141.23205385292047</v>
      </c>
      <c r="I34" s="270">
        <v>147.12267597094382</v>
      </c>
      <c r="K34" s="128"/>
      <c r="O34" s="129"/>
      <c r="Q34" s="128"/>
      <c r="U34" s="129"/>
      <c r="W34" s="128"/>
      <c r="AA34" s="129"/>
      <c r="AB34" s="121"/>
    </row>
    <row r="35" spans="1:28" s="48" customFormat="1" ht="15" customHeight="1" x14ac:dyDescent="0.25">
      <c r="A35" s="47"/>
      <c r="B35" s="117"/>
      <c r="C35" s="146" t="s">
        <v>42</v>
      </c>
      <c r="D35" s="114">
        <v>24</v>
      </c>
      <c r="E35" s="271">
        <v>398.4222275101589</v>
      </c>
      <c r="F35" s="271">
        <v>255.47298295036154</v>
      </c>
      <c r="G35" s="271">
        <v>242.81821434003572</v>
      </c>
      <c r="H35" s="271">
        <v>257.2238563660012</v>
      </c>
      <c r="I35" s="272">
        <v>256.16226123562154</v>
      </c>
      <c r="K35" s="128"/>
      <c r="O35" s="129"/>
      <c r="Q35" s="128"/>
      <c r="U35" s="129"/>
      <c r="W35" s="128"/>
      <c r="AA35" s="129"/>
      <c r="AB35" s="121"/>
    </row>
    <row r="36" spans="1:28" s="48" customFormat="1" ht="15" customHeight="1" x14ac:dyDescent="0.25">
      <c r="A36" s="47"/>
      <c r="B36" s="117"/>
      <c r="C36" s="147" t="s">
        <v>207</v>
      </c>
      <c r="D36" s="113">
        <v>25</v>
      </c>
      <c r="E36" s="260">
        <v>0.31580559606427372</v>
      </c>
      <c r="F36" s="261">
        <v>0.31636655536515168</v>
      </c>
      <c r="G36" s="261">
        <v>0.44331069578659887</v>
      </c>
      <c r="H36" s="261">
        <v>0.40302109419274423</v>
      </c>
      <c r="I36" s="273">
        <v>0.39663755755463698</v>
      </c>
      <c r="K36" s="9" t="s">
        <v>40</v>
      </c>
      <c r="L36" s="8"/>
      <c r="M36" s="8"/>
      <c r="N36" s="8"/>
      <c r="O36" s="7"/>
      <c r="Q36" s="9" t="s">
        <v>146</v>
      </c>
      <c r="R36" s="8"/>
      <c r="S36" s="8"/>
      <c r="T36" s="8"/>
      <c r="U36" s="7"/>
      <c r="W36" s="9" t="s">
        <v>39</v>
      </c>
      <c r="X36" s="8"/>
      <c r="Y36" s="8"/>
      <c r="Z36" s="8"/>
      <c r="AA36" s="7"/>
      <c r="AB36" s="121"/>
    </row>
    <row r="37" spans="1:28" s="48" customFormat="1" ht="15" customHeight="1" x14ac:dyDescent="0.25">
      <c r="A37" s="47"/>
      <c r="B37" s="117"/>
      <c r="C37" s="173" t="s">
        <v>210</v>
      </c>
      <c r="D37" s="172"/>
      <c r="E37" s="40">
        <v>2020</v>
      </c>
      <c r="F37" s="40">
        <v>2021</v>
      </c>
      <c r="G37" s="40">
        <v>2022</v>
      </c>
      <c r="H37" s="40">
        <v>2023</v>
      </c>
      <c r="I37" s="40">
        <v>2024</v>
      </c>
      <c r="K37" s="39" t="s">
        <v>153</v>
      </c>
      <c r="L37" s="118">
        <v>2021</v>
      </c>
      <c r="M37" s="118">
        <v>2022</v>
      </c>
      <c r="N37" s="118">
        <v>2023</v>
      </c>
      <c r="O37" s="119">
        <v>2024</v>
      </c>
      <c r="Q37" s="39" t="s">
        <v>153</v>
      </c>
      <c r="R37" s="118">
        <v>2021</v>
      </c>
      <c r="S37" s="118">
        <v>2022</v>
      </c>
      <c r="T37" s="118">
        <v>2023</v>
      </c>
      <c r="U37" s="119">
        <v>2024</v>
      </c>
      <c r="W37" s="39" t="s">
        <v>153</v>
      </c>
      <c r="X37" s="118">
        <v>2021</v>
      </c>
      <c r="Y37" s="118">
        <v>2022</v>
      </c>
      <c r="Z37" s="118">
        <v>2023</v>
      </c>
      <c r="AA37" s="119">
        <v>2024</v>
      </c>
      <c r="AB37" s="121"/>
    </row>
    <row r="38" spans="1:28" s="48" customFormat="1" ht="15" customHeight="1" x14ac:dyDescent="0.25">
      <c r="A38" s="47"/>
      <c r="B38" s="117"/>
      <c r="C38" s="147" t="s">
        <v>53</v>
      </c>
      <c r="D38" s="113">
        <v>26</v>
      </c>
      <c r="E38" s="274">
        <v>6.2311470530209981E-2</v>
      </c>
      <c r="F38" s="275">
        <v>0.23498402770225152</v>
      </c>
      <c r="G38" s="275">
        <v>0.78725555411969406</v>
      </c>
      <c r="H38" s="275">
        <v>-0.17769695041257177</v>
      </c>
      <c r="I38" s="275">
        <v>-0.31598449574712273</v>
      </c>
      <c r="K38" s="128"/>
      <c r="O38" s="129"/>
      <c r="Q38" s="128"/>
      <c r="U38" s="129"/>
      <c r="W38" s="128"/>
      <c r="AA38" s="136"/>
      <c r="AB38" s="121"/>
    </row>
    <row r="39" spans="1:28" s="48" customFormat="1" ht="15" customHeight="1" x14ac:dyDescent="0.25">
      <c r="A39" s="47"/>
      <c r="B39" s="117"/>
      <c r="C39" s="146" t="s">
        <v>54</v>
      </c>
      <c r="D39" s="114">
        <v>27</v>
      </c>
      <c r="E39" s="276">
        <v>-6.3060294102133249E-2</v>
      </c>
      <c r="F39" s="277">
        <v>0.26371432781412668</v>
      </c>
      <c r="G39" s="277">
        <v>0.64928202972083138</v>
      </c>
      <c r="H39" s="277">
        <v>0.2591164126753962</v>
      </c>
      <c r="I39" s="277">
        <v>0.16845659784151615</v>
      </c>
      <c r="K39" s="128"/>
      <c r="O39" s="129"/>
      <c r="Q39" s="128"/>
      <c r="U39" s="129"/>
      <c r="W39" s="128"/>
      <c r="AA39" s="136"/>
      <c r="AB39" s="121"/>
    </row>
    <row r="40" spans="1:28" s="48" customFormat="1" ht="15" customHeight="1" x14ac:dyDescent="0.25">
      <c r="A40" s="47"/>
      <c r="B40" s="117"/>
      <c r="C40" s="147" t="s">
        <v>209</v>
      </c>
      <c r="D40" s="224">
        <v>28</v>
      </c>
      <c r="E40" s="103">
        <v>0.85459237669488897</v>
      </c>
      <c r="F40" s="103">
        <v>0.83944345474486948</v>
      </c>
      <c r="G40" s="103">
        <v>0.78219802175349373</v>
      </c>
      <c r="H40" s="103">
        <v>0.71866924974411162</v>
      </c>
      <c r="I40" s="102">
        <v>0.72721767342707311</v>
      </c>
      <c r="J40" s="130"/>
      <c r="K40" s="128"/>
      <c r="O40" s="129"/>
      <c r="Q40" s="128"/>
      <c r="U40" s="129"/>
      <c r="W40" s="128"/>
      <c r="AA40" s="136"/>
      <c r="AB40" s="121"/>
    </row>
    <row r="41" spans="1:28" s="48" customFormat="1" ht="15" customHeight="1" x14ac:dyDescent="0.25">
      <c r="A41" s="47"/>
      <c r="B41" s="117"/>
      <c r="C41" s="173" t="s">
        <v>205</v>
      </c>
      <c r="D41" s="114"/>
      <c r="E41" s="217"/>
      <c r="F41" s="217"/>
      <c r="G41" s="217"/>
      <c r="H41" s="217"/>
      <c r="I41" s="218"/>
      <c r="K41" s="128"/>
      <c r="O41" s="129"/>
      <c r="Q41" s="128"/>
      <c r="U41" s="129"/>
      <c r="W41" s="128"/>
      <c r="AA41" s="136"/>
      <c r="AB41" s="121"/>
    </row>
    <row r="42" spans="1:28" s="48" customFormat="1" ht="15" customHeight="1" x14ac:dyDescent="0.25">
      <c r="A42" s="47"/>
      <c r="B42" s="117"/>
      <c r="C42" s="147" t="s">
        <v>128</v>
      </c>
      <c r="D42" s="113">
        <v>29</v>
      </c>
      <c r="E42" s="201">
        <v>46236.913034279831</v>
      </c>
      <c r="F42" s="222">
        <v>266813.34917330928</v>
      </c>
      <c r="G42" s="222">
        <v>-525201.32585177943</v>
      </c>
      <c r="H42" s="222">
        <v>305552.1834511701</v>
      </c>
      <c r="I42" s="222">
        <v>259091.34079011017</v>
      </c>
      <c r="K42" s="128"/>
      <c r="O42" s="129"/>
      <c r="Q42" s="128"/>
      <c r="U42" s="129"/>
      <c r="W42" s="128"/>
      <c r="AA42" s="136"/>
      <c r="AB42" s="121"/>
    </row>
    <row r="43" spans="1:28" s="48" customFormat="1" ht="15" customHeight="1" x14ac:dyDescent="0.25">
      <c r="A43" s="47"/>
      <c r="B43" s="117"/>
      <c r="C43" s="148" t="s">
        <v>129</v>
      </c>
      <c r="D43" s="114">
        <v>30</v>
      </c>
      <c r="E43" s="223">
        <v>86338.729561790125</v>
      </c>
      <c r="F43" s="223">
        <v>103366.92882313952</v>
      </c>
      <c r="G43" s="223">
        <v>-631836.75473404932</v>
      </c>
      <c r="H43" s="223">
        <v>420336.72298398963</v>
      </c>
      <c r="I43" s="223">
        <v>116876.54390016012</v>
      </c>
      <c r="K43" s="128"/>
      <c r="O43" s="129"/>
      <c r="Q43" s="128"/>
      <c r="U43" s="129"/>
      <c r="W43" s="128"/>
      <c r="AA43" s="136"/>
      <c r="AB43" s="121"/>
    </row>
    <row r="44" spans="1:28" s="48" customFormat="1" ht="15" customHeight="1" x14ac:dyDescent="0.25">
      <c r="A44" s="47"/>
      <c r="B44" s="117"/>
      <c r="C44" s="147" t="s">
        <v>130</v>
      </c>
      <c r="D44" s="113">
        <v>31</v>
      </c>
      <c r="E44" s="222">
        <v>-40101.816528939991</v>
      </c>
      <c r="F44" s="222">
        <v>163446.42035017005</v>
      </c>
      <c r="G44" s="222">
        <v>106635.42888326989</v>
      </c>
      <c r="H44" s="222">
        <v>-114784.53953281994</v>
      </c>
      <c r="I44" s="222">
        <v>142214.79688994994</v>
      </c>
      <c r="K44" s="128"/>
      <c r="O44" s="129"/>
      <c r="Q44" s="128"/>
      <c r="U44" s="129"/>
      <c r="W44" s="128"/>
      <c r="AA44" s="136"/>
      <c r="AB44" s="121"/>
    </row>
    <row r="45" spans="1:28" s="48" customFormat="1" ht="15" customHeight="1" x14ac:dyDescent="0.25">
      <c r="A45" s="47"/>
      <c r="B45" s="117"/>
      <c r="C45" s="146" t="s">
        <v>199</v>
      </c>
      <c r="D45" s="114">
        <v>32</v>
      </c>
      <c r="E45" s="223">
        <v>74884.53663093003</v>
      </c>
      <c r="F45" s="223">
        <v>85669.947872940102</v>
      </c>
      <c r="G45" s="223">
        <v>85981.486744639697</v>
      </c>
      <c r="H45" s="223">
        <v>43120.397485660156</v>
      </c>
      <c r="I45" s="223">
        <v>88135.813762730104</v>
      </c>
      <c r="K45" s="128"/>
      <c r="O45" s="129"/>
      <c r="Q45" s="128"/>
      <c r="U45" s="129"/>
      <c r="W45" s="128"/>
      <c r="AA45" s="136"/>
      <c r="AB45" s="121"/>
    </row>
    <row r="46" spans="1:28" s="48" customFormat="1" ht="15" customHeight="1" x14ac:dyDescent="0.25">
      <c r="A46" s="47"/>
      <c r="B46" s="117"/>
      <c r="C46" s="147" t="s">
        <v>200</v>
      </c>
      <c r="D46" s="113">
        <v>33</v>
      </c>
      <c r="E46" s="201">
        <v>139518.94229296001</v>
      </c>
      <c r="F46" s="222">
        <v>53412.888325900072</v>
      </c>
      <c r="G46" s="222">
        <v>44544.699424949824</v>
      </c>
      <c r="H46" s="222">
        <v>78301.223326510168</v>
      </c>
      <c r="I46" s="222">
        <v>100474.01494441007</v>
      </c>
      <c r="K46" s="128"/>
      <c r="O46" s="129"/>
      <c r="Q46" s="128"/>
      <c r="U46" s="129"/>
      <c r="W46" s="128"/>
      <c r="AA46" s="136"/>
      <c r="AB46" s="121"/>
    </row>
    <row r="47" spans="1:28" s="48" customFormat="1" ht="15" customHeight="1" thickBot="1" x14ac:dyDescent="0.3">
      <c r="A47" s="47"/>
      <c r="B47" s="117"/>
      <c r="C47" s="146" t="s">
        <v>189</v>
      </c>
      <c r="D47" s="219">
        <v>34</v>
      </c>
      <c r="E47" s="220">
        <v>-47057.086304960001</v>
      </c>
      <c r="F47" s="221">
        <v>183605.09322046</v>
      </c>
      <c r="G47" s="221">
        <v>-4321.2593862399954</v>
      </c>
      <c r="H47" s="221">
        <v>-313069.03848357004</v>
      </c>
      <c r="I47" s="221">
        <v>191727.83693462002</v>
      </c>
      <c r="K47" s="128"/>
      <c r="O47" s="129"/>
      <c r="Q47" s="128"/>
      <c r="U47" s="129"/>
      <c r="W47" s="128"/>
      <c r="AA47" s="136"/>
      <c r="AB47" s="121"/>
    </row>
    <row r="48" spans="1:28" s="48" customFormat="1" ht="15" customHeight="1" x14ac:dyDescent="0.25">
      <c r="A48" s="47"/>
      <c r="B48" s="117"/>
      <c r="C48" s="173" t="s">
        <v>56</v>
      </c>
      <c r="D48" s="192"/>
      <c r="E48" s="192"/>
      <c r="F48" s="192"/>
      <c r="G48" s="192"/>
      <c r="H48" s="192"/>
      <c r="I48" s="193"/>
      <c r="K48" s="128"/>
      <c r="O48" s="129"/>
      <c r="Q48" s="128"/>
      <c r="U48" s="129"/>
      <c r="W48" s="128"/>
      <c r="AA48" s="136"/>
      <c r="AB48" s="121"/>
    </row>
    <row r="49" spans="1:28" s="48" customFormat="1" ht="15" customHeight="1" x14ac:dyDescent="0.25">
      <c r="A49" s="47"/>
      <c r="B49" s="117"/>
      <c r="C49" s="146" t="s">
        <v>196</v>
      </c>
      <c r="D49" s="203">
        <v>35</v>
      </c>
      <c r="E49" s="169">
        <v>220266.20940101007</v>
      </c>
      <c r="F49" s="169">
        <v>383712.62975117983</v>
      </c>
      <c r="G49" s="169">
        <v>490348.05863344972</v>
      </c>
      <c r="H49" s="169">
        <v>375563.51910063019</v>
      </c>
      <c r="I49" s="169">
        <v>517778.31599058025</v>
      </c>
      <c r="K49" s="128"/>
      <c r="O49" s="129"/>
      <c r="Q49" s="128"/>
      <c r="U49" s="129"/>
      <c r="W49" s="128"/>
      <c r="AA49" s="136"/>
      <c r="AB49" s="121"/>
    </row>
    <row r="50" spans="1:28" s="48" customFormat="1" ht="15" customHeight="1" x14ac:dyDescent="0.25">
      <c r="A50" s="47"/>
      <c r="B50" s="117"/>
      <c r="C50" s="147" t="s">
        <v>197</v>
      </c>
      <c r="D50" s="202">
        <v>36</v>
      </c>
      <c r="E50" s="168" t="s">
        <v>202</v>
      </c>
      <c r="F50" s="168" t="s">
        <v>202</v>
      </c>
      <c r="G50" s="168" t="s">
        <v>202</v>
      </c>
      <c r="H50" s="168" t="s">
        <v>202</v>
      </c>
      <c r="I50" s="168" t="s">
        <v>202</v>
      </c>
      <c r="K50" s="9" t="s">
        <v>222</v>
      </c>
      <c r="L50" s="8"/>
      <c r="M50" s="8"/>
      <c r="N50" s="8"/>
      <c r="O50" s="7"/>
      <c r="Q50" s="9" t="s">
        <v>147</v>
      </c>
      <c r="R50" s="8"/>
      <c r="S50" s="8"/>
      <c r="T50" s="8"/>
      <c r="U50" s="7"/>
      <c r="W50" s="9" t="s">
        <v>148</v>
      </c>
      <c r="X50" s="8"/>
      <c r="Y50" s="8"/>
      <c r="Z50" s="8"/>
      <c r="AA50" s="7"/>
      <c r="AB50" s="121"/>
    </row>
    <row r="51" spans="1:28" s="48" customFormat="1" ht="15" customHeight="1" x14ac:dyDescent="0.25">
      <c r="A51" s="47"/>
      <c r="B51" s="117"/>
      <c r="C51" s="173" t="s">
        <v>55</v>
      </c>
      <c r="D51" s="172"/>
      <c r="E51" s="40">
        <v>2020</v>
      </c>
      <c r="F51" s="40">
        <v>2021</v>
      </c>
      <c r="G51" s="40">
        <v>2022</v>
      </c>
      <c r="H51" s="40">
        <v>2023</v>
      </c>
      <c r="I51" s="40">
        <v>2024</v>
      </c>
      <c r="K51" s="39" t="s">
        <v>153</v>
      </c>
      <c r="L51" s="118">
        <v>2021</v>
      </c>
      <c r="M51" s="118">
        <v>2022</v>
      </c>
      <c r="N51" s="118">
        <v>2023</v>
      </c>
      <c r="O51" s="119">
        <v>2024</v>
      </c>
      <c r="Q51" s="39" t="s">
        <v>153</v>
      </c>
      <c r="R51" s="118">
        <v>2021</v>
      </c>
      <c r="S51" s="118">
        <v>2022</v>
      </c>
      <c r="T51" s="118">
        <v>2023</v>
      </c>
      <c r="U51" s="119">
        <v>2024</v>
      </c>
      <c r="W51" s="39" t="s">
        <v>153</v>
      </c>
      <c r="X51" s="118">
        <v>2021</v>
      </c>
      <c r="Y51" s="118">
        <v>2022</v>
      </c>
      <c r="Z51" s="118">
        <v>2023</v>
      </c>
      <c r="AA51" s="119">
        <v>2024</v>
      </c>
      <c r="AB51" s="121"/>
    </row>
    <row r="52" spans="1:28" s="48" customFormat="1" ht="15" customHeight="1" x14ac:dyDescent="0.25">
      <c r="A52" s="47"/>
      <c r="B52" s="117"/>
      <c r="C52" s="146" t="s">
        <v>178</v>
      </c>
      <c r="D52" s="114">
        <v>37</v>
      </c>
      <c r="E52" s="211">
        <v>0.3849667719862373</v>
      </c>
      <c r="F52" s="212">
        <v>0.44376007532594963</v>
      </c>
      <c r="G52" s="212">
        <v>0.4731567269958058</v>
      </c>
      <c r="H52" s="212">
        <v>0.4339611914359976</v>
      </c>
      <c r="I52" s="212">
        <v>0.44767962888193047</v>
      </c>
      <c r="K52" s="128"/>
      <c r="O52" s="129"/>
      <c r="Q52" s="128"/>
      <c r="U52" s="129"/>
      <c r="W52" s="128"/>
      <c r="AA52" s="129"/>
      <c r="AB52" s="121"/>
    </row>
    <row r="53" spans="1:28" s="48" customFormat="1" ht="15" customHeight="1" x14ac:dyDescent="0.25">
      <c r="A53" s="47"/>
      <c r="B53" s="117"/>
      <c r="C53" s="147" t="s">
        <v>139</v>
      </c>
      <c r="D53" s="113">
        <v>38</v>
      </c>
      <c r="E53" s="213"/>
      <c r="F53" s="214"/>
      <c r="G53" s="214"/>
      <c r="H53" s="214"/>
      <c r="I53" s="214"/>
      <c r="K53" s="128"/>
      <c r="O53" s="129"/>
      <c r="Q53" s="128"/>
      <c r="U53" s="129"/>
      <c r="W53" s="128"/>
      <c r="AA53" s="129"/>
      <c r="AB53" s="121"/>
    </row>
    <row r="54" spans="1:28" s="48" customFormat="1" ht="15" customHeight="1" x14ac:dyDescent="0.25">
      <c r="A54" s="47"/>
      <c r="B54" s="117"/>
      <c r="C54" s="146" t="s">
        <v>48</v>
      </c>
      <c r="D54" s="114">
        <v>39</v>
      </c>
      <c r="E54" s="211">
        <v>0.9190442227939184</v>
      </c>
      <c r="F54" s="211">
        <v>0.94873686936509127</v>
      </c>
      <c r="G54" s="212">
        <v>0.95765611306712328</v>
      </c>
      <c r="H54" s="212">
        <v>0.9203041077223304</v>
      </c>
      <c r="I54" s="212">
        <v>0.9184764047694598</v>
      </c>
      <c r="K54" s="128"/>
      <c r="O54" s="129"/>
      <c r="Q54" s="128"/>
      <c r="U54" s="129"/>
      <c r="W54" s="128"/>
      <c r="AA54" s="129"/>
      <c r="AB54" s="121"/>
    </row>
    <row r="55" spans="1:28" s="48" customFormat="1" ht="15" customHeight="1" x14ac:dyDescent="0.25">
      <c r="A55" s="47"/>
      <c r="B55" s="117"/>
      <c r="C55" s="147" t="s">
        <v>49</v>
      </c>
      <c r="D55" s="113">
        <v>40</v>
      </c>
      <c r="E55" s="215">
        <v>6.1991286140633609E-2</v>
      </c>
      <c r="F55" s="215">
        <v>3.2961234968723586E-2</v>
      </c>
      <c r="G55" s="216">
        <v>2.7895722347689708E-2</v>
      </c>
      <c r="H55" s="216">
        <v>6.0832373229463582E-2</v>
      </c>
      <c r="I55" s="216">
        <v>6.0546902951335684E-2</v>
      </c>
      <c r="K55" s="128"/>
      <c r="O55" s="129"/>
      <c r="Q55" s="128"/>
      <c r="U55" s="129"/>
      <c r="W55" s="128"/>
      <c r="AA55" s="129"/>
      <c r="AB55" s="121"/>
    </row>
    <row r="56" spans="1:28" s="48" customFormat="1" ht="15" customHeight="1" x14ac:dyDescent="0.25">
      <c r="A56" s="47"/>
      <c r="B56" s="117"/>
      <c r="C56" s="146" t="s">
        <v>50</v>
      </c>
      <c r="D56" s="114">
        <v>41</v>
      </c>
      <c r="E56" s="211">
        <v>1.7933817326509359E-2</v>
      </c>
      <c r="F56" s="211">
        <v>1.7710653578173495E-2</v>
      </c>
      <c r="G56" s="212">
        <v>1.3985186074580616E-2</v>
      </c>
      <c r="H56" s="212">
        <v>1.8158232051929339E-2</v>
      </c>
      <c r="I56" s="212">
        <v>1.9861067839787781E-2</v>
      </c>
      <c r="K56" s="128"/>
      <c r="O56" s="129"/>
      <c r="Q56" s="128"/>
      <c r="U56" s="129"/>
      <c r="W56" s="128"/>
      <c r="AA56" s="129"/>
      <c r="AB56" s="121"/>
    </row>
    <row r="57" spans="1:28" s="48" customFormat="1" ht="15" customHeight="1" thickBot="1" x14ac:dyDescent="0.3">
      <c r="A57" s="47"/>
      <c r="B57" s="117"/>
      <c r="C57" s="147" t="s">
        <v>51</v>
      </c>
      <c r="D57" s="113">
        <v>42</v>
      </c>
      <c r="E57" s="215">
        <v>1.0306737389387415E-3</v>
      </c>
      <c r="F57" s="215">
        <v>5.9124208801162985E-4</v>
      </c>
      <c r="G57" s="215">
        <v>4.6297851060654154E-4</v>
      </c>
      <c r="H57" s="215">
        <v>7.0528699627667461E-4</v>
      </c>
      <c r="I57" s="216">
        <v>1.1156244394165968E-3</v>
      </c>
      <c r="K57" s="128"/>
      <c r="O57" s="129"/>
      <c r="Q57" s="128"/>
      <c r="U57" s="129"/>
      <c r="W57" s="128"/>
      <c r="AA57" s="129"/>
      <c r="AB57" s="121"/>
    </row>
    <row r="58" spans="1:28" s="48" customFormat="1" ht="15" customHeight="1" x14ac:dyDescent="0.25">
      <c r="A58" s="47"/>
      <c r="B58" s="117"/>
      <c r="C58" s="173" t="s">
        <v>58</v>
      </c>
      <c r="D58" s="137"/>
      <c r="E58" s="137"/>
      <c r="F58" s="137"/>
      <c r="G58" s="137"/>
      <c r="H58" s="137"/>
      <c r="I58" s="137"/>
      <c r="K58" s="128"/>
      <c r="O58" s="129"/>
      <c r="Q58" s="128"/>
      <c r="U58" s="129"/>
      <c r="W58" s="128"/>
      <c r="AA58" s="129"/>
      <c r="AB58" s="121"/>
    </row>
    <row r="59" spans="1:28" s="48" customFormat="1" ht="15" customHeight="1" x14ac:dyDescent="0.25">
      <c r="A59" s="47"/>
      <c r="B59" s="117"/>
      <c r="C59" s="120"/>
      <c r="D59" s="120"/>
      <c r="E59" s="138"/>
      <c r="F59" s="138"/>
      <c r="G59" s="138"/>
      <c r="H59" s="138"/>
      <c r="I59" s="138"/>
      <c r="K59" s="128"/>
      <c r="O59" s="129"/>
      <c r="Q59" s="128"/>
      <c r="U59" s="129"/>
      <c r="W59" s="128"/>
      <c r="AA59" s="129"/>
      <c r="AB59" s="121"/>
    </row>
    <row r="60" spans="1:28" s="48" customFormat="1" ht="15" customHeight="1" x14ac:dyDescent="0.25">
      <c r="A60" s="47"/>
      <c r="B60" s="117"/>
      <c r="C60" s="149" t="s">
        <v>140</v>
      </c>
      <c r="D60" s="171">
        <v>43</v>
      </c>
      <c r="E60" s="191"/>
      <c r="F60" s="191"/>
      <c r="G60" s="191"/>
      <c r="H60" s="191"/>
      <c r="I60" s="191"/>
      <c r="K60" s="128"/>
      <c r="O60" s="129"/>
      <c r="Q60" s="128"/>
      <c r="U60" s="129"/>
      <c r="W60" s="128"/>
      <c r="AA60" s="129"/>
      <c r="AB60" s="121"/>
    </row>
    <row r="61" spans="1:28" s="48" customFormat="1" ht="15" customHeight="1" x14ac:dyDescent="0.25">
      <c r="A61" s="47"/>
      <c r="B61" s="117"/>
      <c r="C61" s="150" t="s">
        <v>141</v>
      </c>
      <c r="D61" s="170">
        <v>44</v>
      </c>
      <c r="E61" s="138"/>
      <c r="F61" s="138"/>
      <c r="G61" s="138"/>
      <c r="H61" s="138"/>
      <c r="I61" s="138"/>
      <c r="K61" s="128"/>
      <c r="O61" s="129"/>
      <c r="Q61" s="128"/>
      <c r="U61" s="129"/>
      <c r="W61" s="128"/>
      <c r="AA61" s="129"/>
      <c r="AB61" s="121"/>
    </row>
    <row r="62" spans="1:28" s="48" customFormat="1" ht="15" customHeight="1" x14ac:dyDescent="0.25">
      <c r="A62" s="47"/>
      <c r="B62" s="117"/>
      <c r="C62" s="151" t="s">
        <v>174</v>
      </c>
      <c r="D62" s="171">
        <v>45</v>
      </c>
      <c r="E62" s="138"/>
      <c r="F62" s="138"/>
      <c r="G62" s="138"/>
      <c r="H62" s="138"/>
      <c r="I62" s="138"/>
      <c r="K62" s="128"/>
      <c r="O62" s="129"/>
      <c r="Q62" s="128"/>
      <c r="U62" s="129"/>
      <c r="W62" s="128"/>
      <c r="AA62" s="129"/>
      <c r="AB62" s="121"/>
    </row>
    <row r="63" spans="1:28" s="48" customFormat="1" ht="15" customHeight="1" x14ac:dyDescent="0.25">
      <c r="A63" s="47"/>
      <c r="B63" s="117"/>
      <c r="C63" s="152" t="s">
        <v>142</v>
      </c>
      <c r="D63" s="170">
        <v>46</v>
      </c>
      <c r="E63" s="138"/>
      <c r="F63" s="138"/>
      <c r="G63" s="138"/>
      <c r="H63" s="138"/>
      <c r="I63" s="138"/>
      <c r="K63" s="131"/>
      <c r="L63" s="132"/>
      <c r="M63" s="132"/>
      <c r="N63" s="132"/>
      <c r="O63" s="133"/>
      <c r="P63" s="139"/>
      <c r="Q63" s="131"/>
      <c r="R63" s="132"/>
      <c r="S63" s="132"/>
      <c r="T63" s="132"/>
      <c r="U63" s="133"/>
      <c r="V63" s="139"/>
      <c r="W63" s="131"/>
      <c r="X63" s="132"/>
      <c r="Y63" s="132"/>
      <c r="Z63" s="132"/>
      <c r="AA63" s="133"/>
      <c r="AB63" s="121"/>
    </row>
    <row r="64" spans="1:28" s="48" customFormat="1" ht="15" customHeight="1" x14ac:dyDescent="0.25">
      <c r="A64" s="47"/>
      <c r="B64" s="117"/>
      <c r="D64" s="171"/>
      <c r="E64" s="138"/>
      <c r="F64" s="138"/>
      <c r="G64" s="138"/>
      <c r="H64" s="138"/>
      <c r="I64" s="138"/>
      <c r="K64" s="9" t="s">
        <v>149</v>
      </c>
      <c r="L64" s="8"/>
      <c r="M64" s="8"/>
      <c r="N64" s="8"/>
      <c r="O64" s="7"/>
      <c r="Q64" s="9" t="s">
        <v>223</v>
      </c>
      <c r="R64" s="8"/>
      <c r="S64" s="8"/>
      <c r="T64" s="8"/>
      <c r="U64" s="7"/>
      <c r="W64" s="9" t="s">
        <v>224</v>
      </c>
      <c r="X64" s="8"/>
      <c r="Y64" s="8"/>
      <c r="Z64" s="8"/>
      <c r="AA64" s="7"/>
      <c r="AB64" s="121"/>
    </row>
    <row r="65" spans="1:28" s="48" customFormat="1" ht="15" customHeight="1" thickBot="1" x14ac:dyDescent="0.3">
      <c r="A65" s="47"/>
      <c r="B65" s="117"/>
      <c r="C65" s="115" t="s">
        <v>177</v>
      </c>
      <c r="E65" s="140"/>
      <c r="F65" s="140"/>
      <c r="G65" s="140"/>
      <c r="H65" s="140"/>
      <c r="I65" s="140"/>
      <c r="K65" s="39" t="s">
        <v>153</v>
      </c>
      <c r="L65" s="118">
        <v>2021</v>
      </c>
      <c r="M65" s="118">
        <v>2022</v>
      </c>
      <c r="N65" s="118">
        <v>2023</v>
      </c>
      <c r="O65" s="119">
        <v>2024</v>
      </c>
      <c r="Q65" s="39" t="s">
        <v>153</v>
      </c>
      <c r="R65" s="118">
        <v>2021</v>
      </c>
      <c r="S65" s="118">
        <v>2022</v>
      </c>
      <c r="T65" s="118">
        <v>2023</v>
      </c>
      <c r="U65" s="119">
        <v>2024</v>
      </c>
      <c r="W65" s="39" t="s">
        <v>153</v>
      </c>
      <c r="X65" s="118">
        <v>2021</v>
      </c>
      <c r="Y65" s="118">
        <v>2022</v>
      </c>
      <c r="Z65" s="118">
        <v>2023</v>
      </c>
      <c r="AA65" s="119">
        <v>2024</v>
      </c>
      <c r="AB65" s="121"/>
    </row>
    <row r="66" spans="1:28" s="48" customFormat="1" ht="19.5" customHeight="1" x14ac:dyDescent="0.25">
      <c r="A66" s="47"/>
      <c r="B66" s="117"/>
      <c r="C66" s="161" t="s">
        <v>201</v>
      </c>
      <c r="D66" s="162"/>
      <c r="E66" s="162"/>
      <c r="F66" s="162"/>
      <c r="G66" s="162"/>
      <c r="H66" s="162"/>
      <c r="I66" s="162"/>
      <c r="K66" s="128"/>
      <c r="O66" s="129"/>
      <c r="Q66" s="128"/>
      <c r="U66" s="129"/>
      <c r="W66" s="128"/>
      <c r="AA66" s="129"/>
      <c r="AB66" s="121"/>
    </row>
    <row r="67" spans="1:28" s="48" customFormat="1" ht="15" customHeight="1" x14ac:dyDescent="0.25">
      <c r="A67" s="47"/>
      <c r="B67" s="117"/>
      <c r="C67" s="195" t="s">
        <v>195</v>
      </c>
      <c r="D67" s="196"/>
      <c r="E67" s="196"/>
      <c r="F67" s="196"/>
      <c r="G67" s="196"/>
      <c r="H67" s="196"/>
      <c r="I67" s="196"/>
      <c r="K67" s="128"/>
      <c r="O67" s="129"/>
      <c r="Q67" s="128"/>
      <c r="U67" s="129"/>
      <c r="W67" s="128"/>
      <c r="AA67" s="129"/>
      <c r="AB67" s="121"/>
    </row>
    <row r="68" spans="1:28" s="48" customFormat="1" ht="15" customHeight="1" x14ac:dyDescent="0.25">
      <c r="A68" s="47"/>
      <c r="B68" s="117"/>
      <c r="C68" s="197" t="s">
        <v>183</v>
      </c>
      <c r="D68" s="163"/>
      <c r="E68" s="163"/>
      <c r="F68" s="163"/>
      <c r="G68" s="163"/>
      <c r="H68" s="163"/>
      <c r="I68" s="163"/>
      <c r="K68" s="128"/>
      <c r="O68" s="129"/>
      <c r="Q68" s="128"/>
      <c r="U68" s="129"/>
      <c r="W68" s="128"/>
      <c r="AA68" s="129"/>
      <c r="AB68" s="121"/>
    </row>
    <row r="69" spans="1:28" s="48" customFormat="1" ht="15" customHeight="1" x14ac:dyDescent="0.25">
      <c r="A69" s="47"/>
      <c r="B69" s="117"/>
      <c r="C69" s="195" t="s">
        <v>184</v>
      </c>
      <c r="D69" s="198"/>
      <c r="E69" s="196"/>
      <c r="F69" s="196"/>
      <c r="G69" s="196"/>
      <c r="H69" s="196"/>
      <c r="I69" s="196"/>
      <c r="K69" s="128"/>
      <c r="O69" s="129"/>
      <c r="Q69" s="128"/>
      <c r="U69" s="129"/>
      <c r="W69" s="128"/>
      <c r="AA69" s="129"/>
      <c r="AB69" s="121"/>
    </row>
    <row r="70" spans="1:28" s="48" customFormat="1" ht="15" customHeight="1" x14ac:dyDescent="0.25">
      <c r="A70" s="47"/>
      <c r="B70" s="117"/>
      <c r="C70" s="197" t="s">
        <v>185</v>
      </c>
      <c r="D70" s="163"/>
      <c r="E70" s="163"/>
      <c r="F70" s="163"/>
      <c r="G70" s="163"/>
      <c r="H70" s="163"/>
      <c r="I70" s="163"/>
      <c r="K70" s="128"/>
      <c r="O70" s="129"/>
      <c r="Q70" s="128"/>
      <c r="U70" s="129"/>
      <c r="W70" s="128"/>
      <c r="AA70" s="129"/>
      <c r="AB70" s="121"/>
    </row>
    <row r="71" spans="1:28" s="48" customFormat="1" ht="15" customHeight="1" x14ac:dyDescent="0.25">
      <c r="A71" s="47"/>
      <c r="B71" s="117"/>
      <c r="C71" s="195" t="s">
        <v>186</v>
      </c>
      <c r="D71" s="196"/>
      <c r="E71" s="164"/>
      <c r="F71" s="164"/>
      <c r="G71" s="164"/>
      <c r="H71" s="165"/>
      <c r="I71" s="165"/>
      <c r="K71" s="128"/>
      <c r="O71" s="129"/>
      <c r="Q71" s="128"/>
      <c r="U71" s="129"/>
      <c r="W71" s="128"/>
      <c r="AA71" s="129"/>
      <c r="AB71" s="121"/>
    </row>
    <row r="72" spans="1:28" s="48" customFormat="1" ht="15" customHeight="1" x14ac:dyDescent="0.25">
      <c r="A72" s="47"/>
      <c r="B72" s="117"/>
      <c r="C72" s="197" t="s">
        <v>187</v>
      </c>
      <c r="D72" s="163"/>
      <c r="E72" s="163"/>
      <c r="F72" s="163"/>
      <c r="G72" s="163"/>
      <c r="H72" s="163"/>
      <c r="I72" s="163"/>
      <c r="K72" s="128"/>
      <c r="O72" s="129"/>
      <c r="Q72" s="128"/>
      <c r="U72" s="129"/>
      <c r="W72" s="128"/>
      <c r="AA72" s="129"/>
      <c r="AB72" s="121"/>
    </row>
    <row r="73" spans="1:28" s="48" customFormat="1" ht="15" customHeight="1" x14ac:dyDescent="0.25">
      <c r="A73" s="47"/>
      <c r="B73" s="117"/>
      <c r="C73" s="195" t="s">
        <v>188</v>
      </c>
      <c r="D73" s="196"/>
      <c r="E73" s="166"/>
      <c r="F73" s="166"/>
      <c r="G73" s="166"/>
      <c r="H73" s="167"/>
      <c r="I73" s="167"/>
      <c r="K73" s="128"/>
      <c r="O73" s="129"/>
      <c r="Q73" s="128"/>
      <c r="U73" s="129"/>
      <c r="W73" s="128"/>
      <c r="AA73" s="129"/>
      <c r="AB73" s="121"/>
    </row>
    <row r="74" spans="1:28" s="48" customFormat="1" ht="15" customHeight="1" x14ac:dyDescent="0.25">
      <c r="A74" s="47"/>
      <c r="B74" s="117"/>
      <c r="C74" s="10" t="s">
        <v>215</v>
      </c>
      <c r="D74" s="10"/>
      <c r="E74" s="10"/>
      <c r="F74" s="10"/>
      <c r="G74" s="10"/>
      <c r="H74" s="10"/>
      <c r="I74" s="10"/>
      <c r="K74" s="128"/>
      <c r="O74" s="129"/>
      <c r="Q74" s="128"/>
      <c r="U74" s="129"/>
      <c r="W74" s="128"/>
      <c r="AA74" s="129"/>
      <c r="AB74" s="121"/>
    </row>
    <row r="75" spans="1:28" s="48" customFormat="1" ht="15" customHeight="1" x14ac:dyDescent="0.25">
      <c r="A75" s="47"/>
      <c r="B75" s="117"/>
      <c r="C75" s="195" t="s">
        <v>211</v>
      </c>
      <c r="D75" s="196"/>
      <c r="E75" s="166"/>
      <c r="F75" s="166"/>
      <c r="G75" s="166"/>
      <c r="H75" s="167"/>
      <c r="I75" s="167"/>
      <c r="K75" s="128"/>
      <c r="O75" s="129"/>
      <c r="Q75" s="128"/>
      <c r="U75" s="129"/>
      <c r="W75" s="128"/>
      <c r="AA75" s="129"/>
      <c r="AB75" s="121"/>
    </row>
    <row r="76" spans="1:28" s="48" customFormat="1" ht="15" customHeight="1" x14ac:dyDescent="0.25">
      <c r="A76" s="47"/>
      <c r="B76" s="117"/>
      <c r="C76" s="10" t="s">
        <v>220</v>
      </c>
      <c r="D76" s="10"/>
      <c r="E76" s="10"/>
      <c r="F76" s="10"/>
      <c r="G76" s="10"/>
      <c r="H76" s="10"/>
      <c r="I76" s="10"/>
      <c r="K76" s="128"/>
      <c r="O76" s="129"/>
      <c r="Q76" s="128"/>
      <c r="U76" s="129"/>
      <c r="W76" s="128"/>
      <c r="AA76" s="129"/>
      <c r="AB76" s="121"/>
    </row>
    <row r="77" spans="1:28" s="48" customFormat="1" ht="15" customHeight="1" thickBot="1" x14ac:dyDescent="0.3">
      <c r="A77" s="47"/>
      <c r="B77" s="117"/>
      <c r="C77" s="199" t="s">
        <v>198</v>
      </c>
      <c r="D77" s="194"/>
      <c r="E77" s="194"/>
      <c r="F77" s="194"/>
      <c r="G77" s="194"/>
      <c r="H77" s="194"/>
      <c r="I77" s="194"/>
      <c r="K77" s="131"/>
      <c r="L77" s="132"/>
      <c r="M77" s="132"/>
      <c r="N77" s="132"/>
      <c r="O77" s="133"/>
      <c r="Q77" s="131"/>
      <c r="R77" s="132"/>
      <c r="S77" s="132"/>
      <c r="T77" s="132"/>
      <c r="U77" s="133"/>
      <c r="W77" s="131"/>
      <c r="X77" s="132"/>
      <c r="Y77" s="132"/>
      <c r="Z77" s="132"/>
      <c r="AA77" s="133"/>
      <c r="AB77" s="121"/>
    </row>
    <row r="78" spans="1:28" s="48" customFormat="1" ht="8.25" customHeight="1" thickBot="1" x14ac:dyDescent="0.3">
      <c r="A78" s="47"/>
      <c r="B78" s="141"/>
      <c r="C78" s="142"/>
      <c r="D78" s="142"/>
      <c r="E78" s="69"/>
      <c r="F78" s="69"/>
      <c r="G78" s="69"/>
      <c r="H78" s="69"/>
      <c r="I78" s="69"/>
      <c r="J78" s="143"/>
      <c r="K78" s="143"/>
      <c r="L78" s="143"/>
      <c r="M78" s="143"/>
      <c r="N78" s="143"/>
      <c r="O78" s="143"/>
      <c r="P78" s="143"/>
      <c r="Q78" s="143"/>
      <c r="R78" s="143"/>
      <c r="S78" s="143"/>
      <c r="T78" s="143"/>
      <c r="U78" s="143"/>
      <c r="V78" s="143"/>
      <c r="W78" s="143"/>
      <c r="X78" s="143"/>
      <c r="Y78" s="143"/>
      <c r="Z78" s="143"/>
      <c r="AA78" s="143"/>
      <c r="AB78" s="144"/>
    </row>
    <row r="79" spans="1:28" s="48" customFormat="1" x14ac:dyDescent="0.25">
      <c r="A79" s="47"/>
      <c r="B79" s="47"/>
      <c r="C79" s="145"/>
      <c r="D79" s="145"/>
      <c r="E79" s="140"/>
      <c r="F79" s="140"/>
      <c r="G79" s="140"/>
      <c r="H79" s="140"/>
      <c r="I79" s="140"/>
    </row>
    <row r="80" spans="1:28" s="48" customFormat="1" x14ac:dyDescent="0.25">
      <c r="A80" s="47"/>
      <c r="B80" s="47"/>
      <c r="E80" s="208"/>
      <c r="F80" s="208"/>
      <c r="G80" s="208"/>
      <c r="H80" s="208"/>
      <c r="I80" s="208"/>
    </row>
    <row r="81" spans="5:9" x14ac:dyDescent="0.25">
      <c r="E81" s="206"/>
      <c r="F81" s="206"/>
      <c r="G81" s="206"/>
      <c r="H81" s="206"/>
      <c r="I81" s="206"/>
    </row>
    <row r="82" spans="5:9" x14ac:dyDescent="0.25">
      <c r="E82" s="206"/>
      <c r="F82" s="206"/>
      <c r="G82" s="206"/>
      <c r="H82" s="206"/>
      <c r="I82" s="206"/>
    </row>
    <row r="83" spans="5:9" x14ac:dyDescent="0.25">
      <c r="E83" s="206"/>
      <c r="F83" s="206"/>
      <c r="G83" s="206"/>
      <c r="H83" s="206"/>
      <c r="I83" s="206"/>
    </row>
    <row r="84" spans="5:9" x14ac:dyDescent="0.25">
      <c r="E84" s="206"/>
      <c r="F84" s="206"/>
      <c r="G84" s="206"/>
      <c r="H84" s="206"/>
      <c r="I84" s="206"/>
    </row>
    <row r="86" spans="5:9" x14ac:dyDescent="0.25">
      <c r="E86" s="209"/>
      <c r="F86" s="209"/>
      <c r="G86" s="209"/>
      <c r="H86" s="209"/>
      <c r="I86" s="209"/>
    </row>
  </sheetData>
  <sheetProtection algorithmName="SHA-512" hashValue="TTbJgeHp3nEBXu7lrnvQDmekRxeGtOGb8UNm6BgASTEjriSK3Znid5Uj4+m05qyJfo6gp1T9Zn3MIiEOux+CjA==" saltValue="Bun6IPNcP6tOUzPljzPFsg==" spinCount="100000" sheet="1" scenarios="1" formatCells="0" formatColumns="0" formatRows="0" insertColumns="0" insertRows="0" insertHyperlinks="0" deleteColumns="0" deleteRows="0" sort="0" autoFilter="0" pivotTables="0"/>
  <mergeCells count="19">
    <mergeCell ref="W64:AA64"/>
    <mergeCell ref="K36:O36"/>
    <mergeCell ref="W7:AA7"/>
    <mergeCell ref="K21:O21"/>
    <mergeCell ref="Q21:U21"/>
    <mergeCell ref="W21:AA21"/>
    <mergeCell ref="Q7:U7"/>
    <mergeCell ref="Q64:U64"/>
    <mergeCell ref="Q36:U36"/>
    <mergeCell ref="W36:AA36"/>
    <mergeCell ref="Q50:U50"/>
    <mergeCell ref="W50:AA50"/>
    <mergeCell ref="E6:I6"/>
    <mergeCell ref="E7:I7"/>
    <mergeCell ref="C76:I76"/>
    <mergeCell ref="K7:O7"/>
    <mergeCell ref="K64:O64"/>
    <mergeCell ref="K50:O50"/>
    <mergeCell ref="C74:I74"/>
  </mergeCells>
  <conditionalFormatting sqref="E42:I47">
    <cfRule type="iconSet" priority="2">
      <iconSet iconSet="3ArrowsGray">
        <cfvo type="percent" val="0"/>
        <cfvo type="percent" val="33"/>
        <cfvo type="percent" val="67"/>
      </iconSet>
    </cfRule>
  </conditionalFormatting>
  <conditionalFormatting sqref="K6:O6">
    <cfRule type="dataBar" priority="7">
      <dataBar>
        <cfvo type="min"/>
        <cfvo type="max"/>
        <color rgb="FF638EC6"/>
      </dataBar>
      <extLst>
        <ext xmlns:x14="http://schemas.microsoft.com/office/spreadsheetml/2009/9/main" uri="{B025F937-C7B1-47D3-B67F-A62EFF666E3E}">
          <x14:id>{F4F78D40-A840-40A4-AD72-4FEF2E526C0E}</x14:id>
        </ext>
      </extLst>
    </cfRule>
  </conditionalFormatting>
  <dataValidations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44" max="52" man="1"/>
    <brk id="330"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1" id="{03DC5AA0-92DA-431C-8C11-43FB9A209ECF}">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AU643"/>
  <sheetViews>
    <sheetView zoomScale="96" zoomScaleNormal="96" workbookViewId="0">
      <pane xSplit="3" ySplit="7" topLeftCell="D51" activePane="bottomRight" state="frozen"/>
      <selection pane="topRight" activeCell="D1" sqref="D1"/>
      <selection pane="bottomLeft" activeCell="A8" sqref="A8"/>
      <selection pane="bottomRight" activeCell="AB55" sqref="AB55"/>
    </sheetView>
  </sheetViews>
  <sheetFormatPr defaultColWidth="9.140625" defaultRowHeight="15" x14ac:dyDescent="0.25"/>
  <cols>
    <col min="1" max="1" width="2.85546875" customWidth="1"/>
    <col min="2" max="2" width="11.85546875" style="17" hidden="1" customWidth="1"/>
    <col min="3" max="3" width="44.5703125" customWidth="1"/>
    <col min="4" max="4" width="16.85546875" customWidth="1"/>
    <col min="5" max="6" width="17.42578125" customWidth="1"/>
    <col min="7" max="7" width="16.42578125" customWidth="1"/>
    <col min="8" max="8" width="16.7109375" customWidth="1"/>
    <col min="9" max="9" width="2.42578125" style="71" customWidth="1"/>
    <col min="10" max="14" width="15.7109375" hidden="1" customWidth="1"/>
    <col min="15" max="24" width="11.85546875" style="71" hidden="1" customWidth="1"/>
    <col min="25" max="47" width="9.140625" style="71"/>
  </cols>
  <sheetData>
    <row r="1" spans="2:24" x14ac:dyDescent="0.25">
      <c r="D1" s="210"/>
      <c r="E1" s="210"/>
      <c r="F1" s="210"/>
      <c r="G1" s="210"/>
      <c r="H1" s="210"/>
    </row>
    <row r="2" spans="2:24" ht="20.25" customHeight="1" x14ac:dyDescent="0.25">
      <c r="B2" s="72"/>
      <c r="C2" s="6" t="s">
        <v>45</v>
      </c>
      <c r="D2" s="5"/>
      <c r="E2" s="5"/>
      <c r="F2" s="5"/>
      <c r="G2" s="5"/>
      <c r="H2" s="5"/>
      <c r="J2" s="71"/>
      <c r="K2" s="71"/>
      <c r="L2" s="71"/>
      <c r="M2" s="71"/>
      <c r="N2" s="71"/>
    </row>
    <row r="3" spans="2:24" ht="25.5" customHeight="1" x14ac:dyDescent="0.25">
      <c r="B3" s="73"/>
      <c r="C3" s="6" t="s">
        <v>169</v>
      </c>
      <c r="D3" s="5"/>
      <c r="E3" s="5"/>
      <c r="F3" s="5"/>
      <c r="G3" s="5"/>
      <c r="H3" s="5"/>
      <c r="J3" s="71"/>
      <c r="K3" s="71"/>
      <c r="L3" s="71"/>
      <c r="M3" s="71"/>
      <c r="N3" s="71"/>
    </row>
    <row r="4" spans="2:24" s="71" customFormat="1" ht="5.25" customHeight="1" x14ac:dyDescent="0.25">
      <c r="B4" s="17"/>
    </row>
    <row r="5" spans="2:24" s="71" customFormat="1" ht="18" customHeight="1" x14ac:dyDescent="0.25">
      <c r="B5" s="74"/>
      <c r="C5" s="280" t="s">
        <v>167</v>
      </c>
      <c r="D5" s="3" t="s">
        <v>218</v>
      </c>
      <c r="E5" s="2"/>
      <c r="F5" s="2"/>
      <c r="G5" s="2"/>
      <c r="H5" s="2"/>
      <c r="J5" s="1" t="s">
        <v>218</v>
      </c>
      <c r="K5" s="1"/>
      <c r="L5" s="1"/>
      <c r="M5" s="1"/>
      <c r="N5" s="1"/>
    </row>
    <row r="6" spans="2:24" s="71" customFormat="1" ht="17.100000000000001" customHeight="1" x14ac:dyDescent="0.25">
      <c r="C6" s="281"/>
      <c r="F6" s="188"/>
      <c r="G6" s="4" t="s">
        <v>203</v>
      </c>
      <c r="H6" s="4"/>
      <c r="L6" s="188"/>
      <c r="M6" s="4" t="s">
        <v>175</v>
      </c>
      <c r="N6" s="4"/>
    </row>
    <row r="7" spans="2:24" s="80" customFormat="1" ht="17.100000000000001" customHeight="1" x14ac:dyDescent="0.25">
      <c r="B7" s="92"/>
      <c r="C7" s="282"/>
      <c r="D7" s="76">
        <v>2020</v>
      </c>
      <c r="E7" s="76">
        <v>2021</v>
      </c>
      <c r="F7" s="76">
        <v>2022</v>
      </c>
      <c r="G7" s="76">
        <v>2023</v>
      </c>
      <c r="H7" s="76">
        <v>2024</v>
      </c>
      <c r="J7" s="225">
        <v>2019</v>
      </c>
      <c r="K7" s="225">
        <v>2020</v>
      </c>
      <c r="L7" s="225">
        <v>2021</v>
      </c>
      <c r="M7" s="225">
        <v>2022</v>
      </c>
      <c r="N7" s="225">
        <v>2023</v>
      </c>
    </row>
    <row r="8" spans="2:24" s="80" customFormat="1" ht="17.100000000000001" customHeight="1" x14ac:dyDescent="0.25">
      <c r="C8" s="81" t="s">
        <v>6</v>
      </c>
      <c r="D8" s="82">
        <f>+D9+D15</f>
        <v>2244597.1883875402</v>
      </c>
      <c r="E8" s="82">
        <f>+E9+E15</f>
        <v>2511410.5375608499</v>
      </c>
      <c r="F8" s="82">
        <f>+F9+F15</f>
        <v>1986209.21170907</v>
      </c>
      <c r="G8" s="82">
        <f>+G9+G15</f>
        <v>2291761.3951602401</v>
      </c>
      <c r="H8" s="180">
        <f>+H9+H15</f>
        <v>2550852.7359503498</v>
      </c>
      <c r="J8" s="226">
        <f>+J9+J15</f>
        <v>2198427.0051714899</v>
      </c>
      <c r="K8" s="226">
        <f>+K9+K15</f>
        <v>2244665.7382605998</v>
      </c>
      <c r="L8" s="226">
        <f>+L9+L15</f>
        <v>2511501.8696911298</v>
      </c>
      <c r="M8" s="226">
        <f>+M9+M15</f>
        <v>1988032.3352254396</v>
      </c>
      <c r="N8" s="227">
        <f>+N9+N15</f>
        <v>2312760.8054896197</v>
      </c>
      <c r="P8" s="205">
        <f>+K8-D8</f>
        <v>68.549873059615493</v>
      </c>
      <c r="Q8" s="205">
        <f t="shared" ref="Q8:S23" si="0">+L8-E8</f>
        <v>91.332130279857665</v>
      </c>
      <c r="R8" s="205">
        <f t="shared" si="0"/>
        <v>1823.123516369611</v>
      </c>
      <c r="S8" s="256">
        <f>+N8-G8</f>
        <v>20999.410329379607</v>
      </c>
      <c r="T8" s="256"/>
      <c r="U8" s="256"/>
      <c r="V8" s="256"/>
      <c r="W8" s="256"/>
      <c r="X8" s="256"/>
    </row>
    <row r="9" spans="2:24" s="80" customFormat="1" ht="17.100000000000001" customHeight="1" x14ac:dyDescent="0.25">
      <c r="C9" s="97" t="s">
        <v>179</v>
      </c>
      <c r="D9" s="83">
        <f>+SUM(D10:D14)</f>
        <v>1101531.5363948899</v>
      </c>
      <c r="E9" s="83">
        <f t="shared" ref="E9:H9" si="1">+SUM(E10:E14)</f>
        <v>1282629.3428637199</v>
      </c>
      <c r="F9" s="83">
        <f t="shared" si="1"/>
        <v>1026799.1674029998</v>
      </c>
      <c r="G9" s="83">
        <f t="shared" si="1"/>
        <v>1273474.76353034</v>
      </c>
      <c r="H9" s="181">
        <f t="shared" si="1"/>
        <v>1510944.6581603501</v>
      </c>
      <c r="J9" s="228">
        <f>+J10+J11+J12+J13+J14</f>
        <v>873179.94889335998</v>
      </c>
      <c r="K9" s="228">
        <f t="shared" ref="K9:N9" si="2">+K10+K11+K12+K13+K14</f>
        <v>1101552.77701927</v>
      </c>
      <c r="L9" s="228">
        <f t="shared" si="2"/>
        <v>1282653.0408046101</v>
      </c>
      <c r="M9" s="228">
        <f t="shared" si="2"/>
        <v>1026848.7378762998</v>
      </c>
      <c r="N9" s="229">
        <f t="shared" si="2"/>
        <v>1268149.7950596497</v>
      </c>
      <c r="P9" s="205">
        <f t="shared" ref="P9:P62" si="3">+K9-D9</f>
        <v>21.240624380065128</v>
      </c>
      <c r="Q9" s="205">
        <f t="shared" si="0"/>
        <v>23.697940890211612</v>
      </c>
      <c r="R9" s="205">
        <f t="shared" si="0"/>
        <v>49.570473299943842</v>
      </c>
      <c r="S9" s="205">
        <f t="shared" si="0"/>
        <v>-5324.9684706903063</v>
      </c>
      <c r="T9" s="205"/>
      <c r="U9" s="205"/>
      <c r="V9" s="205"/>
      <c r="W9" s="205"/>
      <c r="X9" s="205"/>
    </row>
    <row r="10" spans="2:24" s="80" customFormat="1" ht="17.100000000000001" customHeight="1" x14ac:dyDescent="0.25">
      <c r="C10" s="98" t="s">
        <v>213</v>
      </c>
      <c r="D10" s="84">
        <v>613396.10831765993</v>
      </c>
      <c r="E10" s="84">
        <v>784752.14237341995</v>
      </c>
      <c r="F10" s="84">
        <v>829446.34800227988</v>
      </c>
      <c r="G10" s="85">
        <v>1039121.0240382</v>
      </c>
      <c r="H10" s="85">
        <v>1230526.05285969</v>
      </c>
      <c r="J10" s="230">
        <v>479032.17838508001</v>
      </c>
      <c r="K10" s="230">
        <v>613417.1018970299</v>
      </c>
      <c r="L10" s="230">
        <v>784775.74374380009</v>
      </c>
      <c r="M10" s="231">
        <v>829495.67325076985</v>
      </c>
      <c r="N10" s="231">
        <v>1039140.9759528199</v>
      </c>
      <c r="P10" s="205">
        <f t="shared" si="3"/>
        <v>20.993579369969666</v>
      </c>
      <c r="Q10" s="205">
        <f t="shared" si="0"/>
        <v>23.601370380143635</v>
      </c>
      <c r="R10" s="205">
        <f t="shared" si="0"/>
        <v>49.325248489971273</v>
      </c>
      <c r="S10" s="205">
        <f t="shared" si="0"/>
        <v>19.951914619887248</v>
      </c>
      <c r="T10" s="205"/>
      <c r="U10" s="205"/>
      <c r="V10" s="205"/>
      <c r="W10" s="205"/>
      <c r="X10" s="205"/>
    </row>
    <row r="11" spans="2:24" s="80" customFormat="1" ht="17.100000000000001" customHeight="1" x14ac:dyDescent="0.25">
      <c r="C11" s="98" t="s">
        <v>7</v>
      </c>
      <c r="D11" s="84">
        <v>56877.103590730003</v>
      </c>
      <c r="E11" s="84">
        <v>99719.892377309996</v>
      </c>
      <c r="F11" s="84">
        <v>95963.643084210009</v>
      </c>
      <c r="G11" s="85">
        <v>91217.333562930027</v>
      </c>
      <c r="H11" s="85">
        <v>83064.961017559996</v>
      </c>
      <c r="J11" s="230">
        <v>57931.958063210004</v>
      </c>
      <c r="K11" s="230">
        <v>56877.350635740004</v>
      </c>
      <c r="L11" s="230">
        <v>99719.988947819991</v>
      </c>
      <c r="M11" s="231">
        <v>95963.888309020011</v>
      </c>
      <c r="N11" s="231">
        <v>91219.510473620016</v>
      </c>
      <c r="P11" s="205">
        <f t="shared" si="3"/>
        <v>0.24704501000087475</v>
      </c>
      <c r="Q11" s="205">
        <f t="shared" si="0"/>
        <v>9.6570509995217435E-2</v>
      </c>
      <c r="R11" s="205">
        <f t="shared" si="0"/>
        <v>0.24522481000167318</v>
      </c>
      <c r="S11" s="205">
        <f t="shared" si="0"/>
        <v>2.17691068998829</v>
      </c>
      <c r="T11" s="205"/>
      <c r="U11" s="205"/>
      <c r="V11" s="205"/>
      <c r="W11" s="205"/>
      <c r="X11" s="205"/>
    </row>
    <row r="12" spans="2:24" s="80" customFormat="1" ht="17.100000000000001" customHeight="1" x14ac:dyDescent="0.25">
      <c r="C12" s="98" t="s">
        <v>154</v>
      </c>
      <c r="D12" s="84">
        <v>104997.93300329</v>
      </c>
      <c r="E12" s="84">
        <v>73184.478127290015</v>
      </c>
      <c r="F12" s="84">
        <v>76844.771130070003</v>
      </c>
      <c r="G12" s="85">
        <v>106711.53088876001</v>
      </c>
      <c r="H12" s="85">
        <v>126598.25158241999</v>
      </c>
      <c r="J12" s="230">
        <v>100008.7694685</v>
      </c>
      <c r="K12" s="230">
        <v>104997.93300328999</v>
      </c>
      <c r="L12" s="230">
        <v>73184.47812729</v>
      </c>
      <c r="M12" s="231">
        <v>76844.771130070003</v>
      </c>
      <c r="N12" s="231">
        <v>106711.53088876</v>
      </c>
      <c r="P12" s="205">
        <f t="shared" si="3"/>
        <v>0</v>
      </c>
      <c r="Q12" s="205">
        <f t="shared" si="0"/>
        <v>0</v>
      </c>
      <c r="R12" s="205">
        <f t="shared" si="0"/>
        <v>0</v>
      </c>
      <c r="S12" s="205">
        <f t="shared" si="0"/>
        <v>0</v>
      </c>
      <c r="T12" s="205"/>
      <c r="U12" s="205"/>
      <c r="V12" s="205"/>
      <c r="W12" s="205"/>
      <c r="X12" s="205"/>
    </row>
    <row r="13" spans="2:24" s="80" customFormat="1" ht="17.100000000000001" customHeight="1" x14ac:dyDescent="0.25">
      <c r="C13" s="98" t="s">
        <v>8</v>
      </c>
      <c r="D13" s="84">
        <v>8841.4416628100007</v>
      </c>
      <c r="E13" s="84">
        <v>5601.195655219999</v>
      </c>
      <c r="F13" s="84">
        <v>4552.01611417</v>
      </c>
      <c r="G13" s="85">
        <v>9541.1038325900008</v>
      </c>
      <c r="H13" s="85">
        <v>18865.504427200001</v>
      </c>
      <c r="J13" s="230">
        <v>16520.363562570001</v>
      </c>
      <c r="K13" s="230">
        <v>8841.4416628100007</v>
      </c>
      <c r="L13" s="230">
        <v>5601.195655219999</v>
      </c>
      <c r="M13" s="231">
        <v>4552.01611417</v>
      </c>
      <c r="N13" s="231">
        <v>2852.8962375900001</v>
      </c>
      <c r="P13" s="205">
        <f t="shared" si="3"/>
        <v>0</v>
      </c>
      <c r="Q13" s="205">
        <f t="shared" si="0"/>
        <v>0</v>
      </c>
      <c r="R13" s="205">
        <f t="shared" si="0"/>
        <v>0</v>
      </c>
      <c r="S13" s="257">
        <f t="shared" si="0"/>
        <v>-6688.2075950000008</v>
      </c>
      <c r="T13" s="257"/>
      <c r="U13" s="257"/>
      <c r="V13" s="257"/>
      <c r="W13" s="257"/>
      <c r="X13" s="257"/>
    </row>
    <row r="14" spans="2:24" s="80" customFormat="1" ht="17.100000000000001" customHeight="1" x14ac:dyDescent="0.25">
      <c r="C14" s="98" t="s">
        <v>9</v>
      </c>
      <c r="D14" s="84">
        <v>317418.94982040004</v>
      </c>
      <c r="E14" s="84">
        <v>319371.63433047995</v>
      </c>
      <c r="F14" s="84">
        <v>19992.389072270002</v>
      </c>
      <c r="G14" s="85">
        <v>26883.771207860002</v>
      </c>
      <c r="H14" s="85">
        <v>51889.888273480006</v>
      </c>
      <c r="J14" s="230">
        <v>219686.67941400001</v>
      </c>
      <c r="K14" s="230">
        <v>317418.94982040004</v>
      </c>
      <c r="L14" s="230">
        <v>319371.63433047995</v>
      </c>
      <c r="M14" s="231">
        <v>19992.389072270002</v>
      </c>
      <c r="N14" s="231">
        <v>28224.881506860002</v>
      </c>
      <c r="P14" s="205">
        <f t="shared" si="3"/>
        <v>0</v>
      </c>
      <c r="Q14" s="205">
        <f t="shared" si="0"/>
        <v>0</v>
      </c>
      <c r="R14" s="205">
        <f t="shared" si="0"/>
        <v>0</v>
      </c>
      <c r="S14" s="257">
        <f t="shared" si="0"/>
        <v>1341.1102989999999</v>
      </c>
      <c r="T14" s="257"/>
      <c r="U14" s="257"/>
      <c r="V14" s="257"/>
      <c r="W14" s="257"/>
      <c r="X14" s="257"/>
    </row>
    <row r="15" spans="2:24" s="80" customFormat="1" ht="17.100000000000001" customHeight="1" x14ac:dyDescent="0.25">
      <c r="C15" s="97" t="s">
        <v>180</v>
      </c>
      <c r="D15" s="83">
        <f>+SUM(D16:D19)</f>
        <v>1143065.65199265</v>
      </c>
      <c r="E15" s="83">
        <f t="shared" ref="E15:H15" si="4">+SUM(E16:E19)</f>
        <v>1228781.19469713</v>
      </c>
      <c r="F15" s="83">
        <f t="shared" si="4"/>
        <v>959410.04430607008</v>
      </c>
      <c r="G15" s="83">
        <f t="shared" si="4"/>
        <v>1018286.6316299</v>
      </c>
      <c r="H15" s="181">
        <f t="shared" si="4"/>
        <v>1039908.0777899999</v>
      </c>
      <c r="J15" s="228">
        <f t="shared" ref="J15:N15" si="5">+J16+J17+J18+J19</f>
        <v>1325247.05627813</v>
      </c>
      <c r="K15" s="228">
        <f t="shared" si="5"/>
        <v>1143112.9612413298</v>
      </c>
      <c r="L15" s="228">
        <f t="shared" si="5"/>
        <v>1228848.8288865197</v>
      </c>
      <c r="M15" s="228">
        <f t="shared" si="5"/>
        <v>961183.59734913986</v>
      </c>
      <c r="N15" s="229">
        <f t="shared" si="5"/>
        <v>1044611.0104299699</v>
      </c>
      <c r="P15" s="205">
        <f t="shared" si="3"/>
        <v>47.309248679783195</v>
      </c>
      <c r="Q15" s="205">
        <f t="shared" si="0"/>
        <v>67.634189389646053</v>
      </c>
      <c r="R15" s="205">
        <f t="shared" si="0"/>
        <v>1773.5530430697836</v>
      </c>
      <c r="S15" s="205">
        <f t="shared" si="0"/>
        <v>26324.378800069913</v>
      </c>
      <c r="T15" s="205"/>
      <c r="U15" s="205"/>
      <c r="V15" s="205"/>
      <c r="W15" s="205"/>
      <c r="X15" s="205"/>
    </row>
    <row r="16" spans="2:24" s="80" customFormat="1" ht="17.100000000000001" customHeight="1" x14ac:dyDescent="0.25">
      <c r="C16" s="98" t="s">
        <v>193</v>
      </c>
      <c r="D16" s="84">
        <v>45592.541483480003</v>
      </c>
      <c r="E16" s="84">
        <v>47272.566616409997</v>
      </c>
      <c r="F16" s="84">
        <v>46417.37398715</v>
      </c>
      <c r="G16" s="85">
        <v>63635.965769179995</v>
      </c>
      <c r="H16" s="85">
        <v>68009.865393</v>
      </c>
      <c r="J16" s="230">
        <v>38783.097917079998</v>
      </c>
      <c r="K16" s="230">
        <v>45592.54148348001</v>
      </c>
      <c r="L16" s="230">
        <v>47272.566616409997</v>
      </c>
      <c r="M16" s="231">
        <v>46417.37398715</v>
      </c>
      <c r="N16" s="231">
        <v>63653.840046019999</v>
      </c>
      <c r="P16" s="205">
        <f t="shared" si="3"/>
        <v>0</v>
      </c>
      <c r="Q16" s="205">
        <f t="shared" si="0"/>
        <v>0</v>
      </c>
      <c r="R16" s="205">
        <f t="shared" si="0"/>
        <v>0</v>
      </c>
      <c r="S16" s="205">
        <f t="shared" si="0"/>
        <v>17.874276840004313</v>
      </c>
      <c r="T16" s="205"/>
      <c r="U16" s="205"/>
      <c r="V16" s="205"/>
      <c r="W16" s="205"/>
      <c r="X16" s="205"/>
    </row>
    <row r="17" spans="3:24" s="80" customFormat="1" ht="17.100000000000001" customHeight="1" x14ac:dyDescent="0.25">
      <c r="C17" s="98" t="s">
        <v>10</v>
      </c>
      <c r="D17" s="84">
        <v>344547.04061997001</v>
      </c>
      <c r="E17" s="84">
        <v>389869.51067248004</v>
      </c>
      <c r="F17" s="84">
        <v>431263.96908115002</v>
      </c>
      <c r="G17" s="85">
        <v>357386.04268215998</v>
      </c>
      <c r="H17" s="85">
        <v>407817.60812233994</v>
      </c>
      <c r="J17" s="230">
        <v>275895.77009268</v>
      </c>
      <c r="K17" s="230">
        <v>344594.16968085</v>
      </c>
      <c r="L17" s="230">
        <v>389913.89218088001</v>
      </c>
      <c r="M17" s="231">
        <v>432778.02241515991</v>
      </c>
      <c r="N17" s="231">
        <v>378410.94292677002</v>
      </c>
      <c r="P17" s="205">
        <f t="shared" si="3"/>
        <v>47.129060879989993</v>
      </c>
      <c r="Q17" s="205">
        <f t="shared" si="0"/>
        <v>44.381508399965242</v>
      </c>
      <c r="R17" s="257">
        <f t="shared" si="0"/>
        <v>1514.0533340098918</v>
      </c>
      <c r="S17" s="257">
        <f t="shared" si="0"/>
        <v>21024.900244610035</v>
      </c>
      <c r="T17" s="257"/>
      <c r="U17" s="257"/>
      <c r="V17" s="257"/>
      <c r="W17" s="257"/>
      <c r="X17" s="257"/>
    </row>
    <row r="18" spans="3:24" s="80" customFormat="1" ht="17.100000000000001" customHeight="1" x14ac:dyDescent="0.25">
      <c r="C18" s="98" t="s">
        <v>11</v>
      </c>
      <c r="D18" s="84">
        <v>668140.76077629009</v>
      </c>
      <c r="E18" s="84">
        <v>715189.88739597995</v>
      </c>
      <c r="F18" s="84">
        <v>426698.55619243998</v>
      </c>
      <c r="G18" s="85">
        <v>534089.51531500998</v>
      </c>
      <c r="H18" s="85">
        <v>488139.59047181997</v>
      </c>
      <c r="J18" s="230">
        <v>927806.72654445004</v>
      </c>
      <c r="K18" s="230">
        <v>668140.94096408982</v>
      </c>
      <c r="L18" s="230">
        <v>715213.14007696987</v>
      </c>
      <c r="M18" s="231">
        <v>429100.27386449993</v>
      </c>
      <c r="N18" s="231">
        <v>537381.52623962995</v>
      </c>
      <c r="P18" s="205">
        <f t="shared" si="3"/>
        <v>0.18018779973499477</v>
      </c>
      <c r="Q18" s="205">
        <f t="shared" si="0"/>
        <v>23.252680989913642</v>
      </c>
      <c r="R18" s="205">
        <f t="shared" si="0"/>
        <v>2401.7176720599527</v>
      </c>
      <c r="S18" s="205">
        <f t="shared" si="0"/>
        <v>3292.0109246199718</v>
      </c>
      <c r="T18" s="205"/>
      <c r="U18" s="205"/>
      <c r="V18" s="205"/>
      <c r="W18" s="205"/>
      <c r="X18" s="205"/>
    </row>
    <row r="19" spans="3:24" s="80" customFormat="1" ht="17.100000000000001" customHeight="1" x14ac:dyDescent="0.25">
      <c r="C19" s="98" t="s">
        <v>12</v>
      </c>
      <c r="D19" s="84">
        <v>84785.309112909992</v>
      </c>
      <c r="E19" s="84">
        <v>76449.230012260014</v>
      </c>
      <c r="F19" s="84">
        <v>55030.145045329991</v>
      </c>
      <c r="G19" s="85">
        <v>63175.107863550002</v>
      </c>
      <c r="H19" s="85">
        <v>75941.013802839996</v>
      </c>
      <c r="J19" s="230">
        <v>82761.461723919987</v>
      </c>
      <c r="K19" s="230">
        <v>84785.309112909992</v>
      </c>
      <c r="L19" s="230">
        <v>76449.230012260014</v>
      </c>
      <c r="M19" s="231">
        <v>52887.927082329988</v>
      </c>
      <c r="N19" s="231">
        <v>65164.701217549991</v>
      </c>
      <c r="P19" s="205">
        <f t="shared" si="3"/>
        <v>0</v>
      </c>
      <c r="Q19" s="205">
        <f t="shared" si="0"/>
        <v>0</v>
      </c>
      <c r="R19" s="205">
        <f t="shared" si="0"/>
        <v>-2142.2179630000028</v>
      </c>
      <c r="S19" s="205">
        <f t="shared" si="0"/>
        <v>1989.5933539999896</v>
      </c>
      <c r="T19" s="205"/>
      <c r="U19" s="205"/>
      <c r="V19" s="205"/>
      <c r="W19" s="205"/>
      <c r="X19" s="205"/>
    </row>
    <row r="20" spans="3:24" s="80" customFormat="1" ht="17.100000000000001" customHeight="1" x14ac:dyDescent="0.25">
      <c r="C20" s="86" t="s">
        <v>13</v>
      </c>
      <c r="D20" s="87">
        <f t="shared" ref="D20:H20" si="6">+D21+D26</f>
        <v>2244597.1883865399</v>
      </c>
      <c r="E20" s="87">
        <f t="shared" si="6"/>
        <v>2511410.5375598497</v>
      </c>
      <c r="F20" s="87">
        <f t="shared" si="6"/>
        <v>1986209.21170907</v>
      </c>
      <c r="G20" s="87">
        <f t="shared" si="6"/>
        <v>2291761.3951602397</v>
      </c>
      <c r="H20" s="182">
        <f t="shared" si="6"/>
        <v>2550852.7359503503</v>
      </c>
      <c r="J20" s="232">
        <f t="shared" ref="J20:N20" si="7">+J21+J26</f>
        <v>2198427.0051719197</v>
      </c>
      <c r="K20" s="232">
        <f t="shared" si="7"/>
        <v>2244665.7382605998</v>
      </c>
      <c r="L20" s="232">
        <f t="shared" si="7"/>
        <v>2511501.8696871302</v>
      </c>
      <c r="M20" s="232">
        <f t="shared" si="7"/>
        <v>1988032.3352254401</v>
      </c>
      <c r="N20" s="233">
        <f t="shared" si="7"/>
        <v>2312760.8054890297</v>
      </c>
      <c r="P20" s="205">
        <f t="shared" si="3"/>
        <v>68.549874059855938</v>
      </c>
      <c r="Q20" s="205">
        <f t="shared" si="0"/>
        <v>91.332127280533314</v>
      </c>
      <c r="R20" s="205">
        <f t="shared" si="0"/>
        <v>1823.1235163700767</v>
      </c>
      <c r="S20" s="205">
        <f t="shared" si="0"/>
        <v>20999.41032879008</v>
      </c>
      <c r="T20" s="205"/>
      <c r="U20" s="205"/>
      <c r="V20" s="205"/>
      <c r="W20" s="205"/>
      <c r="X20" s="205"/>
    </row>
    <row r="21" spans="3:24" s="80" customFormat="1" ht="17.100000000000001" customHeight="1" x14ac:dyDescent="0.25">
      <c r="C21" s="97" t="s">
        <v>168</v>
      </c>
      <c r="D21" s="83">
        <f>+SUM(D22:D25)</f>
        <v>220266.20940001006</v>
      </c>
      <c r="E21" s="83">
        <f t="shared" ref="E21" si="8">+SUM(E22:E25)</f>
        <v>383712.62975017994</v>
      </c>
      <c r="F21" s="83">
        <f t="shared" ref="F21" si="9">+SUM(F22:F25)</f>
        <v>490348.05863344989</v>
      </c>
      <c r="G21" s="83">
        <f t="shared" ref="G21" si="10">+SUM(G22:G25)</f>
        <v>375563.51910062984</v>
      </c>
      <c r="H21" s="181">
        <f t="shared" ref="H21" si="11">+SUM(H22:H25)</f>
        <v>517778.31599058013</v>
      </c>
      <c r="J21" s="228">
        <f t="shared" ref="J21:N21" si="12">+J22+J23+J24+J25</f>
        <v>260395.02765563992</v>
      </c>
      <c r="K21" s="228">
        <f t="shared" si="12"/>
        <v>220299.1083363599</v>
      </c>
      <c r="L21" s="228">
        <f t="shared" si="12"/>
        <v>383459.33208201994</v>
      </c>
      <c r="M21" s="228">
        <f t="shared" si="12"/>
        <v>492212.80070890998</v>
      </c>
      <c r="N21" s="229">
        <f t="shared" si="12"/>
        <v>390764.98038162012</v>
      </c>
      <c r="P21" s="205">
        <f t="shared" si="3"/>
        <v>32.898936349840369</v>
      </c>
      <c r="Q21" s="205">
        <f t="shared" si="0"/>
        <v>-253.29766815999756</v>
      </c>
      <c r="R21" s="205">
        <f t="shared" si="0"/>
        <v>1864.7420754600898</v>
      </c>
      <c r="S21" s="205">
        <f t="shared" si="0"/>
        <v>15201.461280990276</v>
      </c>
      <c r="T21" s="205"/>
      <c r="U21" s="205"/>
      <c r="V21" s="205"/>
      <c r="W21" s="205"/>
      <c r="X21" s="205"/>
    </row>
    <row r="22" spans="3:24" s="80" customFormat="1" ht="17.100000000000001" customHeight="1" x14ac:dyDescent="0.25">
      <c r="C22" s="98" t="s">
        <v>14</v>
      </c>
      <c r="D22" s="84">
        <v>143862.96670645001</v>
      </c>
      <c r="E22" s="84">
        <v>161995.39370341998</v>
      </c>
      <c r="F22" s="84">
        <v>187338.48044766998</v>
      </c>
      <c r="G22" s="85">
        <v>198918.19676784001</v>
      </c>
      <c r="H22" s="85">
        <v>212981.07880425997</v>
      </c>
      <c r="J22" s="230">
        <v>139464.21473974999</v>
      </c>
      <c r="K22" s="230">
        <v>140264.21446975</v>
      </c>
      <c r="L22" s="230">
        <v>158203.16720872</v>
      </c>
      <c r="M22" s="231">
        <v>177594.85059410997</v>
      </c>
      <c r="N22" s="231">
        <v>189174.56691428</v>
      </c>
      <c r="P22" s="205">
        <f t="shared" si="3"/>
        <v>-3598.7522367000056</v>
      </c>
      <c r="Q22" s="205">
        <f t="shared" si="0"/>
        <v>-3792.2264946999785</v>
      </c>
      <c r="R22" s="205">
        <f t="shared" si="0"/>
        <v>-9743.6298535600072</v>
      </c>
      <c r="S22" s="205">
        <f t="shared" si="0"/>
        <v>-9743.6298535600072</v>
      </c>
      <c r="T22" s="205"/>
      <c r="U22" s="205"/>
      <c r="V22" s="205"/>
      <c r="W22" s="205"/>
      <c r="X22" s="205"/>
    </row>
    <row r="23" spans="3:24" s="80" customFormat="1" ht="17.100000000000001" customHeight="1" x14ac:dyDescent="0.25">
      <c r="C23" s="98" t="s">
        <v>15</v>
      </c>
      <c r="D23" s="84">
        <v>356582.99985659</v>
      </c>
      <c r="E23" s="84">
        <v>376788.51305282</v>
      </c>
      <c r="F23" s="84">
        <v>433301.77885962994</v>
      </c>
      <c r="G23" s="85">
        <v>641084.77447553992</v>
      </c>
      <c r="H23" s="85">
        <v>766878.71398939018</v>
      </c>
      <c r="J23" s="230">
        <v>329518.60533325997</v>
      </c>
      <c r="K23" s="230">
        <v>358779.51826379</v>
      </c>
      <c r="L23" s="230">
        <v>378169.53423701995</v>
      </c>
      <c r="M23" s="231">
        <v>439631.48411068995</v>
      </c>
      <c r="N23" s="231">
        <v>650963.05458860006</v>
      </c>
      <c r="P23" s="205">
        <f t="shared" si="3"/>
        <v>2196.5184071999975</v>
      </c>
      <c r="Q23" s="205">
        <f t="shared" si="0"/>
        <v>1381.0211841999553</v>
      </c>
      <c r="R23" s="205">
        <f t="shared" si="0"/>
        <v>6329.7052510600188</v>
      </c>
      <c r="S23" s="257">
        <f t="shared" si="0"/>
        <v>9878.2801130601438</v>
      </c>
      <c r="T23" s="257"/>
      <c r="U23" s="257"/>
      <c r="V23" s="257"/>
      <c r="W23" s="257"/>
      <c r="X23" s="257"/>
    </row>
    <row r="24" spans="3:24" s="80" customFormat="1" ht="17.100000000000001" customHeight="1" x14ac:dyDescent="0.25">
      <c r="C24" s="98" t="s">
        <v>214</v>
      </c>
      <c r="D24" s="84">
        <v>-202695.30159461001</v>
      </c>
      <c r="E24" s="84">
        <v>-261191.91465809999</v>
      </c>
      <c r="F24" s="84">
        <v>-232091.57893965006</v>
      </c>
      <c r="G24" s="85">
        <v>-253169.79192556997</v>
      </c>
      <c r="H24" s="85">
        <v>-442539.65351992002</v>
      </c>
      <c r="J24" s="230">
        <v>-178170.2161395</v>
      </c>
      <c r="K24" s="230">
        <v>-201483.03203953011</v>
      </c>
      <c r="L24" s="230">
        <v>-259047.81041325998</v>
      </c>
      <c r="M24" s="231">
        <v>-227152.52217831998</v>
      </c>
      <c r="N24" s="231">
        <v>-244225.89459359998</v>
      </c>
      <c r="P24" s="205">
        <f t="shared" si="3"/>
        <v>1212.2695550798962</v>
      </c>
      <c r="Q24" s="205">
        <f t="shared" ref="Q24:Q62" si="13">+L24-E24</f>
        <v>2144.1042448400112</v>
      </c>
      <c r="R24" s="205">
        <f t="shared" ref="R24:R62" si="14">+M24-F24</f>
        <v>4939.0567613300809</v>
      </c>
      <c r="S24" s="205">
        <f t="shared" ref="S24:S62" si="15">+N24-G24</f>
        <v>8943.8973319699871</v>
      </c>
      <c r="T24" s="205"/>
      <c r="U24" s="205"/>
      <c r="V24" s="205"/>
      <c r="W24" s="205"/>
      <c r="X24" s="205"/>
    </row>
    <row r="25" spans="3:24" s="80" customFormat="1" ht="17.100000000000001" customHeight="1" x14ac:dyDescent="0.25">
      <c r="C25" s="98" t="s">
        <v>221</v>
      </c>
      <c r="D25" s="84">
        <v>-77484.455568420017</v>
      </c>
      <c r="E25" s="84">
        <v>106120.63765204001</v>
      </c>
      <c r="F25" s="84">
        <v>101799.37826580001</v>
      </c>
      <c r="G25" s="85">
        <v>-211269.66021718</v>
      </c>
      <c r="H25" s="85">
        <v>-19541.823283149995</v>
      </c>
      <c r="J25" s="230">
        <v>-30417.576277869994</v>
      </c>
      <c r="K25" s="230">
        <v>-77261.592357649992</v>
      </c>
      <c r="L25" s="230">
        <v>106134.44104954001</v>
      </c>
      <c r="M25" s="231">
        <v>102138.98818243001</v>
      </c>
      <c r="N25" s="231">
        <v>-205146.74652765997</v>
      </c>
      <c r="P25" s="205">
        <f t="shared" si="3"/>
        <v>222.86321077002503</v>
      </c>
      <c r="Q25" s="205">
        <f t="shared" si="13"/>
        <v>13.803397499999846</v>
      </c>
      <c r="R25" s="205">
        <f t="shared" si="14"/>
        <v>339.60991662999731</v>
      </c>
      <c r="S25" s="257">
        <f t="shared" si="15"/>
        <v>6122.9136895200354</v>
      </c>
      <c r="T25" s="257"/>
      <c r="U25" s="257"/>
      <c r="V25" s="257"/>
      <c r="W25" s="257"/>
      <c r="X25" s="257"/>
    </row>
    <row r="26" spans="3:24" s="80" customFormat="1" ht="17.100000000000001" customHeight="1" x14ac:dyDescent="0.25">
      <c r="C26" s="97" t="s">
        <v>182</v>
      </c>
      <c r="D26" s="96">
        <f>+D27+D33</f>
        <v>2024330.9789865301</v>
      </c>
      <c r="E26" s="96">
        <f t="shared" ref="E26:H26" si="16">+E27+E33</f>
        <v>2127697.9078096696</v>
      </c>
      <c r="F26" s="96">
        <f t="shared" si="16"/>
        <v>1495861.1530756201</v>
      </c>
      <c r="G26" s="96">
        <f t="shared" si="16"/>
        <v>1916197.8760596099</v>
      </c>
      <c r="H26" s="183">
        <f t="shared" si="16"/>
        <v>2033074.41995977</v>
      </c>
      <c r="J26" s="234">
        <f>+J27+J33</f>
        <v>1938031.9775162798</v>
      </c>
      <c r="K26" s="234">
        <f t="shared" ref="K26:N26" si="17">+K27+K33</f>
        <v>2024366.6299242401</v>
      </c>
      <c r="L26" s="234">
        <f t="shared" si="17"/>
        <v>2128042.5376051101</v>
      </c>
      <c r="M26" s="234">
        <f t="shared" si="17"/>
        <v>1495819.5345165301</v>
      </c>
      <c r="N26" s="235">
        <f t="shared" si="17"/>
        <v>1921995.8251074096</v>
      </c>
      <c r="P26" s="205">
        <f t="shared" si="3"/>
        <v>35.650937709957361</v>
      </c>
      <c r="Q26" s="205">
        <f t="shared" si="13"/>
        <v>344.62979544047266</v>
      </c>
      <c r="R26" s="205">
        <f t="shared" si="14"/>
        <v>-41.618559089954942</v>
      </c>
      <c r="S26" s="205">
        <f t="shared" si="15"/>
        <v>5797.9490477996878</v>
      </c>
      <c r="T26" s="205"/>
      <c r="U26" s="205"/>
      <c r="V26" s="205"/>
      <c r="W26" s="205"/>
      <c r="X26" s="205"/>
    </row>
    <row r="27" spans="3:24" s="80" customFormat="1" ht="17.100000000000001" customHeight="1" x14ac:dyDescent="0.25">
      <c r="C27" s="99" t="s">
        <v>16</v>
      </c>
      <c r="D27" s="88">
        <f>+SUM(D28:D32)</f>
        <v>294353.15643734002</v>
      </c>
      <c r="E27" s="88">
        <f t="shared" ref="E27:H27" si="18">+SUM(E28:E32)</f>
        <v>341615.82542448997</v>
      </c>
      <c r="F27" s="88">
        <f t="shared" si="18"/>
        <v>325801.51832197001</v>
      </c>
      <c r="G27" s="88">
        <f t="shared" si="18"/>
        <v>539085.38611058996</v>
      </c>
      <c r="H27" s="184">
        <f t="shared" si="18"/>
        <v>554586.77037252998</v>
      </c>
      <c r="J27" s="236">
        <f t="shared" ref="J27:N27" si="19">+J28+J29+J30+J31+J32</f>
        <v>249066.18854316999</v>
      </c>
      <c r="K27" s="236">
        <f t="shared" si="19"/>
        <v>294353.15643734002</v>
      </c>
      <c r="L27" s="236">
        <f t="shared" si="19"/>
        <v>341915.82542448997</v>
      </c>
      <c r="M27" s="236">
        <f t="shared" si="19"/>
        <v>325858.39909997</v>
      </c>
      <c r="N27" s="237">
        <f t="shared" si="19"/>
        <v>536460.70845957997</v>
      </c>
      <c r="P27" s="205">
        <f t="shared" si="3"/>
        <v>0</v>
      </c>
      <c r="Q27" s="205">
        <f t="shared" si="13"/>
        <v>300</v>
      </c>
      <c r="R27" s="205">
        <f t="shared" si="14"/>
        <v>56.880777999991551</v>
      </c>
      <c r="S27" s="205">
        <f t="shared" si="15"/>
        <v>-2624.677651009988</v>
      </c>
      <c r="T27" s="205"/>
      <c r="U27" s="205"/>
      <c r="V27" s="205"/>
      <c r="W27" s="205"/>
      <c r="X27" s="205"/>
    </row>
    <row r="28" spans="3:24" s="80" customFormat="1" ht="17.100000000000001" customHeight="1" x14ac:dyDescent="0.25">
      <c r="C28" s="98" t="s">
        <v>17</v>
      </c>
      <c r="D28" s="84">
        <v>156973.69786601001</v>
      </c>
      <c r="E28" s="84">
        <v>143458.74654101001</v>
      </c>
      <c r="F28" s="84">
        <v>134458.05020575001</v>
      </c>
      <c r="G28" s="85">
        <v>187383.20092822998</v>
      </c>
      <c r="H28" s="85">
        <v>219031.16486391998</v>
      </c>
      <c r="J28" s="230">
        <v>130552.85416582</v>
      </c>
      <c r="K28" s="230">
        <v>156973.69786601001</v>
      </c>
      <c r="L28" s="230">
        <v>143458.74654101001</v>
      </c>
      <c r="M28" s="231">
        <v>134514.93098375</v>
      </c>
      <c r="N28" s="231">
        <v>186916.82887923002</v>
      </c>
      <c r="P28" s="205">
        <f t="shared" si="3"/>
        <v>0</v>
      </c>
      <c r="Q28" s="205">
        <f t="shared" si="13"/>
        <v>0</v>
      </c>
      <c r="R28" s="205">
        <f t="shared" si="14"/>
        <v>56.880777999991551</v>
      </c>
      <c r="S28" s="205">
        <f t="shared" si="15"/>
        <v>-466.37204899996868</v>
      </c>
      <c r="T28" s="205"/>
      <c r="U28" s="205"/>
      <c r="V28" s="205"/>
      <c r="W28" s="205"/>
      <c r="X28" s="205"/>
    </row>
    <row r="29" spans="3:24" s="80" customFormat="1" ht="17.100000000000001" customHeight="1" x14ac:dyDescent="0.25">
      <c r="C29" s="98" t="s">
        <v>18</v>
      </c>
      <c r="D29" s="84">
        <v>5.4847130899999996</v>
      </c>
      <c r="E29" s="84">
        <v>0</v>
      </c>
      <c r="F29" s="84">
        <v>0</v>
      </c>
      <c r="G29" s="85">
        <v>0</v>
      </c>
      <c r="H29" s="85">
        <v>0</v>
      </c>
      <c r="J29" s="230">
        <v>0.29585600000000001</v>
      </c>
      <c r="K29" s="230">
        <v>5.4847130899999996</v>
      </c>
      <c r="L29" s="230">
        <v>0</v>
      </c>
      <c r="M29" s="231">
        <v>0</v>
      </c>
      <c r="N29" s="231">
        <v>0</v>
      </c>
      <c r="P29" s="205">
        <f t="shared" si="3"/>
        <v>0</v>
      </c>
      <c r="Q29" s="205">
        <f t="shared" si="13"/>
        <v>0</v>
      </c>
      <c r="R29" s="205">
        <f t="shared" si="14"/>
        <v>0</v>
      </c>
      <c r="S29" s="205">
        <f t="shared" si="15"/>
        <v>0</v>
      </c>
      <c r="T29" s="205"/>
      <c r="U29" s="205"/>
      <c r="V29" s="205"/>
      <c r="W29" s="205"/>
      <c r="X29" s="205"/>
    </row>
    <row r="30" spans="3:24" s="80" customFormat="1" ht="17.100000000000001" customHeight="1" x14ac:dyDescent="0.25">
      <c r="C30" s="98" t="s">
        <v>19</v>
      </c>
      <c r="D30" s="84">
        <v>30507.350337</v>
      </c>
      <c r="E30" s="84">
        <v>26911.829343000001</v>
      </c>
      <c r="F30" s="84">
        <v>23618.222214000001</v>
      </c>
      <c r="G30" s="85">
        <v>29357.053264999999</v>
      </c>
      <c r="H30" s="85">
        <v>26322.765749999999</v>
      </c>
      <c r="J30" s="230">
        <v>23970.480023</v>
      </c>
      <c r="K30" s="230">
        <v>30507.350337</v>
      </c>
      <c r="L30" s="230">
        <v>26911.829343000001</v>
      </c>
      <c r="M30" s="231">
        <v>23618.222214000001</v>
      </c>
      <c r="N30" s="231">
        <v>28016.400583999999</v>
      </c>
      <c r="P30" s="205">
        <f t="shared" si="3"/>
        <v>0</v>
      </c>
      <c r="Q30" s="205">
        <f t="shared" si="13"/>
        <v>0</v>
      </c>
      <c r="R30" s="205">
        <f t="shared" si="14"/>
        <v>0</v>
      </c>
      <c r="S30" s="257">
        <f t="shared" si="15"/>
        <v>-1340.6526809999996</v>
      </c>
      <c r="T30" s="257"/>
      <c r="U30" s="257"/>
      <c r="V30" s="257"/>
      <c r="W30" s="257"/>
      <c r="X30" s="257"/>
    </row>
    <row r="31" spans="3:24" s="80" customFormat="1" ht="17.100000000000001" customHeight="1" x14ac:dyDescent="0.25">
      <c r="C31" s="98" t="s">
        <v>156</v>
      </c>
      <c r="D31" s="84">
        <v>34613.676629169997</v>
      </c>
      <c r="E31" s="84">
        <v>45339.443343500003</v>
      </c>
      <c r="F31" s="84">
        <v>52285.562570330003</v>
      </c>
      <c r="G31" s="85">
        <v>68962.114900149987</v>
      </c>
      <c r="H31" s="85">
        <v>59589.961744690001</v>
      </c>
      <c r="J31" s="230">
        <v>19955.322797159999</v>
      </c>
      <c r="K31" s="230">
        <v>34613.676629169997</v>
      </c>
      <c r="L31" s="230">
        <v>45339.443343500003</v>
      </c>
      <c r="M31" s="231">
        <v>52285.562570330003</v>
      </c>
      <c r="N31" s="231">
        <v>68179.924299150007</v>
      </c>
      <c r="P31" s="205">
        <f t="shared" si="3"/>
        <v>0</v>
      </c>
      <c r="Q31" s="205">
        <f t="shared" si="13"/>
        <v>0</v>
      </c>
      <c r="R31" s="205">
        <f t="shared" si="14"/>
        <v>0</v>
      </c>
      <c r="S31" s="205">
        <f t="shared" si="15"/>
        <v>-782.19060099998023</v>
      </c>
      <c r="T31" s="205"/>
      <c r="U31" s="205"/>
      <c r="V31" s="205"/>
      <c r="W31" s="205"/>
      <c r="X31" s="205"/>
    </row>
    <row r="32" spans="3:24" s="80" customFormat="1" ht="17.100000000000001" customHeight="1" x14ac:dyDescent="0.25">
      <c r="C32" s="98" t="s">
        <v>20</v>
      </c>
      <c r="D32" s="84">
        <v>72252.946892069987</v>
      </c>
      <c r="E32" s="84">
        <v>125905.80619697999</v>
      </c>
      <c r="F32" s="84">
        <v>115439.68333189</v>
      </c>
      <c r="G32" s="85">
        <v>253383.01701720999</v>
      </c>
      <c r="H32" s="85">
        <v>249642.87801391998</v>
      </c>
      <c r="J32" s="230">
        <v>74587.235701190002</v>
      </c>
      <c r="K32" s="230">
        <v>72252.946892069987</v>
      </c>
      <c r="L32" s="230">
        <v>126205.80619697999</v>
      </c>
      <c r="M32" s="231">
        <v>115439.68333189</v>
      </c>
      <c r="N32" s="231">
        <v>253347.55469719999</v>
      </c>
      <c r="P32" s="205">
        <f t="shared" si="3"/>
        <v>0</v>
      </c>
      <c r="Q32" s="205">
        <f t="shared" si="13"/>
        <v>300</v>
      </c>
      <c r="R32" s="205">
        <f t="shared" si="14"/>
        <v>0</v>
      </c>
      <c r="S32" s="205">
        <f t="shared" si="15"/>
        <v>-35.462320010003168</v>
      </c>
      <c r="T32" s="205"/>
      <c r="U32" s="205"/>
      <c r="V32" s="205"/>
      <c r="W32" s="205"/>
      <c r="X32" s="205"/>
    </row>
    <row r="33" spans="3:24" s="80" customFormat="1" ht="17.100000000000001" customHeight="1" x14ac:dyDescent="0.25">
      <c r="C33" s="99" t="s">
        <v>181</v>
      </c>
      <c r="D33" s="88">
        <f>+SUM(D34:D37)</f>
        <v>1729977.8225491901</v>
      </c>
      <c r="E33" s="88">
        <f t="shared" ref="E33:H33" si="20">+SUM(E34:E37)</f>
        <v>1786082.0823851798</v>
      </c>
      <c r="F33" s="88">
        <f t="shared" si="20"/>
        <v>1170059.6347536501</v>
      </c>
      <c r="G33" s="88">
        <f t="shared" si="20"/>
        <v>1377112.4899490201</v>
      </c>
      <c r="H33" s="184">
        <f t="shared" si="20"/>
        <v>1478487.6495872401</v>
      </c>
      <c r="J33" s="236">
        <f t="shared" ref="J33:N33" si="21">+J34+J35+J36+J37</f>
        <v>1688965.7889731098</v>
      </c>
      <c r="K33" s="236">
        <f t="shared" si="21"/>
        <v>1730013.4734869001</v>
      </c>
      <c r="L33" s="236">
        <f t="shared" si="21"/>
        <v>1786126.7121806201</v>
      </c>
      <c r="M33" s="236">
        <f t="shared" si="21"/>
        <v>1169961.1354165601</v>
      </c>
      <c r="N33" s="237">
        <f t="shared" si="21"/>
        <v>1385535.1166478298</v>
      </c>
      <c r="P33" s="205">
        <f t="shared" si="3"/>
        <v>35.650937709957361</v>
      </c>
      <c r="Q33" s="205">
        <f t="shared" si="13"/>
        <v>44.629795440239832</v>
      </c>
      <c r="R33" s="205">
        <f t="shared" si="14"/>
        <v>-98.499337089946494</v>
      </c>
      <c r="S33" s="205">
        <f t="shared" si="15"/>
        <v>8422.6266988096759</v>
      </c>
      <c r="T33" s="205"/>
      <c r="U33" s="205"/>
      <c r="V33" s="205"/>
      <c r="W33" s="205"/>
      <c r="X33" s="205"/>
    </row>
    <row r="34" spans="3:24" s="80" customFormat="1" ht="17.100000000000001" customHeight="1" x14ac:dyDescent="0.25">
      <c r="C34" s="98" t="s">
        <v>21</v>
      </c>
      <c r="D34" s="84">
        <v>1134694.0487615799</v>
      </c>
      <c r="E34" s="84">
        <v>1131634.90860497</v>
      </c>
      <c r="F34" s="84">
        <v>806071.36455309018</v>
      </c>
      <c r="G34" s="85">
        <v>900536.78638956009</v>
      </c>
      <c r="H34" s="85">
        <v>960506.98210370995</v>
      </c>
      <c r="J34" s="230">
        <v>1204714.5830068898</v>
      </c>
      <c r="K34" s="230">
        <v>1134729.6996992899</v>
      </c>
      <c r="L34" s="230">
        <v>1131679.5384004102</v>
      </c>
      <c r="M34" s="231">
        <v>805767.69394400017</v>
      </c>
      <c r="N34" s="231">
        <v>908563.85571859998</v>
      </c>
      <c r="P34" s="205">
        <f t="shared" si="3"/>
        <v>35.650937709957361</v>
      </c>
      <c r="Q34" s="205">
        <f t="shared" si="13"/>
        <v>44.629795440239832</v>
      </c>
      <c r="R34" s="205">
        <f t="shared" si="14"/>
        <v>-303.67060909001157</v>
      </c>
      <c r="S34" s="257">
        <f t="shared" si="15"/>
        <v>8027.0693290398922</v>
      </c>
      <c r="T34" s="257"/>
      <c r="U34" s="257"/>
      <c r="V34" s="257"/>
      <c r="W34" s="257"/>
      <c r="X34" s="257"/>
    </row>
    <row r="35" spans="3:24" s="80" customFormat="1" ht="17.100000000000001" customHeight="1" x14ac:dyDescent="0.25">
      <c r="C35" s="98" t="s">
        <v>22</v>
      </c>
      <c r="D35" s="84">
        <v>2778.3853586800001</v>
      </c>
      <c r="E35" s="84">
        <v>5812.3631707799996</v>
      </c>
      <c r="F35" s="84">
        <v>55559.908748440001</v>
      </c>
      <c r="G35" s="85">
        <v>97572.316351610003</v>
      </c>
      <c r="H35" s="85">
        <v>130797.49649166</v>
      </c>
      <c r="J35" s="230">
        <v>4130.4550011299998</v>
      </c>
      <c r="K35" s="230">
        <v>2778.3853586800001</v>
      </c>
      <c r="L35" s="230">
        <v>5812.3631707799996</v>
      </c>
      <c r="M35" s="231">
        <v>55559.908748440001</v>
      </c>
      <c r="N35" s="231">
        <v>97372.316351610003</v>
      </c>
      <c r="P35" s="205">
        <f t="shared" si="3"/>
        <v>0</v>
      </c>
      <c r="Q35" s="205">
        <f t="shared" si="13"/>
        <v>0</v>
      </c>
      <c r="R35" s="205">
        <f t="shared" si="14"/>
        <v>0</v>
      </c>
      <c r="S35" s="205">
        <f t="shared" si="15"/>
        <v>-200</v>
      </c>
      <c r="T35" s="205"/>
      <c r="U35" s="205"/>
      <c r="V35" s="205"/>
      <c r="W35" s="205"/>
      <c r="X35" s="205"/>
    </row>
    <row r="36" spans="3:24" s="80" customFormat="1" ht="17.100000000000001" customHeight="1" x14ac:dyDescent="0.25">
      <c r="C36" s="98" t="s">
        <v>155</v>
      </c>
      <c r="D36" s="84">
        <v>14464.629202</v>
      </c>
      <c r="E36" s="84">
        <v>39842.318761000002</v>
      </c>
      <c r="F36" s="84">
        <v>360.76979899999998</v>
      </c>
      <c r="G36" s="84">
        <v>711.13197409999998</v>
      </c>
      <c r="H36" s="85">
        <v>1590.9653249999999</v>
      </c>
      <c r="J36" s="230">
        <v>7785.7932548500003</v>
      </c>
      <c r="K36" s="230">
        <v>14464.629202</v>
      </c>
      <c r="L36" s="230">
        <v>39842.318761000002</v>
      </c>
      <c r="M36" s="230">
        <v>360.76979899999998</v>
      </c>
      <c r="N36" s="231">
        <v>911.13197409999998</v>
      </c>
      <c r="P36" s="205">
        <f t="shared" si="3"/>
        <v>0</v>
      </c>
      <c r="Q36" s="205">
        <f t="shared" si="13"/>
        <v>0</v>
      </c>
      <c r="R36" s="205">
        <f t="shared" si="14"/>
        <v>0</v>
      </c>
      <c r="S36" s="205">
        <f t="shared" si="15"/>
        <v>200</v>
      </c>
      <c r="T36" s="205"/>
      <c r="U36" s="205"/>
      <c r="V36" s="205"/>
      <c r="W36" s="205"/>
      <c r="X36" s="205"/>
    </row>
    <row r="37" spans="3:24" s="80" customFormat="1" ht="17.100000000000001" customHeight="1" x14ac:dyDescent="0.25">
      <c r="C37" s="100" t="s">
        <v>23</v>
      </c>
      <c r="D37" s="89">
        <v>578040.75922693009</v>
      </c>
      <c r="E37" s="89">
        <v>608792.4918484299</v>
      </c>
      <c r="F37" s="89">
        <v>308067.59165312001</v>
      </c>
      <c r="G37" s="185">
        <v>378292.25523374998</v>
      </c>
      <c r="H37" s="185">
        <v>385592.20566687005</v>
      </c>
      <c r="J37" s="238">
        <v>472334.95771023998</v>
      </c>
      <c r="K37" s="238">
        <v>578040.75922693009</v>
      </c>
      <c r="L37" s="238">
        <v>608792.49184843001</v>
      </c>
      <c r="M37" s="239">
        <v>308272.76292512001</v>
      </c>
      <c r="N37" s="239">
        <v>378687.81260351988</v>
      </c>
      <c r="P37" s="205">
        <f t="shared" si="3"/>
        <v>0</v>
      </c>
      <c r="Q37" s="205">
        <f t="shared" si="13"/>
        <v>0</v>
      </c>
      <c r="R37" s="205">
        <f t="shared" si="14"/>
        <v>205.17127200000687</v>
      </c>
      <c r="S37" s="205">
        <f t="shared" si="15"/>
        <v>395.55736976990011</v>
      </c>
      <c r="T37" s="205"/>
      <c r="U37" s="205"/>
      <c r="V37" s="205"/>
      <c r="W37" s="205"/>
      <c r="X37" s="205"/>
    </row>
    <row r="38" spans="3:24" s="80" customFormat="1" ht="17.100000000000001" customHeight="1" x14ac:dyDescent="0.25">
      <c r="C38" s="77"/>
      <c r="D38" s="186"/>
      <c r="E38" s="187"/>
      <c r="F38" s="187"/>
      <c r="G38" s="186"/>
      <c r="H38" s="186"/>
      <c r="J38" s="240"/>
      <c r="K38" s="241"/>
      <c r="L38" s="241"/>
      <c r="M38" s="240"/>
      <c r="N38" s="240"/>
      <c r="P38" s="205">
        <f t="shared" si="3"/>
        <v>0</v>
      </c>
      <c r="Q38" s="205">
        <f t="shared" si="13"/>
        <v>0</v>
      </c>
      <c r="R38" s="205">
        <f t="shared" si="14"/>
        <v>0</v>
      </c>
      <c r="S38" s="205">
        <f t="shared" si="15"/>
        <v>0</v>
      </c>
      <c r="T38" s="205"/>
      <c r="U38" s="205"/>
      <c r="V38" s="205"/>
      <c r="W38" s="205"/>
      <c r="X38" s="205"/>
    </row>
    <row r="39" spans="3:24" s="80" customFormat="1" ht="17.100000000000001" customHeight="1" x14ac:dyDescent="0.25">
      <c r="C39" s="16" t="s">
        <v>167</v>
      </c>
      <c r="D39" s="3" t="s">
        <v>219</v>
      </c>
      <c r="E39" s="2"/>
      <c r="F39" s="2"/>
      <c r="G39" s="2"/>
      <c r="H39" s="2"/>
      <c r="J39" s="1" t="s">
        <v>219</v>
      </c>
      <c r="K39" s="1"/>
      <c r="L39" s="1"/>
      <c r="M39" s="1"/>
      <c r="N39" s="1"/>
      <c r="P39" s="205" t="e">
        <f t="shared" si="3"/>
        <v>#VALUE!</v>
      </c>
      <c r="Q39" s="205">
        <f t="shared" si="13"/>
        <v>0</v>
      </c>
      <c r="R39" s="205">
        <f t="shared" si="14"/>
        <v>0</v>
      </c>
      <c r="S39" s="205">
        <f t="shared" si="15"/>
        <v>0</v>
      </c>
      <c r="T39" s="205"/>
      <c r="U39" s="205"/>
      <c r="V39" s="205"/>
      <c r="W39" s="205"/>
      <c r="X39" s="205"/>
    </row>
    <row r="40" spans="3:24" s="80" customFormat="1" ht="17.100000000000001" customHeight="1" x14ac:dyDescent="0.25">
      <c r="C40" s="15"/>
      <c r="D40" s="186"/>
      <c r="E40" s="110"/>
      <c r="F40" s="188"/>
      <c r="G40" s="4" t="s">
        <v>204</v>
      </c>
      <c r="H40" s="4"/>
      <c r="J40" s="240"/>
      <c r="K40" s="242"/>
      <c r="L40" s="188"/>
      <c r="M40" s="4" t="s">
        <v>175</v>
      </c>
      <c r="N40" s="4"/>
      <c r="P40" s="205">
        <f t="shared" si="3"/>
        <v>0</v>
      </c>
      <c r="Q40" s="205">
        <f t="shared" si="13"/>
        <v>0</v>
      </c>
      <c r="R40" s="205" t="e">
        <f t="shared" si="14"/>
        <v>#VALUE!</v>
      </c>
      <c r="S40" s="205" t="e">
        <f t="shared" si="15"/>
        <v>#VALUE!</v>
      </c>
      <c r="T40" s="205"/>
      <c r="U40" s="205"/>
      <c r="V40" s="205"/>
      <c r="W40" s="205"/>
      <c r="X40" s="205"/>
    </row>
    <row r="41" spans="3:24" s="71" customFormat="1" ht="17.100000000000001" customHeight="1" x14ac:dyDescent="0.25">
      <c r="C41" s="279"/>
      <c r="D41" s="93">
        <v>2020</v>
      </c>
      <c r="E41" s="93">
        <v>2021</v>
      </c>
      <c r="F41" s="93">
        <v>2022</v>
      </c>
      <c r="G41" s="93">
        <v>2023</v>
      </c>
      <c r="H41" s="93">
        <v>2024</v>
      </c>
      <c r="J41" s="243">
        <v>2019</v>
      </c>
      <c r="K41" s="243">
        <v>2020</v>
      </c>
      <c r="L41" s="243">
        <v>2021</v>
      </c>
      <c r="M41" s="243">
        <v>2022</v>
      </c>
      <c r="N41" s="243">
        <v>2023</v>
      </c>
      <c r="P41" s="205">
        <f t="shared" si="3"/>
        <v>0</v>
      </c>
      <c r="Q41" s="205">
        <f t="shared" si="13"/>
        <v>0</v>
      </c>
      <c r="R41" s="205">
        <f t="shared" si="14"/>
        <v>0</v>
      </c>
      <c r="S41" s="205">
        <f t="shared" si="15"/>
        <v>0</v>
      </c>
      <c r="T41" s="205"/>
      <c r="U41" s="205"/>
      <c r="V41" s="205"/>
      <c r="W41" s="205"/>
      <c r="X41" s="205"/>
    </row>
    <row r="42" spans="3:24" s="80" customFormat="1" ht="17.100000000000001" customHeight="1" x14ac:dyDescent="0.25">
      <c r="C42" s="98" t="s">
        <v>24</v>
      </c>
      <c r="D42" s="78">
        <v>83497.458348229979</v>
      </c>
      <c r="E42" s="78">
        <v>102351.98629725001</v>
      </c>
      <c r="F42" s="78">
        <v>105390.98489441001</v>
      </c>
      <c r="G42" s="79">
        <v>128311.62025738</v>
      </c>
      <c r="H42" s="79">
        <v>124123.63678192998</v>
      </c>
      <c r="J42" s="244">
        <v>79284.092424310002</v>
      </c>
      <c r="K42" s="244">
        <v>83630.572202119991</v>
      </c>
      <c r="L42" s="244">
        <v>102573.34181621998</v>
      </c>
      <c r="M42" s="245">
        <v>105696.01068945001</v>
      </c>
      <c r="N42" s="245">
        <v>128591.01848920999</v>
      </c>
      <c r="P42" s="205">
        <f t="shared" si="3"/>
        <v>133.11385389001225</v>
      </c>
      <c r="Q42" s="205">
        <f t="shared" si="13"/>
        <v>221.35551896996913</v>
      </c>
      <c r="R42" s="205">
        <f t="shared" si="14"/>
        <v>305.02579503999732</v>
      </c>
      <c r="S42" s="205">
        <f t="shared" si="15"/>
        <v>279.3982318299968</v>
      </c>
      <c r="T42" s="205"/>
      <c r="U42" s="205"/>
      <c r="V42" s="205"/>
      <c r="W42" s="205"/>
      <c r="X42" s="205"/>
    </row>
    <row r="43" spans="3:24" s="80" customFormat="1" ht="17.100000000000001" customHeight="1" x14ac:dyDescent="0.25">
      <c r="C43" s="98" t="s">
        <v>190</v>
      </c>
      <c r="D43" s="78">
        <v>580321.07256669004</v>
      </c>
      <c r="E43" s="78">
        <v>648323.26940486988</v>
      </c>
      <c r="F43" s="78">
        <v>721213.00631621981</v>
      </c>
      <c r="G43" s="79">
        <v>744271.97776340006</v>
      </c>
      <c r="H43" s="79">
        <v>833063.43365193019</v>
      </c>
      <c r="J43" s="244">
        <v>511690.74529608001</v>
      </c>
      <c r="K43" s="244">
        <v>580340.74264633993</v>
      </c>
      <c r="L43" s="244">
        <v>648344.55904931005</v>
      </c>
      <c r="M43" s="245">
        <v>718385.01677942008</v>
      </c>
      <c r="N43" s="245">
        <v>743619.31202067994</v>
      </c>
      <c r="P43" s="205">
        <f t="shared" si="3"/>
        <v>19.670079649891704</v>
      </c>
      <c r="Q43" s="205">
        <f t="shared" si="13"/>
        <v>21.289644440170377</v>
      </c>
      <c r="R43" s="205">
        <f t="shared" si="14"/>
        <v>-2827.9895367997233</v>
      </c>
      <c r="S43" s="205">
        <f t="shared" si="15"/>
        <v>-652.66574272012804</v>
      </c>
      <c r="T43" s="205"/>
      <c r="U43" s="205"/>
      <c r="V43" s="205"/>
      <c r="W43" s="205"/>
      <c r="X43" s="205"/>
    </row>
    <row r="44" spans="3:24" s="80" customFormat="1" ht="17.100000000000001" customHeight="1" x14ac:dyDescent="0.25">
      <c r="C44" s="98" t="s">
        <v>25</v>
      </c>
      <c r="D44" s="78">
        <v>44678.685088909995</v>
      </c>
      <c r="E44" s="78">
        <v>43525.646848910001</v>
      </c>
      <c r="F44" s="78">
        <v>53762.842417420004</v>
      </c>
      <c r="G44" s="79">
        <v>50840.372504590006</v>
      </c>
      <c r="H44" s="79">
        <v>54493.545849720002</v>
      </c>
      <c r="J44" s="244">
        <v>42856.033960519999</v>
      </c>
      <c r="K44" s="244">
        <v>44678.685088910002</v>
      </c>
      <c r="L44" s="244">
        <v>43525.646848910001</v>
      </c>
      <c r="M44" s="245">
        <v>54310.016905050004</v>
      </c>
      <c r="N44" s="245">
        <v>51274.135145620006</v>
      </c>
      <c r="P44" s="205">
        <f t="shared" si="3"/>
        <v>0</v>
      </c>
      <c r="Q44" s="205">
        <f t="shared" si="13"/>
        <v>0</v>
      </c>
      <c r="R44" s="205">
        <f t="shared" si="14"/>
        <v>547.17448762999993</v>
      </c>
      <c r="S44" s="205">
        <f t="shared" si="15"/>
        <v>433.76264102999994</v>
      </c>
      <c r="T44" s="205"/>
      <c r="U44" s="205"/>
      <c r="V44" s="205"/>
      <c r="W44" s="205"/>
      <c r="X44" s="205"/>
    </row>
    <row r="45" spans="3:24" s="80" customFormat="1" ht="17.100000000000001" customHeight="1" x14ac:dyDescent="0.25">
      <c r="C45" s="98" t="s">
        <v>158</v>
      </c>
      <c r="D45" s="78">
        <v>64.735815680000002</v>
      </c>
      <c r="E45" s="78">
        <v>7.8266064800000006</v>
      </c>
      <c r="F45" s="78">
        <v>19.617092</v>
      </c>
      <c r="G45" s="79">
        <v>7.0636469999999996</v>
      </c>
      <c r="H45" s="79">
        <v>24.321805999999999</v>
      </c>
      <c r="J45" s="244">
        <v>0.12969816000000001</v>
      </c>
      <c r="K45" s="244">
        <v>64.735815680000002</v>
      </c>
      <c r="L45" s="244">
        <v>7.8266064800000006</v>
      </c>
      <c r="M45" s="245">
        <v>19.617092</v>
      </c>
      <c r="N45" s="245">
        <v>7.0636469999999996</v>
      </c>
      <c r="P45" s="205">
        <f t="shared" si="3"/>
        <v>0</v>
      </c>
      <c r="Q45" s="205">
        <f t="shared" si="13"/>
        <v>0</v>
      </c>
      <c r="R45" s="205">
        <f t="shared" si="14"/>
        <v>0</v>
      </c>
      <c r="S45" s="205">
        <f t="shared" si="15"/>
        <v>0</v>
      </c>
      <c r="T45" s="205"/>
      <c r="U45" s="205"/>
      <c r="V45" s="205"/>
      <c r="W45" s="205"/>
      <c r="X45" s="205"/>
    </row>
    <row r="46" spans="3:24" s="80" customFormat="1" ht="17.100000000000001" customHeight="1" x14ac:dyDescent="0.25">
      <c r="C46" s="98" t="s">
        <v>26</v>
      </c>
      <c r="D46" s="78">
        <v>294.40118340999999</v>
      </c>
      <c r="E46" s="78">
        <v>317.57171836000003</v>
      </c>
      <c r="F46" s="78">
        <v>121.33690045</v>
      </c>
      <c r="G46" s="79">
        <v>197.15093380000002</v>
      </c>
      <c r="H46" s="79">
        <v>59.060779329999995</v>
      </c>
      <c r="J46" s="244">
        <v>343.74054172000001</v>
      </c>
      <c r="K46" s="244">
        <v>294.40118340999999</v>
      </c>
      <c r="L46" s="244">
        <v>317.57171836000003</v>
      </c>
      <c r="M46" s="245">
        <v>121.33690045</v>
      </c>
      <c r="N46" s="245">
        <v>197.15093380000002</v>
      </c>
      <c r="P46" s="205">
        <f t="shared" si="3"/>
        <v>0</v>
      </c>
      <c r="Q46" s="205">
        <f t="shared" si="13"/>
        <v>0</v>
      </c>
      <c r="R46" s="205">
        <f t="shared" si="14"/>
        <v>0</v>
      </c>
      <c r="S46" s="205">
        <f t="shared" si="15"/>
        <v>0</v>
      </c>
      <c r="T46" s="205"/>
      <c r="U46" s="205"/>
      <c r="V46" s="205"/>
      <c r="W46" s="205"/>
      <c r="X46" s="205"/>
    </row>
    <row r="47" spans="3:24" s="80" customFormat="1" ht="17.100000000000001" customHeight="1" x14ac:dyDescent="0.25">
      <c r="C47" s="101" t="s">
        <v>165</v>
      </c>
      <c r="D47" s="90">
        <f>+SUM(D42:D46)</f>
        <v>708856.35300292005</v>
      </c>
      <c r="E47" s="90">
        <f t="shared" ref="E47:H47" si="22">+SUM(E42:E46)</f>
        <v>794526.30087586993</v>
      </c>
      <c r="F47" s="90">
        <f t="shared" si="22"/>
        <v>880507.78762049985</v>
      </c>
      <c r="G47" s="90">
        <f t="shared" si="22"/>
        <v>923628.18510617001</v>
      </c>
      <c r="H47" s="204">
        <f t="shared" si="22"/>
        <v>1011763.9988689101</v>
      </c>
      <c r="J47" s="246">
        <f t="shared" ref="J47:N47" si="23">+J42+J43+J44+J45+J46</f>
        <v>634174.74192078994</v>
      </c>
      <c r="K47" s="246">
        <f t="shared" si="23"/>
        <v>709009.13693645992</v>
      </c>
      <c r="L47" s="246">
        <f t="shared" si="23"/>
        <v>794768.94603928004</v>
      </c>
      <c r="M47" s="246">
        <f t="shared" si="23"/>
        <v>878531.9983663701</v>
      </c>
      <c r="N47" s="247">
        <f t="shared" si="23"/>
        <v>923688.68023630988</v>
      </c>
      <c r="P47" s="205">
        <f t="shared" si="3"/>
        <v>152.78393353987485</v>
      </c>
      <c r="Q47" s="205">
        <f t="shared" si="13"/>
        <v>242.6451634101104</v>
      </c>
      <c r="R47" s="205">
        <f t="shared" si="14"/>
        <v>-1975.7892541297479</v>
      </c>
      <c r="S47" s="205">
        <f t="shared" si="15"/>
        <v>60.495130139868706</v>
      </c>
      <c r="T47" s="205"/>
      <c r="U47" s="205"/>
      <c r="V47" s="205"/>
      <c r="W47" s="205"/>
      <c r="X47" s="205"/>
    </row>
    <row r="48" spans="3:24" s="80" customFormat="1" ht="17.100000000000001" customHeight="1" x14ac:dyDescent="0.25">
      <c r="C48" s="98" t="s">
        <v>191</v>
      </c>
      <c r="D48" s="78">
        <v>85404.087582409993</v>
      </c>
      <c r="E48" s="78">
        <v>106543.91722343999</v>
      </c>
      <c r="F48" s="78">
        <v>111073.42106376997</v>
      </c>
      <c r="G48" s="79">
        <v>104167.53350887002</v>
      </c>
      <c r="H48" s="79">
        <v>114481.99831543998</v>
      </c>
      <c r="J48" s="244">
        <v>74046.480676330015</v>
      </c>
      <c r="K48" s="244">
        <v>85457.40457602001</v>
      </c>
      <c r="L48" s="244">
        <v>106653.33781819999</v>
      </c>
      <c r="M48" s="245">
        <v>111214.91036829998</v>
      </c>
      <c r="N48" s="245">
        <v>104211.30459047</v>
      </c>
      <c r="P48" s="205">
        <f t="shared" si="3"/>
        <v>53.316993610016652</v>
      </c>
      <c r="Q48" s="205">
        <f t="shared" si="13"/>
        <v>109.42059475999849</v>
      </c>
      <c r="R48" s="205">
        <f t="shared" si="14"/>
        <v>141.4893045300123</v>
      </c>
      <c r="S48" s="205">
        <f t="shared" si="15"/>
        <v>43.771081599974423</v>
      </c>
      <c r="T48" s="205"/>
      <c r="U48" s="205"/>
      <c r="V48" s="205"/>
      <c r="W48" s="205"/>
      <c r="X48" s="205"/>
    </row>
    <row r="49" spans="3:24" s="80" customFormat="1" ht="17.100000000000001" customHeight="1" x14ac:dyDescent="0.25">
      <c r="C49" s="98" t="s">
        <v>157</v>
      </c>
      <c r="D49" s="78">
        <v>4.932346E-2</v>
      </c>
      <c r="E49" s="78">
        <v>5.0013980000000006E-2</v>
      </c>
      <c r="F49" s="78">
        <v>4.7663330000000004E-2</v>
      </c>
      <c r="G49" s="79">
        <v>4.8330610000000003E-2</v>
      </c>
      <c r="H49" s="79">
        <v>4.8427279999999996E-2</v>
      </c>
      <c r="J49" s="244">
        <v>5.468232E-2</v>
      </c>
      <c r="K49" s="244">
        <v>4.932346E-2</v>
      </c>
      <c r="L49" s="244">
        <v>5.0013980000000006E-2</v>
      </c>
      <c r="M49" s="245">
        <v>4.7663330000000004E-2</v>
      </c>
      <c r="N49" s="245">
        <v>4.8330610000000003E-2</v>
      </c>
      <c r="P49" s="205">
        <f t="shared" si="3"/>
        <v>0</v>
      </c>
      <c r="Q49" s="205">
        <f t="shared" si="13"/>
        <v>0</v>
      </c>
      <c r="R49" s="205">
        <f t="shared" si="14"/>
        <v>0</v>
      </c>
      <c r="S49" s="205">
        <f t="shared" si="15"/>
        <v>0</v>
      </c>
      <c r="T49" s="205"/>
      <c r="U49" s="205"/>
      <c r="V49" s="205"/>
      <c r="W49" s="205"/>
      <c r="X49" s="205"/>
    </row>
    <row r="50" spans="3:24" s="80" customFormat="1" ht="17.100000000000001" customHeight="1" x14ac:dyDescent="0.25">
      <c r="C50" s="98" t="s">
        <v>27</v>
      </c>
      <c r="D50" s="78">
        <v>220874.42430169001</v>
      </c>
      <c r="E50" s="78">
        <v>233453.17638005002</v>
      </c>
      <c r="F50" s="78">
        <v>251572.00419126998</v>
      </c>
      <c r="G50" s="79">
        <v>256407.19718370997</v>
      </c>
      <c r="H50" s="79">
        <v>269958.67832425999</v>
      </c>
      <c r="J50" s="244">
        <v>183998.74428850997</v>
      </c>
      <c r="K50" s="244">
        <v>220925.21433056003</v>
      </c>
      <c r="L50" s="244">
        <v>233419.84118133</v>
      </c>
      <c r="M50" s="245">
        <v>251269.28044026002</v>
      </c>
      <c r="N50" s="245">
        <v>255967.93036430998</v>
      </c>
      <c r="P50" s="205">
        <f t="shared" si="3"/>
        <v>50.790028870018432</v>
      </c>
      <c r="Q50" s="205">
        <f t="shared" si="13"/>
        <v>-33.335198720014887</v>
      </c>
      <c r="R50" s="205">
        <f t="shared" si="14"/>
        <v>-302.72375100996578</v>
      </c>
      <c r="S50" s="205">
        <f t="shared" si="15"/>
        <v>-439.26681939998525</v>
      </c>
      <c r="T50" s="205"/>
      <c r="U50" s="205"/>
      <c r="V50" s="205"/>
      <c r="W50" s="205"/>
      <c r="X50" s="205"/>
    </row>
    <row r="51" spans="3:24" s="80" customFormat="1" ht="17.100000000000001" customHeight="1" x14ac:dyDescent="0.25">
      <c r="C51" s="98" t="s">
        <v>28</v>
      </c>
      <c r="D51" s="78">
        <v>69746.102736029992</v>
      </c>
      <c r="E51" s="78">
        <v>73284.618883680014</v>
      </c>
      <c r="F51" s="78">
        <v>96891.748998430005</v>
      </c>
      <c r="G51" s="79">
        <v>125667.30459339</v>
      </c>
      <c r="H51" s="79">
        <v>137729.82949809998</v>
      </c>
      <c r="J51" s="244">
        <v>60511.77366205</v>
      </c>
      <c r="K51" s="244">
        <v>69752.268785549997</v>
      </c>
      <c r="L51" s="244">
        <v>73476.304711760007</v>
      </c>
      <c r="M51" s="245">
        <v>97079.396196150003</v>
      </c>
      <c r="N51" s="245">
        <v>125878.78930582001</v>
      </c>
      <c r="P51" s="205">
        <f t="shared" si="3"/>
        <v>6.1660495200048899</v>
      </c>
      <c r="Q51" s="205">
        <f t="shared" si="13"/>
        <v>191.68582807999337</v>
      </c>
      <c r="R51" s="205">
        <f t="shared" si="14"/>
        <v>187.64719771999808</v>
      </c>
      <c r="S51" s="205">
        <f t="shared" si="15"/>
        <v>211.48471243001404</v>
      </c>
      <c r="T51" s="205"/>
      <c r="U51" s="205"/>
      <c r="V51" s="205"/>
      <c r="W51" s="205"/>
      <c r="X51" s="205"/>
    </row>
    <row r="52" spans="3:24" s="80" customFormat="1" ht="17.100000000000001" customHeight="1" x14ac:dyDescent="0.25">
      <c r="C52" s="98" t="s">
        <v>29</v>
      </c>
      <c r="D52" s="78">
        <v>338097.06333956</v>
      </c>
      <c r="E52" s="78">
        <v>354252.85310789</v>
      </c>
      <c r="F52" s="78">
        <v>352542.09311720001</v>
      </c>
      <c r="G52" s="79">
        <v>404138.45474392001</v>
      </c>
      <c r="H52" s="79">
        <v>468683.99873981997</v>
      </c>
      <c r="J52" s="244">
        <v>256257.57955023999</v>
      </c>
      <c r="K52" s="244">
        <v>338131.42873545003</v>
      </c>
      <c r="L52" s="244">
        <v>354209.29226038</v>
      </c>
      <c r="M52" s="245">
        <v>350663.06989070994</v>
      </c>
      <c r="N52" s="245">
        <v>404261.21277449996</v>
      </c>
      <c r="P52" s="205">
        <f t="shared" si="3"/>
        <v>34.365395890024956</v>
      </c>
      <c r="Q52" s="205">
        <f t="shared" si="13"/>
        <v>-43.560847510001622</v>
      </c>
      <c r="R52" s="257">
        <f t="shared" si="14"/>
        <v>-1879.0232264900696</v>
      </c>
      <c r="S52" s="205">
        <f t="shared" si="15"/>
        <v>122.75803057994926</v>
      </c>
      <c r="T52" s="205"/>
      <c r="U52" s="205"/>
      <c r="V52" s="205"/>
      <c r="W52" s="205"/>
      <c r="X52" s="205"/>
    </row>
    <row r="53" spans="3:24" s="80" customFormat="1" ht="17.100000000000001" customHeight="1" x14ac:dyDescent="0.25">
      <c r="C53" s="101" t="s">
        <v>166</v>
      </c>
      <c r="D53" s="90">
        <f>+SUM(D48:D52)</f>
        <v>714121.72728314996</v>
      </c>
      <c r="E53" s="90">
        <f t="shared" ref="E53" si="24">+SUM(E48:E52)</f>
        <v>767534.61560904002</v>
      </c>
      <c r="F53" s="90">
        <f t="shared" ref="F53" si="25">+SUM(F48:F52)</f>
        <v>812079.31503399997</v>
      </c>
      <c r="G53" s="90">
        <f t="shared" ref="G53" si="26">+SUM(G48:G52)</f>
        <v>890380.53836050001</v>
      </c>
      <c r="H53" s="204">
        <f t="shared" ref="H53" si="27">+SUM(H48:H52)</f>
        <v>990854.55330489995</v>
      </c>
      <c r="J53" s="246">
        <f t="shared" ref="J53:N53" si="28">+J48+J49+J50+J51+J52</f>
        <v>574814.63285944995</v>
      </c>
      <c r="K53" s="246">
        <f t="shared" si="28"/>
        <v>714266.36575104005</v>
      </c>
      <c r="L53" s="246">
        <f t="shared" si="28"/>
        <v>767758.82598565007</v>
      </c>
      <c r="M53" s="246">
        <f t="shared" si="28"/>
        <v>810226.70455874992</v>
      </c>
      <c r="N53" s="248">
        <f t="shared" si="28"/>
        <v>890319.28536571003</v>
      </c>
      <c r="P53" s="205">
        <f t="shared" si="3"/>
        <v>144.63846789009403</v>
      </c>
      <c r="Q53" s="205">
        <f t="shared" si="13"/>
        <v>224.21037661004812</v>
      </c>
      <c r="R53" s="205">
        <f t="shared" si="14"/>
        <v>-1852.6104752500542</v>
      </c>
      <c r="S53" s="205">
        <f t="shared" si="15"/>
        <v>-61.252994789974764</v>
      </c>
      <c r="T53" s="205"/>
      <c r="U53" s="205"/>
      <c r="V53" s="205"/>
      <c r="W53" s="205"/>
      <c r="X53" s="205"/>
    </row>
    <row r="54" spans="3:24" s="80" customFormat="1" ht="17.100000000000001" customHeight="1" x14ac:dyDescent="0.25">
      <c r="C54" s="174" t="s">
        <v>159</v>
      </c>
      <c r="D54" s="94">
        <f t="shared" ref="D54:H54" si="29">+D47-D53</f>
        <v>-5265.3742802299093</v>
      </c>
      <c r="E54" s="94">
        <f t="shared" si="29"/>
        <v>26991.685266829911</v>
      </c>
      <c r="F54" s="94">
        <f t="shared" si="29"/>
        <v>68428.472586499876</v>
      </c>
      <c r="G54" s="94">
        <f t="shared" si="29"/>
        <v>33247.646745670005</v>
      </c>
      <c r="H54" s="94">
        <f t="shared" si="29"/>
        <v>20909.445564010181</v>
      </c>
      <c r="J54" s="249">
        <f t="shared" ref="J54:N54" si="30">+J47-J53</f>
        <v>59360.109061339987</v>
      </c>
      <c r="K54" s="249">
        <f t="shared" si="30"/>
        <v>-5257.2288145801285</v>
      </c>
      <c r="L54" s="249">
        <f t="shared" si="30"/>
        <v>27010.120053629973</v>
      </c>
      <c r="M54" s="249">
        <f t="shared" si="30"/>
        <v>68305.293807620183</v>
      </c>
      <c r="N54" s="249">
        <f t="shared" si="30"/>
        <v>33369.394870599848</v>
      </c>
      <c r="P54" s="205">
        <f t="shared" si="3"/>
        <v>8.1454656497808173</v>
      </c>
      <c r="Q54" s="205">
        <f t="shared" si="13"/>
        <v>18.434786800062284</v>
      </c>
      <c r="R54" s="205">
        <f t="shared" si="14"/>
        <v>-123.17877887969371</v>
      </c>
      <c r="S54" s="205">
        <f t="shared" si="15"/>
        <v>121.74812492984347</v>
      </c>
      <c r="T54" s="205"/>
      <c r="U54" s="205"/>
      <c r="V54" s="205"/>
      <c r="W54" s="205"/>
      <c r="X54" s="205"/>
    </row>
    <row r="55" spans="3:24" s="80" customFormat="1" ht="17.100000000000001" customHeight="1" x14ac:dyDescent="0.25">
      <c r="C55" s="174" t="s">
        <v>160</v>
      </c>
      <c r="D55" s="94">
        <v>-51051.292158039985</v>
      </c>
      <c r="E55" s="94">
        <v>115615.95285731001</v>
      </c>
      <c r="F55" s="94">
        <v>23751.524676329998</v>
      </c>
      <c r="G55" s="95">
        <v>-178248.81053295001</v>
      </c>
      <c r="H55" s="95">
        <v>-82598.083540199994</v>
      </c>
      <c r="J55" s="249">
        <v>-105414.17980980998</v>
      </c>
      <c r="K55" s="249">
        <v>-51051.33740514001</v>
      </c>
      <c r="L55" s="249">
        <v>115615.92260317001</v>
      </c>
      <c r="M55" s="250">
        <v>23342.024334879996</v>
      </c>
      <c r="N55" s="250">
        <v>-174389.37855832998</v>
      </c>
      <c r="O55" s="205"/>
      <c r="P55" s="205">
        <f t="shared" si="3"/>
        <v>-4.524710002442589E-2</v>
      </c>
      <c r="Q55" s="205">
        <f t="shared" si="13"/>
        <v>-3.025414000148885E-2</v>
      </c>
      <c r="R55" s="205">
        <f t="shared" si="14"/>
        <v>-409.50034145000245</v>
      </c>
      <c r="S55" s="257">
        <f t="shared" si="15"/>
        <v>3859.4319746200345</v>
      </c>
      <c r="T55" s="257"/>
      <c r="U55" s="257"/>
      <c r="V55" s="257"/>
      <c r="W55" s="257"/>
      <c r="X55" s="257"/>
    </row>
    <row r="56" spans="3:24" s="80" customFormat="1" ht="17.100000000000001" customHeight="1" x14ac:dyDescent="0.25">
      <c r="C56" s="174" t="s">
        <v>161</v>
      </c>
      <c r="D56" s="94">
        <v>4054.9823288800003</v>
      </c>
      <c r="E56" s="94">
        <v>7393.7638074200004</v>
      </c>
      <c r="F56" s="94">
        <v>9722.0729996499995</v>
      </c>
      <c r="G56" s="95">
        <v>200.29377792</v>
      </c>
      <c r="H56" s="95">
        <v>2233.6524244400002</v>
      </c>
      <c r="J56" s="249">
        <v>3699.5815825</v>
      </c>
      <c r="K56" s="249">
        <v>4054.9823288800003</v>
      </c>
      <c r="L56" s="249">
        <v>7393.7638074200004</v>
      </c>
      <c r="M56" s="250">
        <v>9722.0729996499995</v>
      </c>
      <c r="N56" s="250">
        <v>200.29377792</v>
      </c>
      <c r="P56" s="205">
        <f t="shared" si="3"/>
        <v>0</v>
      </c>
      <c r="Q56" s="205">
        <f t="shared" si="13"/>
        <v>0</v>
      </c>
      <c r="R56" s="205">
        <f t="shared" si="14"/>
        <v>0</v>
      </c>
      <c r="S56" s="205">
        <f t="shared" si="15"/>
        <v>0</v>
      </c>
      <c r="T56" s="205"/>
      <c r="U56" s="205"/>
      <c r="V56" s="205"/>
      <c r="W56" s="205"/>
      <c r="X56" s="205"/>
    </row>
    <row r="57" spans="3:24" s="80" customFormat="1" ht="17.100000000000001" customHeight="1" x14ac:dyDescent="0.25">
      <c r="C57" s="174" t="s">
        <v>162</v>
      </c>
      <c r="D57" s="94">
        <v>-32239.198880960001</v>
      </c>
      <c r="E57" s="94">
        <v>-35135.35962748</v>
      </c>
      <c r="F57" s="94">
        <v>-14981.791036229999</v>
      </c>
      <c r="G57" s="95">
        <v>-42302.210085579994</v>
      </c>
      <c r="H57" s="95">
        <v>-6717.3926675399998</v>
      </c>
      <c r="J57" s="249">
        <v>20659.557489549996</v>
      </c>
      <c r="K57" s="249">
        <v>-32217.12742506</v>
      </c>
      <c r="L57" s="249">
        <v>-31012.110589479998</v>
      </c>
      <c r="M57" s="250">
        <v>-14688.230318810001</v>
      </c>
      <c r="N57" s="250">
        <v>-41079.751245490006</v>
      </c>
      <c r="P57" s="205">
        <f t="shared" si="3"/>
        <v>22.071455900000728</v>
      </c>
      <c r="Q57" s="205">
        <f t="shared" si="13"/>
        <v>4123.2490380000017</v>
      </c>
      <c r="R57" s="205">
        <f t="shared" si="14"/>
        <v>293.56071741999767</v>
      </c>
      <c r="S57" s="205">
        <f t="shared" si="15"/>
        <v>1222.4588400899884</v>
      </c>
      <c r="T57" s="205"/>
      <c r="U57" s="205"/>
      <c r="V57" s="205"/>
      <c r="W57" s="205"/>
      <c r="X57" s="205"/>
    </row>
    <row r="58" spans="3:24" s="80" customFormat="1" ht="17.100000000000001" customHeight="1" x14ac:dyDescent="0.25">
      <c r="C58" s="174" t="s">
        <v>163</v>
      </c>
      <c r="D58" s="94">
        <f>+SUM(D54:D57)</f>
        <v>-84500.882990349899</v>
      </c>
      <c r="E58" s="94">
        <f t="shared" ref="E58:H58" si="31">+SUM(E54:E57)</f>
        <v>114866.04230407992</v>
      </c>
      <c r="F58" s="94">
        <f t="shared" si="31"/>
        <v>86920.27922624987</v>
      </c>
      <c r="G58" s="94">
        <f t="shared" si="31"/>
        <v>-187103.08009494003</v>
      </c>
      <c r="H58" s="94">
        <f t="shared" si="31"/>
        <v>-66172.378219289822</v>
      </c>
      <c r="J58" s="249">
        <f>(+J54+J55+J56+J57)</f>
        <v>-21694.931676419998</v>
      </c>
      <c r="K58" s="249">
        <f t="shared" ref="K58:N58" si="32">(+K54+K55+K56+K57)</f>
        <v>-84470.711315900131</v>
      </c>
      <c r="L58" s="249">
        <f t="shared" si="32"/>
        <v>119007.69587473999</v>
      </c>
      <c r="M58" s="249">
        <f t="shared" si="32"/>
        <v>86681.160823340178</v>
      </c>
      <c r="N58" s="249">
        <f t="shared" si="32"/>
        <v>-181899.44115530016</v>
      </c>
      <c r="P58" s="205">
        <f t="shared" si="3"/>
        <v>30.171674449768034</v>
      </c>
      <c r="Q58" s="205">
        <f t="shared" si="13"/>
        <v>4141.6535706600698</v>
      </c>
      <c r="R58" s="205">
        <f t="shared" si="14"/>
        <v>-239.11840290969121</v>
      </c>
      <c r="S58" s="205">
        <f t="shared" si="15"/>
        <v>5203.6389396398736</v>
      </c>
      <c r="T58" s="205"/>
      <c r="U58" s="205"/>
      <c r="V58" s="205"/>
      <c r="W58" s="205"/>
      <c r="X58" s="205"/>
    </row>
    <row r="59" spans="3:24" s="80" customFormat="1" ht="17.100000000000001" customHeight="1" x14ac:dyDescent="0.25">
      <c r="C59" s="175" t="s">
        <v>170</v>
      </c>
      <c r="D59" s="78">
        <v>5874.0210295500001</v>
      </c>
      <c r="E59" s="78">
        <v>13041.652604370001</v>
      </c>
      <c r="F59" s="78">
        <v>26643.140772669998</v>
      </c>
      <c r="G59" s="79">
        <v>27071.830197669999</v>
      </c>
      <c r="H59" s="79">
        <v>17703.110025330003</v>
      </c>
      <c r="J59" s="244">
        <v>9168.2156527799998</v>
      </c>
      <c r="K59" s="244">
        <v>5875.9867664399999</v>
      </c>
      <c r="L59" s="244">
        <v>13039.795598680001</v>
      </c>
      <c r="M59" s="245">
        <v>25908.666321809997</v>
      </c>
      <c r="N59" s="245">
        <v>26142.402187489999</v>
      </c>
      <c r="P59" s="205">
        <f t="shared" si="3"/>
        <v>1.9657368899997891</v>
      </c>
      <c r="Q59" s="205">
        <f t="shared" si="13"/>
        <v>-1.857005690000733</v>
      </c>
      <c r="R59" s="205">
        <f t="shared" si="14"/>
        <v>-734.47445086000153</v>
      </c>
      <c r="S59" s="205">
        <f t="shared" si="15"/>
        <v>-929.42801017999955</v>
      </c>
      <c r="T59" s="205"/>
      <c r="U59" s="205"/>
      <c r="V59" s="205"/>
      <c r="W59" s="205"/>
      <c r="X59" s="205"/>
    </row>
    <row r="60" spans="3:24" s="80" customFormat="1" ht="17.100000000000001" customHeight="1" x14ac:dyDescent="0.25">
      <c r="C60" s="176" t="s">
        <v>192</v>
      </c>
      <c r="D60" s="91">
        <f t="shared" ref="D60:H60" si="33">+D58-D59</f>
        <v>-90374.904019899899</v>
      </c>
      <c r="E60" s="91">
        <f t="shared" si="33"/>
        <v>101824.38969970992</v>
      </c>
      <c r="F60" s="91">
        <f t="shared" si="33"/>
        <v>60277.138453579872</v>
      </c>
      <c r="G60" s="91">
        <f t="shared" si="33"/>
        <v>-214174.91029261003</v>
      </c>
      <c r="H60" s="278">
        <f t="shared" si="33"/>
        <v>-83875.488244619832</v>
      </c>
      <c r="J60" s="251">
        <f t="shared" ref="J60:N60" si="34">+J58-J59</f>
        <v>-30863.147329199997</v>
      </c>
      <c r="K60" s="251">
        <f t="shared" si="34"/>
        <v>-90346.698082340125</v>
      </c>
      <c r="L60" s="251">
        <f t="shared" si="34"/>
        <v>105967.90027605998</v>
      </c>
      <c r="M60" s="251">
        <f t="shared" si="34"/>
        <v>60772.494501530178</v>
      </c>
      <c r="N60" s="251">
        <f t="shared" si="34"/>
        <v>-208041.84334279015</v>
      </c>
      <c r="P60" s="205">
        <f t="shared" si="3"/>
        <v>28.205937559774611</v>
      </c>
      <c r="Q60" s="205">
        <f t="shared" si="13"/>
        <v>4143.5105763500615</v>
      </c>
      <c r="R60" s="205">
        <f t="shared" si="14"/>
        <v>495.35604795030667</v>
      </c>
      <c r="S60" s="205">
        <f t="shared" si="15"/>
        <v>6133.066949819884</v>
      </c>
      <c r="T60" s="205"/>
      <c r="U60" s="205"/>
      <c r="V60" s="205"/>
      <c r="W60" s="205"/>
      <c r="X60" s="205"/>
    </row>
    <row r="61" spans="3:24" s="80" customFormat="1" ht="17.100000000000001" customHeight="1" thickBot="1" x14ac:dyDescent="0.3">
      <c r="C61" s="176" t="s">
        <v>164</v>
      </c>
      <c r="D61" s="94">
        <v>12890.448451479901</v>
      </c>
      <c r="E61" s="94">
        <v>4296.2479523500097</v>
      </c>
      <c r="F61" s="94">
        <v>41522.239812209998</v>
      </c>
      <c r="G61" s="95">
        <v>2905.2500748600301</v>
      </c>
      <c r="H61" s="95">
        <v>64333.664961479997</v>
      </c>
      <c r="J61" s="249">
        <v>445.57105134</v>
      </c>
      <c r="K61" s="249">
        <v>13085.105724659998</v>
      </c>
      <c r="L61" s="249">
        <v>166.5407735</v>
      </c>
      <c r="M61" s="250">
        <v>41366.493680890002</v>
      </c>
      <c r="N61" s="250">
        <v>2895.0968151400002</v>
      </c>
      <c r="P61" s="205">
        <f t="shared" si="3"/>
        <v>194.65727318009704</v>
      </c>
      <c r="Q61" s="205">
        <f t="shared" si="13"/>
        <v>-4129.7071788500098</v>
      </c>
      <c r="R61" s="205">
        <f t="shared" si="14"/>
        <v>-155.74613131999649</v>
      </c>
      <c r="S61" s="205">
        <f t="shared" si="15"/>
        <v>-10.153259720029837</v>
      </c>
      <c r="T61" s="205"/>
      <c r="U61" s="205"/>
      <c r="V61" s="205"/>
      <c r="W61" s="205"/>
      <c r="X61" s="205"/>
    </row>
    <row r="62" spans="3:24" s="80" customFormat="1" ht="17.100000000000001" customHeight="1" thickBot="1" x14ac:dyDescent="0.3">
      <c r="C62" s="177" t="s">
        <v>194</v>
      </c>
      <c r="D62" s="104">
        <f>+SUM(D60:D61)</f>
        <v>-77484.455568420002</v>
      </c>
      <c r="E62" s="104">
        <f t="shared" ref="E62:H62" si="35">+SUM(E60:E61)</f>
        <v>106120.63765205993</v>
      </c>
      <c r="F62" s="104">
        <f t="shared" si="35"/>
        <v>101799.37826578987</v>
      </c>
      <c r="G62" s="104">
        <f t="shared" si="35"/>
        <v>-211269.66021775</v>
      </c>
      <c r="H62" s="104">
        <f t="shared" si="35"/>
        <v>-19541.823283139835</v>
      </c>
      <c r="J62" s="252">
        <f>SUM(J60:J61)</f>
        <v>-30417.576277859996</v>
      </c>
      <c r="K62" s="252">
        <f t="shared" ref="K62:N62" si="36">SUM(K60:K61)</f>
        <v>-77261.592357680129</v>
      </c>
      <c r="L62" s="252">
        <f t="shared" si="36"/>
        <v>106134.44104955999</v>
      </c>
      <c r="M62" s="252">
        <f t="shared" si="36"/>
        <v>102138.98818242017</v>
      </c>
      <c r="N62" s="252">
        <f t="shared" si="36"/>
        <v>-205146.74652765016</v>
      </c>
      <c r="P62" s="205">
        <f t="shared" si="3"/>
        <v>222.86321073987347</v>
      </c>
      <c r="Q62" s="205">
        <f t="shared" si="13"/>
        <v>13.803397500058054</v>
      </c>
      <c r="R62" s="205">
        <f t="shared" si="14"/>
        <v>339.60991663030291</v>
      </c>
      <c r="S62" s="205">
        <f t="shared" si="15"/>
        <v>6122.9136900998419</v>
      </c>
      <c r="T62" s="205"/>
      <c r="U62" s="205"/>
      <c r="V62" s="205"/>
      <c r="W62" s="205"/>
      <c r="X62" s="205"/>
    </row>
    <row r="63" spans="3:24" s="71" customFormat="1" ht="6.75" customHeight="1" thickBot="1" x14ac:dyDescent="0.3">
      <c r="C63" s="178"/>
      <c r="D63" s="75"/>
      <c r="E63" s="75"/>
      <c r="F63" s="75"/>
      <c r="G63" s="75"/>
      <c r="H63" s="75"/>
      <c r="J63" s="253"/>
      <c r="K63" s="253"/>
      <c r="L63" s="253"/>
      <c r="M63" s="253"/>
      <c r="N63" s="253"/>
    </row>
    <row r="64" spans="3:24" s="80" customFormat="1" ht="17.100000000000001" customHeight="1" thickBot="1" x14ac:dyDescent="0.3">
      <c r="C64" s="179" t="s">
        <v>57</v>
      </c>
      <c r="D64" s="109">
        <f>+D8-D20</f>
        <v>1.0002404451370239E-6</v>
      </c>
      <c r="E64" s="109">
        <f>+E8-E20</f>
        <v>1.0002404451370239E-6</v>
      </c>
      <c r="F64" s="109">
        <f>+F8-F20</f>
        <v>0</v>
      </c>
      <c r="G64" s="109">
        <f>+G8-G20</f>
        <v>0</v>
      </c>
      <c r="H64" s="109">
        <f>+H8-H20</f>
        <v>0</v>
      </c>
      <c r="J64" s="254">
        <f>J8-J20</f>
        <v>-4.2980536818504333E-7</v>
      </c>
      <c r="K64" s="254">
        <f>K8-K20</f>
        <v>0</v>
      </c>
      <c r="L64" s="254">
        <f>L8-L20</f>
        <v>3.9995647966861725E-6</v>
      </c>
      <c r="M64" s="254">
        <f>M8-M20</f>
        <v>0</v>
      </c>
      <c r="N64" s="254">
        <f>N8-N20</f>
        <v>5.8999285101890564E-7</v>
      </c>
    </row>
    <row r="65" spans="2:8" s="71" customFormat="1" ht="17.100000000000001" customHeight="1" x14ac:dyDescent="0.25">
      <c r="B65" s="17"/>
      <c r="C65" s="80" t="s">
        <v>212</v>
      </c>
      <c r="D65" s="80"/>
      <c r="E65" s="80"/>
      <c r="F65" s="80"/>
      <c r="G65" s="80"/>
      <c r="H65" s="80"/>
    </row>
    <row r="66" spans="2:8" s="71" customFormat="1" ht="17.100000000000001" customHeight="1" x14ac:dyDescent="0.25">
      <c r="B66" s="17"/>
      <c r="C66" s="80"/>
      <c r="D66" s="80"/>
      <c r="E66" s="80"/>
      <c r="F66" s="80"/>
      <c r="G66" s="80"/>
      <c r="H66" s="80"/>
    </row>
    <row r="67" spans="2:8" s="71" customFormat="1" ht="17.100000000000001" customHeight="1" x14ac:dyDescent="0.25">
      <c r="B67" s="17"/>
      <c r="C67" s="80"/>
      <c r="D67" s="80"/>
      <c r="E67" s="80"/>
      <c r="F67" s="80"/>
      <c r="G67" s="80"/>
      <c r="H67" s="80"/>
    </row>
    <row r="68" spans="2:8" s="71" customFormat="1" ht="17.100000000000001" customHeight="1" x14ac:dyDescent="0.25">
      <c r="B68" s="17"/>
      <c r="C68" s="80"/>
      <c r="D68" s="80"/>
      <c r="E68" s="80"/>
      <c r="F68" s="80"/>
      <c r="G68" s="80"/>
      <c r="H68" s="80"/>
    </row>
    <row r="69" spans="2:8" s="71" customFormat="1" ht="17.100000000000001" customHeight="1" x14ac:dyDescent="0.25">
      <c r="B69" s="17"/>
      <c r="C69" s="80"/>
      <c r="D69" s="80"/>
      <c r="E69" s="80"/>
      <c r="F69" s="80"/>
      <c r="G69" s="80"/>
      <c r="H69" s="80"/>
    </row>
    <row r="70" spans="2:8" s="71" customFormat="1" ht="17.100000000000001" customHeight="1" x14ac:dyDescent="0.25">
      <c r="B70" s="17"/>
      <c r="C70" s="80"/>
      <c r="D70" s="80"/>
      <c r="E70" s="80"/>
      <c r="F70" s="80"/>
      <c r="G70" s="80"/>
      <c r="H70" s="80"/>
    </row>
    <row r="71" spans="2:8" s="71" customFormat="1" ht="17.100000000000001" customHeight="1" x14ac:dyDescent="0.25">
      <c r="B71" s="17"/>
      <c r="C71" s="80"/>
      <c r="D71" s="80"/>
      <c r="E71" s="80"/>
      <c r="F71" s="80"/>
      <c r="G71" s="80"/>
      <c r="H71" s="80"/>
    </row>
    <row r="72" spans="2:8" s="71" customFormat="1" ht="17.100000000000001" customHeight="1" x14ac:dyDescent="0.25">
      <c r="B72" s="17"/>
      <c r="C72" s="80"/>
      <c r="D72" s="80"/>
      <c r="E72" s="80"/>
      <c r="F72" s="80"/>
      <c r="G72" s="80"/>
      <c r="H72" s="80"/>
    </row>
    <row r="73" spans="2:8" s="71" customFormat="1" ht="17.100000000000001" customHeight="1" x14ac:dyDescent="0.25">
      <c r="B73" s="17"/>
      <c r="C73" s="80"/>
      <c r="D73" s="80"/>
      <c r="E73" s="80"/>
      <c r="F73" s="80"/>
      <c r="G73" s="80"/>
      <c r="H73" s="80"/>
    </row>
    <row r="74" spans="2:8" s="71" customFormat="1" ht="17.100000000000001" customHeight="1" x14ac:dyDescent="0.25">
      <c r="B74" s="17"/>
      <c r="C74" s="80"/>
      <c r="D74" s="80"/>
      <c r="E74" s="80"/>
      <c r="F74" s="80"/>
      <c r="G74" s="80"/>
      <c r="H74" s="80"/>
    </row>
    <row r="75" spans="2:8" s="71" customFormat="1" ht="17.100000000000001" customHeight="1" x14ac:dyDescent="0.25">
      <c r="B75" s="17"/>
      <c r="C75" s="80"/>
      <c r="D75" s="80"/>
      <c r="E75" s="80"/>
      <c r="F75" s="80"/>
      <c r="G75" s="80"/>
      <c r="H75" s="80"/>
    </row>
    <row r="76" spans="2:8" s="71" customFormat="1" ht="17.100000000000001" customHeight="1" x14ac:dyDescent="0.25">
      <c r="B76" s="17"/>
      <c r="C76" s="80"/>
      <c r="D76" s="80"/>
      <c r="E76" s="80"/>
      <c r="F76" s="80"/>
      <c r="G76" s="80"/>
      <c r="H76" s="80"/>
    </row>
    <row r="77" spans="2:8" s="71" customFormat="1" ht="17.100000000000001" customHeight="1" x14ac:dyDescent="0.25">
      <c r="B77" s="17"/>
      <c r="C77" s="80"/>
      <c r="D77" s="80"/>
      <c r="E77" s="80"/>
      <c r="F77" s="80"/>
      <c r="G77" s="80"/>
      <c r="H77" s="80"/>
    </row>
    <row r="78" spans="2:8" s="71" customFormat="1" ht="17.100000000000001" customHeight="1" x14ac:dyDescent="0.25">
      <c r="B78" s="17"/>
      <c r="C78" s="80"/>
      <c r="D78" s="80"/>
      <c r="E78" s="80"/>
      <c r="F78" s="80"/>
      <c r="G78" s="80"/>
      <c r="H78" s="80"/>
    </row>
    <row r="79" spans="2:8" s="71" customFormat="1" ht="17.100000000000001" customHeight="1" x14ac:dyDescent="0.25">
      <c r="B79" s="17"/>
      <c r="C79" s="80"/>
      <c r="D79" s="80"/>
      <c r="E79" s="80"/>
      <c r="F79" s="80"/>
      <c r="G79" s="80"/>
      <c r="H79" s="80"/>
    </row>
    <row r="80" spans="2:8" s="71" customFormat="1" ht="17.100000000000001" customHeight="1" x14ac:dyDescent="0.25">
      <c r="B80" s="17"/>
      <c r="C80" s="80"/>
      <c r="D80" s="80"/>
      <c r="E80" s="80"/>
      <c r="F80" s="80"/>
      <c r="G80" s="80"/>
      <c r="H80" s="80"/>
    </row>
    <row r="81" spans="2:8" s="71" customFormat="1" ht="17.100000000000001" customHeight="1" x14ac:dyDescent="0.25">
      <c r="B81" s="17"/>
      <c r="C81" s="80"/>
      <c r="D81" s="80"/>
      <c r="E81" s="80"/>
      <c r="F81" s="80"/>
      <c r="G81" s="80"/>
      <c r="H81" s="80"/>
    </row>
    <row r="82" spans="2:8" s="71" customFormat="1" ht="17.100000000000001" customHeight="1" x14ac:dyDescent="0.25">
      <c r="B82" s="17"/>
      <c r="C82" s="80"/>
      <c r="D82" s="80"/>
      <c r="E82" s="80"/>
      <c r="F82" s="80"/>
      <c r="G82" s="80"/>
      <c r="H82" s="80"/>
    </row>
    <row r="83" spans="2:8" s="71" customFormat="1" ht="17.100000000000001" customHeight="1" x14ac:dyDescent="0.25">
      <c r="B83" s="17"/>
      <c r="C83" s="80"/>
      <c r="D83" s="80"/>
      <c r="E83" s="80"/>
      <c r="F83" s="80"/>
      <c r="G83" s="80"/>
      <c r="H83" s="80"/>
    </row>
    <row r="84" spans="2:8" s="71" customFormat="1" ht="17.100000000000001" customHeight="1" x14ac:dyDescent="0.25">
      <c r="B84" s="17"/>
      <c r="C84" s="80"/>
      <c r="D84" s="80"/>
      <c r="E84" s="80"/>
      <c r="F84" s="80"/>
      <c r="G84" s="80"/>
      <c r="H84" s="80"/>
    </row>
    <row r="85" spans="2:8" s="71" customFormat="1" ht="17.100000000000001" customHeight="1" x14ac:dyDescent="0.25">
      <c r="B85" s="17"/>
      <c r="C85" s="80"/>
      <c r="D85" s="80"/>
      <c r="E85" s="80"/>
      <c r="F85" s="80"/>
      <c r="G85" s="80"/>
      <c r="H85" s="80"/>
    </row>
    <row r="86" spans="2:8" s="71" customFormat="1" ht="17.100000000000001" customHeight="1" x14ac:dyDescent="0.25">
      <c r="B86" s="17"/>
      <c r="C86" s="80"/>
      <c r="D86" s="80"/>
      <c r="E86" s="80"/>
      <c r="F86" s="80"/>
      <c r="G86" s="80"/>
      <c r="H86" s="80"/>
    </row>
    <row r="87" spans="2:8" s="71" customFormat="1" ht="17.100000000000001" customHeight="1" x14ac:dyDescent="0.25">
      <c r="B87" s="17"/>
      <c r="C87" s="80"/>
      <c r="D87" s="80"/>
      <c r="E87" s="80"/>
      <c r="F87" s="80"/>
      <c r="G87" s="80"/>
      <c r="H87" s="80"/>
    </row>
    <row r="88" spans="2:8" s="71" customFormat="1" ht="17.100000000000001" customHeight="1" x14ac:dyDescent="0.25">
      <c r="B88" s="17"/>
      <c r="C88" s="80"/>
      <c r="D88" s="80"/>
      <c r="E88" s="80"/>
      <c r="F88" s="80"/>
      <c r="G88" s="80"/>
      <c r="H88" s="80"/>
    </row>
    <row r="89" spans="2:8" s="71" customFormat="1" ht="17.100000000000001" customHeight="1" x14ac:dyDescent="0.25">
      <c r="B89" s="17"/>
      <c r="C89" s="80"/>
      <c r="D89" s="80"/>
      <c r="E89" s="80"/>
      <c r="F89" s="80"/>
      <c r="G89" s="80"/>
      <c r="H89" s="80"/>
    </row>
    <row r="90" spans="2:8" s="71" customFormat="1" ht="17.100000000000001" customHeight="1" x14ac:dyDescent="0.25">
      <c r="B90" s="17"/>
      <c r="C90" s="80"/>
      <c r="D90" s="80"/>
      <c r="E90" s="80"/>
      <c r="F90" s="80"/>
      <c r="G90" s="80"/>
      <c r="H90" s="80"/>
    </row>
    <row r="91" spans="2:8" s="71" customFormat="1" ht="17.100000000000001" customHeight="1" x14ac:dyDescent="0.25">
      <c r="B91" s="17"/>
      <c r="C91" s="80"/>
      <c r="D91" s="80"/>
      <c r="E91" s="80"/>
      <c r="F91" s="80"/>
      <c r="G91" s="80"/>
      <c r="H91" s="80"/>
    </row>
    <row r="92" spans="2:8" s="71" customFormat="1" ht="17.100000000000001" customHeight="1" x14ac:dyDescent="0.25">
      <c r="B92" s="17"/>
      <c r="C92" s="80"/>
      <c r="D92" s="80"/>
      <c r="E92" s="80"/>
      <c r="F92" s="80"/>
      <c r="G92" s="80"/>
      <c r="H92" s="80"/>
    </row>
    <row r="93" spans="2:8" s="71" customFormat="1" ht="17.100000000000001" customHeight="1" x14ac:dyDescent="0.25">
      <c r="B93" s="17"/>
      <c r="C93" s="80"/>
      <c r="D93" s="80"/>
      <c r="E93" s="80"/>
      <c r="F93" s="80"/>
      <c r="G93" s="80"/>
      <c r="H93" s="80"/>
    </row>
    <row r="94" spans="2:8" s="71" customFormat="1" ht="17.100000000000001" customHeight="1" x14ac:dyDescent="0.25">
      <c r="B94" s="17"/>
      <c r="C94" s="80"/>
      <c r="D94" s="80"/>
      <c r="E94" s="80"/>
      <c r="F94" s="80"/>
      <c r="G94" s="80"/>
      <c r="H94" s="80"/>
    </row>
    <row r="95" spans="2:8" s="71" customFormat="1" ht="17.100000000000001" customHeight="1" x14ac:dyDescent="0.25">
      <c r="B95" s="17"/>
      <c r="C95" s="80"/>
      <c r="D95" s="80"/>
      <c r="E95" s="80"/>
      <c r="F95" s="80"/>
      <c r="G95" s="80"/>
      <c r="H95" s="80"/>
    </row>
    <row r="96" spans="2:8" s="71" customFormat="1" ht="17.100000000000001" customHeight="1" x14ac:dyDescent="0.25">
      <c r="B96" s="17"/>
      <c r="C96" s="80"/>
      <c r="D96" s="80"/>
      <c r="E96" s="80"/>
      <c r="F96" s="80"/>
      <c r="G96" s="80"/>
      <c r="H96" s="80"/>
    </row>
    <row r="97" spans="2:8" s="71" customFormat="1" ht="17.100000000000001" customHeight="1" x14ac:dyDescent="0.25">
      <c r="B97" s="17"/>
      <c r="C97" s="80"/>
      <c r="D97" s="80"/>
      <c r="E97" s="80"/>
      <c r="F97" s="80"/>
      <c r="G97" s="80"/>
      <c r="H97" s="80"/>
    </row>
    <row r="98" spans="2:8" s="71" customFormat="1" ht="17.100000000000001" customHeight="1" x14ac:dyDescent="0.25">
      <c r="B98" s="17"/>
      <c r="C98" s="80"/>
      <c r="D98" s="80"/>
      <c r="E98" s="80"/>
      <c r="F98" s="80"/>
      <c r="G98" s="80"/>
      <c r="H98" s="80"/>
    </row>
    <row r="99" spans="2:8" s="71" customFormat="1" ht="17.100000000000001" customHeight="1" x14ac:dyDescent="0.25">
      <c r="B99" s="17"/>
      <c r="C99" s="80"/>
      <c r="D99" s="80"/>
      <c r="E99" s="80"/>
      <c r="F99" s="80"/>
      <c r="G99" s="80"/>
      <c r="H99" s="80"/>
    </row>
    <row r="100" spans="2:8" s="71" customFormat="1" ht="17.100000000000001" customHeight="1" x14ac:dyDescent="0.25">
      <c r="B100" s="17"/>
      <c r="C100" s="80"/>
      <c r="D100" s="80"/>
      <c r="E100" s="80"/>
      <c r="F100" s="80"/>
      <c r="G100" s="80"/>
      <c r="H100" s="80"/>
    </row>
    <row r="101" spans="2:8" s="71" customFormat="1" ht="17.100000000000001" customHeight="1" x14ac:dyDescent="0.25">
      <c r="B101" s="17"/>
      <c r="C101" s="80"/>
      <c r="D101" s="80"/>
      <c r="E101" s="80"/>
      <c r="F101" s="80"/>
      <c r="G101" s="80"/>
      <c r="H101" s="80"/>
    </row>
    <row r="102" spans="2:8" s="71" customFormat="1" ht="17.100000000000001" customHeight="1" x14ac:dyDescent="0.25">
      <c r="B102" s="17"/>
      <c r="C102" s="80"/>
      <c r="D102" s="80"/>
      <c r="E102" s="80"/>
      <c r="F102" s="80"/>
      <c r="G102" s="80"/>
      <c r="H102" s="80"/>
    </row>
    <row r="103" spans="2:8" s="71" customFormat="1" ht="17.100000000000001" customHeight="1" x14ac:dyDescent="0.25">
      <c r="B103" s="17"/>
      <c r="C103" s="80"/>
      <c r="D103" s="80"/>
      <c r="E103" s="80"/>
      <c r="F103" s="80"/>
      <c r="G103" s="80"/>
      <c r="H103" s="80"/>
    </row>
    <row r="104" spans="2:8" s="71" customFormat="1" ht="17.100000000000001" customHeight="1" x14ac:dyDescent="0.25">
      <c r="B104" s="17"/>
      <c r="C104" s="80"/>
      <c r="D104" s="80"/>
      <c r="E104" s="80"/>
      <c r="F104" s="80"/>
      <c r="G104" s="80"/>
      <c r="H104" s="80"/>
    </row>
    <row r="105" spans="2:8" s="71" customFormat="1" ht="17.100000000000001" customHeight="1" x14ac:dyDescent="0.25">
      <c r="B105" s="17"/>
      <c r="C105" s="80"/>
      <c r="D105" s="80"/>
      <c r="E105" s="80"/>
      <c r="F105" s="80"/>
      <c r="G105" s="80"/>
      <c r="H105" s="80"/>
    </row>
    <row r="106" spans="2:8" s="71" customFormat="1" ht="17.100000000000001" customHeight="1" x14ac:dyDescent="0.25">
      <c r="B106" s="17"/>
      <c r="C106" s="80"/>
      <c r="D106" s="80"/>
      <c r="E106" s="80"/>
      <c r="F106" s="80"/>
      <c r="G106" s="80"/>
      <c r="H106" s="80"/>
    </row>
    <row r="107" spans="2:8" s="71" customFormat="1" ht="17.100000000000001" customHeight="1" x14ac:dyDescent="0.25">
      <c r="B107" s="17"/>
      <c r="C107" s="80"/>
      <c r="D107" s="80"/>
      <c r="E107" s="80"/>
      <c r="F107" s="80"/>
      <c r="G107" s="80"/>
      <c r="H107" s="80"/>
    </row>
    <row r="108" spans="2:8" s="71" customFormat="1" ht="17.100000000000001" customHeight="1" x14ac:dyDescent="0.25">
      <c r="B108" s="17"/>
      <c r="C108" s="80"/>
      <c r="D108" s="80"/>
      <c r="E108" s="80"/>
      <c r="F108" s="80"/>
      <c r="G108" s="80"/>
      <c r="H108" s="80"/>
    </row>
    <row r="109" spans="2:8" s="71" customFormat="1" ht="17.100000000000001" customHeight="1" x14ac:dyDescent="0.25">
      <c r="B109" s="17"/>
      <c r="C109" s="80"/>
      <c r="D109" s="80"/>
      <c r="E109" s="80"/>
      <c r="F109" s="80"/>
      <c r="G109" s="80"/>
      <c r="H109" s="80"/>
    </row>
    <row r="110" spans="2:8" s="71" customFormat="1" ht="17.100000000000001" customHeight="1" x14ac:dyDescent="0.25">
      <c r="B110" s="17"/>
      <c r="C110" s="80"/>
      <c r="D110" s="80"/>
      <c r="E110" s="80"/>
      <c r="F110" s="80"/>
      <c r="G110" s="80"/>
      <c r="H110" s="80"/>
    </row>
    <row r="111" spans="2:8" s="71" customFormat="1" ht="17.100000000000001" customHeight="1" x14ac:dyDescent="0.25">
      <c r="B111" s="17"/>
      <c r="C111" s="80"/>
      <c r="D111" s="80"/>
      <c r="E111" s="80"/>
      <c r="F111" s="80"/>
      <c r="G111" s="80"/>
      <c r="H111" s="80"/>
    </row>
    <row r="112" spans="2:8" s="71" customFormat="1" ht="17.100000000000001" customHeight="1" x14ac:dyDescent="0.25">
      <c r="B112" s="17"/>
      <c r="C112" s="80"/>
      <c r="D112" s="80"/>
      <c r="E112" s="80"/>
      <c r="F112" s="80"/>
      <c r="G112" s="80"/>
      <c r="H112" s="80"/>
    </row>
    <row r="113" spans="2:8" s="71" customFormat="1" ht="17.100000000000001" customHeight="1" x14ac:dyDescent="0.25">
      <c r="B113" s="17"/>
      <c r="C113" s="80"/>
      <c r="D113" s="80"/>
      <c r="E113" s="80"/>
      <c r="F113" s="80"/>
      <c r="G113" s="80"/>
      <c r="H113" s="80"/>
    </row>
    <row r="114" spans="2:8" s="71" customFormat="1" ht="17.100000000000001" customHeight="1" x14ac:dyDescent="0.25">
      <c r="B114" s="17"/>
      <c r="C114" s="80"/>
      <c r="D114" s="80"/>
      <c r="E114" s="80"/>
      <c r="F114" s="80"/>
      <c r="G114" s="80"/>
      <c r="H114" s="80"/>
    </row>
    <row r="115" spans="2:8" s="71" customFormat="1" ht="17.100000000000001" customHeight="1" x14ac:dyDescent="0.25">
      <c r="B115" s="17"/>
      <c r="C115" s="80"/>
      <c r="D115" s="80"/>
      <c r="E115" s="80"/>
      <c r="F115" s="80"/>
      <c r="G115" s="80"/>
      <c r="H115" s="80"/>
    </row>
    <row r="116" spans="2:8" s="71" customFormat="1" ht="17.100000000000001" customHeight="1" x14ac:dyDescent="0.25">
      <c r="B116" s="17"/>
      <c r="C116" s="80"/>
      <c r="D116" s="80"/>
      <c r="E116" s="80"/>
      <c r="F116" s="80"/>
      <c r="G116" s="80"/>
      <c r="H116" s="80"/>
    </row>
    <row r="117" spans="2:8" s="71" customFormat="1" ht="17.100000000000001" customHeight="1" x14ac:dyDescent="0.25">
      <c r="B117" s="17"/>
      <c r="C117" s="80"/>
      <c r="D117" s="80"/>
      <c r="E117" s="80"/>
      <c r="F117" s="80"/>
      <c r="G117" s="80"/>
      <c r="H117" s="80"/>
    </row>
    <row r="118" spans="2:8" s="71" customFormat="1" ht="17.100000000000001" customHeight="1" x14ac:dyDescent="0.25">
      <c r="B118" s="17"/>
      <c r="C118" s="80"/>
      <c r="D118" s="80"/>
      <c r="E118" s="80"/>
      <c r="F118" s="80"/>
      <c r="G118" s="80"/>
      <c r="H118" s="80"/>
    </row>
    <row r="119" spans="2:8" s="71" customFormat="1" ht="17.100000000000001" customHeight="1" x14ac:dyDescent="0.25">
      <c r="B119" s="17"/>
      <c r="C119" s="80"/>
      <c r="D119" s="80"/>
      <c r="E119" s="80"/>
      <c r="F119" s="80"/>
      <c r="G119" s="80"/>
      <c r="H119" s="80"/>
    </row>
    <row r="120" spans="2:8" s="71" customFormat="1" ht="17.100000000000001" customHeight="1" x14ac:dyDescent="0.25">
      <c r="B120" s="17"/>
      <c r="C120" s="80"/>
      <c r="D120" s="80"/>
      <c r="E120" s="80"/>
      <c r="F120" s="80"/>
      <c r="G120" s="80"/>
      <c r="H120" s="80"/>
    </row>
    <row r="121" spans="2:8" s="71" customFormat="1" ht="17.100000000000001" customHeight="1" x14ac:dyDescent="0.25">
      <c r="B121" s="17"/>
      <c r="C121" s="80"/>
      <c r="D121" s="80"/>
      <c r="E121" s="80"/>
      <c r="F121" s="80"/>
      <c r="G121" s="80"/>
      <c r="H121" s="80"/>
    </row>
    <row r="122" spans="2:8" s="71" customFormat="1" ht="17.100000000000001" customHeight="1" x14ac:dyDescent="0.25">
      <c r="B122" s="17"/>
      <c r="C122" s="80"/>
      <c r="D122" s="80"/>
      <c r="E122" s="80"/>
      <c r="F122" s="80"/>
      <c r="G122" s="80"/>
      <c r="H122" s="80"/>
    </row>
    <row r="123" spans="2:8" s="71" customFormat="1" ht="17.100000000000001" customHeight="1" x14ac:dyDescent="0.25">
      <c r="B123" s="17"/>
      <c r="C123" s="80"/>
      <c r="D123" s="80"/>
      <c r="E123" s="80"/>
      <c r="F123" s="80"/>
      <c r="G123" s="80"/>
      <c r="H123" s="80"/>
    </row>
    <row r="124" spans="2:8" s="71" customFormat="1" ht="17.100000000000001" customHeight="1" x14ac:dyDescent="0.25">
      <c r="B124" s="17"/>
      <c r="C124" s="80"/>
      <c r="D124" s="80"/>
      <c r="E124" s="80"/>
      <c r="F124" s="80"/>
      <c r="G124" s="80"/>
      <c r="H124" s="80"/>
    </row>
    <row r="125" spans="2:8" s="71" customFormat="1" ht="17.100000000000001" customHeight="1" x14ac:dyDescent="0.25">
      <c r="B125" s="17"/>
      <c r="C125" s="80"/>
      <c r="D125" s="80"/>
      <c r="E125" s="80"/>
      <c r="F125" s="80"/>
      <c r="G125" s="80"/>
      <c r="H125" s="80"/>
    </row>
    <row r="126" spans="2:8" s="71" customFormat="1" ht="17.100000000000001" customHeight="1" x14ac:dyDescent="0.25">
      <c r="B126" s="17"/>
      <c r="C126" s="80"/>
      <c r="D126" s="80"/>
      <c r="E126" s="80"/>
      <c r="F126" s="80"/>
      <c r="G126" s="80"/>
      <c r="H126" s="80"/>
    </row>
    <row r="127" spans="2:8" s="71" customFormat="1" ht="17.100000000000001" customHeight="1" x14ac:dyDescent="0.25">
      <c r="B127" s="17"/>
      <c r="C127" s="80"/>
      <c r="D127" s="80"/>
      <c r="E127" s="80"/>
      <c r="F127" s="80"/>
      <c r="G127" s="80"/>
      <c r="H127" s="80"/>
    </row>
    <row r="128" spans="2:8" s="71" customFormat="1" ht="17.100000000000001" customHeight="1" x14ac:dyDescent="0.25">
      <c r="B128" s="17"/>
      <c r="C128" s="80"/>
      <c r="D128" s="80"/>
      <c r="E128" s="80"/>
      <c r="F128" s="80"/>
      <c r="G128" s="80"/>
      <c r="H128" s="80"/>
    </row>
    <row r="129" spans="2:8" s="71" customFormat="1" ht="17.100000000000001" customHeight="1" x14ac:dyDescent="0.25">
      <c r="B129" s="17"/>
      <c r="C129" s="80"/>
      <c r="D129" s="80"/>
      <c r="E129" s="80"/>
      <c r="F129" s="80"/>
      <c r="G129" s="80"/>
      <c r="H129" s="80"/>
    </row>
    <row r="130" spans="2:8" s="71" customFormat="1" ht="17.100000000000001" customHeight="1" x14ac:dyDescent="0.25">
      <c r="B130" s="17"/>
      <c r="C130" s="80"/>
      <c r="D130" s="80"/>
      <c r="E130" s="80"/>
      <c r="F130" s="80"/>
      <c r="G130" s="80"/>
      <c r="H130" s="80"/>
    </row>
    <row r="131" spans="2:8" s="71" customFormat="1" ht="17.100000000000001" customHeight="1" x14ac:dyDescent="0.25">
      <c r="B131" s="17"/>
      <c r="C131" s="80"/>
      <c r="D131" s="80"/>
      <c r="E131" s="80"/>
      <c r="F131" s="80"/>
      <c r="G131" s="80"/>
      <c r="H131" s="80"/>
    </row>
    <row r="132" spans="2:8" s="71" customFormat="1" ht="17.100000000000001" customHeight="1" x14ac:dyDescent="0.25">
      <c r="B132" s="17"/>
      <c r="C132" s="80"/>
      <c r="D132" s="80"/>
      <c r="E132" s="80"/>
      <c r="F132" s="80"/>
      <c r="G132" s="80"/>
      <c r="H132" s="80"/>
    </row>
    <row r="133" spans="2:8" s="71" customFormat="1" ht="17.100000000000001" customHeight="1" x14ac:dyDescent="0.25">
      <c r="B133" s="17"/>
      <c r="C133" s="80"/>
      <c r="D133" s="80"/>
      <c r="E133" s="80"/>
      <c r="F133" s="80"/>
      <c r="G133" s="80"/>
      <c r="H133" s="80"/>
    </row>
    <row r="134" spans="2:8" s="71" customFormat="1" ht="17.100000000000001" customHeight="1" x14ac:dyDescent="0.25">
      <c r="B134" s="17"/>
      <c r="C134" s="80"/>
      <c r="D134" s="80"/>
      <c r="E134" s="80"/>
      <c r="F134" s="80"/>
      <c r="G134" s="80"/>
      <c r="H134" s="80"/>
    </row>
    <row r="135" spans="2:8" s="71" customFormat="1" ht="17.100000000000001" customHeight="1" x14ac:dyDescent="0.25">
      <c r="B135" s="17"/>
      <c r="C135" s="80"/>
      <c r="D135" s="80"/>
      <c r="E135" s="80"/>
      <c r="F135" s="80"/>
      <c r="G135" s="80"/>
      <c r="H135" s="80"/>
    </row>
    <row r="136" spans="2:8" s="71" customFormat="1" ht="17.100000000000001" customHeight="1" x14ac:dyDescent="0.25">
      <c r="B136" s="17"/>
      <c r="C136" s="80"/>
      <c r="D136" s="80"/>
      <c r="E136" s="80"/>
      <c r="F136" s="80"/>
      <c r="G136" s="80"/>
      <c r="H136" s="80"/>
    </row>
    <row r="137" spans="2:8" s="71" customFormat="1" ht="17.100000000000001" customHeight="1" x14ac:dyDescent="0.25">
      <c r="B137" s="17"/>
      <c r="C137" s="80"/>
      <c r="D137" s="80"/>
      <c r="E137" s="80"/>
      <c r="F137" s="80"/>
      <c r="G137" s="80"/>
      <c r="H137" s="80"/>
    </row>
    <row r="138" spans="2:8" s="71" customFormat="1" ht="17.100000000000001" customHeight="1" x14ac:dyDescent="0.25">
      <c r="B138" s="17"/>
      <c r="C138" s="80"/>
      <c r="D138" s="80"/>
      <c r="E138" s="80"/>
      <c r="F138" s="80"/>
      <c r="G138" s="80"/>
      <c r="H138" s="80"/>
    </row>
    <row r="139" spans="2:8" s="71" customFormat="1" ht="17.100000000000001" customHeight="1" x14ac:dyDescent="0.25">
      <c r="B139" s="17"/>
      <c r="C139" s="80"/>
      <c r="D139" s="80"/>
      <c r="E139" s="80"/>
      <c r="F139" s="80"/>
      <c r="G139" s="80"/>
      <c r="H139" s="80"/>
    </row>
    <row r="140" spans="2:8" s="71" customFormat="1" ht="17.100000000000001" customHeight="1" x14ac:dyDescent="0.25">
      <c r="B140" s="17"/>
      <c r="C140" s="80"/>
      <c r="D140" s="80"/>
      <c r="E140" s="80"/>
      <c r="F140" s="80"/>
      <c r="G140" s="80"/>
      <c r="H140" s="80"/>
    </row>
    <row r="141" spans="2:8" s="71" customFormat="1" ht="17.100000000000001" customHeight="1" x14ac:dyDescent="0.25">
      <c r="B141" s="17"/>
      <c r="C141" s="80"/>
      <c r="D141" s="80"/>
      <c r="E141" s="80"/>
      <c r="F141" s="80"/>
      <c r="G141" s="80"/>
      <c r="H141" s="80"/>
    </row>
    <row r="142" spans="2:8" s="71" customFormat="1" ht="17.100000000000001" customHeight="1" x14ac:dyDescent="0.25">
      <c r="B142" s="17"/>
      <c r="C142" s="80"/>
      <c r="D142" s="80"/>
      <c r="E142" s="80"/>
      <c r="F142" s="80"/>
      <c r="G142" s="80"/>
      <c r="H142" s="80"/>
    </row>
    <row r="143" spans="2:8" s="71" customFormat="1" ht="17.100000000000001" customHeight="1" x14ac:dyDescent="0.25">
      <c r="B143" s="17"/>
      <c r="C143" s="80"/>
      <c r="D143" s="80"/>
      <c r="E143" s="80"/>
      <c r="F143" s="80"/>
      <c r="G143" s="80"/>
      <c r="H143" s="80"/>
    </row>
    <row r="144" spans="2:8" s="71" customFormat="1" ht="17.100000000000001" customHeight="1" x14ac:dyDescent="0.25">
      <c r="B144" s="17"/>
      <c r="C144" s="80"/>
      <c r="D144" s="80"/>
      <c r="E144" s="80"/>
      <c r="F144" s="80"/>
      <c r="G144" s="80"/>
      <c r="H144" s="80"/>
    </row>
    <row r="145" spans="2:8" s="71" customFormat="1" ht="17.100000000000001" customHeight="1" x14ac:dyDescent="0.25">
      <c r="B145" s="17"/>
      <c r="C145" s="80"/>
      <c r="D145" s="80"/>
      <c r="E145" s="80"/>
      <c r="F145" s="80"/>
      <c r="G145" s="80"/>
      <c r="H145" s="80"/>
    </row>
    <row r="146" spans="2:8" s="71" customFormat="1" ht="17.100000000000001" customHeight="1" x14ac:dyDescent="0.25">
      <c r="B146" s="17"/>
      <c r="C146" s="80"/>
      <c r="D146" s="80"/>
      <c r="E146" s="80"/>
      <c r="F146" s="80"/>
      <c r="G146" s="80"/>
      <c r="H146" s="80"/>
    </row>
    <row r="147" spans="2:8" s="71" customFormat="1" ht="17.100000000000001" customHeight="1" x14ac:dyDescent="0.25">
      <c r="B147" s="17"/>
      <c r="C147" s="80"/>
      <c r="D147" s="80"/>
      <c r="E147" s="80"/>
      <c r="F147" s="80"/>
      <c r="G147" s="80"/>
      <c r="H147" s="80"/>
    </row>
    <row r="148" spans="2:8" s="71" customFormat="1" ht="17.100000000000001" customHeight="1" x14ac:dyDescent="0.25">
      <c r="B148" s="17"/>
      <c r="C148" s="80"/>
      <c r="D148" s="80"/>
      <c r="E148" s="80"/>
      <c r="F148" s="80"/>
      <c r="G148" s="80"/>
      <c r="H148" s="80"/>
    </row>
    <row r="149" spans="2:8" s="71" customFormat="1" ht="17.100000000000001" customHeight="1" x14ac:dyDescent="0.25">
      <c r="B149" s="17"/>
      <c r="C149" s="80"/>
      <c r="D149" s="80"/>
      <c r="E149" s="80"/>
      <c r="F149" s="80"/>
      <c r="G149" s="80"/>
      <c r="H149" s="80"/>
    </row>
    <row r="150" spans="2:8" s="71" customFormat="1" ht="17.100000000000001" customHeight="1" x14ac:dyDescent="0.25">
      <c r="B150" s="17"/>
      <c r="C150" s="80"/>
      <c r="D150" s="80"/>
      <c r="E150" s="80"/>
      <c r="F150" s="80"/>
      <c r="G150" s="80"/>
      <c r="H150" s="80"/>
    </row>
    <row r="151" spans="2:8" s="71" customFormat="1" ht="17.100000000000001" customHeight="1" x14ac:dyDescent="0.25">
      <c r="B151" s="17"/>
      <c r="C151" s="80"/>
      <c r="D151" s="80"/>
      <c r="E151" s="80"/>
      <c r="F151" s="80"/>
      <c r="G151" s="80"/>
      <c r="H151" s="80"/>
    </row>
    <row r="152" spans="2:8" s="71" customFormat="1" ht="17.100000000000001" customHeight="1" x14ac:dyDescent="0.25">
      <c r="B152" s="17"/>
      <c r="C152" s="80"/>
      <c r="D152" s="80"/>
      <c r="E152" s="80"/>
      <c r="F152" s="80"/>
      <c r="G152" s="80"/>
      <c r="H152" s="80"/>
    </row>
    <row r="153" spans="2:8" s="71" customFormat="1" ht="17.100000000000001" customHeight="1" x14ac:dyDescent="0.25">
      <c r="B153" s="17"/>
      <c r="C153" s="80"/>
      <c r="D153" s="80"/>
      <c r="E153" s="80"/>
      <c r="F153" s="80"/>
      <c r="G153" s="80"/>
      <c r="H153" s="80"/>
    </row>
    <row r="154" spans="2:8" s="71" customFormat="1" ht="17.100000000000001" customHeight="1" x14ac:dyDescent="0.25">
      <c r="B154" s="17"/>
      <c r="C154" s="80"/>
      <c r="D154" s="80"/>
      <c r="E154" s="80"/>
      <c r="F154" s="80"/>
      <c r="G154" s="80"/>
      <c r="H154" s="80"/>
    </row>
    <row r="155" spans="2:8" s="71" customFormat="1" ht="17.100000000000001" customHeight="1" x14ac:dyDescent="0.25">
      <c r="B155" s="17"/>
      <c r="C155" s="80"/>
      <c r="D155" s="80"/>
      <c r="E155" s="80"/>
      <c r="F155" s="80"/>
      <c r="G155" s="80"/>
      <c r="H155" s="80"/>
    </row>
    <row r="156" spans="2:8" s="71" customFormat="1" ht="17.100000000000001" customHeight="1" x14ac:dyDescent="0.25">
      <c r="B156" s="17"/>
      <c r="C156" s="80"/>
      <c r="D156" s="80"/>
      <c r="E156" s="80"/>
      <c r="F156" s="80"/>
      <c r="G156" s="80"/>
      <c r="H156" s="80"/>
    </row>
    <row r="157" spans="2:8" s="71" customFormat="1" ht="17.100000000000001" customHeight="1" x14ac:dyDescent="0.25">
      <c r="B157" s="17"/>
      <c r="C157" s="80"/>
      <c r="D157" s="80"/>
      <c r="E157" s="80"/>
      <c r="F157" s="80"/>
      <c r="G157" s="80"/>
      <c r="H157" s="80"/>
    </row>
    <row r="158" spans="2:8" s="71" customFormat="1" ht="17.100000000000001" customHeight="1" x14ac:dyDescent="0.25">
      <c r="B158" s="17"/>
      <c r="C158" s="80"/>
      <c r="D158" s="80"/>
      <c r="E158" s="80"/>
      <c r="F158" s="80"/>
      <c r="G158" s="80"/>
      <c r="H158" s="80"/>
    </row>
    <row r="159" spans="2:8" s="71" customFormat="1" ht="17.100000000000001" customHeight="1" x14ac:dyDescent="0.25">
      <c r="B159" s="17"/>
      <c r="C159" s="80"/>
      <c r="D159" s="80"/>
      <c r="E159" s="80"/>
      <c r="F159" s="80"/>
      <c r="G159" s="80"/>
      <c r="H159" s="80"/>
    </row>
    <row r="160" spans="2:8" s="71" customFormat="1" ht="17.100000000000001" customHeight="1" x14ac:dyDescent="0.25">
      <c r="B160" s="17"/>
      <c r="C160" s="80"/>
      <c r="D160" s="80"/>
      <c r="E160" s="80"/>
      <c r="F160" s="80"/>
      <c r="G160" s="80"/>
      <c r="H160" s="80"/>
    </row>
    <row r="161" spans="2:8" s="71" customFormat="1" ht="17.100000000000001" customHeight="1" x14ac:dyDescent="0.25">
      <c r="B161" s="17"/>
      <c r="C161" s="80"/>
      <c r="D161" s="80"/>
      <c r="E161" s="80"/>
      <c r="F161" s="80"/>
      <c r="G161" s="80"/>
      <c r="H161" s="80"/>
    </row>
    <row r="162" spans="2:8" s="71" customFormat="1" ht="17.100000000000001" customHeight="1" x14ac:dyDescent="0.25">
      <c r="B162" s="17"/>
      <c r="C162" s="80"/>
      <c r="D162" s="80"/>
      <c r="E162" s="80"/>
      <c r="F162" s="80"/>
      <c r="G162" s="80"/>
      <c r="H162" s="80"/>
    </row>
    <row r="163" spans="2:8" s="71" customFormat="1" ht="17.100000000000001" customHeight="1" x14ac:dyDescent="0.25">
      <c r="B163" s="17"/>
      <c r="C163" s="80"/>
      <c r="D163" s="80"/>
      <c r="E163" s="80"/>
      <c r="F163" s="80"/>
      <c r="G163" s="80"/>
      <c r="H163" s="80"/>
    </row>
    <row r="164" spans="2:8" s="71" customFormat="1" ht="17.100000000000001" customHeight="1" x14ac:dyDescent="0.25">
      <c r="B164" s="17"/>
      <c r="C164" s="80"/>
      <c r="D164" s="80"/>
      <c r="E164" s="80"/>
      <c r="F164" s="80"/>
      <c r="G164" s="80"/>
      <c r="H164" s="80"/>
    </row>
    <row r="165" spans="2:8" s="71" customFormat="1" ht="17.100000000000001" customHeight="1" x14ac:dyDescent="0.25">
      <c r="B165" s="17"/>
      <c r="C165" s="80"/>
      <c r="D165" s="80"/>
      <c r="E165" s="80"/>
      <c r="F165" s="80"/>
      <c r="G165" s="80"/>
      <c r="H165" s="80"/>
    </row>
    <row r="166" spans="2:8" s="71" customFormat="1" ht="17.100000000000001" customHeight="1" x14ac:dyDescent="0.25">
      <c r="B166" s="17"/>
      <c r="C166" s="80"/>
      <c r="D166" s="80"/>
      <c r="E166" s="80"/>
      <c r="F166" s="80"/>
      <c r="G166" s="80"/>
      <c r="H166" s="80"/>
    </row>
    <row r="167" spans="2:8" s="71" customFormat="1" ht="17.100000000000001" customHeight="1" x14ac:dyDescent="0.25">
      <c r="B167" s="17"/>
      <c r="C167" s="80"/>
      <c r="D167" s="80"/>
      <c r="E167" s="80"/>
      <c r="F167" s="80"/>
      <c r="G167" s="80"/>
      <c r="H167" s="80"/>
    </row>
    <row r="168" spans="2:8" s="71" customFormat="1" ht="17.100000000000001" customHeight="1" x14ac:dyDescent="0.25">
      <c r="B168" s="17"/>
      <c r="C168" s="80"/>
      <c r="D168" s="80"/>
      <c r="E168" s="80"/>
      <c r="F168" s="80"/>
      <c r="G168" s="80"/>
      <c r="H168" s="80"/>
    </row>
    <row r="169" spans="2:8" s="71" customFormat="1" ht="17.100000000000001" customHeight="1" x14ac:dyDescent="0.25">
      <c r="B169" s="17"/>
      <c r="C169" s="80"/>
      <c r="D169" s="80"/>
      <c r="E169" s="80"/>
      <c r="F169" s="80"/>
      <c r="G169" s="80"/>
      <c r="H169" s="80"/>
    </row>
    <row r="170" spans="2:8" s="71" customFormat="1" ht="17.100000000000001" customHeight="1" x14ac:dyDescent="0.25">
      <c r="B170" s="17"/>
      <c r="C170" s="80"/>
      <c r="D170" s="80"/>
      <c r="E170" s="80"/>
      <c r="F170" s="80"/>
      <c r="G170" s="80"/>
      <c r="H170" s="80"/>
    </row>
    <row r="171" spans="2:8" s="71" customFormat="1" ht="17.100000000000001" customHeight="1" x14ac:dyDescent="0.25">
      <c r="B171" s="17"/>
      <c r="C171" s="80"/>
      <c r="D171" s="80"/>
      <c r="E171" s="80"/>
      <c r="F171" s="80"/>
      <c r="G171" s="80"/>
      <c r="H171" s="80"/>
    </row>
    <row r="172" spans="2:8" s="71" customFormat="1" ht="17.100000000000001" customHeight="1" x14ac:dyDescent="0.25">
      <c r="B172" s="17"/>
      <c r="C172" s="80"/>
      <c r="D172" s="80"/>
      <c r="E172" s="80"/>
      <c r="F172" s="80"/>
      <c r="G172" s="80"/>
      <c r="H172" s="80"/>
    </row>
    <row r="173" spans="2:8" s="71" customFormat="1" ht="17.100000000000001" customHeight="1" x14ac:dyDescent="0.25">
      <c r="B173" s="17"/>
      <c r="C173" s="80"/>
      <c r="D173" s="80"/>
      <c r="E173" s="80"/>
      <c r="F173" s="80"/>
      <c r="G173" s="80"/>
      <c r="H173" s="80"/>
    </row>
    <row r="174" spans="2:8" s="71" customFormat="1" ht="17.100000000000001" customHeight="1" x14ac:dyDescent="0.25">
      <c r="B174" s="17"/>
      <c r="C174" s="80"/>
      <c r="D174" s="80"/>
      <c r="E174" s="80"/>
      <c r="F174" s="80"/>
      <c r="G174" s="80"/>
      <c r="H174" s="80"/>
    </row>
    <row r="175" spans="2:8" s="71" customFormat="1" ht="17.100000000000001" customHeight="1" x14ac:dyDescent="0.25">
      <c r="B175" s="17"/>
      <c r="C175" s="80"/>
      <c r="D175" s="80"/>
      <c r="E175" s="80"/>
      <c r="F175" s="80"/>
      <c r="G175" s="80"/>
      <c r="H175" s="80"/>
    </row>
    <row r="176" spans="2:8" s="71" customFormat="1" ht="17.100000000000001" customHeight="1" x14ac:dyDescent="0.25">
      <c r="B176" s="17"/>
      <c r="C176" s="80"/>
      <c r="D176" s="80"/>
      <c r="E176" s="80"/>
      <c r="F176" s="80"/>
      <c r="G176" s="80"/>
      <c r="H176" s="80"/>
    </row>
    <row r="177" spans="2:8" s="71" customFormat="1" ht="17.100000000000001" customHeight="1" x14ac:dyDescent="0.25">
      <c r="B177" s="17"/>
      <c r="C177" s="80"/>
      <c r="D177" s="80"/>
      <c r="E177" s="80"/>
      <c r="F177" s="80"/>
      <c r="G177" s="80"/>
      <c r="H177" s="80"/>
    </row>
    <row r="178" spans="2:8" s="71" customFormat="1" ht="17.100000000000001" customHeight="1" x14ac:dyDescent="0.25">
      <c r="B178" s="17"/>
      <c r="C178" s="80"/>
      <c r="D178" s="80"/>
      <c r="E178" s="80"/>
      <c r="F178" s="80"/>
      <c r="G178" s="80"/>
      <c r="H178" s="80"/>
    </row>
    <row r="179" spans="2:8" s="71" customFormat="1" ht="17.100000000000001" customHeight="1" x14ac:dyDescent="0.25">
      <c r="B179" s="17"/>
      <c r="C179" s="80"/>
      <c r="D179" s="80"/>
      <c r="E179" s="80"/>
      <c r="F179" s="80"/>
      <c r="G179" s="80"/>
      <c r="H179" s="80"/>
    </row>
    <row r="180" spans="2:8" s="71" customFormat="1" ht="17.100000000000001" customHeight="1" x14ac:dyDescent="0.25">
      <c r="B180" s="17"/>
      <c r="C180" s="80"/>
      <c r="D180" s="80"/>
      <c r="E180" s="80"/>
      <c r="F180" s="80"/>
      <c r="G180" s="80"/>
      <c r="H180" s="80"/>
    </row>
    <row r="181" spans="2:8" s="71" customFormat="1" ht="17.100000000000001" customHeight="1" x14ac:dyDescent="0.25">
      <c r="B181" s="17"/>
      <c r="C181" s="80"/>
      <c r="D181" s="80"/>
      <c r="E181" s="80"/>
      <c r="F181" s="80"/>
      <c r="G181" s="80"/>
      <c r="H181" s="80"/>
    </row>
    <row r="182" spans="2:8" s="71" customFormat="1" ht="17.100000000000001" customHeight="1" x14ac:dyDescent="0.25">
      <c r="B182" s="17"/>
      <c r="C182" s="80"/>
      <c r="D182" s="80"/>
      <c r="E182" s="80"/>
      <c r="F182" s="80"/>
      <c r="G182" s="80"/>
      <c r="H182" s="80"/>
    </row>
    <row r="183" spans="2:8" s="71" customFormat="1" ht="17.100000000000001" customHeight="1" x14ac:dyDescent="0.25">
      <c r="B183" s="17"/>
      <c r="C183" s="80"/>
      <c r="D183" s="80"/>
      <c r="E183" s="80"/>
      <c r="F183" s="80"/>
      <c r="G183" s="80"/>
      <c r="H183" s="80"/>
    </row>
    <row r="184" spans="2:8" s="71" customFormat="1" ht="17.100000000000001" customHeight="1" x14ac:dyDescent="0.25">
      <c r="B184" s="17"/>
      <c r="C184" s="80"/>
      <c r="D184" s="80"/>
      <c r="E184" s="80"/>
      <c r="F184" s="80"/>
      <c r="G184" s="80"/>
      <c r="H184" s="80"/>
    </row>
    <row r="185" spans="2:8" s="71" customFormat="1" ht="17.100000000000001" customHeight="1" x14ac:dyDescent="0.25">
      <c r="B185" s="17"/>
      <c r="C185" s="80"/>
      <c r="D185" s="80"/>
      <c r="E185" s="80"/>
      <c r="F185" s="80"/>
      <c r="G185" s="80"/>
      <c r="H185" s="80"/>
    </row>
    <row r="186" spans="2:8" s="71" customFormat="1" ht="17.100000000000001" customHeight="1" x14ac:dyDescent="0.25">
      <c r="B186" s="17"/>
      <c r="C186" s="80"/>
      <c r="D186" s="80"/>
      <c r="E186" s="80"/>
      <c r="F186" s="80"/>
      <c r="G186" s="80"/>
      <c r="H186" s="80"/>
    </row>
    <row r="187" spans="2:8" s="71" customFormat="1" ht="17.100000000000001" customHeight="1" x14ac:dyDescent="0.25">
      <c r="B187" s="17"/>
      <c r="C187" s="80"/>
      <c r="D187" s="80"/>
      <c r="E187" s="80"/>
      <c r="F187" s="80"/>
      <c r="G187" s="80"/>
      <c r="H187" s="80"/>
    </row>
    <row r="188" spans="2:8" s="71" customFormat="1" ht="17.100000000000001" customHeight="1" x14ac:dyDescent="0.25">
      <c r="B188" s="17"/>
      <c r="C188" s="80"/>
      <c r="D188" s="80"/>
      <c r="E188" s="80"/>
      <c r="F188" s="80"/>
      <c r="G188" s="80"/>
      <c r="H188" s="80"/>
    </row>
    <row r="189" spans="2:8" s="71" customFormat="1" ht="17.100000000000001" customHeight="1" x14ac:dyDescent="0.25">
      <c r="B189" s="17"/>
      <c r="C189" s="80"/>
      <c r="D189" s="80"/>
      <c r="E189" s="80"/>
      <c r="F189" s="80"/>
      <c r="G189" s="80"/>
      <c r="H189" s="80"/>
    </row>
    <row r="190" spans="2:8" s="71" customFormat="1" ht="17.100000000000001" customHeight="1" x14ac:dyDescent="0.25">
      <c r="B190" s="17"/>
      <c r="C190" s="80"/>
      <c r="D190" s="80"/>
      <c r="E190" s="80"/>
      <c r="F190" s="80"/>
      <c r="G190" s="80"/>
      <c r="H190" s="80"/>
    </row>
    <row r="191" spans="2:8" s="71" customFormat="1" ht="17.100000000000001" customHeight="1" x14ac:dyDescent="0.25">
      <c r="B191" s="17"/>
      <c r="C191" s="80"/>
      <c r="D191" s="80"/>
      <c r="E191" s="80"/>
      <c r="F191" s="80"/>
      <c r="G191" s="80"/>
      <c r="H191" s="80"/>
    </row>
    <row r="192" spans="2:8" s="71" customFormat="1" ht="17.100000000000001" customHeight="1" x14ac:dyDescent="0.25">
      <c r="B192" s="17"/>
      <c r="C192" s="80"/>
      <c r="D192" s="80"/>
      <c r="E192" s="80"/>
      <c r="F192" s="80"/>
      <c r="G192" s="80"/>
      <c r="H192" s="80"/>
    </row>
    <row r="193" spans="2:8" s="71" customFormat="1" ht="17.100000000000001" customHeight="1" x14ac:dyDescent="0.25">
      <c r="B193" s="17"/>
      <c r="C193" s="80"/>
      <c r="D193" s="80"/>
      <c r="E193" s="80"/>
      <c r="F193" s="80"/>
      <c r="G193" s="80"/>
      <c r="H193" s="80"/>
    </row>
    <row r="194" spans="2:8" s="71" customFormat="1" ht="17.100000000000001" customHeight="1" x14ac:dyDescent="0.25">
      <c r="B194" s="17"/>
      <c r="C194" s="80"/>
      <c r="D194" s="80"/>
      <c r="E194" s="80"/>
      <c r="F194" s="80"/>
      <c r="G194" s="80"/>
      <c r="H194" s="80"/>
    </row>
    <row r="195" spans="2:8" s="71" customFormat="1" ht="17.100000000000001" customHeight="1" x14ac:dyDescent="0.25">
      <c r="B195" s="17"/>
      <c r="C195" s="80"/>
      <c r="D195" s="80"/>
      <c r="E195" s="80"/>
      <c r="F195" s="80"/>
      <c r="G195" s="80"/>
      <c r="H195" s="80"/>
    </row>
    <row r="196" spans="2:8" s="71" customFormat="1" ht="17.100000000000001" customHeight="1" x14ac:dyDescent="0.25">
      <c r="B196" s="17"/>
      <c r="C196" s="80"/>
      <c r="D196" s="80"/>
      <c r="E196" s="80"/>
      <c r="F196" s="80"/>
      <c r="G196" s="80"/>
      <c r="H196" s="80"/>
    </row>
    <row r="197" spans="2:8" s="71" customFormat="1" ht="17.100000000000001" customHeight="1" x14ac:dyDescent="0.25">
      <c r="B197" s="17"/>
      <c r="C197" s="80"/>
      <c r="D197" s="80"/>
      <c r="E197" s="80"/>
      <c r="F197" s="80"/>
      <c r="G197" s="80"/>
      <c r="H197" s="80"/>
    </row>
    <row r="198" spans="2:8" s="71" customFormat="1" ht="17.100000000000001" customHeight="1" x14ac:dyDescent="0.25">
      <c r="B198" s="17"/>
      <c r="C198" s="80"/>
      <c r="D198" s="80"/>
      <c r="E198" s="80"/>
      <c r="F198" s="80"/>
      <c r="G198" s="80"/>
      <c r="H198" s="80"/>
    </row>
    <row r="199" spans="2:8" s="71" customFormat="1" ht="17.100000000000001" customHeight="1" x14ac:dyDescent="0.25">
      <c r="B199" s="17"/>
      <c r="C199" s="80"/>
      <c r="D199" s="80"/>
      <c r="E199" s="80"/>
      <c r="F199" s="80"/>
      <c r="G199" s="80"/>
      <c r="H199" s="80"/>
    </row>
    <row r="200" spans="2:8" s="71" customFormat="1" ht="17.100000000000001" customHeight="1" x14ac:dyDescent="0.25">
      <c r="B200" s="17"/>
      <c r="C200" s="80"/>
      <c r="D200" s="80"/>
      <c r="E200" s="80"/>
      <c r="F200" s="80"/>
      <c r="G200" s="80"/>
      <c r="H200" s="80"/>
    </row>
    <row r="201" spans="2:8" s="71" customFormat="1" ht="17.100000000000001" customHeight="1" x14ac:dyDescent="0.25">
      <c r="B201" s="17"/>
      <c r="C201" s="80"/>
      <c r="D201" s="80"/>
      <c r="E201" s="80"/>
      <c r="F201" s="80"/>
      <c r="G201" s="80"/>
      <c r="H201" s="80"/>
    </row>
    <row r="202" spans="2:8" s="71" customFormat="1" ht="17.100000000000001" customHeight="1" x14ac:dyDescent="0.25">
      <c r="B202" s="17"/>
      <c r="C202" s="80"/>
      <c r="D202" s="80"/>
      <c r="E202" s="80"/>
      <c r="F202" s="80"/>
      <c r="G202" s="80"/>
      <c r="H202" s="80"/>
    </row>
    <row r="203" spans="2:8" s="71" customFormat="1" ht="17.100000000000001" customHeight="1" x14ac:dyDescent="0.25">
      <c r="B203" s="17"/>
      <c r="C203" s="80"/>
      <c r="D203" s="80"/>
      <c r="E203" s="80"/>
      <c r="F203" s="80"/>
      <c r="G203" s="80"/>
      <c r="H203" s="80"/>
    </row>
    <row r="204" spans="2:8" s="71" customFormat="1" ht="17.100000000000001" customHeight="1" x14ac:dyDescent="0.25">
      <c r="B204" s="17"/>
      <c r="C204" s="80"/>
      <c r="D204" s="80"/>
      <c r="E204" s="80"/>
      <c r="F204" s="80"/>
      <c r="G204" s="80"/>
      <c r="H204" s="80"/>
    </row>
    <row r="205" spans="2:8" s="71" customFormat="1" ht="17.100000000000001" customHeight="1" x14ac:dyDescent="0.25">
      <c r="B205" s="17"/>
      <c r="C205" s="80"/>
      <c r="D205" s="80"/>
      <c r="E205" s="80"/>
      <c r="F205" s="80"/>
      <c r="G205" s="80"/>
      <c r="H205" s="80"/>
    </row>
    <row r="206" spans="2:8" s="71" customFormat="1" ht="17.100000000000001" customHeight="1" x14ac:dyDescent="0.25">
      <c r="B206" s="17"/>
      <c r="C206" s="80"/>
      <c r="D206" s="80"/>
      <c r="E206" s="80"/>
      <c r="F206" s="80"/>
      <c r="G206" s="80"/>
      <c r="H206" s="80"/>
    </row>
    <row r="207" spans="2:8" s="71" customFormat="1" ht="17.100000000000001" customHeight="1" x14ac:dyDescent="0.25">
      <c r="B207" s="17"/>
      <c r="C207" s="80"/>
      <c r="D207" s="80"/>
      <c r="E207" s="80"/>
      <c r="F207" s="80"/>
      <c r="G207" s="80"/>
      <c r="H207" s="80"/>
    </row>
    <row r="208" spans="2:8" s="71" customFormat="1" ht="17.100000000000001" customHeight="1" x14ac:dyDescent="0.25">
      <c r="B208" s="17"/>
      <c r="C208" s="80"/>
      <c r="D208" s="80"/>
      <c r="E208" s="80"/>
      <c r="F208" s="80"/>
      <c r="G208" s="80"/>
      <c r="H208" s="80"/>
    </row>
    <row r="209" spans="2:8" s="71" customFormat="1" ht="17.100000000000001" customHeight="1" x14ac:dyDescent="0.25">
      <c r="B209" s="17"/>
      <c r="C209" s="80"/>
      <c r="D209" s="80"/>
      <c r="E209" s="80"/>
      <c r="F209" s="80"/>
      <c r="G209" s="80"/>
      <c r="H209" s="80"/>
    </row>
    <row r="210" spans="2:8" s="71" customFormat="1" ht="17.100000000000001" customHeight="1" x14ac:dyDescent="0.25">
      <c r="B210" s="17"/>
      <c r="C210" s="80"/>
      <c r="D210" s="80"/>
      <c r="E210" s="80"/>
      <c r="F210" s="80"/>
      <c r="G210" s="80"/>
      <c r="H210" s="80"/>
    </row>
    <row r="211" spans="2:8" s="71" customFormat="1" ht="17.100000000000001" customHeight="1" x14ac:dyDescent="0.25">
      <c r="B211" s="17"/>
      <c r="C211" s="80"/>
      <c r="D211" s="80"/>
      <c r="E211" s="80"/>
      <c r="F211" s="80"/>
      <c r="G211" s="80"/>
      <c r="H211" s="80"/>
    </row>
    <row r="212" spans="2:8" s="71" customFormat="1" ht="17.100000000000001" customHeight="1" x14ac:dyDescent="0.25">
      <c r="B212" s="17"/>
      <c r="C212" s="80"/>
      <c r="D212" s="80"/>
      <c r="E212" s="80"/>
      <c r="F212" s="80"/>
      <c r="G212" s="80"/>
      <c r="H212" s="80"/>
    </row>
    <row r="213" spans="2:8" s="71" customFormat="1" ht="17.100000000000001" customHeight="1" x14ac:dyDescent="0.25">
      <c r="B213" s="17"/>
      <c r="C213" s="80"/>
      <c r="D213" s="80"/>
      <c r="E213" s="80"/>
      <c r="F213" s="80"/>
      <c r="G213" s="80"/>
      <c r="H213" s="80"/>
    </row>
    <row r="214" spans="2:8" s="71" customFormat="1" ht="17.100000000000001" customHeight="1" x14ac:dyDescent="0.25">
      <c r="B214" s="17"/>
      <c r="C214" s="80"/>
      <c r="D214" s="80"/>
      <c r="E214" s="80"/>
      <c r="F214" s="80"/>
      <c r="G214" s="80"/>
      <c r="H214" s="80"/>
    </row>
    <row r="215" spans="2:8" s="71" customFormat="1" ht="17.100000000000001" customHeight="1" x14ac:dyDescent="0.25">
      <c r="B215" s="17"/>
      <c r="C215" s="80"/>
      <c r="D215" s="80"/>
      <c r="E215" s="80"/>
      <c r="F215" s="80"/>
      <c r="G215" s="80"/>
      <c r="H215" s="80"/>
    </row>
    <row r="216" spans="2:8" s="71" customFormat="1" ht="17.100000000000001" customHeight="1" x14ac:dyDescent="0.25">
      <c r="B216" s="17"/>
      <c r="C216" s="80"/>
      <c r="D216" s="80"/>
      <c r="E216" s="80"/>
      <c r="F216" s="80"/>
      <c r="G216" s="80"/>
      <c r="H216" s="80"/>
    </row>
    <row r="217" spans="2:8" s="71" customFormat="1" ht="17.100000000000001" customHeight="1" x14ac:dyDescent="0.25">
      <c r="B217" s="17"/>
      <c r="C217" s="80"/>
      <c r="D217" s="80"/>
      <c r="E217" s="80"/>
      <c r="F217" s="80"/>
      <c r="G217" s="80"/>
      <c r="H217" s="80"/>
    </row>
    <row r="218" spans="2:8" s="71" customFormat="1" ht="17.100000000000001" customHeight="1" x14ac:dyDescent="0.25">
      <c r="B218" s="17"/>
      <c r="C218" s="80"/>
      <c r="D218" s="80"/>
      <c r="E218" s="80"/>
      <c r="F218" s="80"/>
      <c r="G218" s="80"/>
      <c r="H218" s="80"/>
    </row>
    <row r="219" spans="2:8" s="71" customFormat="1" ht="17.100000000000001" customHeight="1" x14ac:dyDescent="0.25">
      <c r="B219" s="17"/>
      <c r="C219" s="80"/>
      <c r="D219" s="80"/>
      <c r="E219" s="80"/>
      <c r="F219" s="80"/>
      <c r="G219" s="80"/>
      <c r="H219" s="80"/>
    </row>
    <row r="220" spans="2:8" s="71" customFormat="1" ht="17.100000000000001" customHeight="1" x14ac:dyDescent="0.25">
      <c r="B220" s="17"/>
      <c r="C220" s="80"/>
      <c r="D220" s="80"/>
      <c r="E220" s="80"/>
      <c r="F220" s="80"/>
      <c r="G220" s="80"/>
      <c r="H220" s="80"/>
    </row>
    <row r="221" spans="2:8" s="71" customFormat="1" ht="17.100000000000001" customHeight="1" x14ac:dyDescent="0.25">
      <c r="B221" s="17"/>
      <c r="C221" s="80"/>
      <c r="D221" s="80"/>
      <c r="E221" s="80"/>
      <c r="F221" s="80"/>
      <c r="G221" s="80"/>
      <c r="H221" s="80"/>
    </row>
    <row r="222" spans="2:8" s="71" customFormat="1" ht="17.100000000000001" customHeight="1" x14ac:dyDescent="0.25">
      <c r="B222" s="17"/>
      <c r="C222" s="80"/>
      <c r="D222" s="80"/>
      <c r="E222" s="80"/>
      <c r="F222" s="80"/>
      <c r="G222" s="80"/>
      <c r="H222" s="80"/>
    </row>
    <row r="223" spans="2:8" s="71" customFormat="1" ht="17.100000000000001" customHeight="1" x14ac:dyDescent="0.25">
      <c r="B223" s="17"/>
      <c r="C223" s="80"/>
      <c r="D223" s="80"/>
      <c r="E223" s="80"/>
      <c r="F223" s="80"/>
      <c r="G223" s="80"/>
      <c r="H223" s="80"/>
    </row>
    <row r="224" spans="2:8" s="71" customFormat="1" ht="17.100000000000001" customHeight="1" x14ac:dyDescent="0.25">
      <c r="B224" s="17"/>
      <c r="C224" s="80"/>
      <c r="D224" s="80"/>
      <c r="E224" s="80"/>
      <c r="F224" s="80"/>
      <c r="G224" s="80"/>
      <c r="H224" s="80"/>
    </row>
    <row r="225" spans="2:14" s="71" customFormat="1" ht="17.100000000000001" customHeight="1" x14ac:dyDescent="0.25">
      <c r="B225" s="17"/>
      <c r="C225" s="80"/>
      <c r="D225" s="80"/>
      <c r="E225" s="80"/>
      <c r="F225" s="80"/>
      <c r="G225" s="80"/>
      <c r="H225" s="80"/>
    </row>
    <row r="226" spans="2:14" s="71" customFormat="1" ht="17.100000000000001" customHeight="1" x14ac:dyDescent="0.25">
      <c r="B226" s="17"/>
      <c r="C226" s="80"/>
      <c r="D226" s="80"/>
      <c r="E226" s="80"/>
      <c r="F226" s="80"/>
      <c r="G226" s="80"/>
      <c r="H226" s="80"/>
    </row>
    <row r="227" spans="2:14" s="71" customFormat="1" ht="17.100000000000001" customHeight="1" x14ac:dyDescent="0.25">
      <c r="B227" s="17"/>
      <c r="C227" s="80"/>
      <c r="D227" s="80"/>
      <c r="E227" s="80"/>
      <c r="F227" s="80"/>
      <c r="G227" s="80"/>
      <c r="H227" s="80"/>
    </row>
    <row r="228" spans="2:14" s="71" customFormat="1" ht="17.100000000000001" customHeight="1" x14ac:dyDescent="0.25">
      <c r="B228" s="17"/>
      <c r="C228" s="80"/>
      <c r="D228" s="80"/>
      <c r="E228" s="80"/>
      <c r="F228" s="80"/>
      <c r="G228" s="80"/>
      <c r="H228" s="80"/>
    </row>
    <row r="229" spans="2:14" s="71" customFormat="1" ht="17.100000000000001" customHeight="1" x14ac:dyDescent="0.25">
      <c r="B229" s="17"/>
      <c r="C229" s="80"/>
      <c r="D229" s="80"/>
      <c r="E229" s="80"/>
      <c r="F229" s="80"/>
      <c r="G229" s="80"/>
      <c r="H229" s="80"/>
    </row>
    <row r="230" spans="2:14" s="71" customFormat="1" ht="17.100000000000001" customHeight="1" x14ac:dyDescent="0.25">
      <c r="B230" s="17"/>
      <c r="C230" s="80"/>
      <c r="D230" s="80"/>
      <c r="E230" s="80"/>
      <c r="F230" s="80"/>
      <c r="G230" s="80"/>
      <c r="H230" s="80"/>
    </row>
    <row r="231" spans="2:14" s="71" customFormat="1" ht="17.100000000000001" customHeight="1" x14ac:dyDescent="0.25">
      <c r="B231" s="17"/>
      <c r="C231" s="80"/>
      <c r="D231" s="80"/>
      <c r="E231" s="80"/>
      <c r="F231" s="80"/>
      <c r="G231" s="80"/>
      <c r="H231" s="80"/>
    </row>
    <row r="232" spans="2:14" s="71" customFormat="1" ht="17.100000000000001" customHeight="1" x14ac:dyDescent="0.25">
      <c r="B232" s="17"/>
      <c r="C232" s="80"/>
      <c r="D232" s="80"/>
      <c r="E232" s="80"/>
      <c r="F232" s="80"/>
      <c r="G232" s="80"/>
      <c r="H232" s="80"/>
    </row>
    <row r="233" spans="2:14" s="71" customFormat="1" ht="17.100000000000001" customHeight="1" x14ac:dyDescent="0.25">
      <c r="B233" s="17"/>
      <c r="C233" s="80"/>
      <c r="D233" s="80"/>
      <c r="E233" s="80"/>
      <c r="F233" s="80"/>
      <c r="G233" s="80"/>
      <c r="H233" s="80"/>
    </row>
    <row r="234" spans="2:14" s="71" customFormat="1" ht="17.100000000000001" customHeight="1" x14ac:dyDescent="0.25">
      <c r="B234" s="17"/>
      <c r="C234" s="80"/>
      <c r="D234" s="80"/>
      <c r="E234" s="80"/>
      <c r="F234" s="80"/>
      <c r="G234" s="80"/>
      <c r="H234" s="80"/>
    </row>
    <row r="235" spans="2:14" s="71" customFormat="1" ht="17.100000000000001" customHeight="1" x14ac:dyDescent="0.25">
      <c r="B235" s="17"/>
      <c r="C235" s="80"/>
      <c r="D235" s="80"/>
      <c r="E235" s="80"/>
      <c r="F235" s="80"/>
      <c r="G235" s="80"/>
      <c r="H235" s="80"/>
    </row>
    <row r="236" spans="2:14" s="71" customFormat="1" ht="17.100000000000001" customHeight="1" x14ac:dyDescent="0.25">
      <c r="B236" s="17"/>
      <c r="C236" s="80"/>
      <c r="D236" s="80"/>
      <c r="E236" s="80"/>
      <c r="F236" s="80"/>
      <c r="G236" s="80"/>
      <c r="H236" s="80"/>
    </row>
    <row r="237" spans="2:14" s="71" customFormat="1" ht="17.100000000000001" customHeight="1" x14ac:dyDescent="0.25">
      <c r="B237" s="17"/>
      <c r="C237" s="80"/>
      <c r="D237" s="80"/>
      <c r="E237" s="80"/>
      <c r="F237" s="80"/>
      <c r="G237" s="80"/>
      <c r="H237" s="80"/>
    </row>
    <row r="238" spans="2:14" s="71" customFormat="1" ht="17.100000000000001" customHeight="1" x14ac:dyDescent="0.25">
      <c r="B238" s="17"/>
      <c r="C238" s="80"/>
      <c r="D238" s="80"/>
      <c r="E238" s="80"/>
      <c r="F238" s="80"/>
      <c r="G238" s="80"/>
      <c r="H238" s="80"/>
    </row>
    <row r="239" spans="2:14" s="71" customFormat="1" ht="17.100000000000001" customHeight="1" x14ac:dyDescent="0.25">
      <c r="B239" s="17"/>
      <c r="C239" s="80"/>
      <c r="D239" s="80"/>
      <c r="E239" s="80"/>
      <c r="F239" s="80"/>
      <c r="G239" s="80"/>
      <c r="H239" s="80"/>
    </row>
    <row r="240" spans="2:14" s="71" customFormat="1" ht="17.100000000000001" customHeight="1" x14ac:dyDescent="0.25">
      <c r="B240" s="17"/>
      <c r="C240" s="80"/>
      <c r="J240" s="255"/>
      <c r="K240" s="255"/>
      <c r="L240" s="255"/>
      <c r="M240" s="255"/>
      <c r="N240" s="255"/>
    </row>
    <row r="241" spans="2:14" s="71" customFormat="1" x14ac:dyDescent="0.25">
      <c r="B241" s="17"/>
      <c r="J241" s="255"/>
      <c r="K241" s="255"/>
      <c r="L241" s="255"/>
      <c r="M241" s="255"/>
      <c r="N241" s="255"/>
    </row>
    <row r="242" spans="2:14" x14ac:dyDescent="0.25">
      <c r="J242" s="255"/>
      <c r="K242" s="255"/>
      <c r="L242" s="255"/>
      <c r="M242" s="255"/>
      <c r="N242" s="255"/>
    </row>
    <row r="243" spans="2:14" x14ac:dyDescent="0.25">
      <c r="J243" s="255"/>
      <c r="K243" s="255"/>
      <c r="L243" s="255"/>
      <c r="M243" s="255"/>
      <c r="N243" s="255"/>
    </row>
    <row r="244" spans="2:14" x14ac:dyDescent="0.25">
      <c r="J244" s="255"/>
      <c r="K244" s="255"/>
      <c r="L244" s="255"/>
      <c r="M244" s="255"/>
      <c r="N244" s="255"/>
    </row>
    <row r="245" spans="2:14" x14ac:dyDescent="0.25">
      <c r="J245" s="255"/>
      <c r="K245" s="255"/>
      <c r="L245" s="255"/>
      <c r="M245" s="255"/>
      <c r="N245" s="255"/>
    </row>
    <row r="246" spans="2:14" x14ac:dyDescent="0.25">
      <c r="J246" s="255"/>
      <c r="K246" s="255"/>
      <c r="L246" s="255"/>
      <c r="M246" s="255"/>
      <c r="N246" s="255"/>
    </row>
    <row r="247" spans="2:14" x14ac:dyDescent="0.25">
      <c r="J247" s="255"/>
      <c r="K247" s="255"/>
      <c r="L247" s="255"/>
      <c r="M247" s="255"/>
      <c r="N247" s="255"/>
    </row>
    <row r="248" spans="2:14" x14ac:dyDescent="0.25">
      <c r="J248" s="255"/>
      <c r="K248" s="255"/>
      <c r="L248" s="255"/>
      <c r="M248" s="255"/>
      <c r="N248" s="255"/>
    </row>
    <row r="249" spans="2:14" x14ac:dyDescent="0.25">
      <c r="J249" s="255"/>
      <c r="K249" s="255"/>
      <c r="L249" s="255"/>
      <c r="M249" s="255"/>
      <c r="N249" s="255"/>
    </row>
    <row r="250" spans="2:14" x14ac:dyDescent="0.25">
      <c r="J250" s="255"/>
      <c r="K250" s="255"/>
      <c r="L250" s="255"/>
      <c r="M250" s="255"/>
      <c r="N250" s="255"/>
    </row>
    <row r="251" spans="2:14" x14ac:dyDescent="0.25">
      <c r="J251" s="255"/>
      <c r="K251" s="255"/>
      <c r="L251" s="255"/>
      <c r="M251" s="255"/>
      <c r="N251" s="255"/>
    </row>
    <row r="252" spans="2:14" x14ac:dyDescent="0.25">
      <c r="J252" s="255"/>
      <c r="K252" s="255"/>
      <c r="L252" s="255"/>
      <c r="M252" s="255"/>
      <c r="N252" s="255"/>
    </row>
    <row r="253" spans="2:14" x14ac:dyDescent="0.25">
      <c r="J253" s="255"/>
      <c r="K253" s="255"/>
      <c r="L253" s="255"/>
      <c r="M253" s="255"/>
      <c r="N253" s="255"/>
    </row>
    <row r="254" spans="2:14" x14ac:dyDescent="0.25">
      <c r="J254" s="255"/>
      <c r="K254" s="255"/>
      <c r="L254" s="255"/>
      <c r="M254" s="255"/>
      <c r="N254" s="255"/>
    </row>
    <row r="255" spans="2:14" x14ac:dyDescent="0.25">
      <c r="J255" s="255"/>
      <c r="K255" s="255"/>
      <c r="L255" s="255"/>
      <c r="M255" s="255"/>
      <c r="N255" s="255"/>
    </row>
    <row r="256" spans="2:14" x14ac:dyDescent="0.25">
      <c r="J256" s="255"/>
      <c r="K256" s="255"/>
      <c r="L256" s="255"/>
      <c r="M256" s="255"/>
      <c r="N256" s="255"/>
    </row>
    <row r="257" spans="10:14" x14ac:dyDescent="0.25">
      <c r="J257" s="255"/>
      <c r="K257" s="255"/>
      <c r="L257" s="255"/>
      <c r="M257" s="255"/>
      <c r="N257" s="255"/>
    </row>
    <row r="258" spans="10:14" x14ac:dyDescent="0.25">
      <c r="J258" s="255"/>
      <c r="K258" s="255"/>
      <c r="L258" s="255"/>
      <c r="M258" s="255"/>
      <c r="N258" s="255"/>
    </row>
    <row r="259" spans="10:14" x14ac:dyDescent="0.25">
      <c r="J259" s="255"/>
      <c r="K259" s="255"/>
      <c r="L259" s="255"/>
      <c r="M259" s="255"/>
      <c r="N259" s="255"/>
    </row>
    <row r="260" spans="10:14" x14ac:dyDescent="0.25">
      <c r="J260" s="255"/>
      <c r="K260" s="255"/>
      <c r="L260" s="255"/>
      <c r="M260" s="255"/>
      <c r="N260" s="255"/>
    </row>
    <row r="261" spans="10:14" x14ac:dyDescent="0.25">
      <c r="J261" s="255"/>
      <c r="K261" s="255"/>
      <c r="L261" s="255"/>
      <c r="M261" s="255"/>
      <c r="N261" s="255"/>
    </row>
    <row r="262" spans="10:14" x14ac:dyDescent="0.25">
      <c r="J262" s="255"/>
      <c r="K262" s="255"/>
      <c r="L262" s="255"/>
      <c r="M262" s="255"/>
      <c r="N262" s="255"/>
    </row>
    <row r="263" spans="10:14" x14ac:dyDescent="0.25">
      <c r="J263" s="255"/>
      <c r="K263" s="255"/>
      <c r="L263" s="255"/>
      <c r="M263" s="255"/>
      <c r="N263" s="255"/>
    </row>
    <row r="264" spans="10:14" x14ac:dyDescent="0.25">
      <c r="J264" s="255"/>
      <c r="K264" s="255"/>
      <c r="L264" s="255"/>
      <c r="M264" s="255"/>
      <c r="N264" s="255"/>
    </row>
    <row r="265" spans="10:14" x14ac:dyDescent="0.25">
      <c r="J265" s="255"/>
      <c r="K265" s="255"/>
      <c r="L265" s="255"/>
      <c r="M265" s="255"/>
      <c r="N265" s="255"/>
    </row>
    <row r="266" spans="10:14" x14ac:dyDescent="0.25">
      <c r="J266" s="255"/>
      <c r="K266" s="255"/>
      <c r="L266" s="255"/>
      <c r="M266" s="255"/>
      <c r="N266" s="255"/>
    </row>
    <row r="267" spans="10:14" x14ac:dyDescent="0.25">
      <c r="J267" s="255"/>
      <c r="K267" s="255"/>
      <c r="L267" s="255"/>
      <c r="M267" s="255"/>
      <c r="N267" s="255"/>
    </row>
    <row r="268" spans="10:14" x14ac:dyDescent="0.25">
      <c r="J268" s="255"/>
      <c r="K268" s="255"/>
      <c r="L268" s="255"/>
      <c r="M268" s="255"/>
      <c r="N268" s="255"/>
    </row>
    <row r="269" spans="10:14" x14ac:dyDescent="0.25">
      <c r="J269" s="255"/>
      <c r="K269" s="255"/>
      <c r="L269" s="255"/>
      <c r="M269" s="255"/>
      <c r="N269" s="255"/>
    </row>
    <row r="270" spans="10:14" x14ac:dyDescent="0.25">
      <c r="J270" s="255"/>
      <c r="K270" s="255"/>
      <c r="L270" s="255"/>
      <c r="M270" s="255"/>
      <c r="N270" s="255"/>
    </row>
    <row r="271" spans="10:14" x14ac:dyDescent="0.25">
      <c r="J271" s="255"/>
      <c r="K271" s="255"/>
      <c r="L271" s="255"/>
      <c r="M271" s="255"/>
      <c r="N271" s="255"/>
    </row>
    <row r="272" spans="10:14" x14ac:dyDescent="0.25">
      <c r="J272" s="255"/>
      <c r="K272" s="255"/>
      <c r="L272" s="255"/>
      <c r="M272" s="255"/>
      <c r="N272" s="255"/>
    </row>
    <row r="273" spans="10:14" x14ac:dyDescent="0.25">
      <c r="J273" s="255"/>
      <c r="K273" s="255"/>
      <c r="L273" s="255"/>
      <c r="M273" s="255"/>
      <c r="N273" s="255"/>
    </row>
    <row r="274" spans="10:14" x14ac:dyDescent="0.25">
      <c r="J274" s="255"/>
      <c r="K274" s="255"/>
      <c r="L274" s="255"/>
      <c r="M274" s="255"/>
      <c r="N274" s="255"/>
    </row>
    <row r="275" spans="10:14" x14ac:dyDescent="0.25">
      <c r="J275" s="255"/>
      <c r="K275" s="255"/>
      <c r="L275" s="255"/>
      <c r="M275" s="255"/>
      <c r="N275" s="255"/>
    </row>
    <row r="276" spans="10:14" x14ac:dyDescent="0.25">
      <c r="J276" s="255"/>
      <c r="K276" s="255"/>
      <c r="L276" s="255"/>
      <c r="M276" s="255"/>
      <c r="N276" s="255"/>
    </row>
    <row r="277" spans="10:14" x14ac:dyDescent="0.25">
      <c r="J277" s="255"/>
      <c r="K277" s="255"/>
      <c r="L277" s="255"/>
      <c r="M277" s="255"/>
      <c r="N277" s="255"/>
    </row>
    <row r="278" spans="10:14" x14ac:dyDescent="0.25">
      <c r="J278" s="255"/>
      <c r="K278" s="255"/>
      <c r="L278" s="255"/>
      <c r="M278" s="255"/>
      <c r="N278" s="255"/>
    </row>
    <row r="279" spans="10:14" x14ac:dyDescent="0.25">
      <c r="J279" s="255"/>
      <c r="K279" s="255"/>
      <c r="L279" s="255"/>
      <c r="M279" s="255"/>
      <c r="N279" s="255"/>
    </row>
    <row r="280" spans="10:14" x14ac:dyDescent="0.25">
      <c r="J280" s="255"/>
      <c r="K280" s="255"/>
      <c r="L280" s="255"/>
      <c r="M280" s="255"/>
      <c r="N280" s="255"/>
    </row>
    <row r="281" spans="10:14" x14ac:dyDescent="0.25">
      <c r="J281" s="255"/>
      <c r="K281" s="255"/>
      <c r="L281" s="255"/>
      <c r="M281" s="255"/>
      <c r="N281" s="255"/>
    </row>
    <row r="282" spans="10:14" x14ac:dyDescent="0.25">
      <c r="J282" s="255"/>
      <c r="K282" s="255"/>
      <c r="L282" s="255"/>
      <c r="M282" s="255"/>
      <c r="N282" s="255"/>
    </row>
    <row r="283" spans="10:14" x14ac:dyDescent="0.25">
      <c r="J283" s="255"/>
      <c r="K283" s="255"/>
      <c r="L283" s="255"/>
      <c r="M283" s="255"/>
      <c r="N283" s="255"/>
    </row>
    <row r="284" spans="10:14" x14ac:dyDescent="0.25">
      <c r="J284" s="255"/>
      <c r="K284" s="255"/>
      <c r="L284" s="255"/>
      <c r="M284" s="255"/>
      <c r="N284" s="255"/>
    </row>
    <row r="285" spans="10:14" x14ac:dyDescent="0.25">
      <c r="J285" s="255"/>
      <c r="K285" s="255"/>
      <c r="L285" s="255"/>
      <c r="M285" s="255"/>
      <c r="N285" s="255"/>
    </row>
    <row r="286" spans="10:14" x14ac:dyDescent="0.25">
      <c r="J286" s="255"/>
      <c r="K286" s="255"/>
      <c r="L286" s="255"/>
      <c r="M286" s="255"/>
      <c r="N286" s="255"/>
    </row>
    <row r="287" spans="10:14" x14ac:dyDescent="0.25">
      <c r="J287" s="255"/>
      <c r="K287" s="255"/>
      <c r="L287" s="255"/>
      <c r="M287" s="255"/>
      <c r="N287" s="255"/>
    </row>
    <row r="288" spans="10:14" x14ac:dyDescent="0.25">
      <c r="J288" s="255"/>
      <c r="K288" s="255"/>
      <c r="L288" s="255"/>
      <c r="M288" s="255"/>
      <c r="N288" s="255"/>
    </row>
    <row r="289" spans="10:14" x14ac:dyDescent="0.25">
      <c r="J289" s="255"/>
      <c r="K289" s="255"/>
      <c r="L289" s="255"/>
      <c r="M289" s="255"/>
      <c r="N289" s="255"/>
    </row>
    <row r="290" spans="10:14" x14ac:dyDescent="0.25">
      <c r="J290" s="255"/>
      <c r="K290" s="255"/>
      <c r="L290" s="255"/>
      <c r="M290" s="255"/>
      <c r="N290" s="255"/>
    </row>
    <row r="291" spans="10:14" x14ac:dyDescent="0.25">
      <c r="J291" s="255"/>
      <c r="K291" s="255"/>
      <c r="L291" s="255"/>
      <c r="M291" s="255"/>
      <c r="N291" s="255"/>
    </row>
    <row r="292" spans="10:14" x14ac:dyDescent="0.25">
      <c r="J292" s="255"/>
      <c r="K292" s="255"/>
      <c r="L292" s="255"/>
      <c r="M292" s="255"/>
      <c r="N292" s="255"/>
    </row>
    <row r="293" spans="10:14" x14ac:dyDescent="0.25">
      <c r="J293" s="255"/>
      <c r="K293" s="255"/>
      <c r="L293" s="255"/>
      <c r="M293" s="255"/>
      <c r="N293" s="255"/>
    </row>
    <row r="294" spans="10:14" x14ac:dyDescent="0.25">
      <c r="J294" s="255"/>
      <c r="K294" s="255"/>
      <c r="L294" s="255"/>
      <c r="M294" s="255"/>
      <c r="N294" s="255"/>
    </row>
    <row r="295" spans="10:14" x14ac:dyDescent="0.25">
      <c r="J295" s="255"/>
      <c r="K295" s="255"/>
      <c r="L295" s="255"/>
      <c r="M295" s="255"/>
      <c r="N295" s="255"/>
    </row>
    <row r="296" spans="10:14" x14ac:dyDescent="0.25">
      <c r="J296" s="255"/>
      <c r="K296" s="255"/>
      <c r="L296" s="255"/>
      <c r="M296" s="255"/>
      <c r="N296" s="255"/>
    </row>
    <row r="297" spans="10:14" x14ac:dyDescent="0.25">
      <c r="J297" s="255"/>
      <c r="K297" s="255"/>
      <c r="L297" s="255"/>
      <c r="M297" s="255"/>
      <c r="N297" s="255"/>
    </row>
    <row r="298" spans="10:14" x14ac:dyDescent="0.25">
      <c r="J298" s="255"/>
      <c r="K298" s="255"/>
      <c r="L298" s="255"/>
      <c r="M298" s="255"/>
      <c r="N298" s="255"/>
    </row>
    <row r="299" spans="10:14" x14ac:dyDescent="0.25">
      <c r="J299" s="255"/>
      <c r="K299" s="255"/>
      <c r="L299" s="255"/>
      <c r="M299" s="255"/>
      <c r="N299" s="255"/>
    </row>
    <row r="300" spans="10:14" x14ac:dyDescent="0.25">
      <c r="J300" s="255"/>
      <c r="K300" s="255"/>
      <c r="L300" s="255"/>
      <c r="M300" s="255"/>
      <c r="N300" s="255"/>
    </row>
    <row r="301" spans="10:14" x14ac:dyDescent="0.25">
      <c r="J301" s="255"/>
      <c r="K301" s="255"/>
      <c r="L301" s="255"/>
      <c r="M301" s="255"/>
      <c r="N301" s="255"/>
    </row>
    <row r="302" spans="10:14" x14ac:dyDescent="0.25">
      <c r="J302" s="255"/>
      <c r="K302" s="255"/>
      <c r="L302" s="255"/>
      <c r="M302" s="255"/>
      <c r="N302" s="255"/>
    </row>
    <row r="303" spans="10:14" x14ac:dyDescent="0.25">
      <c r="J303" s="255"/>
      <c r="K303" s="255"/>
      <c r="L303" s="255"/>
      <c r="M303" s="255"/>
      <c r="N303" s="255"/>
    </row>
    <row r="304" spans="10:14" x14ac:dyDescent="0.25">
      <c r="J304" s="255"/>
      <c r="K304" s="255"/>
      <c r="L304" s="255"/>
      <c r="M304" s="255"/>
      <c r="N304" s="255"/>
    </row>
    <row r="305" spans="10:14" x14ac:dyDescent="0.25">
      <c r="J305" s="255"/>
      <c r="K305" s="255"/>
      <c r="L305" s="255"/>
      <c r="M305" s="255"/>
      <c r="N305" s="255"/>
    </row>
    <row r="306" spans="10:14" x14ac:dyDescent="0.25">
      <c r="J306" s="255"/>
      <c r="K306" s="255"/>
      <c r="L306" s="255"/>
      <c r="M306" s="255"/>
      <c r="N306" s="255"/>
    </row>
    <row r="307" spans="10:14" x14ac:dyDescent="0.25">
      <c r="J307" s="255"/>
      <c r="K307" s="255"/>
      <c r="L307" s="255"/>
      <c r="M307" s="255"/>
      <c r="N307" s="255"/>
    </row>
    <row r="308" spans="10:14" x14ac:dyDescent="0.25">
      <c r="J308" s="255"/>
      <c r="K308" s="255"/>
      <c r="L308" s="255"/>
      <c r="M308" s="255"/>
      <c r="N308" s="255"/>
    </row>
    <row r="309" spans="10:14" x14ac:dyDescent="0.25">
      <c r="J309" s="255"/>
      <c r="K309" s="255"/>
      <c r="L309" s="255"/>
      <c r="M309" s="255"/>
      <c r="N309" s="255"/>
    </row>
    <row r="310" spans="10:14" x14ac:dyDescent="0.25">
      <c r="J310" s="255"/>
      <c r="K310" s="255"/>
      <c r="L310" s="255"/>
      <c r="M310" s="255"/>
      <c r="N310" s="255"/>
    </row>
    <row r="311" spans="10:14" x14ac:dyDescent="0.25">
      <c r="J311" s="255"/>
      <c r="K311" s="255"/>
      <c r="L311" s="255"/>
      <c r="M311" s="255"/>
      <c r="N311" s="255"/>
    </row>
    <row r="312" spans="10:14" x14ac:dyDescent="0.25">
      <c r="J312" s="255"/>
      <c r="K312" s="255"/>
      <c r="L312" s="255"/>
      <c r="M312" s="255"/>
      <c r="N312" s="255"/>
    </row>
    <row r="313" spans="10:14" x14ac:dyDescent="0.25">
      <c r="J313" s="255"/>
      <c r="K313" s="255"/>
      <c r="L313" s="255"/>
      <c r="M313" s="255"/>
      <c r="N313" s="255"/>
    </row>
    <row r="314" spans="10:14" x14ac:dyDescent="0.25">
      <c r="J314" s="255"/>
      <c r="K314" s="255"/>
      <c r="L314" s="255"/>
      <c r="M314" s="255"/>
      <c r="N314" s="255"/>
    </row>
    <row r="315" spans="10:14" x14ac:dyDescent="0.25">
      <c r="J315" s="255"/>
      <c r="K315" s="255"/>
      <c r="L315" s="255"/>
      <c r="M315" s="255"/>
      <c r="N315" s="255"/>
    </row>
    <row r="316" spans="10:14" x14ac:dyDescent="0.25">
      <c r="J316" s="255"/>
      <c r="K316" s="255"/>
      <c r="L316" s="255"/>
      <c r="M316" s="255"/>
      <c r="N316" s="255"/>
    </row>
    <row r="317" spans="10:14" x14ac:dyDescent="0.25">
      <c r="J317" s="255"/>
      <c r="K317" s="255"/>
      <c r="L317" s="255"/>
      <c r="M317" s="255"/>
      <c r="N317" s="255"/>
    </row>
    <row r="318" spans="10:14" x14ac:dyDescent="0.25">
      <c r="J318" s="255"/>
      <c r="K318" s="255"/>
      <c r="L318" s="255"/>
      <c r="M318" s="255"/>
      <c r="N318" s="255"/>
    </row>
    <row r="319" spans="10:14" x14ac:dyDescent="0.25">
      <c r="J319" s="255"/>
      <c r="K319" s="255"/>
      <c r="L319" s="255"/>
      <c r="M319" s="255"/>
      <c r="N319" s="255"/>
    </row>
    <row r="320" spans="10:14" x14ac:dyDescent="0.25">
      <c r="J320" s="255"/>
      <c r="K320" s="255"/>
      <c r="L320" s="255"/>
      <c r="M320" s="255"/>
      <c r="N320" s="255"/>
    </row>
    <row r="321" spans="10:14" x14ac:dyDescent="0.25">
      <c r="J321" s="255"/>
      <c r="K321" s="255"/>
      <c r="L321" s="255"/>
      <c r="M321" s="255"/>
      <c r="N321" s="255"/>
    </row>
    <row r="322" spans="10:14" x14ac:dyDescent="0.25">
      <c r="J322" s="255"/>
      <c r="K322" s="255"/>
      <c r="L322" s="255"/>
      <c r="M322" s="255"/>
      <c r="N322" s="255"/>
    </row>
    <row r="323" spans="10:14" x14ac:dyDescent="0.25">
      <c r="J323" s="255"/>
      <c r="K323" s="255"/>
      <c r="L323" s="255"/>
      <c r="M323" s="255"/>
      <c r="N323" s="255"/>
    </row>
    <row r="324" spans="10:14" x14ac:dyDescent="0.25">
      <c r="J324" s="255"/>
      <c r="K324" s="255"/>
      <c r="L324" s="255"/>
      <c r="M324" s="255"/>
      <c r="N324" s="255"/>
    </row>
    <row r="325" spans="10:14" x14ac:dyDescent="0.25">
      <c r="J325" s="255"/>
      <c r="K325" s="255"/>
      <c r="L325" s="255"/>
      <c r="M325" s="255"/>
      <c r="N325" s="255"/>
    </row>
    <row r="326" spans="10:14" x14ac:dyDescent="0.25">
      <c r="J326" s="255"/>
      <c r="K326" s="255"/>
      <c r="L326" s="255"/>
      <c r="M326" s="255"/>
      <c r="N326" s="255"/>
    </row>
    <row r="327" spans="10:14" x14ac:dyDescent="0.25">
      <c r="J327" s="255"/>
      <c r="K327" s="255"/>
      <c r="L327" s="255"/>
      <c r="M327" s="255"/>
      <c r="N327" s="255"/>
    </row>
    <row r="328" spans="10:14" x14ac:dyDescent="0.25">
      <c r="J328" s="255"/>
      <c r="K328" s="255"/>
      <c r="L328" s="255"/>
      <c r="M328" s="255"/>
      <c r="N328" s="255"/>
    </row>
    <row r="329" spans="10:14" x14ac:dyDescent="0.25">
      <c r="J329" s="255"/>
      <c r="K329" s="255"/>
      <c r="L329" s="255"/>
      <c r="M329" s="255"/>
      <c r="N329" s="255"/>
    </row>
    <row r="330" spans="10:14" x14ac:dyDescent="0.25">
      <c r="J330" s="255"/>
      <c r="K330" s="255"/>
      <c r="L330" s="255"/>
      <c r="M330" s="255"/>
      <c r="N330" s="255"/>
    </row>
    <row r="331" spans="10:14" x14ac:dyDescent="0.25">
      <c r="J331" s="255"/>
      <c r="K331" s="255"/>
      <c r="L331" s="255"/>
      <c r="M331" s="255"/>
      <c r="N331" s="255"/>
    </row>
    <row r="332" spans="10:14" x14ac:dyDescent="0.25">
      <c r="J332" s="255"/>
      <c r="K332" s="255"/>
      <c r="L332" s="255"/>
      <c r="M332" s="255"/>
      <c r="N332" s="255"/>
    </row>
    <row r="333" spans="10:14" x14ac:dyDescent="0.25">
      <c r="J333" s="255"/>
      <c r="K333" s="255"/>
      <c r="L333" s="255"/>
      <c r="M333" s="255"/>
      <c r="N333" s="255"/>
    </row>
    <row r="334" spans="10:14" x14ac:dyDescent="0.25">
      <c r="J334" s="255"/>
      <c r="K334" s="255"/>
      <c r="L334" s="255"/>
      <c r="M334" s="255"/>
      <c r="N334" s="255"/>
    </row>
    <row r="335" spans="10:14" x14ac:dyDescent="0.25">
      <c r="J335" s="255"/>
      <c r="K335" s="255"/>
      <c r="L335" s="255"/>
      <c r="M335" s="255"/>
      <c r="N335" s="255"/>
    </row>
    <row r="336" spans="10:14" x14ac:dyDescent="0.25">
      <c r="J336" s="255"/>
      <c r="K336" s="255"/>
      <c r="L336" s="255"/>
      <c r="M336" s="255"/>
      <c r="N336" s="255"/>
    </row>
    <row r="337" spans="10:14" x14ac:dyDescent="0.25">
      <c r="J337" s="255"/>
      <c r="K337" s="255"/>
      <c r="L337" s="255"/>
      <c r="M337" s="255"/>
      <c r="N337" s="255"/>
    </row>
    <row r="338" spans="10:14" x14ac:dyDescent="0.25">
      <c r="J338" s="255"/>
      <c r="K338" s="255"/>
      <c r="L338" s="255"/>
      <c r="M338" s="255"/>
      <c r="N338" s="255"/>
    </row>
    <row r="339" spans="10:14" x14ac:dyDescent="0.25">
      <c r="J339" s="255"/>
      <c r="K339" s="255"/>
      <c r="L339" s="255"/>
      <c r="M339" s="255"/>
      <c r="N339" s="255"/>
    </row>
    <row r="340" spans="10:14" x14ac:dyDescent="0.25">
      <c r="J340" s="255"/>
      <c r="K340" s="255"/>
      <c r="L340" s="255"/>
      <c r="M340" s="255"/>
      <c r="N340" s="255"/>
    </row>
    <row r="341" spans="10:14" x14ac:dyDescent="0.25">
      <c r="J341" s="255"/>
      <c r="K341" s="255"/>
      <c r="L341" s="255"/>
      <c r="M341" s="255"/>
      <c r="N341" s="255"/>
    </row>
    <row r="342" spans="10:14" x14ac:dyDescent="0.25">
      <c r="J342" s="255"/>
      <c r="K342" s="255"/>
      <c r="L342" s="255"/>
      <c r="M342" s="255"/>
      <c r="N342" s="255"/>
    </row>
    <row r="343" spans="10:14" x14ac:dyDescent="0.25">
      <c r="J343" s="255"/>
      <c r="K343" s="255"/>
      <c r="L343" s="255"/>
      <c r="M343" s="255"/>
      <c r="N343" s="255"/>
    </row>
    <row r="344" spans="10:14" x14ac:dyDescent="0.25">
      <c r="J344" s="255"/>
      <c r="K344" s="255"/>
      <c r="L344" s="255"/>
      <c r="M344" s="255"/>
      <c r="N344" s="255"/>
    </row>
    <row r="345" spans="10:14" x14ac:dyDescent="0.25">
      <c r="J345" s="255"/>
      <c r="K345" s="255"/>
      <c r="L345" s="255"/>
      <c r="M345" s="255"/>
      <c r="N345" s="255"/>
    </row>
    <row r="346" spans="10:14" x14ac:dyDescent="0.25">
      <c r="J346" s="255"/>
      <c r="K346" s="255"/>
      <c r="L346" s="255"/>
      <c r="M346" s="255"/>
      <c r="N346" s="255"/>
    </row>
    <row r="347" spans="10:14" x14ac:dyDescent="0.25">
      <c r="J347" s="255"/>
      <c r="K347" s="255"/>
      <c r="L347" s="255"/>
      <c r="M347" s="255"/>
      <c r="N347" s="255"/>
    </row>
    <row r="348" spans="10:14" x14ac:dyDescent="0.25">
      <c r="J348" s="255"/>
      <c r="K348" s="255"/>
      <c r="L348" s="255"/>
      <c r="M348" s="255"/>
      <c r="N348" s="255"/>
    </row>
    <row r="349" spans="10:14" x14ac:dyDescent="0.25">
      <c r="J349" s="255"/>
      <c r="K349" s="255"/>
      <c r="L349" s="255"/>
      <c r="M349" s="255"/>
      <c r="N349" s="255"/>
    </row>
    <row r="350" spans="10:14" x14ac:dyDescent="0.25">
      <c r="J350" s="255"/>
      <c r="K350" s="255"/>
      <c r="L350" s="255"/>
      <c r="M350" s="255"/>
      <c r="N350" s="255"/>
    </row>
    <row r="351" spans="10:14" x14ac:dyDescent="0.25">
      <c r="J351" s="255"/>
      <c r="K351" s="255"/>
      <c r="L351" s="255"/>
      <c r="M351" s="255"/>
      <c r="N351" s="255"/>
    </row>
    <row r="352" spans="10:14" x14ac:dyDescent="0.25">
      <c r="J352" s="255"/>
      <c r="K352" s="255"/>
      <c r="L352" s="255"/>
      <c r="M352" s="255"/>
      <c r="N352" s="255"/>
    </row>
    <row r="353" spans="10:14" x14ac:dyDescent="0.25">
      <c r="J353" s="255"/>
      <c r="K353" s="255"/>
      <c r="L353" s="255"/>
      <c r="M353" s="255"/>
      <c r="N353" s="255"/>
    </row>
    <row r="354" spans="10:14" x14ac:dyDescent="0.25">
      <c r="J354" s="255"/>
      <c r="K354" s="255"/>
      <c r="L354" s="255"/>
      <c r="M354" s="255"/>
      <c r="N354" s="255"/>
    </row>
    <row r="355" spans="10:14" x14ac:dyDescent="0.25">
      <c r="J355" s="255"/>
      <c r="K355" s="255"/>
      <c r="L355" s="255"/>
      <c r="M355" s="255"/>
      <c r="N355" s="255"/>
    </row>
    <row r="356" spans="10:14" x14ac:dyDescent="0.25">
      <c r="J356" s="255"/>
      <c r="K356" s="255"/>
      <c r="L356" s="255"/>
      <c r="M356" s="255"/>
      <c r="N356" s="255"/>
    </row>
    <row r="357" spans="10:14" x14ac:dyDescent="0.25">
      <c r="J357" s="255"/>
      <c r="K357" s="255"/>
      <c r="L357" s="255"/>
      <c r="M357" s="255"/>
      <c r="N357" s="255"/>
    </row>
    <row r="358" spans="10:14" x14ac:dyDescent="0.25">
      <c r="J358" s="255"/>
      <c r="K358" s="255"/>
      <c r="L358" s="255"/>
      <c r="M358" s="255"/>
      <c r="N358" s="255"/>
    </row>
    <row r="359" spans="10:14" x14ac:dyDescent="0.25">
      <c r="J359" s="255"/>
      <c r="K359" s="255"/>
      <c r="L359" s="255"/>
      <c r="M359" s="255"/>
      <c r="N359" s="255"/>
    </row>
    <row r="360" spans="10:14" x14ac:dyDescent="0.25">
      <c r="J360" s="255"/>
      <c r="K360" s="255"/>
      <c r="L360" s="255"/>
      <c r="M360" s="255"/>
      <c r="N360" s="255"/>
    </row>
    <row r="361" spans="10:14" x14ac:dyDescent="0.25">
      <c r="J361" s="255"/>
      <c r="K361" s="255"/>
      <c r="L361" s="255"/>
      <c r="M361" s="255"/>
      <c r="N361" s="255"/>
    </row>
    <row r="362" spans="10:14" x14ac:dyDescent="0.25">
      <c r="J362" s="255"/>
      <c r="K362" s="255"/>
      <c r="L362" s="255"/>
      <c r="M362" s="255"/>
      <c r="N362" s="255"/>
    </row>
    <row r="363" spans="10:14" x14ac:dyDescent="0.25">
      <c r="J363" s="255"/>
      <c r="K363" s="255"/>
      <c r="L363" s="255"/>
      <c r="M363" s="255"/>
      <c r="N363" s="255"/>
    </row>
    <row r="364" spans="10:14" x14ac:dyDescent="0.25">
      <c r="J364" s="255"/>
      <c r="K364" s="255"/>
      <c r="L364" s="255"/>
      <c r="M364" s="255"/>
      <c r="N364" s="255"/>
    </row>
    <row r="365" spans="10:14" x14ac:dyDescent="0.25">
      <c r="J365" s="255"/>
      <c r="K365" s="255"/>
      <c r="L365" s="255"/>
      <c r="M365" s="255"/>
      <c r="N365" s="255"/>
    </row>
    <row r="366" spans="10:14" x14ac:dyDescent="0.25">
      <c r="J366" s="255"/>
      <c r="K366" s="255"/>
      <c r="L366" s="255"/>
      <c r="M366" s="255"/>
      <c r="N366" s="255"/>
    </row>
    <row r="367" spans="10:14" x14ac:dyDescent="0.25">
      <c r="J367" s="255"/>
      <c r="K367" s="255"/>
      <c r="L367" s="255"/>
      <c r="M367" s="255"/>
      <c r="N367" s="255"/>
    </row>
    <row r="368" spans="10:14" x14ac:dyDescent="0.25">
      <c r="J368" s="255"/>
      <c r="K368" s="255"/>
      <c r="L368" s="255"/>
      <c r="M368" s="255"/>
      <c r="N368" s="255"/>
    </row>
    <row r="369" spans="10:14" x14ac:dyDescent="0.25">
      <c r="J369" s="255"/>
      <c r="K369" s="255"/>
      <c r="L369" s="255"/>
      <c r="M369" s="255"/>
      <c r="N369" s="255"/>
    </row>
    <row r="370" spans="10:14" x14ac:dyDescent="0.25">
      <c r="J370" s="255"/>
      <c r="K370" s="255"/>
      <c r="L370" s="255"/>
      <c r="M370" s="255"/>
      <c r="N370" s="255"/>
    </row>
    <row r="371" spans="10:14" x14ac:dyDescent="0.25">
      <c r="J371" s="255"/>
      <c r="K371" s="255"/>
      <c r="L371" s="255"/>
      <c r="M371" s="255"/>
      <c r="N371" s="255"/>
    </row>
    <row r="372" spans="10:14" x14ac:dyDescent="0.25">
      <c r="J372" s="255"/>
      <c r="K372" s="255"/>
      <c r="L372" s="255"/>
      <c r="M372" s="255"/>
      <c r="N372" s="255"/>
    </row>
    <row r="373" spans="10:14" x14ac:dyDescent="0.25">
      <c r="J373" s="255"/>
      <c r="K373" s="255"/>
      <c r="L373" s="255"/>
      <c r="M373" s="255"/>
      <c r="N373" s="255"/>
    </row>
    <row r="374" spans="10:14" x14ac:dyDescent="0.25">
      <c r="J374" s="255"/>
      <c r="K374" s="255"/>
      <c r="L374" s="255"/>
      <c r="M374" s="255"/>
      <c r="N374" s="255"/>
    </row>
    <row r="375" spans="10:14" x14ac:dyDescent="0.25">
      <c r="J375" s="255"/>
      <c r="K375" s="255"/>
      <c r="L375" s="255"/>
      <c r="M375" s="255"/>
      <c r="N375" s="255"/>
    </row>
    <row r="376" spans="10:14" x14ac:dyDescent="0.25">
      <c r="J376" s="255"/>
      <c r="K376" s="255"/>
      <c r="L376" s="255"/>
      <c r="M376" s="255"/>
      <c r="N376" s="255"/>
    </row>
    <row r="377" spans="10:14" x14ac:dyDescent="0.25">
      <c r="J377" s="255"/>
      <c r="K377" s="255"/>
      <c r="L377" s="255"/>
      <c r="M377" s="255"/>
      <c r="N377" s="255"/>
    </row>
    <row r="378" spans="10:14" x14ac:dyDescent="0.25">
      <c r="J378" s="255"/>
      <c r="K378" s="255"/>
      <c r="L378" s="255"/>
      <c r="M378" s="255"/>
      <c r="N378" s="255"/>
    </row>
    <row r="379" spans="10:14" x14ac:dyDescent="0.25">
      <c r="J379" s="255"/>
      <c r="K379" s="255"/>
      <c r="L379" s="255"/>
      <c r="M379" s="255"/>
      <c r="N379" s="255"/>
    </row>
    <row r="380" spans="10:14" x14ac:dyDescent="0.25">
      <c r="J380" s="255"/>
      <c r="K380" s="255"/>
      <c r="L380" s="255"/>
      <c r="M380" s="255"/>
      <c r="N380" s="255"/>
    </row>
    <row r="381" spans="10:14" x14ac:dyDescent="0.25">
      <c r="J381" s="255"/>
      <c r="K381" s="255"/>
      <c r="L381" s="255"/>
      <c r="M381" s="255"/>
      <c r="N381" s="255"/>
    </row>
    <row r="382" spans="10:14" x14ac:dyDescent="0.25">
      <c r="J382" s="255"/>
      <c r="K382" s="255"/>
      <c r="L382" s="255"/>
      <c r="M382" s="255"/>
      <c r="N382" s="255"/>
    </row>
    <row r="383" spans="10:14" x14ac:dyDescent="0.25">
      <c r="J383" s="255"/>
      <c r="K383" s="255"/>
      <c r="L383" s="255"/>
      <c r="M383" s="255"/>
      <c r="N383" s="255"/>
    </row>
    <row r="384" spans="10:14" x14ac:dyDescent="0.25">
      <c r="J384" s="255"/>
      <c r="K384" s="255"/>
      <c r="L384" s="255"/>
      <c r="M384" s="255"/>
      <c r="N384" s="255"/>
    </row>
    <row r="385" spans="10:14" x14ac:dyDescent="0.25">
      <c r="J385" s="255"/>
      <c r="K385" s="255"/>
      <c r="L385" s="255"/>
      <c r="M385" s="255"/>
      <c r="N385" s="255"/>
    </row>
    <row r="386" spans="10:14" x14ac:dyDescent="0.25">
      <c r="J386" s="255"/>
      <c r="K386" s="255"/>
      <c r="L386" s="255"/>
      <c r="M386" s="255"/>
      <c r="N386" s="255"/>
    </row>
    <row r="387" spans="10:14" x14ac:dyDescent="0.25">
      <c r="J387" s="255"/>
      <c r="K387" s="255"/>
      <c r="L387" s="255"/>
      <c r="M387" s="255"/>
      <c r="N387" s="255"/>
    </row>
    <row r="388" spans="10:14" x14ac:dyDescent="0.25">
      <c r="J388" s="255"/>
      <c r="K388" s="255"/>
      <c r="L388" s="255"/>
      <c r="M388" s="255"/>
      <c r="N388" s="255"/>
    </row>
    <row r="389" spans="10:14" x14ac:dyDescent="0.25">
      <c r="J389" s="255"/>
      <c r="K389" s="255"/>
      <c r="L389" s="255"/>
      <c r="M389" s="255"/>
      <c r="N389" s="255"/>
    </row>
    <row r="390" spans="10:14" x14ac:dyDescent="0.25">
      <c r="J390" s="255"/>
      <c r="K390" s="255"/>
      <c r="L390" s="255"/>
      <c r="M390" s="255"/>
      <c r="N390" s="255"/>
    </row>
    <row r="391" spans="10:14" x14ac:dyDescent="0.25">
      <c r="J391" s="255"/>
      <c r="K391" s="255"/>
      <c r="L391" s="255"/>
      <c r="M391" s="255"/>
      <c r="N391" s="255"/>
    </row>
    <row r="392" spans="10:14" x14ac:dyDescent="0.25">
      <c r="J392" s="255"/>
      <c r="K392" s="255"/>
      <c r="L392" s="255"/>
      <c r="M392" s="255"/>
      <c r="N392" s="255"/>
    </row>
    <row r="393" spans="10:14" x14ac:dyDescent="0.25">
      <c r="J393" s="255"/>
      <c r="K393" s="255"/>
      <c r="L393" s="255"/>
      <c r="M393" s="255"/>
      <c r="N393" s="255"/>
    </row>
    <row r="394" spans="10:14" x14ac:dyDescent="0.25">
      <c r="J394" s="255"/>
      <c r="K394" s="255"/>
      <c r="L394" s="255"/>
      <c r="M394" s="255"/>
      <c r="N394" s="255"/>
    </row>
    <row r="395" spans="10:14" x14ac:dyDescent="0.25">
      <c r="J395" s="255"/>
      <c r="K395" s="255"/>
      <c r="L395" s="255"/>
      <c r="M395" s="255"/>
      <c r="N395" s="255"/>
    </row>
    <row r="396" spans="10:14" x14ac:dyDescent="0.25">
      <c r="J396" s="255"/>
      <c r="K396" s="255"/>
      <c r="L396" s="255"/>
      <c r="M396" s="255"/>
      <c r="N396" s="255"/>
    </row>
    <row r="397" spans="10:14" x14ac:dyDescent="0.25">
      <c r="J397" s="255"/>
      <c r="K397" s="255"/>
      <c r="L397" s="255"/>
      <c r="M397" s="255"/>
      <c r="N397" s="255"/>
    </row>
    <row r="398" spans="10:14" x14ac:dyDescent="0.25">
      <c r="J398" s="255"/>
      <c r="K398" s="255"/>
      <c r="L398" s="255"/>
      <c r="M398" s="255"/>
      <c r="N398" s="255"/>
    </row>
    <row r="399" spans="10:14" x14ac:dyDescent="0.25">
      <c r="J399" s="255"/>
      <c r="K399" s="255"/>
      <c r="L399" s="255"/>
      <c r="M399" s="255"/>
      <c r="N399" s="255"/>
    </row>
    <row r="400" spans="10:14" x14ac:dyDescent="0.25">
      <c r="J400" s="255"/>
      <c r="K400" s="255"/>
      <c r="L400" s="255"/>
      <c r="M400" s="255"/>
      <c r="N400" s="255"/>
    </row>
    <row r="401" spans="10:14" x14ac:dyDescent="0.25">
      <c r="J401" s="255"/>
      <c r="K401" s="255"/>
      <c r="L401" s="255"/>
      <c r="M401" s="255"/>
      <c r="N401" s="255"/>
    </row>
    <row r="402" spans="10:14" x14ac:dyDescent="0.25">
      <c r="J402" s="255"/>
      <c r="K402" s="255"/>
      <c r="L402" s="255"/>
      <c r="M402" s="255"/>
      <c r="N402" s="255"/>
    </row>
    <row r="403" spans="10:14" x14ac:dyDescent="0.25">
      <c r="J403" s="255"/>
      <c r="K403" s="255"/>
      <c r="L403" s="255"/>
      <c r="M403" s="255"/>
      <c r="N403" s="255"/>
    </row>
    <row r="404" spans="10:14" x14ac:dyDescent="0.25">
      <c r="J404" s="255"/>
      <c r="K404" s="255"/>
      <c r="L404" s="255"/>
      <c r="M404" s="255"/>
      <c r="N404" s="255"/>
    </row>
    <row r="405" spans="10:14" x14ac:dyDescent="0.25">
      <c r="J405" s="255"/>
      <c r="K405" s="255"/>
      <c r="L405" s="255"/>
      <c r="M405" s="255"/>
      <c r="N405" s="255"/>
    </row>
    <row r="406" spans="10:14" x14ac:dyDescent="0.25">
      <c r="J406" s="255"/>
      <c r="K406" s="255"/>
      <c r="L406" s="255"/>
      <c r="M406" s="255"/>
      <c r="N406" s="255"/>
    </row>
    <row r="407" spans="10:14" x14ac:dyDescent="0.25">
      <c r="J407" s="255"/>
      <c r="K407" s="255"/>
      <c r="L407" s="255"/>
      <c r="M407" s="255"/>
      <c r="N407" s="255"/>
    </row>
    <row r="408" spans="10:14" x14ac:dyDescent="0.25">
      <c r="J408" s="255"/>
      <c r="K408" s="255"/>
      <c r="L408" s="255"/>
      <c r="M408" s="255"/>
      <c r="N408" s="255"/>
    </row>
    <row r="409" spans="10:14" x14ac:dyDescent="0.25">
      <c r="J409" s="255"/>
      <c r="K409" s="255"/>
      <c r="L409" s="255"/>
      <c r="M409" s="255"/>
      <c r="N409" s="255"/>
    </row>
    <row r="410" spans="10:14" x14ac:dyDescent="0.25">
      <c r="J410" s="255"/>
      <c r="K410" s="255"/>
      <c r="L410" s="255"/>
      <c r="M410" s="255"/>
      <c r="N410" s="255"/>
    </row>
    <row r="411" spans="10:14" x14ac:dyDescent="0.25">
      <c r="J411" s="255"/>
      <c r="K411" s="255"/>
      <c r="L411" s="255"/>
      <c r="M411" s="255"/>
      <c r="N411" s="255"/>
    </row>
    <row r="412" spans="10:14" x14ac:dyDescent="0.25">
      <c r="J412" s="255"/>
      <c r="K412" s="255"/>
      <c r="L412" s="255"/>
      <c r="M412" s="255"/>
      <c r="N412" s="255"/>
    </row>
    <row r="413" spans="10:14" x14ac:dyDescent="0.25">
      <c r="J413" s="255"/>
      <c r="K413" s="255"/>
      <c r="L413" s="255"/>
      <c r="M413" s="255"/>
      <c r="N413" s="255"/>
    </row>
    <row r="414" spans="10:14" x14ac:dyDescent="0.25">
      <c r="J414" s="255"/>
      <c r="K414" s="255"/>
      <c r="L414" s="255"/>
      <c r="M414" s="255"/>
      <c r="N414" s="255"/>
    </row>
    <row r="415" spans="10:14" x14ac:dyDescent="0.25">
      <c r="J415" s="255"/>
      <c r="K415" s="255"/>
      <c r="L415" s="255"/>
      <c r="M415" s="255"/>
      <c r="N415" s="255"/>
    </row>
    <row r="416" spans="10:14" x14ac:dyDescent="0.25">
      <c r="J416" s="255"/>
      <c r="K416" s="255"/>
      <c r="L416" s="255"/>
      <c r="M416" s="255"/>
      <c r="N416" s="255"/>
    </row>
    <row r="417" spans="10:14" x14ac:dyDescent="0.25">
      <c r="J417" s="255"/>
      <c r="K417" s="255"/>
      <c r="L417" s="255"/>
      <c r="M417" s="255"/>
      <c r="N417" s="255"/>
    </row>
    <row r="418" spans="10:14" x14ac:dyDescent="0.25">
      <c r="J418" s="255"/>
      <c r="K418" s="255"/>
      <c r="L418" s="255"/>
      <c r="M418" s="255"/>
      <c r="N418" s="255"/>
    </row>
    <row r="419" spans="10:14" x14ac:dyDescent="0.25">
      <c r="J419" s="255"/>
      <c r="K419" s="255"/>
      <c r="L419" s="255"/>
      <c r="M419" s="255"/>
      <c r="N419" s="255"/>
    </row>
    <row r="420" spans="10:14" x14ac:dyDescent="0.25">
      <c r="J420" s="255"/>
      <c r="K420" s="255"/>
      <c r="L420" s="255"/>
      <c r="M420" s="255"/>
      <c r="N420" s="255"/>
    </row>
    <row r="421" spans="10:14" x14ac:dyDescent="0.25">
      <c r="J421" s="255"/>
      <c r="K421" s="255"/>
      <c r="L421" s="255"/>
      <c r="M421" s="255"/>
      <c r="N421" s="255"/>
    </row>
    <row r="422" spans="10:14" x14ac:dyDescent="0.25">
      <c r="J422" s="255"/>
      <c r="K422" s="255"/>
      <c r="L422" s="255"/>
      <c r="M422" s="255"/>
      <c r="N422" s="255"/>
    </row>
    <row r="423" spans="10:14" x14ac:dyDescent="0.25">
      <c r="J423" s="255"/>
      <c r="K423" s="255"/>
      <c r="L423" s="255"/>
      <c r="M423" s="255"/>
      <c r="N423" s="255"/>
    </row>
    <row r="424" spans="10:14" x14ac:dyDescent="0.25">
      <c r="J424" s="255"/>
      <c r="K424" s="255"/>
      <c r="L424" s="255"/>
      <c r="M424" s="255"/>
      <c r="N424" s="255"/>
    </row>
    <row r="425" spans="10:14" x14ac:dyDescent="0.25">
      <c r="J425" s="255"/>
      <c r="K425" s="255"/>
      <c r="L425" s="255"/>
      <c r="M425" s="255"/>
      <c r="N425" s="255"/>
    </row>
    <row r="426" spans="10:14" x14ac:dyDescent="0.25">
      <c r="J426" s="255"/>
      <c r="K426" s="255"/>
      <c r="L426" s="255"/>
      <c r="M426" s="255"/>
      <c r="N426" s="255"/>
    </row>
    <row r="427" spans="10:14" x14ac:dyDescent="0.25">
      <c r="J427" s="255"/>
      <c r="K427" s="255"/>
      <c r="L427" s="255"/>
      <c r="M427" s="255"/>
      <c r="N427" s="255"/>
    </row>
    <row r="428" spans="10:14" x14ac:dyDescent="0.25">
      <c r="J428" s="255"/>
      <c r="K428" s="255"/>
      <c r="L428" s="255"/>
      <c r="M428" s="255"/>
      <c r="N428" s="255"/>
    </row>
    <row r="429" spans="10:14" x14ac:dyDescent="0.25">
      <c r="J429" s="255"/>
      <c r="K429" s="255"/>
      <c r="L429" s="255"/>
      <c r="M429" s="255"/>
      <c r="N429" s="255"/>
    </row>
    <row r="430" spans="10:14" x14ac:dyDescent="0.25">
      <c r="J430" s="255"/>
      <c r="K430" s="255"/>
      <c r="L430" s="255"/>
      <c r="M430" s="255"/>
      <c r="N430" s="255"/>
    </row>
    <row r="431" spans="10:14" x14ac:dyDescent="0.25">
      <c r="J431" s="255"/>
      <c r="K431" s="255"/>
      <c r="L431" s="255"/>
      <c r="M431" s="255"/>
      <c r="N431" s="255"/>
    </row>
    <row r="432" spans="10:14" x14ac:dyDescent="0.25">
      <c r="J432" s="255"/>
      <c r="K432" s="255"/>
      <c r="L432" s="255"/>
      <c r="M432" s="255"/>
      <c r="N432" s="255"/>
    </row>
    <row r="433" spans="10:14" x14ac:dyDescent="0.25">
      <c r="J433" s="255"/>
      <c r="K433" s="255"/>
      <c r="L433" s="255"/>
      <c r="M433" s="255"/>
      <c r="N433" s="255"/>
    </row>
    <row r="434" spans="10:14" x14ac:dyDescent="0.25">
      <c r="J434" s="255"/>
      <c r="K434" s="255"/>
      <c r="L434" s="255"/>
      <c r="M434" s="255"/>
      <c r="N434" s="255"/>
    </row>
    <row r="435" spans="10:14" x14ac:dyDescent="0.25">
      <c r="J435" s="255"/>
      <c r="K435" s="255"/>
      <c r="L435" s="255"/>
      <c r="M435" s="255"/>
      <c r="N435" s="255"/>
    </row>
    <row r="436" spans="10:14" x14ac:dyDescent="0.25">
      <c r="J436" s="255"/>
      <c r="K436" s="255"/>
      <c r="L436" s="255"/>
      <c r="M436" s="255"/>
      <c r="N436" s="255"/>
    </row>
    <row r="437" spans="10:14" x14ac:dyDescent="0.25">
      <c r="J437" s="255"/>
      <c r="K437" s="255"/>
      <c r="L437" s="255"/>
      <c r="M437" s="255"/>
      <c r="N437" s="255"/>
    </row>
    <row r="438" spans="10:14" x14ac:dyDescent="0.25">
      <c r="J438" s="255"/>
      <c r="K438" s="255"/>
      <c r="L438" s="255"/>
      <c r="M438" s="255"/>
      <c r="N438" s="255"/>
    </row>
    <row r="439" spans="10:14" x14ac:dyDescent="0.25">
      <c r="J439" s="255"/>
      <c r="K439" s="255"/>
      <c r="L439" s="255"/>
      <c r="M439" s="255"/>
      <c r="N439" s="255"/>
    </row>
    <row r="440" spans="10:14" x14ac:dyDescent="0.25">
      <c r="J440" s="255"/>
      <c r="K440" s="255"/>
      <c r="L440" s="255"/>
      <c r="M440" s="255"/>
      <c r="N440" s="255"/>
    </row>
    <row r="441" spans="10:14" x14ac:dyDescent="0.25">
      <c r="J441" s="255"/>
      <c r="K441" s="255"/>
      <c r="L441" s="255"/>
      <c r="M441" s="255"/>
      <c r="N441" s="255"/>
    </row>
    <row r="442" spans="10:14" x14ac:dyDescent="0.25">
      <c r="J442" s="255"/>
      <c r="K442" s="255"/>
      <c r="L442" s="255"/>
      <c r="M442" s="255"/>
      <c r="N442" s="255"/>
    </row>
    <row r="443" spans="10:14" x14ac:dyDescent="0.25">
      <c r="J443" s="255"/>
      <c r="K443" s="255"/>
      <c r="L443" s="255"/>
      <c r="M443" s="255"/>
      <c r="N443" s="255"/>
    </row>
    <row r="444" spans="10:14" x14ac:dyDescent="0.25">
      <c r="J444" s="255"/>
      <c r="K444" s="255"/>
      <c r="L444" s="255"/>
      <c r="M444" s="255"/>
      <c r="N444" s="255"/>
    </row>
    <row r="445" spans="10:14" x14ac:dyDescent="0.25">
      <c r="J445" s="255"/>
      <c r="K445" s="255"/>
      <c r="L445" s="255"/>
      <c r="M445" s="255"/>
      <c r="N445" s="255"/>
    </row>
    <row r="446" spans="10:14" x14ac:dyDescent="0.25">
      <c r="J446" s="255"/>
      <c r="K446" s="255"/>
      <c r="L446" s="255"/>
      <c r="M446" s="255"/>
      <c r="N446" s="255"/>
    </row>
    <row r="447" spans="10:14" x14ac:dyDescent="0.25">
      <c r="J447" s="255"/>
      <c r="K447" s="255"/>
      <c r="L447" s="255"/>
      <c r="M447" s="255"/>
      <c r="N447" s="255"/>
    </row>
    <row r="448" spans="10:14" x14ac:dyDescent="0.25">
      <c r="J448" s="255"/>
      <c r="K448" s="255"/>
      <c r="L448" s="255"/>
      <c r="M448" s="255"/>
      <c r="N448" s="255"/>
    </row>
    <row r="449" spans="10:14" x14ac:dyDescent="0.25">
      <c r="J449" s="255"/>
      <c r="K449" s="255"/>
      <c r="L449" s="255"/>
      <c r="M449" s="255"/>
      <c r="N449" s="255"/>
    </row>
    <row r="450" spans="10:14" x14ac:dyDescent="0.25">
      <c r="J450" s="255"/>
      <c r="K450" s="255"/>
      <c r="L450" s="255"/>
      <c r="M450" s="255"/>
      <c r="N450" s="255"/>
    </row>
    <row r="451" spans="10:14" x14ac:dyDescent="0.25">
      <c r="J451" s="255"/>
      <c r="K451" s="255"/>
      <c r="L451" s="255"/>
      <c r="M451" s="255"/>
      <c r="N451" s="255"/>
    </row>
    <row r="452" spans="10:14" x14ac:dyDescent="0.25">
      <c r="J452" s="255"/>
      <c r="K452" s="255"/>
      <c r="L452" s="255"/>
      <c r="M452" s="255"/>
      <c r="N452" s="255"/>
    </row>
    <row r="453" spans="10:14" x14ac:dyDescent="0.25">
      <c r="J453" s="255"/>
      <c r="K453" s="255"/>
      <c r="L453" s="255"/>
      <c r="M453" s="255"/>
      <c r="N453" s="255"/>
    </row>
    <row r="454" spans="10:14" x14ac:dyDescent="0.25">
      <c r="J454" s="255"/>
      <c r="K454" s="255"/>
      <c r="L454" s="255"/>
      <c r="M454" s="255"/>
      <c r="N454" s="255"/>
    </row>
    <row r="455" spans="10:14" x14ac:dyDescent="0.25">
      <c r="J455" s="255"/>
      <c r="K455" s="255"/>
      <c r="L455" s="255"/>
      <c r="M455" s="255"/>
      <c r="N455" s="255"/>
    </row>
    <row r="456" spans="10:14" x14ac:dyDescent="0.25">
      <c r="J456" s="255"/>
      <c r="K456" s="255"/>
      <c r="L456" s="255"/>
      <c r="M456" s="255"/>
      <c r="N456" s="255"/>
    </row>
    <row r="457" spans="10:14" x14ac:dyDescent="0.25">
      <c r="J457" s="255"/>
      <c r="K457" s="255"/>
      <c r="L457" s="255"/>
      <c r="M457" s="255"/>
      <c r="N457" s="255"/>
    </row>
    <row r="458" spans="10:14" x14ac:dyDescent="0.25">
      <c r="J458" s="255"/>
      <c r="K458" s="255"/>
      <c r="L458" s="255"/>
      <c r="M458" s="255"/>
      <c r="N458" s="255"/>
    </row>
    <row r="459" spans="10:14" x14ac:dyDescent="0.25">
      <c r="J459" s="255"/>
      <c r="K459" s="255"/>
      <c r="L459" s="255"/>
      <c r="M459" s="255"/>
      <c r="N459" s="255"/>
    </row>
    <row r="460" spans="10:14" x14ac:dyDescent="0.25">
      <c r="J460" s="255"/>
      <c r="K460" s="255"/>
      <c r="L460" s="255"/>
      <c r="M460" s="255"/>
      <c r="N460" s="255"/>
    </row>
    <row r="461" spans="10:14" x14ac:dyDescent="0.25">
      <c r="J461" s="255"/>
      <c r="K461" s="255"/>
      <c r="L461" s="255"/>
      <c r="M461" s="255"/>
      <c r="N461" s="255"/>
    </row>
    <row r="462" spans="10:14" x14ac:dyDescent="0.25">
      <c r="J462" s="255"/>
      <c r="K462" s="255"/>
      <c r="L462" s="255"/>
      <c r="M462" s="255"/>
      <c r="N462" s="255"/>
    </row>
    <row r="463" spans="10:14" x14ac:dyDescent="0.25">
      <c r="J463" s="255"/>
      <c r="K463" s="255"/>
      <c r="L463" s="255"/>
      <c r="M463" s="255"/>
      <c r="N463" s="255"/>
    </row>
    <row r="464" spans="10:14" x14ac:dyDescent="0.25">
      <c r="J464" s="255"/>
      <c r="K464" s="255"/>
      <c r="L464" s="255"/>
      <c r="M464" s="255"/>
      <c r="N464" s="255"/>
    </row>
    <row r="465" spans="10:14" x14ac:dyDescent="0.25">
      <c r="J465" s="255"/>
      <c r="K465" s="255"/>
      <c r="L465" s="255"/>
      <c r="M465" s="255"/>
      <c r="N465" s="255"/>
    </row>
    <row r="466" spans="10:14" x14ac:dyDescent="0.25">
      <c r="J466" s="255"/>
      <c r="K466" s="255"/>
      <c r="L466" s="255"/>
      <c r="M466" s="255"/>
      <c r="N466" s="255"/>
    </row>
    <row r="467" spans="10:14" x14ac:dyDescent="0.25">
      <c r="J467" s="255"/>
      <c r="K467" s="255"/>
      <c r="L467" s="255"/>
      <c r="M467" s="255"/>
      <c r="N467" s="255"/>
    </row>
    <row r="468" spans="10:14" x14ac:dyDescent="0.25">
      <c r="J468" s="255"/>
      <c r="K468" s="255"/>
      <c r="L468" s="255"/>
      <c r="M468" s="255"/>
      <c r="N468" s="255"/>
    </row>
    <row r="469" spans="10:14" x14ac:dyDescent="0.25">
      <c r="J469" s="255"/>
      <c r="K469" s="255"/>
      <c r="L469" s="255"/>
      <c r="M469" s="255"/>
      <c r="N469" s="255"/>
    </row>
    <row r="470" spans="10:14" x14ac:dyDescent="0.25">
      <c r="J470" s="255"/>
      <c r="K470" s="255"/>
      <c r="L470" s="255"/>
      <c r="M470" s="255"/>
      <c r="N470" s="255"/>
    </row>
    <row r="471" spans="10:14" x14ac:dyDescent="0.25">
      <c r="J471" s="255"/>
      <c r="K471" s="255"/>
      <c r="L471" s="255"/>
      <c r="M471" s="255"/>
      <c r="N471" s="255"/>
    </row>
    <row r="472" spans="10:14" x14ac:dyDescent="0.25">
      <c r="J472" s="255"/>
      <c r="K472" s="255"/>
      <c r="L472" s="255"/>
      <c r="M472" s="255"/>
      <c r="N472" s="255"/>
    </row>
    <row r="473" spans="10:14" x14ac:dyDescent="0.25">
      <c r="J473" s="255"/>
      <c r="K473" s="255"/>
      <c r="L473" s="255"/>
      <c r="M473" s="255"/>
      <c r="N473" s="255"/>
    </row>
    <row r="474" spans="10:14" x14ac:dyDescent="0.25">
      <c r="J474" s="255"/>
      <c r="K474" s="255"/>
      <c r="L474" s="255"/>
      <c r="M474" s="255"/>
      <c r="N474" s="255"/>
    </row>
    <row r="475" spans="10:14" x14ac:dyDescent="0.25">
      <c r="J475" s="255"/>
      <c r="K475" s="255"/>
      <c r="L475" s="255"/>
      <c r="M475" s="255"/>
      <c r="N475" s="255"/>
    </row>
    <row r="476" spans="10:14" x14ac:dyDescent="0.25">
      <c r="J476" s="255"/>
      <c r="K476" s="255"/>
      <c r="L476" s="255"/>
      <c r="M476" s="255"/>
      <c r="N476" s="255"/>
    </row>
    <row r="477" spans="10:14" x14ac:dyDescent="0.25">
      <c r="J477" s="255"/>
      <c r="K477" s="255"/>
      <c r="L477" s="255"/>
      <c r="M477" s="255"/>
      <c r="N477" s="255"/>
    </row>
    <row r="478" spans="10:14" x14ac:dyDescent="0.25">
      <c r="J478" s="255"/>
      <c r="K478" s="255"/>
      <c r="L478" s="255"/>
      <c r="M478" s="255"/>
      <c r="N478" s="255"/>
    </row>
    <row r="479" spans="10:14" x14ac:dyDescent="0.25">
      <c r="J479" s="255"/>
      <c r="K479" s="255"/>
      <c r="L479" s="255"/>
      <c r="M479" s="255"/>
      <c r="N479" s="255"/>
    </row>
    <row r="480" spans="10:14" x14ac:dyDescent="0.25">
      <c r="J480" s="255"/>
      <c r="K480" s="255"/>
      <c r="L480" s="255"/>
      <c r="M480" s="255"/>
      <c r="N480" s="255"/>
    </row>
    <row r="481" spans="10:14" x14ac:dyDescent="0.25">
      <c r="J481" s="255"/>
      <c r="K481" s="255"/>
      <c r="L481" s="255"/>
      <c r="M481" s="255"/>
      <c r="N481" s="255"/>
    </row>
    <row r="482" spans="10:14" x14ac:dyDescent="0.25">
      <c r="J482" s="255"/>
      <c r="K482" s="255"/>
      <c r="L482" s="255"/>
      <c r="M482" s="255"/>
      <c r="N482" s="255"/>
    </row>
    <row r="483" spans="10:14" x14ac:dyDescent="0.25">
      <c r="J483" s="255"/>
      <c r="K483" s="255"/>
      <c r="L483" s="255"/>
      <c r="M483" s="255"/>
      <c r="N483" s="255"/>
    </row>
    <row r="484" spans="10:14" x14ac:dyDescent="0.25">
      <c r="J484" s="255"/>
      <c r="K484" s="255"/>
      <c r="L484" s="255"/>
      <c r="M484" s="255"/>
      <c r="N484" s="255"/>
    </row>
    <row r="485" spans="10:14" x14ac:dyDescent="0.25">
      <c r="J485" s="255"/>
      <c r="K485" s="255"/>
      <c r="L485" s="255"/>
      <c r="M485" s="255"/>
      <c r="N485" s="255"/>
    </row>
    <row r="486" spans="10:14" x14ac:dyDescent="0.25">
      <c r="J486" s="255"/>
      <c r="K486" s="255"/>
      <c r="L486" s="255"/>
      <c r="M486" s="255"/>
      <c r="N486" s="255"/>
    </row>
    <row r="487" spans="10:14" x14ac:dyDescent="0.25">
      <c r="J487" s="255"/>
      <c r="K487" s="255"/>
      <c r="L487" s="255"/>
      <c r="M487" s="255"/>
      <c r="N487" s="255"/>
    </row>
    <row r="488" spans="10:14" x14ac:dyDescent="0.25">
      <c r="J488" s="255"/>
      <c r="K488" s="255"/>
      <c r="L488" s="255"/>
      <c r="M488" s="255"/>
      <c r="N488" s="255"/>
    </row>
    <row r="489" spans="10:14" x14ac:dyDescent="0.25">
      <c r="J489" s="255"/>
      <c r="K489" s="255"/>
      <c r="L489" s="255"/>
      <c r="M489" s="255"/>
      <c r="N489" s="255"/>
    </row>
    <row r="490" spans="10:14" x14ac:dyDescent="0.25">
      <c r="J490" s="255"/>
      <c r="K490" s="255"/>
      <c r="L490" s="255"/>
      <c r="M490" s="255"/>
      <c r="N490" s="255"/>
    </row>
    <row r="491" spans="10:14" x14ac:dyDescent="0.25">
      <c r="J491" s="255"/>
      <c r="K491" s="255"/>
      <c r="L491" s="255"/>
      <c r="M491" s="255"/>
      <c r="N491" s="255"/>
    </row>
    <row r="492" spans="10:14" x14ac:dyDescent="0.25">
      <c r="J492" s="255"/>
      <c r="K492" s="255"/>
      <c r="L492" s="255"/>
      <c r="M492" s="255"/>
      <c r="N492" s="255"/>
    </row>
    <row r="493" spans="10:14" x14ac:dyDescent="0.25">
      <c r="J493" s="255"/>
      <c r="K493" s="255"/>
      <c r="L493" s="255"/>
      <c r="M493" s="255"/>
      <c r="N493" s="255"/>
    </row>
    <row r="494" spans="10:14" x14ac:dyDescent="0.25">
      <c r="J494" s="255"/>
      <c r="K494" s="255"/>
      <c r="L494" s="255"/>
      <c r="M494" s="255"/>
      <c r="N494" s="255"/>
    </row>
    <row r="495" spans="10:14" x14ac:dyDescent="0.25">
      <c r="J495" s="255"/>
      <c r="K495" s="255"/>
      <c r="L495" s="255"/>
      <c r="M495" s="255"/>
      <c r="N495" s="255"/>
    </row>
    <row r="496" spans="10:14" x14ac:dyDescent="0.25">
      <c r="J496" s="255"/>
      <c r="K496" s="255"/>
      <c r="L496" s="255"/>
      <c r="M496" s="255"/>
      <c r="N496" s="255"/>
    </row>
    <row r="497" spans="10:14" x14ac:dyDescent="0.25">
      <c r="J497" s="255"/>
      <c r="K497" s="255"/>
      <c r="L497" s="255"/>
      <c r="M497" s="255"/>
      <c r="N497" s="255"/>
    </row>
    <row r="498" spans="10:14" x14ac:dyDescent="0.25">
      <c r="J498" s="255"/>
      <c r="K498" s="255"/>
      <c r="L498" s="255"/>
      <c r="M498" s="255"/>
      <c r="N498" s="255"/>
    </row>
    <row r="499" spans="10:14" x14ac:dyDescent="0.25">
      <c r="J499" s="255"/>
      <c r="K499" s="255"/>
      <c r="L499" s="255"/>
      <c r="M499" s="255"/>
      <c r="N499" s="255"/>
    </row>
    <row r="500" spans="10:14" x14ac:dyDescent="0.25">
      <c r="J500" s="255"/>
      <c r="K500" s="255"/>
      <c r="L500" s="255"/>
      <c r="M500" s="255"/>
      <c r="N500" s="255"/>
    </row>
    <row r="501" spans="10:14" x14ac:dyDescent="0.25">
      <c r="J501" s="255"/>
      <c r="K501" s="255"/>
      <c r="L501" s="255"/>
      <c r="M501" s="255"/>
      <c r="N501" s="255"/>
    </row>
    <row r="502" spans="10:14" x14ac:dyDescent="0.25">
      <c r="J502" s="255"/>
      <c r="K502" s="255"/>
      <c r="L502" s="255"/>
      <c r="M502" s="255"/>
      <c r="N502" s="255"/>
    </row>
    <row r="503" spans="10:14" x14ac:dyDescent="0.25">
      <c r="J503" s="255"/>
      <c r="K503" s="255"/>
      <c r="L503" s="255"/>
      <c r="M503" s="255"/>
      <c r="N503" s="255"/>
    </row>
    <row r="504" spans="10:14" x14ac:dyDescent="0.25">
      <c r="J504" s="255"/>
      <c r="K504" s="255"/>
      <c r="L504" s="255"/>
      <c r="M504" s="255"/>
      <c r="N504" s="255"/>
    </row>
    <row r="505" spans="10:14" x14ac:dyDescent="0.25">
      <c r="J505" s="255"/>
      <c r="K505" s="255"/>
      <c r="L505" s="255"/>
      <c r="M505" s="255"/>
      <c r="N505" s="255"/>
    </row>
    <row r="506" spans="10:14" x14ac:dyDescent="0.25">
      <c r="J506" s="255"/>
      <c r="K506" s="255"/>
      <c r="L506" s="255"/>
      <c r="M506" s="255"/>
      <c r="N506" s="255"/>
    </row>
    <row r="507" spans="10:14" x14ac:dyDescent="0.25">
      <c r="J507" s="255"/>
      <c r="K507" s="255"/>
      <c r="L507" s="255"/>
      <c r="M507" s="255"/>
      <c r="N507" s="255"/>
    </row>
    <row r="508" spans="10:14" x14ac:dyDescent="0.25">
      <c r="J508" s="255"/>
      <c r="K508" s="255"/>
      <c r="L508" s="255"/>
      <c r="M508" s="255"/>
      <c r="N508" s="255"/>
    </row>
    <row r="509" spans="10:14" x14ac:dyDescent="0.25">
      <c r="J509" s="255"/>
      <c r="K509" s="255"/>
      <c r="L509" s="255"/>
      <c r="M509" s="255"/>
      <c r="N509" s="255"/>
    </row>
    <row r="510" spans="10:14" x14ac:dyDescent="0.25">
      <c r="J510" s="255"/>
      <c r="K510" s="255"/>
      <c r="L510" s="255"/>
      <c r="M510" s="255"/>
      <c r="N510" s="255"/>
    </row>
    <row r="511" spans="10:14" x14ac:dyDescent="0.25">
      <c r="J511" s="255"/>
      <c r="K511" s="255"/>
      <c r="L511" s="255"/>
      <c r="M511" s="255"/>
      <c r="N511" s="255"/>
    </row>
    <row r="512" spans="10:14" x14ac:dyDescent="0.25">
      <c r="J512" s="255"/>
      <c r="K512" s="255"/>
      <c r="L512" s="255"/>
      <c r="M512" s="255"/>
      <c r="N512" s="255"/>
    </row>
    <row r="513" spans="10:14" x14ac:dyDescent="0.25">
      <c r="J513" s="255"/>
      <c r="K513" s="255"/>
      <c r="L513" s="255"/>
      <c r="M513" s="255"/>
      <c r="N513" s="255"/>
    </row>
    <row r="514" spans="10:14" x14ac:dyDescent="0.25">
      <c r="J514" s="255"/>
      <c r="K514" s="255"/>
      <c r="L514" s="255"/>
      <c r="M514" s="255"/>
      <c r="N514" s="255"/>
    </row>
    <row r="515" spans="10:14" x14ac:dyDescent="0.25">
      <c r="J515" s="255"/>
      <c r="K515" s="255"/>
      <c r="L515" s="255"/>
      <c r="M515" s="255"/>
      <c r="N515" s="255"/>
    </row>
    <row r="516" spans="10:14" x14ac:dyDescent="0.25">
      <c r="J516" s="255"/>
      <c r="K516" s="255"/>
      <c r="L516" s="255"/>
      <c r="M516" s="255"/>
      <c r="N516" s="255"/>
    </row>
    <row r="517" spans="10:14" x14ac:dyDescent="0.25">
      <c r="J517" s="255"/>
      <c r="K517" s="255"/>
      <c r="L517" s="255"/>
      <c r="M517" s="255"/>
      <c r="N517" s="255"/>
    </row>
    <row r="518" spans="10:14" x14ac:dyDescent="0.25">
      <c r="J518" s="255"/>
      <c r="K518" s="255"/>
      <c r="L518" s="255"/>
      <c r="M518" s="255"/>
      <c r="N518" s="255"/>
    </row>
    <row r="519" spans="10:14" x14ac:dyDescent="0.25">
      <c r="J519" s="255"/>
      <c r="K519" s="255"/>
      <c r="L519" s="255"/>
      <c r="M519" s="255"/>
      <c r="N519" s="255"/>
    </row>
    <row r="520" spans="10:14" x14ac:dyDescent="0.25">
      <c r="J520" s="255"/>
      <c r="K520" s="255"/>
      <c r="L520" s="255"/>
      <c r="M520" s="255"/>
      <c r="N520" s="255"/>
    </row>
    <row r="521" spans="10:14" x14ac:dyDescent="0.25">
      <c r="J521" s="255"/>
      <c r="K521" s="255"/>
      <c r="L521" s="255"/>
      <c r="M521" s="255"/>
      <c r="N521" s="255"/>
    </row>
    <row r="522" spans="10:14" x14ac:dyDescent="0.25">
      <c r="J522" s="255"/>
      <c r="K522" s="255"/>
      <c r="L522" s="255"/>
      <c r="M522" s="255"/>
      <c r="N522" s="255"/>
    </row>
    <row r="523" spans="10:14" x14ac:dyDescent="0.25">
      <c r="J523" s="255"/>
      <c r="K523" s="255"/>
      <c r="L523" s="255"/>
      <c r="M523" s="255"/>
      <c r="N523" s="255"/>
    </row>
    <row r="524" spans="10:14" x14ac:dyDescent="0.25">
      <c r="J524" s="255"/>
      <c r="K524" s="255"/>
      <c r="L524" s="255"/>
      <c r="M524" s="255"/>
      <c r="N524" s="255"/>
    </row>
    <row r="525" spans="10:14" x14ac:dyDescent="0.25">
      <c r="J525" s="255"/>
      <c r="K525" s="255"/>
      <c r="L525" s="255"/>
      <c r="M525" s="255"/>
      <c r="N525" s="255"/>
    </row>
    <row r="526" spans="10:14" x14ac:dyDescent="0.25">
      <c r="J526" s="255"/>
      <c r="K526" s="255"/>
      <c r="L526" s="255"/>
      <c r="M526" s="255"/>
      <c r="N526" s="255"/>
    </row>
    <row r="527" spans="10:14" x14ac:dyDescent="0.25">
      <c r="J527" s="255"/>
      <c r="K527" s="255"/>
      <c r="L527" s="255"/>
      <c r="M527" s="255"/>
      <c r="N527" s="255"/>
    </row>
    <row r="528" spans="10:14" x14ac:dyDescent="0.25">
      <c r="J528" s="255"/>
      <c r="K528" s="255"/>
      <c r="L528" s="255"/>
      <c r="M528" s="255"/>
      <c r="N528" s="255"/>
    </row>
    <row r="529" spans="10:14" x14ac:dyDescent="0.25">
      <c r="J529" s="255"/>
      <c r="K529" s="255"/>
      <c r="L529" s="255"/>
      <c r="M529" s="255"/>
      <c r="N529" s="255"/>
    </row>
    <row r="530" spans="10:14" x14ac:dyDescent="0.25">
      <c r="J530" s="255"/>
      <c r="K530" s="255"/>
      <c r="L530" s="255"/>
      <c r="M530" s="255"/>
      <c r="N530" s="255"/>
    </row>
    <row r="531" spans="10:14" x14ac:dyDescent="0.25">
      <c r="J531" s="255"/>
      <c r="K531" s="255"/>
      <c r="L531" s="255"/>
      <c r="M531" s="255"/>
      <c r="N531" s="255"/>
    </row>
    <row r="532" spans="10:14" x14ac:dyDescent="0.25">
      <c r="J532" s="255"/>
      <c r="K532" s="255"/>
      <c r="L532" s="255"/>
      <c r="M532" s="255"/>
      <c r="N532" s="255"/>
    </row>
    <row r="533" spans="10:14" x14ac:dyDescent="0.25">
      <c r="J533" s="255"/>
      <c r="K533" s="255"/>
      <c r="L533" s="255"/>
      <c r="M533" s="255"/>
      <c r="N533" s="255"/>
    </row>
    <row r="534" spans="10:14" x14ac:dyDescent="0.25">
      <c r="J534" s="255"/>
      <c r="K534" s="255"/>
      <c r="L534" s="255"/>
      <c r="M534" s="255"/>
      <c r="N534" s="255"/>
    </row>
    <row r="535" spans="10:14" x14ac:dyDescent="0.25">
      <c r="J535" s="255"/>
      <c r="K535" s="255"/>
      <c r="L535" s="255"/>
      <c r="M535" s="255"/>
      <c r="N535" s="255"/>
    </row>
    <row r="536" spans="10:14" x14ac:dyDescent="0.25">
      <c r="J536" s="255"/>
      <c r="K536" s="255"/>
      <c r="L536" s="255"/>
      <c r="M536" s="255"/>
      <c r="N536" s="255"/>
    </row>
    <row r="537" spans="10:14" x14ac:dyDescent="0.25">
      <c r="J537" s="255"/>
      <c r="K537" s="255"/>
      <c r="L537" s="255"/>
      <c r="M537" s="255"/>
      <c r="N537" s="255"/>
    </row>
    <row r="538" spans="10:14" x14ac:dyDescent="0.25">
      <c r="J538" s="255"/>
      <c r="K538" s="255"/>
      <c r="L538" s="255"/>
      <c r="M538" s="255"/>
      <c r="N538" s="255"/>
    </row>
    <row r="539" spans="10:14" x14ac:dyDescent="0.25">
      <c r="J539" s="255"/>
      <c r="K539" s="255"/>
      <c r="L539" s="255"/>
      <c r="M539" s="255"/>
      <c r="N539" s="255"/>
    </row>
    <row r="540" spans="10:14" x14ac:dyDescent="0.25">
      <c r="J540" s="255"/>
      <c r="K540" s="255"/>
      <c r="L540" s="255"/>
      <c r="M540" s="255"/>
      <c r="N540" s="255"/>
    </row>
    <row r="541" spans="10:14" x14ac:dyDescent="0.25">
      <c r="J541" s="255"/>
      <c r="K541" s="255"/>
      <c r="L541" s="255"/>
      <c r="M541" s="255"/>
      <c r="N541" s="255"/>
    </row>
    <row r="542" spans="10:14" x14ac:dyDescent="0.25">
      <c r="J542" s="255"/>
      <c r="K542" s="255"/>
      <c r="L542" s="255"/>
      <c r="M542" s="255"/>
      <c r="N542" s="255"/>
    </row>
    <row r="543" spans="10:14" x14ac:dyDescent="0.25">
      <c r="J543" s="255"/>
      <c r="K543" s="255"/>
      <c r="L543" s="255"/>
      <c r="M543" s="255"/>
      <c r="N543" s="255"/>
    </row>
    <row r="544" spans="10:14" x14ac:dyDescent="0.25">
      <c r="J544" s="255"/>
      <c r="K544" s="255"/>
      <c r="L544" s="255"/>
      <c r="M544" s="255"/>
      <c r="N544" s="255"/>
    </row>
    <row r="545" spans="10:14" x14ac:dyDescent="0.25">
      <c r="J545" s="255"/>
      <c r="K545" s="255"/>
      <c r="L545" s="255"/>
      <c r="M545" s="255"/>
      <c r="N545" s="255"/>
    </row>
    <row r="546" spans="10:14" x14ac:dyDescent="0.25">
      <c r="J546" s="255"/>
      <c r="K546" s="255"/>
      <c r="L546" s="255"/>
      <c r="M546" s="255"/>
      <c r="N546" s="255"/>
    </row>
    <row r="547" spans="10:14" x14ac:dyDescent="0.25">
      <c r="J547" s="255"/>
      <c r="K547" s="255"/>
      <c r="L547" s="255"/>
      <c r="M547" s="255"/>
      <c r="N547" s="255"/>
    </row>
    <row r="548" spans="10:14" x14ac:dyDescent="0.25">
      <c r="J548" s="255"/>
      <c r="K548" s="255"/>
      <c r="L548" s="255"/>
      <c r="M548" s="255"/>
      <c r="N548" s="255"/>
    </row>
    <row r="549" spans="10:14" x14ac:dyDescent="0.25">
      <c r="J549" s="255"/>
      <c r="K549" s="255"/>
      <c r="L549" s="255"/>
      <c r="M549" s="255"/>
      <c r="N549" s="255"/>
    </row>
    <row r="550" spans="10:14" x14ac:dyDescent="0.25">
      <c r="J550" s="255"/>
      <c r="K550" s="255"/>
      <c r="L550" s="255"/>
      <c r="M550" s="255"/>
      <c r="N550" s="255"/>
    </row>
    <row r="551" spans="10:14" x14ac:dyDescent="0.25">
      <c r="J551" s="255"/>
      <c r="K551" s="255"/>
      <c r="L551" s="255"/>
      <c r="M551" s="255"/>
      <c r="N551" s="255"/>
    </row>
    <row r="552" spans="10:14" x14ac:dyDescent="0.25">
      <c r="J552" s="255"/>
      <c r="K552" s="255"/>
      <c r="L552" s="255"/>
      <c r="M552" s="255"/>
      <c r="N552" s="255"/>
    </row>
    <row r="553" spans="10:14" x14ac:dyDescent="0.25">
      <c r="J553" s="255"/>
      <c r="K553" s="255"/>
      <c r="L553" s="255"/>
      <c r="M553" s="255"/>
      <c r="N553" s="255"/>
    </row>
    <row r="554" spans="10:14" x14ac:dyDescent="0.25">
      <c r="J554" s="255"/>
      <c r="K554" s="255"/>
      <c r="L554" s="255"/>
      <c r="M554" s="255"/>
      <c r="N554" s="255"/>
    </row>
    <row r="555" spans="10:14" x14ac:dyDescent="0.25">
      <c r="J555" s="255"/>
      <c r="K555" s="255"/>
      <c r="L555" s="255"/>
      <c r="M555" s="255"/>
      <c r="N555" s="255"/>
    </row>
    <row r="556" spans="10:14" x14ac:dyDescent="0.25">
      <c r="J556" s="255"/>
      <c r="K556" s="255"/>
      <c r="L556" s="255"/>
      <c r="M556" s="255"/>
      <c r="N556" s="255"/>
    </row>
    <row r="557" spans="10:14" x14ac:dyDescent="0.25">
      <c r="J557" s="255"/>
      <c r="K557" s="255"/>
      <c r="L557" s="255"/>
      <c r="M557" s="255"/>
      <c r="N557" s="255"/>
    </row>
    <row r="558" spans="10:14" x14ac:dyDescent="0.25">
      <c r="J558" s="255"/>
      <c r="K558" s="255"/>
      <c r="L558" s="255"/>
      <c r="M558" s="255"/>
      <c r="N558" s="255"/>
    </row>
    <row r="559" spans="10:14" x14ac:dyDescent="0.25">
      <c r="J559" s="255"/>
      <c r="K559" s="255"/>
      <c r="L559" s="255"/>
      <c r="M559" s="255"/>
      <c r="N559" s="255"/>
    </row>
    <row r="560" spans="10:14" x14ac:dyDescent="0.25">
      <c r="J560" s="255"/>
      <c r="K560" s="255"/>
      <c r="L560" s="255"/>
      <c r="M560" s="255"/>
      <c r="N560" s="255"/>
    </row>
    <row r="561" spans="10:14" x14ac:dyDescent="0.25">
      <c r="J561" s="255"/>
      <c r="K561" s="255"/>
      <c r="L561" s="255"/>
      <c r="M561" s="255"/>
      <c r="N561" s="255"/>
    </row>
    <row r="562" spans="10:14" x14ac:dyDescent="0.25">
      <c r="J562" s="255"/>
      <c r="K562" s="255"/>
      <c r="L562" s="255"/>
      <c r="M562" s="255"/>
      <c r="N562" s="255"/>
    </row>
    <row r="563" spans="10:14" x14ac:dyDescent="0.25">
      <c r="J563" s="255"/>
      <c r="K563" s="255"/>
      <c r="L563" s="255"/>
      <c r="M563" s="255"/>
      <c r="N563" s="255"/>
    </row>
    <row r="564" spans="10:14" x14ac:dyDescent="0.25">
      <c r="J564" s="255"/>
      <c r="K564" s="255"/>
      <c r="L564" s="255"/>
      <c r="M564" s="255"/>
      <c r="N564" s="255"/>
    </row>
    <row r="565" spans="10:14" x14ac:dyDescent="0.25">
      <c r="J565" s="255"/>
      <c r="K565" s="255"/>
      <c r="L565" s="255"/>
      <c r="M565" s="255"/>
      <c r="N565" s="255"/>
    </row>
    <row r="566" spans="10:14" x14ac:dyDescent="0.25">
      <c r="J566" s="255"/>
      <c r="K566" s="255"/>
      <c r="L566" s="255"/>
      <c r="M566" s="255"/>
      <c r="N566" s="255"/>
    </row>
    <row r="567" spans="10:14" x14ac:dyDescent="0.25">
      <c r="J567" s="255"/>
      <c r="K567" s="255"/>
      <c r="L567" s="255"/>
      <c r="M567" s="255"/>
      <c r="N567" s="255"/>
    </row>
    <row r="568" spans="10:14" x14ac:dyDescent="0.25">
      <c r="J568" s="255"/>
      <c r="K568" s="255"/>
      <c r="L568" s="255"/>
      <c r="M568" s="255"/>
      <c r="N568" s="255"/>
    </row>
    <row r="569" spans="10:14" x14ac:dyDescent="0.25">
      <c r="J569" s="255"/>
      <c r="K569" s="255"/>
      <c r="L569" s="255"/>
      <c r="M569" s="255"/>
      <c r="N569" s="255"/>
    </row>
    <row r="570" spans="10:14" x14ac:dyDescent="0.25">
      <c r="J570" s="255"/>
      <c r="K570" s="255"/>
      <c r="L570" s="255"/>
      <c r="M570" s="255"/>
      <c r="N570" s="255"/>
    </row>
    <row r="571" spans="10:14" x14ac:dyDescent="0.25">
      <c r="J571" s="255"/>
      <c r="K571" s="255"/>
      <c r="L571" s="255"/>
      <c r="M571" s="255"/>
      <c r="N571" s="255"/>
    </row>
    <row r="572" spans="10:14" x14ac:dyDescent="0.25">
      <c r="J572" s="255"/>
      <c r="K572" s="255"/>
      <c r="L572" s="255"/>
      <c r="M572" s="255"/>
      <c r="N572" s="255"/>
    </row>
    <row r="573" spans="10:14" x14ac:dyDescent="0.25">
      <c r="J573" s="255"/>
      <c r="K573" s="255"/>
      <c r="L573" s="255"/>
      <c r="M573" s="255"/>
      <c r="N573" s="255"/>
    </row>
    <row r="574" spans="10:14" x14ac:dyDescent="0.25">
      <c r="J574" s="255"/>
      <c r="K574" s="255"/>
      <c r="L574" s="255"/>
      <c r="M574" s="255"/>
      <c r="N574" s="255"/>
    </row>
    <row r="575" spans="10:14" x14ac:dyDescent="0.25">
      <c r="J575" s="255"/>
      <c r="K575" s="255"/>
      <c r="L575" s="255"/>
      <c r="M575" s="255"/>
      <c r="N575" s="255"/>
    </row>
    <row r="576" spans="10:14" x14ac:dyDescent="0.25">
      <c r="J576" s="255"/>
      <c r="K576" s="255"/>
      <c r="L576" s="255"/>
      <c r="M576" s="255"/>
      <c r="N576" s="255"/>
    </row>
    <row r="577" spans="10:14" x14ac:dyDescent="0.25">
      <c r="J577" s="255"/>
      <c r="K577" s="255"/>
      <c r="L577" s="255"/>
      <c r="M577" s="255"/>
      <c r="N577" s="255"/>
    </row>
    <row r="578" spans="10:14" x14ac:dyDescent="0.25">
      <c r="J578" s="255"/>
      <c r="K578" s="255"/>
      <c r="L578" s="255"/>
      <c r="M578" s="255"/>
      <c r="N578" s="255"/>
    </row>
    <row r="579" spans="10:14" x14ac:dyDescent="0.25">
      <c r="J579" s="255"/>
      <c r="K579" s="255"/>
      <c r="L579" s="255"/>
      <c r="M579" s="255"/>
      <c r="N579" s="255"/>
    </row>
    <row r="580" spans="10:14" x14ac:dyDescent="0.25">
      <c r="J580" s="255"/>
      <c r="K580" s="255"/>
      <c r="L580" s="255"/>
      <c r="M580" s="255"/>
      <c r="N580" s="255"/>
    </row>
    <row r="581" spans="10:14" x14ac:dyDescent="0.25">
      <c r="J581" s="255"/>
      <c r="K581" s="255"/>
      <c r="L581" s="255"/>
      <c r="M581" s="255"/>
      <c r="N581" s="255"/>
    </row>
    <row r="582" spans="10:14" x14ac:dyDescent="0.25">
      <c r="J582" s="255"/>
      <c r="K582" s="255"/>
      <c r="L582" s="255"/>
      <c r="M582" s="255"/>
      <c r="N582" s="255"/>
    </row>
    <row r="583" spans="10:14" x14ac:dyDescent="0.25">
      <c r="J583" s="255"/>
      <c r="K583" s="255"/>
      <c r="L583" s="255"/>
      <c r="M583" s="255"/>
      <c r="N583" s="255"/>
    </row>
    <row r="584" spans="10:14" x14ac:dyDescent="0.25">
      <c r="J584" s="255"/>
      <c r="K584" s="255"/>
      <c r="L584" s="255"/>
      <c r="M584" s="255"/>
      <c r="N584" s="255"/>
    </row>
    <row r="585" spans="10:14" x14ac:dyDescent="0.25">
      <c r="J585" s="255"/>
      <c r="K585" s="255"/>
      <c r="L585" s="255"/>
      <c r="M585" s="255"/>
      <c r="N585" s="255"/>
    </row>
    <row r="586" spans="10:14" x14ac:dyDescent="0.25">
      <c r="J586" s="255"/>
      <c r="K586" s="255"/>
      <c r="L586" s="255"/>
      <c r="M586" s="255"/>
      <c r="N586" s="255"/>
    </row>
    <row r="587" spans="10:14" x14ac:dyDescent="0.25">
      <c r="J587" s="255"/>
      <c r="K587" s="255"/>
      <c r="L587" s="255"/>
      <c r="M587" s="255"/>
      <c r="N587" s="255"/>
    </row>
    <row r="588" spans="10:14" x14ac:dyDescent="0.25">
      <c r="J588" s="255"/>
      <c r="K588" s="255"/>
      <c r="L588" s="255"/>
      <c r="M588" s="255"/>
      <c r="N588" s="255"/>
    </row>
    <row r="589" spans="10:14" x14ac:dyDescent="0.25">
      <c r="J589" s="255"/>
      <c r="K589" s="255"/>
      <c r="L589" s="255"/>
      <c r="M589" s="255"/>
      <c r="N589" s="255"/>
    </row>
    <row r="590" spans="10:14" x14ac:dyDescent="0.25">
      <c r="J590" s="255"/>
      <c r="K590" s="255"/>
      <c r="L590" s="255"/>
      <c r="M590" s="255"/>
      <c r="N590" s="255"/>
    </row>
    <row r="591" spans="10:14" x14ac:dyDescent="0.25">
      <c r="J591" s="255"/>
      <c r="K591" s="255"/>
      <c r="L591" s="255"/>
      <c r="M591" s="255"/>
      <c r="N591" s="255"/>
    </row>
    <row r="592" spans="10:14" x14ac:dyDescent="0.25">
      <c r="J592" s="255"/>
      <c r="K592" s="255"/>
      <c r="L592" s="255"/>
      <c r="M592" s="255"/>
      <c r="N592" s="255"/>
    </row>
    <row r="593" spans="10:14" x14ac:dyDescent="0.25">
      <c r="J593" s="255"/>
      <c r="K593" s="255"/>
      <c r="L593" s="255"/>
      <c r="M593" s="255"/>
      <c r="N593" s="255"/>
    </row>
    <row r="594" spans="10:14" x14ac:dyDescent="0.25">
      <c r="J594" s="255"/>
      <c r="K594" s="255"/>
      <c r="L594" s="255"/>
      <c r="M594" s="255"/>
      <c r="N594" s="255"/>
    </row>
    <row r="595" spans="10:14" x14ac:dyDescent="0.25">
      <c r="J595" s="255"/>
      <c r="K595" s="255"/>
      <c r="L595" s="255"/>
      <c r="M595" s="255"/>
      <c r="N595" s="255"/>
    </row>
    <row r="596" spans="10:14" x14ac:dyDescent="0.25">
      <c r="J596" s="255"/>
      <c r="K596" s="255"/>
      <c r="L596" s="255"/>
      <c r="M596" s="255"/>
      <c r="N596" s="255"/>
    </row>
    <row r="597" spans="10:14" x14ac:dyDescent="0.25">
      <c r="J597" s="255"/>
      <c r="K597" s="255"/>
      <c r="L597" s="255"/>
      <c r="M597" s="255"/>
      <c r="N597" s="255"/>
    </row>
    <row r="598" spans="10:14" x14ac:dyDescent="0.25">
      <c r="J598" s="255"/>
      <c r="K598" s="255"/>
      <c r="L598" s="255"/>
      <c r="M598" s="255"/>
      <c r="N598" s="255"/>
    </row>
    <row r="599" spans="10:14" x14ac:dyDescent="0.25">
      <c r="J599" s="255"/>
      <c r="K599" s="255"/>
      <c r="L599" s="255"/>
      <c r="M599" s="255"/>
      <c r="N599" s="255"/>
    </row>
    <row r="600" spans="10:14" x14ac:dyDescent="0.25">
      <c r="J600" s="255"/>
      <c r="K600" s="255"/>
      <c r="L600" s="255"/>
      <c r="M600" s="255"/>
      <c r="N600" s="255"/>
    </row>
    <row r="601" spans="10:14" x14ac:dyDescent="0.25">
      <c r="J601" s="255"/>
      <c r="K601" s="255"/>
      <c r="L601" s="255"/>
      <c r="M601" s="255"/>
      <c r="N601" s="255"/>
    </row>
    <row r="602" spans="10:14" x14ac:dyDescent="0.25">
      <c r="J602" s="255"/>
      <c r="K602" s="255"/>
      <c r="L602" s="255"/>
      <c r="M602" s="255"/>
      <c r="N602" s="255"/>
    </row>
    <row r="603" spans="10:14" x14ac:dyDescent="0.25">
      <c r="J603" s="255"/>
      <c r="K603" s="255"/>
      <c r="L603" s="255"/>
      <c r="M603" s="255"/>
      <c r="N603" s="255"/>
    </row>
    <row r="604" spans="10:14" x14ac:dyDescent="0.25">
      <c r="J604" s="255"/>
      <c r="K604" s="255"/>
      <c r="L604" s="255"/>
      <c r="M604" s="255"/>
      <c r="N604" s="255"/>
    </row>
    <row r="605" spans="10:14" x14ac:dyDescent="0.25">
      <c r="J605" s="255"/>
      <c r="K605" s="255"/>
      <c r="L605" s="255"/>
      <c r="M605" s="255"/>
      <c r="N605" s="255"/>
    </row>
    <row r="606" spans="10:14" x14ac:dyDescent="0.25">
      <c r="J606" s="255"/>
      <c r="K606" s="255"/>
      <c r="L606" s="255"/>
      <c r="M606" s="255"/>
      <c r="N606" s="255"/>
    </row>
    <row r="607" spans="10:14" x14ac:dyDescent="0.25">
      <c r="J607" s="255"/>
      <c r="K607" s="255"/>
      <c r="L607" s="255"/>
      <c r="M607" s="255"/>
      <c r="N607" s="255"/>
    </row>
    <row r="608" spans="10:14" x14ac:dyDescent="0.25">
      <c r="J608" s="255"/>
      <c r="K608" s="255"/>
      <c r="L608" s="255"/>
      <c r="M608" s="255"/>
      <c r="N608" s="255"/>
    </row>
    <row r="609" spans="10:14" x14ac:dyDescent="0.25">
      <c r="J609" s="255"/>
      <c r="K609" s="255"/>
      <c r="L609" s="255"/>
      <c r="M609" s="255"/>
      <c r="N609" s="255"/>
    </row>
    <row r="610" spans="10:14" x14ac:dyDescent="0.25">
      <c r="J610" s="255"/>
      <c r="K610" s="255"/>
      <c r="L610" s="255"/>
      <c r="M610" s="255"/>
      <c r="N610" s="255"/>
    </row>
    <row r="611" spans="10:14" x14ac:dyDescent="0.25">
      <c r="J611" s="255"/>
      <c r="K611" s="255"/>
      <c r="L611" s="255"/>
      <c r="M611" s="255"/>
      <c r="N611" s="255"/>
    </row>
    <row r="612" spans="10:14" x14ac:dyDescent="0.25">
      <c r="J612" s="255"/>
      <c r="K612" s="255"/>
      <c r="L612" s="255"/>
      <c r="M612" s="255"/>
      <c r="N612" s="255"/>
    </row>
    <row r="613" spans="10:14" x14ac:dyDescent="0.25">
      <c r="J613" s="255"/>
      <c r="K613" s="255"/>
      <c r="L613" s="255"/>
      <c r="M613" s="255"/>
      <c r="N613" s="255"/>
    </row>
    <row r="614" spans="10:14" x14ac:dyDescent="0.25">
      <c r="J614" s="255"/>
      <c r="K614" s="255"/>
      <c r="L614" s="255"/>
      <c r="M614" s="255"/>
      <c r="N614" s="255"/>
    </row>
    <row r="615" spans="10:14" x14ac:dyDescent="0.25">
      <c r="J615" s="255"/>
      <c r="K615" s="255"/>
      <c r="L615" s="255"/>
      <c r="M615" s="255"/>
      <c r="N615" s="255"/>
    </row>
    <row r="616" spans="10:14" x14ac:dyDescent="0.25">
      <c r="J616" s="255"/>
      <c r="K616" s="255"/>
      <c r="L616" s="255"/>
      <c r="M616" s="255"/>
      <c r="N616" s="255"/>
    </row>
    <row r="617" spans="10:14" x14ac:dyDescent="0.25">
      <c r="J617" s="255"/>
      <c r="K617" s="255"/>
      <c r="L617" s="255"/>
      <c r="M617" s="255"/>
      <c r="N617" s="255"/>
    </row>
    <row r="618" spans="10:14" x14ac:dyDescent="0.25">
      <c r="J618" s="255"/>
      <c r="K618" s="255"/>
      <c r="L618" s="255"/>
      <c r="M618" s="255"/>
      <c r="N618" s="255"/>
    </row>
    <row r="619" spans="10:14" x14ac:dyDescent="0.25">
      <c r="J619" s="255"/>
      <c r="K619" s="255"/>
      <c r="L619" s="255"/>
      <c r="M619" s="255"/>
      <c r="N619" s="255"/>
    </row>
    <row r="620" spans="10:14" x14ac:dyDescent="0.25">
      <c r="J620" s="255"/>
      <c r="K620" s="255"/>
      <c r="L620" s="255"/>
      <c r="M620" s="255"/>
      <c r="N620" s="255"/>
    </row>
    <row r="621" spans="10:14" x14ac:dyDescent="0.25">
      <c r="J621" s="255"/>
      <c r="K621" s="255"/>
      <c r="L621" s="255"/>
      <c r="M621" s="255"/>
      <c r="N621" s="255"/>
    </row>
    <row r="622" spans="10:14" x14ac:dyDescent="0.25">
      <c r="J622" s="255"/>
      <c r="K622" s="255"/>
      <c r="L622" s="255"/>
      <c r="M622" s="255"/>
      <c r="N622" s="255"/>
    </row>
    <row r="623" spans="10:14" x14ac:dyDescent="0.25">
      <c r="J623" s="255"/>
      <c r="K623" s="255"/>
      <c r="L623" s="255"/>
      <c r="M623" s="255"/>
      <c r="N623" s="255"/>
    </row>
    <row r="624" spans="10:14" x14ac:dyDescent="0.25">
      <c r="J624" s="255"/>
      <c r="K624" s="255"/>
      <c r="L624" s="255"/>
      <c r="M624" s="255"/>
      <c r="N624" s="255"/>
    </row>
    <row r="625" spans="10:14" x14ac:dyDescent="0.25">
      <c r="J625" s="255"/>
      <c r="K625" s="255"/>
      <c r="L625" s="255"/>
      <c r="M625" s="255"/>
      <c r="N625" s="255"/>
    </row>
    <row r="626" spans="10:14" x14ac:dyDescent="0.25">
      <c r="J626" s="255"/>
      <c r="K626" s="255"/>
      <c r="L626" s="255"/>
      <c r="M626" s="255"/>
      <c r="N626" s="255"/>
    </row>
    <row r="627" spans="10:14" x14ac:dyDescent="0.25">
      <c r="J627" s="255"/>
      <c r="K627" s="255"/>
      <c r="L627" s="255"/>
      <c r="M627" s="255"/>
      <c r="N627" s="255"/>
    </row>
    <row r="628" spans="10:14" x14ac:dyDescent="0.25">
      <c r="J628" s="255"/>
      <c r="K628" s="255"/>
      <c r="L628" s="255"/>
      <c r="M628" s="255"/>
      <c r="N628" s="255"/>
    </row>
    <row r="629" spans="10:14" x14ac:dyDescent="0.25">
      <c r="J629" s="255"/>
      <c r="K629" s="255"/>
      <c r="L629" s="255"/>
      <c r="M629" s="255"/>
      <c r="N629" s="255"/>
    </row>
    <row r="630" spans="10:14" x14ac:dyDescent="0.25">
      <c r="J630" s="255"/>
      <c r="K630" s="255"/>
      <c r="L630" s="255"/>
      <c r="M630" s="255"/>
      <c r="N630" s="255"/>
    </row>
    <row r="631" spans="10:14" x14ac:dyDescent="0.25">
      <c r="J631" s="255"/>
      <c r="K631" s="255"/>
      <c r="L631" s="255"/>
      <c r="M631" s="255"/>
      <c r="N631" s="255"/>
    </row>
    <row r="632" spans="10:14" x14ac:dyDescent="0.25">
      <c r="J632" s="255"/>
      <c r="K632" s="255"/>
      <c r="L632" s="255"/>
      <c r="M632" s="255"/>
      <c r="N632" s="255"/>
    </row>
    <row r="633" spans="10:14" x14ac:dyDescent="0.25">
      <c r="J633" s="255"/>
      <c r="K633" s="255"/>
      <c r="L633" s="255"/>
      <c r="M633" s="255"/>
      <c r="N633" s="255"/>
    </row>
    <row r="634" spans="10:14" x14ac:dyDescent="0.25">
      <c r="J634" s="255"/>
      <c r="K634" s="255"/>
      <c r="L634" s="255"/>
      <c r="M634" s="255"/>
      <c r="N634" s="255"/>
    </row>
    <row r="635" spans="10:14" x14ac:dyDescent="0.25">
      <c r="J635" s="255"/>
      <c r="K635" s="255"/>
      <c r="L635" s="255"/>
      <c r="M635" s="255"/>
      <c r="N635" s="255"/>
    </row>
    <row r="636" spans="10:14" x14ac:dyDescent="0.25">
      <c r="J636" s="255"/>
      <c r="K636" s="255"/>
      <c r="L636" s="255"/>
      <c r="M636" s="255"/>
      <c r="N636" s="255"/>
    </row>
    <row r="637" spans="10:14" x14ac:dyDescent="0.25">
      <c r="J637" s="255"/>
      <c r="K637" s="255"/>
      <c r="L637" s="255"/>
      <c r="M637" s="255"/>
      <c r="N637" s="255"/>
    </row>
    <row r="638" spans="10:14" x14ac:dyDescent="0.25">
      <c r="J638" s="255"/>
      <c r="K638" s="255"/>
      <c r="L638" s="255"/>
      <c r="M638" s="255"/>
      <c r="N638" s="255"/>
    </row>
    <row r="639" spans="10:14" x14ac:dyDescent="0.25">
      <c r="J639" s="255"/>
      <c r="K639" s="255"/>
      <c r="L639" s="255"/>
      <c r="M639" s="255"/>
      <c r="N639" s="255"/>
    </row>
    <row r="640" spans="10:14" x14ac:dyDescent="0.25">
      <c r="J640" s="255"/>
      <c r="K640" s="255"/>
      <c r="L640" s="255"/>
      <c r="M640" s="255"/>
      <c r="N640" s="255"/>
    </row>
    <row r="641" spans="10:14" x14ac:dyDescent="0.25">
      <c r="J641" s="255"/>
      <c r="K641" s="255"/>
      <c r="L641" s="255"/>
      <c r="M641" s="255"/>
      <c r="N641" s="255"/>
    </row>
    <row r="642" spans="10:14" x14ac:dyDescent="0.25">
      <c r="J642" s="255"/>
      <c r="K642" s="255"/>
      <c r="L642" s="255"/>
      <c r="M642" s="255"/>
      <c r="N642" s="255"/>
    </row>
    <row r="643" spans="10:14" x14ac:dyDescent="0.25">
      <c r="J643" s="255"/>
      <c r="K643" s="255"/>
      <c r="L643" s="255"/>
      <c r="M643" s="255"/>
      <c r="N643" s="255"/>
    </row>
  </sheetData>
  <sheetProtection algorithmName="SHA-512" hashValue="Aftwr74PxH/fuSkEuMEVzry3HOu8RZ2HvJEbnHGu8x3LTK3A2JOoFp8ZypQFFWruMSk4cz9Xzh3abZYkuInWFw==" saltValue="COSd0EEyWcMDvR8sb1IY2A==" spinCount="100000" sheet="1" objects="1" scenarios="1" formatCells="0" formatColumns="0" formatRows="0" insertColumns="0" insertRows="0" insertHyperlinks="0" deleteColumns="0" deleteRows="0" sort="0" autoFilter="0" pivotTables="0"/>
  <mergeCells count="12">
    <mergeCell ref="J5:N5"/>
    <mergeCell ref="M6:N6"/>
    <mergeCell ref="J39:N39"/>
    <mergeCell ref="M40:N40"/>
    <mergeCell ref="C39:C41"/>
    <mergeCell ref="C5:C7"/>
    <mergeCell ref="C2:H2"/>
    <mergeCell ref="C3:H3"/>
    <mergeCell ref="G6:H6"/>
    <mergeCell ref="G40:H40"/>
    <mergeCell ref="D5:H5"/>
    <mergeCell ref="D39:H39"/>
  </mergeCells>
  <printOptions horizontalCentered="1"/>
  <pageMargins left="0" right="0" top="0" bottom="0" header="0" footer="0"/>
  <pageSetup paperSize="9" scale="64" orientation="portrait" r:id="rId1"/>
  <ignoredErrors>
    <ignoredError sqref="D47:H4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AE2CRDQUTFAC-2123509798-1559</_dlc_DocId>
    <DataDePublicacao xmlns="ac26e13a-c3a6-41fe-a080-680c457ab7ba">2025-10-06T09:30:00+00:00</DataDePublicacao>
    <EstatisticaMonetariaFinanceira xmlns="ac26e13a-c3a6-41fe-a080-680c457ab7ba">false</EstatisticaMonetariaFinanceira>
    <Categoria xmlns="ac26e13a-c3a6-41fe-a080-680c457ab7ba">ECB_PICB_Sector de Actividades de Informação e de Comunicação</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http://172.20.42.86/sites/cms/_layouts/15/DocIdRedir.aspx?ID=AE2CRDQUTFAC-2123509798-1559</Url>
      <Description>AE2CRDQUTFAC-2123509798-1559</Description>
    </_dlc_DocIdUrl>
    <Idioma xmlns="ac26e13a-c3a6-41fe-a080-680c457ab7ba">Português</Idioma>
  </documentManagement>
</p:properties>
</file>

<file path=customXml/itemProps1.xml><?xml version="1.0" encoding="utf-8"?>
<ds:datastoreItem xmlns:ds="http://schemas.openxmlformats.org/officeDocument/2006/customXml" ds:itemID="{33FC9CED-1439-4E5E-9D80-311791AB2494}"/>
</file>

<file path=customXml/itemProps2.xml><?xml version="1.0" encoding="utf-8"?>
<ds:datastoreItem xmlns:ds="http://schemas.openxmlformats.org/officeDocument/2006/customXml" ds:itemID="{EF7D762E-F499-45D8-AD26-FA59B846C3FF}"/>
</file>

<file path=customXml/itemProps3.xml><?xml version="1.0" encoding="utf-8"?>
<ds:datastoreItem xmlns:ds="http://schemas.openxmlformats.org/officeDocument/2006/customXml" ds:itemID="{7672F249-09BF-4976-BA9F-6F02E897FFF2}"/>
</file>

<file path=customXml/itemProps4.xml><?xml version="1.0" encoding="utf-8"?>
<ds:datastoreItem xmlns:ds="http://schemas.openxmlformats.org/officeDocument/2006/customXml" ds:itemID="{1DD35055-6D7E-4624-82E1-65F8D88D7CB8}"/>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das Actividades de Informação e de Comunicação</dc:title>
  <dc:subject/>
  <dc:creator>Carla I. Ferreira</dc:creator>
  <cp:keywords/>
  <dc:description/>
  <cp:lastModifiedBy>Dongala Ramos Songue (DES)</cp:lastModifiedBy>
  <cp:lastPrinted>2023-08-18T08:49:05Z</cp:lastPrinted>
  <dcterms:created xsi:type="dcterms:W3CDTF">2021-03-08T17:35:21Z</dcterms:created>
  <dcterms:modified xsi:type="dcterms:W3CDTF">2026-01-12T20:24:55Z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b782f8e3-44cd-4c5d-9d6b-43bc99908acf</vt:lpwstr>
  </property>
</Properties>
</file>