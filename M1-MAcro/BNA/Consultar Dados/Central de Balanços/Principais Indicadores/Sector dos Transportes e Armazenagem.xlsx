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eLivro" hidePivotFieldList="1"/>
  <mc:AlternateContent xmlns:mc="http://schemas.openxmlformats.org/markup-compatibility/2006">
    <mc:Choice Requires="x15">
      <x15ac:absPath xmlns:x15ac="http://schemas.microsoft.com/office/spreadsheetml/2010/11/ac" url="C:\Users\DSONGUE\OneDrive - bna.ao\Ambiente de Trabalho\CPM JAN 2026\"/>
    </mc:Choice>
  </mc:AlternateContent>
  <xr:revisionPtr revIDLastSave="0" documentId="8_{1FD5838E-9F09-4525-B688-B5552A39CB7D}" xr6:coauthVersionLast="47" xr6:coauthVersionMax="47" xr10:uidLastSave="{00000000-0000-0000-0000-000000000000}"/>
  <workbookProtection workbookAlgorithmName="SHA-512" workbookHashValue="iOt7NJUTy5bRg4h6zFxweLKRPO4/Q/HWMNI932sY7NhsDgdEHUAExkjSAxC4lYi1sX+M1aHba70gOZ5YrwOiMg==" workbookSaltValue="gioSv5jge27q+2r+ZZ6/JQ==" workbookSpinCount="100000" lockStructure="1"/>
  <bookViews>
    <workbookView xWindow="-120" yWindow="-120" windowWidth="20730" windowHeight="11040" tabRatio="1000" firstSheet="1" activeTab="1" xr2:uid="{00000000-000D-0000-FFFF-FFFF00000000}"/>
  </bookViews>
  <sheets>
    <sheet name="Formulário - Rácios" sheetId="38" state="hidden" r:id="rId1"/>
    <sheet name="INDICADORES SECTORIAL" sheetId="47" r:id="rId2"/>
    <sheet name="PANORAMA SECTORIAL" sheetId="42" r:id="rId3"/>
  </sheets>
  <definedNames>
    <definedName name="_">#REF!</definedName>
    <definedName name="AREA_CENTRAL">#REF!</definedName>
    <definedName name="_xlnm.Print_Area" localSheetId="0">'Formulário - Rácios'!$A$1:$F$30</definedName>
    <definedName name="_xlnm.Print_Area" localSheetId="1">'INDICADORES SECTORIAL'!$A$1:$AB$78</definedName>
    <definedName name="_xlnm.Print_Area" localSheetId="2">'PANORAMA SECTORIAL'!$A$1:$I$65</definedName>
    <definedName name="AS2DocOpenMode" hidden="1">"AS2DocumentEdit"</definedName>
    <definedName name="CÂMBIO">#REF!</definedName>
    <definedName name="CÂNBIO">#REF!</definedName>
    <definedName name="Cira">#REF!</definedName>
    <definedName name="DONGALA" hidden="1">#REF!</definedName>
    <definedName name="DRS">#REF!</definedName>
    <definedName name="IndiceIPI">#REF!</definedName>
    <definedName name="Julho" hidden="1">#REF!</definedName>
    <definedName name="Mai_13">#REF!</definedName>
    <definedName name="mmmm" hidden="1">#REF!</definedName>
    <definedName name="qwqwe">#REF!</definedName>
    <definedName name="Saldo_Banco">#REF!</definedName>
    <definedName name="Setores">#REF!</definedName>
    <definedName name="sssss">#REF!</definedName>
    <definedName name="TAXA_USD">#REF!</definedName>
    <definedName name="XREF_COLUMN_1" hidden="1">#REF!</definedName>
    <definedName name="XREF_COLUMN_2" hidden="1">#REF!</definedName>
    <definedName name="XRefColumnsCount" hidden="1">2</definedName>
    <definedName name="XRefCopy2" hidden="1">#REF!</definedName>
    <definedName name="XRefCopy3" hidden="1">#REF!</definedName>
    <definedName name="XRefCopyRangeCount"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42" l="1"/>
  <c r="H64" i="42"/>
  <c r="G64" i="42"/>
  <c r="F64" i="42"/>
  <c r="E64" i="42"/>
  <c r="D64" i="42"/>
  <c r="H62" i="42"/>
  <c r="G62" i="42"/>
  <c r="F62" i="42"/>
  <c r="E62" i="42"/>
  <c r="D62" i="42"/>
  <c r="H60" i="42"/>
  <c r="G60" i="42"/>
  <c r="F60" i="42"/>
  <c r="E60" i="42"/>
  <c r="D60" i="42"/>
  <c r="H58" i="42"/>
  <c r="G58" i="42"/>
  <c r="F58" i="42"/>
  <c r="E58" i="42"/>
  <c r="D58" i="42"/>
  <c r="H54" i="42"/>
  <c r="G54" i="42"/>
  <c r="F54" i="42"/>
  <c r="E54" i="42"/>
  <c r="D54" i="42"/>
  <c r="H53" i="42"/>
  <c r="G53" i="42"/>
  <c r="F53" i="42"/>
  <c r="E53" i="42"/>
  <c r="D53" i="42"/>
  <c r="H47" i="42"/>
  <c r="G47" i="42"/>
  <c r="F47" i="42"/>
  <c r="E47" i="42"/>
  <c r="D47" i="42"/>
  <c r="H33" i="42"/>
  <c r="G33" i="42"/>
  <c r="F33" i="42"/>
  <c r="E33" i="42"/>
  <c r="D33" i="42"/>
  <c r="H27" i="42"/>
  <c r="G27" i="42"/>
  <c r="F27" i="42"/>
  <c r="E27" i="42"/>
  <c r="D27" i="42"/>
  <c r="H26" i="42"/>
  <c r="G26" i="42"/>
  <c r="F26" i="42"/>
  <c r="E26" i="42"/>
  <c r="D26" i="42"/>
  <c r="D24" i="42"/>
  <c r="H21" i="42"/>
  <c r="G21" i="42"/>
  <c r="F21" i="42"/>
  <c r="E21" i="42"/>
  <c r="D21" i="42"/>
  <c r="H20" i="42"/>
  <c r="G20" i="42"/>
  <c r="F20" i="42"/>
  <c r="E20" i="42"/>
  <c r="D20" i="42"/>
  <c r="H15" i="42"/>
  <c r="G15" i="42"/>
  <c r="F15" i="42"/>
  <c r="E15" i="42"/>
  <c r="D15" i="42"/>
  <c r="D10" i="42"/>
  <c r="H9" i="42"/>
  <c r="G9" i="42"/>
  <c r="F9" i="42"/>
  <c r="E9" i="42"/>
  <c r="D9" i="42"/>
  <c r="H8" i="42"/>
  <c r="G8" i="42"/>
  <c r="F8" i="42"/>
  <c r="E8"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DSONGUE\Desktop\PDS 31\Nova pasta\Kudu.accdb" keepAlive="1" name="Kudu"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dos_agregados_setores" commandType="3"/>
  </connection>
  <connection id="2" xr16:uid="{00000000-0015-0000-FFFF-FFFF01000000}" sourceFile="C:\Users\DSONGUE\Desktop\PDS 31\Nova pasta\Kudu.accdb" keepAlive="1" name="Kudu1"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B_total_descodifica" commandType="3"/>
  </connection>
</connections>
</file>

<file path=xl/sharedStrings.xml><?xml version="1.0" encoding="utf-8"?>
<sst xmlns="http://schemas.openxmlformats.org/spreadsheetml/2006/main" count="284" uniqueCount="224">
  <si>
    <t>B001</t>
  </si>
  <si>
    <t>B015</t>
  </si>
  <si>
    <t>B020</t>
  </si>
  <si>
    <t>B027</t>
  </si>
  <si>
    <t>D007</t>
  </si>
  <si>
    <t>D023</t>
  </si>
  <si>
    <t>ACTIVO</t>
  </si>
  <si>
    <t>Imobilizações incorpóreas</t>
  </si>
  <si>
    <t>Outros activos financeiros</t>
  </si>
  <si>
    <t>Outros activos não correntes</t>
  </si>
  <si>
    <t>Contas a receber</t>
  </si>
  <si>
    <t>Disponibilidades</t>
  </si>
  <si>
    <t>Outros activos correntes</t>
  </si>
  <si>
    <t>CAPITAL PRÓPRIO E PASSIVO</t>
  </si>
  <si>
    <t>Capital</t>
  </si>
  <si>
    <t>Reservas</t>
  </si>
  <si>
    <t>Passivo não corrente</t>
  </si>
  <si>
    <t>Empréstimo-médio e longo prazo</t>
  </si>
  <si>
    <t>Impostos diferidos</t>
  </si>
  <si>
    <t>Provisões para pensões</t>
  </si>
  <si>
    <t>Outros passivos não correntes</t>
  </si>
  <si>
    <t>Contas a pagar</t>
  </si>
  <si>
    <t>Empréstimo-curto prazo</t>
  </si>
  <si>
    <t>Outros passivos correntes</t>
  </si>
  <si>
    <t>Vendas</t>
  </si>
  <si>
    <t>Outros proveitos operacionais</t>
  </si>
  <si>
    <t>Trabalhos para a própria empresa</t>
  </si>
  <si>
    <t>Custo com o pessoal</t>
  </si>
  <si>
    <t>Amortizações</t>
  </si>
  <si>
    <t>Outros custos e perdas operacionais</t>
  </si>
  <si>
    <t>Autonomia Financeira</t>
  </si>
  <si>
    <t>Rendibilidade dos capitais próprios</t>
  </si>
  <si>
    <t>FM - NFM</t>
  </si>
  <si>
    <t>Liquidez Geral</t>
  </si>
  <si>
    <t>Liquidez Imediata</t>
  </si>
  <si>
    <t>Liquidez Reduzida</t>
  </si>
  <si>
    <t>Endividamento</t>
  </si>
  <si>
    <t>Solvabilidade Geral</t>
  </si>
  <si>
    <t>Peso do Passivo Remunerado</t>
  </si>
  <si>
    <t>Rendibilidade do Activo</t>
  </si>
  <si>
    <t>Rendibilidade das Vendas</t>
  </si>
  <si>
    <t>Prazo Médio de Recebimento ( nº dias )</t>
  </si>
  <si>
    <t>Prazo Médio de Pagamento ( nº dias )</t>
  </si>
  <si>
    <t>SA005</t>
  </si>
  <si>
    <t>Cobertura dos Activos N/ Correntes</t>
  </si>
  <si>
    <t>BANCO NACIONAL DE ANGOLA</t>
  </si>
  <si>
    <t xml:space="preserve">Indicadores </t>
  </si>
  <si>
    <t>Necessidades (+)/Recursos (-) de FM</t>
  </si>
  <si>
    <t>GE</t>
  </si>
  <si>
    <t>ME</t>
  </si>
  <si>
    <t>PE</t>
  </si>
  <si>
    <t>MC</t>
  </si>
  <si>
    <t>Liquidez e Estrutura Financeira</t>
  </si>
  <si>
    <t>Grau de Alavancagem Financeira (GAF)</t>
  </si>
  <si>
    <t>Grau de Alavancagem Operacional (GAO)</t>
  </si>
  <si>
    <t>Caracterização do Sector</t>
  </si>
  <si>
    <t>Equação Patrimonial</t>
  </si>
  <si>
    <t>EQUILÍBRIO PATRIMONIAL</t>
  </si>
  <si>
    <t>Estrutura Dimensional Gráfica</t>
  </si>
  <si>
    <t>GE ( Grandes Empresas )</t>
  </si>
  <si>
    <t>ME ( Média Empresas )</t>
  </si>
  <si>
    <t>PE ( Pequenas Empresas )</t>
  </si>
  <si>
    <t>MC ( Micro Empresas )</t>
  </si>
  <si>
    <t>Traduz em que medida o endividamento de curto prazo (corrente) se encontra coberto por ativos que podem vir a ser convertidos em meios financeiros líquidos também no curto prazo.</t>
  </si>
  <si>
    <t>Indicador que expressa o tempo médio decorrido, em dias, entre o momento das vendas e/ou serviços prestados e o respetivo recebimento.</t>
  </si>
  <si>
    <t>Contas do ciclo de exploração da empresa e que geram recursos financeiros de forma recorrente.</t>
  </si>
  <si>
    <t>As contas que resultam das decisões do ciclo de exploração e que implicam necessidades de financiamento, presentes no activo corrente.</t>
  </si>
  <si>
    <t>Procura avaliar-se o grau de dependência das existências (por comparação com a liquidez geral) para liquidar o passivo exigível a curto prazo.</t>
  </si>
  <si>
    <t>Reflete apenas a capacidade de regularizar o passivo (curto prazo) com os valores imediatamente disponíveis (meios monetários líquidos).</t>
  </si>
  <si>
    <t>Avalia o grau de endividamento dos sócios no financiamento dos activos (aplicações de fundos totais).</t>
  </si>
  <si>
    <t xml:space="preserve">Indica em que medida os investimentos são financiados por capitais estáveis (capitais próprios e passivo não corrente). </t>
  </si>
  <si>
    <t>Mostra-nos o lucro obtido por cada unidade monetária vendida.</t>
  </si>
  <si>
    <t>Avalia o peso relativo dos gastos de estrutura operacionais, identificando a sensibilidade do resultado operacional a uma variação dos vendas.</t>
  </si>
  <si>
    <t>Aquelas que empreguem mais de 100 até 200 trabalhadores e/ou tenham uma facturação bruta anual em Kz superior ao equivalente a USD 3 milhões e igual ou inferior a USD 10 milhões.</t>
  </si>
  <si>
    <t>Aquelas que empreguem mais de 10 e até 100 trabalhadores e/ou tenham uma facturação bruta anual em Kz superior ao equivalente a USD 250 mil e igual ou inferior a USD 3 milhões.</t>
  </si>
  <si>
    <t>Aquelas que empreguem até 10 trabalhadores e/ou tenham uma facturação bruta anual não superior em Kz ao equivalente a USD 250 mil.</t>
  </si>
  <si>
    <t>REPORTE DOS INDICADORES DAS ESTATISTICAS DAS SOCIEDADES NÃO FINANCEIRAS DA CENTRAL DE BALANÇOS</t>
  </si>
  <si>
    <t>FORMULÁRIO DE RÁCIOS E INDICADORES</t>
  </si>
  <si>
    <t>Indicador</t>
  </si>
  <si>
    <t>Conceito</t>
  </si>
  <si>
    <t>Fórmula</t>
  </si>
  <si>
    <t>Critérios de divulgação</t>
  </si>
  <si>
    <t>Indica, em média, quanto tempo se gasta para receber o corresponde às vendas e prestação de serviços</t>
  </si>
  <si>
    <t>Indica quanto à empresa obtém de Lucro para cada Kz 100 de investimento total. Quanto maior, melhor</t>
  </si>
  <si>
    <t>Indica quanto à empresa obteve de lucro para cada $ 100 de Capital Próprio investido. Quanto maior, melhor.</t>
  </si>
  <si>
    <t>Indica quanto tempo em média à empresa demora a receber suas vendas diárias. Quanto menor, melhor.</t>
  </si>
  <si>
    <t>Passivo / Activo</t>
  </si>
  <si>
    <t>Activo Corrente / Passivo Corrente</t>
  </si>
  <si>
    <t>(Activo Corrente – Existências) / Passivo Corrente</t>
  </si>
  <si>
    <t>Capital Próprio / Activo</t>
  </si>
  <si>
    <t>Valor Ideal</t>
  </si>
  <si>
    <t>Um valor inferior a 1/3, significa uma excessiva dependência de capitais alheios. Um valor maior ou igual a 1/3, representa um bom grau de autonomia financeira.</t>
  </si>
  <si>
    <t xml:space="preserve">Quanto mais elevado for este rácio mais elevado será o risco para os credores e por consequência menor a capacidade de obtenção de empréstimos. (CP), o que revela um limite à capacidade </t>
  </si>
  <si>
    <t xml:space="preserve">Um valor superior a 1, significa que o valor do património é suficiente para cobrir todas as dividas da empresa. Um valor inferior a 1, significa que a empresa está impossibilitada de satisfazer todos os seus compromissos com meios próprios. </t>
  </si>
  <si>
    <t>Capital Próprio / Passivo</t>
  </si>
  <si>
    <t>Resultado Líquido (RL) / Capital Próprio (CP)</t>
  </si>
  <si>
    <t>Quanto mais elevado este rácio melhor para os potenciais investidores, significa que os sócios/acionistas detém mais retorno.</t>
  </si>
  <si>
    <t>Capital Próprio + Passivo não Corrente / Activo não Corrente</t>
  </si>
  <si>
    <t>Este rácio deve ser igual ou superior a 1 para os capitais próprios e o passivo não corrente serem iguais ou superior ao montante do activo não corrente.</t>
  </si>
  <si>
    <t>EBITDA ou (RL) / Activo</t>
  </si>
  <si>
    <t>Quanto mais elevado for melhor será a performance operacional, os ativos da empresa estão a ser bem utilizados.</t>
  </si>
  <si>
    <t>(RL) ou (RO) / Volume de Negócios (VN)</t>
  </si>
  <si>
    <t>Quanto mais elevado for este indicador, maior a capacidade da empresa em gerar resultados.</t>
  </si>
  <si>
    <t>[Clientes / Vendas e Prestação de Serviços (VPS)] x 365</t>
  </si>
  <si>
    <t>quanto mais baixo o rácio, menor o prazo que, em média, os clientes demoram a saldar as suas dívidas.</t>
  </si>
  <si>
    <t>[Fornecedores /Compras e Fornecimentos de Serviços Externos (CFSEX)] x 365</t>
  </si>
  <si>
    <t>quando muito elevado (superior 180 dias por exemplo) poderá evidenciar dificuldade de tesouraria.</t>
  </si>
  <si>
    <t>(RO) / (RAI)</t>
  </si>
  <si>
    <t>GAF = 1: alavancagem financeira é nula.
GAF &gt; 1: alavancagem financeira favorável; o capital de terceiros está contribuindo para gerar retorno adicional a favor do acionista.
GAF &lt; 1: alavancagem financeira desfavorável; o capital de terceiros está consumindo o patrimônio líquido.</t>
  </si>
  <si>
    <t>Variação Percentual no Lucro Operacional (Resultado) / Variação Percentual nas Vendas</t>
  </si>
  <si>
    <t>Alta Alavancagem Operacional (altos custos fixos e baixos custos variáveis) significa que pequenas alterações no volume de vendas resultarão em grandes mudanças nos lucros.
Baixa Alavancagem Operacional (baixos custos fixos e altos custos variáveis) significa que as mudanças no volume de vendas não resultarão em grandes mudanças nos lucros.</t>
  </si>
  <si>
    <t>Financiamentos Obtidos / Passivo</t>
  </si>
  <si>
    <t>(Capital próprio + Financiamentos obtidos) &gt; 0</t>
  </si>
  <si>
    <t>Passivo corrente &gt; 0</t>
  </si>
  <si>
    <t>Denominador &gt; 0</t>
  </si>
  <si>
    <t>Activo &gt; 0</t>
  </si>
  <si>
    <t>Capital Próprio &gt; 0</t>
  </si>
  <si>
    <t>Venda   &gt; 0</t>
  </si>
  <si>
    <t>Activo Corrente - Passivo Corrente</t>
  </si>
  <si>
    <t>Montante necessário para o funcionamento da empresa ou capital necessário para financiar o ciclo de exploração</t>
  </si>
  <si>
    <t>Um valor superior a 1, significa que a empresa pode utilizar activos líquidos para pagar as dívidas a curto prazo. Um valor inferior a 1, significa que a empresa tem dificuldade de tesouraria.</t>
  </si>
  <si>
    <t>Se o rácio for &gt; 1, tal significa que mais de 100% das responsabilidades de curto prazo poderão ser satisfeitas recorrendo aos meios financeiros líquidos (caixa e depósitos bancários) e à cobrança de créditos de curto prazo.</t>
  </si>
  <si>
    <t>Se a liquidez imediata for maior do que 1, se entende que a empresa possui capital imediato suficiente para arcar com as suas obrigações de curto prazo.Se a liquidez imediata for igual a 1, o capital e as obrigações são equivalentes.Se a liquidez seca for menor do que 1, significa que a empresa não possui, hoje, capital suficiente para arcar com todas as suas obrigações.</t>
  </si>
  <si>
    <t>A tesouraria líquida apresenta as disponibilidades da empresa, ou seja, os meios financeiros líquidos (capacidade de converter um elemento aCtivo em meios monetários a curto prazo)</t>
  </si>
  <si>
    <t>Uma empresa encontra-se equilibrada financeiramente sempre que os valores de Fundo Maneiro sejam capazes de cobrir as Necessidades de Financiamento, reduzindo desta forma eventuais riscos da actividade empresarial que possam surgir no ciclo de exploração.</t>
  </si>
  <si>
    <t>(Disponibilidades) / Passivo Corrente</t>
  </si>
  <si>
    <t>Se o activo corrente for superior ao passivo corrente, trata-se de fundo de maneio positivo. Ou seja, a empresa tem mais ativos líquidos do que dívidas que vencem num curto prazo. Se, por outro lado, o fundo de maneio for negativo, estamos perante um desequilíbrio patrimonial. O que implica tomar medidas para aumentar o ativo corrente, por exemplo, vendendo imobilizado, aumentando o capital ou contraindo um empréstimo a longo prazo.</t>
  </si>
  <si>
    <t>O GAF evidência os efeitos das variações ocorridas no lucro antes dos juros e do imposto de renda (LAJIR) que se refletem no lucro líquido</t>
  </si>
  <si>
    <t>Activo (kz)</t>
  </si>
  <si>
    <t>Passivo (kz)</t>
  </si>
  <si>
    <t>Capital próprio (kz)</t>
  </si>
  <si>
    <t>Necessidades cílclicas de exploração (kz)</t>
  </si>
  <si>
    <t>Recursos cíclicos de exploração (kz)</t>
  </si>
  <si>
    <t>Tesouraria líquida (kz)</t>
  </si>
  <si>
    <t>Fundo de maneio (kz)</t>
  </si>
  <si>
    <t>Corresponde ao montante que as empresas têm disponível no curto prazo (activo corrente), após dedução das suas obrigações com igual prazo de vencimento (passivo corrente).</t>
  </si>
  <si>
    <t>Aquelas que empreguem mais de 200 trabalhadores e/ou tenham uma facturação bruta anual em Kz superior ao equivalente a USD 10 milhões.</t>
  </si>
  <si>
    <t>Traduz a capacidade de uma organização cumprir os seus compromissos a médio e longo prazo. O conceito de solvabilidade contrapõe-se ao de liquidez, assumindo este último uma visão de curso prazo e a solvabilidade uma perspectiva de médio-longo prazo.</t>
  </si>
  <si>
    <t>ND</t>
  </si>
  <si>
    <t>Cobertura Dimensional (BNA):</t>
  </si>
  <si>
    <t>Grande Empresa (GE)</t>
  </si>
  <si>
    <t>Média Empresa (ME)</t>
  </si>
  <si>
    <t>Micro Empresa (MC)</t>
  </si>
  <si>
    <t>Indica quanto à empresa tomou de Capitais de Terceiros para cada Kz 100 de capital próprio investido. Quanto menor, melhor. Ou determina a proporção ou percentagem de capital alheio
utilizado no financiamento das actividades da entidade.
seguinte expressão de cálculo:</t>
  </si>
  <si>
    <t xml:space="preserve"> Fundo de Maneio</t>
  </si>
  <si>
    <t xml:space="preserve"> Tesouraria Líquida </t>
  </si>
  <si>
    <t>Rendibilidade do Capital Próprio</t>
  </si>
  <si>
    <t xml:space="preserve">Endividamento </t>
  </si>
  <si>
    <t xml:space="preserve">Solvabilidade </t>
  </si>
  <si>
    <t xml:space="preserve">PMR Vs PMP  </t>
  </si>
  <si>
    <t xml:space="preserve"> Liquidez Geral </t>
  </si>
  <si>
    <t xml:space="preserve">Liquidez Reduzida </t>
  </si>
  <si>
    <t xml:space="preserve"> Liquidez Imediata</t>
  </si>
  <si>
    <t>Período</t>
  </si>
  <si>
    <t>Invest. finan. em filiais e associadas</t>
  </si>
  <si>
    <t>Parte de c/p dos emprest. M/L P</t>
  </si>
  <si>
    <t>Provis. p/ outros riscos e encargos</t>
  </si>
  <si>
    <t>Variação nos produtos acab. em vias de fabr.</t>
  </si>
  <si>
    <t>Var. nos produtos acabados e em vias de fabr.</t>
  </si>
  <si>
    <t>Resultados Operacionais</t>
  </si>
  <si>
    <t>Resultados Financeiros</t>
  </si>
  <si>
    <t>Resultados em Filiais e Assoc.</t>
  </si>
  <si>
    <t>Resultados não Operacionais</t>
  </si>
  <si>
    <t xml:space="preserve">Resultado antes dos Impostos </t>
  </si>
  <si>
    <t>Resultados Extraordinários</t>
  </si>
  <si>
    <t>Total dos Proveitos Operacionais</t>
  </si>
  <si>
    <t>Total dos Custos e Perdas Operacionais</t>
  </si>
  <si>
    <t xml:space="preserve">DESCRIÇÃO </t>
  </si>
  <si>
    <t xml:space="preserve">Capital Próprio </t>
  </si>
  <si>
    <t>PANORAMA SECTORIAL DAS ESTATISTICAS DA CENTRAL DE BALANÇOS</t>
  </si>
  <si>
    <t>Imposto sobre / Rendimento</t>
  </si>
  <si>
    <t>Necessidades Cílclicas de exploração (kz)</t>
  </si>
  <si>
    <t>Balanço e Demonstração de Resultados</t>
  </si>
  <si>
    <t>Pequena Empresa (PE)</t>
  </si>
  <si>
    <t>Valores Expressos em : Milhões de Kz</t>
  </si>
  <si>
    <t>Notas</t>
  </si>
  <si>
    <t>NOTAS</t>
  </si>
  <si>
    <t>Cobertura Sectorial</t>
  </si>
  <si>
    <t>Activo não Corrente</t>
  </si>
  <si>
    <t>Activo Corrente</t>
  </si>
  <si>
    <t>Passivo Corrente</t>
  </si>
  <si>
    <t xml:space="preserve">Passivo </t>
  </si>
  <si>
    <t>12| Equilíbrio financeiro Se : FM &gt; NFM / FM - NFM ≥ 0 / TL ≥ 0</t>
  </si>
  <si>
    <t>13| Valor &gt; 1 : Utiliza activos líquidos para pagar as dívidas a curto prazo / Valor &lt; 1 : Dificuldade de tesouraria.</t>
  </si>
  <si>
    <t>16| Valor &lt; 1/3 : Excessiva dependência de capitais alheios / Valor ≥  1/3 : Bom grau de autonomia financeira.</t>
  </si>
  <si>
    <t xml:space="preserve">17| Quanto mais elevado, mais elevado será o risco para os credores e menor a capacidade de obtenção de empréstimos. </t>
  </si>
  <si>
    <t xml:space="preserve">18| Valor &gt; 1 : Património suficiente para cobrir as dividas / Valor &lt; 1 : Não satisfaz os  compromissos com meios próprios. </t>
  </si>
  <si>
    <t>20| Quanto mais elevado melhor para investidores - os sócios/acionistas detém mais retorno, salvo redução do capital.</t>
  </si>
  <si>
    <t>Resultado Líquido do Exercício</t>
  </si>
  <si>
    <t>Prestação de serviços</t>
  </si>
  <si>
    <t>Custos das exist. Vend. e mat. primas consum.</t>
  </si>
  <si>
    <t xml:space="preserve">Resultados Líquidos das Actividades Correntes </t>
  </si>
  <si>
    <t>Existências</t>
  </si>
  <si>
    <t>Resultados do exercicio</t>
  </si>
  <si>
    <t xml:space="preserve">RESULTADOS LÍQUIDOS DO EXERCÍCIO </t>
  </si>
  <si>
    <t xml:space="preserve">08| FM &gt; 0 :  Mais activos líquidos do que dívidas que vencem no curto prazo / FM&lt;0 : Desequilíbrio patrimonial. </t>
  </si>
  <si>
    <t>Património Líquido (Kz)</t>
  </si>
  <si>
    <t>Situação Líquida (Kz)</t>
  </si>
  <si>
    <r>
      <rPr>
        <b/>
        <sz val="11"/>
        <rFont val="Segoe UI"/>
        <family val="2"/>
      </rPr>
      <t>Fonte:</t>
    </r>
    <r>
      <rPr>
        <sz val="11"/>
        <rFont val="Segoe UI"/>
        <family val="2"/>
      </rPr>
      <t xml:space="preserve"> Banco Nacional de Angola / DES</t>
    </r>
  </si>
  <si>
    <t>Proveitos operacionais (kz)</t>
  </si>
  <si>
    <t>Custos e perdas operacionais</t>
  </si>
  <si>
    <t>07| Valor Positivo: Lucro / Valor Negativo: Prejuízo</t>
  </si>
  <si>
    <t>POSITIVA</t>
  </si>
  <si>
    <t>Variação Absoluta Patrimonial</t>
  </si>
  <si>
    <t>Produtividade do Equipamento</t>
  </si>
  <si>
    <t>Rotação do Activo</t>
  </si>
  <si>
    <t>Rendibilidade e Produtividade</t>
  </si>
  <si>
    <t>Estrutura do Endividamento</t>
  </si>
  <si>
    <t>Risco ou Técnicos</t>
  </si>
  <si>
    <t>27| GAO Elevado: Altos custos fixos e baixos custos variáveis / GAO Baixo : Baixos custos fixos e altos custos variáveis.</t>
  </si>
  <si>
    <t>(1)   Inclui ajustamentos contabilísticos e estatísticos</t>
  </si>
  <si>
    <t xml:space="preserve">Imobilizações corpóreas </t>
  </si>
  <si>
    <r>
      <t xml:space="preserve">Resultados transitados </t>
    </r>
    <r>
      <rPr>
        <sz val="8"/>
        <color theme="3" tint="-0.49995422223578601"/>
        <rFont val="Segoe UI"/>
        <family val="2"/>
      </rPr>
      <t>(1)</t>
    </r>
  </si>
  <si>
    <t xml:space="preserve">  26| GAF &gt; 1 : Alavanca financeira favorável / GAF &lt; 1 : Alavancagem financeira desfavorável.</t>
  </si>
  <si>
    <t>TRANSPORTES E ARMAZENAGEM</t>
  </si>
  <si>
    <t>DEMONSTRAÇÃO DE RESULTADOS - TRANSPORTES E ARMAZENAGEM</t>
  </si>
  <si>
    <t>BALANÇO SECTORIAL - TRANSPORTES E ARMAZENAGEM</t>
  </si>
  <si>
    <t>Equilíbrio Financeiro</t>
  </si>
  <si>
    <t>37| CB Vs Estimavas - Dados do Ficheiro de Unidade Empresarial (FUE) do INE</t>
  </si>
  <si>
    <t xml:space="preserve">                         Valores Expressos em : Milhões de Kz</t>
  </si>
  <si>
    <t>Prestação de serviços (Kz)</t>
  </si>
  <si>
    <t xml:space="preserve">Autonomia Financeira </t>
  </si>
  <si>
    <t xml:space="preserve">Grau de Alavancagem Financeira </t>
  </si>
  <si>
    <t xml:space="preserve">Grau de Alavancagem Operacional (GAO)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</si>
</sst>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0.00\ "/>
    <numFmt numFmtId="165" formatCode="_-* #,##0_-;\-* #,##0_-;_-* &quot;-&quot;??_-;_-@_-"/>
    <numFmt numFmtId="166" formatCode="0.00_);\(0.00\)"/>
    <numFmt numFmtId="167" formatCode="_-* #,##0.00\ _€_-;\-* #,##0.00\ _€_-;_-* &quot;-&quot;??\ _€_-;_-@_-"/>
  </numFmts>
  <fonts count="25" x14ac:knownFonts="1">
    <font>
      <sz val="11"/>
      <color theme="1"/>
      <name val="Calibri"/>
      <family val="2"/>
      <scheme val="minor"/>
    </font>
    <font>
      <b/>
      <sz val="11"/>
      <color theme="1"/>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theme="0"/>
      <name val="Calibri"/>
      <family val="2"/>
      <scheme val="minor"/>
    </font>
    <font>
      <b/>
      <sz val="11"/>
      <color theme="7" tint="-0.49995422223578601"/>
      <name val="Calibri"/>
      <family val="2"/>
      <scheme val="minor"/>
    </font>
    <font>
      <sz val="10"/>
      <color indexed="10"/>
      <name val="Arial"/>
      <family val="2"/>
    </font>
    <font>
      <sz val="11"/>
      <color theme="5" tint="-0.24994659260841701"/>
      <name val="Calibri"/>
      <family val="2"/>
      <scheme val="minor"/>
    </font>
    <font>
      <sz val="10"/>
      <name val="Arial"/>
      <family val="2"/>
    </font>
    <font>
      <sz val="11"/>
      <name val="Calibri"/>
      <family val="2"/>
      <scheme val="minor"/>
    </font>
    <font>
      <b/>
      <sz val="16"/>
      <color theme="0"/>
      <name val="Century Gothic"/>
      <family val="2"/>
    </font>
    <font>
      <sz val="10"/>
      <color theme="3" tint="-0.49995422223578601"/>
      <name val="Segoe UI"/>
      <family val="2"/>
    </font>
    <font>
      <b/>
      <sz val="10"/>
      <color theme="3" tint="-0.49995422223578601"/>
      <name val="Segoe UI"/>
      <family val="2"/>
    </font>
    <font>
      <b/>
      <sz val="10"/>
      <color theme="0"/>
      <name val="Segoe UI"/>
      <family val="2"/>
    </font>
    <font>
      <b/>
      <sz val="16"/>
      <color theme="0"/>
      <name val="Segoe UI"/>
      <family val="2"/>
    </font>
    <font>
      <sz val="10"/>
      <color theme="0"/>
      <name val="Segoe UI"/>
      <family val="2"/>
    </font>
    <font>
      <sz val="10"/>
      <name val="Segoe UI"/>
      <family val="2"/>
    </font>
    <font>
      <b/>
      <sz val="10"/>
      <color theme="1" tint="0.49995422223578601"/>
      <name val="Segoe UI"/>
      <family val="2"/>
    </font>
    <font>
      <b/>
      <sz val="11"/>
      <color theme="0"/>
      <name val="Segoe UI"/>
      <family val="2"/>
    </font>
    <font>
      <b/>
      <sz val="12"/>
      <color theme="0"/>
      <name val="Century Gothic"/>
      <family val="2"/>
    </font>
    <font>
      <sz val="11"/>
      <name val="Segoe UI"/>
      <family val="2"/>
    </font>
    <font>
      <sz val="8"/>
      <color theme="3" tint="-0.49995422223578601"/>
      <name val="Segoe UI"/>
      <family val="2"/>
    </font>
    <font>
      <b/>
      <sz val="11"/>
      <name val="Segoe UI"/>
      <family val="2"/>
    </font>
    <font>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58800012207406E-2"/>
        <bgColor indexed="64"/>
      </patternFill>
    </fill>
    <fill>
      <patternFill patternType="solid">
        <fgColor theme="8" tint="-0.49995422223578601"/>
        <bgColor indexed="64"/>
      </patternFill>
    </fill>
    <fill>
      <patternFill patternType="solid">
        <fgColor theme="4" tint="-0.24994659260841701"/>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theme="0" tint="-0.14996795556505021"/>
        <bgColor indexed="64"/>
      </patternFill>
    </fill>
    <fill>
      <patternFill patternType="solid">
        <fgColor theme="8" tint="0.59996337778862885"/>
        <bgColor indexed="64"/>
      </patternFill>
    </fill>
    <fill>
      <patternFill patternType="solid">
        <fgColor theme="8" tint="0.39997558519241921"/>
        <bgColor indexed="64"/>
      </patternFill>
    </fill>
    <fill>
      <patternFill patternType="solid">
        <fgColor theme="9" tint="-0.49995422223578601"/>
        <bgColor indexed="64"/>
      </patternFill>
    </fill>
    <fill>
      <patternFill patternType="solid">
        <fgColor theme="4" tint="0.39997558519241921"/>
        <bgColor indexed="64"/>
      </patternFill>
    </fill>
    <fill>
      <patternFill patternType="solid">
        <fgColor theme="2" tint="-0.24994659260841701"/>
        <bgColor indexed="64"/>
      </patternFill>
    </fill>
    <fill>
      <patternFill patternType="solid">
        <fgColor theme="8"/>
        <bgColor indexed="64"/>
      </patternFill>
    </fill>
    <fill>
      <patternFill patternType="solid">
        <fgColor theme="8" tint="0.39997558519241921"/>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dashed">
        <color auto="1"/>
      </top>
      <bottom style="dashed">
        <color auto="1"/>
      </bottom>
      <diagonal/>
    </border>
    <border>
      <left style="dashed">
        <color auto="1"/>
      </left>
      <right style="thin">
        <color theme="0"/>
      </right>
      <top style="dashed">
        <color auto="1"/>
      </top>
      <bottom style="dashed">
        <color auto="1"/>
      </bottom>
      <diagonal/>
    </border>
    <border>
      <left style="thin">
        <color theme="0"/>
      </left>
      <right style="thin">
        <color theme="0"/>
      </right>
      <top style="dashed">
        <color auto="1"/>
      </top>
      <bottom style="dashed">
        <color auto="1"/>
      </bottom>
      <diagonal/>
    </border>
    <border>
      <left style="dashed">
        <color theme="4" tint="0.59993285927915285"/>
      </left>
      <right style="dashed">
        <color theme="4" tint="0.59993285927915285"/>
      </right>
      <top/>
      <bottom/>
      <diagonal/>
    </border>
    <border>
      <left style="dashed">
        <color theme="4" tint="0.59993285927915285"/>
      </left>
      <right/>
      <top/>
      <bottom/>
      <diagonal/>
    </border>
    <border>
      <left style="thin">
        <color theme="0"/>
      </left>
      <right/>
      <top style="dashed">
        <color auto="1"/>
      </top>
      <bottom style="dashed">
        <color auto="1"/>
      </bottom>
      <diagonal/>
    </border>
    <border>
      <left style="medium">
        <color theme="0"/>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hair">
        <color theme="0"/>
      </left>
      <right style="hair">
        <color theme="0"/>
      </right>
      <top style="thin">
        <color auto="1"/>
      </top>
      <bottom style="thin">
        <color auto="1"/>
      </bottom>
      <diagonal/>
    </border>
    <border>
      <left style="hair">
        <color theme="4" tint="-0.49995422223578601"/>
      </left>
      <right style="hair">
        <color theme="4" tint="-0.49995422223578601"/>
      </right>
      <top/>
      <bottom/>
      <diagonal/>
    </border>
    <border>
      <left style="hair">
        <color theme="4" tint="-0.49995422223578601"/>
      </left>
      <right/>
      <top/>
      <bottom/>
      <diagonal/>
    </border>
    <border>
      <left/>
      <right/>
      <top style="thin">
        <color auto="1"/>
      </top>
      <bottom/>
      <diagonal/>
    </border>
    <border>
      <left style="hair">
        <color theme="4" tint="-0.49995422223578601"/>
      </left>
      <right style="hair">
        <color theme="4" tint="-0.49995422223578601"/>
      </right>
      <top style="thin">
        <color auto="1"/>
      </top>
      <bottom/>
      <diagonal/>
    </border>
    <border>
      <left style="hair">
        <color theme="4" tint="-0.49995422223578601"/>
      </left>
      <right style="hair">
        <color theme="4" tint="-0.49995422223578601"/>
      </right>
      <top/>
      <bottom style="thin">
        <color auto="1"/>
      </bottom>
      <diagonal/>
    </border>
    <border>
      <left style="thin">
        <color auto="1"/>
      </left>
      <right/>
      <top style="thin">
        <color auto="1"/>
      </top>
      <bottom style="thin">
        <color auto="1"/>
      </bottom>
      <diagonal/>
    </border>
    <border>
      <left style="hair">
        <color theme="0" tint="-4.9958800012207406E-2"/>
      </left>
      <right style="hair">
        <color theme="0" tint="-4.9958800012207406E-2"/>
      </right>
      <top style="hair">
        <color theme="0" tint="-0.14993743705557422"/>
      </top>
      <bottom style="hair">
        <color theme="0" tint="-0.14993743705557422"/>
      </bottom>
      <diagonal/>
    </border>
    <border>
      <left style="hair">
        <color theme="0" tint="-4.9958800012207406E-2"/>
      </left>
      <right/>
      <top style="hair">
        <color theme="0" tint="-0.14993743705557422"/>
      </top>
      <bottom style="hair">
        <color theme="0" tint="-0.14993743705557422"/>
      </bottom>
      <diagonal/>
    </border>
    <border>
      <left/>
      <right/>
      <top/>
      <bottom style="thin">
        <color auto="1"/>
      </bottom>
      <diagonal/>
    </border>
    <border>
      <left style="hair">
        <color theme="0"/>
      </left>
      <right style="hair">
        <color theme="0"/>
      </right>
      <top style="medium">
        <color rgb="FF0070C0"/>
      </top>
      <bottom style="medium">
        <color rgb="FF0070C0"/>
      </bottom>
      <diagonal/>
    </border>
    <border>
      <left style="thin">
        <color theme="0"/>
      </left>
      <right style="thin">
        <color theme="0"/>
      </right>
      <top style="medium">
        <color theme="9" tint="-0.49995422223578601"/>
      </top>
      <bottom style="medium">
        <color theme="9" tint="-0.49995422223578601"/>
      </bottom>
      <diagonal/>
    </border>
    <border>
      <left style="hair">
        <color theme="8" tint="0.59993285927915285"/>
      </left>
      <right/>
      <top style="dashed">
        <color auto="1"/>
      </top>
      <bottom style="dashed">
        <color auto="1"/>
      </bottom>
      <diagonal/>
    </border>
    <border>
      <left style="hair">
        <color theme="8" tint="0.59993285927915285"/>
      </left>
      <right/>
      <top/>
      <bottom/>
      <diagonal/>
    </border>
    <border>
      <left style="thin">
        <color theme="0"/>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dashed">
        <color auto="1"/>
      </left>
      <right style="medium">
        <color auto="1"/>
      </right>
      <top/>
      <bottom/>
      <diagonal/>
    </border>
    <border>
      <left/>
      <right style="thin">
        <color auto="1"/>
      </right>
      <top/>
      <bottom/>
      <diagonal/>
    </border>
    <border>
      <left style="dashed">
        <color theme="4" tint="0.59993285927915285"/>
      </left>
      <right style="dashed">
        <color theme="4" tint="0.59993285927915285"/>
      </right>
      <top style="medium">
        <color theme="0"/>
      </top>
      <bottom/>
      <diagonal/>
    </border>
    <border>
      <left style="dashed">
        <color auto="1"/>
      </left>
      <right style="dashed">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theme="0"/>
      </top>
      <bottom/>
      <diagonal/>
    </border>
    <border>
      <left style="dashed">
        <color theme="4" tint="0.59993285927915285"/>
      </left>
      <right style="dashed">
        <color theme="4" tint="0.59993285927915285"/>
      </right>
      <top style="dashed">
        <color auto="1"/>
      </top>
      <bottom/>
      <diagonal/>
    </border>
    <border>
      <left/>
      <right style="thin">
        <color theme="0"/>
      </right>
      <top/>
      <bottom/>
      <diagonal/>
    </border>
    <border>
      <left style="dashed">
        <color theme="4" tint="0.59993285927915285"/>
      </left>
      <right style="dashed">
        <color theme="4" tint="0.59993285927915285"/>
      </right>
      <top style="thin">
        <color theme="0"/>
      </top>
      <bottom/>
      <diagonal/>
    </border>
    <border>
      <left/>
      <right/>
      <top style="medium">
        <color rgb="FF002060"/>
      </top>
      <bottom/>
      <diagonal/>
    </border>
    <border>
      <left style="dashed">
        <color theme="4" tint="0.59993285927915285"/>
      </left>
      <right style="dotted">
        <color theme="4" tint="0.59993285927915285"/>
      </right>
      <top/>
      <bottom/>
      <diagonal/>
    </border>
    <border>
      <left style="hair">
        <color theme="8" tint="0.59993285927915285"/>
      </left>
      <right style="thin">
        <color theme="0"/>
      </right>
      <top style="dashed">
        <color auto="1"/>
      </top>
      <bottom style="dashed">
        <color auto="1"/>
      </bottom>
      <diagonal/>
    </border>
    <border>
      <left/>
      <right style="dashed">
        <color theme="4" tint="0.59993285927915285"/>
      </right>
      <top style="dashed">
        <color auto="1"/>
      </top>
      <bottom style="dashed">
        <color auto="1"/>
      </bottom>
      <diagonal/>
    </border>
    <border>
      <left/>
      <right style="hair">
        <color theme="0" tint="-4.9958800012207406E-2"/>
      </right>
      <top style="hair">
        <color theme="0" tint="-0.14993743705557422"/>
      </top>
      <bottom style="hair">
        <color theme="0" tint="-0.14993743705557422"/>
      </bottom>
      <diagonal/>
    </border>
    <border>
      <left/>
      <right/>
      <top style="medium">
        <color theme="0"/>
      </top>
      <bottom style="thin">
        <color auto="1"/>
      </bottom>
      <diagonal/>
    </border>
    <border>
      <left/>
      <right/>
      <top style="medium">
        <color theme="9" tint="-0.49995422223578601"/>
      </top>
      <bottom style="medium">
        <color theme="9" tint="-0.49995422223578601"/>
      </bottom>
      <diagonal/>
    </border>
    <border>
      <left style="hair">
        <color theme="4" tint="-0.49995422223578601"/>
      </left>
      <right/>
      <top style="thin">
        <color auto="1"/>
      </top>
      <bottom/>
      <diagonal/>
    </border>
    <border>
      <left style="hair">
        <color theme="4" tint="-0.49995422223578601"/>
      </left>
      <right/>
      <top/>
      <bottom style="thin">
        <color auto="1"/>
      </bottom>
      <diagonal/>
    </border>
    <border>
      <left style="hair">
        <color theme="0"/>
      </left>
      <right style="hair">
        <color theme="0"/>
      </right>
      <top/>
      <bottom/>
      <diagonal/>
    </border>
    <border>
      <left/>
      <right/>
      <top style="medium">
        <color theme="0"/>
      </top>
      <bottom/>
      <diagonal/>
    </border>
    <border>
      <left/>
      <right/>
      <top/>
      <bottom style="medium">
        <color rgb="FF002060"/>
      </bottom>
      <diagonal/>
    </border>
    <border>
      <left style="hair">
        <color theme="8" tint="0.59993285927915285"/>
      </left>
      <right/>
      <top style="thin">
        <color theme="0"/>
      </top>
      <bottom/>
      <diagonal/>
    </border>
    <border>
      <left style="hair">
        <color theme="4" tint="-0.49995422223578601"/>
      </left>
      <right/>
      <top/>
      <bottom style="hair">
        <color theme="0" tint="-0.14993743705557422"/>
      </bottom>
      <diagonal/>
    </border>
    <border>
      <left style="hair">
        <color theme="8" tint="0.59993285927915285"/>
      </left>
      <right/>
      <top/>
      <bottom style="dashed">
        <color auto="1"/>
      </bottom>
      <diagonal/>
    </border>
    <border>
      <left style="dashed">
        <color theme="4" tint="0.59993285927915285"/>
      </left>
      <right style="dashed">
        <color theme="4" tint="0.59993285927915285"/>
      </right>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hair">
        <color theme="0"/>
      </left>
      <right/>
      <top style="thin">
        <color auto="1"/>
      </top>
      <bottom/>
      <diagonal/>
    </border>
    <border>
      <left style="hair">
        <color theme="0"/>
      </left>
      <right/>
      <top/>
      <bottom/>
      <diagonal/>
    </border>
    <border>
      <left style="hair">
        <color theme="0"/>
      </left>
      <right/>
      <top/>
      <bottom style="thin">
        <color auto="1"/>
      </bottom>
      <diagonal/>
    </border>
    <border>
      <left style="hair">
        <color theme="0"/>
      </left>
      <right style="thin">
        <color theme="0"/>
      </right>
      <top style="thin">
        <color auto="1"/>
      </top>
      <bottom/>
      <diagonal/>
    </border>
    <border>
      <left style="hair">
        <color theme="0"/>
      </left>
      <right style="thin">
        <color theme="0"/>
      </right>
      <top/>
      <bottom/>
      <diagonal/>
    </border>
    <border>
      <left style="hair">
        <color theme="0"/>
      </left>
      <right style="thin">
        <color theme="0"/>
      </right>
      <top/>
      <bottom style="thin">
        <color auto="1"/>
      </bottom>
      <diagonal/>
    </border>
  </borders>
  <cellStyleXfs count="10">
    <xf numFmtId="0" fontId="0" fillId="0" borderId="0"/>
    <xf numFmtId="9" fontId="24" fillId="0" borderId="0" applyFont="0" applyFill="0" applyBorder="0" applyAlignment="0" applyProtection="0"/>
    <xf numFmtId="43" fontId="24" fillId="0" borderId="0" applyFont="0" applyFill="0" applyBorder="0" applyAlignment="0" applyProtection="0"/>
    <xf numFmtId="0" fontId="7" fillId="0" borderId="0">
      <alignment vertical="top"/>
    </xf>
    <xf numFmtId="0" fontId="9" fillId="0" borderId="0"/>
    <xf numFmtId="9" fontId="7" fillId="0" borderId="0" applyFont="0" applyFill="0" applyBorder="0" applyProtection="0"/>
    <xf numFmtId="167" fontId="7" fillId="0" borderId="0" applyFont="0" applyFill="0" applyBorder="0" applyProtection="0"/>
    <xf numFmtId="9"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cellStyleXfs>
  <cellXfs count="245">
    <xf numFmtId="0" fontId="0" fillId="0" borderId="0" xfId="0"/>
    <xf numFmtId="0" fontId="5" fillId="6" borderId="70" xfId="0" applyFont="1" applyFill="1" applyBorder="1" applyAlignment="1">
      <alignment horizontal="center" vertical="center" wrapText="1"/>
    </xf>
    <xf numFmtId="0" fontId="5" fillId="6" borderId="69"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7" xfId="0" applyFont="1" applyFill="1" applyBorder="1" applyAlignment="1">
      <alignment horizontal="center" vertical="center" wrapText="1"/>
    </xf>
    <xf numFmtId="0" fontId="5" fillId="6" borderId="66" xfId="0" applyFont="1" applyFill="1" applyBorder="1" applyAlignment="1">
      <alignment horizontal="center" vertical="center" wrapText="1"/>
    </xf>
    <xf numFmtId="0" fontId="21" fillId="4" borderId="0" xfId="0" applyFont="1" applyFill="1" applyAlignment="1">
      <alignment horizontal="left" vertical="center" wrapText="1"/>
    </xf>
    <xf numFmtId="0" fontId="21" fillId="4" borderId="0" xfId="0" applyFont="1" applyFill="1" applyAlignment="1">
      <alignment horizontal="left" vertical="center" wrapText="1" indent="1"/>
    </xf>
    <xf numFmtId="164" fontId="2" fillId="2" borderId="36" xfId="0" applyNumberFormat="1" applyFont="1" applyFill="1" applyBorder="1" applyAlignment="1">
      <alignment horizontal="right"/>
    </xf>
    <xf numFmtId="0" fontId="19" fillId="5" borderId="0" xfId="0" applyFont="1" applyFill="1" applyAlignment="1">
      <alignment horizontal="center" vertical="center"/>
    </xf>
    <xf numFmtId="0" fontId="14" fillId="5" borderId="65"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4" xfId="0" applyFont="1" applyFill="1" applyBorder="1" applyAlignment="1">
      <alignment horizontal="center" vertical="center"/>
    </xf>
    <xf numFmtId="0" fontId="15" fillId="3" borderId="0" xfId="0" applyFont="1" applyFill="1" applyAlignment="1">
      <alignment horizontal="left" vertical="top"/>
    </xf>
    <xf numFmtId="0" fontId="15" fillId="3" borderId="4" xfId="0" applyFont="1" applyFill="1" applyBorder="1" applyAlignment="1">
      <alignment horizontal="left" vertical="top"/>
    </xf>
    <xf numFmtId="0" fontId="20" fillId="3" borderId="4" xfId="0" applyFont="1" applyFill="1" applyBorder="1" applyAlignment="1">
      <alignment horizontal="left" vertical="center"/>
    </xf>
    <xf numFmtId="0" fontId="5" fillId="6" borderId="71" xfId="0" applyFont="1" applyFill="1" applyBorder="1" applyAlignment="1">
      <alignment horizontal="center" vertical="center" wrapText="1"/>
    </xf>
    <xf numFmtId="0" fontId="4" fillId="2" borderId="0" xfId="0" applyFont="1" applyFill="1"/>
    <xf numFmtId="0" fontId="3" fillId="2" borderId="0" xfId="0" applyFont="1" applyFill="1"/>
    <xf numFmtId="0" fontId="2" fillId="2" borderId="0" xfId="0" applyFont="1" applyFill="1"/>
    <xf numFmtId="0" fontId="3"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vertical="center"/>
    </xf>
    <xf numFmtId="0" fontId="2" fillId="2" borderId="0" xfId="0" applyFont="1" applyFill="1" applyAlignment="1">
      <alignment horizontal="center"/>
    </xf>
    <xf numFmtId="0" fontId="11" fillId="3" borderId="0" xfId="0" applyFont="1" applyFill="1" applyAlignment="1">
      <alignment vertical="top"/>
    </xf>
    <xf numFmtId="0" fontId="3" fillId="4" borderId="0" xfId="0" applyFont="1" applyFill="1"/>
    <xf numFmtId="0" fontId="4" fillId="2" borderId="1" xfId="0" applyFont="1" applyFill="1" applyBorder="1" applyAlignment="1">
      <alignment horizontal="left"/>
    </xf>
    <xf numFmtId="0" fontId="3" fillId="2" borderId="2" xfId="0" applyFont="1" applyFill="1" applyBorder="1"/>
    <xf numFmtId="0" fontId="3" fillId="2" borderId="2" xfId="0" applyFont="1" applyFill="1" applyBorder="1" applyAlignment="1">
      <alignment horizontal="center"/>
    </xf>
    <xf numFmtId="0" fontId="3" fillId="2" borderId="3" xfId="0" applyFont="1" applyFill="1" applyBorder="1"/>
    <xf numFmtId="0" fontId="4" fillId="2" borderId="4" xfId="0" applyFont="1" applyFill="1" applyBorder="1" applyAlignment="1">
      <alignment horizontal="left"/>
    </xf>
    <xf numFmtId="0" fontId="3" fillId="2" borderId="5" xfId="0" applyFont="1" applyFill="1" applyBorder="1"/>
    <xf numFmtId="0" fontId="5" fillId="2" borderId="4" xfId="0" applyFont="1" applyFill="1" applyBorder="1" applyAlignment="1">
      <alignment horizontal="left"/>
    </xf>
    <xf numFmtId="0" fontId="2" fillId="2" borderId="5" xfId="0" applyFont="1" applyFill="1" applyBorder="1"/>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5" xfId="0" applyFont="1" applyFill="1" applyBorder="1" applyAlignment="1">
      <alignment vertical="top"/>
    </xf>
    <xf numFmtId="0" fontId="14" fillId="5" borderId="6" xfId="0" applyFont="1" applyFill="1" applyBorder="1" applyAlignment="1">
      <alignment horizontal="left"/>
    </xf>
    <xf numFmtId="0" fontId="5" fillId="6" borderId="7" xfId="0" applyFont="1" applyFill="1" applyBorder="1" applyAlignment="1">
      <alignment horizontal="center" vertical="center"/>
    </xf>
    <xf numFmtId="0" fontId="5" fillId="6" borderId="8" xfId="0" applyFont="1" applyFill="1" applyBorder="1" applyAlignment="1">
      <alignment horizontal="right" vertical="center" indent="1"/>
    </xf>
    <xf numFmtId="0" fontId="14" fillId="6" borderId="6" xfId="0" applyFont="1" applyFill="1" applyBorder="1" applyAlignment="1">
      <alignment horizontal="left" vertical="center"/>
    </xf>
    <xf numFmtId="0" fontId="15" fillId="3" borderId="1" xfId="0" applyFont="1" applyFill="1" applyBorder="1" applyAlignment="1">
      <alignment vertical="center"/>
    </xf>
    <xf numFmtId="0" fontId="15" fillId="3" borderId="4" xfId="0" applyFont="1" applyFill="1" applyBorder="1" applyAlignment="1">
      <alignment vertical="top"/>
    </xf>
    <xf numFmtId="39" fontId="12" fillId="4" borderId="9" xfId="2" applyNumberFormat="1" applyFont="1" applyFill="1" applyBorder="1" applyAlignment="1">
      <alignment horizontal="right"/>
    </xf>
    <xf numFmtId="39" fontId="12" fillId="2" borderId="9" xfId="2" applyNumberFormat="1" applyFont="1" applyFill="1" applyBorder="1" applyAlignment="1">
      <alignment horizontal="right"/>
    </xf>
    <xf numFmtId="39" fontId="12" fillId="2" borderId="9" xfId="2" applyNumberFormat="1" applyFont="1" applyFill="1" applyBorder="1" applyAlignment="1">
      <alignment horizontal="right" vertical="center" indent="1"/>
    </xf>
    <xf numFmtId="0" fontId="4" fillId="2" borderId="0" xfId="0" applyFont="1" applyFill="1" applyAlignment="1">
      <alignment horizontal="left" vertical="center"/>
    </xf>
    <xf numFmtId="0" fontId="3" fillId="2" borderId="0" xfId="0" applyFont="1" applyFill="1" applyAlignment="1">
      <alignment vertical="center"/>
    </xf>
    <xf numFmtId="39" fontId="12" fillId="4" borderId="10" xfId="2" applyNumberFormat="1" applyFont="1" applyFill="1" applyBorder="1" applyAlignment="1">
      <alignment horizontal="right"/>
    </xf>
    <xf numFmtId="39" fontId="12" fillId="2" borderId="10" xfId="2" applyNumberFormat="1" applyFont="1" applyFill="1" applyBorder="1" applyAlignment="1">
      <alignment horizontal="right" vertical="center" indent="1"/>
    </xf>
    <xf numFmtId="0" fontId="5" fillId="6" borderId="8" xfId="0" applyFont="1" applyFill="1" applyBorder="1" applyAlignment="1">
      <alignment horizontal="left" vertical="center" indent="1"/>
    </xf>
    <xf numFmtId="0" fontId="5" fillId="6" borderId="11" xfId="0" applyFont="1" applyFill="1" applyBorder="1" applyAlignment="1">
      <alignment horizontal="left" vertical="center" indent="1"/>
    </xf>
    <xf numFmtId="39" fontId="12" fillId="4" borderId="12" xfId="2" applyNumberFormat="1" applyFont="1" applyFill="1" applyBorder="1" applyAlignment="1">
      <alignment horizontal="left" vertical="center" indent="2"/>
    </xf>
    <xf numFmtId="39" fontId="12" fillId="2" borderId="12" xfId="2" applyNumberFormat="1" applyFont="1" applyFill="1" applyBorder="1" applyAlignment="1">
      <alignment horizontal="left" vertical="center" indent="2"/>
    </xf>
    <xf numFmtId="39" fontId="12" fillId="4" borderId="9" xfId="2" applyNumberFormat="1" applyFont="1" applyFill="1" applyBorder="1" applyAlignment="1">
      <alignment horizontal="left" vertical="center" wrapText="1"/>
    </xf>
    <xf numFmtId="39" fontId="12" fillId="2" borderId="9" xfId="2" applyNumberFormat="1" applyFont="1" applyFill="1" applyBorder="1" applyAlignment="1">
      <alignment horizontal="left" vertical="center" wrapText="1"/>
    </xf>
    <xf numFmtId="39" fontId="12" fillId="4" borderId="9" xfId="2" applyNumberFormat="1" applyFont="1" applyFill="1" applyBorder="1" applyAlignment="1">
      <alignment horizontal="right" vertical="center" indent="1"/>
    </xf>
    <xf numFmtId="39" fontId="12" fillId="2" borderId="9" xfId="2" applyNumberFormat="1" applyFont="1" applyFill="1" applyBorder="1" applyAlignment="1">
      <alignment horizontal="center" vertical="center" wrapText="1"/>
    </xf>
    <xf numFmtId="39" fontId="12" fillId="4" borderId="9" xfId="2" applyNumberFormat="1" applyFont="1" applyFill="1" applyBorder="1" applyAlignment="1">
      <alignment horizontal="center" vertical="center" wrapText="1"/>
    </xf>
    <xf numFmtId="39" fontId="12" fillId="2" borderId="9" xfId="2" applyNumberFormat="1" applyFont="1" applyFill="1" applyBorder="1" applyAlignment="1">
      <alignment horizontal="center" vertical="center"/>
    </xf>
    <xf numFmtId="39" fontId="12" fillId="4" borderId="9" xfId="2" applyNumberFormat="1" applyFont="1" applyFill="1" applyBorder="1" applyAlignment="1">
      <alignment horizontal="center" vertical="center"/>
    </xf>
    <xf numFmtId="39" fontId="12" fillId="2" borderId="10" xfId="2" applyNumberFormat="1" applyFont="1" applyFill="1" applyBorder="1" applyAlignment="1">
      <alignment horizontal="left" wrapText="1"/>
    </xf>
    <xf numFmtId="39" fontId="12" fillId="4" borderId="10" xfId="2" applyNumberFormat="1" applyFont="1" applyFill="1" applyBorder="1" applyAlignment="1">
      <alignment horizontal="left" wrapText="1"/>
    </xf>
    <xf numFmtId="39" fontId="12" fillId="4" borderId="10" xfId="2" applyNumberFormat="1" applyFont="1" applyFill="1" applyBorder="1" applyAlignment="1">
      <alignment horizontal="left" vertical="center" wrapText="1"/>
    </xf>
    <xf numFmtId="39" fontId="12" fillId="4" borderId="10" xfId="2" applyNumberFormat="1" applyFont="1" applyFill="1" applyBorder="1" applyAlignment="1">
      <alignment vertical="center" wrapText="1"/>
    </xf>
    <xf numFmtId="39" fontId="12" fillId="2" borderId="10" xfId="2" applyNumberFormat="1" applyFont="1" applyFill="1" applyBorder="1" applyAlignment="1">
      <alignment horizontal="left" vertical="center" wrapText="1"/>
    </xf>
    <xf numFmtId="39" fontId="12" fillId="4" borderId="10" xfId="2" applyNumberFormat="1" applyFont="1" applyFill="1" applyBorder="1" applyAlignment="1">
      <alignment wrapText="1"/>
    </xf>
    <xf numFmtId="39" fontId="12" fillId="4" borderId="10" xfId="2" applyNumberFormat="1" applyFont="1" applyFill="1" applyBorder="1" applyAlignment="1">
      <alignment vertical="center"/>
    </xf>
    <xf numFmtId="37" fontId="12" fillId="2" borderId="13" xfId="2" applyNumberFormat="1" applyFont="1" applyFill="1" applyBorder="1" applyAlignment="1">
      <alignment horizontal="right" vertical="center"/>
    </xf>
    <xf numFmtId="0" fontId="18" fillId="2" borderId="0" xfId="0" applyFont="1" applyFill="1" applyAlignment="1" applyProtection="1">
      <alignment vertical="center"/>
      <protection locked="0"/>
    </xf>
    <xf numFmtId="0" fontId="0" fillId="2" borderId="0" xfId="0" applyFill="1"/>
    <xf numFmtId="0" fontId="19" fillId="2" borderId="5" xfId="0" applyFont="1" applyFill="1" applyBorder="1" applyAlignment="1">
      <alignment vertical="center"/>
    </xf>
    <xf numFmtId="0" fontId="19" fillId="2" borderId="5" xfId="0" applyFont="1" applyFill="1" applyBorder="1" applyAlignment="1">
      <alignment vertical="top"/>
    </xf>
    <xf numFmtId="0" fontId="1" fillId="2" borderId="14" xfId="0" applyFont="1" applyFill="1" applyBorder="1" applyAlignment="1">
      <alignment vertical="center"/>
    </xf>
    <xf numFmtId="4" fontId="12" fillId="2" borderId="0" xfId="0" applyNumberFormat="1" applyFont="1" applyFill="1"/>
    <xf numFmtId="0" fontId="5" fillId="6" borderId="15" xfId="0" applyFont="1" applyFill="1" applyBorder="1" applyAlignment="1">
      <alignment horizontal="right" vertical="center" indent="1"/>
    </xf>
    <xf numFmtId="0" fontId="12" fillId="2" borderId="0" xfId="0" applyFont="1" applyFill="1" applyAlignment="1">
      <alignment horizontal="left" vertical="center"/>
    </xf>
    <xf numFmtId="4" fontId="12" fillId="2" borderId="16" xfId="0" applyNumberFormat="1" applyFont="1" applyFill="1" applyBorder="1" applyAlignment="1">
      <alignment vertical="center"/>
    </xf>
    <xf numFmtId="4" fontId="12" fillId="2" borderId="17" xfId="0" applyNumberFormat="1" applyFont="1" applyFill="1" applyBorder="1" applyAlignment="1">
      <alignment vertical="center"/>
    </xf>
    <xf numFmtId="0" fontId="0" fillId="2" borderId="0" xfId="0" applyFill="1" applyAlignment="1">
      <alignment vertical="center"/>
    </xf>
    <xf numFmtId="0" fontId="13" fillId="7" borderId="18" xfId="0" applyFont="1" applyFill="1" applyBorder="1" applyAlignment="1">
      <alignment vertical="center"/>
    </xf>
    <xf numFmtId="4" fontId="13" fillId="7" borderId="19" xfId="0" applyNumberFormat="1" applyFont="1" applyFill="1" applyBorder="1" applyAlignment="1">
      <alignment vertical="center" wrapText="1"/>
    </xf>
    <xf numFmtId="4" fontId="12" fillId="8" borderId="16" xfId="0" applyNumberFormat="1" applyFont="1" applyFill="1" applyBorder="1" applyAlignment="1">
      <alignment vertical="center" wrapText="1"/>
    </xf>
    <xf numFmtId="4" fontId="12" fillId="2" borderId="16" xfId="0" applyNumberFormat="1" applyFont="1" applyFill="1" applyBorder="1" applyAlignment="1">
      <alignment vertical="center" wrapText="1"/>
    </xf>
    <xf numFmtId="4" fontId="12" fillId="2" borderId="17" xfId="0" applyNumberFormat="1" applyFont="1" applyFill="1" applyBorder="1" applyAlignment="1">
      <alignment vertical="center" wrapText="1"/>
    </xf>
    <xf numFmtId="0" fontId="13" fillId="7" borderId="0" xfId="0" applyFont="1" applyFill="1" applyAlignment="1">
      <alignment vertical="center"/>
    </xf>
    <xf numFmtId="4" fontId="13" fillId="7" borderId="16" xfId="0" applyNumberFormat="1" applyFont="1" applyFill="1" applyBorder="1" applyAlignment="1">
      <alignment vertical="center" wrapText="1"/>
    </xf>
    <xf numFmtId="4" fontId="12" fillId="4" borderId="16" xfId="0" applyNumberFormat="1" applyFont="1" applyFill="1" applyBorder="1" applyAlignment="1">
      <alignment vertical="center" wrapText="1"/>
    </xf>
    <xf numFmtId="4" fontId="12" fillId="2" borderId="20" xfId="0" applyNumberFormat="1" applyFont="1" applyFill="1" applyBorder="1" applyAlignment="1">
      <alignment vertical="center" wrapText="1"/>
    </xf>
    <xf numFmtId="4" fontId="12" fillId="9" borderId="16" xfId="0" applyNumberFormat="1" applyFont="1" applyFill="1" applyBorder="1" applyAlignment="1">
      <alignment vertical="center"/>
    </xf>
    <xf numFmtId="4" fontId="13" fillId="10" borderId="16" xfId="0" applyNumberFormat="1" applyFont="1" applyFill="1" applyBorder="1" applyAlignment="1">
      <alignment vertical="center"/>
    </xf>
    <xf numFmtId="0" fontId="10" fillId="2" borderId="21" xfId="0" applyFont="1" applyFill="1" applyBorder="1" applyAlignment="1">
      <alignment vertical="center"/>
    </xf>
    <xf numFmtId="0" fontId="5" fillId="6" borderId="15" xfId="0" applyFont="1" applyFill="1" applyBorder="1" applyAlignment="1">
      <alignment horizontal="right" wrapText="1"/>
    </xf>
    <xf numFmtId="4" fontId="13" fillId="10" borderId="22" xfId="0" applyNumberFormat="1" applyFont="1" applyFill="1" applyBorder="1" applyAlignment="1">
      <alignment vertical="center"/>
    </xf>
    <xf numFmtId="4" fontId="13" fillId="10" borderId="23" xfId="0" applyNumberFormat="1" applyFont="1" applyFill="1" applyBorder="1" applyAlignment="1">
      <alignment vertical="center"/>
    </xf>
    <xf numFmtId="4" fontId="12" fillId="8" borderId="16" xfId="0" applyNumberFormat="1" applyFont="1" applyFill="1" applyBorder="1" applyAlignment="1">
      <alignment horizontal="right" vertical="center" wrapText="1"/>
    </xf>
    <xf numFmtId="0" fontId="13" fillId="8" borderId="0" xfId="0" applyFont="1" applyFill="1" applyAlignment="1">
      <alignment horizontal="left" vertical="center" indent="1"/>
    </xf>
    <xf numFmtId="0" fontId="12" fillId="2" borderId="0" xfId="0" applyFont="1" applyFill="1" applyAlignment="1">
      <alignment horizontal="left" vertical="center" indent="2"/>
    </xf>
    <xf numFmtId="0" fontId="13" fillId="4" borderId="0" xfId="0" applyFont="1" applyFill="1" applyAlignment="1">
      <alignment horizontal="left" vertical="center" indent="1"/>
    </xf>
    <xf numFmtId="0" fontId="12" fillId="2" borderId="24" xfId="0" applyFont="1" applyFill="1" applyBorder="1" applyAlignment="1">
      <alignment horizontal="left" vertical="center" indent="2"/>
    </xf>
    <xf numFmtId="0" fontId="13" fillId="9" borderId="0" xfId="0" applyFont="1" applyFill="1" applyAlignment="1">
      <alignment horizontal="left" vertical="center" indent="1"/>
    </xf>
    <xf numFmtId="10" fontId="12" fillId="2" borderId="9" xfId="2" applyNumberFormat="1" applyFont="1" applyFill="1" applyBorder="1" applyAlignment="1">
      <alignment horizontal="right" vertical="center" wrapText="1"/>
    </xf>
    <xf numFmtId="10" fontId="12" fillId="4" borderId="0" xfId="2" applyNumberFormat="1" applyFont="1" applyFill="1" applyBorder="1" applyAlignment="1">
      <alignment horizontal="right" vertical="center" wrapText="1"/>
    </xf>
    <xf numFmtId="10" fontId="12" fillId="2" borderId="0" xfId="2" applyNumberFormat="1" applyFont="1" applyFill="1" applyBorder="1" applyAlignment="1">
      <alignment horizontal="right" vertical="center" wrapText="1"/>
    </xf>
    <xf numFmtId="10" fontId="12" fillId="4" borderId="9" xfId="2" applyNumberFormat="1" applyFont="1" applyFill="1" applyBorder="1" applyAlignment="1">
      <alignment horizontal="right" vertical="center" wrapText="1"/>
    </xf>
    <xf numFmtId="4" fontId="13" fillId="11" borderId="25" xfId="0" applyNumberFormat="1" applyFont="1" applyFill="1" applyBorder="1" applyAlignment="1">
      <alignment horizontal="right" vertical="center" wrapText="1"/>
    </xf>
    <xf numFmtId="10" fontId="12" fillId="4" borderId="9" xfId="1" applyNumberFormat="1" applyFont="1" applyFill="1" applyBorder="1" applyAlignment="1">
      <alignment horizontal="right" vertical="center" wrapText="1"/>
    </xf>
    <xf numFmtId="10" fontId="12" fillId="2" borderId="9" xfId="1" applyNumberFormat="1" applyFont="1" applyFill="1" applyBorder="1" applyAlignment="1">
      <alignment horizontal="right" vertical="center" wrapText="1"/>
    </xf>
    <xf numFmtId="10" fontId="12" fillId="4" borderId="0" xfId="1" applyNumberFormat="1" applyFont="1" applyFill="1" applyBorder="1" applyAlignment="1">
      <alignment horizontal="right" vertical="center" wrapText="1"/>
    </xf>
    <xf numFmtId="10" fontId="12" fillId="2" borderId="0" xfId="1" applyNumberFormat="1" applyFont="1" applyFill="1" applyBorder="1" applyAlignment="1">
      <alignment horizontal="right" vertical="center" wrapText="1"/>
    </xf>
    <xf numFmtId="4" fontId="16" fillId="12" borderId="26" xfId="0" applyNumberFormat="1" applyFont="1" applyFill="1" applyBorder="1" applyAlignment="1">
      <alignment vertical="center"/>
    </xf>
    <xf numFmtId="4" fontId="12" fillId="2" borderId="24" xfId="0" applyNumberFormat="1" applyFont="1" applyFill="1" applyBorder="1" applyAlignment="1">
      <alignment vertical="center" wrapText="1"/>
    </xf>
    <xf numFmtId="0" fontId="14" fillId="2" borderId="0" xfId="0" applyFont="1" applyFill="1" applyAlignment="1">
      <alignment horizontal="left"/>
    </xf>
    <xf numFmtId="0" fontId="14" fillId="6" borderId="27" xfId="0" applyFont="1" applyFill="1" applyBorder="1" applyAlignment="1">
      <alignment horizontal="center" vertical="center"/>
    </xf>
    <xf numFmtId="0" fontId="12" fillId="4" borderId="28" xfId="0" applyFont="1" applyFill="1" applyBorder="1" applyAlignment="1">
      <alignment horizontal="center" vertical="center"/>
    </xf>
    <xf numFmtId="0" fontId="12" fillId="2" borderId="28" xfId="0" applyFont="1" applyFill="1" applyBorder="1" applyAlignment="1">
      <alignment horizontal="center" vertical="center"/>
    </xf>
    <xf numFmtId="0" fontId="2" fillId="2" borderId="0" xfId="0" applyFont="1" applyFill="1" applyAlignment="1">
      <alignment vertical="center"/>
    </xf>
    <xf numFmtId="49" fontId="12" fillId="2" borderId="28" xfId="0" applyNumberFormat="1" applyFont="1" applyFill="1" applyBorder="1" applyAlignment="1">
      <alignment horizontal="center" vertical="center"/>
    </xf>
    <xf numFmtId="0" fontId="4" fillId="2" borderId="4" xfId="0" applyFont="1" applyFill="1" applyBorder="1" applyAlignment="1">
      <alignment horizontal="left" vertical="center"/>
    </xf>
    <xf numFmtId="0" fontId="5" fillId="6" borderId="8" xfId="0" applyFont="1" applyFill="1" applyBorder="1" applyAlignment="1">
      <alignment horizontal="right" vertical="center"/>
    </xf>
    <xf numFmtId="0" fontId="5" fillId="6" borderId="29" xfId="0" applyFont="1" applyFill="1" applyBorder="1" applyAlignment="1">
      <alignment horizontal="right" vertical="center"/>
    </xf>
    <xf numFmtId="0" fontId="3" fillId="4" borderId="0" xfId="0" applyFont="1" applyFill="1" applyAlignment="1">
      <alignment vertical="center"/>
    </xf>
    <xf numFmtId="0" fontId="3" fillId="2" borderId="5" xfId="0" applyFont="1" applyFill="1" applyBorder="1" applyAlignment="1">
      <alignment vertical="center"/>
    </xf>
    <xf numFmtId="0" fontId="12" fillId="2" borderId="30" xfId="0" applyFont="1" applyFill="1" applyBorder="1" applyAlignment="1">
      <alignment vertical="center"/>
    </xf>
    <xf numFmtId="0" fontId="2" fillId="2" borderId="31" xfId="0" applyFont="1" applyFill="1" applyBorder="1" applyAlignment="1">
      <alignment vertical="center"/>
    </xf>
    <xf numFmtId="0" fontId="2" fillId="2" borderId="32" xfId="0" applyFont="1" applyFill="1" applyBorder="1" applyAlignment="1">
      <alignment vertical="center"/>
    </xf>
    <xf numFmtId="0" fontId="3" fillId="2" borderId="30" xfId="0" applyFont="1" applyFill="1" applyBorder="1" applyAlignment="1">
      <alignment vertical="center"/>
    </xf>
    <xf numFmtId="0" fontId="3" fillId="2" borderId="31" xfId="0" applyFont="1" applyFill="1" applyBorder="1" applyAlignment="1">
      <alignment vertical="center"/>
    </xf>
    <xf numFmtId="0" fontId="3" fillId="2" borderId="32" xfId="0" applyFont="1" applyFill="1" applyBorder="1" applyAlignment="1">
      <alignment vertical="center"/>
    </xf>
    <xf numFmtId="0" fontId="3" fillId="2" borderId="33" xfId="0" applyFont="1" applyFill="1" applyBorder="1" applyAlignment="1">
      <alignment vertical="center"/>
    </xf>
    <xf numFmtId="0" fontId="3" fillId="2" borderId="34" xfId="0" applyFont="1" applyFill="1" applyBorder="1" applyAlignment="1">
      <alignment vertical="center"/>
    </xf>
    <xf numFmtId="0" fontId="8" fillId="2" borderId="0" xfId="0" applyFont="1" applyFill="1" applyAlignment="1">
      <alignment vertical="center"/>
    </xf>
    <xf numFmtId="0" fontId="3" fillId="2" borderId="35" xfId="0" applyFont="1" applyFill="1" applyBorder="1" applyAlignment="1">
      <alignment vertical="center"/>
    </xf>
    <xf numFmtId="0" fontId="3" fillId="2" borderId="36" xfId="0" applyFont="1" applyFill="1" applyBorder="1" applyAlignment="1">
      <alignment vertical="center"/>
    </xf>
    <xf numFmtId="0" fontId="3" fillId="2" borderId="37" xfId="0" applyFont="1" applyFill="1" applyBorder="1" applyAlignment="1">
      <alignment vertical="center"/>
    </xf>
    <xf numFmtId="0" fontId="3" fillId="2" borderId="38" xfId="0" applyFont="1" applyFill="1" applyBorder="1" applyAlignment="1">
      <alignment vertical="center"/>
    </xf>
    <xf numFmtId="43" fontId="12" fillId="2" borderId="9" xfId="2" applyFont="1" applyFill="1" applyBorder="1" applyAlignment="1">
      <alignment horizontal="left" vertical="center" wrapText="1"/>
    </xf>
    <xf numFmtId="43" fontId="12" fillId="2" borderId="0" xfId="2" applyFont="1" applyFill="1" applyBorder="1" applyAlignment="1">
      <alignment horizontal="left" vertical="center" wrapText="1"/>
    </xf>
    <xf numFmtId="43" fontId="12" fillId="4" borderId="9" xfId="2" applyFont="1" applyFill="1" applyBorder="1" applyAlignment="1">
      <alignment horizontal="left" vertical="center" wrapText="1"/>
    </xf>
    <xf numFmtId="43" fontId="12" fillId="4" borderId="0" xfId="2" applyFont="1" applyFill="1" applyBorder="1" applyAlignment="1">
      <alignment horizontal="left" vertical="center" wrapText="1"/>
    </xf>
    <xf numFmtId="166" fontId="12" fillId="2" borderId="9" xfId="2" applyNumberFormat="1" applyFont="1" applyFill="1" applyBorder="1" applyAlignment="1">
      <alignment horizontal="left" vertical="center" wrapText="1"/>
    </xf>
    <xf numFmtId="0" fontId="3" fillId="2" borderId="39" xfId="0" applyFont="1" applyFill="1" applyBorder="1" applyAlignment="1">
      <alignment vertical="center"/>
    </xf>
    <xf numFmtId="37" fontId="12" fillId="2" borderId="40" xfId="1" applyNumberFormat="1" applyFont="1" applyFill="1" applyBorder="1" applyAlignment="1">
      <alignment horizontal="right" vertical="center"/>
    </xf>
    <xf numFmtId="0" fontId="3" fillId="2" borderId="10" xfId="0" applyFont="1" applyFill="1" applyBorder="1" applyAlignment="1">
      <alignment horizontal="center" vertical="center"/>
    </xf>
    <xf numFmtId="0" fontId="3" fillId="2" borderId="41" xfId="0" applyFont="1" applyFill="1" applyBorder="1" applyAlignment="1">
      <alignment vertical="center"/>
    </xf>
    <xf numFmtId="0" fontId="3" fillId="2" borderId="0" xfId="0" applyFont="1" applyFill="1" applyAlignment="1">
      <alignment horizontal="center" vertical="center"/>
    </xf>
    <xf numFmtId="0" fontId="4" fillId="2" borderId="42" xfId="0" applyFont="1" applyFill="1" applyBorder="1" applyAlignment="1">
      <alignment horizontal="left" vertical="center"/>
    </xf>
    <xf numFmtId="0" fontId="12" fillId="2" borderId="13" xfId="0" applyFont="1" applyFill="1" applyBorder="1" applyAlignment="1">
      <alignment horizontal="left" vertical="center"/>
    </xf>
    <xf numFmtId="0" fontId="3" fillId="2" borderId="13" xfId="0" applyFont="1" applyFill="1" applyBorder="1" applyAlignment="1">
      <alignment vertical="center"/>
    </xf>
    <xf numFmtId="0" fontId="3" fillId="2" borderId="43"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horizontal="left" vertical="center" indent="1"/>
    </xf>
    <xf numFmtId="0" fontId="12" fillId="4" borderId="0" xfId="0" applyFont="1" applyFill="1" applyAlignment="1">
      <alignment horizontal="left" vertical="center" indent="1"/>
    </xf>
    <xf numFmtId="0" fontId="12" fillId="2" borderId="44" xfId="0" applyFont="1" applyFill="1" applyBorder="1" applyAlignment="1">
      <alignment horizontal="left" vertical="center" indent="1"/>
    </xf>
    <xf numFmtId="0" fontId="17" fillId="13" borderId="0" xfId="0" applyFont="1" applyFill="1" applyAlignment="1">
      <alignment horizontal="left" vertical="center" indent="2"/>
    </xf>
    <xf numFmtId="0" fontId="17" fillId="14" borderId="0" xfId="0" applyFont="1" applyFill="1" applyAlignment="1">
      <alignment horizontal="left" vertical="center" indent="2"/>
    </xf>
    <xf numFmtId="0" fontId="17" fillId="15" borderId="0" xfId="0" applyFont="1" applyFill="1" applyAlignment="1">
      <alignment horizontal="left" vertical="center" indent="2"/>
    </xf>
    <xf numFmtId="0" fontId="17" fillId="16" borderId="0" xfId="0" applyFont="1" applyFill="1" applyAlignment="1">
      <alignment horizontal="left" vertical="center" indent="2"/>
    </xf>
    <xf numFmtId="39" fontId="12" fillId="4" borderId="9" xfId="2" applyNumberFormat="1" applyFont="1" applyFill="1" applyBorder="1" applyAlignment="1">
      <alignment horizontal="right" vertical="center" wrapText="1" indent="1"/>
    </xf>
    <xf numFmtId="39" fontId="12" fillId="4" borderId="0" xfId="2" applyNumberFormat="1" applyFont="1" applyFill="1" applyBorder="1" applyAlignment="1">
      <alignment horizontal="right" vertical="center" wrapText="1" indent="1"/>
    </xf>
    <xf numFmtId="39" fontId="12" fillId="2" borderId="9" xfId="2" applyNumberFormat="1" applyFont="1" applyFill="1" applyBorder="1" applyAlignment="1">
      <alignment horizontal="right" vertical="center" wrapText="1" indent="1"/>
    </xf>
    <xf numFmtId="39" fontId="12" fillId="2" borderId="0" xfId="2" applyNumberFormat="1" applyFont="1" applyFill="1" applyBorder="1" applyAlignment="1">
      <alignment horizontal="right" vertical="center" wrapText="1" indent="1"/>
    </xf>
    <xf numFmtId="39" fontId="12" fillId="4" borderId="45" xfId="2" applyNumberFormat="1" applyFont="1" applyFill="1" applyBorder="1" applyAlignment="1">
      <alignment horizontal="right" vertical="center" wrapText="1" indent="1"/>
    </xf>
    <xf numFmtId="39" fontId="12" fillId="4" borderId="46" xfId="2" applyNumberFormat="1" applyFont="1" applyFill="1" applyBorder="1" applyAlignment="1">
      <alignment horizontal="right" vertical="center" wrapText="1" indent="1"/>
    </xf>
    <xf numFmtId="39" fontId="12" fillId="2" borderId="47" xfId="2" applyNumberFormat="1" applyFont="1" applyFill="1" applyBorder="1" applyAlignment="1">
      <alignment horizontal="right" vertical="center" wrapText="1" indent="1"/>
    </xf>
    <xf numFmtId="39" fontId="12" fillId="2" borderId="46" xfId="2" applyNumberFormat="1" applyFont="1" applyFill="1" applyBorder="1" applyAlignment="1">
      <alignment horizontal="right" vertical="center" wrapText="1" indent="1"/>
    </xf>
    <xf numFmtId="0" fontId="21" fillId="4" borderId="48" xfId="0" applyFont="1" applyFill="1" applyBorder="1" applyAlignment="1">
      <alignment horizontal="left" vertical="center" indent="1"/>
    </xf>
    <xf numFmtId="39" fontId="12" fillId="4" borderId="48" xfId="2" applyNumberFormat="1" applyFont="1" applyFill="1" applyBorder="1" applyAlignment="1">
      <alignment horizontal="left" vertical="center" indent="1"/>
    </xf>
    <xf numFmtId="39" fontId="12" fillId="4" borderId="0" xfId="2" applyNumberFormat="1" applyFont="1" applyFill="1" applyBorder="1" applyAlignment="1">
      <alignment horizontal="left" vertical="center" indent="1"/>
    </xf>
    <xf numFmtId="43" fontId="12" fillId="2" borderId="9" xfId="2" applyFont="1" applyFill="1" applyBorder="1" applyAlignment="1">
      <alignment horizontal="left" vertical="center" indent="1"/>
    </xf>
    <xf numFmtId="43" fontId="12" fillId="2" borderId="0" xfId="2" applyFont="1" applyFill="1" applyBorder="1" applyAlignment="1">
      <alignment horizontal="left" vertical="center" indent="1"/>
    </xf>
    <xf numFmtId="37" fontId="12" fillId="2" borderId="9" xfId="2" applyNumberFormat="1" applyFont="1" applyFill="1" applyBorder="1" applyAlignment="1">
      <alignment horizontal="left" vertical="center" indent="1"/>
    </xf>
    <xf numFmtId="37" fontId="12" fillId="2" borderId="0" xfId="2" applyNumberFormat="1" applyFont="1" applyFill="1" applyBorder="1" applyAlignment="1">
      <alignment horizontal="left" vertical="center" indent="1"/>
    </xf>
    <xf numFmtId="37" fontId="12" fillId="4" borderId="9" xfId="1" applyNumberFormat="1" applyFont="1" applyFill="1" applyBorder="1" applyAlignment="1">
      <alignment horizontal="right" vertical="center" indent="1"/>
    </xf>
    <xf numFmtId="37" fontId="12" fillId="2" borderId="9" xfId="1" applyNumberFormat="1" applyFont="1" applyFill="1" applyBorder="1" applyAlignment="1">
      <alignment horizontal="right" vertical="center" indent="1"/>
    </xf>
    <xf numFmtId="0" fontId="12" fillId="4" borderId="49" xfId="0" applyFont="1" applyFill="1" applyBorder="1" applyAlignment="1">
      <alignment horizontal="center" vertical="center"/>
    </xf>
    <xf numFmtId="0" fontId="12" fillId="2" borderId="49" xfId="0" applyFont="1" applyFill="1" applyBorder="1" applyAlignment="1">
      <alignment horizontal="center" vertical="center"/>
    </xf>
    <xf numFmtId="0" fontId="14" fillId="6" borderId="50" xfId="0" applyFont="1" applyFill="1" applyBorder="1" applyAlignment="1">
      <alignment horizontal="center" vertical="center"/>
    </xf>
    <xf numFmtId="0" fontId="14" fillId="6" borderId="51" xfId="0" applyFont="1" applyFill="1" applyBorder="1" applyAlignment="1">
      <alignment horizontal="left" vertical="center"/>
    </xf>
    <xf numFmtId="0" fontId="13" fillId="10" borderId="52" xfId="0" applyFont="1" applyFill="1" applyBorder="1" applyAlignment="1">
      <alignment horizontal="left" vertical="center" indent="1"/>
    </xf>
    <xf numFmtId="0" fontId="12" fillId="2" borderId="0" xfId="0" applyFont="1" applyFill="1" applyAlignment="1">
      <alignment horizontal="left" vertical="center" indent="3"/>
    </xf>
    <xf numFmtId="0" fontId="13" fillId="10" borderId="0" xfId="0" applyFont="1" applyFill="1" applyAlignment="1">
      <alignment horizontal="left" vertical="center" indent="1"/>
    </xf>
    <xf numFmtId="0" fontId="13" fillId="11" borderId="53" xfId="0" applyFont="1" applyFill="1" applyBorder="1" applyAlignment="1">
      <alignment horizontal="left" vertical="center" indent="1"/>
    </xf>
    <xf numFmtId="0" fontId="4" fillId="2" borderId="0" xfId="0" applyFont="1" applyFill="1" applyAlignment="1">
      <alignment horizontal="left" indent="1"/>
    </xf>
    <xf numFmtId="0" fontId="14" fillId="12" borderId="54" xfId="0" applyFont="1" applyFill="1" applyBorder="1" applyAlignment="1">
      <alignment horizontal="left" vertical="center" indent="1"/>
    </xf>
    <xf numFmtId="4" fontId="13" fillId="7" borderId="55" xfId="0" applyNumberFormat="1" applyFont="1" applyFill="1" applyBorder="1" applyAlignment="1">
      <alignment vertical="center" wrapText="1"/>
    </xf>
    <xf numFmtId="4" fontId="12" fillId="8" borderId="17" xfId="0" applyNumberFormat="1" applyFont="1" applyFill="1" applyBorder="1" applyAlignment="1">
      <alignment vertical="center" wrapText="1"/>
    </xf>
    <xf numFmtId="4" fontId="13" fillId="7" borderId="17" xfId="0" applyNumberFormat="1" applyFont="1" applyFill="1" applyBorder="1" applyAlignment="1">
      <alignment vertical="center" wrapText="1"/>
    </xf>
    <xf numFmtId="4" fontId="12" fillId="8" borderId="17" xfId="0" applyNumberFormat="1" applyFont="1" applyFill="1" applyBorder="1" applyAlignment="1">
      <alignment horizontal="right" vertical="center" wrapText="1"/>
    </xf>
    <xf numFmtId="4" fontId="12" fillId="4" borderId="17" xfId="0" applyNumberFormat="1" applyFont="1" applyFill="1" applyBorder="1" applyAlignment="1">
      <alignment vertical="center" wrapText="1"/>
    </xf>
    <xf numFmtId="4" fontId="12" fillId="2" borderId="56" xfId="0" applyNumberFormat="1" applyFont="1" applyFill="1" applyBorder="1" applyAlignment="1">
      <alignment vertical="center" wrapText="1"/>
    </xf>
    <xf numFmtId="4" fontId="12" fillId="2" borderId="0" xfId="0" applyNumberFormat="1" applyFont="1" applyFill="1" applyAlignment="1">
      <alignment vertical="center" wrapText="1"/>
    </xf>
    <xf numFmtId="4" fontId="12" fillId="2" borderId="18" xfId="0" applyNumberFormat="1" applyFont="1" applyFill="1" applyBorder="1" applyAlignment="1">
      <alignment vertical="center" wrapText="1"/>
    </xf>
    <xf numFmtId="39" fontId="12" fillId="2" borderId="57" xfId="2" applyNumberFormat="1" applyFont="1" applyFill="1" applyBorder="1" applyAlignment="1">
      <alignment horizontal="right" vertical="center" wrapText="1" indent="1"/>
    </xf>
    <xf numFmtId="39" fontId="12" fillId="4" borderId="57" xfId="2" applyNumberFormat="1" applyFont="1" applyFill="1" applyBorder="1" applyAlignment="1">
      <alignment horizontal="right" vertical="center" wrapText="1" indent="1"/>
    </xf>
    <xf numFmtId="0" fontId="3" fillId="4" borderId="10" xfId="0" applyFont="1" applyFill="1" applyBorder="1" applyAlignment="1">
      <alignment horizontal="center" vertical="center"/>
    </xf>
    <xf numFmtId="37" fontId="12" fillId="4" borderId="40" xfId="1" applyNumberFormat="1" applyFont="1" applyFill="1" applyBorder="1" applyAlignment="1">
      <alignment horizontal="right" vertical="center"/>
    </xf>
    <xf numFmtId="37" fontId="12" fillId="4" borderId="58" xfId="1" applyNumberFormat="1" applyFont="1" applyFill="1" applyBorder="1" applyAlignment="1">
      <alignment horizontal="right" vertical="center"/>
    </xf>
    <xf numFmtId="0" fontId="3" fillId="2" borderId="59" xfId="0" applyFont="1" applyFill="1" applyBorder="1" applyAlignment="1">
      <alignment vertical="center"/>
    </xf>
    <xf numFmtId="0" fontId="21" fillId="2" borderId="0" xfId="0" applyFont="1" applyFill="1" applyAlignment="1">
      <alignment horizontal="left" vertical="center" indent="1"/>
    </xf>
    <xf numFmtId="0" fontId="3" fillId="2" borderId="0" xfId="0" applyFont="1" applyFill="1" applyAlignment="1">
      <alignment horizontal="left" vertical="center" indent="1"/>
    </xf>
    <xf numFmtId="0" fontId="21" fillId="4" borderId="0" xfId="0" applyFont="1" applyFill="1" applyAlignment="1">
      <alignment horizontal="left" vertical="center" indent="1"/>
    </xf>
    <xf numFmtId="0" fontId="3" fillId="4" borderId="0" xfId="0" applyFont="1" applyFill="1" applyAlignment="1">
      <alignment horizontal="left" vertical="center" indent="1"/>
    </xf>
    <xf numFmtId="0" fontId="21" fillId="2" borderId="59" xfId="0" applyFont="1" applyFill="1" applyBorder="1" applyAlignment="1">
      <alignment horizontal="left" vertical="center" indent="1"/>
    </xf>
    <xf numFmtId="0" fontId="12" fillId="4" borderId="0" xfId="0" applyFont="1" applyFill="1" applyAlignment="1">
      <alignment horizontal="left" vertical="center" indent="2"/>
    </xf>
    <xf numFmtId="1" fontId="12" fillId="2" borderId="9" xfId="2" applyNumberFormat="1" applyFont="1" applyFill="1" applyBorder="1" applyAlignment="1">
      <alignment horizontal="left" vertical="center" wrapText="1"/>
    </xf>
    <xf numFmtId="1" fontId="12" fillId="2" borderId="0" xfId="2" applyNumberFormat="1" applyFont="1" applyFill="1" applyBorder="1" applyAlignment="1">
      <alignment horizontal="left" vertical="center" wrapText="1"/>
    </xf>
    <xf numFmtId="10" fontId="3" fillId="2" borderId="0" xfId="1" applyNumberFormat="1" applyFont="1" applyFill="1" applyAlignment="1">
      <alignment vertical="center"/>
    </xf>
    <xf numFmtId="0" fontId="12" fillId="4" borderId="28" xfId="0" applyFont="1" applyFill="1" applyBorder="1" applyAlignment="1">
      <alignment horizontal="center"/>
    </xf>
    <xf numFmtId="0" fontId="12" fillId="2" borderId="28" xfId="0" applyFont="1" applyFill="1" applyBorder="1" applyAlignment="1">
      <alignment horizontal="center"/>
    </xf>
    <xf numFmtId="4" fontId="12" fillId="9" borderId="17" xfId="0" applyNumberFormat="1" applyFont="1" applyFill="1" applyBorder="1" applyAlignment="1">
      <alignment vertical="center"/>
    </xf>
    <xf numFmtId="4" fontId="0" fillId="2" borderId="0" xfId="0" applyNumberFormat="1" applyFill="1" applyAlignment="1">
      <alignment vertical="center"/>
    </xf>
    <xf numFmtId="2" fontId="12" fillId="2" borderId="9" xfId="2" applyNumberFormat="1" applyFont="1" applyFill="1" applyBorder="1" applyAlignment="1">
      <alignment horizontal="left" vertical="center" wrapText="1"/>
    </xf>
    <xf numFmtId="0" fontId="12" fillId="2" borderId="60" xfId="0" applyFont="1" applyFill="1" applyBorder="1" applyAlignment="1">
      <alignment horizontal="center" vertical="center"/>
    </xf>
    <xf numFmtId="10" fontId="3" fillId="2" borderId="0" xfId="1" applyNumberFormat="1" applyFont="1" applyFill="1" applyAlignment="1">
      <alignment horizontal="center" vertical="center"/>
    </xf>
    <xf numFmtId="4" fontId="0" fillId="0" borderId="0" xfId="0" applyNumberFormat="1"/>
    <xf numFmtId="4" fontId="12" fillId="9" borderId="61" xfId="0" applyNumberFormat="1" applyFont="1" applyFill="1" applyBorder="1" applyAlignment="1">
      <alignment vertical="center"/>
    </xf>
    <xf numFmtId="10" fontId="17" fillId="0" borderId="9" xfId="1" applyNumberFormat="1" applyFont="1" applyFill="1" applyBorder="1" applyAlignment="1">
      <alignment horizontal="right" vertical="center" wrapText="1"/>
    </xf>
    <xf numFmtId="10" fontId="17" fillId="0" borderId="10" xfId="1" applyNumberFormat="1" applyFont="1" applyFill="1" applyBorder="1" applyAlignment="1">
      <alignment horizontal="right" vertical="center" wrapText="1"/>
    </xf>
    <xf numFmtId="10" fontId="17" fillId="4" borderId="9" xfId="1" applyNumberFormat="1" applyFont="1" applyFill="1" applyBorder="1" applyAlignment="1">
      <alignment horizontal="right" vertical="center" wrapText="1"/>
    </xf>
    <xf numFmtId="10" fontId="17" fillId="4" borderId="0" xfId="1" applyNumberFormat="1" applyFont="1" applyFill="1" applyBorder="1" applyAlignment="1">
      <alignment horizontal="right" vertical="center" wrapText="1"/>
    </xf>
    <xf numFmtId="43" fontId="12" fillId="4" borderId="9" xfId="2" applyFont="1" applyFill="1" applyBorder="1" applyAlignment="1">
      <alignment horizontal="right" vertical="center" wrapText="1"/>
    </xf>
    <xf numFmtId="43" fontId="12" fillId="4" borderId="0" xfId="2" applyFont="1" applyFill="1" applyBorder="1" applyAlignment="1">
      <alignment horizontal="right" vertical="center" wrapText="1"/>
    </xf>
    <xf numFmtId="165" fontId="12" fillId="4" borderId="9" xfId="2" applyNumberFormat="1" applyFont="1" applyFill="1" applyBorder="1" applyAlignment="1">
      <alignment horizontal="right" vertical="center" wrapText="1"/>
    </xf>
    <xf numFmtId="165" fontId="12" fillId="4" borderId="0" xfId="2" applyNumberFormat="1" applyFont="1" applyFill="1" applyBorder="1" applyAlignment="1">
      <alignment horizontal="right" vertical="center" wrapText="1"/>
    </xf>
    <xf numFmtId="165" fontId="12" fillId="2" borderId="9" xfId="2" applyNumberFormat="1" applyFont="1" applyFill="1" applyBorder="1" applyAlignment="1">
      <alignment horizontal="right" vertical="center" wrapText="1"/>
    </xf>
    <xf numFmtId="165" fontId="12" fillId="2" borderId="0" xfId="2" applyNumberFormat="1" applyFont="1" applyFill="1" applyBorder="1" applyAlignment="1">
      <alignment horizontal="right" vertical="center" wrapText="1"/>
    </xf>
    <xf numFmtId="0" fontId="12" fillId="2" borderId="62" xfId="0" applyFont="1" applyFill="1" applyBorder="1" applyAlignment="1">
      <alignment horizontal="center"/>
    </xf>
    <xf numFmtId="4" fontId="12" fillId="2" borderId="63" xfId="2" applyNumberFormat="1" applyFont="1" applyFill="1" applyBorder="1" applyAlignment="1">
      <alignment horizontal="right" vertical="center" indent="1"/>
    </xf>
    <xf numFmtId="4" fontId="12" fillId="4" borderId="9" xfId="2" applyNumberFormat="1" applyFont="1" applyFill="1" applyBorder="1" applyAlignment="1">
      <alignment horizontal="right" vertical="center" wrapText="1" indent="1"/>
    </xf>
    <xf numFmtId="4" fontId="12" fillId="2" borderId="9" xfId="2" applyNumberFormat="1" applyFont="1" applyFill="1" applyBorder="1" applyAlignment="1">
      <alignment horizontal="right" vertical="center" wrapText="1" indent="1"/>
    </xf>
    <xf numFmtId="0" fontId="3" fillId="4" borderId="0" xfId="0" applyFont="1" applyFill="1" applyAlignment="1">
      <alignment horizontal="center" vertical="center"/>
    </xf>
    <xf numFmtId="10" fontId="12" fillId="2" borderId="28" xfId="1" applyNumberFormat="1" applyFont="1" applyFill="1" applyBorder="1" applyAlignment="1">
      <alignment horizontal="center" vertical="center"/>
    </xf>
    <xf numFmtId="10" fontId="12" fillId="4" borderId="9" xfId="1" applyNumberFormat="1" applyFont="1" applyFill="1" applyBorder="1" applyAlignment="1">
      <alignment horizontal="left" vertical="center" wrapText="1"/>
    </xf>
    <xf numFmtId="10" fontId="12" fillId="4" borderId="0" xfId="1" applyNumberFormat="1" applyFont="1" applyFill="1" applyBorder="1" applyAlignment="1">
      <alignment horizontal="left" vertical="center" wrapText="1"/>
    </xf>
    <xf numFmtId="43" fontId="12" fillId="4" borderId="9" xfId="2" applyFont="1" applyFill="1" applyBorder="1" applyAlignment="1">
      <alignment horizontal="right" vertical="center" wrapText="1" indent="1"/>
    </xf>
    <xf numFmtId="43" fontId="12" fillId="2" borderId="9" xfId="2" applyFont="1" applyFill="1" applyBorder="1" applyAlignment="1">
      <alignment horizontal="right" vertical="center" wrapText="1" indent="1"/>
    </xf>
    <xf numFmtId="39" fontId="12" fillId="2" borderId="63" xfId="2" applyNumberFormat="1" applyFont="1" applyFill="1" applyBorder="1" applyAlignment="1">
      <alignment horizontal="right" vertical="center" wrapText="1" indent="1"/>
    </xf>
    <xf numFmtId="164" fontId="0" fillId="2" borderId="0" xfId="0" applyNumberFormat="1" applyFill="1"/>
    <xf numFmtId="4" fontId="0" fillId="2" borderId="0" xfId="0" applyNumberFormat="1" applyFill="1" applyAlignment="1">
      <alignment horizontal="right"/>
    </xf>
    <xf numFmtId="164" fontId="0" fillId="2" borderId="0" xfId="0" applyNumberFormat="1" applyFill="1" applyAlignment="1">
      <alignment horizontal="right"/>
    </xf>
    <xf numFmtId="10" fontId="12" fillId="2" borderId="9" xfId="1" applyNumberFormat="1" applyFont="1" applyFill="1" applyBorder="1" applyAlignment="1">
      <alignment horizontal="left" vertical="center" wrapText="1"/>
    </xf>
    <xf numFmtId="0" fontId="20" fillId="3" borderId="0" xfId="0" applyFont="1" applyFill="1" applyAlignment="1">
      <alignment horizontal="left" vertical="center"/>
    </xf>
    <xf numFmtId="0" fontId="0" fillId="2" borderId="24" xfId="0" applyFill="1" applyBorder="1" applyAlignment="1">
      <alignment horizontal="center" vertical="center"/>
    </xf>
  </cellXfs>
  <cellStyles count="10">
    <cellStyle name="Normal" xfId="0" builtinId="0"/>
    <cellStyle name="Normal 2" xfId="4" xr:uid="{00000000-0005-0000-0000-000007000000}"/>
    <cellStyle name="Normal 3" xfId="3" xr:uid="{00000000-0005-0000-0000-000006000000}"/>
    <cellStyle name="Percentagem" xfId="1" builtinId="5"/>
    <cellStyle name="Percentagem 13" xfId="7" xr:uid="{00000000-0005-0000-0000-00000A000000}"/>
    <cellStyle name="Percentagem 2" xfId="5" xr:uid="{00000000-0005-0000-0000-000008000000}"/>
    <cellStyle name="Vírgula" xfId="2" builtinId="3"/>
    <cellStyle name="Vírgula 2" xfId="6" xr:uid="{00000000-0005-0000-0000-000009000000}"/>
    <cellStyle name="Vírgula 3" xfId="9" xr:uid="{00000000-0005-0000-0000-00000C000000}"/>
    <cellStyle name="Vírgula 4"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68253162592301"/>
          <c:y val="0.117778477690289"/>
          <c:w val="0.78936913380051199"/>
          <c:h val="0.84074004082822995"/>
        </c:manualLayout>
      </c:layout>
      <c:barChart>
        <c:barDir val="col"/>
        <c:grouping val="clustered"/>
        <c:varyColors val="0"/>
        <c:ser>
          <c:idx val="0"/>
          <c:order val="0"/>
          <c:tx>
            <c:v>PMR</c:v>
          </c:tx>
          <c:spPr>
            <a:solidFill>
              <a:schemeClr val="accent6"/>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SECTORIAL'!$F$34:$I$34</c:f>
              <c:numCache>
                <c:formatCode>_-* #\ ##0_-;\-* #\ ##0_-;_-* "-"??_-;_-@_-</c:formatCode>
                <c:ptCount val="4"/>
                <c:pt idx="0">
                  <c:v>277.88724905588361</c:v>
                </c:pt>
                <c:pt idx="1">
                  <c:v>269.38207180666899</c:v>
                </c:pt>
                <c:pt idx="2">
                  <c:v>221.74693784847031</c:v>
                </c:pt>
                <c:pt idx="3">
                  <c:v>278.92373605105712</c:v>
                </c:pt>
              </c:numCache>
            </c:numRef>
          </c:val>
          <c:extLst>
            <c:ext xmlns:c16="http://schemas.microsoft.com/office/drawing/2014/chart" uri="{C3380CC4-5D6E-409C-BE32-E72D297353CC}">
              <c16:uniqueId val="{00000000-0EB8-4567-AB45-0CD85F1AAFE8}"/>
            </c:ext>
          </c:extLst>
        </c:ser>
        <c:ser>
          <c:idx val="1"/>
          <c:order val="1"/>
          <c:tx>
            <c:v>PMP</c:v>
          </c:tx>
          <c:spPr>
            <a:solidFill>
              <a:schemeClr val="accent5"/>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SECTORIAL'!$F$35:$I$35</c:f>
              <c:numCache>
                <c:formatCode>_-* #\ ##0_-;\-* #\ ##0_-;_-* "-"??_-;_-@_-</c:formatCode>
                <c:ptCount val="4"/>
                <c:pt idx="0">
                  <c:v>351.13393183637356</c:v>
                </c:pt>
                <c:pt idx="1">
                  <c:v>327.65401239350831</c:v>
                </c:pt>
                <c:pt idx="2">
                  <c:v>299.44794457690057</c:v>
                </c:pt>
                <c:pt idx="3">
                  <c:v>281.9913003116443</c:v>
                </c:pt>
              </c:numCache>
            </c:numRef>
          </c:val>
          <c:extLst>
            <c:ext xmlns:c16="http://schemas.microsoft.com/office/drawing/2014/chart" uri="{C3380CC4-5D6E-409C-BE32-E72D297353CC}">
              <c16:uniqueId val="{00000001-0EB8-4567-AB45-0CD85F1AAFE8}"/>
            </c:ext>
          </c:extLst>
        </c:ser>
        <c:dLbls>
          <c:showLegendKey val="0"/>
          <c:showVal val="1"/>
          <c:showCatName val="0"/>
          <c:showSerName val="0"/>
          <c:showPercent val="0"/>
          <c:showBubbleSize val="0"/>
        </c:dLbls>
        <c:gapWidth val="40"/>
        <c:overlap val="-15"/>
        <c:axId val="1566157402"/>
        <c:axId val="-1759972157"/>
      </c:barChart>
      <c:catAx>
        <c:axId val="1566157402"/>
        <c:scaling>
          <c:orientation val="minMax"/>
        </c:scaling>
        <c:delete val="1"/>
        <c:axPos val="b"/>
        <c:majorGridlines>
          <c:spPr>
            <a:ln w="9525" cap="flat" cmpd="sng">
              <a:solidFill>
                <a:schemeClr val="tx1">
                  <a:lumMod val="15000"/>
                  <a:lumOff val="85000"/>
                </a:schemeClr>
              </a:solidFill>
              <a:round/>
            </a:ln>
            <a:effectLst/>
          </c:spPr>
        </c:majorGridlines>
        <c:majorTickMark val="none"/>
        <c:minorTickMark val="none"/>
        <c:tickLblPos val="nextTo"/>
        <c:crossAx val="-1759972157"/>
        <c:crosses val="autoZero"/>
        <c:auto val="1"/>
        <c:lblAlgn val="ctr"/>
        <c:lblOffset val="100"/>
        <c:noMultiLvlLbl val="0"/>
      </c:catAx>
      <c:valAx>
        <c:axId val="-1759972157"/>
        <c:scaling>
          <c:orientation val="minMax"/>
        </c:scaling>
        <c:delete val="1"/>
        <c:axPos val="l"/>
        <c:title>
          <c:tx>
            <c:rich>
              <a:bodyPr rot="-5400000" spcFirstLastPara="1" vertOverflow="ellipsis" vert="horz" wrap="square" anchor="ctr" anchorCtr="1"/>
              <a:lstStyle/>
              <a:p>
                <a:pPr>
                  <a:defRPr lang="pt-PT" sz="800" b="0" i="0" u="none" kern="1200" cap="all" baseline="0">
                    <a:solidFill>
                      <a:schemeClr val="tx2">
                        <a:lumMod val="50000"/>
                      </a:schemeClr>
                    </a:solidFill>
                    <a:latin typeface="Segoe UI"/>
                    <a:ea typeface="Segoe UI"/>
                  </a:defRPr>
                </a:pPr>
                <a:r>
                  <a:rPr lang="pt-PT"/>
                  <a:t>Nº DE DIAS</a:t>
                </a:r>
              </a:p>
            </c:rich>
          </c:tx>
          <c:layout>
            <c:manualLayout>
              <c:xMode val="edge"/>
              <c:yMode val="edge"/>
              <c:x val="6.3705901607128204E-2"/>
              <c:y val="0.31119257151679602"/>
            </c:manualLayout>
          </c:layout>
          <c:overlay val="0"/>
          <c:spPr>
            <a:noFill/>
            <a:ln w="6350">
              <a:noFill/>
            </a:ln>
            <a:effectLst/>
          </c:spPr>
        </c:title>
        <c:numFmt formatCode="_-* #\ ##0_-;\-* #\ ##0_-;_-* &quot;-&quot;??_-;_-@_-" sourceLinked="1"/>
        <c:majorTickMark val="out"/>
        <c:minorTickMark val="none"/>
        <c:tickLblPos val="nextTo"/>
        <c:crossAx val="1566157402"/>
        <c:crosses val="autoZero"/>
        <c:crossBetween val="between"/>
      </c:valAx>
      <c:spPr>
        <a:noFill/>
        <a:ln w="6350">
          <a:noFill/>
        </a:ln>
        <a:effectLst/>
      </c:spPr>
    </c:plotArea>
    <c:legend>
      <c:legendPos val="t"/>
      <c:layout>
        <c:manualLayout>
          <c:xMode val="edge"/>
          <c:yMode val="edge"/>
          <c:x val="0.30946277394373201"/>
          <c:y val="1.7777777777777799E-2"/>
          <c:w val="0.46850581949519898"/>
          <c:h val="7.62969962088072E-2"/>
        </c:manualLayout>
      </c:layout>
      <c:overlay val="0"/>
      <c:spPr>
        <a:noFill/>
        <a:ln w="6350">
          <a:noFill/>
        </a:ln>
        <a:effectLst/>
      </c:spPr>
      <c:txPr>
        <a:bodyPr rot="0" spcFirstLastPara="1" vertOverflow="ellipsis" vert="horz" wrap="square" anchor="ctr" anchorCtr="1"/>
        <a:lstStyle/>
        <a:p>
          <a:pPr>
            <a:defRPr lang="en-US" sz="900" b="0" i="0" u="none" kern="120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a:noFill/>
      <a:round/>
    </a:ln>
    <a:effectLst/>
  </c:spPr>
  <c:txPr>
    <a:bodyPr rot="0" vert="horz" wrap="square"/>
    <a:lstStyle/>
    <a:p>
      <a:pPr>
        <a:defRPr lang="en-US" sz="900" u="none" baseline="0">
          <a:solidFill>
            <a:schemeClr val="tx2">
              <a:lumMod val="50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5276438874201"/>
          <c:y val="1.14082034864188E-2"/>
          <c:w val="0.80454723561125796"/>
          <c:h val="0.98859179651358098"/>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0"/>
                  <c:y val="0.3032197184060129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E5-4C6F-989F-0563A884815B}"/>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SECTORIAL'!$F$13:$I$13</c:f>
              <c:numCache>
                <c:formatCode>#,##0.00_);\(#,##0.00\)</c:formatCode>
                <c:ptCount val="4"/>
                <c:pt idx="0">
                  <c:v>723523.09784564993</c:v>
                </c:pt>
                <c:pt idx="1">
                  <c:v>783914.44422870013</c:v>
                </c:pt>
                <c:pt idx="2">
                  <c:v>1309291.9279648601</c:v>
                </c:pt>
                <c:pt idx="3">
                  <c:v>1941149.7343556904</c:v>
                </c:pt>
              </c:numCache>
            </c:numRef>
          </c:val>
          <c:extLst>
            <c:ext xmlns:c16="http://schemas.microsoft.com/office/drawing/2014/chart" uri="{C3380CC4-5D6E-409C-BE32-E72D297353CC}">
              <c16:uniqueId val="{00000000-561C-448B-8296-17A829FCD611}"/>
            </c:ext>
          </c:extLst>
        </c:ser>
        <c:dLbls>
          <c:showLegendKey val="0"/>
          <c:showVal val="1"/>
          <c:showCatName val="0"/>
          <c:showSerName val="0"/>
          <c:showPercent val="0"/>
          <c:showBubbleSize val="0"/>
        </c:dLbls>
        <c:gapWidth val="89"/>
        <c:overlap val="-90"/>
        <c:axId val="-1523813911"/>
        <c:axId val="2117181859"/>
      </c:barChart>
      <c:catAx>
        <c:axId val="-152381391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out"/>
        <c:minorTickMark val="none"/>
        <c:tickLblPos val="nextTo"/>
        <c:crossAx val="2117181859"/>
        <c:crosses val="autoZero"/>
        <c:auto val="1"/>
        <c:lblAlgn val="ctr"/>
        <c:lblOffset val="100"/>
        <c:noMultiLvlLbl val="0"/>
      </c:catAx>
      <c:valAx>
        <c:axId val="211718185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out"/>
        <c:minorTickMark val="none"/>
        <c:tickLblPos val="nextTo"/>
        <c:crossAx val="-152381391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334105911101"/>
          <c:y val="0"/>
          <c:w val="0.808665894088899"/>
          <c:h val="1"/>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78569080497903E-3"/>
                  <c:y val="-1.5054564296636701E-2"/>
                </c:manualLayout>
              </c:layout>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D-4F4D-A2AA-6D4E10FCACFB}"/>
                </c:ext>
              </c:extLst>
            </c:dLbl>
            <c:dLbl>
              <c:idx val="1"/>
              <c:layout>
                <c:manualLayout>
                  <c:x val="0"/>
                  <c:y val="0"/>
                </c:manualLayout>
              </c:layout>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9D-4F4D-A2AA-6D4E10FCACFB}"/>
                </c:ext>
              </c:extLst>
            </c:dLbl>
            <c:dLbl>
              <c:idx val="2"/>
              <c:layout>
                <c:manualLayout>
                  <c:x val="-8.0993107674954797E-17"/>
                  <c:y val="0.32359958600725902"/>
                </c:manualLayout>
              </c:layout>
              <c:tx>
                <c:rich>
                  <a:bodyPr/>
                  <a:lstStyle/>
                  <a:p>
                    <a:fld id="{81178F67-8E34-4F54-926F-176D46188BF9}" type="VALUE">
                      <a:rPr lang="en-US"/>
                      <a:pPr/>
                      <a:t>[VALOR]</a:t>
                    </a:fld>
                    <a:endParaRPr lang="pt-AO"/>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A9D-4F4D-A2AA-6D4E10FCACFB}"/>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SECTORIAL'!$F$17:$I$17</c:f>
              <c:numCache>
                <c:formatCode>#,##0.00_);\(#,##0.00\)</c:formatCode>
                <c:ptCount val="4"/>
                <c:pt idx="0">
                  <c:v>-84304.3426381803</c:v>
                </c:pt>
                <c:pt idx="1">
                  <c:v>-120547.31192447974</c:v>
                </c:pt>
                <c:pt idx="2">
                  <c:v>204446.11479156004</c:v>
                </c:pt>
                <c:pt idx="3">
                  <c:v>363845.18480413989</c:v>
                </c:pt>
              </c:numCache>
            </c:numRef>
          </c:val>
          <c:extLst>
            <c:ext xmlns:c16="http://schemas.microsoft.com/office/drawing/2014/chart" uri="{C3380CC4-5D6E-409C-BE32-E72D297353CC}">
              <c16:uniqueId val="{00000000-2E44-440C-99E2-99B47126442D}"/>
            </c:ext>
          </c:extLst>
        </c:ser>
        <c:dLbls>
          <c:showLegendKey val="0"/>
          <c:showVal val="1"/>
          <c:showCatName val="0"/>
          <c:showSerName val="0"/>
          <c:showPercent val="0"/>
          <c:showBubbleSize val="0"/>
        </c:dLbls>
        <c:gapWidth val="89"/>
        <c:overlap val="-90"/>
        <c:axId val="1220112067"/>
        <c:axId val="-1313026769"/>
      </c:barChart>
      <c:catAx>
        <c:axId val="122011206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313026769"/>
        <c:crosses val="autoZero"/>
        <c:auto val="1"/>
        <c:lblAlgn val="ctr"/>
        <c:lblOffset val="100"/>
        <c:noMultiLvlLbl val="0"/>
      </c:catAx>
      <c:valAx>
        <c:axId val="-131302676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22011206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29198033337"/>
          <c:y val="1.0997238675786E-2"/>
          <c:w val="0.79247080196666297"/>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SECTORIAL'!$F$21:$I$21</c:f>
              <c:numCache>
                <c:formatCode>#,##0.00_);\(#,##0.00\)</c:formatCode>
                <c:ptCount val="4"/>
                <c:pt idx="0">
                  <c:v>352216.49255373975</c:v>
                </c:pt>
                <c:pt idx="1">
                  <c:v>449182.23989100038</c:v>
                </c:pt>
                <c:pt idx="2">
                  <c:v>849712.71526737022</c:v>
                </c:pt>
                <c:pt idx="3">
                  <c:v>884808.96412881999</c:v>
                </c:pt>
              </c:numCache>
            </c:numRef>
          </c:val>
          <c:extLst>
            <c:ext xmlns:c16="http://schemas.microsoft.com/office/drawing/2014/chart" uri="{C3380CC4-5D6E-409C-BE32-E72D297353CC}">
              <c16:uniqueId val="{00000000-A836-4AB4-8F4C-F8D6231BE02B}"/>
            </c:ext>
          </c:extLst>
        </c:ser>
        <c:dLbls>
          <c:showLegendKey val="0"/>
          <c:showVal val="1"/>
          <c:showCatName val="0"/>
          <c:showSerName val="0"/>
          <c:showPercent val="0"/>
          <c:showBubbleSize val="0"/>
        </c:dLbls>
        <c:gapWidth val="89"/>
        <c:overlap val="-90"/>
        <c:axId val="-984419927"/>
        <c:axId val="1413097745"/>
      </c:barChart>
      <c:catAx>
        <c:axId val="-98441992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413097745"/>
        <c:crosses val="autoZero"/>
        <c:auto val="1"/>
        <c:lblAlgn val="ctr"/>
        <c:lblOffset val="100"/>
        <c:noMultiLvlLbl val="0"/>
      </c:catAx>
      <c:valAx>
        <c:axId val="141309774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98441992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17566386829"/>
          <c:y val="1.0997238675786E-2"/>
          <c:w val="0.80058243361317105"/>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SECTORIAL'!$F$25:$I$25</c:f>
              <c:numCache>
                <c:formatCode>_(* #,##0.00_);_(* \(#,##0.00\);_(* "-"??_);_(@_)</c:formatCode>
                <c:ptCount val="4"/>
                <c:pt idx="0">
                  <c:v>0.27460370815922452</c:v>
                </c:pt>
                <c:pt idx="1">
                  <c:v>0.25417064923549121</c:v>
                </c:pt>
                <c:pt idx="2">
                  <c:v>0.49648452605719146</c:v>
                </c:pt>
                <c:pt idx="3">
                  <c:v>0.36937707514057672</c:v>
                </c:pt>
              </c:numCache>
            </c:numRef>
          </c:val>
          <c:extLst>
            <c:ext xmlns:c16="http://schemas.microsoft.com/office/drawing/2014/chart" uri="{C3380CC4-5D6E-409C-BE32-E72D297353CC}">
              <c16:uniqueId val="{00000000-0EC3-4E98-9D5A-E4A095533E7C}"/>
            </c:ext>
          </c:extLst>
        </c:ser>
        <c:dLbls>
          <c:showLegendKey val="0"/>
          <c:showVal val="1"/>
          <c:showCatName val="0"/>
          <c:showSerName val="0"/>
          <c:showPercent val="0"/>
          <c:showBubbleSize val="0"/>
        </c:dLbls>
        <c:gapWidth val="89"/>
        <c:overlap val="-90"/>
        <c:axId val="178187803"/>
        <c:axId val="-421353400"/>
      </c:barChart>
      <c:catAx>
        <c:axId val="17818780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421353400"/>
        <c:crosses val="autoZero"/>
        <c:auto val="1"/>
        <c:lblAlgn val="ctr"/>
        <c:lblOffset val="100"/>
        <c:noMultiLvlLbl val="0"/>
      </c:catAx>
      <c:valAx>
        <c:axId val="-42135340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UNIDDAE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7818780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0913511982599"/>
          <c:y val="4.75940448995049E-3"/>
          <c:w val="0.80049086488017496"/>
          <c:h val="0.9952405955100489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3867663349189002E-3"/>
                  <c:y val="0.18735552550690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EA-4903-9E46-1708C1B1DD80}"/>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SECTORIAL'!$F$24:$I$24</c:f>
              <c:numCache>
                <c:formatCode>_(* #,##0.00_);_(* \(#,##0.00\);_(* "-"??_);_(@_)</c:formatCode>
                <c:ptCount val="4"/>
                <c:pt idx="0">
                  <c:v>0.8962037199107914</c:v>
                </c:pt>
                <c:pt idx="1">
                  <c:v>0.88864020958303402</c:v>
                </c:pt>
                <c:pt idx="2">
                  <c:v>1.1049346000195492</c:v>
                </c:pt>
                <c:pt idx="3">
                  <c:v>1.1491658939199767</c:v>
                </c:pt>
              </c:numCache>
            </c:numRef>
          </c:val>
          <c:extLst>
            <c:ext xmlns:c16="http://schemas.microsoft.com/office/drawing/2014/chart" uri="{C3380CC4-5D6E-409C-BE32-E72D297353CC}">
              <c16:uniqueId val="{00000000-ABEB-44B1-B3DC-0A9CEAB099D9}"/>
            </c:ext>
          </c:extLst>
        </c:ser>
        <c:dLbls>
          <c:showLegendKey val="0"/>
          <c:showVal val="1"/>
          <c:showCatName val="0"/>
          <c:showSerName val="0"/>
          <c:showPercent val="0"/>
          <c:showBubbleSize val="0"/>
        </c:dLbls>
        <c:gapWidth val="89"/>
        <c:overlap val="-90"/>
        <c:axId val="2001373444"/>
        <c:axId val="-844434550"/>
      </c:barChart>
      <c:catAx>
        <c:axId val="200137344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844434550"/>
        <c:crosses val="autoZero"/>
        <c:auto val="1"/>
        <c:lblAlgn val="ctr"/>
        <c:lblOffset val="100"/>
        <c:noMultiLvlLbl val="0"/>
      </c:catAx>
      <c:valAx>
        <c:axId val="-84443455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200137344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218764121772"/>
          <c:y val="1.0997220488131201E-2"/>
          <c:w val="0.834481959044719"/>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1.35198672852923E-2"/>
                  <c:y val="0.201579002952938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5D-4808-93F9-CD1164129F77}"/>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SECTORIAL'!$F$23:$I$23</c:f>
              <c:numCache>
                <c:formatCode>_(* #,##0.00_);_(* \(#,##0.00\);_(* "-"??_);_(@_)</c:formatCode>
                <c:ptCount val="4"/>
                <c:pt idx="0">
                  <c:v>0.92252468740603277</c:v>
                </c:pt>
                <c:pt idx="1">
                  <c:v>0.90486331186773139</c:v>
                </c:pt>
                <c:pt idx="2">
                  <c:v>1.1310651029855372</c:v>
                </c:pt>
                <c:pt idx="3">
                  <c:v>1.1679024548243826</c:v>
                </c:pt>
              </c:numCache>
            </c:numRef>
          </c:val>
          <c:extLst>
            <c:ext xmlns:c16="http://schemas.microsoft.com/office/drawing/2014/chart" uri="{C3380CC4-5D6E-409C-BE32-E72D297353CC}">
              <c16:uniqueId val="{00000000-29F5-4009-81E2-026EC089C3CA}"/>
            </c:ext>
          </c:extLst>
        </c:ser>
        <c:dLbls>
          <c:showLegendKey val="0"/>
          <c:showVal val="1"/>
          <c:showCatName val="0"/>
          <c:showSerName val="0"/>
          <c:showPercent val="0"/>
          <c:showBubbleSize val="0"/>
        </c:dLbls>
        <c:gapWidth val="89"/>
        <c:overlap val="-90"/>
        <c:axId val="2113279192"/>
        <c:axId val="1994636237"/>
      </c:barChart>
      <c:catAx>
        <c:axId val="211327919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994636237"/>
        <c:crosses val="autoZero"/>
        <c:auto val="1"/>
        <c:lblAlgn val="ctr"/>
        <c:lblOffset val="100"/>
        <c:noMultiLvlLbl val="0"/>
      </c:catAx>
      <c:valAx>
        <c:axId val="1994636237"/>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211327919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77388350291899"/>
          <c:y val="1.0997220488131201E-2"/>
          <c:w val="0.83692696341879902"/>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5049295280039899E-3"/>
                  <c:y val="-4.9928586362185199E-3"/>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CC-4ABF-901B-DE62ED321F7D}"/>
                </c:ext>
              </c:extLst>
            </c:dLbl>
            <c:dLbl>
              <c:idx val="2"/>
              <c:layout>
                <c:manualLayout>
                  <c:x val="0"/>
                  <c:y val="-2.13044289099023E-2"/>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CC-4ABF-901B-DE62ED321F7D}"/>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SECTORIAL'!$F$30:$I$30</c:f>
              <c:numCache>
                <c:formatCode>0.00%</c:formatCode>
                <c:ptCount val="4"/>
                <c:pt idx="0">
                  <c:v>1.1011751630748867E-2</c:v>
                </c:pt>
                <c:pt idx="1">
                  <c:v>6.4439502477226893E-2</c:v>
                </c:pt>
                <c:pt idx="2">
                  <c:v>8.2336561497378131E-3</c:v>
                </c:pt>
                <c:pt idx="3">
                  <c:v>4.0900191547538725E-2</c:v>
                </c:pt>
              </c:numCache>
            </c:numRef>
          </c:val>
          <c:extLst>
            <c:ext xmlns:c16="http://schemas.microsoft.com/office/drawing/2014/chart" uri="{C3380CC4-5D6E-409C-BE32-E72D297353CC}">
              <c16:uniqueId val="{00000000-7239-494E-AA22-BA3FC7CC1A35}"/>
            </c:ext>
          </c:extLst>
        </c:ser>
        <c:dLbls>
          <c:showLegendKey val="0"/>
          <c:showVal val="1"/>
          <c:showCatName val="0"/>
          <c:showSerName val="0"/>
          <c:showPercent val="0"/>
          <c:showBubbleSize val="0"/>
        </c:dLbls>
        <c:gapWidth val="89"/>
        <c:overlap val="-90"/>
        <c:axId val="-2007017730"/>
        <c:axId val="1112535346"/>
      </c:barChart>
      <c:catAx>
        <c:axId val="-200701773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112535346"/>
        <c:crosses val="autoZero"/>
        <c:auto val="1"/>
        <c:lblAlgn val="ctr"/>
        <c:lblOffset val="100"/>
        <c:noMultiLvlLbl val="0"/>
      </c:catAx>
      <c:valAx>
        <c:axId val="111253534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200701773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0187591298899"/>
          <c:y val="4.75940448995049E-3"/>
          <c:w val="0.804099130407774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0511449529841897E-17"/>
                  <c:y val="-9.3427010204732595E-4"/>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17-4953-8BF1-31032BA80E18}"/>
                </c:ext>
              </c:extLst>
            </c:dLbl>
            <c:dLbl>
              <c:idx val="2"/>
              <c:layout>
                <c:manualLayout>
                  <c:x val="-8.1022899059683795E-17"/>
                  <c:y val="-4.4902764111926403E-3"/>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17-4953-8BF1-31032BA80E18}"/>
                </c:ext>
              </c:extLst>
            </c:dLbl>
            <c:dLbl>
              <c:idx val="3"/>
              <c:layout>
                <c:manualLayout>
                  <c:x val="-4.4194819114433299E-3"/>
                  <c:y val="6.58838786704193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17-4953-8BF1-31032BA80E18}"/>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SECTORIAL'!$F$31:$I$31</c:f>
              <c:numCache>
                <c:formatCode>0.00%</c:formatCode>
                <c:ptCount val="4"/>
                <c:pt idx="0">
                  <c:v>6.21989799374235E-3</c:v>
                </c:pt>
                <c:pt idx="1">
                  <c:v>4.0167343904976734E-2</c:v>
                </c:pt>
                <c:pt idx="2">
                  <c:v>6.2130508756607266E-3</c:v>
                </c:pt>
                <c:pt idx="3">
                  <c:v>4.2596076571481907E-2</c:v>
                </c:pt>
              </c:numCache>
            </c:numRef>
          </c:val>
          <c:extLst>
            <c:ext xmlns:c16="http://schemas.microsoft.com/office/drawing/2014/chart" uri="{C3380CC4-5D6E-409C-BE32-E72D297353CC}">
              <c16:uniqueId val="{00000000-73A2-4DE8-BB52-0517552BE8F6}"/>
            </c:ext>
          </c:extLst>
        </c:ser>
        <c:dLbls>
          <c:showLegendKey val="0"/>
          <c:showVal val="1"/>
          <c:showCatName val="0"/>
          <c:showSerName val="0"/>
          <c:showPercent val="0"/>
          <c:showBubbleSize val="0"/>
        </c:dLbls>
        <c:gapWidth val="89"/>
        <c:overlap val="-90"/>
        <c:axId val="-2108198970"/>
        <c:axId val="1024303951"/>
      </c:barChart>
      <c:catAx>
        <c:axId val="-210819897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024303951"/>
        <c:crosses val="autoZero"/>
        <c:auto val="1"/>
        <c:lblAlgn val="ctr"/>
        <c:lblOffset val="100"/>
        <c:noMultiLvlLbl val="0"/>
      </c:catAx>
      <c:valAx>
        <c:axId val="102430395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210819897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11232664345"/>
          <c:y val="4.75940448995049E-3"/>
          <c:w val="0.804188767335655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1159484678572202E-17"/>
                  <c:y val="-1.07082074431842E-2"/>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B7-4635-A366-E9D19D297345}"/>
                </c:ext>
              </c:extLst>
            </c:dLbl>
            <c:dLbl>
              <c:idx val="2"/>
              <c:layout>
                <c:manualLayout>
                  <c:x val="0"/>
                  <c:y val="8.2106492341828905E-3"/>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B7-4635-A366-E9D19D297345}"/>
                </c:ext>
              </c:extLst>
            </c:dLbl>
            <c:dLbl>
              <c:idx val="3"/>
              <c:layout>
                <c:manualLayout>
                  <c:x val="8.9803549432257695E-3"/>
                  <c:y val="0.253474387497668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B7-4635-A366-E9D19D297345}"/>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SECTORIAL'!$F$32:$I$32</c:f>
              <c:numCache>
                <c:formatCode>0.00%</c:formatCode>
                <c:ptCount val="4"/>
                <c:pt idx="0">
                  <c:v>2.9146638680522547E-3</c:v>
                </c:pt>
                <c:pt idx="1">
                  <c:v>1.7368641378484945E-2</c:v>
                </c:pt>
                <c:pt idx="2">
                  <c:v>2.8333674582736884E-3</c:v>
                </c:pt>
                <c:pt idx="3">
                  <c:v>1.740313029890117E-2</c:v>
                </c:pt>
              </c:numCache>
            </c:numRef>
          </c:val>
          <c:extLst>
            <c:ext xmlns:c16="http://schemas.microsoft.com/office/drawing/2014/chart" uri="{C3380CC4-5D6E-409C-BE32-E72D297353CC}">
              <c16:uniqueId val="{00000000-0E96-44D6-AA60-DC2AAA245742}"/>
            </c:ext>
          </c:extLst>
        </c:ser>
        <c:dLbls>
          <c:showLegendKey val="0"/>
          <c:showVal val="1"/>
          <c:showCatName val="0"/>
          <c:showSerName val="0"/>
          <c:showPercent val="0"/>
          <c:showBubbleSize val="0"/>
        </c:dLbls>
        <c:gapWidth val="89"/>
        <c:overlap val="-90"/>
        <c:axId val="429915783"/>
        <c:axId val="-627196060"/>
      </c:barChart>
      <c:catAx>
        <c:axId val="42991578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627196060"/>
        <c:crosses val="autoZero"/>
        <c:auto val="1"/>
        <c:lblAlgn val="ctr"/>
        <c:lblOffset val="100"/>
        <c:noMultiLvlLbl val="0"/>
      </c:catAx>
      <c:valAx>
        <c:axId val="-62719606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42991578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4755957927601"/>
          <c:y val="4.75940448995049E-3"/>
          <c:w val="0.804053385525614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0"/>
                  <c:y val="0.22396698529728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6F-4E9C-A361-1212ACF5E869}"/>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SECTORIAL'!$F$28:$I$28</c:f>
              <c:numCache>
                <c:formatCode>0.00%</c:formatCode>
                <c:ptCount val="4"/>
                <c:pt idx="0">
                  <c:v>0.88183280131288866</c:v>
                </c:pt>
                <c:pt idx="1">
                  <c:v>0.76182586962143162</c:v>
                </c:pt>
                <c:pt idx="2">
                  <c:v>0.83835291900631381</c:v>
                </c:pt>
                <c:pt idx="3">
                  <c:v>0.6907937686447666</c:v>
                </c:pt>
              </c:numCache>
            </c:numRef>
          </c:val>
          <c:extLst>
            <c:ext xmlns:c16="http://schemas.microsoft.com/office/drawing/2014/chart" uri="{C3380CC4-5D6E-409C-BE32-E72D297353CC}">
              <c16:uniqueId val="{00000000-0814-4010-A18B-8590CD6DFD91}"/>
            </c:ext>
          </c:extLst>
        </c:ser>
        <c:dLbls>
          <c:showLegendKey val="0"/>
          <c:showVal val="1"/>
          <c:showCatName val="0"/>
          <c:showSerName val="0"/>
          <c:showPercent val="0"/>
          <c:showBubbleSize val="0"/>
        </c:dLbls>
        <c:gapWidth val="89"/>
        <c:overlap val="-90"/>
        <c:axId val="1276641865"/>
        <c:axId val="1264951293"/>
      </c:barChart>
      <c:catAx>
        <c:axId val="127664186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264951293"/>
        <c:crosses val="autoZero"/>
        <c:auto val="1"/>
        <c:lblAlgn val="ctr"/>
        <c:lblOffset val="100"/>
        <c:noMultiLvlLbl val="0"/>
      </c:catAx>
      <c:valAx>
        <c:axId val="126495129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27664186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628771692704"/>
          <c:y val="4.75940448995049E-3"/>
          <c:w val="0.812071936338563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SECTORIAL'!$F$27:$I$27</c:f>
              <c:numCache>
                <c:formatCode>0.00%</c:formatCode>
                <c:ptCount val="4"/>
                <c:pt idx="0">
                  <c:v>0.53139683786058745</c:v>
                </c:pt>
                <c:pt idx="1">
                  <c:v>0.56759298250903367</c:v>
                </c:pt>
                <c:pt idx="2">
                  <c:v>0.54396519278714817</c:v>
                </c:pt>
                <c:pt idx="3">
                  <c:v>0.59143818633867862</c:v>
                </c:pt>
              </c:numCache>
            </c:numRef>
          </c:val>
          <c:extLst>
            <c:ext xmlns:c16="http://schemas.microsoft.com/office/drawing/2014/chart" uri="{C3380CC4-5D6E-409C-BE32-E72D297353CC}">
              <c16:uniqueId val="{00000000-79A4-4B4B-9340-6A6C946688AE}"/>
            </c:ext>
          </c:extLst>
        </c:ser>
        <c:dLbls>
          <c:showLegendKey val="0"/>
          <c:showVal val="1"/>
          <c:showCatName val="0"/>
          <c:showSerName val="0"/>
          <c:showPercent val="0"/>
          <c:showBubbleSize val="0"/>
        </c:dLbls>
        <c:gapWidth val="89"/>
        <c:overlap val="-90"/>
        <c:axId val="301412075"/>
        <c:axId val="368118234"/>
      </c:barChart>
      <c:catAx>
        <c:axId val="30141207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368118234"/>
        <c:crosses val="autoZero"/>
        <c:auto val="1"/>
        <c:lblAlgn val="ctr"/>
        <c:lblOffset val="100"/>
        <c:noMultiLvlLbl val="0"/>
      </c:catAx>
      <c:valAx>
        <c:axId val="36811823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30141207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9409095834699"/>
          <c:y val="1.0463658134767699E-2"/>
          <c:w val="0.832906633624201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SECTORIAL'!$F$26:$I$26</c:f>
              <c:numCache>
                <c:formatCode>0.00%</c:formatCode>
                <c:ptCount val="4"/>
                <c:pt idx="0">
                  <c:v>0.46860316213941278</c:v>
                </c:pt>
                <c:pt idx="1">
                  <c:v>0.43240701749096661</c:v>
                </c:pt>
                <c:pt idx="2">
                  <c:v>0.45603480721093792</c:v>
                </c:pt>
                <c:pt idx="3">
                  <c:v>0.40856181366132144</c:v>
                </c:pt>
              </c:numCache>
            </c:numRef>
          </c:val>
          <c:extLst>
            <c:ext xmlns:c16="http://schemas.microsoft.com/office/drawing/2014/chart" uri="{C3380CC4-5D6E-409C-BE32-E72D297353CC}">
              <c16:uniqueId val="{00000000-97EE-4A52-A322-4E756A655021}"/>
            </c:ext>
          </c:extLst>
        </c:ser>
        <c:dLbls>
          <c:showLegendKey val="0"/>
          <c:showVal val="1"/>
          <c:showCatName val="0"/>
          <c:showSerName val="0"/>
          <c:showPercent val="0"/>
          <c:showBubbleSize val="0"/>
        </c:dLbls>
        <c:gapWidth val="89"/>
        <c:overlap val="-90"/>
        <c:axId val="-1993437061"/>
        <c:axId val="991146445"/>
      </c:barChart>
      <c:catAx>
        <c:axId val="-199343706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991146445"/>
        <c:crosses val="autoZero"/>
        <c:auto val="1"/>
        <c:lblAlgn val="ctr"/>
        <c:lblOffset val="100"/>
        <c:noMultiLvlLbl val="0"/>
      </c:catAx>
      <c:valAx>
        <c:axId val="99114644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99343706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012467657767399E-3"/>
                  <c:y val="0.16802853214011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3B-478B-91BC-4290899A8F7D}"/>
                </c:ext>
              </c:extLst>
            </c:dLbl>
            <c:dLbl>
              <c:idx val="1"/>
              <c:layout>
                <c:manualLayout>
                  <c:x val="-1.47032530552041E-16"/>
                  <c:y val="0.166968032104213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3B-478B-91BC-4290899A8F7D}"/>
                </c:ext>
              </c:extLst>
            </c:dLbl>
            <c:dLbl>
              <c:idx val="2"/>
              <c:layout>
                <c:manualLayout>
                  <c:x val="-1.47032530552041E-16"/>
                  <c:y val="0.159416453321631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3B-478B-91BC-4290899A8F7D}"/>
                </c:ext>
              </c:extLst>
            </c:dLbl>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SECTORIAL'!$F$39:$I$39</c:f>
              <c:numCache>
                <c:formatCode>#,##0.00_);\(#,##0.00\)</c:formatCode>
                <c:ptCount val="4"/>
                <c:pt idx="0">
                  <c:v>0.88054910230564165</c:v>
                </c:pt>
                <c:pt idx="1">
                  <c:v>0.65835063878077982</c:v>
                </c:pt>
                <c:pt idx="2">
                  <c:v>2.6587103966842602</c:v>
                </c:pt>
                <c:pt idx="3">
                  <c:v>2.7164878679084388</c:v>
                </c:pt>
              </c:numCache>
            </c:numRef>
          </c:val>
          <c:extLst>
            <c:ext xmlns:c16="http://schemas.microsoft.com/office/drawing/2014/chart" uri="{C3380CC4-5D6E-409C-BE32-E72D297353CC}">
              <c16:uniqueId val="{00000000-72D8-4070-BE79-0116A7EB3C9B}"/>
            </c:ext>
          </c:extLst>
        </c:ser>
        <c:dLbls>
          <c:showLegendKey val="0"/>
          <c:showVal val="1"/>
          <c:showCatName val="0"/>
          <c:showSerName val="0"/>
          <c:showPercent val="0"/>
          <c:showBubbleSize val="0"/>
        </c:dLbls>
        <c:gapWidth val="89"/>
        <c:overlap val="-90"/>
        <c:axId val="-409970635"/>
        <c:axId val="-628917192"/>
      </c:barChart>
      <c:catAx>
        <c:axId val="-40997063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628917192"/>
        <c:crosses val="autoZero"/>
        <c:auto val="1"/>
        <c:lblAlgn val="ctr"/>
        <c:lblOffset val="100"/>
        <c:noMultiLvlLbl val="0"/>
      </c:catAx>
      <c:valAx>
        <c:axId val="-62891719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40997063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948191144329E-3"/>
                  <c:y val="0.15597540564669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26-46A4-A35C-D16BE6111ACA}"/>
                </c:ext>
              </c:extLst>
            </c:dLbl>
            <c:dLbl>
              <c:idx val="1"/>
              <c:layout>
                <c:manualLayout>
                  <c:x val="0"/>
                  <c:y val="0.164947434406197"/>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26-46A4-A35C-D16BE6111ACA}"/>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SECTORIAL'!$F$38:$I$38</c:f>
              <c:numCache>
                <c:formatCode>#,##0.00_);\(#,##0.00\)</c:formatCode>
                <c:ptCount val="4"/>
                <c:pt idx="0">
                  <c:v>2.5406224825912331</c:v>
                </c:pt>
                <c:pt idx="1">
                  <c:v>0.90662758714014491</c:v>
                </c:pt>
                <c:pt idx="2">
                  <c:v>5.0488189603991742</c:v>
                </c:pt>
                <c:pt idx="3">
                  <c:v>2.0674926385679018</c:v>
                </c:pt>
              </c:numCache>
            </c:numRef>
          </c:val>
          <c:extLst>
            <c:ext xmlns:c16="http://schemas.microsoft.com/office/drawing/2014/chart" uri="{C3380CC4-5D6E-409C-BE32-E72D297353CC}">
              <c16:uniqueId val="{00000000-A558-4053-B0A2-EAA082FEE9B0}"/>
            </c:ext>
          </c:extLst>
        </c:ser>
        <c:dLbls>
          <c:showLegendKey val="0"/>
          <c:showVal val="1"/>
          <c:showCatName val="0"/>
          <c:showSerName val="0"/>
          <c:showPercent val="0"/>
          <c:showBubbleSize val="0"/>
        </c:dLbls>
        <c:gapWidth val="89"/>
        <c:overlap val="-90"/>
        <c:axId val="1624371458"/>
        <c:axId val="356903110"/>
      </c:barChart>
      <c:catAx>
        <c:axId val="1624371458"/>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356903110"/>
        <c:crosses val="autoZero"/>
        <c:auto val="1"/>
        <c:lblAlgn val="ctr"/>
        <c:lblOffset val="100"/>
        <c:noMultiLvlLbl val="0"/>
      </c:catAx>
      <c:valAx>
        <c:axId val="35690311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624371458"/>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6209275129277997E-2"/>
          <c:w val="1"/>
          <c:h val="0.89783455454650696"/>
        </c:manualLayout>
      </c:layout>
      <c:doughnutChart>
        <c:varyColors val="1"/>
        <c:ser>
          <c:idx val="0"/>
          <c:order val="0"/>
          <c:dPt>
            <c:idx val="0"/>
            <c:bubble3D val="0"/>
            <c:spPr>
              <a:solidFill>
                <a:schemeClr val="accent1"/>
              </a:solidFill>
              <a:ln w="19050" cap="flat" cmpd="sng">
                <a:solidFill>
                  <a:schemeClr val="bg1"/>
                </a:solidFill>
              </a:ln>
              <a:effectLst/>
            </c:spPr>
            <c:extLst>
              <c:ext xmlns:c16="http://schemas.microsoft.com/office/drawing/2014/chart" uri="{C3380CC4-5D6E-409C-BE32-E72D297353CC}">
                <c16:uniqueId val="{00000001-EAC8-4E91-AD5B-808E75D0C9EF}"/>
              </c:ext>
            </c:extLst>
          </c:dPt>
          <c:val>
            <c:numRef>
              <c:f>#REF!</c:f>
              <c:numCache>
                <c:formatCode>General</c:formatCode>
                <c:ptCount val="1"/>
                <c:pt idx="0">
                  <c:v>1</c:v>
                </c:pt>
              </c:numCache>
            </c:numRef>
          </c:val>
          <c:extLst>
            <c:ext xmlns:c16="http://schemas.microsoft.com/office/drawing/2014/chart" uri="{C3380CC4-5D6E-409C-BE32-E72D297353CC}">
              <c16:uniqueId val="{00000002-89CA-46F5-A7FD-8A856F581B35}"/>
            </c:ext>
          </c:extLst>
        </c:ser>
        <c:dLbls>
          <c:showLegendKey val="0"/>
          <c:showVal val="0"/>
          <c:showCatName val="0"/>
          <c:showSerName val="0"/>
          <c:showPercent val="0"/>
          <c:showBubbleSize val="0"/>
          <c:showLeaderLines val="1"/>
        </c:dLbls>
        <c:firstSliceAng val="0"/>
        <c:holeSize val="54"/>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F7B8-4558-9AC3-9E6D5E41F5E2}"/>
              </c:ext>
            </c:extLst>
          </c:dPt>
          <c:dPt>
            <c:idx val="1"/>
            <c:bubble3D val="0"/>
            <c:extLst>
              <c:ext xmlns:c16="http://schemas.microsoft.com/office/drawing/2014/chart" uri="{C3380CC4-5D6E-409C-BE32-E72D297353CC}">
                <c16:uniqueId val="{00000001-F7B8-4558-9AC3-9E6D5E41F5E2}"/>
              </c:ext>
            </c:extLst>
          </c:dPt>
          <c:dPt>
            <c:idx val="2"/>
            <c:bubble3D val="0"/>
            <c:extLst>
              <c:ext xmlns:c16="http://schemas.microsoft.com/office/drawing/2014/chart" uri="{C3380CC4-5D6E-409C-BE32-E72D297353CC}">
                <c16:uniqueId val="{00000002-F7B8-4558-9AC3-9E6D5E41F5E2}"/>
              </c:ext>
            </c:extLst>
          </c:dPt>
          <c:dPt>
            <c:idx val="3"/>
            <c:bubble3D val="0"/>
            <c:extLst>
              <c:ext xmlns:c16="http://schemas.microsoft.com/office/drawing/2014/chart" uri="{C3380CC4-5D6E-409C-BE32-E72D297353CC}">
                <c16:uniqueId val="{00000003-F7B8-4558-9AC3-9E6D5E41F5E2}"/>
              </c:ext>
            </c:extLst>
          </c:dPt>
          <c:dLbls>
            <c:dLbl>
              <c:idx val="0"/>
              <c:layout>
                <c:manualLayout>
                  <c:x val="-0.15977754782595899"/>
                  <c:y val="5.60195424394348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22565070006321"/>
                      <c:h val="0.39011860711084401"/>
                    </c:manualLayout>
                  </c15:layout>
                </c:ext>
                <c:ext xmlns:c16="http://schemas.microsoft.com/office/drawing/2014/chart" uri="{C3380CC4-5D6E-409C-BE32-E72D297353CC}">
                  <c16:uniqueId val="{00000000-F7B8-4558-9AC3-9E6D5E41F5E2}"/>
                </c:ext>
              </c:extLst>
            </c:dLbl>
            <c:dLbl>
              <c:idx val="1"/>
              <c:delete val="1"/>
              <c:extLst>
                <c:ext xmlns:c15="http://schemas.microsoft.com/office/drawing/2012/chart" uri="{CE6537A1-D6FC-4f65-9D91-7224C49458BB}"/>
                <c:ext xmlns:c16="http://schemas.microsoft.com/office/drawing/2014/chart" uri="{C3380CC4-5D6E-409C-BE32-E72D297353CC}">
                  <c16:uniqueId val="{00000001-F7B8-4558-9AC3-9E6D5E41F5E2}"/>
                </c:ext>
              </c:extLst>
            </c:dLbl>
            <c:dLbl>
              <c:idx val="2"/>
              <c:delete val="1"/>
              <c:extLst>
                <c:ext xmlns:c15="http://schemas.microsoft.com/office/drawing/2012/chart" uri="{CE6537A1-D6FC-4f65-9D91-7224C49458BB}"/>
                <c:ext xmlns:c16="http://schemas.microsoft.com/office/drawing/2014/chart" uri="{C3380CC4-5D6E-409C-BE32-E72D297353CC}">
                  <c16:uniqueId val="{00000002-F7B8-4558-9AC3-9E6D5E41F5E2}"/>
                </c:ext>
              </c:extLst>
            </c:dLbl>
            <c:dLbl>
              <c:idx val="3"/>
              <c:delete val="1"/>
              <c:extLst>
                <c:ext xmlns:c15="http://schemas.microsoft.com/office/drawing/2012/chart" uri="{CE6537A1-D6FC-4f65-9D91-7224C49458BB}"/>
                <c:ext xmlns:c16="http://schemas.microsoft.com/office/drawing/2014/chart" uri="{C3380CC4-5D6E-409C-BE32-E72D297353CC}">
                  <c16:uniqueId val="{00000003-F7B8-4558-9AC3-9E6D5E41F5E2}"/>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SECTORIAL'!$E$54:$E$57</c:f>
              <c:numCache>
                <c:formatCode>0.00%</c:formatCode>
                <c:ptCount val="4"/>
                <c:pt idx="0">
                  <c:v>0.79261862212871026</c:v>
                </c:pt>
                <c:pt idx="1">
                  <c:v>0.12726371111835738</c:v>
                </c:pt>
                <c:pt idx="2">
                  <c:v>7.0415314333263049E-2</c:v>
                </c:pt>
                <c:pt idx="3">
                  <c:v>9.7023524196693852E-3</c:v>
                </c:pt>
              </c:numCache>
            </c:numRef>
          </c:val>
          <c:extLst>
            <c:ext xmlns:c16="http://schemas.microsoft.com/office/drawing/2014/chart" uri="{C3380CC4-5D6E-409C-BE32-E72D297353CC}">
              <c16:uniqueId val="{00000008-5D7D-4007-B05D-F407353F5A89}"/>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111D-4258-8D42-00240D394CE3}"/>
              </c:ext>
            </c:extLst>
          </c:dPt>
          <c:dPt>
            <c:idx val="1"/>
            <c:bubble3D val="0"/>
            <c:extLst>
              <c:ext xmlns:c16="http://schemas.microsoft.com/office/drawing/2014/chart" uri="{C3380CC4-5D6E-409C-BE32-E72D297353CC}">
                <c16:uniqueId val="{00000001-111D-4258-8D42-00240D394CE3}"/>
              </c:ext>
            </c:extLst>
          </c:dPt>
          <c:dPt>
            <c:idx val="2"/>
            <c:bubble3D val="0"/>
            <c:extLst>
              <c:ext xmlns:c16="http://schemas.microsoft.com/office/drawing/2014/chart" uri="{C3380CC4-5D6E-409C-BE32-E72D297353CC}">
                <c16:uniqueId val="{00000002-111D-4258-8D42-00240D394CE3}"/>
              </c:ext>
            </c:extLst>
          </c:dPt>
          <c:dPt>
            <c:idx val="3"/>
            <c:bubble3D val="0"/>
            <c:extLst>
              <c:ext xmlns:c16="http://schemas.microsoft.com/office/drawing/2014/chart" uri="{C3380CC4-5D6E-409C-BE32-E72D297353CC}">
                <c16:uniqueId val="{00000003-111D-4258-8D42-00240D394CE3}"/>
              </c:ext>
            </c:extLst>
          </c:dPt>
          <c:dLbls>
            <c:dLbl>
              <c:idx val="0"/>
              <c:layout>
                <c:manualLayout>
                  <c:x val="-0.17212278161257499"/>
                  <c:y val="3.3962659392869701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0723177875353298"/>
                      <c:h val="0.39011860711084401"/>
                    </c:manualLayout>
                  </c15:layout>
                </c:ext>
                <c:ext xmlns:c16="http://schemas.microsoft.com/office/drawing/2014/chart" uri="{C3380CC4-5D6E-409C-BE32-E72D297353CC}">
                  <c16:uniqueId val="{00000000-111D-4258-8D42-00240D394CE3}"/>
                </c:ext>
              </c:extLst>
            </c:dLbl>
            <c:dLbl>
              <c:idx val="1"/>
              <c:delete val="1"/>
              <c:extLst>
                <c:ext xmlns:c15="http://schemas.microsoft.com/office/drawing/2012/chart" uri="{CE6537A1-D6FC-4f65-9D91-7224C49458BB}"/>
                <c:ext xmlns:c16="http://schemas.microsoft.com/office/drawing/2014/chart" uri="{C3380CC4-5D6E-409C-BE32-E72D297353CC}">
                  <c16:uniqueId val="{00000001-111D-4258-8D42-00240D394CE3}"/>
                </c:ext>
              </c:extLst>
            </c:dLbl>
            <c:dLbl>
              <c:idx val="2"/>
              <c:delete val="1"/>
              <c:extLst>
                <c:ext xmlns:c15="http://schemas.microsoft.com/office/drawing/2012/chart" uri="{CE6537A1-D6FC-4f65-9D91-7224C49458BB}"/>
                <c:ext xmlns:c16="http://schemas.microsoft.com/office/drawing/2014/chart" uri="{C3380CC4-5D6E-409C-BE32-E72D297353CC}">
                  <c16:uniqueId val="{00000002-111D-4258-8D42-00240D394CE3}"/>
                </c:ext>
              </c:extLst>
            </c:dLbl>
            <c:dLbl>
              <c:idx val="3"/>
              <c:delete val="1"/>
              <c:extLst>
                <c:ext xmlns:c15="http://schemas.microsoft.com/office/drawing/2012/chart" uri="{CE6537A1-D6FC-4f65-9D91-7224C49458BB}"/>
                <c:ext xmlns:c16="http://schemas.microsoft.com/office/drawing/2014/chart" uri="{C3380CC4-5D6E-409C-BE32-E72D297353CC}">
                  <c16:uniqueId val="{00000003-111D-4258-8D42-00240D394CE3}"/>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'INDICADORES SECTORIAL'!$F$54:$F$57</c:f>
              <c:numCache>
                <c:formatCode>0.00%</c:formatCode>
                <c:ptCount val="4"/>
                <c:pt idx="0">
                  <c:v>0.82827058643959273</c:v>
                </c:pt>
                <c:pt idx="1">
                  <c:v>0.11721714136027207</c:v>
                </c:pt>
                <c:pt idx="2">
                  <c:v>4.8226153663480167E-2</c:v>
                </c:pt>
                <c:pt idx="3">
                  <c:v>6.2861185366550609E-3</c:v>
                </c:pt>
              </c:numCache>
            </c:numRef>
          </c:val>
          <c:extLst>
            <c:ext xmlns:c16="http://schemas.microsoft.com/office/drawing/2014/chart" uri="{C3380CC4-5D6E-409C-BE32-E72D297353CC}">
              <c16:uniqueId val="{00000008-CCB7-4BA3-9C3E-D153B6501C1B}"/>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7581-4F1F-919E-9842590F4904}"/>
              </c:ext>
            </c:extLst>
          </c:dPt>
          <c:dPt>
            <c:idx val="1"/>
            <c:bubble3D val="0"/>
            <c:extLst>
              <c:ext xmlns:c16="http://schemas.microsoft.com/office/drawing/2014/chart" uri="{C3380CC4-5D6E-409C-BE32-E72D297353CC}">
                <c16:uniqueId val="{00000001-7581-4F1F-919E-9842590F4904}"/>
              </c:ext>
            </c:extLst>
          </c:dPt>
          <c:dPt>
            <c:idx val="2"/>
            <c:bubble3D val="0"/>
            <c:extLst>
              <c:ext xmlns:c16="http://schemas.microsoft.com/office/drawing/2014/chart" uri="{C3380CC4-5D6E-409C-BE32-E72D297353CC}">
                <c16:uniqueId val="{00000002-7581-4F1F-919E-9842590F4904}"/>
              </c:ext>
            </c:extLst>
          </c:dPt>
          <c:dPt>
            <c:idx val="3"/>
            <c:bubble3D val="0"/>
            <c:extLst>
              <c:ext xmlns:c16="http://schemas.microsoft.com/office/drawing/2014/chart" uri="{C3380CC4-5D6E-409C-BE32-E72D297353CC}">
                <c16:uniqueId val="{00000003-7581-4F1F-919E-9842590F4904}"/>
              </c:ext>
            </c:extLst>
          </c:dPt>
          <c:dLbls>
            <c:dLbl>
              <c:idx val="0"/>
              <c:layout>
                <c:manualLayout>
                  <c:x val="-0.14169136234052301"/>
                  <c:y val="1.1214508436379901E-2"/>
                </c:manualLayout>
              </c:layout>
              <c:numFmt formatCode="0.00%" sourceLinked="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84926731149913"/>
                      <c:h val="0.383470929878305"/>
                    </c:manualLayout>
                  </c15:layout>
                </c:ext>
                <c:ext xmlns:c16="http://schemas.microsoft.com/office/drawing/2014/chart" uri="{C3380CC4-5D6E-409C-BE32-E72D297353CC}">
                  <c16:uniqueId val="{00000000-7581-4F1F-919E-9842590F4904}"/>
                </c:ext>
              </c:extLst>
            </c:dLbl>
            <c:dLbl>
              <c:idx val="1"/>
              <c:delete val="1"/>
              <c:extLst>
                <c:ext xmlns:c15="http://schemas.microsoft.com/office/drawing/2012/chart" uri="{CE6537A1-D6FC-4f65-9D91-7224C49458BB}"/>
                <c:ext xmlns:c16="http://schemas.microsoft.com/office/drawing/2014/chart" uri="{C3380CC4-5D6E-409C-BE32-E72D297353CC}">
                  <c16:uniqueId val="{00000001-7581-4F1F-919E-9842590F4904}"/>
                </c:ext>
              </c:extLst>
            </c:dLbl>
            <c:dLbl>
              <c:idx val="2"/>
              <c:delete val="1"/>
              <c:extLst>
                <c:ext xmlns:c15="http://schemas.microsoft.com/office/drawing/2012/chart" uri="{CE6537A1-D6FC-4f65-9D91-7224C49458BB}"/>
                <c:ext xmlns:c16="http://schemas.microsoft.com/office/drawing/2014/chart" uri="{C3380CC4-5D6E-409C-BE32-E72D297353CC}">
                  <c16:uniqueId val="{00000002-7581-4F1F-919E-9842590F4904}"/>
                </c:ext>
              </c:extLst>
            </c:dLbl>
            <c:dLbl>
              <c:idx val="3"/>
              <c:delete val="1"/>
              <c:extLst>
                <c:ext xmlns:c15="http://schemas.microsoft.com/office/drawing/2012/chart" uri="{CE6537A1-D6FC-4f65-9D91-7224C49458BB}"/>
                <c:ext xmlns:c16="http://schemas.microsoft.com/office/drawing/2014/chart" uri="{C3380CC4-5D6E-409C-BE32-E72D297353CC}">
                  <c16:uniqueId val="{00000003-7581-4F1F-919E-9842590F4904}"/>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SECTORIAL'!$G$54:$G$57</c:f>
              <c:numCache>
                <c:formatCode>0.00%</c:formatCode>
                <c:ptCount val="4"/>
                <c:pt idx="0">
                  <c:v>0.8563047628947571</c:v>
                </c:pt>
                <c:pt idx="1">
                  <c:v>9.2448752662323871E-2</c:v>
                </c:pt>
                <c:pt idx="2">
                  <c:v>4.6382133784893628E-2</c:v>
                </c:pt>
                <c:pt idx="3">
                  <c:v>4.8643506580255151E-3</c:v>
                </c:pt>
              </c:numCache>
            </c:numRef>
          </c:val>
          <c:extLst>
            <c:ext xmlns:c16="http://schemas.microsoft.com/office/drawing/2014/chart" uri="{C3380CC4-5D6E-409C-BE32-E72D297353CC}">
              <c16:uniqueId val="{00000008-314B-4B1F-A0C4-82E7AA89B44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33A7-47EE-86A5-E927295D9A72}"/>
              </c:ext>
            </c:extLst>
          </c:dPt>
          <c:dPt>
            <c:idx val="1"/>
            <c:bubble3D val="0"/>
            <c:extLst>
              <c:ext xmlns:c16="http://schemas.microsoft.com/office/drawing/2014/chart" uri="{C3380CC4-5D6E-409C-BE32-E72D297353CC}">
                <c16:uniqueId val="{00000001-33A7-47EE-86A5-E927295D9A72}"/>
              </c:ext>
            </c:extLst>
          </c:dPt>
          <c:dPt>
            <c:idx val="2"/>
            <c:bubble3D val="0"/>
            <c:extLst>
              <c:ext xmlns:c16="http://schemas.microsoft.com/office/drawing/2014/chart" uri="{C3380CC4-5D6E-409C-BE32-E72D297353CC}">
                <c16:uniqueId val="{00000002-33A7-47EE-86A5-E927295D9A72}"/>
              </c:ext>
            </c:extLst>
          </c:dPt>
          <c:dPt>
            <c:idx val="3"/>
            <c:bubble3D val="0"/>
            <c:extLst>
              <c:ext xmlns:c16="http://schemas.microsoft.com/office/drawing/2014/chart" uri="{C3380CC4-5D6E-409C-BE32-E72D297353CC}">
                <c16:uniqueId val="{00000003-33A7-47EE-86A5-E927295D9A72}"/>
              </c:ext>
            </c:extLst>
          </c:dPt>
          <c:dLbls>
            <c:dLbl>
              <c:idx val="0"/>
              <c:layout>
                <c:manualLayout>
                  <c:x val="-0.120501596679497"/>
                  <c:y val="-1.01850586156036E-16"/>
                </c:manualLayout>
              </c:layout>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4612026386064305"/>
                      <c:h val="0.33423242849306301"/>
                    </c:manualLayout>
                  </c15:layout>
                </c:ext>
                <c:ext xmlns:c16="http://schemas.microsoft.com/office/drawing/2014/chart" uri="{C3380CC4-5D6E-409C-BE32-E72D297353CC}">
                  <c16:uniqueId val="{00000000-33A7-47EE-86A5-E927295D9A72}"/>
                </c:ext>
              </c:extLst>
            </c:dLbl>
            <c:dLbl>
              <c:idx val="1"/>
              <c:delete val="1"/>
              <c:extLst>
                <c:ext xmlns:c15="http://schemas.microsoft.com/office/drawing/2012/chart" uri="{CE6537A1-D6FC-4f65-9D91-7224C49458BB}"/>
                <c:ext xmlns:c16="http://schemas.microsoft.com/office/drawing/2014/chart" uri="{C3380CC4-5D6E-409C-BE32-E72D297353CC}">
                  <c16:uniqueId val="{00000001-33A7-47EE-86A5-E927295D9A72}"/>
                </c:ext>
              </c:extLst>
            </c:dLbl>
            <c:dLbl>
              <c:idx val="2"/>
              <c:delete val="1"/>
              <c:extLst>
                <c:ext xmlns:c15="http://schemas.microsoft.com/office/drawing/2012/chart" uri="{CE6537A1-D6FC-4f65-9D91-7224C49458BB}"/>
                <c:ext xmlns:c16="http://schemas.microsoft.com/office/drawing/2014/chart" uri="{C3380CC4-5D6E-409C-BE32-E72D297353CC}">
                  <c16:uniqueId val="{00000002-33A7-47EE-86A5-E927295D9A72}"/>
                </c:ext>
              </c:extLst>
            </c:dLbl>
            <c:dLbl>
              <c:idx val="3"/>
              <c:delete val="1"/>
              <c:extLst>
                <c:ext xmlns:c15="http://schemas.microsoft.com/office/drawing/2012/chart" uri="{CE6537A1-D6FC-4f65-9D91-7224C49458BB}"/>
                <c:ext xmlns:c16="http://schemas.microsoft.com/office/drawing/2014/chart" uri="{C3380CC4-5D6E-409C-BE32-E72D297353CC}">
                  <c16:uniqueId val="{00000003-33A7-47EE-86A5-E927295D9A72}"/>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SECTORIAL'!$H$54:$H$57</c:f>
              <c:numCache>
                <c:formatCode>0.00%</c:formatCode>
                <c:ptCount val="4"/>
                <c:pt idx="0">
                  <c:v>0.83463658984016453</c:v>
                </c:pt>
                <c:pt idx="1">
                  <c:v>0.11274376523387976</c:v>
                </c:pt>
                <c:pt idx="2">
                  <c:v>4.7669787306403512E-2</c:v>
                </c:pt>
                <c:pt idx="3">
                  <c:v>4.9498576195520887E-3</c:v>
                </c:pt>
              </c:numCache>
            </c:numRef>
          </c:val>
          <c:extLst>
            <c:ext xmlns:c16="http://schemas.microsoft.com/office/drawing/2014/chart" uri="{C3380CC4-5D6E-409C-BE32-E72D297353CC}">
              <c16:uniqueId val="{00000008-FFBE-4E78-92EB-5A15D8711AC3}"/>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5911-4798-BB48-D9897DA412D2}"/>
              </c:ext>
            </c:extLst>
          </c:dPt>
          <c:dPt>
            <c:idx val="1"/>
            <c:bubble3D val="0"/>
            <c:extLst>
              <c:ext xmlns:c16="http://schemas.microsoft.com/office/drawing/2014/chart" uri="{C3380CC4-5D6E-409C-BE32-E72D297353CC}">
                <c16:uniqueId val="{00000001-5911-4798-BB48-D9897DA412D2}"/>
              </c:ext>
            </c:extLst>
          </c:dPt>
          <c:dPt>
            <c:idx val="2"/>
            <c:bubble3D val="0"/>
            <c:extLst>
              <c:ext xmlns:c16="http://schemas.microsoft.com/office/drawing/2014/chart" uri="{C3380CC4-5D6E-409C-BE32-E72D297353CC}">
                <c16:uniqueId val="{00000002-5911-4798-BB48-D9897DA412D2}"/>
              </c:ext>
            </c:extLst>
          </c:dPt>
          <c:dPt>
            <c:idx val="3"/>
            <c:bubble3D val="0"/>
            <c:extLst>
              <c:ext xmlns:c16="http://schemas.microsoft.com/office/drawing/2014/chart" uri="{C3380CC4-5D6E-409C-BE32-E72D297353CC}">
                <c16:uniqueId val="{00000003-5911-4798-BB48-D9897DA412D2}"/>
              </c:ext>
            </c:extLst>
          </c:dPt>
          <c:dLbls>
            <c:dLbl>
              <c:idx val="0"/>
              <c:layout>
                <c:manualLayout>
                  <c:x val="-8.3592523316373402E-2"/>
                  <c:y val="-1.09985468061779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659115579551299"/>
                      <c:h val="0.39011860711084401"/>
                    </c:manualLayout>
                  </c15:layout>
                </c:ext>
                <c:ext xmlns:c16="http://schemas.microsoft.com/office/drawing/2014/chart" uri="{C3380CC4-5D6E-409C-BE32-E72D297353CC}">
                  <c16:uniqueId val="{00000000-5911-4798-BB48-D9897DA412D2}"/>
                </c:ext>
              </c:extLst>
            </c:dLbl>
            <c:dLbl>
              <c:idx val="1"/>
              <c:delete val="1"/>
              <c:extLst>
                <c:ext xmlns:c15="http://schemas.microsoft.com/office/drawing/2012/chart" uri="{CE6537A1-D6FC-4f65-9D91-7224C49458BB}"/>
                <c:ext xmlns:c16="http://schemas.microsoft.com/office/drawing/2014/chart" uri="{C3380CC4-5D6E-409C-BE32-E72D297353CC}">
                  <c16:uniqueId val="{00000001-5911-4798-BB48-D9897DA412D2}"/>
                </c:ext>
              </c:extLst>
            </c:dLbl>
            <c:dLbl>
              <c:idx val="2"/>
              <c:delete val="1"/>
              <c:extLst>
                <c:ext xmlns:c15="http://schemas.microsoft.com/office/drawing/2012/chart" uri="{CE6537A1-D6FC-4f65-9D91-7224C49458BB}"/>
                <c:ext xmlns:c16="http://schemas.microsoft.com/office/drawing/2014/chart" uri="{C3380CC4-5D6E-409C-BE32-E72D297353CC}">
                  <c16:uniqueId val="{00000002-5911-4798-BB48-D9897DA412D2}"/>
                </c:ext>
              </c:extLst>
            </c:dLbl>
            <c:dLbl>
              <c:idx val="3"/>
              <c:delete val="1"/>
              <c:extLst>
                <c:ext xmlns:c15="http://schemas.microsoft.com/office/drawing/2012/chart" uri="{CE6537A1-D6FC-4f65-9D91-7224C49458BB}"/>
                <c:ext xmlns:c16="http://schemas.microsoft.com/office/drawing/2014/chart" uri="{C3380CC4-5D6E-409C-BE32-E72D297353CC}">
                  <c16:uniqueId val="{00000003-5911-4798-BB48-D9897DA412D2}"/>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SECTORIAL'!$I$54:$I$57</c:f>
              <c:numCache>
                <c:formatCode>0.00%</c:formatCode>
                <c:ptCount val="4"/>
                <c:pt idx="0">
                  <c:v>0.88596036793220012</c:v>
                </c:pt>
                <c:pt idx="1">
                  <c:v>7.9211320337510882E-2</c:v>
                </c:pt>
                <c:pt idx="2">
                  <c:v>3.1355364797287615E-2</c:v>
                </c:pt>
                <c:pt idx="3">
                  <c:v>3.4729469330014298E-3</c:v>
                </c:pt>
              </c:numCache>
            </c:numRef>
          </c:val>
          <c:extLst>
            <c:ext xmlns:c16="http://schemas.microsoft.com/office/drawing/2014/chart" uri="{C3380CC4-5D6E-409C-BE32-E72D297353CC}">
              <c16:uniqueId val="{00000008-FE85-4DB5-92C0-194ADDB0616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2380</xdr:colOff>
      <xdr:row>4</xdr:row>
      <xdr:rowOff>47625</xdr:rowOff>
    </xdr:from>
    <xdr:to>
      <xdr:col>9</xdr:col>
      <xdr:colOff>23812</xdr:colOff>
      <xdr:row>64</xdr:row>
      <xdr:rowOff>0</xdr:rowOff>
    </xdr:to>
    <xdr:sp macro="" textlink="">
      <xdr:nvSpPr>
        <xdr:cNvPr id="2" name="Rectângulo 4">
          <a:extLst>
            <a:ext uri="{FF2B5EF4-FFF2-40B4-BE49-F238E27FC236}">
              <a16:creationId xmlns:a16="http://schemas.microsoft.com/office/drawing/2014/main" id="{402E5AAB-08D6-40E4-A2F4-B5C602FD2D94}"/>
            </a:ext>
          </a:extLst>
        </xdr:cNvPr>
        <xdr:cNvSpPr/>
      </xdr:nvSpPr>
      <xdr:spPr>
        <a:xfrm>
          <a:off x="295275" y="885825"/>
          <a:ext cx="8010525" cy="11449050"/>
        </a:xfrm>
        <a:prstGeom prst="rect">
          <a:avLst/>
        </a:prstGeom>
        <a:noFill/>
        <a:ln w="25400">
          <a:solidFill>
            <a:srgbClr val="002060"/>
          </a:solidFill>
          <a:prstDash val="solid"/>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PT" sz="1100"/>
        </a:p>
      </xdr:txBody>
    </xdr:sp>
    <xdr:clientData/>
  </xdr:twoCellAnchor>
  <xdr:twoCellAnchor>
    <xdr:from>
      <xdr:col>2</xdr:col>
      <xdr:colOff>66675</xdr:colOff>
      <xdr:row>3</xdr:row>
      <xdr:rowOff>38100</xdr:rowOff>
    </xdr:from>
    <xdr:to>
      <xdr:col>2</xdr:col>
      <xdr:colOff>2552700</xdr:colOff>
      <xdr:row>5</xdr:row>
      <xdr:rowOff>28575</xdr:rowOff>
    </xdr:to>
    <xdr:sp macro="" textlink="">
      <xdr:nvSpPr>
        <xdr:cNvPr id="3" name="Text Box 41">
          <a:extLst>
            <a:ext uri="{FF2B5EF4-FFF2-40B4-BE49-F238E27FC236}">
              <a16:creationId xmlns:a16="http://schemas.microsoft.com/office/drawing/2014/main" id="{65746398-4F53-4498-9DEC-17DBCE6346CD}"/>
            </a:ext>
          </a:extLst>
        </xdr:cNvPr>
        <xdr:cNvSpPr txBox="1">
          <a:spLocks noChangeArrowheads="1"/>
        </xdr:cNvSpPr>
      </xdr:nvSpPr>
      <xdr:spPr bwMode="auto">
        <a:xfrm>
          <a:off x="361950" y="752475"/>
          <a:ext cx="2486025" cy="314325"/>
        </a:xfrm>
        <a:prstGeom prst="rect">
          <a:avLst/>
        </a:prstGeom>
        <a:solidFill>
          <a:schemeClr val="bg1">
            <a:lumMod val="95000"/>
          </a:schemeClr>
        </a:solidFill>
        <a:ln w="25400" algn="ctr">
          <a:solidFill>
            <a:srgbClr val="002060"/>
          </a:solidFill>
          <a:miter lim="800000"/>
        </a:ln>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l" eaLnBrk="1" hangingPunct="1">
            <a:lnSpc>
              <a:spcPct val="110000"/>
            </a:lnSpc>
          </a:pPr>
          <a:r>
            <a:rPr lang="pt-PT" sz="1050" b="1" i="0">
              <a:solidFill>
                <a:schemeClr val="accent1">
                  <a:lumMod val="50000"/>
                </a:schemeClr>
              </a:solidFill>
              <a:latin typeface="Segoe UI" panose="020B0502040204020203" pitchFamily="34" charset="0"/>
              <a:ea typeface="Segoe UI" panose="020B0502040204020203" pitchFamily="34" charset="0"/>
              <a:cs typeface="Segoe UI" panose="020B0502040204020203" pitchFamily="34" charset="0"/>
            </a:rPr>
            <a:t>INDICADORES SÍNTESE</a:t>
          </a:r>
        </a:p>
      </xdr:txBody>
    </xdr:sp>
    <xdr:clientData/>
  </xdr:twoCellAnchor>
  <xdr:twoCellAnchor>
    <xdr:from>
      <xdr:col>10</xdr:col>
      <xdr:colOff>28574</xdr:colOff>
      <xdr:row>4</xdr:row>
      <xdr:rowOff>57150</xdr:rowOff>
    </xdr:from>
    <xdr:to>
      <xdr:col>26</xdr:col>
      <xdr:colOff>647699</xdr:colOff>
      <xdr:row>5</xdr:row>
      <xdr:rowOff>95250</xdr:rowOff>
    </xdr:to>
    <xdr:sp macro="" textlink="">
      <xdr:nvSpPr>
        <xdr:cNvPr id="4" name="Text Box 41">
          <a:extLst>
            <a:ext uri="{FF2B5EF4-FFF2-40B4-BE49-F238E27FC236}">
              <a16:creationId xmlns:a16="http://schemas.microsoft.com/office/drawing/2014/main" id="{265C1BF8-9DA5-42D4-9730-A4115188AC36}"/>
            </a:ext>
          </a:extLst>
        </xdr:cNvPr>
        <xdr:cNvSpPr txBox="1">
          <a:spLocks noChangeArrowheads="1"/>
        </xdr:cNvSpPr>
      </xdr:nvSpPr>
      <xdr:spPr bwMode="auto">
        <a:xfrm>
          <a:off x="8420100" y="895350"/>
          <a:ext cx="8743950" cy="238125"/>
        </a:xfrm>
        <a:prstGeom prst="rect">
          <a:avLst/>
        </a:prstGeom>
        <a:solidFill>
          <a:schemeClr val="bg1">
            <a:lumMod val="95000"/>
          </a:schemeClr>
        </a:solidFill>
        <a:ln w="22225" algn="ctr">
          <a:solidFill>
            <a:schemeClr val="tx2">
              <a:lumMod val="50000"/>
            </a:schemeClr>
          </a:solidFill>
          <a:miter lim="800000"/>
        </a:ln>
        <a:effectLst/>
        <a:scene3d>
          <a:camera prst="orthographicFront">
            <a:rot lat="0" lon="0" rev="0"/>
          </a:camera>
          <a:lightRig rig="contrasting" dir="t">
            <a:rot lat="0" lon="0" rev="7800000"/>
          </a:lightRig>
        </a:scene3d>
        <a:sp3d>
          <a:bevelT w="139700" h="139700"/>
        </a:sp3d>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eaLnBrk="1" hangingPunct="1">
            <a:lnSpc>
              <a:spcPct val="110000"/>
            </a:lnSpc>
          </a:pPr>
          <a:r>
            <a:rPr lang="pt-PT" sz="1100" b="1" i="0" baseline="0">
              <a:solidFill>
                <a:schemeClr val="accent1">
                  <a:lumMod val="50000"/>
                </a:schemeClr>
              </a:solidFill>
              <a:latin typeface="Segoe UI" panose="020B0502040204020203" pitchFamily="34" charset="0"/>
              <a:ea typeface="Verdana" pitchFamily="34" charset="0"/>
              <a:cs typeface="Segoe UI" panose="020B0502040204020203" pitchFamily="34" charset="0"/>
            </a:rPr>
            <a:t>Gráficos Sectoriais dos Indicadores Económicos &amp; Financeiros</a:t>
          </a:r>
          <a:endParaRPr lang="pt-PT" sz="1100" b="1" i="0">
            <a:solidFill>
              <a:schemeClr val="accent1">
                <a:lumMod val="50000"/>
              </a:schemeClr>
            </a:solidFill>
            <a:latin typeface="Segoe UI" panose="020B0502040204020203" pitchFamily="34" charset="0"/>
            <a:ea typeface="Verdana" pitchFamily="34" charset="0"/>
            <a:cs typeface="Segoe UI" panose="020B0502040204020203" pitchFamily="34" charset="0"/>
          </a:endParaRPr>
        </a:p>
      </xdr:txBody>
    </xdr:sp>
    <xdr:clientData/>
  </xdr:twoCellAnchor>
  <xdr:twoCellAnchor>
    <xdr:from>
      <xdr:col>10</xdr:col>
      <xdr:colOff>0</xdr:colOff>
      <xdr:row>6</xdr:row>
      <xdr:rowOff>0</xdr:rowOff>
    </xdr:from>
    <xdr:to>
      <xdr:col>27</xdr:col>
      <xdr:colOff>11904</xdr:colOff>
      <xdr:row>77</xdr:row>
      <xdr:rowOff>0</xdr:rowOff>
    </xdr:to>
    <xdr:sp macro="" textlink="">
      <xdr:nvSpPr>
        <xdr:cNvPr id="5" name="TextBox 94">
          <a:extLst>
            <a:ext uri="{FF2B5EF4-FFF2-40B4-BE49-F238E27FC236}">
              <a16:creationId xmlns:a16="http://schemas.microsoft.com/office/drawing/2014/main" id="{289E16A3-8DBF-4B11-A690-DE131AA1AC04}"/>
            </a:ext>
          </a:extLst>
        </xdr:cNvPr>
        <xdr:cNvSpPr txBox="1">
          <a:spLocks noChangeArrowheads="1"/>
        </xdr:cNvSpPr>
      </xdr:nvSpPr>
      <xdr:spPr bwMode="auto">
        <a:xfrm flipH="1">
          <a:off x="8391525" y="1285875"/>
          <a:ext cx="8782050" cy="13582650"/>
        </a:xfrm>
        <a:prstGeom prst="rect">
          <a:avLst/>
        </a:prstGeom>
        <a:noFill/>
        <a:ln w="9525">
          <a:solidFill>
            <a:srgbClr val="1F497D"/>
          </a:solidFill>
          <a:prstDash val="sysDash"/>
          <a:miter lim="800000"/>
        </a:ln>
        <a:extLst>
          <a:ext uri="{909E8E84-426E-40DD-AFC4-6F175D3DCCD1}">
            <a14:hiddenFill xmlns:a14="http://schemas.microsoft.com/office/drawing/2010/main">
              <a:solidFill>
                <a:srgbClr val="FFFFFF"/>
              </a:solidFill>
            </a14:hiddenFill>
          </a:ext>
        </a:extLst>
      </xdr:spPr>
      <xdr:txBody>
        <a:bodyPr wrap="square">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marR="0" lvl="0" indent="0" algn="l" defTabSz="914400" rtl="0" eaLnBrk="1" fontAlgn="base" latinLnBrk="0" hangingPunct="1">
            <a:lnSpc>
              <a:spcPct val="100000"/>
            </a:lnSpc>
            <a:spcBef>
              <a:spcPct val="0"/>
            </a:spcBef>
            <a:spcAft>
              <a:spcPct val="0"/>
            </a:spcAft>
            <a:buClrTx/>
            <a:buSzTx/>
            <a:buFontTx/>
            <a:buNone/>
          </a:pPr>
          <a:endParaRPr kumimoji="0" lang="en-US" sz="900" b="0" i="0" u="none" kern="1200" spc="0" baseline="0">
            <a:ln>
              <a:noFill/>
            </a:ln>
            <a:solidFill>
              <a:srgbClr val="002774"/>
            </a:solidFill>
            <a:effectLst/>
            <a:latin typeface="Arial" charset="0"/>
            <a:ea typeface="+mn-ea"/>
            <a:cs typeface="Arial" charset="0"/>
          </a:endParaRPr>
        </a:p>
      </xdr:txBody>
    </xdr:sp>
    <xdr:clientData/>
  </xdr:twoCellAnchor>
  <xdr:twoCellAnchor>
    <xdr:from>
      <xdr:col>10</xdr:col>
      <xdr:colOff>14287</xdr:colOff>
      <xdr:row>65</xdr:row>
      <xdr:rowOff>19049</xdr:rowOff>
    </xdr:from>
    <xdr:to>
      <xdr:col>14</xdr:col>
      <xdr:colOff>619125</xdr:colOff>
      <xdr:row>76</xdr:row>
      <xdr:rowOff>161924</xdr:rowOff>
    </xdr:to>
    <xdr:graphicFrame macro="">
      <xdr:nvGraphicFramePr>
        <xdr:cNvPr id="8" name="Gráfico 7">
          <a:extLst>
            <a:ext uri="{FF2B5EF4-FFF2-40B4-BE49-F238E27FC236}">
              <a16:creationId xmlns:a16="http://schemas.microsoft.com/office/drawing/2014/main" id="{35B60D47-E65E-4521-927C-A9560CE4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17858</xdr:colOff>
      <xdr:row>8</xdr:row>
      <xdr:rowOff>23813</xdr:rowOff>
    </xdr:from>
    <xdr:to>
      <xdr:col>14</xdr:col>
      <xdr:colOff>631031</xdr:colOff>
      <xdr:row>19</xdr:row>
      <xdr:rowOff>154781</xdr:rowOff>
    </xdr:to>
    <xdr:graphicFrame macro="">
      <xdr:nvGraphicFramePr>
        <xdr:cNvPr id="17" name="Gráfico 16">
          <a:extLst>
            <a:ext uri="{FF2B5EF4-FFF2-40B4-BE49-F238E27FC236}">
              <a16:creationId xmlns:a16="http://schemas.microsoft.com/office/drawing/2014/main" id="{487D1AA7-D63A-4496-A089-352EEB64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35719</xdr:colOff>
      <xdr:row>8</xdr:row>
      <xdr:rowOff>11906</xdr:rowOff>
    </xdr:from>
    <xdr:to>
      <xdr:col>21</xdr:col>
      <xdr:colOff>0</xdr:colOff>
      <xdr:row>19</xdr:row>
      <xdr:rowOff>166687</xdr:rowOff>
    </xdr:to>
    <xdr:graphicFrame macro="">
      <xdr:nvGraphicFramePr>
        <xdr:cNvPr id="18" name="Gráfico 17">
          <a:extLst>
            <a:ext uri="{FF2B5EF4-FFF2-40B4-BE49-F238E27FC236}">
              <a16:creationId xmlns:a16="http://schemas.microsoft.com/office/drawing/2014/main" id="{2C96E4A0-B541-4B95-897D-8DED0951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23813</xdr:colOff>
      <xdr:row>8</xdr:row>
      <xdr:rowOff>11907</xdr:rowOff>
    </xdr:from>
    <xdr:to>
      <xdr:col>26</xdr:col>
      <xdr:colOff>581025</xdr:colOff>
      <xdr:row>19</xdr:row>
      <xdr:rowOff>142875</xdr:rowOff>
    </xdr:to>
    <xdr:graphicFrame macro="">
      <xdr:nvGraphicFramePr>
        <xdr:cNvPr id="19" name="Gráfico 18">
          <a:extLst>
            <a:ext uri="{FF2B5EF4-FFF2-40B4-BE49-F238E27FC236}">
              <a16:creationId xmlns:a16="http://schemas.microsoft.com/office/drawing/2014/main" id="{98B93B34-9C40-4435-93A0-E022A3A8A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35719</xdr:colOff>
      <xdr:row>22</xdr:row>
      <xdr:rowOff>47625</xdr:rowOff>
    </xdr:from>
    <xdr:to>
      <xdr:col>26</xdr:col>
      <xdr:colOff>595313</xdr:colOff>
      <xdr:row>34</xdr:row>
      <xdr:rowOff>154781</xdr:rowOff>
    </xdr:to>
    <xdr:graphicFrame macro="">
      <xdr:nvGraphicFramePr>
        <xdr:cNvPr id="20" name="Gráfico 19">
          <a:extLst>
            <a:ext uri="{FF2B5EF4-FFF2-40B4-BE49-F238E27FC236}">
              <a16:creationId xmlns:a16="http://schemas.microsoft.com/office/drawing/2014/main" id="{B66F0212-EBDD-4BBB-AAAB-91D8FCF4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11905</xdr:colOff>
      <xdr:row>22</xdr:row>
      <xdr:rowOff>47625</xdr:rowOff>
    </xdr:from>
    <xdr:to>
      <xdr:col>20</xdr:col>
      <xdr:colOff>607218</xdr:colOff>
      <xdr:row>34</xdr:row>
      <xdr:rowOff>154781</xdr:rowOff>
    </xdr:to>
    <xdr:graphicFrame macro="">
      <xdr:nvGraphicFramePr>
        <xdr:cNvPr id="21" name="Gráfico 20">
          <a:extLst>
            <a:ext uri="{FF2B5EF4-FFF2-40B4-BE49-F238E27FC236}">
              <a16:creationId xmlns:a16="http://schemas.microsoft.com/office/drawing/2014/main" id="{CC9EBB6B-D787-46D9-9D71-2620B587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59532</xdr:colOff>
      <xdr:row>22</xdr:row>
      <xdr:rowOff>35719</xdr:rowOff>
    </xdr:from>
    <xdr:to>
      <xdr:col>14</xdr:col>
      <xdr:colOff>581024</xdr:colOff>
      <xdr:row>34</xdr:row>
      <xdr:rowOff>154781</xdr:rowOff>
    </xdr:to>
    <xdr:graphicFrame macro="">
      <xdr:nvGraphicFramePr>
        <xdr:cNvPr id="22" name="Gráfico 21">
          <a:extLst>
            <a:ext uri="{FF2B5EF4-FFF2-40B4-BE49-F238E27FC236}">
              <a16:creationId xmlns:a16="http://schemas.microsoft.com/office/drawing/2014/main" id="{6EC01F74-47E6-4273-B1C7-16C18ADF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59532</xdr:colOff>
      <xdr:row>37</xdr:row>
      <xdr:rowOff>59531</xdr:rowOff>
    </xdr:from>
    <xdr:to>
      <xdr:col>15</xdr:col>
      <xdr:colOff>0</xdr:colOff>
      <xdr:row>48</xdr:row>
      <xdr:rowOff>178594</xdr:rowOff>
    </xdr:to>
    <xdr:graphicFrame macro="">
      <xdr:nvGraphicFramePr>
        <xdr:cNvPr id="23" name="Gráfico 22">
          <a:extLst>
            <a:ext uri="{FF2B5EF4-FFF2-40B4-BE49-F238E27FC236}">
              <a16:creationId xmlns:a16="http://schemas.microsoft.com/office/drawing/2014/main" id="{63DA803F-ACBE-423B-B48A-E7605D2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35718</xdr:colOff>
      <xdr:row>37</xdr:row>
      <xdr:rowOff>11906</xdr:rowOff>
    </xdr:from>
    <xdr:to>
      <xdr:col>20</xdr:col>
      <xdr:colOff>619125</xdr:colOff>
      <xdr:row>48</xdr:row>
      <xdr:rowOff>130969</xdr:rowOff>
    </xdr:to>
    <xdr:graphicFrame macro="">
      <xdr:nvGraphicFramePr>
        <xdr:cNvPr id="24" name="Gráfico 23">
          <a:extLst>
            <a:ext uri="{FF2B5EF4-FFF2-40B4-BE49-F238E27FC236}">
              <a16:creationId xmlns:a16="http://schemas.microsoft.com/office/drawing/2014/main" id="{49AB73B7-5AB7-4AF7-A923-31D600E2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83343</xdr:colOff>
      <xdr:row>37</xdr:row>
      <xdr:rowOff>47625</xdr:rowOff>
    </xdr:from>
    <xdr:to>
      <xdr:col>26</xdr:col>
      <xdr:colOff>631031</xdr:colOff>
      <xdr:row>48</xdr:row>
      <xdr:rowOff>166688</xdr:rowOff>
    </xdr:to>
    <xdr:graphicFrame macro="">
      <xdr:nvGraphicFramePr>
        <xdr:cNvPr id="25" name="Gráfico 24">
          <a:extLst>
            <a:ext uri="{FF2B5EF4-FFF2-40B4-BE49-F238E27FC236}">
              <a16:creationId xmlns:a16="http://schemas.microsoft.com/office/drawing/2014/main" id="{32E28D2A-38AA-4784-9206-EF23189E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35719</xdr:colOff>
      <xdr:row>51</xdr:row>
      <xdr:rowOff>35719</xdr:rowOff>
    </xdr:from>
    <xdr:to>
      <xdr:col>26</xdr:col>
      <xdr:colOff>607218</xdr:colOff>
      <xdr:row>62</xdr:row>
      <xdr:rowOff>142874</xdr:rowOff>
    </xdr:to>
    <xdr:graphicFrame macro="">
      <xdr:nvGraphicFramePr>
        <xdr:cNvPr id="26" name="Gráfico 25">
          <a:extLst>
            <a:ext uri="{FF2B5EF4-FFF2-40B4-BE49-F238E27FC236}">
              <a16:creationId xmlns:a16="http://schemas.microsoft.com/office/drawing/2014/main" id="{3BFB353F-2284-4291-AA82-96A56518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83343</xdr:colOff>
      <xdr:row>51</xdr:row>
      <xdr:rowOff>23813</xdr:rowOff>
    </xdr:from>
    <xdr:to>
      <xdr:col>20</xdr:col>
      <xdr:colOff>607219</xdr:colOff>
      <xdr:row>62</xdr:row>
      <xdr:rowOff>154781</xdr:rowOff>
    </xdr:to>
    <xdr:graphicFrame macro="">
      <xdr:nvGraphicFramePr>
        <xdr:cNvPr id="27" name="Gráfico 26">
          <a:extLst>
            <a:ext uri="{FF2B5EF4-FFF2-40B4-BE49-F238E27FC236}">
              <a16:creationId xmlns:a16="http://schemas.microsoft.com/office/drawing/2014/main" id="{B6EC61C8-EFE8-4DE1-A73E-F345418D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71438</xdr:colOff>
      <xdr:row>51</xdr:row>
      <xdr:rowOff>23813</xdr:rowOff>
    </xdr:from>
    <xdr:to>
      <xdr:col>15</xdr:col>
      <xdr:colOff>1</xdr:colOff>
      <xdr:row>62</xdr:row>
      <xdr:rowOff>154781</xdr:rowOff>
    </xdr:to>
    <xdr:graphicFrame macro="">
      <xdr:nvGraphicFramePr>
        <xdr:cNvPr id="28" name="Gráfico 27">
          <a:extLst>
            <a:ext uri="{FF2B5EF4-FFF2-40B4-BE49-F238E27FC236}">
              <a16:creationId xmlns:a16="http://schemas.microsoft.com/office/drawing/2014/main" id="{A7E71A8A-9B85-4DDD-9F7E-092BDDF1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23811</xdr:colOff>
      <xdr:row>65</xdr:row>
      <xdr:rowOff>35718</xdr:rowOff>
    </xdr:from>
    <xdr:to>
      <xdr:col>26</xdr:col>
      <xdr:colOff>619124</xdr:colOff>
      <xdr:row>76</xdr:row>
      <xdr:rowOff>154780</xdr:rowOff>
    </xdr:to>
    <xdr:graphicFrame macro="">
      <xdr:nvGraphicFramePr>
        <xdr:cNvPr id="29" name="Gráfico 28">
          <a:extLst>
            <a:ext uri="{FF2B5EF4-FFF2-40B4-BE49-F238E27FC236}">
              <a16:creationId xmlns:a16="http://schemas.microsoft.com/office/drawing/2014/main" id="{BE406481-C74E-4E76-BB8A-73C9D9372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35717</xdr:colOff>
      <xdr:row>65</xdr:row>
      <xdr:rowOff>35719</xdr:rowOff>
    </xdr:from>
    <xdr:to>
      <xdr:col>20</xdr:col>
      <xdr:colOff>619124</xdr:colOff>
      <xdr:row>76</xdr:row>
      <xdr:rowOff>166688</xdr:rowOff>
    </xdr:to>
    <xdr:graphicFrame macro="">
      <xdr:nvGraphicFramePr>
        <xdr:cNvPr id="30" name="Gráfico 29">
          <a:extLst>
            <a:ext uri="{FF2B5EF4-FFF2-40B4-BE49-F238E27FC236}">
              <a16:creationId xmlns:a16="http://schemas.microsoft.com/office/drawing/2014/main" id="{AB812189-B30B-48C1-8AFA-F5484F11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57</xdr:row>
      <xdr:rowOff>11906</xdr:rowOff>
    </xdr:from>
    <xdr:to>
      <xdr:col>3</xdr:col>
      <xdr:colOff>2257</xdr:colOff>
      <xdr:row>64</xdr:row>
      <xdr:rowOff>27573</xdr:rowOff>
    </xdr:to>
    <xdr:graphicFrame macro="">
      <xdr:nvGraphicFramePr>
        <xdr:cNvPr id="33" name="Gráfico 32">
          <a:extLst>
            <a:ext uri="{FF2B5EF4-FFF2-40B4-BE49-F238E27FC236}">
              <a16:creationId xmlns:a16="http://schemas.microsoft.com/office/drawing/2014/main" id="{0E4E2AD2-AFDF-4E48-A043-8F22F8D5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25137</xdr:colOff>
      <xdr:row>57</xdr:row>
      <xdr:rowOff>169332</xdr:rowOff>
    </xdr:from>
    <xdr:to>
      <xdr:col>4</xdr:col>
      <xdr:colOff>1026585</xdr:colOff>
      <xdr:row>63</xdr:row>
      <xdr:rowOff>159865</xdr:rowOff>
    </xdr:to>
    <xdr:graphicFrame macro="">
      <xdr:nvGraphicFramePr>
        <xdr:cNvPr id="9" name="Gráfico 8">
          <a:extLst>
            <a:ext uri="{FF2B5EF4-FFF2-40B4-BE49-F238E27FC236}">
              <a16:creationId xmlns:a16="http://schemas.microsoft.com/office/drawing/2014/main" id="{07C3D8F8-235D-46F0-B298-B941A64C8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31750</xdr:colOff>
      <xdr:row>57</xdr:row>
      <xdr:rowOff>179915</xdr:rowOff>
    </xdr:from>
    <xdr:to>
      <xdr:col>6</xdr:col>
      <xdr:colOff>6699</xdr:colOff>
      <xdr:row>63</xdr:row>
      <xdr:rowOff>158750</xdr:rowOff>
    </xdr:to>
    <xdr:graphicFrame macro="">
      <xdr:nvGraphicFramePr>
        <xdr:cNvPr id="10" name="Gráfico 9">
          <a:extLst>
            <a:ext uri="{FF2B5EF4-FFF2-40B4-BE49-F238E27FC236}">
              <a16:creationId xmlns:a16="http://schemas.microsoft.com/office/drawing/2014/main" id="{6B0E0433-B591-444E-A13E-2C04F277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35720</xdr:colOff>
      <xdr:row>57</xdr:row>
      <xdr:rowOff>169333</xdr:rowOff>
    </xdr:from>
    <xdr:to>
      <xdr:col>6</xdr:col>
      <xdr:colOff>1005418</xdr:colOff>
      <xdr:row>63</xdr:row>
      <xdr:rowOff>158750</xdr:rowOff>
    </xdr:to>
    <xdr:graphicFrame macro="">
      <xdr:nvGraphicFramePr>
        <xdr:cNvPr id="11" name="Gráfico 10">
          <a:extLst>
            <a:ext uri="{FF2B5EF4-FFF2-40B4-BE49-F238E27FC236}">
              <a16:creationId xmlns:a16="http://schemas.microsoft.com/office/drawing/2014/main" id="{038859ED-9438-48D3-84F3-61C6A0D9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25136</xdr:colOff>
      <xdr:row>57</xdr:row>
      <xdr:rowOff>158749</xdr:rowOff>
    </xdr:from>
    <xdr:to>
      <xdr:col>7</xdr:col>
      <xdr:colOff>973667</xdr:colOff>
      <xdr:row>63</xdr:row>
      <xdr:rowOff>158750</xdr:rowOff>
    </xdr:to>
    <xdr:graphicFrame macro="">
      <xdr:nvGraphicFramePr>
        <xdr:cNvPr id="32" name="Gráfico 31">
          <a:extLst>
            <a:ext uri="{FF2B5EF4-FFF2-40B4-BE49-F238E27FC236}">
              <a16:creationId xmlns:a16="http://schemas.microsoft.com/office/drawing/2014/main" id="{379AE93A-85A7-4206-A7FC-2A37572E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47625</xdr:colOff>
      <xdr:row>57</xdr:row>
      <xdr:rowOff>158750</xdr:rowOff>
    </xdr:from>
    <xdr:to>
      <xdr:col>8</xdr:col>
      <xdr:colOff>980017</xdr:colOff>
      <xdr:row>63</xdr:row>
      <xdr:rowOff>170448</xdr:rowOff>
    </xdr:to>
    <xdr:graphicFrame macro="">
      <xdr:nvGraphicFramePr>
        <xdr:cNvPr id="34" name="Gráfico 33">
          <a:extLst>
            <a:ext uri="{FF2B5EF4-FFF2-40B4-BE49-F238E27FC236}">
              <a16:creationId xmlns:a16="http://schemas.microsoft.com/office/drawing/2014/main" id="{170DB0C7-8EBD-43D2-B266-3782F756C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3">
    <tabColor theme="9" tint="0.39997558519241921"/>
  </sheetPr>
  <dimension ref="A1:G30"/>
  <sheetViews>
    <sheetView workbookViewId="0">
      <pane xSplit="2" ySplit="5" topLeftCell="D6" activePane="bottomRight" state="frozen"/>
      <selection activeCell="E8" sqref="E8"/>
      <selection pane="topRight" activeCell="E8" sqref="E8"/>
      <selection pane="bottomLeft" activeCell="E8" sqref="E8"/>
      <selection pane="bottomRight" activeCell="B11" sqref="B11"/>
    </sheetView>
  </sheetViews>
  <sheetFormatPr defaultRowHeight="15" x14ac:dyDescent="0.25"/>
  <cols>
    <col min="1" max="1" width="2.5703125" style="21" customWidth="1"/>
    <col min="2" max="2" width="39.140625" style="21" customWidth="1"/>
    <col min="3" max="3" width="78.28515625" style="18" customWidth="1"/>
    <col min="4" max="4" width="41.5703125" style="20" bestFit="1" customWidth="1"/>
    <col min="5" max="5" width="25.140625" style="20" bestFit="1" customWidth="1"/>
    <col min="6" max="6" width="73" style="18" customWidth="1"/>
    <col min="7" max="206" width="9.140625" style="18"/>
    <col min="207" max="207" width="3.28515625" style="18" customWidth="1"/>
    <col min="208" max="208" width="48.28515625" style="18" customWidth="1"/>
    <col min="209" max="209" width="9.140625" style="18"/>
    <col min="210" max="210" width="17.85546875" style="18" customWidth="1"/>
    <col min="211" max="211" width="21" style="18" customWidth="1"/>
    <col min="212" max="212" width="1.85546875" style="18" customWidth="1"/>
    <col min="213" max="214" width="18.5703125" style="18" bestFit="1" customWidth="1"/>
    <col min="215" max="216" width="9.140625" style="18"/>
    <col min="217" max="217" width="14.28515625" style="18" bestFit="1" customWidth="1"/>
    <col min="218" max="462" width="9.140625" style="18"/>
    <col min="463" max="463" width="3.28515625" style="18" customWidth="1"/>
    <col min="464" max="464" width="48.28515625" style="18" customWidth="1"/>
    <col min="465" max="465" width="9.140625" style="18"/>
    <col min="466" max="466" width="17.85546875" style="18" customWidth="1"/>
    <col min="467" max="467" width="21" style="18" customWidth="1"/>
    <col min="468" max="468" width="1.85546875" style="18" customWidth="1"/>
    <col min="469" max="470" width="18.5703125" style="18" bestFit="1" customWidth="1"/>
    <col min="471" max="472" width="9.140625" style="18"/>
    <col min="473" max="473" width="14.28515625" style="18" bestFit="1" customWidth="1"/>
    <col min="474" max="718" width="9.140625" style="18"/>
    <col min="719" max="719" width="3.28515625" style="18" customWidth="1"/>
    <col min="720" max="720" width="48.28515625" style="18" customWidth="1"/>
    <col min="721" max="721" width="9.140625" style="18"/>
    <col min="722" max="722" width="17.85546875" style="18" customWidth="1"/>
    <col min="723" max="723" width="21" style="18" customWidth="1"/>
    <col min="724" max="724" width="1.85546875" style="18" customWidth="1"/>
    <col min="725" max="726" width="18.5703125" style="18" bestFit="1" customWidth="1"/>
    <col min="727" max="728" width="9.140625" style="18"/>
    <col min="729" max="729" width="14.28515625" style="18" bestFit="1" customWidth="1"/>
    <col min="730" max="974" width="9.140625" style="18"/>
    <col min="975" max="975" width="3.28515625" style="18" customWidth="1"/>
    <col min="976" max="976" width="48.28515625" style="18" customWidth="1"/>
    <col min="977" max="977" width="9.140625" style="18"/>
    <col min="978" max="978" width="17.85546875" style="18" customWidth="1"/>
    <col min="979" max="979" width="21" style="18" customWidth="1"/>
    <col min="980" max="980" width="1.85546875" style="18" customWidth="1"/>
    <col min="981" max="982" width="18.5703125" style="18" bestFit="1" customWidth="1"/>
    <col min="983" max="984" width="9.140625" style="18"/>
    <col min="985" max="985" width="14.28515625" style="18" bestFit="1" customWidth="1"/>
    <col min="986" max="1230" width="9.140625" style="18"/>
    <col min="1231" max="1231" width="3.28515625" style="18" customWidth="1"/>
    <col min="1232" max="1232" width="48.28515625" style="18" customWidth="1"/>
    <col min="1233" max="1233" width="9.140625" style="18"/>
    <col min="1234" max="1234" width="17.85546875" style="18" customWidth="1"/>
    <col min="1235" max="1235" width="21" style="18" customWidth="1"/>
    <col min="1236" max="1236" width="1.85546875" style="18" customWidth="1"/>
    <col min="1237" max="1238" width="18.5703125" style="18" bestFit="1" customWidth="1"/>
    <col min="1239" max="1240" width="9.140625" style="18"/>
    <col min="1241" max="1241" width="14.28515625" style="18" bestFit="1" customWidth="1"/>
    <col min="1242" max="1486" width="9.140625" style="18"/>
    <col min="1487" max="1487" width="3.28515625" style="18" customWidth="1"/>
    <col min="1488" max="1488" width="48.28515625" style="18" customWidth="1"/>
    <col min="1489" max="1489" width="9.140625" style="18"/>
    <col min="1490" max="1490" width="17.85546875" style="18" customWidth="1"/>
    <col min="1491" max="1491" width="21" style="18" customWidth="1"/>
    <col min="1492" max="1492" width="1.85546875" style="18" customWidth="1"/>
    <col min="1493" max="1494" width="18.5703125" style="18" bestFit="1" customWidth="1"/>
    <col min="1495" max="1496" width="9.140625" style="18"/>
    <col min="1497" max="1497" width="14.28515625" style="18" bestFit="1" customWidth="1"/>
    <col min="1498" max="1742" width="9.140625" style="18"/>
    <col min="1743" max="1743" width="3.28515625" style="18" customWidth="1"/>
    <col min="1744" max="1744" width="48.28515625" style="18" customWidth="1"/>
    <col min="1745" max="1745" width="9.140625" style="18"/>
    <col min="1746" max="1746" width="17.85546875" style="18" customWidth="1"/>
    <col min="1747" max="1747" width="21" style="18" customWidth="1"/>
    <col min="1748" max="1748" width="1.85546875" style="18" customWidth="1"/>
    <col min="1749" max="1750" width="18.5703125" style="18" bestFit="1" customWidth="1"/>
    <col min="1751" max="1752" width="9.140625" style="18"/>
    <col min="1753" max="1753" width="14.28515625" style="18" bestFit="1" customWidth="1"/>
    <col min="1754" max="1998" width="9.140625" style="18"/>
    <col min="1999" max="1999" width="3.28515625" style="18" customWidth="1"/>
    <col min="2000" max="2000" width="48.28515625" style="18" customWidth="1"/>
    <col min="2001" max="2001" width="9.140625" style="18"/>
    <col min="2002" max="2002" width="17.85546875" style="18" customWidth="1"/>
    <col min="2003" max="2003" width="21" style="18" customWidth="1"/>
    <col min="2004" max="2004" width="1.85546875" style="18" customWidth="1"/>
    <col min="2005" max="2006" width="18.5703125" style="18" bestFit="1" customWidth="1"/>
    <col min="2007" max="2008" width="9.140625" style="18"/>
    <col min="2009" max="2009" width="14.28515625" style="18" bestFit="1" customWidth="1"/>
    <col min="2010" max="2254" width="9.140625" style="18"/>
    <col min="2255" max="2255" width="3.28515625" style="18" customWidth="1"/>
    <col min="2256" max="2256" width="48.28515625" style="18" customWidth="1"/>
    <col min="2257" max="2257" width="9.140625" style="18"/>
    <col min="2258" max="2258" width="17.85546875" style="18" customWidth="1"/>
    <col min="2259" max="2259" width="21" style="18" customWidth="1"/>
    <col min="2260" max="2260" width="1.85546875" style="18" customWidth="1"/>
    <col min="2261" max="2262" width="18.5703125" style="18" bestFit="1" customWidth="1"/>
    <col min="2263" max="2264" width="9.140625" style="18"/>
    <col min="2265" max="2265" width="14.28515625" style="18" bestFit="1" customWidth="1"/>
    <col min="2266" max="2510" width="9.140625" style="18"/>
    <col min="2511" max="2511" width="3.28515625" style="18" customWidth="1"/>
    <col min="2512" max="2512" width="48.28515625" style="18" customWidth="1"/>
    <col min="2513" max="2513" width="9.140625" style="18"/>
    <col min="2514" max="2514" width="17.85546875" style="18" customWidth="1"/>
    <col min="2515" max="2515" width="21" style="18" customWidth="1"/>
    <col min="2516" max="2516" width="1.85546875" style="18" customWidth="1"/>
    <col min="2517" max="2518" width="18.5703125" style="18" bestFit="1" customWidth="1"/>
    <col min="2519" max="2520" width="9.140625" style="18"/>
    <col min="2521" max="2521" width="14.28515625" style="18" bestFit="1" customWidth="1"/>
    <col min="2522" max="2766" width="9.140625" style="18"/>
    <col min="2767" max="2767" width="3.28515625" style="18" customWidth="1"/>
    <col min="2768" max="2768" width="48.28515625" style="18" customWidth="1"/>
    <col min="2769" max="2769" width="9.140625" style="18"/>
    <col min="2770" max="2770" width="17.85546875" style="18" customWidth="1"/>
    <col min="2771" max="2771" width="21" style="18" customWidth="1"/>
    <col min="2772" max="2772" width="1.85546875" style="18" customWidth="1"/>
    <col min="2773" max="2774" width="18.5703125" style="18" bestFit="1" customWidth="1"/>
    <col min="2775" max="2776" width="9.140625" style="18"/>
    <col min="2777" max="2777" width="14.28515625" style="18" bestFit="1" customWidth="1"/>
    <col min="2778" max="3022" width="9.140625" style="18"/>
    <col min="3023" max="3023" width="3.28515625" style="18" customWidth="1"/>
    <col min="3024" max="3024" width="48.28515625" style="18" customWidth="1"/>
    <col min="3025" max="3025" width="9.140625" style="18"/>
    <col min="3026" max="3026" width="17.85546875" style="18" customWidth="1"/>
    <col min="3027" max="3027" width="21" style="18" customWidth="1"/>
    <col min="3028" max="3028" width="1.85546875" style="18" customWidth="1"/>
    <col min="3029" max="3030" width="18.5703125" style="18" bestFit="1" customWidth="1"/>
    <col min="3031" max="3032" width="9.140625" style="18"/>
    <col min="3033" max="3033" width="14.28515625" style="18" bestFit="1" customWidth="1"/>
    <col min="3034" max="3278" width="9.140625" style="18"/>
    <col min="3279" max="3279" width="3.28515625" style="18" customWidth="1"/>
    <col min="3280" max="3280" width="48.28515625" style="18" customWidth="1"/>
    <col min="3281" max="3281" width="9.140625" style="18"/>
    <col min="3282" max="3282" width="17.85546875" style="18" customWidth="1"/>
    <col min="3283" max="3283" width="21" style="18" customWidth="1"/>
    <col min="3284" max="3284" width="1.85546875" style="18" customWidth="1"/>
    <col min="3285" max="3286" width="18.5703125" style="18" bestFit="1" customWidth="1"/>
    <col min="3287" max="3288" width="9.140625" style="18"/>
    <col min="3289" max="3289" width="14.28515625" style="18" bestFit="1" customWidth="1"/>
    <col min="3290" max="3534" width="9.140625" style="18"/>
    <col min="3535" max="3535" width="3.28515625" style="18" customWidth="1"/>
    <col min="3536" max="3536" width="48.28515625" style="18" customWidth="1"/>
    <col min="3537" max="3537" width="9.140625" style="18"/>
    <col min="3538" max="3538" width="17.85546875" style="18" customWidth="1"/>
    <col min="3539" max="3539" width="21" style="18" customWidth="1"/>
    <col min="3540" max="3540" width="1.85546875" style="18" customWidth="1"/>
    <col min="3541" max="3542" width="18.5703125" style="18" bestFit="1" customWidth="1"/>
    <col min="3543" max="3544" width="9.140625" style="18"/>
    <col min="3545" max="3545" width="14.28515625" style="18" bestFit="1" customWidth="1"/>
    <col min="3546" max="3790" width="9.140625" style="18"/>
    <col min="3791" max="3791" width="3.28515625" style="18" customWidth="1"/>
    <col min="3792" max="3792" width="48.28515625" style="18" customWidth="1"/>
    <col min="3793" max="3793" width="9.140625" style="18"/>
    <col min="3794" max="3794" width="17.85546875" style="18" customWidth="1"/>
    <col min="3795" max="3795" width="21" style="18" customWidth="1"/>
    <col min="3796" max="3796" width="1.85546875" style="18" customWidth="1"/>
    <col min="3797" max="3798" width="18.5703125" style="18" bestFit="1" customWidth="1"/>
    <col min="3799" max="3800" width="9.140625" style="18"/>
    <col min="3801" max="3801" width="14.28515625" style="18" bestFit="1" customWidth="1"/>
    <col min="3802" max="4046" width="9.140625" style="18"/>
    <col min="4047" max="4047" width="3.28515625" style="18" customWidth="1"/>
    <col min="4048" max="4048" width="48.28515625" style="18" customWidth="1"/>
    <col min="4049" max="4049" width="9.140625" style="18"/>
    <col min="4050" max="4050" width="17.85546875" style="18" customWidth="1"/>
    <col min="4051" max="4051" width="21" style="18" customWidth="1"/>
    <col min="4052" max="4052" width="1.85546875" style="18" customWidth="1"/>
    <col min="4053" max="4054" width="18.5703125" style="18" bestFit="1" customWidth="1"/>
    <col min="4055" max="4056" width="9.140625" style="18"/>
    <col min="4057" max="4057" width="14.28515625" style="18" bestFit="1" customWidth="1"/>
    <col min="4058" max="4302" width="9.140625" style="18"/>
    <col min="4303" max="4303" width="3.28515625" style="18" customWidth="1"/>
    <col min="4304" max="4304" width="48.28515625" style="18" customWidth="1"/>
    <col min="4305" max="4305" width="9.140625" style="18"/>
    <col min="4306" max="4306" width="17.85546875" style="18" customWidth="1"/>
    <col min="4307" max="4307" width="21" style="18" customWidth="1"/>
    <col min="4308" max="4308" width="1.85546875" style="18" customWidth="1"/>
    <col min="4309" max="4310" width="18.5703125" style="18" bestFit="1" customWidth="1"/>
    <col min="4311" max="4312" width="9.140625" style="18"/>
    <col min="4313" max="4313" width="14.28515625" style="18" bestFit="1" customWidth="1"/>
    <col min="4314" max="4558" width="9.140625" style="18"/>
    <col min="4559" max="4559" width="3.28515625" style="18" customWidth="1"/>
    <col min="4560" max="4560" width="48.28515625" style="18" customWidth="1"/>
    <col min="4561" max="4561" width="9.140625" style="18"/>
    <col min="4562" max="4562" width="17.85546875" style="18" customWidth="1"/>
    <col min="4563" max="4563" width="21" style="18" customWidth="1"/>
    <col min="4564" max="4564" width="1.85546875" style="18" customWidth="1"/>
    <col min="4565" max="4566" width="18.5703125" style="18" bestFit="1" customWidth="1"/>
    <col min="4567" max="4568" width="9.140625" style="18"/>
    <col min="4569" max="4569" width="14.28515625" style="18" bestFit="1" customWidth="1"/>
    <col min="4570" max="4814" width="9.140625" style="18"/>
    <col min="4815" max="4815" width="3.28515625" style="18" customWidth="1"/>
    <col min="4816" max="4816" width="48.28515625" style="18" customWidth="1"/>
    <col min="4817" max="4817" width="9.140625" style="18"/>
    <col min="4818" max="4818" width="17.85546875" style="18" customWidth="1"/>
    <col min="4819" max="4819" width="21" style="18" customWidth="1"/>
    <col min="4820" max="4820" width="1.85546875" style="18" customWidth="1"/>
    <col min="4821" max="4822" width="18.5703125" style="18" bestFit="1" customWidth="1"/>
    <col min="4823" max="4824" width="9.140625" style="18"/>
    <col min="4825" max="4825" width="14.28515625" style="18" bestFit="1" customWidth="1"/>
    <col min="4826" max="5070" width="9.140625" style="18"/>
    <col min="5071" max="5071" width="3.28515625" style="18" customWidth="1"/>
    <col min="5072" max="5072" width="48.28515625" style="18" customWidth="1"/>
    <col min="5073" max="5073" width="9.140625" style="18"/>
    <col min="5074" max="5074" width="17.85546875" style="18" customWidth="1"/>
    <col min="5075" max="5075" width="21" style="18" customWidth="1"/>
    <col min="5076" max="5076" width="1.85546875" style="18" customWidth="1"/>
    <col min="5077" max="5078" width="18.5703125" style="18" bestFit="1" customWidth="1"/>
    <col min="5079" max="5080" width="9.140625" style="18"/>
    <col min="5081" max="5081" width="14.28515625" style="18" bestFit="1" customWidth="1"/>
    <col min="5082" max="5326" width="9.140625" style="18"/>
    <col min="5327" max="5327" width="3.28515625" style="18" customWidth="1"/>
    <col min="5328" max="5328" width="48.28515625" style="18" customWidth="1"/>
    <col min="5329" max="5329" width="9.140625" style="18"/>
    <col min="5330" max="5330" width="17.85546875" style="18" customWidth="1"/>
    <col min="5331" max="5331" width="21" style="18" customWidth="1"/>
    <col min="5332" max="5332" width="1.85546875" style="18" customWidth="1"/>
    <col min="5333" max="5334" width="18.5703125" style="18" bestFit="1" customWidth="1"/>
    <col min="5335" max="5336" width="9.140625" style="18"/>
    <col min="5337" max="5337" width="14.28515625" style="18" bestFit="1" customWidth="1"/>
    <col min="5338" max="5582" width="9.140625" style="18"/>
    <col min="5583" max="5583" width="3.28515625" style="18" customWidth="1"/>
    <col min="5584" max="5584" width="48.28515625" style="18" customWidth="1"/>
    <col min="5585" max="5585" width="9.140625" style="18"/>
    <col min="5586" max="5586" width="17.85546875" style="18" customWidth="1"/>
    <col min="5587" max="5587" width="21" style="18" customWidth="1"/>
    <col min="5588" max="5588" width="1.85546875" style="18" customWidth="1"/>
    <col min="5589" max="5590" width="18.5703125" style="18" bestFit="1" customWidth="1"/>
    <col min="5591" max="5592" width="9.140625" style="18"/>
    <col min="5593" max="5593" width="14.28515625" style="18" bestFit="1" customWidth="1"/>
    <col min="5594" max="5838" width="9.140625" style="18"/>
    <col min="5839" max="5839" width="3.28515625" style="18" customWidth="1"/>
    <col min="5840" max="5840" width="48.28515625" style="18" customWidth="1"/>
    <col min="5841" max="5841" width="9.140625" style="18"/>
    <col min="5842" max="5842" width="17.85546875" style="18" customWidth="1"/>
    <col min="5843" max="5843" width="21" style="18" customWidth="1"/>
    <col min="5844" max="5844" width="1.85546875" style="18" customWidth="1"/>
    <col min="5845" max="5846" width="18.5703125" style="18" bestFit="1" customWidth="1"/>
    <col min="5847" max="5848" width="9.140625" style="18"/>
    <col min="5849" max="5849" width="14.28515625" style="18" bestFit="1" customWidth="1"/>
    <col min="5850" max="6094" width="9.140625" style="18"/>
    <col min="6095" max="6095" width="3.28515625" style="18" customWidth="1"/>
    <col min="6096" max="6096" width="48.28515625" style="18" customWidth="1"/>
    <col min="6097" max="6097" width="9.140625" style="18"/>
    <col min="6098" max="6098" width="17.85546875" style="18" customWidth="1"/>
    <col min="6099" max="6099" width="21" style="18" customWidth="1"/>
    <col min="6100" max="6100" width="1.85546875" style="18" customWidth="1"/>
    <col min="6101" max="6102" width="18.5703125" style="18" bestFit="1" customWidth="1"/>
    <col min="6103" max="6104" width="9.140625" style="18"/>
    <col min="6105" max="6105" width="14.28515625" style="18" bestFit="1" customWidth="1"/>
    <col min="6106" max="6350" width="9.140625" style="18"/>
    <col min="6351" max="6351" width="3.28515625" style="18" customWidth="1"/>
    <col min="6352" max="6352" width="48.28515625" style="18" customWidth="1"/>
    <col min="6353" max="6353" width="9.140625" style="18"/>
    <col min="6354" max="6354" width="17.85546875" style="18" customWidth="1"/>
    <col min="6355" max="6355" width="21" style="18" customWidth="1"/>
    <col min="6356" max="6356" width="1.85546875" style="18" customWidth="1"/>
    <col min="6357" max="6358" width="18.5703125" style="18" bestFit="1" customWidth="1"/>
    <col min="6359" max="6360" width="9.140625" style="18"/>
    <col min="6361" max="6361" width="14.28515625" style="18" bestFit="1" customWidth="1"/>
    <col min="6362" max="6606" width="9.140625" style="18"/>
    <col min="6607" max="6607" width="3.28515625" style="18" customWidth="1"/>
    <col min="6608" max="6608" width="48.28515625" style="18" customWidth="1"/>
    <col min="6609" max="6609" width="9.140625" style="18"/>
    <col min="6610" max="6610" width="17.85546875" style="18" customWidth="1"/>
    <col min="6611" max="6611" width="21" style="18" customWidth="1"/>
    <col min="6612" max="6612" width="1.85546875" style="18" customWidth="1"/>
    <col min="6613" max="6614" width="18.5703125" style="18" bestFit="1" customWidth="1"/>
    <col min="6615" max="6616" width="9.140625" style="18"/>
    <col min="6617" max="6617" width="14.28515625" style="18" bestFit="1" customWidth="1"/>
    <col min="6618" max="6862" width="9.140625" style="18"/>
    <col min="6863" max="6863" width="3.28515625" style="18" customWidth="1"/>
    <col min="6864" max="6864" width="48.28515625" style="18" customWidth="1"/>
    <col min="6865" max="6865" width="9.140625" style="18"/>
    <col min="6866" max="6866" width="17.85546875" style="18" customWidth="1"/>
    <col min="6867" max="6867" width="21" style="18" customWidth="1"/>
    <col min="6868" max="6868" width="1.85546875" style="18" customWidth="1"/>
    <col min="6869" max="6870" width="18.5703125" style="18" bestFit="1" customWidth="1"/>
    <col min="6871" max="6872" width="9.140625" style="18"/>
    <col min="6873" max="6873" width="14.28515625" style="18" bestFit="1" customWidth="1"/>
    <col min="6874" max="7118" width="9.140625" style="18"/>
    <col min="7119" max="7119" width="3.28515625" style="18" customWidth="1"/>
    <col min="7120" max="7120" width="48.28515625" style="18" customWidth="1"/>
    <col min="7121" max="7121" width="9.140625" style="18"/>
    <col min="7122" max="7122" width="17.85546875" style="18" customWidth="1"/>
    <col min="7123" max="7123" width="21" style="18" customWidth="1"/>
    <col min="7124" max="7124" width="1.85546875" style="18" customWidth="1"/>
    <col min="7125" max="7126" width="18.5703125" style="18" bestFit="1" customWidth="1"/>
    <col min="7127" max="7128" width="9.140625" style="18"/>
    <col min="7129" max="7129" width="14.28515625" style="18" bestFit="1" customWidth="1"/>
    <col min="7130" max="7374" width="9.140625" style="18"/>
    <col min="7375" max="7375" width="3.28515625" style="18" customWidth="1"/>
    <col min="7376" max="7376" width="48.28515625" style="18" customWidth="1"/>
    <col min="7377" max="7377" width="9.140625" style="18"/>
    <col min="7378" max="7378" width="17.85546875" style="18" customWidth="1"/>
    <col min="7379" max="7379" width="21" style="18" customWidth="1"/>
    <col min="7380" max="7380" width="1.85546875" style="18" customWidth="1"/>
    <col min="7381" max="7382" width="18.5703125" style="18" bestFit="1" customWidth="1"/>
    <col min="7383" max="7384" width="9.140625" style="18"/>
    <col min="7385" max="7385" width="14.28515625" style="18" bestFit="1" customWidth="1"/>
    <col min="7386" max="7630" width="9.140625" style="18"/>
    <col min="7631" max="7631" width="3.28515625" style="18" customWidth="1"/>
    <col min="7632" max="7632" width="48.28515625" style="18" customWidth="1"/>
    <col min="7633" max="7633" width="9.140625" style="18"/>
    <col min="7634" max="7634" width="17.85546875" style="18" customWidth="1"/>
    <col min="7635" max="7635" width="21" style="18" customWidth="1"/>
    <col min="7636" max="7636" width="1.85546875" style="18" customWidth="1"/>
    <col min="7637" max="7638" width="18.5703125" style="18" bestFit="1" customWidth="1"/>
    <col min="7639" max="7640" width="9.140625" style="18"/>
    <col min="7641" max="7641" width="14.28515625" style="18" bestFit="1" customWidth="1"/>
    <col min="7642" max="7886" width="9.140625" style="18"/>
    <col min="7887" max="7887" width="3.28515625" style="18" customWidth="1"/>
    <col min="7888" max="7888" width="48.28515625" style="18" customWidth="1"/>
    <col min="7889" max="7889" width="9.140625" style="18"/>
    <col min="7890" max="7890" width="17.85546875" style="18" customWidth="1"/>
    <col min="7891" max="7891" width="21" style="18" customWidth="1"/>
    <col min="7892" max="7892" width="1.85546875" style="18" customWidth="1"/>
    <col min="7893" max="7894" width="18.5703125" style="18" bestFit="1" customWidth="1"/>
    <col min="7895" max="7896" width="9.140625" style="18"/>
    <col min="7897" max="7897" width="14.28515625" style="18" bestFit="1" customWidth="1"/>
    <col min="7898" max="8142" width="9.140625" style="18"/>
    <col min="8143" max="8143" width="3.28515625" style="18" customWidth="1"/>
    <col min="8144" max="8144" width="48.28515625" style="18" customWidth="1"/>
    <col min="8145" max="8145" width="9.140625" style="18"/>
    <col min="8146" max="8146" width="17.85546875" style="18" customWidth="1"/>
    <col min="8147" max="8147" width="21" style="18" customWidth="1"/>
    <col min="8148" max="8148" width="1.85546875" style="18" customWidth="1"/>
    <col min="8149" max="8150" width="18.5703125" style="18" bestFit="1" customWidth="1"/>
    <col min="8151" max="8152" width="9.140625" style="18"/>
    <col min="8153" max="8153" width="14.28515625" style="18" bestFit="1" customWidth="1"/>
    <col min="8154" max="8398" width="9.140625" style="18"/>
    <col min="8399" max="8399" width="3.28515625" style="18" customWidth="1"/>
    <col min="8400" max="8400" width="48.28515625" style="18" customWidth="1"/>
    <col min="8401" max="8401" width="9.140625" style="18"/>
    <col min="8402" max="8402" width="17.85546875" style="18" customWidth="1"/>
    <col min="8403" max="8403" width="21" style="18" customWidth="1"/>
    <col min="8404" max="8404" width="1.85546875" style="18" customWidth="1"/>
    <col min="8405" max="8406" width="18.5703125" style="18" bestFit="1" customWidth="1"/>
    <col min="8407" max="8408" width="9.140625" style="18"/>
    <col min="8409" max="8409" width="14.28515625" style="18" bestFit="1" customWidth="1"/>
    <col min="8410" max="8654" width="9.140625" style="18"/>
    <col min="8655" max="8655" width="3.28515625" style="18" customWidth="1"/>
    <col min="8656" max="8656" width="48.28515625" style="18" customWidth="1"/>
    <col min="8657" max="8657" width="9.140625" style="18"/>
    <col min="8658" max="8658" width="17.85546875" style="18" customWidth="1"/>
    <col min="8659" max="8659" width="21" style="18" customWidth="1"/>
    <col min="8660" max="8660" width="1.85546875" style="18" customWidth="1"/>
    <col min="8661" max="8662" width="18.5703125" style="18" bestFit="1" customWidth="1"/>
    <col min="8663" max="8664" width="9.140625" style="18"/>
    <col min="8665" max="8665" width="14.28515625" style="18" bestFit="1" customWidth="1"/>
    <col min="8666" max="8910" width="9.140625" style="18"/>
    <col min="8911" max="8911" width="3.28515625" style="18" customWidth="1"/>
    <col min="8912" max="8912" width="48.28515625" style="18" customWidth="1"/>
    <col min="8913" max="8913" width="9.140625" style="18"/>
    <col min="8914" max="8914" width="17.85546875" style="18" customWidth="1"/>
    <col min="8915" max="8915" width="21" style="18" customWidth="1"/>
    <col min="8916" max="8916" width="1.85546875" style="18" customWidth="1"/>
    <col min="8917" max="8918" width="18.5703125" style="18" bestFit="1" customWidth="1"/>
    <col min="8919" max="8920" width="9.140625" style="18"/>
    <col min="8921" max="8921" width="14.28515625" style="18" bestFit="1" customWidth="1"/>
    <col min="8922" max="9166" width="9.140625" style="18"/>
    <col min="9167" max="9167" width="3.28515625" style="18" customWidth="1"/>
    <col min="9168" max="9168" width="48.28515625" style="18" customWidth="1"/>
    <col min="9169" max="9169" width="9.140625" style="18"/>
    <col min="9170" max="9170" width="17.85546875" style="18" customWidth="1"/>
    <col min="9171" max="9171" width="21" style="18" customWidth="1"/>
    <col min="9172" max="9172" width="1.85546875" style="18" customWidth="1"/>
    <col min="9173" max="9174" width="18.5703125" style="18" bestFit="1" customWidth="1"/>
    <col min="9175" max="9176" width="9.140625" style="18"/>
    <col min="9177" max="9177" width="14.28515625" style="18" bestFit="1" customWidth="1"/>
    <col min="9178" max="9422" width="9.140625" style="18"/>
    <col min="9423" max="9423" width="3.28515625" style="18" customWidth="1"/>
    <col min="9424" max="9424" width="48.28515625" style="18" customWidth="1"/>
    <col min="9425" max="9425" width="9.140625" style="18"/>
    <col min="9426" max="9426" width="17.85546875" style="18" customWidth="1"/>
    <col min="9427" max="9427" width="21" style="18" customWidth="1"/>
    <col min="9428" max="9428" width="1.85546875" style="18" customWidth="1"/>
    <col min="9429" max="9430" width="18.5703125" style="18" bestFit="1" customWidth="1"/>
    <col min="9431" max="9432" width="9.140625" style="18"/>
    <col min="9433" max="9433" width="14.28515625" style="18" bestFit="1" customWidth="1"/>
    <col min="9434" max="9678" width="9.140625" style="18"/>
    <col min="9679" max="9679" width="3.28515625" style="18" customWidth="1"/>
    <col min="9680" max="9680" width="48.28515625" style="18" customWidth="1"/>
    <col min="9681" max="9681" width="9.140625" style="18"/>
    <col min="9682" max="9682" width="17.85546875" style="18" customWidth="1"/>
    <col min="9683" max="9683" width="21" style="18" customWidth="1"/>
    <col min="9684" max="9684" width="1.85546875" style="18" customWidth="1"/>
    <col min="9685" max="9686" width="18.5703125" style="18" bestFit="1" customWidth="1"/>
    <col min="9687" max="9688" width="9.140625" style="18"/>
    <col min="9689" max="9689" width="14.28515625" style="18" bestFit="1" customWidth="1"/>
    <col min="9690" max="9934" width="9.140625" style="18"/>
    <col min="9935" max="9935" width="3.28515625" style="18" customWidth="1"/>
    <col min="9936" max="9936" width="48.28515625" style="18" customWidth="1"/>
    <col min="9937" max="9937" width="9.140625" style="18"/>
    <col min="9938" max="9938" width="17.85546875" style="18" customWidth="1"/>
    <col min="9939" max="9939" width="21" style="18" customWidth="1"/>
    <col min="9940" max="9940" width="1.85546875" style="18" customWidth="1"/>
    <col min="9941" max="9942" width="18.5703125" style="18" bestFit="1" customWidth="1"/>
    <col min="9943" max="9944" width="9.140625" style="18"/>
    <col min="9945" max="9945" width="14.28515625" style="18" bestFit="1" customWidth="1"/>
    <col min="9946" max="10190" width="9.140625" style="18"/>
    <col min="10191" max="10191" width="3.28515625" style="18" customWidth="1"/>
    <col min="10192" max="10192" width="48.28515625" style="18" customWidth="1"/>
    <col min="10193" max="10193" width="9.140625" style="18"/>
    <col min="10194" max="10194" width="17.85546875" style="18" customWidth="1"/>
    <col min="10195" max="10195" width="21" style="18" customWidth="1"/>
    <col min="10196" max="10196" width="1.85546875" style="18" customWidth="1"/>
    <col min="10197" max="10198" width="18.5703125" style="18" bestFit="1" customWidth="1"/>
    <col min="10199" max="10200" width="9.140625" style="18"/>
    <col min="10201" max="10201" width="14.28515625" style="18" bestFit="1" customWidth="1"/>
    <col min="10202" max="10446" width="9.140625" style="18"/>
    <col min="10447" max="10447" width="3.28515625" style="18" customWidth="1"/>
    <col min="10448" max="10448" width="48.28515625" style="18" customWidth="1"/>
    <col min="10449" max="10449" width="9.140625" style="18"/>
    <col min="10450" max="10450" width="17.85546875" style="18" customWidth="1"/>
    <col min="10451" max="10451" width="21" style="18" customWidth="1"/>
    <col min="10452" max="10452" width="1.85546875" style="18" customWidth="1"/>
    <col min="10453" max="10454" width="18.5703125" style="18" bestFit="1" customWidth="1"/>
    <col min="10455" max="10456" width="9.140625" style="18"/>
    <col min="10457" max="10457" width="14.28515625" style="18" bestFit="1" customWidth="1"/>
    <col min="10458" max="10702" width="9.140625" style="18"/>
    <col min="10703" max="10703" width="3.28515625" style="18" customWidth="1"/>
    <col min="10704" max="10704" width="48.28515625" style="18" customWidth="1"/>
    <col min="10705" max="10705" width="9.140625" style="18"/>
    <col min="10706" max="10706" width="17.85546875" style="18" customWidth="1"/>
    <col min="10707" max="10707" width="21" style="18" customWidth="1"/>
    <col min="10708" max="10708" width="1.85546875" style="18" customWidth="1"/>
    <col min="10709" max="10710" width="18.5703125" style="18" bestFit="1" customWidth="1"/>
    <col min="10711" max="10712" width="9.140625" style="18"/>
    <col min="10713" max="10713" width="14.28515625" style="18" bestFit="1" customWidth="1"/>
    <col min="10714" max="10958" width="9.140625" style="18"/>
    <col min="10959" max="10959" width="3.28515625" style="18" customWidth="1"/>
    <col min="10960" max="10960" width="48.28515625" style="18" customWidth="1"/>
    <col min="10961" max="10961" width="9.140625" style="18"/>
    <col min="10962" max="10962" width="17.85546875" style="18" customWidth="1"/>
    <col min="10963" max="10963" width="21" style="18" customWidth="1"/>
    <col min="10964" max="10964" width="1.85546875" style="18" customWidth="1"/>
    <col min="10965" max="10966" width="18.5703125" style="18" bestFit="1" customWidth="1"/>
    <col min="10967" max="10968" width="9.140625" style="18"/>
    <col min="10969" max="10969" width="14.28515625" style="18" bestFit="1" customWidth="1"/>
    <col min="10970" max="11214" width="9.140625" style="18"/>
    <col min="11215" max="11215" width="3.28515625" style="18" customWidth="1"/>
    <col min="11216" max="11216" width="48.28515625" style="18" customWidth="1"/>
    <col min="11217" max="11217" width="9.140625" style="18"/>
    <col min="11218" max="11218" width="17.85546875" style="18" customWidth="1"/>
    <col min="11219" max="11219" width="21" style="18" customWidth="1"/>
    <col min="11220" max="11220" width="1.85546875" style="18" customWidth="1"/>
    <col min="11221" max="11222" width="18.5703125" style="18" bestFit="1" customWidth="1"/>
    <col min="11223" max="11224" width="9.140625" style="18"/>
    <col min="11225" max="11225" width="14.28515625" style="18" bestFit="1" customWidth="1"/>
    <col min="11226" max="11470" width="9.140625" style="18"/>
    <col min="11471" max="11471" width="3.28515625" style="18" customWidth="1"/>
    <col min="11472" max="11472" width="48.28515625" style="18" customWidth="1"/>
    <col min="11473" max="11473" width="9.140625" style="18"/>
    <col min="11474" max="11474" width="17.85546875" style="18" customWidth="1"/>
    <col min="11475" max="11475" width="21" style="18" customWidth="1"/>
    <col min="11476" max="11476" width="1.85546875" style="18" customWidth="1"/>
    <col min="11477" max="11478" width="18.5703125" style="18" bestFit="1" customWidth="1"/>
    <col min="11479" max="11480" width="9.140625" style="18"/>
    <col min="11481" max="11481" width="14.28515625" style="18" bestFit="1" customWidth="1"/>
    <col min="11482" max="11726" width="9.140625" style="18"/>
    <col min="11727" max="11727" width="3.28515625" style="18" customWidth="1"/>
    <col min="11728" max="11728" width="48.28515625" style="18" customWidth="1"/>
    <col min="11729" max="11729" width="9.140625" style="18"/>
    <col min="11730" max="11730" width="17.85546875" style="18" customWidth="1"/>
    <col min="11731" max="11731" width="21" style="18" customWidth="1"/>
    <col min="11732" max="11732" width="1.85546875" style="18" customWidth="1"/>
    <col min="11733" max="11734" width="18.5703125" style="18" bestFit="1" customWidth="1"/>
    <col min="11735" max="11736" width="9.140625" style="18"/>
    <col min="11737" max="11737" width="14.28515625" style="18" bestFit="1" customWidth="1"/>
    <col min="11738" max="11982" width="9.140625" style="18"/>
    <col min="11983" max="11983" width="3.28515625" style="18" customWidth="1"/>
    <col min="11984" max="11984" width="48.28515625" style="18" customWidth="1"/>
    <col min="11985" max="11985" width="9.140625" style="18"/>
    <col min="11986" max="11986" width="17.85546875" style="18" customWidth="1"/>
    <col min="11987" max="11987" width="21" style="18" customWidth="1"/>
    <col min="11988" max="11988" width="1.85546875" style="18" customWidth="1"/>
    <col min="11989" max="11990" width="18.5703125" style="18" bestFit="1" customWidth="1"/>
    <col min="11991" max="11992" width="9.140625" style="18"/>
    <col min="11993" max="11993" width="14.28515625" style="18" bestFit="1" customWidth="1"/>
    <col min="11994" max="12238" width="9.140625" style="18"/>
    <col min="12239" max="12239" width="3.28515625" style="18" customWidth="1"/>
    <col min="12240" max="12240" width="48.28515625" style="18" customWidth="1"/>
    <col min="12241" max="12241" width="9.140625" style="18"/>
    <col min="12242" max="12242" width="17.85546875" style="18" customWidth="1"/>
    <col min="12243" max="12243" width="21" style="18" customWidth="1"/>
    <col min="12244" max="12244" width="1.85546875" style="18" customWidth="1"/>
    <col min="12245" max="12246" width="18.5703125" style="18" bestFit="1" customWidth="1"/>
    <col min="12247" max="12248" width="9.140625" style="18"/>
    <col min="12249" max="12249" width="14.28515625" style="18" bestFit="1" customWidth="1"/>
    <col min="12250" max="12494" width="9.140625" style="18"/>
    <col min="12495" max="12495" width="3.28515625" style="18" customWidth="1"/>
    <col min="12496" max="12496" width="48.28515625" style="18" customWidth="1"/>
    <col min="12497" max="12497" width="9.140625" style="18"/>
    <col min="12498" max="12498" width="17.85546875" style="18" customWidth="1"/>
    <col min="12499" max="12499" width="21" style="18" customWidth="1"/>
    <col min="12500" max="12500" width="1.85546875" style="18" customWidth="1"/>
    <col min="12501" max="12502" width="18.5703125" style="18" bestFit="1" customWidth="1"/>
    <col min="12503" max="12504" width="9.140625" style="18"/>
    <col min="12505" max="12505" width="14.28515625" style="18" bestFit="1" customWidth="1"/>
    <col min="12506" max="12750" width="9.140625" style="18"/>
    <col min="12751" max="12751" width="3.28515625" style="18" customWidth="1"/>
    <col min="12752" max="12752" width="48.28515625" style="18" customWidth="1"/>
    <col min="12753" max="12753" width="9.140625" style="18"/>
    <col min="12754" max="12754" width="17.85546875" style="18" customWidth="1"/>
    <col min="12755" max="12755" width="21" style="18" customWidth="1"/>
    <col min="12756" max="12756" width="1.85546875" style="18" customWidth="1"/>
    <col min="12757" max="12758" width="18.5703125" style="18" bestFit="1" customWidth="1"/>
    <col min="12759" max="12760" width="9.140625" style="18"/>
    <col min="12761" max="12761" width="14.28515625" style="18" bestFit="1" customWidth="1"/>
    <col min="12762" max="13006" width="9.140625" style="18"/>
    <col min="13007" max="13007" width="3.28515625" style="18" customWidth="1"/>
    <col min="13008" max="13008" width="48.28515625" style="18" customWidth="1"/>
    <col min="13009" max="13009" width="9.140625" style="18"/>
    <col min="13010" max="13010" width="17.85546875" style="18" customWidth="1"/>
    <col min="13011" max="13011" width="21" style="18" customWidth="1"/>
    <col min="13012" max="13012" width="1.85546875" style="18" customWidth="1"/>
    <col min="13013" max="13014" width="18.5703125" style="18" bestFit="1" customWidth="1"/>
    <col min="13015" max="13016" width="9.140625" style="18"/>
    <col min="13017" max="13017" width="14.28515625" style="18" bestFit="1" customWidth="1"/>
    <col min="13018" max="13262" width="9.140625" style="18"/>
    <col min="13263" max="13263" width="3.28515625" style="18" customWidth="1"/>
    <col min="13264" max="13264" width="48.28515625" style="18" customWidth="1"/>
    <col min="13265" max="13265" width="9.140625" style="18"/>
    <col min="13266" max="13266" width="17.85546875" style="18" customWidth="1"/>
    <col min="13267" max="13267" width="21" style="18" customWidth="1"/>
    <col min="13268" max="13268" width="1.85546875" style="18" customWidth="1"/>
    <col min="13269" max="13270" width="18.5703125" style="18" bestFit="1" customWidth="1"/>
    <col min="13271" max="13272" width="9.140625" style="18"/>
    <col min="13273" max="13273" width="14.28515625" style="18" bestFit="1" customWidth="1"/>
    <col min="13274" max="13518" width="9.140625" style="18"/>
    <col min="13519" max="13519" width="3.28515625" style="18" customWidth="1"/>
    <col min="13520" max="13520" width="48.28515625" style="18" customWidth="1"/>
    <col min="13521" max="13521" width="9.140625" style="18"/>
    <col min="13522" max="13522" width="17.85546875" style="18" customWidth="1"/>
    <col min="13523" max="13523" width="21" style="18" customWidth="1"/>
    <col min="13524" max="13524" width="1.85546875" style="18" customWidth="1"/>
    <col min="13525" max="13526" width="18.5703125" style="18" bestFit="1" customWidth="1"/>
    <col min="13527" max="13528" width="9.140625" style="18"/>
    <col min="13529" max="13529" width="14.28515625" style="18" bestFit="1" customWidth="1"/>
    <col min="13530" max="13774" width="9.140625" style="18"/>
    <col min="13775" max="13775" width="3.28515625" style="18" customWidth="1"/>
    <col min="13776" max="13776" width="48.28515625" style="18" customWidth="1"/>
    <col min="13777" max="13777" width="9.140625" style="18"/>
    <col min="13778" max="13778" width="17.85546875" style="18" customWidth="1"/>
    <col min="13779" max="13779" width="21" style="18" customWidth="1"/>
    <col min="13780" max="13780" width="1.85546875" style="18" customWidth="1"/>
    <col min="13781" max="13782" width="18.5703125" style="18" bestFit="1" customWidth="1"/>
    <col min="13783" max="13784" width="9.140625" style="18"/>
    <col min="13785" max="13785" width="14.28515625" style="18" bestFit="1" customWidth="1"/>
    <col min="13786" max="14030" width="9.140625" style="18"/>
    <col min="14031" max="14031" width="3.28515625" style="18" customWidth="1"/>
    <col min="14032" max="14032" width="48.28515625" style="18" customWidth="1"/>
    <col min="14033" max="14033" width="9.140625" style="18"/>
    <col min="14034" max="14034" width="17.85546875" style="18" customWidth="1"/>
    <col min="14035" max="14035" width="21" style="18" customWidth="1"/>
    <col min="14036" max="14036" width="1.85546875" style="18" customWidth="1"/>
    <col min="14037" max="14038" width="18.5703125" style="18" bestFit="1" customWidth="1"/>
    <col min="14039" max="14040" width="9.140625" style="18"/>
    <col min="14041" max="14041" width="14.28515625" style="18" bestFit="1" customWidth="1"/>
    <col min="14042" max="14286" width="9.140625" style="18"/>
    <col min="14287" max="14287" width="3.28515625" style="18" customWidth="1"/>
    <col min="14288" max="14288" width="48.28515625" style="18" customWidth="1"/>
    <col min="14289" max="14289" width="9.140625" style="18"/>
    <col min="14290" max="14290" width="17.85546875" style="18" customWidth="1"/>
    <col min="14291" max="14291" width="21" style="18" customWidth="1"/>
    <col min="14292" max="14292" width="1.85546875" style="18" customWidth="1"/>
    <col min="14293" max="14294" width="18.5703125" style="18" bestFit="1" customWidth="1"/>
    <col min="14295" max="14296" width="9.140625" style="18"/>
    <col min="14297" max="14297" width="14.28515625" style="18" bestFit="1" customWidth="1"/>
    <col min="14298" max="14542" width="9.140625" style="18"/>
    <col min="14543" max="14543" width="3.28515625" style="18" customWidth="1"/>
    <col min="14544" max="14544" width="48.28515625" style="18" customWidth="1"/>
    <col min="14545" max="14545" width="9.140625" style="18"/>
    <col min="14546" max="14546" width="17.85546875" style="18" customWidth="1"/>
    <col min="14547" max="14547" width="21" style="18" customWidth="1"/>
    <col min="14548" max="14548" width="1.85546875" style="18" customWidth="1"/>
    <col min="14549" max="14550" width="18.5703125" style="18" bestFit="1" customWidth="1"/>
    <col min="14551" max="14552" width="9.140625" style="18"/>
    <col min="14553" max="14553" width="14.28515625" style="18" bestFit="1" customWidth="1"/>
    <col min="14554" max="14798" width="9.140625" style="18"/>
    <col min="14799" max="14799" width="3.28515625" style="18" customWidth="1"/>
    <col min="14800" max="14800" width="48.28515625" style="18" customWidth="1"/>
    <col min="14801" max="14801" width="9.140625" style="18"/>
    <col min="14802" max="14802" width="17.85546875" style="18" customWidth="1"/>
    <col min="14803" max="14803" width="21" style="18" customWidth="1"/>
    <col min="14804" max="14804" width="1.85546875" style="18" customWidth="1"/>
    <col min="14805" max="14806" width="18.5703125" style="18" bestFit="1" customWidth="1"/>
    <col min="14807" max="14808" width="9.140625" style="18"/>
    <col min="14809" max="14809" width="14.28515625" style="18" bestFit="1" customWidth="1"/>
    <col min="14810" max="15054" width="9.140625" style="18"/>
    <col min="15055" max="15055" width="3.28515625" style="18" customWidth="1"/>
    <col min="15056" max="15056" width="48.28515625" style="18" customWidth="1"/>
    <col min="15057" max="15057" width="9.140625" style="18"/>
    <col min="15058" max="15058" width="17.85546875" style="18" customWidth="1"/>
    <col min="15059" max="15059" width="21" style="18" customWidth="1"/>
    <col min="15060" max="15060" width="1.85546875" style="18" customWidth="1"/>
    <col min="15061" max="15062" width="18.5703125" style="18" bestFit="1" customWidth="1"/>
    <col min="15063" max="15064" width="9.140625" style="18"/>
    <col min="15065" max="15065" width="14.28515625" style="18" bestFit="1" customWidth="1"/>
    <col min="15066" max="15310" width="9.140625" style="18"/>
    <col min="15311" max="15311" width="3.28515625" style="18" customWidth="1"/>
    <col min="15312" max="15312" width="48.28515625" style="18" customWidth="1"/>
    <col min="15313" max="15313" width="9.140625" style="18"/>
    <col min="15314" max="15314" width="17.85546875" style="18" customWidth="1"/>
    <col min="15315" max="15315" width="21" style="18" customWidth="1"/>
    <col min="15316" max="15316" width="1.85546875" style="18" customWidth="1"/>
    <col min="15317" max="15318" width="18.5703125" style="18" bestFit="1" customWidth="1"/>
    <col min="15319" max="15320" width="9.140625" style="18"/>
    <col min="15321" max="15321" width="14.28515625" style="18" bestFit="1" customWidth="1"/>
    <col min="15322" max="15566" width="9.140625" style="18"/>
    <col min="15567" max="15567" width="3.28515625" style="18" customWidth="1"/>
    <col min="15568" max="15568" width="48.28515625" style="18" customWidth="1"/>
    <col min="15569" max="15569" width="9.140625" style="18"/>
    <col min="15570" max="15570" width="17.85546875" style="18" customWidth="1"/>
    <col min="15571" max="15571" width="21" style="18" customWidth="1"/>
    <col min="15572" max="15572" width="1.85546875" style="18" customWidth="1"/>
    <col min="15573" max="15574" width="18.5703125" style="18" bestFit="1" customWidth="1"/>
    <col min="15575" max="15576" width="9.140625" style="18"/>
    <col min="15577" max="15577" width="14.28515625" style="18" bestFit="1" customWidth="1"/>
    <col min="15578" max="15822" width="9.140625" style="18"/>
    <col min="15823" max="15823" width="3.28515625" style="18" customWidth="1"/>
    <col min="15824" max="15824" width="48.28515625" style="18" customWidth="1"/>
    <col min="15825" max="15825" width="9.140625" style="18"/>
    <col min="15826" max="15826" width="17.85546875" style="18" customWidth="1"/>
    <col min="15827" max="15827" width="21" style="18" customWidth="1"/>
    <col min="15828" max="15828" width="1.85546875" style="18" customWidth="1"/>
    <col min="15829" max="15830" width="18.5703125" style="18" bestFit="1" customWidth="1"/>
    <col min="15831" max="15832" width="9.140625" style="18"/>
    <col min="15833" max="15833" width="14.28515625" style="18" bestFit="1" customWidth="1"/>
    <col min="15834" max="16078" width="9.140625" style="18"/>
    <col min="16079" max="16079" width="3.28515625" style="18" customWidth="1"/>
    <col min="16080" max="16080" width="48.28515625" style="18" customWidth="1"/>
    <col min="16081" max="16081" width="9.140625" style="18"/>
    <col min="16082" max="16082" width="17.85546875" style="18" customWidth="1"/>
    <col min="16083" max="16083" width="21" style="18" customWidth="1"/>
    <col min="16084" max="16084" width="1.85546875" style="18" customWidth="1"/>
    <col min="16085" max="16086" width="18.5703125" style="18" bestFit="1" customWidth="1"/>
    <col min="16087" max="16088" width="9.140625" style="18"/>
    <col min="16089" max="16089" width="14.28515625" style="18" bestFit="1" customWidth="1"/>
    <col min="16090" max="16384" width="9.140625" style="18"/>
  </cols>
  <sheetData>
    <row r="1" spans="1:6" ht="8.25" customHeight="1" x14ac:dyDescent="0.25"/>
    <row r="2" spans="1:6" ht="24" customHeight="1" x14ac:dyDescent="0.25">
      <c r="B2" s="14" t="s">
        <v>76</v>
      </c>
      <c r="C2" s="13"/>
      <c r="D2" s="13"/>
      <c r="E2" s="13"/>
      <c r="F2" s="13"/>
    </row>
    <row r="3" spans="1:6" ht="24" customHeight="1" x14ac:dyDescent="0.25">
      <c r="B3" s="14" t="s">
        <v>77</v>
      </c>
      <c r="C3" s="13"/>
      <c r="D3" s="13"/>
      <c r="E3" s="13"/>
      <c r="F3" s="13"/>
    </row>
    <row r="4" spans="1:6" ht="2.25" customHeight="1" x14ac:dyDescent="0.25"/>
    <row r="5" spans="1:6" s="48" customFormat="1" ht="18.95" customHeight="1" x14ac:dyDescent="0.25">
      <c r="A5" s="47"/>
      <c r="B5" s="51" t="s">
        <v>78</v>
      </c>
      <c r="C5" s="51" t="s">
        <v>79</v>
      </c>
      <c r="D5" s="51" t="s">
        <v>80</v>
      </c>
      <c r="E5" s="51" t="s">
        <v>81</v>
      </c>
      <c r="F5" s="52" t="s">
        <v>90</v>
      </c>
    </row>
    <row r="6" spans="1:6" ht="85.5" x14ac:dyDescent="0.25">
      <c r="B6" s="54" t="s">
        <v>134</v>
      </c>
      <c r="C6" s="56" t="s">
        <v>135</v>
      </c>
      <c r="D6" s="60" t="s">
        <v>118</v>
      </c>
      <c r="E6" s="45"/>
      <c r="F6" s="62" t="s">
        <v>126</v>
      </c>
    </row>
    <row r="7" spans="1:6" ht="28.5" x14ac:dyDescent="0.25">
      <c r="B7" s="53" t="s">
        <v>171</v>
      </c>
      <c r="C7" s="55" t="s">
        <v>66</v>
      </c>
      <c r="D7" s="44"/>
      <c r="E7" s="61"/>
      <c r="F7" s="64" t="s">
        <v>138</v>
      </c>
    </row>
    <row r="8" spans="1:6" ht="28.5" x14ac:dyDescent="0.25">
      <c r="B8" s="54" t="s">
        <v>132</v>
      </c>
      <c r="C8" s="56" t="s">
        <v>65</v>
      </c>
      <c r="D8" s="45"/>
      <c r="E8" s="45"/>
      <c r="F8" s="66" t="s">
        <v>138</v>
      </c>
    </row>
    <row r="9" spans="1:6" ht="28.5" x14ac:dyDescent="0.25">
      <c r="B9" s="53" t="s">
        <v>47</v>
      </c>
      <c r="C9" s="55" t="s">
        <v>119</v>
      </c>
      <c r="D9" s="59" t="s">
        <v>47</v>
      </c>
      <c r="E9" s="57"/>
      <c r="F9" s="68"/>
    </row>
    <row r="10" spans="1:6" ht="57" x14ac:dyDescent="0.25">
      <c r="B10" s="54" t="s">
        <v>133</v>
      </c>
      <c r="C10" s="56" t="s">
        <v>123</v>
      </c>
      <c r="D10" s="60" t="s">
        <v>32</v>
      </c>
      <c r="E10" s="45"/>
      <c r="F10" s="66" t="s">
        <v>124</v>
      </c>
    </row>
    <row r="11" spans="1:6" ht="42.75" x14ac:dyDescent="0.25">
      <c r="B11" s="53" t="s">
        <v>33</v>
      </c>
      <c r="C11" s="55" t="s">
        <v>63</v>
      </c>
      <c r="D11" s="59" t="s">
        <v>87</v>
      </c>
      <c r="E11" s="61" t="s">
        <v>113</v>
      </c>
      <c r="F11" s="64" t="s">
        <v>120</v>
      </c>
    </row>
    <row r="12" spans="1:6" ht="42.75" x14ac:dyDescent="0.25">
      <c r="B12" s="54" t="s">
        <v>35</v>
      </c>
      <c r="C12" s="56" t="s">
        <v>67</v>
      </c>
      <c r="D12" s="58" t="s">
        <v>88</v>
      </c>
      <c r="E12" s="60" t="s">
        <v>113</v>
      </c>
      <c r="F12" s="66" t="s">
        <v>121</v>
      </c>
    </row>
    <row r="13" spans="1:6" ht="71.25" x14ac:dyDescent="0.25">
      <c r="B13" s="53" t="s">
        <v>34</v>
      </c>
      <c r="C13" s="55" t="s">
        <v>68</v>
      </c>
      <c r="D13" s="61" t="s">
        <v>125</v>
      </c>
      <c r="E13" s="61" t="s">
        <v>113</v>
      </c>
      <c r="F13" s="65" t="s">
        <v>122</v>
      </c>
    </row>
    <row r="14" spans="1:6" ht="42.75" customHeight="1" x14ac:dyDescent="0.25">
      <c r="B14" s="54" t="s">
        <v>30</v>
      </c>
      <c r="C14" s="56" t="s">
        <v>69</v>
      </c>
      <c r="D14" s="60" t="s">
        <v>89</v>
      </c>
      <c r="E14" s="60" t="s">
        <v>115</v>
      </c>
      <c r="F14" s="66" t="s">
        <v>91</v>
      </c>
    </row>
    <row r="15" spans="1:6" ht="71.25" x14ac:dyDescent="0.25">
      <c r="B15" s="53" t="s">
        <v>36</v>
      </c>
      <c r="C15" s="55" t="s">
        <v>143</v>
      </c>
      <c r="D15" s="61" t="s">
        <v>86</v>
      </c>
      <c r="E15" s="61" t="s">
        <v>114</v>
      </c>
      <c r="F15" s="64" t="s">
        <v>92</v>
      </c>
    </row>
    <row r="16" spans="1:6" ht="57" x14ac:dyDescent="0.25">
      <c r="B16" s="54" t="s">
        <v>37</v>
      </c>
      <c r="C16" s="56" t="s">
        <v>137</v>
      </c>
      <c r="D16" s="60" t="s">
        <v>94</v>
      </c>
      <c r="E16" s="60" t="s">
        <v>114</v>
      </c>
      <c r="F16" s="66" t="s">
        <v>93</v>
      </c>
    </row>
    <row r="17" spans="2:7" ht="28.5" x14ac:dyDescent="0.25">
      <c r="B17" s="53" t="s">
        <v>44</v>
      </c>
      <c r="C17" s="55" t="s">
        <v>70</v>
      </c>
      <c r="D17" s="59" t="s">
        <v>97</v>
      </c>
      <c r="E17" s="59" t="s">
        <v>114</v>
      </c>
      <c r="F17" s="67" t="s">
        <v>70</v>
      </c>
    </row>
    <row r="18" spans="2:7" ht="28.5" x14ac:dyDescent="0.25">
      <c r="B18" s="54" t="s">
        <v>40</v>
      </c>
      <c r="C18" s="56" t="s">
        <v>71</v>
      </c>
      <c r="D18" s="60" t="s">
        <v>101</v>
      </c>
      <c r="E18" s="60" t="s">
        <v>117</v>
      </c>
      <c r="F18" s="62" t="s">
        <v>102</v>
      </c>
    </row>
    <row r="19" spans="2:7" ht="28.5" x14ac:dyDescent="0.25">
      <c r="B19" s="53" t="s">
        <v>31</v>
      </c>
      <c r="C19" s="55" t="s">
        <v>84</v>
      </c>
      <c r="D19" s="44" t="s">
        <v>95</v>
      </c>
      <c r="E19" s="61" t="s">
        <v>116</v>
      </c>
      <c r="F19" s="63" t="s">
        <v>96</v>
      </c>
    </row>
    <row r="20" spans="2:7" ht="28.5" x14ac:dyDescent="0.25">
      <c r="B20" s="54" t="s">
        <v>39</v>
      </c>
      <c r="C20" s="56" t="s">
        <v>83</v>
      </c>
      <c r="D20" s="60" t="s">
        <v>99</v>
      </c>
      <c r="E20" s="60" t="s">
        <v>115</v>
      </c>
      <c r="F20" s="66" t="s">
        <v>100</v>
      </c>
    </row>
    <row r="21" spans="2:7" ht="28.5" x14ac:dyDescent="0.25">
      <c r="B21" s="53" t="s">
        <v>38</v>
      </c>
      <c r="C21" s="55" t="s">
        <v>64</v>
      </c>
      <c r="D21" s="61" t="s">
        <v>111</v>
      </c>
      <c r="E21" s="61" t="s">
        <v>114</v>
      </c>
      <c r="F21" s="65" t="s">
        <v>98</v>
      </c>
    </row>
    <row r="22" spans="2:7" ht="28.5" x14ac:dyDescent="0.25">
      <c r="B22" s="54" t="s">
        <v>41</v>
      </c>
      <c r="C22" s="56" t="s">
        <v>85</v>
      </c>
      <c r="D22" s="58" t="s">
        <v>103</v>
      </c>
      <c r="E22" s="60" t="s">
        <v>114</v>
      </c>
      <c r="F22" s="66" t="s">
        <v>104</v>
      </c>
    </row>
    <row r="23" spans="2:7" ht="28.5" x14ac:dyDescent="0.25">
      <c r="B23" s="53" t="s">
        <v>42</v>
      </c>
      <c r="C23" s="55" t="s">
        <v>82</v>
      </c>
      <c r="D23" s="59" t="s">
        <v>105</v>
      </c>
      <c r="E23" s="61" t="s">
        <v>114</v>
      </c>
      <c r="F23" s="64" t="s">
        <v>106</v>
      </c>
    </row>
    <row r="24" spans="2:7" ht="71.25" x14ac:dyDescent="0.25">
      <c r="B24" s="54" t="s">
        <v>53</v>
      </c>
      <c r="C24" s="56" t="s">
        <v>127</v>
      </c>
      <c r="D24" s="60" t="s">
        <v>107</v>
      </c>
      <c r="E24" s="58" t="s">
        <v>112</v>
      </c>
      <c r="F24" s="62" t="s">
        <v>108</v>
      </c>
    </row>
    <row r="25" spans="2:7" ht="85.5" x14ac:dyDescent="0.25">
      <c r="B25" s="53" t="s">
        <v>54</v>
      </c>
      <c r="C25" s="55" t="s">
        <v>72</v>
      </c>
      <c r="D25" s="59" t="s">
        <v>109</v>
      </c>
      <c r="E25" s="61" t="s">
        <v>114</v>
      </c>
      <c r="F25" s="65" t="s">
        <v>110</v>
      </c>
    </row>
    <row r="26" spans="2:7" ht="28.5" hidden="1" x14ac:dyDescent="0.25">
      <c r="B26" s="54" t="s">
        <v>59</v>
      </c>
      <c r="C26" s="56" t="s">
        <v>136</v>
      </c>
      <c r="D26" s="46"/>
      <c r="E26" s="46"/>
      <c r="F26" s="50"/>
    </row>
    <row r="27" spans="2:7" ht="42.75" hidden="1" x14ac:dyDescent="0.25">
      <c r="B27" s="53" t="s">
        <v>60</v>
      </c>
      <c r="C27" s="55" t="s">
        <v>73</v>
      </c>
      <c r="D27" s="44"/>
      <c r="E27" s="44"/>
      <c r="F27" s="49"/>
      <c r="G27" s="54"/>
    </row>
    <row r="28" spans="2:7" ht="42.75" hidden="1" x14ac:dyDescent="0.25">
      <c r="B28" s="54" t="s">
        <v>61</v>
      </c>
      <c r="C28" s="56" t="s">
        <v>74</v>
      </c>
      <c r="D28" s="46"/>
      <c r="E28" s="46"/>
      <c r="F28" s="50"/>
    </row>
    <row r="29" spans="2:7" ht="28.5" hidden="1" x14ac:dyDescent="0.25">
      <c r="B29" s="53" t="s">
        <v>62</v>
      </c>
      <c r="C29" s="55" t="s">
        <v>75</v>
      </c>
      <c r="D29" s="44"/>
      <c r="E29" s="44"/>
      <c r="F29" s="49"/>
    </row>
    <row r="30" spans="2:7" x14ac:dyDescent="0.25">
      <c r="B30" s="54"/>
      <c r="C30" s="56"/>
      <c r="D30" s="46"/>
      <c r="E30" s="46"/>
      <c r="F30" s="50"/>
    </row>
  </sheetData>
  <mergeCells count="2">
    <mergeCell ref="B2:F2"/>
    <mergeCell ref="B3:F3"/>
  </mergeCells>
  <printOptions horizontalCentered="1"/>
  <pageMargins left="0" right="0" top="0" bottom="0" header="0" footer="0"/>
  <pageSetup paperSize="9" scale="48" orientation="landscape" horizontalDpi="300" verticalDpi="3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ADDC-D319-4F80-9D68-1BCBFC68D4F5}">
  <sheetPr codeName="Folha1">
    <tabColor theme="9" tint="0.39997558519241921"/>
  </sheetPr>
  <dimension ref="A1:AD80"/>
  <sheetViews>
    <sheetView tabSelected="1" zoomScale="90" zoomScaleNormal="90" workbookViewId="0">
      <pane xSplit="3" ySplit="7" topLeftCell="D65" activePane="bottomRight" state="frozen"/>
      <selection pane="topRight" activeCell="D1" sqref="D1"/>
      <selection pane="bottomLeft" activeCell="A8" sqref="A8"/>
      <selection pane="bottomRight" activeCell="A79" sqref="A79"/>
    </sheetView>
  </sheetViews>
  <sheetFormatPr defaultRowHeight="15" x14ac:dyDescent="0.25"/>
  <cols>
    <col min="1" max="1" width="2.42578125" style="21" customWidth="1"/>
    <col min="2" max="2" width="2" style="21" customWidth="1"/>
    <col min="3" max="3" width="39.42578125" style="18" customWidth="1"/>
    <col min="4" max="4" width="6.85546875" style="18" customWidth="1"/>
    <col min="5" max="9" width="14.7109375" style="20" customWidth="1"/>
    <col min="10" max="10" width="1.5703125" style="18" customWidth="1"/>
    <col min="11" max="11" width="8.28515625" style="18" customWidth="1"/>
    <col min="12" max="15" width="8.7109375" style="18" customWidth="1"/>
    <col min="16" max="16" width="0.7109375" style="18" customWidth="1"/>
    <col min="17" max="21" width="8.7109375" style="18" customWidth="1"/>
    <col min="22" max="22" width="0.5703125" style="18" customWidth="1"/>
    <col min="23" max="27" width="8.7109375" style="18" customWidth="1"/>
    <col min="28" max="28" width="2.28515625" style="18" customWidth="1"/>
    <col min="29" max="240" width="9.140625" style="18"/>
    <col min="241" max="241" width="3.28515625" style="18" customWidth="1"/>
    <col min="242" max="242" width="48.28515625" style="18" customWidth="1"/>
    <col min="243" max="243" width="9.140625" style="18" customWidth="1"/>
    <col min="244" max="244" width="17.85546875" style="18" customWidth="1"/>
    <col min="245" max="245" width="21" style="18" customWidth="1"/>
    <col min="246" max="246" width="1.85546875" style="18" customWidth="1"/>
    <col min="247" max="248" width="18.5703125" style="18" bestFit="1" customWidth="1"/>
    <col min="249" max="250" width="9.140625" style="18"/>
    <col min="251" max="251" width="14.28515625" style="18" bestFit="1" customWidth="1"/>
    <col min="252" max="496" width="9.140625" style="18"/>
    <col min="497" max="497" width="3.28515625" style="18" customWidth="1"/>
    <col min="498" max="498" width="48.28515625" style="18" customWidth="1"/>
    <col min="499" max="499" width="9.140625" style="18" customWidth="1"/>
    <col min="500" max="500" width="17.85546875" style="18" customWidth="1"/>
    <col min="501" max="501" width="21" style="18" customWidth="1"/>
    <col min="502" max="502" width="1.85546875" style="18" customWidth="1"/>
    <col min="503" max="504" width="18.5703125" style="18" bestFit="1" customWidth="1"/>
    <col min="505" max="506" width="9.140625" style="18"/>
    <col min="507" max="507" width="14.28515625" style="18" bestFit="1" customWidth="1"/>
    <col min="508" max="752" width="9.140625" style="18"/>
    <col min="753" max="753" width="3.28515625" style="18" customWidth="1"/>
    <col min="754" max="754" width="48.28515625" style="18" customWidth="1"/>
    <col min="755" max="755" width="9.140625" style="18" customWidth="1"/>
    <col min="756" max="756" width="17.85546875" style="18" customWidth="1"/>
    <col min="757" max="757" width="21" style="18" customWidth="1"/>
    <col min="758" max="758" width="1.85546875" style="18" customWidth="1"/>
    <col min="759" max="760" width="18.5703125" style="18" bestFit="1" customWidth="1"/>
    <col min="761" max="762" width="9.140625" style="18"/>
    <col min="763" max="763" width="14.28515625" style="18" bestFit="1" customWidth="1"/>
    <col min="764" max="1008" width="9.140625" style="18"/>
    <col min="1009" max="1009" width="3.28515625" style="18" customWidth="1"/>
    <col min="1010" max="1010" width="48.28515625" style="18" customWidth="1"/>
    <col min="1011" max="1011" width="9.140625" style="18" customWidth="1"/>
    <col min="1012" max="1012" width="17.85546875" style="18" customWidth="1"/>
    <col min="1013" max="1013" width="21" style="18" customWidth="1"/>
    <col min="1014" max="1014" width="1.85546875" style="18" customWidth="1"/>
    <col min="1015" max="1016" width="18.5703125" style="18" bestFit="1" customWidth="1"/>
    <col min="1017" max="1018" width="9.140625" style="18"/>
    <col min="1019" max="1019" width="14.28515625" style="18" bestFit="1" customWidth="1"/>
    <col min="1020" max="1264" width="9.140625" style="18"/>
    <col min="1265" max="1265" width="3.28515625" style="18" customWidth="1"/>
    <col min="1266" max="1266" width="48.28515625" style="18" customWidth="1"/>
    <col min="1267" max="1267" width="9.140625" style="18" customWidth="1"/>
    <col min="1268" max="1268" width="17.85546875" style="18" customWidth="1"/>
    <col min="1269" max="1269" width="21" style="18" customWidth="1"/>
    <col min="1270" max="1270" width="1.85546875" style="18" customWidth="1"/>
    <col min="1271" max="1272" width="18.5703125" style="18" bestFit="1" customWidth="1"/>
    <col min="1273" max="1274" width="9.140625" style="18"/>
    <col min="1275" max="1275" width="14.28515625" style="18" bestFit="1" customWidth="1"/>
    <col min="1276" max="1520" width="9.140625" style="18"/>
    <col min="1521" max="1521" width="3.28515625" style="18" customWidth="1"/>
    <col min="1522" max="1522" width="48.28515625" style="18" customWidth="1"/>
    <col min="1523" max="1523" width="9.140625" style="18" customWidth="1"/>
    <col min="1524" max="1524" width="17.85546875" style="18" customWidth="1"/>
    <col min="1525" max="1525" width="21" style="18" customWidth="1"/>
    <col min="1526" max="1526" width="1.85546875" style="18" customWidth="1"/>
    <col min="1527" max="1528" width="18.5703125" style="18" bestFit="1" customWidth="1"/>
    <col min="1529" max="1530" width="9.140625" style="18"/>
    <col min="1531" max="1531" width="14.28515625" style="18" bestFit="1" customWidth="1"/>
    <col min="1532" max="1776" width="9.140625" style="18"/>
    <col min="1777" max="1777" width="3.28515625" style="18" customWidth="1"/>
    <col min="1778" max="1778" width="48.28515625" style="18" customWidth="1"/>
    <col min="1779" max="1779" width="9.140625" style="18" customWidth="1"/>
    <col min="1780" max="1780" width="17.85546875" style="18" customWidth="1"/>
    <col min="1781" max="1781" width="21" style="18" customWidth="1"/>
    <col min="1782" max="1782" width="1.85546875" style="18" customWidth="1"/>
    <col min="1783" max="1784" width="18.5703125" style="18" bestFit="1" customWidth="1"/>
    <col min="1785" max="1786" width="9.140625" style="18"/>
    <col min="1787" max="1787" width="14.28515625" style="18" bestFit="1" customWidth="1"/>
    <col min="1788" max="2032" width="9.140625" style="18"/>
    <col min="2033" max="2033" width="3.28515625" style="18" customWidth="1"/>
    <col min="2034" max="2034" width="48.28515625" style="18" customWidth="1"/>
    <col min="2035" max="2035" width="9.140625" style="18" customWidth="1"/>
    <col min="2036" max="2036" width="17.85546875" style="18" customWidth="1"/>
    <col min="2037" max="2037" width="21" style="18" customWidth="1"/>
    <col min="2038" max="2038" width="1.85546875" style="18" customWidth="1"/>
    <col min="2039" max="2040" width="18.5703125" style="18" bestFit="1" customWidth="1"/>
    <col min="2041" max="2042" width="9.140625" style="18"/>
    <col min="2043" max="2043" width="14.28515625" style="18" bestFit="1" customWidth="1"/>
    <col min="2044" max="2288" width="9.140625" style="18"/>
    <col min="2289" max="2289" width="3.28515625" style="18" customWidth="1"/>
    <col min="2290" max="2290" width="48.28515625" style="18" customWidth="1"/>
    <col min="2291" max="2291" width="9.140625" style="18" customWidth="1"/>
    <col min="2292" max="2292" width="17.85546875" style="18" customWidth="1"/>
    <col min="2293" max="2293" width="21" style="18" customWidth="1"/>
    <col min="2294" max="2294" width="1.85546875" style="18" customWidth="1"/>
    <col min="2295" max="2296" width="18.5703125" style="18" bestFit="1" customWidth="1"/>
    <col min="2297" max="2298" width="9.140625" style="18"/>
    <col min="2299" max="2299" width="14.28515625" style="18" bestFit="1" customWidth="1"/>
    <col min="2300" max="2544" width="9.140625" style="18"/>
    <col min="2545" max="2545" width="3.28515625" style="18" customWidth="1"/>
    <col min="2546" max="2546" width="48.28515625" style="18" customWidth="1"/>
    <col min="2547" max="2547" width="9.140625" style="18" customWidth="1"/>
    <col min="2548" max="2548" width="17.85546875" style="18" customWidth="1"/>
    <col min="2549" max="2549" width="21" style="18" customWidth="1"/>
    <col min="2550" max="2550" width="1.85546875" style="18" customWidth="1"/>
    <col min="2551" max="2552" width="18.5703125" style="18" bestFit="1" customWidth="1"/>
    <col min="2553" max="2554" width="9.140625" style="18"/>
    <col min="2555" max="2555" width="14.28515625" style="18" bestFit="1" customWidth="1"/>
    <col min="2556" max="2800" width="9.140625" style="18"/>
    <col min="2801" max="2801" width="3.28515625" style="18" customWidth="1"/>
    <col min="2802" max="2802" width="48.28515625" style="18" customWidth="1"/>
    <col min="2803" max="2803" width="9.140625" style="18" customWidth="1"/>
    <col min="2804" max="2804" width="17.85546875" style="18" customWidth="1"/>
    <col min="2805" max="2805" width="21" style="18" customWidth="1"/>
    <col min="2806" max="2806" width="1.85546875" style="18" customWidth="1"/>
    <col min="2807" max="2808" width="18.5703125" style="18" bestFit="1" customWidth="1"/>
    <col min="2809" max="2810" width="9.140625" style="18"/>
    <col min="2811" max="2811" width="14.28515625" style="18" bestFit="1" customWidth="1"/>
    <col min="2812" max="3056" width="9.140625" style="18"/>
    <col min="3057" max="3057" width="3.28515625" style="18" customWidth="1"/>
    <col min="3058" max="3058" width="48.28515625" style="18" customWidth="1"/>
    <col min="3059" max="3059" width="9.140625" style="18" customWidth="1"/>
    <col min="3060" max="3060" width="17.85546875" style="18" customWidth="1"/>
    <col min="3061" max="3061" width="21" style="18" customWidth="1"/>
    <col min="3062" max="3062" width="1.85546875" style="18" customWidth="1"/>
    <col min="3063" max="3064" width="18.5703125" style="18" bestFit="1" customWidth="1"/>
    <col min="3065" max="3066" width="9.140625" style="18"/>
    <col min="3067" max="3067" width="14.28515625" style="18" bestFit="1" customWidth="1"/>
    <col min="3068" max="3312" width="9.140625" style="18"/>
    <col min="3313" max="3313" width="3.28515625" style="18" customWidth="1"/>
    <col min="3314" max="3314" width="48.28515625" style="18" customWidth="1"/>
    <col min="3315" max="3315" width="9.140625" style="18" customWidth="1"/>
    <col min="3316" max="3316" width="17.85546875" style="18" customWidth="1"/>
    <col min="3317" max="3317" width="21" style="18" customWidth="1"/>
    <col min="3318" max="3318" width="1.85546875" style="18" customWidth="1"/>
    <col min="3319" max="3320" width="18.5703125" style="18" bestFit="1" customWidth="1"/>
    <col min="3321" max="3322" width="9.140625" style="18"/>
    <col min="3323" max="3323" width="14.28515625" style="18" bestFit="1" customWidth="1"/>
    <col min="3324" max="3568" width="9.140625" style="18"/>
    <col min="3569" max="3569" width="3.28515625" style="18" customWidth="1"/>
    <col min="3570" max="3570" width="48.28515625" style="18" customWidth="1"/>
    <col min="3571" max="3571" width="9.140625" style="18" customWidth="1"/>
    <col min="3572" max="3572" width="17.85546875" style="18" customWidth="1"/>
    <col min="3573" max="3573" width="21" style="18" customWidth="1"/>
    <col min="3574" max="3574" width="1.85546875" style="18" customWidth="1"/>
    <col min="3575" max="3576" width="18.5703125" style="18" bestFit="1" customWidth="1"/>
    <col min="3577" max="3578" width="9.140625" style="18"/>
    <col min="3579" max="3579" width="14.28515625" style="18" bestFit="1" customWidth="1"/>
    <col min="3580" max="3824" width="9.140625" style="18"/>
    <col min="3825" max="3825" width="3.28515625" style="18" customWidth="1"/>
    <col min="3826" max="3826" width="48.28515625" style="18" customWidth="1"/>
    <col min="3827" max="3827" width="9.140625" style="18" customWidth="1"/>
    <col min="3828" max="3828" width="17.85546875" style="18" customWidth="1"/>
    <col min="3829" max="3829" width="21" style="18" customWidth="1"/>
    <col min="3830" max="3830" width="1.85546875" style="18" customWidth="1"/>
    <col min="3831" max="3832" width="18.5703125" style="18" bestFit="1" customWidth="1"/>
    <col min="3833" max="3834" width="9.140625" style="18"/>
    <col min="3835" max="3835" width="14.28515625" style="18" bestFit="1" customWidth="1"/>
    <col min="3836" max="4080" width="9.140625" style="18"/>
    <col min="4081" max="4081" width="3.28515625" style="18" customWidth="1"/>
    <col min="4082" max="4082" width="48.28515625" style="18" customWidth="1"/>
    <col min="4083" max="4083" width="9.140625" style="18" customWidth="1"/>
    <col min="4084" max="4084" width="17.85546875" style="18" customWidth="1"/>
    <col min="4085" max="4085" width="21" style="18" customWidth="1"/>
    <col min="4086" max="4086" width="1.85546875" style="18" customWidth="1"/>
    <col min="4087" max="4088" width="18.5703125" style="18" bestFit="1" customWidth="1"/>
    <col min="4089" max="4090" width="9.140625" style="18"/>
    <col min="4091" max="4091" width="14.28515625" style="18" bestFit="1" customWidth="1"/>
    <col min="4092" max="4336" width="9.140625" style="18"/>
    <col min="4337" max="4337" width="3.28515625" style="18" customWidth="1"/>
    <col min="4338" max="4338" width="48.28515625" style="18" customWidth="1"/>
    <col min="4339" max="4339" width="9.140625" style="18" customWidth="1"/>
    <col min="4340" max="4340" width="17.85546875" style="18" customWidth="1"/>
    <col min="4341" max="4341" width="21" style="18" customWidth="1"/>
    <col min="4342" max="4342" width="1.85546875" style="18" customWidth="1"/>
    <col min="4343" max="4344" width="18.5703125" style="18" bestFit="1" customWidth="1"/>
    <col min="4345" max="4346" width="9.140625" style="18"/>
    <col min="4347" max="4347" width="14.28515625" style="18" bestFit="1" customWidth="1"/>
    <col min="4348" max="4592" width="9.140625" style="18"/>
    <col min="4593" max="4593" width="3.28515625" style="18" customWidth="1"/>
    <col min="4594" max="4594" width="48.28515625" style="18" customWidth="1"/>
    <col min="4595" max="4595" width="9.140625" style="18" customWidth="1"/>
    <col min="4596" max="4596" width="17.85546875" style="18" customWidth="1"/>
    <col min="4597" max="4597" width="21" style="18" customWidth="1"/>
    <col min="4598" max="4598" width="1.85546875" style="18" customWidth="1"/>
    <col min="4599" max="4600" width="18.5703125" style="18" bestFit="1" customWidth="1"/>
    <col min="4601" max="4602" width="9.140625" style="18"/>
    <col min="4603" max="4603" width="14.28515625" style="18" bestFit="1" customWidth="1"/>
    <col min="4604" max="4848" width="9.140625" style="18"/>
    <col min="4849" max="4849" width="3.28515625" style="18" customWidth="1"/>
    <col min="4850" max="4850" width="48.28515625" style="18" customWidth="1"/>
    <col min="4851" max="4851" width="9.140625" style="18" customWidth="1"/>
    <col min="4852" max="4852" width="17.85546875" style="18" customWidth="1"/>
    <col min="4853" max="4853" width="21" style="18" customWidth="1"/>
    <col min="4854" max="4854" width="1.85546875" style="18" customWidth="1"/>
    <col min="4855" max="4856" width="18.5703125" style="18" bestFit="1" customWidth="1"/>
    <col min="4857" max="4858" width="9.140625" style="18"/>
    <col min="4859" max="4859" width="14.28515625" style="18" bestFit="1" customWidth="1"/>
    <col min="4860" max="5104" width="9.140625" style="18"/>
    <col min="5105" max="5105" width="3.28515625" style="18" customWidth="1"/>
    <col min="5106" max="5106" width="48.28515625" style="18" customWidth="1"/>
    <col min="5107" max="5107" width="9.140625" style="18" customWidth="1"/>
    <col min="5108" max="5108" width="17.85546875" style="18" customWidth="1"/>
    <col min="5109" max="5109" width="21" style="18" customWidth="1"/>
    <col min="5110" max="5110" width="1.85546875" style="18" customWidth="1"/>
    <col min="5111" max="5112" width="18.5703125" style="18" bestFit="1" customWidth="1"/>
    <col min="5113" max="5114" width="9.140625" style="18"/>
    <col min="5115" max="5115" width="14.28515625" style="18" bestFit="1" customWidth="1"/>
    <col min="5116" max="5360" width="9.140625" style="18"/>
    <col min="5361" max="5361" width="3.28515625" style="18" customWidth="1"/>
    <col min="5362" max="5362" width="48.28515625" style="18" customWidth="1"/>
    <col min="5363" max="5363" width="9.140625" style="18" customWidth="1"/>
    <col min="5364" max="5364" width="17.85546875" style="18" customWidth="1"/>
    <col min="5365" max="5365" width="21" style="18" customWidth="1"/>
    <col min="5366" max="5366" width="1.85546875" style="18" customWidth="1"/>
    <col min="5367" max="5368" width="18.5703125" style="18" bestFit="1" customWidth="1"/>
    <col min="5369" max="5370" width="9.140625" style="18"/>
    <col min="5371" max="5371" width="14.28515625" style="18" bestFit="1" customWidth="1"/>
    <col min="5372" max="5616" width="9.140625" style="18"/>
    <col min="5617" max="5617" width="3.28515625" style="18" customWidth="1"/>
    <col min="5618" max="5618" width="48.28515625" style="18" customWidth="1"/>
    <col min="5619" max="5619" width="9.140625" style="18" customWidth="1"/>
    <col min="5620" max="5620" width="17.85546875" style="18" customWidth="1"/>
    <col min="5621" max="5621" width="21" style="18" customWidth="1"/>
    <col min="5622" max="5622" width="1.85546875" style="18" customWidth="1"/>
    <col min="5623" max="5624" width="18.5703125" style="18" bestFit="1" customWidth="1"/>
    <col min="5625" max="5626" width="9.140625" style="18"/>
    <col min="5627" max="5627" width="14.28515625" style="18" bestFit="1" customWidth="1"/>
    <col min="5628" max="5872" width="9.140625" style="18"/>
    <col min="5873" max="5873" width="3.28515625" style="18" customWidth="1"/>
    <col min="5874" max="5874" width="48.28515625" style="18" customWidth="1"/>
    <col min="5875" max="5875" width="9.140625" style="18" customWidth="1"/>
    <col min="5876" max="5876" width="17.85546875" style="18" customWidth="1"/>
    <col min="5877" max="5877" width="21" style="18" customWidth="1"/>
    <col min="5878" max="5878" width="1.85546875" style="18" customWidth="1"/>
    <col min="5879" max="5880" width="18.5703125" style="18" bestFit="1" customWidth="1"/>
    <col min="5881" max="5882" width="9.140625" style="18"/>
    <col min="5883" max="5883" width="14.28515625" style="18" bestFit="1" customWidth="1"/>
    <col min="5884" max="6128" width="9.140625" style="18"/>
    <col min="6129" max="6129" width="3.28515625" style="18" customWidth="1"/>
    <col min="6130" max="6130" width="48.28515625" style="18" customWidth="1"/>
    <col min="6131" max="6131" width="9.140625" style="18" customWidth="1"/>
    <col min="6132" max="6132" width="17.85546875" style="18" customWidth="1"/>
    <col min="6133" max="6133" width="21" style="18" customWidth="1"/>
    <col min="6134" max="6134" width="1.85546875" style="18" customWidth="1"/>
    <col min="6135" max="6136" width="18.5703125" style="18" bestFit="1" customWidth="1"/>
    <col min="6137" max="6138" width="9.140625" style="18"/>
    <col min="6139" max="6139" width="14.28515625" style="18" bestFit="1" customWidth="1"/>
    <col min="6140" max="6384" width="9.140625" style="18"/>
    <col min="6385" max="6385" width="3.28515625" style="18" customWidth="1"/>
    <col min="6386" max="6386" width="48.28515625" style="18" customWidth="1"/>
    <col min="6387" max="6387" width="9.140625" style="18" customWidth="1"/>
    <col min="6388" max="6388" width="17.85546875" style="18" customWidth="1"/>
    <col min="6389" max="6389" width="21" style="18" customWidth="1"/>
    <col min="6390" max="6390" width="1.85546875" style="18" customWidth="1"/>
    <col min="6391" max="6392" width="18.5703125" style="18" bestFit="1" customWidth="1"/>
    <col min="6393" max="6394" width="9.140625" style="18"/>
    <col min="6395" max="6395" width="14.28515625" style="18" bestFit="1" customWidth="1"/>
    <col min="6396" max="6640" width="9.140625" style="18"/>
    <col min="6641" max="6641" width="3.28515625" style="18" customWidth="1"/>
    <col min="6642" max="6642" width="48.28515625" style="18" customWidth="1"/>
    <col min="6643" max="6643" width="9.140625" style="18" customWidth="1"/>
    <col min="6644" max="6644" width="17.85546875" style="18" customWidth="1"/>
    <col min="6645" max="6645" width="21" style="18" customWidth="1"/>
    <col min="6646" max="6646" width="1.85546875" style="18" customWidth="1"/>
    <col min="6647" max="6648" width="18.5703125" style="18" bestFit="1" customWidth="1"/>
    <col min="6649" max="6650" width="9.140625" style="18"/>
    <col min="6651" max="6651" width="14.28515625" style="18" bestFit="1" customWidth="1"/>
    <col min="6652" max="6896" width="9.140625" style="18"/>
    <col min="6897" max="6897" width="3.28515625" style="18" customWidth="1"/>
    <col min="6898" max="6898" width="48.28515625" style="18" customWidth="1"/>
    <col min="6899" max="6899" width="9.140625" style="18" customWidth="1"/>
    <col min="6900" max="6900" width="17.85546875" style="18" customWidth="1"/>
    <col min="6901" max="6901" width="21" style="18" customWidth="1"/>
    <col min="6902" max="6902" width="1.85546875" style="18" customWidth="1"/>
    <col min="6903" max="6904" width="18.5703125" style="18" bestFit="1" customWidth="1"/>
    <col min="6905" max="6906" width="9.140625" style="18"/>
    <col min="6907" max="6907" width="14.28515625" style="18" bestFit="1" customWidth="1"/>
    <col min="6908" max="7152" width="9.140625" style="18"/>
    <col min="7153" max="7153" width="3.28515625" style="18" customWidth="1"/>
    <col min="7154" max="7154" width="48.28515625" style="18" customWidth="1"/>
    <col min="7155" max="7155" width="9.140625" style="18" customWidth="1"/>
    <col min="7156" max="7156" width="17.85546875" style="18" customWidth="1"/>
    <col min="7157" max="7157" width="21" style="18" customWidth="1"/>
    <col min="7158" max="7158" width="1.85546875" style="18" customWidth="1"/>
    <col min="7159" max="7160" width="18.5703125" style="18" bestFit="1" customWidth="1"/>
    <col min="7161" max="7162" width="9.140625" style="18"/>
    <col min="7163" max="7163" width="14.28515625" style="18" bestFit="1" customWidth="1"/>
    <col min="7164" max="7408" width="9.140625" style="18"/>
    <col min="7409" max="7409" width="3.28515625" style="18" customWidth="1"/>
    <col min="7410" max="7410" width="48.28515625" style="18" customWidth="1"/>
    <col min="7411" max="7411" width="9.140625" style="18" customWidth="1"/>
    <col min="7412" max="7412" width="17.85546875" style="18" customWidth="1"/>
    <col min="7413" max="7413" width="21" style="18" customWidth="1"/>
    <col min="7414" max="7414" width="1.85546875" style="18" customWidth="1"/>
    <col min="7415" max="7416" width="18.5703125" style="18" bestFit="1" customWidth="1"/>
    <col min="7417" max="7418" width="9.140625" style="18"/>
    <col min="7419" max="7419" width="14.28515625" style="18" bestFit="1" customWidth="1"/>
    <col min="7420" max="7664" width="9.140625" style="18"/>
    <col min="7665" max="7665" width="3.28515625" style="18" customWidth="1"/>
    <col min="7666" max="7666" width="48.28515625" style="18" customWidth="1"/>
    <col min="7667" max="7667" width="9.140625" style="18" customWidth="1"/>
    <col min="7668" max="7668" width="17.85546875" style="18" customWidth="1"/>
    <col min="7669" max="7669" width="21" style="18" customWidth="1"/>
    <col min="7670" max="7670" width="1.85546875" style="18" customWidth="1"/>
    <col min="7671" max="7672" width="18.5703125" style="18" bestFit="1" customWidth="1"/>
    <col min="7673" max="7674" width="9.140625" style="18"/>
    <col min="7675" max="7675" width="14.28515625" style="18" bestFit="1" customWidth="1"/>
    <col min="7676" max="7920" width="9.140625" style="18"/>
    <col min="7921" max="7921" width="3.28515625" style="18" customWidth="1"/>
    <col min="7922" max="7922" width="48.28515625" style="18" customWidth="1"/>
    <col min="7923" max="7923" width="9.140625" style="18" customWidth="1"/>
    <col min="7924" max="7924" width="17.85546875" style="18" customWidth="1"/>
    <col min="7925" max="7925" width="21" style="18" customWidth="1"/>
    <col min="7926" max="7926" width="1.85546875" style="18" customWidth="1"/>
    <col min="7927" max="7928" width="18.5703125" style="18" bestFit="1" customWidth="1"/>
    <col min="7929" max="7930" width="9.140625" style="18"/>
    <col min="7931" max="7931" width="14.28515625" style="18" bestFit="1" customWidth="1"/>
    <col min="7932" max="8176" width="9.140625" style="18"/>
    <col min="8177" max="8177" width="3.28515625" style="18" customWidth="1"/>
    <col min="8178" max="8178" width="48.28515625" style="18" customWidth="1"/>
    <col min="8179" max="8179" width="9.140625" style="18" customWidth="1"/>
    <col min="8180" max="8180" width="17.85546875" style="18" customWidth="1"/>
    <col min="8181" max="8181" width="21" style="18" customWidth="1"/>
    <col min="8182" max="8182" width="1.85546875" style="18" customWidth="1"/>
    <col min="8183" max="8184" width="18.5703125" style="18" bestFit="1" customWidth="1"/>
    <col min="8185" max="8186" width="9.140625" style="18"/>
    <col min="8187" max="8187" width="14.28515625" style="18" bestFit="1" customWidth="1"/>
    <col min="8188" max="8432" width="9.140625" style="18"/>
    <col min="8433" max="8433" width="3.28515625" style="18" customWidth="1"/>
    <col min="8434" max="8434" width="48.28515625" style="18" customWidth="1"/>
    <col min="8435" max="8435" width="9.140625" style="18" customWidth="1"/>
    <col min="8436" max="8436" width="17.85546875" style="18" customWidth="1"/>
    <col min="8437" max="8437" width="21" style="18" customWidth="1"/>
    <col min="8438" max="8438" width="1.85546875" style="18" customWidth="1"/>
    <col min="8439" max="8440" width="18.5703125" style="18" bestFit="1" customWidth="1"/>
    <col min="8441" max="8442" width="9.140625" style="18"/>
    <col min="8443" max="8443" width="14.28515625" style="18" bestFit="1" customWidth="1"/>
    <col min="8444" max="8688" width="9.140625" style="18"/>
    <col min="8689" max="8689" width="3.28515625" style="18" customWidth="1"/>
    <col min="8690" max="8690" width="48.28515625" style="18" customWidth="1"/>
    <col min="8691" max="8691" width="9.140625" style="18" customWidth="1"/>
    <col min="8692" max="8692" width="17.85546875" style="18" customWidth="1"/>
    <col min="8693" max="8693" width="21" style="18" customWidth="1"/>
    <col min="8694" max="8694" width="1.85546875" style="18" customWidth="1"/>
    <col min="8695" max="8696" width="18.5703125" style="18" bestFit="1" customWidth="1"/>
    <col min="8697" max="8698" width="9.140625" style="18"/>
    <col min="8699" max="8699" width="14.28515625" style="18" bestFit="1" customWidth="1"/>
    <col min="8700" max="8944" width="9.140625" style="18"/>
    <col min="8945" max="8945" width="3.28515625" style="18" customWidth="1"/>
    <col min="8946" max="8946" width="48.28515625" style="18" customWidth="1"/>
    <col min="8947" max="8947" width="9.140625" style="18" customWidth="1"/>
    <col min="8948" max="8948" width="17.85546875" style="18" customWidth="1"/>
    <col min="8949" max="8949" width="21" style="18" customWidth="1"/>
    <col min="8950" max="8950" width="1.85546875" style="18" customWidth="1"/>
    <col min="8951" max="8952" width="18.5703125" style="18" bestFit="1" customWidth="1"/>
    <col min="8953" max="8954" width="9.140625" style="18"/>
    <col min="8955" max="8955" width="14.28515625" style="18" bestFit="1" customWidth="1"/>
    <col min="8956" max="9200" width="9.140625" style="18"/>
    <col min="9201" max="9201" width="3.28515625" style="18" customWidth="1"/>
    <col min="9202" max="9202" width="48.28515625" style="18" customWidth="1"/>
    <col min="9203" max="9203" width="9.140625" style="18" customWidth="1"/>
    <col min="9204" max="9204" width="17.85546875" style="18" customWidth="1"/>
    <col min="9205" max="9205" width="21" style="18" customWidth="1"/>
    <col min="9206" max="9206" width="1.85546875" style="18" customWidth="1"/>
    <col min="9207" max="9208" width="18.5703125" style="18" bestFit="1" customWidth="1"/>
    <col min="9209" max="9210" width="9.140625" style="18"/>
    <col min="9211" max="9211" width="14.28515625" style="18" bestFit="1" customWidth="1"/>
    <col min="9212" max="9456" width="9.140625" style="18"/>
    <col min="9457" max="9457" width="3.28515625" style="18" customWidth="1"/>
    <col min="9458" max="9458" width="48.28515625" style="18" customWidth="1"/>
    <col min="9459" max="9459" width="9.140625" style="18" customWidth="1"/>
    <col min="9460" max="9460" width="17.85546875" style="18" customWidth="1"/>
    <col min="9461" max="9461" width="21" style="18" customWidth="1"/>
    <col min="9462" max="9462" width="1.85546875" style="18" customWidth="1"/>
    <col min="9463" max="9464" width="18.5703125" style="18" bestFit="1" customWidth="1"/>
    <col min="9465" max="9466" width="9.140625" style="18"/>
    <col min="9467" max="9467" width="14.28515625" style="18" bestFit="1" customWidth="1"/>
    <col min="9468" max="9712" width="9.140625" style="18"/>
    <col min="9713" max="9713" width="3.28515625" style="18" customWidth="1"/>
    <col min="9714" max="9714" width="48.28515625" style="18" customWidth="1"/>
    <col min="9715" max="9715" width="9.140625" style="18" customWidth="1"/>
    <col min="9716" max="9716" width="17.85546875" style="18" customWidth="1"/>
    <col min="9717" max="9717" width="21" style="18" customWidth="1"/>
    <col min="9718" max="9718" width="1.85546875" style="18" customWidth="1"/>
    <col min="9719" max="9720" width="18.5703125" style="18" bestFit="1" customWidth="1"/>
    <col min="9721" max="9722" width="9.140625" style="18"/>
    <col min="9723" max="9723" width="14.28515625" style="18" bestFit="1" customWidth="1"/>
    <col min="9724" max="9968" width="9.140625" style="18"/>
    <col min="9969" max="9969" width="3.28515625" style="18" customWidth="1"/>
    <col min="9970" max="9970" width="48.28515625" style="18" customWidth="1"/>
    <col min="9971" max="9971" width="9.140625" style="18" customWidth="1"/>
    <col min="9972" max="9972" width="17.85546875" style="18" customWidth="1"/>
    <col min="9973" max="9973" width="21" style="18" customWidth="1"/>
    <col min="9974" max="9974" width="1.85546875" style="18" customWidth="1"/>
    <col min="9975" max="9976" width="18.5703125" style="18" bestFit="1" customWidth="1"/>
    <col min="9977" max="9978" width="9.140625" style="18"/>
    <col min="9979" max="9979" width="14.28515625" style="18" bestFit="1" customWidth="1"/>
    <col min="9980" max="10224" width="9.140625" style="18"/>
    <col min="10225" max="10225" width="3.28515625" style="18" customWidth="1"/>
    <col min="10226" max="10226" width="48.28515625" style="18" customWidth="1"/>
    <col min="10227" max="10227" width="9.140625" style="18" customWidth="1"/>
    <col min="10228" max="10228" width="17.85546875" style="18" customWidth="1"/>
    <col min="10229" max="10229" width="21" style="18" customWidth="1"/>
    <col min="10230" max="10230" width="1.85546875" style="18" customWidth="1"/>
    <col min="10231" max="10232" width="18.5703125" style="18" bestFit="1" customWidth="1"/>
    <col min="10233" max="10234" width="9.140625" style="18"/>
    <col min="10235" max="10235" width="14.28515625" style="18" bestFit="1" customWidth="1"/>
    <col min="10236" max="10480" width="9.140625" style="18"/>
    <col min="10481" max="10481" width="3.28515625" style="18" customWidth="1"/>
    <col min="10482" max="10482" width="48.28515625" style="18" customWidth="1"/>
    <col min="10483" max="10483" width="9.140625" style="18" customWidth="1"/>
    <col min="10484" max="10484" width="17.85546875" style="18" customWidth="1"/>
    <col min="10485" max="10485" width="21" style="18" customWidth="1"/>
    <col min="10486" max="10486" width="1.85546875" style="18" customWidth="1"/>
    <col min="10487" max="10488" width="18.5703125" style="18" bestFit="1" customWidth="1"/>
    <col min="10489" max="10490" width="9.140625" style="18"/>
    <col min="10491" max="10491" width="14.28515625" style="18" bestFit="1" customWidth="1"/>
    <col min="10492" max="10736" width="9.140625" style="18"/>
    <col min="10737" max="10737" width="3.28515625" style="18" customWidth="1"/>
    <col min="10738" max="10738" width="48.28515625" style="18" customWidth="1"/>
    <col min="10739" max="10739" width="9.140625" style="18" customWidth="1"/>
    <col min="10740" max="10740" width="17.85546875" style="18" customWidth="1"/>
    <col min="10741" max="10741" width="21" style="18" customWidth="1"/>
    <col min="10742" max="10742" width="1.85546875" style="18" customWidth="1"/>
    <col min="10743" max="10744" width="18.5703125" style="18" bestFit="1" customWidth="1"/>
    <col min="10745" max="10746" width="9.140625" style="18"/>
    <col min="10747" max="10747" width="14.28515625" style="18" bestFit="1" customWidth="1"/>
    <col min="10748" max="10992" width="9.140625" style="18"/>
    <col min="10993" max="10993" width="3.28515625" style="18" customWidth="1"/>
    <col min="10994" max="10994" width="48.28515625" style="18" customWidth="1"/>
    <col min="10995" max="10995" width="9.140625" style="18" customWidth="1"/>
    <col min="10996" max="10996" width="17.85546875" style="18" customWidth="1"/>
    <col min="10997" max="10997" width="21" style="18" customWidth="1"/>
    <col min="10998" max="10998" width="1.85546875" style="18" customWidth="1"/>
    <col min="10999" max="11000" width="18.5703125" style="18" bestFit="1" customWidth="1"/>
    <col min="11001" max="11002" width="9.140625" style="18"/>
    <col min="11003" max="11003" width="14.28515625" style="18" bestFit="1" customWidth="1"/>
    <col min="11004" max="11248" width="9.140625" style="18"/>
    <col min="11249" max="11249" width="3.28515625" style="18" customWidth="1"/>
    <col min="11250" max="11250" width="48.28515625" style="18" customWidth="1"/>
    <col min="11251" max="11251" width="9.140625" style="18" customWidth="1"/>
    <col min="11252" max="11252" width="17.85546875" style="18" customWidth="1"/>
    <col min="11253" max="11253" width="21" style="18" customWidth="1"/>
    <col min="11254" max="11254" width="1.85546875" style="18" customWidth="1"/>
    <col min="11255" max="11256" width="18.5703125" style="18" bestFit="1" customWidth="1"/>
    <col min="11257" max="11258" width="9.140625" style="18"/>
    <col min="11259" max="11259" width="14.28515625" style="18" bestFit="1" customWidth="1"/>
    <col min="11260" max="11504" width="9.140625" style="18"/>
    <col min="11505" max="11505" width="3.28515625" style="18" customWidth="1"/>
    <col min="11506" max="11506" width="48.28515625" style="18" customWidth="1"/>
    <col min="11507" max="11507" width="9.140625" style="18" customWidth="1"/>
    <col min="11508" max="11508" width="17.85546875" style="18" customWidth="1"/>
    <col min="11509" max="11509" width="21" style="18" customWidth="1"/>
    <col min="11510" max="11510" width="1.85546875" style="18" customWidth="1"/>
    <col min="11511" max="11512" width="18.5703125" style="18" bestFit="1" customWidth="1"/>
    <col min="11513" max="11514" width="9.140625" style="18"/>
    <col min="11515" max="11515" width="14.28515625" style="18" bestFit="1" customWidth="1"/>
    <col min="11516" max="11760" width="9.140625" style="18"/>
    <col min="11761" max="11761" width="3.28515625" style="18" customWidth="1"/>
    <col min="11762" max="11762" width="48.28515625" style="18" customWidth="1"/>
    <col min="11763" max="11763" width="9.140625" style="18" customWidth="1"/>
    <col min="11764" max="11764" width="17.85546875" style="18" customWidth="1"/>
    <col min="11765" max="11765" width="21" style="18" customWidth="1"/>
    <col min="11766" max="11766" width="1.85546875" style="18" customWidth="1"/>
    <col min="11767" max="11768" width="18.5703125" style="18" bestFit="1" customWidth="1"/>
    <col min="11769" max="11770" width="9.140625" style="18"/>
    <col min="11771" max="11771" width="14.28515625" style="18" bestFit="1" customWidth="1"/>
    <col min="11772" max="12016" width="9.140625" style="18"/>
    <col min="12017" max="12017" width="3.28515625" style="18" customWidth="1"/>
    <col min="12018" max="12018" width="48.28515625" style="18" customWidth="1"/>
    <col min="12019" max="12019" width="9.140625" style="18" customWidth="1"/>
    <col min="12020" max="12020" width="17.85546875" style="18" customWidth="1"/>
    <col min="12021" max="12021" width="21" style="18" customWidth="1"/>
    <col min="12022" max="12022" width="1.85546875" style="18" customWidth="1"/>
    <col min="12023" max="12024" width="18.5703125" style="18" bestFit="1" customWidth="1"/>
    <col min="12025" max="12026" width="9.140625" style="18"/>
    <col min="12027" max="12027" width="14.28515625" style="18" bestFit="1" customWidth="1"/>
    <col min="12028" max="12272" width="9.140625" style="18"/>
    <col min="12273" max="12273" width="3.28515625" style="18" customWidth="1"/>
    <col min="12274" max="12274" width="48.28515625" style="18" customWidth="1"/>
    <col min="12275" max="12275" width="9.140625" style="18" customWidth="1"/>
    <col min="12276" max="12276" width="17.85546875" style="18" customWidth="1"/>
    <col min="12277" max="12277" width="21" style="18" customWidth="1"/>
    <col min="12278" max="12278" width="1.85546875" style="18" customWidth="1"/>
    <col min="12279" max="12280" width="18.5703125" style="18" bestFit="1" customWidth="1"/>
    <col min="12281" max="12282" width="9.140625" style="18"/>
    <col min="12283" max="12283" width="14.28515625" style="18" bestFit="1" customWidth="1"/>
    <col min="12284" max="12528" width="9.140625" style="18"/>
    <col min="12529" max="12529" width="3.28515625" style="18" customWidth="1"/>
    <col min="12530" max="12530" width="48.28515625" style="18" customWidth="1"/>
    <col min="12531" max="12531" width="9.140625" style="18" customWidth="1"/>
    <col min="12532" max="12532" width="17.85546875" style="18" customWidth="1"/>
    <col min="12533" max="12533" width="21" style="18" customWidth="1"/>
    <col min="12534" max="12534" width="1.85546875" style="18" customWidth="1"/>
    <col min="12535" max="12536" width="18.5703125" style="18" bestFit="1" customWidth="1"/>
    <col min="12537" max="12538" width="9.140625" style="18"/>
    <col min="12539" max="12539" width="14.28515625" style="18" bestFit="1" customWidth="1"/>
    <col min="12540" max="12784" width="9.140625" style="18"/>
    <col min="12785" max="12785" width="3.28515625" style="18" customWidth="1"/>
    <col min="12786" max="12786" width="48.28515625" style="18" customWidth="1"/>
    <col min="12787" max="12787" width="9.140625" style="18" customWidth="1"/>
    <col min="12788" max="12788" width="17.85546875" style="18" customWidth="1"/>
    <col min="12789" max="12789" width="21" style="18" customWidth="1"/>
    <col min="12790" max="12790" width="1.85546875" style="18" customWidth="1"/>
    <col min="12791" max="12792" width="18.5703125" style="18" bestFit="1" customWidth="1"/>
    <col min="12793" max="12794" width="9.140625" style="18"/>
    <col min="12795" max="12795" width="14.28515625" style="18" bestFit="1" customWidth="1"/>
    <col min="12796" max="13040" width="9.140625" style="18"/>
    <col min="13041" max="13041" width="3.28515625" style="18" customWidth="1"/>
    <col min="13042" max="13042" width="48.28515625" style="18" customWidth="1"/>
    <col min="13043" max="13043" width="9.140625" style="18" customWidth="1"/>
    <col min="13044" max="13044" width="17.85546875" style="18" customWidth="1"/>
    <col min="13045" max="13045" width="21" style="18" customWidth="1"/>
    <col min="13046" max="13046" width="1.85546875" style="18" customWidth="1"/>
    <col min="13047" max="13048" width="18.5703125" style="18" bestFit="1" customWidth="1"/>
    <col min="13049" max="13050" width="9.140625" style="18"/>
    <col min="13051" max="13051" width="14.28515625" style="18" bestFit="1" customWidth="1"/>
    <col min="13052" max="13296" width="9.140625" style="18"/>
    <col min="13297" max="13297" width="3.28515625" style="18" customWidth="1"/>
    <col min="13298" max="13298" width="48.28515625" style="18" customWidth="1"/>
    <col min="13299" max="13299" width="9.140625" style="18" customWidth="1"/>
    <col min="13300" max="13300" width="17.85546875" style="18" customWidth="1"/>
    <col min="13301" max="13301" width="21" style="18" customWidth="1"/>
    <col min="13302" max="13302" width="1.85546875" style="18" customWidth="1"/>
    <col min="13303" max="13304" width="18.5703125" style="18" bestFit="1" customWidth="1"/>
    <col min="13305" max="13306" width="9.140625" style="18"/>
    <col min="13307" max="13307" width="14.28515625" style="18" bestFit="1" customWidth="1"/>
    <col min="13308" max="13552" width="9.140625" style="18"/>
    <col min="13553" max="13553" width="3.28515625" style="18" customWidth="1"/>
    <col min="13554" max="13554" width="48.28515625" style="18" customWidth="1"/>
    <col min="13555" max="13555" width="9.140625" style="18" customWidth="1"/>
    <col min="13556" max="13556" width="17.85546875" style="18" customWidth="1"/>
    <col min="13557" max="13557" width="21" style="18" customWidth="1"/>
    <col min="13558" max="13558" width="1.85546875" style="18" customWidth="1"/>
    <col min="13559" max="13560" width="18.5703125" style="18" bestFit="1" customWidth="1"/>
    <col min="13561" max="13562" width="9.140625" style="18"/>
    <col min="13563" max="13563" width="14.28515625" style="18" bestFit="1" customWidth="1"/>
    <col min="13564" max="13808" width="9.140625" style="18"/>
    <col min="13809" max="13809" width="3.28515625" style="18" customWidth="1"/>
    <col min="13810" max="13810" width="48.28515625" style="18" customWidth="1"/>
    <col min="13811" max="13811" width="9.140625" style="18" customWidth="1"/>
    <col min="13812" max="13812" width="17.85546875" style="18" customWidth="1"/>
    <col min="13813" max="13813" width="21" style="18" customWidth="1"/>
    <col min="13814" max="13814" width="1.85546875" style="18" customWidth="1"/>
    <col min="13815" max="13816" width="18.5703125" style="18" bestFit="1" customWidth="1"/>
    <col min="13817" max="13818" width="9.140625" style="18"/>
    <col min="13819" max="13819" width="14.28515625" style="18" bestFit="1" customWidth="1"/>
    <col min="13820" max="14064" width="9.140625" style="18"/>
    <col min="14065" max="14065" width="3.28515625" style="18" customWidth="1"/>
    <col min="14066" max="14066" width="48.28515625" style="18" customWidth="1"/>
    <col min="14067" max="14067" width="9.140625" style="18" customWidth="1"/>
    <col min="14068" max="14068" width="17.85546875" style="18" customWidth="1"/>
    <col min="14069" max="14069" width="21" style="18" customWidth="1"/>
    <col min="14070" max="14070" width="1.85546875" style="18" customWidth="1"/>
    <col min="14071" max="14072" width="18.5703125" style="18" bestFit="1" customWidth="1"/>
    <col min="14073" max="14074" width="9.140625" style="18"/>
    <col min="14075" max="14075" width="14.28515625" style="18" bestFit="1" customWidth="1"/>
    <col min="14076" max="14320" width="9.140625" style="18"/>
    <col min="14321" max="14321" width="3.28515625" style="18" customWidth="1"/>
    <col min="14322" max="14322" width="48.28515625" style="18" customWidth="1"/>
    <col min="14323" max="14323" width="9.140625" style="18" customWidth="1"/>
    <col min="14324" max="14324" width="17.85546875" style="18" customWidth="1"/>
    <col min="14325" max="14325" width="21" style="18" customWidth="1"/>
    <col min="14326" max="14326" width="1.85546875" style="18" customWidth="1"/>
    <col min="14327" max="14328" width="18.5703125" style="18" bestFit="1" customWidth="1"/>
    <col min="14329" max="14330" width="9.140625" style="18"/>
    <col min="14331" max="14331" width="14.28515625" style="18" bestFit="1" customWidth="1"/>
    <col min="14332" max="14576" width="9.140625" style="18"/>
    <col min="14577" max="14577" width="3.28515625" style="18" customWidth="1"/>
    <col min="14578" max="14578" width="48.28515625" style="18" customWidth="1"/>
    <col min="14579" max="14579" width="9.140625" style="18" customWidth="1"/>
    <col min="14580" max="14580" width="17.85546875" style="18" customWidth="1"/>
    <col min="14581" max="14581" width="21" style="18" customWidth="1"/>
    <col min="14582" max="14582" width="1.85546875" style="18" customWidth="1"/>
    <col min="14583" max="14584" width="18.5703125" style="18" bestFit="1" customWidth="1"/>
    <col min="14585" max="14586" width="9.140625" style="18"/>
    <col min="14587" max="14587" width="14.28515625" style="18" bestFit="1" customWidth="1"/>
    <col min="14588" max="14832" width="9.140625" style="18"/>
    <col min="14833" max="14833" width="3.28515625" style="18" customWidth="1"/>
    <col min="14834" max="14834" width="48.28515625" style="18" customWidth="1"/>
    <col min="14835" max="14835" width="9.140625" style="18" customWidth="1"/>
    <col min="14836" max="14836" width="17.85546875" style="18" customWidth="1"/>
    <col min="14837" max="14837" width="21" style="18" customWidth="1"/>
    <col min="14838" max="14838" width="1.85546875" style="18" customWidth="1"/>
    <col min="14839" max="14840" width="18.5703125" style="18" bestFit="1" customWidth="1"/>
    <col min="14841" max="14842" width="9.140625" style="18"/>
    <col min="14843" max="14843" width="14.28515625" style="18" bestFit="1" customWidth="1"/>
    <col min="14844" max="15088" width="9.140625" style="18"/>
    <col min="15089" max="15089" width="3.28515625" style="18" customWidth="1"/>
    <col min="15090" max="15090" width="48.28515625" style="18" customWidth="1"/>
    <col min="15091" max="15091" width="9.140625" style="18" customWidth="1"/>
    <col min="15092" max="15092" width="17.85546875" style="18" customWidth="1"/>
    <col min="15093" max="15093" width="21" style="18" customWidth="1"/>
    <col min="15094" max="15094" width="1.85546875" style="18" customWidth="1"/>
    <col min="15095" max="15096" width="18.5703125" style="18" bestFit="1" customWidth="1"/>
    <col min="15097" max="15098" width="9.140625" style="18"/>
    <col min="15099" max="15099" width="14.28515625" style="18" bestFit="1" customWidth="1"/>
    <col min="15100" max="15344" width="9.140625" style="18"/>
    <col min="15345" max="15345" width="3.28515625" style="18" customWidth="1"/>
    <col min="15346" max="15346" width="48.28515625" style="18" customWidth="1"/>
    <col min="15347" max="15347" width="9.140625" style="18" customWidth="1"/>
    <col min="15348" max="15348" width="17.85546875" style="18" customWidth="1"/>
    <col min="15349" max="15349" width="21" style="18" customWidth="1"/>
    <col min="15350" max="15350" width="1.85546875" style="18" customWidth="1"/>
    <col min="15351" max="15352" width="18.5703125" style="18" bestFit="1" customWidth="1"/>
    <col min="15353" max="15354" width="9.140625" style="18"/>
    <col min="15355" max="15355" width="14.28515625" style="18" bestFit="1" customWidth="1"/>
    <col min="15356" max="15600" width="9.140625" style="18"/>
    <col min="15601" max="15601" width="3.28515625" style="18" customWidth="1"/>
    <col min="15602" max="15602" width="48.28515625" style="18" customWidth="1"/>
    <col min="15603" max="15603" width="9.140625" style="18" customWidth="1"/>
    <col min="15604" max="15604" width="17.85546875" style="18" customWidth="1"/>
    <col min="15605" max="15605" width="21" style="18" customWidth="1"/>
    <col min="15606" max="15606" width="1.85546875" style="18" customWidth="1"/>
    <col min="15607" max="15608" width="18.5703125" style="18" bestFit="1" customWidth="1"/>
    <col min="15609" max="15610" width="9.140625" style="18"/>
    <col min="15611" max="15611" width="14.28515625" style="18" bestFit="1" customWidth="1"/>
    <col min="15612" max="15856" width="9.140625" style="18"/>
    <col min="15857" max="15857" width="3.28515625" style="18" customWidth="1"/>
    <col min="15858" max="15858" width="48.28515625" style="18" customWidth="1"/>
    <col min="15859" max="15859" width="9.140625" style="18" customWidth="1"/>
    <col min="15860" max="15860" width="17.85546875" style="18" customWidth="1"/>
    <col min="15861" max="15861" width="21" style="18" customWidth="1"/>
    <col min="15862" max="15862" width="1.85546875" style="18" customWidth="1"/>
    <col min="15863" max="15864" width="18.5703125" style="18" bestFit="1" customWidth="1"/>
    <col min="15865" max="15866" width="9.140625" style="18"/>
    <col min="15867" max="15867" width="14.28515625" style="18" bestFit="1" customWidth="1"/>
    <col min="15868" max="16112" width="9.140625" style="18"/>
    <col min="16113" max="16113" width="3.28515625" style="18" customWidth="1"/>
    <col min="16114" max="16114" width="48.28515625" style="18" customWidth="1"/>
    <col min="16115" max="16115" width="9.140625" style="18" customWidth="1"/>
    <col min="16116" max="16116" width="17.85546875" style="18" customWidth="1"/>
    <col min="16117" max="16117" width="21" style="18" customWidth="1"/>
    <col min="16118" max="16118" width="1.85546875" style="18" customWidth="1"/>
    <col min="16119" max="16120" width="18.5703125" style="18" bestFit="1" customWidth="1"/>
    <col min="16121" max="16122" width="9.140625" style="18"/>
    <col min="16123" max="16123" width="14.28515625" style="18" bestFit="1" customWidth="1"/>
    <col min="16124" max="16384" width="9.140625" style="18"/>
  </cols>
  <sheetData>
    <row r="1" spans="1:28" ht="8.25" customHeight="1" thickBot="1" x14ac:dyDescent="0.3"/>
    <row r="2" spans="1:28" ht="24" customHeight="1" x14ac:dyDescent="0.25">
      <c r="B2" s="42" t="s">
        <v>45</v>
      </c>
      <c r="C2" s="35"/>
      <c r="D2" s="35"/>
      <c r="E2" s="35"/>
      <c r="F2" s="35"/>
      <c r="G2" s="35"/>
      <c r="H2" s="35"/>
      <c r="I2" s="35"/>
      <c r="J2" s="35"/>
      <c r="K2" s="35"/>
      <c r="L2" s="35"/>
      <c r="M2" s="35"/>
      <c r="N2" s="35"/>
      <c r="O2" s="35"/>
      <c r="P2" s="35"/>
      <c r="Q2" s="35"/>
      <c r="R2" s="35"/>
      <c r="S2" s="35"/>
      <c r="T2" s="35"/>
      <c r="U2" s="35"/>
      <c r="V2" s="35"/>
      <c r="W2" s="35"/>
      <c r="X2" s="35"/>
      <c r="Y2" s="35"/>
      <c r="Z2" s="35"/>
      <c r="AA2" s="35"/>
      <c r="AB2" s="36"/>
    </row>
    <row r="3" spans="1:28" ht="24" customHeight="1" thickBot="1" x14ac:dyDescent="0.3">
      <c r="B3" s="43" t="s">
        <v>76</v>
      </c>
      <c r="C3" s="25"/>
      <c r="D3" s="25"/>
      <c r="E3" s="25"/>
      <c r="F3" s="25"/>
      <c r="G3" s="25"/>
      <c r="H3" s="25"/>
      <c r="I3" s="25"/>
      <c r="J3" s="25"/>
      <c r="K3" s="25"/>
      <c r="L3" s="25"/>
      <c r="M3" s="25"/>
      <c r="N3" s="25"/>
      <c r="O3" s="25"/>
      <c r="P3" s="25"/>
      <c r="Q3" s="25"/>
      <c r="R3" s="25"/>
      <c r="S3" s="25"/>
      <c r="T3" s="25"/>
      <c r="U3" s="25"/>
      <c r="V3" s="25"/>
      <c r="W3" s="25"/>
      <c r="X3" s="25"/>
      <c r="Y3" s="25"/>
      <c r="Z3" s="25"/>
      <c r="AA3" s="25"/>
      <c r="AB3" s="37"/>
    </row>
    <row r="4" spans="1:28" ht="9.9499999999999993" customHeight="1" x14ac:dyDescent="0.25">
      <c r="B4" s="27"/>
      <c r="C4" s="28"/>
      <c r="D4" s="28"/>
      <c r="E4" s="29"/>
      <c r="F4" s="29"/>
      <c r="G4" s="29"/>
      <c r="H4" s="29"/>
      <c r="I4" s="29"/>
      <c r="J4" s="28"/>
      <c r="K4" s="28"/>
      <c r="L4" s="28"/>
      <c r="M4" s="28"/>
      <c r="N4" s="28"/>
      <c r="O4" s="28"/>
      <c r="P4" s="28"/>
      <c r="Q4" s="28"/>
      <c r="R4" s="28"/>
      <c r="S4" s="28"/>
      <c r="T4" s="28"/>
      <c r="U4" s="28"/>
      <c r="V4" s="28"/>
      <c r="W4" s="28"/>
      <c r="X4" s="28"/>
      <c r="Y4" s="28"/>
      <c r="Z4" s="28"/>
      <c r="AA4" s="28"/>
      <c r="AB4" s="30"/>
    </row>
    <row r="5" spans="1:28" ht="15.75" customHeight="1" x14ac:dyDescent="0.25">
      <c r="B5" s="31"/>
      <c r="C5" s="23"/>
      <c r="D5" s="23"/>
      <c r="E5" s="24"/>
      <c r="F5" s="24"/>
      <c r="G5" s="24"/>
      <c r="H5" s="24"/>
      <c r="I5" s="24"/>
      <c r="AB5" s="32"/>
    </row>
    <row r="6" spans="1:28" ht="20.100000000000001" customHeight="1" x14ac:dyDescent="0.25">
      <c r="A6" s="21" t="s">
        <v>43</v>
      </c>
      <c r="B6" s="31"/>
      <c r="C6" s="70"/>
      <c r="D6" s="70"/>
      <c r="E6" s="9" t="s">
        <v>214</v>
      </c>
      <c r="F6" s="9"/>
      <c r="G6" s="9"/>
      <c r="H6" s="9"/>
      <c r="I6" s="9"/>
      <c r="AB6" s="32"/>
    </row>
    <row r="7" spans="1:28" s="19" customFormat="1" ht="15" customHeight="1" x14ac:dyDescent="0.25">
      <c r="A7" s="22"/>
      <c r="B7" s="33"/>
      <c r="C7" s="38" t="s">
        <v>46</v>
      </c>
      <c r="D7" s="113"/>
      <c r="E7" s="8" t="s">
        <v>174</v>
      </c>
      <c r="F7" s="8"/>
      <c r="G7" s="8"/>
      <c r="H7" s="8"/>
      <c r="I7" s="8"/>
      <c r="K7" s="12" t="s">
        <v>24</v>
      </c>
      <c r="L7" s="11"/>
      <c r="M7" s="11"/>
      <c r="N7" s="11"/>
      <c r="O7" s="10"/>
      <c r="P7" s="26"/>
      <c r="Q7" s="12" t="s">
        <v>144</v>
      </c>
      <c r="R7" s="11"/>
      <c r="S7" s="11"/>
      <c r="T7" s="11"/>
      <c r="U7" s="10"/>
      <c r="W7" s="12" t="s">
        <v>145</v>
      </c>
      <c r="X7" s="11"/>
      <c r="Y7" s="11"/>
      <c r="Z7" s="11"/>
      <c r="AA7" s="10"/>
      <c r="AB7" s="34"/>
    </row>
    <row r="8" spans="1:28" s="48" customFormat="1" ht="15" customHeight="1" x14ac:dyDescent="0.25">
      <c r="A8" s="47"/>
      <c r="B8" s="119"/>
      <c r="C8" s="41" t="s">
        <v>172</v>
      </c>
      <c r="D8" s="114" t="s">
        <v>175</v>
      </c>
      <c r="E8" s="40">
        <v>2020</v>
      </c>
      <c r="F8" s="40">
        <v>2021</v>
      </c>
      <c r="G8" s="40">
        <v>2022</v>
      </c>
      <c r="H8" s="40">
        <v>2023</v>
      </c>
      <c r="I8" s="40">
        <v>2024</v>
      </c>
      <c r="K8" s="39" t="s">
        <v>153</v>
      </c>
      <c r="L8" s="120">
        <v>2021</v>
      </c>
      <c r="M8" s="120">
        <v>2022</v>
      </c>
      <c r="N8" s="120">
        <v>2023</v>
      </c>
      <c r="O8" s="121">
        <v>2024</v>
      </c>
      <c r="P8" s="122"/>
      <c r="Q8" s="39" t="s">
        <v>153</v>
      </c>
      <c r="R8" s="120">
        <v>2021</v>
      </c>
      <c r="S8" s="120">
        <v>2022</v>
      </c>
      <c r="T8" s="120">
        <v>2023</v>
      </c>
      <c r="U8" s="121">
        <v>2024</v>
      </c>
      <c r="W8" s="39" t="s">
        <v>153</v>
      </c>
      <c r="X8" s="120">
        <v>2021</v>
      </c>
      <c r="Y8" s="120">
        <v>2022</v>
      </c>
      <c r="Z8" s="120">
        <v>2023</v>
      </c>
      <c r="AA8" s="121">
        <v>2024</v>
      </c>
      <c r="AB8" s="123"/>
    </row>
    <row r="9" spans="1:28" s="48" customFormat="1" ht="15" customHeight="1" x14ac:dyDescent="0.25">
      <c r="A9" s="47" t="s">
        <v>0</v>
      </c>
      <c r="B9" s="119"/>
      <c r="C9" s="153" t="s">
        <v>128</v>
      </c>
      <c r="D9" s="115">
        <v>1</v>
      </c>
      <c r="E9" s="163">
        <v>3056514.9356922698</v>
      </c>
      <c r="F9" s="163">
        <v>3091492.4517081496</v>
      </c>
      <c r="G9" s="164">
        <v>3402337.41337601</v>
      </c>
      <c r="H9" s="164">
        <v>4179886.1798332101</v>
      </c>
      <c r="I9" s="164">
        <v>4937404.81093481</v>
      </c>
      <c r="K9" s="124"/>
      <c r="L9" s="125"/>
      <c r="M9" s="125"/>
      <c r="N9" s="125"/>
      <c r="O9" s="126"/>
      <c r="Q9" s="127"/>
      <c r="R9" s="128"/>
      <c r="S9" s="128"/>
      <c r="T9" s="128"/>
      <c r="U9" s="129"/>
      <c r="W9" s="130"/>
      <c r="AA9" s="131"/>
      <c r="AB9" s="123"/>
    </row>
    <row r="10" spans="1:28" s="48" customFormat="1" ht="15" customHeight="1" x14ac:dyDescent="0.25">
      <c r="A10" s="47" t="s">
        <v>2</v>
      </c>
      <c r="B10" s="119"/>
      <c r="C10" s="154" t="s">
        <v>129</v>
      </c>
      <c r="D10" s="214">
        <v>2</v>
      </c>
      <c r="E10" s="165">
        <v>1527404.2827564399</v>
      </c>
      <c r="F10" s="165">
        <v>1642809.3131075804</v>
      </c>
      <c r="G10" s="165">
        <v>1931142.8399601604</v>
      </c>
      <c r="H10" s="165">
        <v>2273712.5916456603</v>
      </c>
      <c r="I10" s="166">
        <v>2920169.7465991499</v>
      </c>
      <c r="K10" s="130"/>
      <c r="O10" s="131"/>
      <c r="Q10" s="130"/>
      <c r="U10" s="131"/>
      <c r="W10" s="130"/>
      <c r="AA10" s="131"/>
      <c r="AB10" s="123"/>
    </row>
    <row r="11" spans="1:28" s="48" customFormat="1" ht="15" customHeight="1" x14ac:dyDescent="0.25">
      <c r="A11" s="47" t="s">
        <v>1</v>
      </c>
      <c r="B11" s="119"/>
      <c r="C11" s="153" t="s">
        <v>130</v>
      </c>
      <c r="D11" s="115">
        <v>3</v>
      </c>
      <c r="E11" s="159">
        <v>1529110.6545980601</v>
      </c>
      <c r="F11" s="160">
        <v>1448683.1386005601</v>
      </c>
      <c r="G11" s="164">
        <v>1471194.5734158498</v>
      </c>
      <c r="H11" s="164">
        <v>1906173.5881875502</v>
      </c>
      <c r="I11" s="164">
        <v>2017235.0643356591</v>
      </c>
      <c r="J11" s="132"/>
      <c r="K11" s="130"/>
      <c r="O11" s="131"/>
      <c r="Q11" s="130"/>
      <c r="U11" s="131"/>
      <c r="W11" s="130"/>
      <c r="AA11" s="131"/>
      <c r="AB11" s="123"/>
    </row>
    <row r="12" spans="1:28" s="48" customFormat="1" ht="15" customHeight="1" x14ac:dyDescent="0.25">
      <c r="A12" s="47" t="s">
        <v>4</v>
      </c>
      <c r="B12" s="119"/>
      <c r="C12" s="152" t="s">
        <v>199</v>
      </c>
      <c r="D12" s="116">
        <v>4</v>
      </c>
      <c r="E12" s="161">
        <v>633624.21727404988</v>
      </c>
      <c r="F12" s="162">
        <v>818276.84182314004</v>
      </c>
      <c r="G12" s="166">
        <v>917045.85091130994</v>
      </c>
      <c r="H12" s="166">
        <v>1438383.2972703301</v>
      </c>
      <c r="I12" s="166">
        <v>2100877.6734761</v>
      </c>
      <c r="K12" s="130"/>
      <c r="O12" s="131"/>
      <c r="Q12" s="130"/>
      <c r="U12" s="131"/>
      <c r="W12" s="130"/>
      <c r="AA12" s="131"/>
      <c r="AB12" s="123"/>
    </row>
    <row r="13" spans="1:28" s="48" customFormat="1" ht="15" customHeight="1" x14ac:dyDescent="0.25">
      <c r="A13" s="47" t="s">
        <v>5</v>
      </c>
      <c r="B13" s="119"/>
      <c r="C13" s="205" t="s">
        <v>220</v>
      </c>
      <c r="D13" s="115">
        <v>5</v>
      </c>
      <c r="E13" s="159">
        <v>553095.98813422001</v>
      </c>
      <c r="F13" s="160">
        <v>723523.09784564993</v>
      </c>
      <c r="G13" s="164">
        <v>783914.44422870013</v>
      </c>
      <c r="H13" s="164">
        <v>1309291.9279648601</v>
      </c>
      <c r="I13" s="164">
        <v>1941149.7343556904</v>
      </c>
      <c r="K13" s="130"/>
      <c r="O13" s="131"/>
      <c r="Q13" s="130"/>
      <c r="U13" s="131"/>
      <c r="W13" s="130"/>
      <c r="AA13" s="131"/>
      <c r="AB13" s="123"/>
    </row>
    <row r="14" spans="1:28" s="48" customFormat="1" ht="15" customHeight="1" x14ac:dyDescent="0.25">
      <c r="A14" s="47"/>
      <c r="B14" s="119"/>
      <c r="C14" s="152" t="s">
        <v>200</v>
      </c>
      <c r="D14" s="116">
        <v>6</v>
      </c>
      <c r="E14" s="161">
        <v>654978.29390947009</v>
      </c>
      <c r="F14" s="162">
        <v>771993.51404501998</v>
      </c>
      <c r="G14" s="166">
        <v>861825.51003283006</v>
      </c>
      <c r="H14" s="166">
        <v>1262268.1544415702</v>
      </c>
      <c r="I14" s="166">
        <v>1881414.3537014099</v>
      </c>
      <c r="K14" s="130"/>
      <c r="O14" s="131"/>
      <c r="Q14" s="130"/>
      <c r="U14" s="131"/>
      <c r="W14" s="130"/>
      <c r="AA14" s="131"/>
      <c r="AB14" s="123"/>
    </row>
    <row r="15" spans="1:28" s="48" customFormat="1" ht="15" customHeight="1" x14ac:dyDescent="0.25">
      <c r="A15" s="47"/>
      <c r="B15" s="119"/>
      <c r="C15" s="153" t="s">
        <v>188</v>
      </c>
      <c r="D15" s="115">
        <v>7</v>
      </c>
      <c r="E15" s="159">
        <v>-109787.71537495001</v>
      </c>
      <c r="F15" s="160">
        <v>8971.3476627899945</v>
      </c>
      <c r="G15" s="164">
        <v>59111.434119219994</v>
      </c>
      <c r="H15" s="164">
        <v>11843.153480250008</v>
      </c>
      <c r="I15" s="164">
        <v>85926.299262150016</v>
      </c>
      <c r="K15" s="130"/>
      <c r="O15" s="131"/>
      <c r="Q15" s="130"/>
      <c r="U15" s="131"/>
      <c r="W15" s="130"/>
      <c r="AA15" s="131"/>
      <c r="AB15" s="123"/>
    </row>
    <row r="16" spans="1:28" s="48" customFormat="1" ht="15" customHeight="1" x14ac:dyDescent="0.25">
      <c r="A16" s="47"/>
      <c r="B16" s="119"/>
      <c r="C16" s="179" t="s">
        <v>217</v>
      </c>
      <c r="D16" s="118"/>
      <c r="E16" s="161"/>
      <c r="F16" s="161"/>
      <c r="G16" s="161"/>
      <c r="H16" s="161"/>
      <c r="I16" s="161"/>
      <c r="K16" s="130"/>
      <c r="O16" s="131"/>
      <c r="Q16" s="130"/>
      <c r="U16" s="131"/>
      <c r="W16" s="130"/>
      <c r="AA16" s="131"/>
      <c r="AB16" s="123"/>
    </row>
    <row r="17" spans="1:30" s="48" customFormat="1" ht="15" customHeight="1" x14ac:dyDescent="0.25">
      <c r="A17" s="47"/>
      <c r="B17" s="119"/>
      <c r="C17" s="153" t="s">
        <v>134</v>
      </c>
      <c r="D17" s="115">
        <v>8</v>
      </c>
      <c r="E17" s="159">
        <v>-60399.799597480102</v>
      </c>
      <c r="F17" s="160">
        <v>-84304.3426381803</v>
      </c>
      <c r="G17" s="195">
        <v>-120547.31192447974</v>
      </c>
      <c r="H17" s="195">
        <v>204446.11479156004</v>
      </c>
      <c r="I17" s="195">
        <v>363845.18480413989</v>
      </c>
      <c r="K17" s="130"/>
      <c r="O17" s="131"/>
      <c r="Q17" s="130"/>
      <c r="U17" s="131"/>
      <c r="W17" s="130"/>
      <c r="AA17" s="131"/>
      <c r="AB17" s="123"/>
      <c r="AD17" s="208"/>
    </row>
    <row r="18" spans="1:30" s="48" customFormat="1" ht="15" customHeight="1" x14ac:dyDescent="0.25">
      <c r="A18" s="47"/>
      <c r="B18" s="119"/>
      <c r="C18" s="152" t="s">
        <v>131</v>
      </c>
      <c r="D18" s="116">
        <v>9</v>
      </c>
      <c r="E18" s="161">
        <v>648691.81154397002</v>
      </c>
      <c r="F18" s="162">
        <v>651623.75971926993</v>
      </c>
      <c r="G18" s="194">
        <v>697366.39498563984</v>
      </c>
      <c r="H18" s="194">
        <v>914615.55071831995</v>
      </c>
      <c r="I18" s="194">
        <v>1646039.5869137901</v>
      </c>
      <c r="K18" s="130"/>
      <c r="O18" s="131"/>
      <c r="Q18" s="130"/>
      <c r="U18" s="131"/>
      <c r="W18" s="130"/>
      <c r="AA18" s="131"/>
      <c r="AB18" s="123"/>
    </row>
    <row r="19" spans="1:30" s="48" customFormat="1" ht="15" customHeight="1" x14ac:dyDescent="0.25">
      <c r="A19" s="47"/>
      <c r="B19" s="119"/>
      <c r="C19" s="153" t="s">
        <v>132</v>
      </c>
      <c r="D19" s="115">
        <v>10</v>
      </c>
      <c r="E19" s="159">
        <v>1017399.3801744701</v>
      </c>
      <c r="F19" s="160">
        <v>1088144.59491119</v>
      </c>
      <c r="G19" s="195">
        <v>1267095.9468011199</v>
      </c>
      <c r="H19" s="195">
        <v>1559882.1511941301</v>
      </c>
      <c r="I19" s="195">
        <v>2167003.3662384702</v>
      </c>
      <c r="K19" s="130"/>
      <c r="O19" s="131"/>
      <c r="Q19" s="130"/>
      <c r="U19" s="131"/>
      <c r="W19" s="130"/>
      <c r="AA19" s="131"/>
      <c r="AB19" s="123"/>
    </row>
    <row r="20" spans="1:30" s="48" customFormat="1" ht="15" customHeight="1" x14ac:dyDescent="0.25">
      <c r="A20" s="47" t="s">
        <v>3</v>
      </c>
      <c r="B20" s="119"/>
      <c r="C20" s="152" t="s">
        <v>47</v>
      </c>
      <c r="D20" s="116">
        <v>11</v>
      </c>
      <c r="E20" s="161">
        <v>-368707.56863050011</v>
      </c>
      <c r="F20" s="162">
        <v>-436520.83519192005</v>
      </c>
      <c r="G20" s="194">
        <v>-569729.55181548011</v>
      </c>
      <c r="H20" s="194">
        <v>-645266.60047581012</v>
      </c>
      <c r="I20" s="194">
        <v>-520963.7793246801</v>
      </c>
      <c r="K20" s="133"/>
      <c r="L20" s="134"/>
      <c r="M20" s="134"/>
      <c r="N20" s="134"/>
      <c r="O20" s="135"/>
      <c r="Q20" s="133"/>
      <c r="R20" s="134"/>
      <c r="S20" s="134"/>
      <c r="T20" s="134"/>
      <c r="U20" s="135"/>
      <c r="W20" s="130"/>
      <c r="AA20" s="131"/>
      <c r="AB20" s="136"/>
    </row>
    <row r="21" spans="1:30" s="48" customFormat="1" ht="15" customHeight="1" x14ac:dyDescent="0.25">
      <c r="A21" s="47"/>
      <c r="B21" s="119"/>
      <c r="C21" s="153" t="s">
        <v>133</v>
      </c>
      <c r="D21" s="115">
        <v>12</v>
      </c>
      <c r="E21" s="159">
        <v>308307.76903302001</v>
      </c>
      <c r="F21" s="160">
        <v>352216.49255373975</v>
      </c>
      <c r="G21" s="195">
        <v>449182.23989100038</v>
      </c>
      <c r="H21" s="195">
        <v>849712.71526737022</v>
      </c>
      <c r="I21" s="195">
        <v>884808.96412881999</v>
      </c>
      <c r="J21" s="19"/>
      <c r="K21" s="12" t="s">
        <v>150</v>
      </c>
      <c r="L21" s="11"/>
      <c r="M21" s="11"/>
      <c r="N21" s="11"/>
      <c r="O21" s="10"/>
      <c r="Q21" s="12" t="s">
        <v>151</v>
      </c>
      <c r="R21" s="11"/>
      <c r="S21" s="11"/>
      <c r="T21" s="11"/>
      <c r="U21" s="10"/>
      <c r="W21" s="12" t="s">
        <v>152</v>
      </c>
      <c r="X21" s="11"/>
      <c r="Y21" s="11"/>
      <c r="Z21" s="11"/>
      <c r="AA21" s="10"/>
      <c r="AB21" s="123"/>
    </row>
    <row r="22" spans="1:30" s="48" customFormat="1" ht="15" customHeight="1" x14ac:dyDescent="0.25">
      <c r="A22" s="47"/>
      <c r="B22" s="119"/>
      <c r="C22" s="41" t="s">
        <v>52</v>
      </c>
      <c r="D22" s="178"/>
      <c r="E22" s="40">
        <v>2020</v>
      </c>
      <c r="F22" s="40">
        <v>2021</v>
      </c>
      <c r="G22" s="40">
        <v>2022</v>
      </c>
      <c r="H22" s="40">
        <v>2023</v>
      </c>
      <c r="I22" s="40">
        <v>2024</v>
      </c>
      <c r="K22" s="39" t="s">
        <v>153</v>
      </c>
      <c r="L22" s="120">
        <v>2021</v>
      </c>
      <c r="M22" s="120">
        <v>2022</v>
      </c>
      <c r="N22" s="120">
        <v>2023</v>
      </c>
      <c r="O22" s="121">
        <v>2024</v>
      </c>
      <c r="Q22" s="39" t="s">
        <v>153</v>
      </c>
      <c r="R22" s="120">
        <v>2021</v>
      </c>
      <c r="S22" s="120">
        <v>2022</v>
      </c>
      <c r="T22" s="120">
        <v>2023</v>
      </c>
      <c r="U22" s="121">
        <v>2024</v>
      </c>
      <c r="W22" s="39" t="s">
        <v>153</v>
      </c>
      <c r="X22" s="120">
        <v>2021</v>
      </c>
      <c r="Y22" s="120">
        <v>2022</v>
      </c>
      <c r="Z22" s="120">
        <v>2023</v>
      </c>
      <c r="AA22" s="121">
        <v>2024</v>
      </c>
      <c r="AB22" s="123"/>
    </row>
    <row r="23" spans="1:30" s="48" customFormat="1" ht="15" customHeight="1" x14ac:dyDescent="0.25">
      <c r="A23" s="47"/>
      <c r="B23" s="119"/>
      <c r="C23" s="152" t="s">
        <v>33</v>
      </c>
      <c r="D23" s="116">
        <v>13</v>
      </c>
      <c r="E23" s="137">
        <v>0.94063314685023458</v>
      </c>
      <c r="F23" s="138">
        <v>0.92252468740603277</v>
      </c>
      <c r="G23" s="138">
        <v>0.90486331186773139</v>
      </c>
      <c r="H23" s="138">
        <v>1.1310651029855372</v>
      </c>
      <c r="I23" s="138">
        <v>1.1679024548243826</v>
      </c>
      <c r="K23" s="130"/>
      <c r="O23" s="131"/>
      <c r="Q23" s="130"/>
      <c r="U23" s="131"/>
      <c r="W23" s="130"/>
      <c r="AA23" s="131"/>
      <c r="AB23" s="123"/>
    </row>
    <row r="24" spans="1:30" s="48" customFormat="1" ht="15" customHeight="1" x14ac:dyDescent="0.25">
      <c r="A24" s="47"/>
      <c r="B24" s="119"/>
      <c r="C24" s="153" t="s">
        <v>35</v>
      </c>
      <c r="D24" s="115">
        <v>14</v>
      </c>
      <c r="E24" s="139">
        <v>0.91637990374277511</v>
      </c>
      <c r="F24" s="140">
        <v>0.8962037199107914</v>
      </c>
      <c r="G24" s="140">
        <v>0.88864020958303402</v>
      </c>
      <c r="H24" s="140">
        <v>1.1049346000195492</v>
      </c>
      <c r="I24" s="140">
        <v>1.1491658939199767</v>
      </c>
      <c r="K24" s="130"/>
      <c r="O24" s="131"/>
      <c r="Q24" s="130"/>
      <c r="U24" s="131"/>
      <c r="W24" s="130"/>
      <c r="AA24" s="131"/>
      <c r="AB24" s="123"/>
    </row>
    <row r="25" spans="1:30" s="48" customFormat="1" ht="15" customHeight="1" x14ac:dyDescent="0.25">
      <c r="A25" s="47"/>
      <c r="B25" s="119"/>
      <c r="C25" s="152" t="s">
        <v>34</v>
      </c>
      <c r="D25" s="116">
        <v>15</v>
      </c>
      <c r="E25" s="137">
        <v>0.22529738212895548</v>
      </c>
      <c r="F25" s="138">
        <v>0.27460370815922452</v>
      </c>
      <c r="G25" s="138">
        <v>0.25417064923549121</v>
      </c>
      <c r="H25" s="138">
        <v>0.49648452605719146</v>
      </c>
      <c r="I25" s="138">
        <v>0.36937707514057672</v>
      </c>
      <c r="J25" s="132"/>
      <c r="K25" s="130"/>
      <c r="O25" s="131"/>
      <c r="Q25" s="130"/>
      <c r="U25" s="131"/>
      <c r="W25" s="130"/>
      <c r="AA25" s="131"/>
      <c r="AB25" s="123"/>
    </row>
    <row r="26" spans="1:30" s="48" customFormat="1" ht="15" customHeight="1" x14ac:dyDescent="0.25">
      <c r="A26" s="47"/>
      <c r="B26" s="119"/>
      <c r="C26" s="153" t="s">
        <v>30</v>
      </c>
      <c r="D26" s="115">
        <v>16</v>
      </c>
      <c r="E26" s="107">
        <v>0.50027862019921188</v>
      </c>
      <c r="F26" s="109">
        <v>0.46860316213941278</v>
      </c>
      <c r="G26" s="109">
        <v>0.43240701749096661</v>
      </c>
      <c r="H26" s="109">
        <v>0.45603480721093792</v>
      </c>
      <c r="I26" s="109">
        <v>0.40856181366132144</v>
      </c>
      <c r="K26" s="130"/>
      <c r="O26" s="131"/>
      <c r="Q26" s="130"/>
      <c r="U26" s="131"/>
      <c r="W26" s="130"/>
      <c r="AA26" s="131"/>
      <c r="AB26" s="123"/>
    </row>
    <row r="27" spans="1:30" s="48" customFormat="1" ht="15" customHeight="1" x14ac:dyDescent="0.25">
      <c r="A27" s="47"/>
      <c r="B27" s="119"/>
      <c r="C27" s="152" t="s">
        <v>36</v>
      </c>
      <c r="D27" s="116">
        <v>17</v>
      </c>
      <c r="E27" s="108">
        <v>0.49972137980045445</v>
      </c>
      <c r="F27" s="110">
        <v>0.53139683786058745</v>
      </c>
      <c r="G27" s="110">
        <v>0.56759298250903367</v>
      </c>
      <c r="H27" s="110">
        <v>0.54396519278714817</v>
      </c>
      <c r="I27" s="110">
        <v>0.59143818633867862</v>
      </c>
      <c r="K27" s="130"/>
      <c r="O27" s="131"/>
      <c r="Q27" s="130"/>
      <c r="U27" s="131"/>
      <c r="W27" s="130"/>
      <c r="AA27" s="131"/>
      <c r="AB27" s="123"/>
    </row>
    <row r="28" spans="1:30" s="48" customFormat="1" ht="15" customHeight="1" x14ac:dyDescent="0.25">
      <c r="A28" s="47"/>
      <c r="B28" s="119"/>
      <c r="C28" s="153" t="s">
        <v>37</v>
      </c>
      <c r="D28" s="115">
        <v>18</v>
      </c>
      <c r="E28" s="107">
        <v>1.0011151021774973</v>
      </c>
      <c r="F28" s="109">
        <v>0.88183280131288866</v>
      </c>
      <c r="G28" s="109">
        <v>0.76182586962143162</v>
      </c>
      <c r="H28" s="109">
        <v>0.83835291900631381</v>
      </c>
      <c r="I28" s="109">
        <v>0.6907937686447666</v>
      </c>
      <c r="K28" s="130"/>
      <c r="O28" s="131"/>
      <c r="Q28" s="130"/>
      <c r="U28" s="131"/>
      <c r="W28" s="130"/>
      <c r="AA28" s="131"/>
      <c r="AB28" s="123"/>
    </row>
    <row r="29" spans="1:30" s="48" customFormat="1" ht="15" customHeight="1" x14ac:dyDescent="0.25">
      <c r="A29" s="47"/>
      <c r="B29" s="119"/>
      <c r="C29" s="179" t="s">
        <v>206</v>
      </c>
      <c r="D29" s="141"/>
      <c r="E29" s="206"/>
      <c r="F29" s="242"/>
      <c r="G29" s="206"/>
      <c r="H29" s="213"/>
      <c r="I29" s="207"/>
      <c r="K29" s="130"/>
      <c r="O29" s="131"/>
      <c r="Q29" s="130"/>
      <c r="U29" s="131"/>
      <c r="W29" s="130"/>
      <c r="AA29" s="131"/>
      <c r="AB29" s="123"/>
    </row>
    <row r="30" spans="1:30" s="48" customFormat="1" ht="15" customHeight="1" x14ac:dyDescent="0.25">
      <c r="A30" s="47"/>
      <c r="B30" s="119"/>
      <c r="C30" s="153" t="s">
        <v>40</v>
      </c>
      <c r="D30" s="115">
        <v>19</v>
      </c>
      <c r="E30" s="105">
        <v>-0.17336204711951556</v>
      </c>
      <c r="F30" s="105">
        <v>1.1011751630748867E-2</v>
      </c>
      <c r="G30" s="105">
        <v>6.4439502477226893E-2</v>
      </c>
      <c r="H30" s="105">
        <v>8.2336561497378131E-3</v>
      </c>
      <c r="I30" s="103">
        <v>4.0900191547538725E-2</v>
      </c>
      <c r="K30" s="130"/>
      <c r="O30" s="131"/>
      <c r="Q30" s="130"/>
      <c r="U30" s="131"/>
      <c r="W30" s="130"/>
      <c r="AA30" s="131"/>
      <c r="AB30" s="123"/>
    </row>
    <row r="31" spans="1:30" s="48" customFormat="1" ht="15" customHeight="1" x14ac:dyDescent="0.25">
      <c r="A31" s="47"/>
      <c r="B31" s="119"/>
      <c r="C31" s="152" t="s">
        <v>31</v>
      </c>
      <c r="D31" s="116">
        <v>20</v>
      </c>
      <c r="E31" s="102">
        <v>-7.1836932196846046E-2</v>
      </c>
      <c r="F31" s="102">
        <v>6.21989799374235E-3</v>
      </c>
      <c r="G31" s="102">
        <v>4.0167343904976734E-2</v>
      </c>
      <c r="H31" s="102">
        <v>6.2130508756607266E-3</v>
      </c>
      <c r="I31" s="104">
        <v>4.2596076571481907E-2</v>
      </c>
      <c r="K31" s="130"/>
      <c r="O31" s="131"/>
      <c r="Q31" s="130"/>
      <c r="U31" s="131"/>
      <c r="W31" s="130"/>
      <c r="AA31" s="131"/>
      <c r="AB31" s="123"/>
    </row>
    <row r="32" spans="1:30" s="48" customFormat="1" ht="15" customHeight="1" x14ac:dyDescent="0.25">
      <c r="A32" s="47"/>
      <c r="B32" s="119"/>
      <c r="C32" s="153" t="s">
        <v>39</v>
      </c>
      <c r="D32" s="115">
        <v>21</v>
      </c>
      <c r="E32" s="105">
        <v>-3.5938481318782481E-2</v>
      </c>
      <c r="F32" s="105">
        <v>2.9146638680522547E-3</v>
      </c>
      <c r="G32" s="105">
        <v>1.7368641378484945E-2</v>
      </c>
      <c r="H32" s="105">
        <v>2.8333674582736884E-3</v>
      </c>
      <c r="I32" s="103">
        <v>1.740313029890117E-2</v>
      </c>
      <c r="K32" s="130"/>
      <c r="O32" s="131"/>
      <c r="Q32" s="130"/>
      <c r="U32" s="131"/>
      <c r="W32" s="130"/>
      <c r="AA32" s="131"/>
      <c r="AB32" s="123"/>
    </row>
    <row r="33" spans="1:28" s="48" customFormat="1" ht="15" customHeight="1" x14ac:dyDescent="0.25">
      <c r="A33" s="47"/>
      <c r="B33" s="119"/>
      <c r="C33" s="152" t="s">
        <v>204</v>
      </c>
      <c r="D33" s="116">
        <v>22</v>
      </c>
      <c r="E33" s="102">
        <v>-1.0609645519875133E-2</v>
      </c>
      <c r="F33" s="102">
        <v>2.3424297669871978E-2</v>
      </c>
      <c r="G33" s="102">
        <v>2.9155936030798978E-2</v>
      </c>
      <c r="H33" s="102">
        <v>9.0087941975654839E-2</v>
      </c>
      <c r="I33" s="102">
        <v>0.11326798740353242</v>
      </c>
      <c r="K33" s="130"/>
      <c r="O33" s="131"/>
      <c r="Q33" s="130"/>
      <c r="U33" s="131"/>
      <c r="W33" s="130"/>
      <c r="AA33" s="131"/>
      <c r="AB33" s="123"/>
    </row>
    <row r="34" spans="1:28" s="48" customFormat="1" ht="15" customHeight="1" x14ac:dyDescent="0.25">
      <c r="A34" s="47"/>
      <c r="B34" s="119"/>
      <c r="C34" s="153" t="s">
        <v>41</v>
      </c>
      <c r="D34" s="115">
        <v>23</v>
      </c>
      <c r="E34" s="224">
        <v>359.46550717269037</v>
      </c>
      <c r="F34" s="224">
        <v>277.88724905588361</v>
      </c>
      <c r="G34" s="224">
        <v>269.38207180666899</v>
      </c>
      <c r="H34" s="224">
        <v>221.74693784847031</v>
      </c>
      <c r="I34" s="225">
        <v>278.92373605105712</v>
      </c>
      <c r="K34" s="130"/>
      <c r="O34" s="131"/>
      <c r="Q34" s="130"/>
      <c r="U34" s="131"/>
      <c r="W34" s="130"/>
      <c r="AA34" s="131"/>
      <c r="AB34" s="123"/>
    </row>
    <row r="35" spans="1:28" s="48" customFormat="1" ht="15" customHeight="1" x14ac:dyDescent="0.25">
      <c r="A35" s="47"/>
      <c r="B35" s="119"/>
      <c r="C35" s="152" t="s">
        <v>42</v>
      </c>
      <c r="D35" s="116">
        <v>24</v>
      </c>
      <c r="E35" s="226">
        <v>456.09300584478751</v>
      </c>
      <c r="F35" s="226">
        <v>351.13393183637356</v>
      </c>
      <c r="G35" s="226">
        <v>327.65401239350831</v>
      </c>
      <c r="H35" s="226">
        <v>299.44794457690057</v>
      </c>
      <c r="I35" s="227">
        <v>281.9913003116443</v>
      </c>
      <c r="K35" s="130"/>
      <c r="O35" s="131"/>
      <c r="Q35" s="130"/>
      <c r="U35" s="131"/>
      <c r="W35" s="130"/>
      <c r="AA35" s="131"/>
      <c r="AB35" s="123"/>
    </row>
    <row r="36" spans="1:28" s="48" customFormat="1" ht="15" customHeight="1" x14ac:dyDescent="0.25">
      <c r="A36" s="47"/>
      <c r="B36" s="119"/>
      <c r="C36" s="153" t="s">
        <v>205</v>
      </c>
      <c r="D36" s="115">
        <v>25</v>
      </c>
      <c r="E36" s="222">
        <v>0.20730283692546742</v>
      </c>
      <c r="F36" s="223">
        <v>0.26468666982221339</v>
      </c>
      <c r="G36" s="223">
        <v>0.26953407010898733</v>
      </c>
      <c r="H36" s="223">
        <v>0.34412020695925405</v>
      </c>
      <c r="I36" s="140">
        <v>0.42550241552471696</v>
      </c>
      <c r="K36" s="12" t="s">
        <v>40</v>
      </c>
      <c r="L36" s="11"/>
      <c r="M36" s="11"/>
      <c r="N36" s="11"/>
      <c r="O36" s="10"/>
      <c r="Q36" s="12" t="s">
        <v>146</v>
      </c>
      <c r="R36" s="11"/>
      <c r="S36" s="11"/>
      <c r="T36" s="11"/>
      <c r="U36" s="10"/>
      <c r="W36" s="12" t="s">
        <v>39</v>
      </c>
      <c r="X36" s="11"/>
      <c r="Y36" s="11"/>
      <c r="Z36" s="11"/>
      <c r="AA36" s="10"/>
      <c r="AB36" s="123"/>
    </row>
    <row r="37" spans="1:28" s="48" customFormat="1" ht="15" customHeight="1" x14ac:dyDescent="0.25">
      <c r="A37" s="47"/>
      <c r="B37" s="119"/>
      <c r="C37" s="179" t="s">
        <v>208</v>
      </c>
      <c r="D37" s="178"/>
      <c r="E37" s="40">
        <v>2020</v>
      </c>
      <c r="F37" s="40">
        <v>2021</v>
      </c>
      <c r="G37" s="40">
        <v>2022</v>
      </c>
      <c r="H37" s="40">
        <v>2023</v>
      </c>
      <c r="I37" s="40">
        <v>2024</v>
      </c>
      <c r="K37" s="39" t="s">
        <v>153</v>
      </c>
      <c r="L37" s="120">
        <v>2021</v>
      </c>
      <c r="M37" s="120">
        <v>2022</v>
      </c>
      <c r="N37" s="120">
        <v>2023</v>
      </c>
      <c r="O37" s="121">
        <v>2024</v>
      </c>
      <c r="Q37" s="39" t="s">
        <v>153</v>
      </c>
      <c r="R37" s="120">
        <v>2021</v>
      </c>
      <c r="S37" s="120">
        <v>2022</v>
      </c>
      <c r="T37" s="120">
        <v>2023</v>
      </c>
      <c r="U37" s="121">
        <v>2024</v>
      </c>
      <c r="W37" s="39" t="s">
        <v>153</v>
      </c>
      <c r="X37" s="120">
        <v>2021</v>
      </c>
      <c r="Y37" s="120">
        <v>2022</v>
      </c>
      <c r="Z37" s="120">
        <v>2023</v>
      </c>
      <c r="AA37" s="121">
        <v>2024</v>
      </c>
      <c r="AB37" s="123"/>
    </row>
    <row r="38" spans="1:28" s="48" customFormat="1" ht="15" customHeight="1" x14ac:dyDescent="0.25">
      <c r="A38" s="47"/>
      <c r="B38" s="119"/>
      <c r="C38" s="153" t="s">
        <v>53</v>
      </c>
      <c r="D38" s="115">
        <v>26</v>
      </c>
      <c r="E38" s="159">
        <v>0.24305915310937126</v>
      </c>
      <c r="F38" s="159">
        <v>2.5406224825912331</v>
      </c>
      <c r="G38" s="159">
        <v>0.90662758714014491</v>
      </c>
      <c r="H38" s="159">
        <v>5.0488189603991742</v>
      </c>
      <c r="I38" s="160">
        <v>2.0674926385679018</v>
      </c>
      <c r="K38" s="130"/>
      <c r="O38" s="131"/>
      <c r="Q38" s="130"/>
      <c r="U38" s="131"/>
      <c r="W38" s="130"/>
      <c r="AA38" s="142"/>
      <c r="AB38" s="123"/>
    </row>
    <row r="39" spans="1:28" s="48" customFormat="1" ht="15" customHeight="1" x14ac:dyDescent="0.25">
      <c r="A39" s="47"/>
      <c r="B39" s="119"/>
      <c r="C39" s="152" t="s">
        <v>54</v>
      </c>
      <c r="D39" s="116">
        <v>27</v>
      </c>
      <c r="E39" s="161">
        <v>-0.51955302882469767</v>
      </c>
      <c r="F39" s="161">
        <v>0.88054910230564165</v>
      </c>
      <c r="G39" s="161">
        <v>0.65835063878077982</v>
      </c>
      <c r="H39" s="161">
        <v>2.6587103966842602</v>
      </c>
      <c r="I39" s="162">
        <v>2.7164878679084388</v>
      </c>
      <c r="K39" s="130"/>
      <c r="O39" s="131"/>
      <c r="Q39" s="130"/>
      <c r="U39" s="131"/>
      <c r="W39" s="130"/>
      <c r="AA39" s="142"/>
      <c r="AB39" s="123"/>
    </row>
    <row r="40" spans="1:28" s="48" customFormat="1" ht="15" customHeight="1" x14ac:dyDescent="0.25">
      <c r="A40" s="47"/>
      <c r="B40" s="119"/>
      <c r="C40" s="153" t="s">
        <v>207</v>
      </c>
      <c r="D40" s="232">
        <v>28</v>
      </c>
      <c r="E40" s="105">
        <v>0.66609698012527085</v>
      </c>
      <c r="F40" s="105">
        <v>0.6623681678872585</v>
      </c>
      <c r="G40" s="105">
        <v>0.65613786851067957</v>
      </c>
      <c r="H40" s="105">
        <v>0.68605071587571409</v>
      </c>
      <c r="I40" s="103">
        <v>0.67110000000000003</v>
      </c>
      <c r="J40" s="132"/>
      <c r="K40" s="130"/>
      <c r="O40" s="131"/>
      <c r="Q40" s="130"/>
      <c r="U40" s="131"/>
      <c r="W40" s="130"/>
      <c r="AA40" s="142"/>
      <c r="AB40" s="123"/>
    </row>
    <row r="41" spans="1:28" s="48" customFormat="1" ht="15" customHeight="1" x14ac:dyDescent="0.25">
      <c r="A41" s="47"/>
      <c r="B41" s="119"/>
      <c r="C41" s="179" t="s">
        <v>203</v>
      </c>
      <c r="D41" s="233"/>
      <c r="E41" s="108"/>
      <c r="F41" s="108"/>
      <c r="G41" s="108"/>
      <c r="H41" s="108"/>
      <c r="I41" s="227"/>
      <c r="K41" s="130"/>
      <c r="O41" s="131"/>
      <c r="Q41" s="130"/>
      <c r="U41" s="131"/>
      <c r="W41" s="130"/>
      <c r="AA41" s="142"/>
      <c r="AB41" s="123"/>
    </row>
    <row r="42" spans="1:28" s="48" customFormat="1" ht="15" customHeight="1" x14ac:dyDescent="0.25">
      <c r="A42" s="47"/>
      <c r="B42" s="119"/>
      <c r="C42" s="153" t="s">
        <v>128</v>
      </c>
      <c r="D42" s="115">
        <v>29</v>
      </c>
      <c r="E42" s="236">
        <v>179019.73947038036</v>
      </c>
      <c r="F42" s="230">
        <v>34977.51601587981</v>
      </c>
      <c r="G42" s="230">
        <v>310844.96166786039</v>
      </c>
      <c r="H42" s="230">
        <v>777548.76645720005</v>
      </c>
      <c r="I42" s="230">
        <v>757518.63110159989</v>
      </c>
      <c r="K42" s="130"/>
      <c r="O42" s="131"/>
      <c r="Q42" s="130"/>
      <c r="U42" s="131"/>
      <c r="W42" s="130"/>
      <c r="AA42" s="142"/>
      <c r="AB42" s="123"/>
    </row>
    <row r="43" spans="1:28" s="48" customFormat="1" ht="15" customHeight="1" x14ac:dyDescent="0.25">
      <c r="A43" s="47"/>
      <c r="B43" s="119"/>
      <c r="C43" s="154" t="s">
        <v>129</v>
      </c>
      <c r="D43" s="116">
        <v>30</v>
      </c>
      <c r="E43" s="237">
        <v>258973.72715510987</v>
      </c>
      <c r="F43" s="231">
        <v>115405.03035114054</v>
      </c>
      <c r="G43" s="231">
        <v>288333.52685258002</v>
      </c>
      <c r="H43" s="231">
        <v>342569.75168549991</v>
      </c>
      <c r="I43" s="231">
        <v>646457.15495348955</v>
      </c>
      <c r="K43" s="130"/>
      <c r="O43" s="131"/>
      <c r="Q43" s="130"/>
      <c r="U43" s="131"/>
      <c r="W43" s="130"/>
      <c r="AA43" s="142"/>
      <c r="AB43" s="123"/>
    </row>
    <row r="44" spans="1:28" s="48" customFormat="1" ht="15" customHeight="1" x14ac:dyDescent="0.25">
      <c r="A44" s="47"/>
      <c r="B44" s="119"/>
      <c r="C44" s="153" t="s">
        <v>130</v>
      </c>
      <c r="D44" s="115">
        <v>31</v>
      </c>
      <c r="E44" s="230">
        <v>-79953.987686419627</v>
      </c>
      <c r="F44" s="230">
        <v>-80427.515997499926</v>
      </c>
      <c r="G44" s="230">
        <v>22511.434815289686</v>
      </c>
      <c r="H44" s="230">
        <v>434979.01477170037</v>
      </c>
      <c r="I44" s="230">
        <v>111061.47614810895</v>
      </c>
      <c r="K44" s="130"/>
      <c r="O44" s="131"/>
      <c r="Q44" s="130"/>
      <c r="U44" s="131"/>
      <c r="W44" s="130"/>
      <c r="AA44" s="142"/>
      <c r="AB44" s="123"/>
    </row>
    <row r="45" spans="1:28" s="48" customFormat="1" ht="15" customHeight="1" x14ac:dyDescent="0.25">
      <c r="A45" s="47"/>
      <c r="B45" s="119"/>
      <c r="C45" s="152" t="s">
        <v>199</v>
      </c>
      <c r="D45" s="116">
        <v>32</v>
      </c>
      <c r="E45" s="231">
        <v>-55692.994327390217</v>
      </c>
      <c r="F45" s="231">
        <v>184652.62454909016</v>
      </c>
      <c r="G45" s="231">
        <v>98769.0090881699</v>
      </c>
      <c r="H45" s="231">
        <v>521337.44635902019</v>
      </c>
      <c r="I45" s="231">
        <v>662494.37620576983</v>
      </c>
      <c r="K45" s="130"/>
      <c r="O45" s="131"/>
      <c r="Q45" s="130"/>
      <c r="U45" s="131"/>
      <c r="W45" s="130"/>
      <c r="AA45" s="142"/>
      <c r="AB45" s="123"/>
    </row>
    <row r="46" spans="1:28" s="48" customFormat="1" ht="15" customHeight="1" x14ac:dyDescent="0.25">
      <c r="A46" s="47"/>
      <c r="B46" s="119"/>
      <c r="C46" s="153" t="s">
        <v>200</v>
      </c>
      <c r="D46" s="115">
        <v>33</v>
      </c>
      <c r="E46" s="230">
        <v>-4434.9599815300899</v>
      </c>
      <c r="F46" s="230">
        <v>117015.2201355499</v>
      </c>
      <c r="G46" s="230">
        <v>89831.995987810078</v>
      </c>
      <c r="H46" s="230">
        <v>400442.6444087401</v>
      </c>
      <c r="I46" s="230">
        <v>619146.19925983972</v>
      </c>
      <c r="K46" s="130"/>
      <c r="O46" s="131"/>
      <c r="Q46" s="130"/>
      <c r="U46" s="131"/>
      <c r="W46" s="130"/>
      <c r="AA46" s="142"/>
      <c r="AB46" s="123"/>
    </row>
    <row r="47" spans="1:28" s="48" customFormat="1" ht="15" customHeight="1" thickBot="1" x14ac:dyDescent="0.3">
      <c r="A47" s="47"/>
      <c r="B47" s="119"/>
      <c r="C47" s="152" t="s">
        <v>188</v>
      </c>
      <c r="D47" s="228">
        <v>34</v>
      </c>
      <c r="E47" s="238">
        <v>-11052.226495499955</v>
      </c>
      <c r="F47" s="229">
        <v>118759.06303774001</v>
      </c>
      <c r="G47" s="229">
        <v>50140.086456429999</v>
      </c>
      <c r="H47" s="229">
        <v>-47268.280638969984</v>
      </c>
      <c r="I47" s="229">
        <v>74083.145781900006</v>
      </c>
      <c r="K47" s="130"/>
      <c r="O47" s="131"/>
      <c r="Q47" s="130"/>
      <c r="U47" s="131"/>
      <c r="W47" s="130"/>
      <c r="AA47" s="142"/>
      <c r="AB47" s="123"/>
    </row>
    <row r="48" spans="1:28" s="48" customFormat="1" ht="15" customHeight="1" x14ac:dyDescent="0.25">
      <c r="A48" s="47"/>
      <c r="B48" s="119"/>
      <c r="C48" s="179" t="s">
        <v>56</v>
      </c>
      <c r="D48" s="197"/>
      <c r="E48" s="197"/>
      <c r="F48" s="197"/>
      <c r="G48" s="197"/>
      <c r="H48" s="197"/>
      <c r="I48" s="198"/>
      <c r="K48" s="130"/>
      <c r="O48" s="131"/>
      <c r="Q48" s="130"/>
      <c r="U48" s="131"/>
      <c r="W48" s="130"/>
      <c r="AA48" s="142"/>
      <c r="AB48" s="123"/>
    </row>
    <row r="49" spans="1:28" s="48" customFormat="1" ht="15" customHeight="1" x14ac:dyDescent="0.25">
      <c r="A49" s="47"/>
      <c r="B49" s="119"/>
      <c r="C49" s="152" t="s">
        <v>196</v>
      </c>
      <c r="D49" s="210">
        <v>35</v>
      </c>
      <c r="E49" s="175">
        <v>1529110.6529358299</v>
      </c>
      <c r="F49" s="175">
        <v>1448683.1386005692</v>
      </c>
      <c r="G49" s="175">
        <v>1471194.5734158496</v>
      </c>
      <c r="H49" s="175">
        <v>1906173.5881875497</v>
      </c>
      <c r="I49" s="175">
        <v>2017235.0643356601</v>
      </c>
      <c r="K49" s="130"/>
      <c r="O49" s="131"/>
      <c r="Q49" s="130"/>
      <c r="U49" s="131"/>
      <c r="W49" s="130"/>
      <c r="AA49" s="142"/>
      <c r="AB49" s="123"/>
    </row>
    <row r="50" spans="1:28" s="48" customFormat="1" ht="15" customHeight="1" x14ac:dyDescent="0.25">
      <c r="A50" s="47"/>
      <c r="B50" s="119"/>
      <c r="C50" s="153" t="s">
        <v>197</v>
      </c>
      <c r="D50" s="209">
        <v>36</v>
      </c>
      <c r="E50" s="174" t="s">
        <v>202</v>
      </c>
      <c r="F50" s="174" t="s">
        <v>202</v>
      </c>
      <c r="G50" s="174" t="s">
        <v>202</v>
      </c>
      <c r="H50" s="174" t="s">
        <v>202</v>
      </c>
      <c r="I50" s="174" t="s">
        <v>202</v>
      </c>
      <c r="K50" s="12" t="s">
        <v>221</v>
      </c>
      <c r="L50" s="11"/>
      <c r="M50" s="11"/>
      <c r="N50" s="11"/>
      <c r="O50" s="10"/>
      <c r="Q50" s="12" t="s">
        <v>147</v>
      </c>
      <c r="R50" s="11"/>
      <c r="S50" s="11"/>
      <c r="T50" s="11"/>
      <c r="U50" s="10"/>
      <c r="W50" s="12" t="s">
        <v>148</v>
      </c>
      <c r="X50" s="11"/>
      <c r="Y50" s="11"/>
      <c r="Z50" s="11"/>
      <c r="AA50" s="10"/>
      <c r="AB50" s="123"/>
    </row>
    <row r="51" spans="1:28" s="48" customFormat="1" ht="15" customHeight="1" x14ac:dyDescent="0.25">
      <c r="A51" s="47"/>
      <c r="B51" s="119"/>
      <c r="C51" s="179" t="s">
        <v>55</v>
      </c>
      <c r="D51" s="178"/>
      <c r="E51" s="40">
        <v>2020</v>
      </c>
      <c r="F51" s="40">
        <v>2021</v>
      </c>
      <c r="G51" s="40">
        <v>2022</v>
      </c>
      <c r="H51" s="40">
        <v>2023</v>
      </c>
      <c r="I51" s="40">
        <v>2024</v>
      </c>
      <c r="K51" s="39" t="s">
        <v>153</v>
      </c>
      <c r="L51" s="120">
        <v>2021</v>
      </c>
      <c r="M51" s="120">
        <v>2022</v>
      </c>
      <c r="N51" s="120">
        <v>2023</v>
      </c>
      <c r="O51" s="121">
        <v>2024</v>
      </c>
      <c r="Q51" s="39" t="s">
        <v>153</v>
      </c>
      <c r="R51" s="120">
        <v>2021</v>
      </c>
      <c r="S51" s="120">
        <v>2022</v>
      </c>
      <c r="T51" s="120">
        <v>2023</v>
      </c>
      <c r="U51" s="121">
        <v>2024</v>
      </c>
      <c r="W51" s="39" t="s">
        <v>153</v>
      </c>
      <c r="X51" s="120">
        <v>2021</v>
      </c>
      <c r="Y51" s="120">
        <v>2022</v>
      </c>
      <c r="Z51" s="120">
        <v>2023</v>
      </c>
      <c r="AA51" s="121">
        <v>2024</v>
      </c>
      <c r="AB51" s="123"/>
    </row>
    <row r="52" spans="1:28" s="48" customFormat="1" ht="15" customHeight="1" x14ac:dyDescent="0.25">
      <c r="A52" s="47"/>
      <c r="B52" s="119"/>
      <c r="C52" s="152" t="s">
        <v>177</v>
      </c>
      <c r="D52" s="116">
        <v>37</v>
      </c>
      <c r="E52" s="218">
        <v>0.50227783471153076</v>
      </c>
      <c r="F52" s="219">
        <v>0.54661689137408009</v>
      </c>
      <c r="G52" s="219">
        <v>0.54740053921892851</v>
      </c>
      <c r="H52" s="219">
        <v>0.60105226312740112</v>
      </c>
      <c r="I52" s="219">
        <v>0.57422640117316481</v>
      </c>
      <c r="K52" s="130"/>
      <c r="O52" s="131"/>
      <c r="Q52" s="130"/>
      <c r="U52" s="131"/>
      <c r="W52" s="130"/>
      <c r="AA52" s="131"/>
      <c r="AB52" s="123"/>
    </row>
    <row r="53" spans="1:28" s="48" customFormat="1" ht="15" customHeight="1" x14ac:dyDescent="0.25">
      <c r="A53" s="47"/>
      <c r="B53" s="119"/>
      <c r="C53" s="153" t="s">
        <v>139</v>
      </c>
      <c r="D53" s="115">
        <v>38</v>
      </c>
      <c r="E53" s="234"/>
      <c r="F53" s="235"/>
      <c r="G53" s="235"/>
      <c r="H53" s="235"/>
      <c r="I53" s="235"/>
      <c r="K53" s="130"/>
      <c r="O53" s="131"/>
      <c r="Q53" s="130"/>
      <c r="U53" s="131"/>
      <c r="W53" s="130"/>
      <c r="AA53" s="131"/>
      <c r="AB53" s="123"/>
    </row>
    <row r="54" spans="1:28" s="48" customFormat="1" ht="15" customHeight="1" x14ac:dyDescent="0.25">
      <c r="A54" s="47"/>
      <c r="B54" s="119"/>
      <c r="C54" s="152" t="s">
        <v>48</v>
      </c>
      <c r="D54" s="116">
        <v>39</v>
      </c>
      <c r="E54" s="218">
        <v>0.79261862212871026</v>
      </c>
      <c r="F54" s="218">
        <v>0.82827058643959273</v>
      </c>
      <c r="G54" s="219">
        <v>0.8563047628947571</v>
      </c>
      <c r="H54" s="219">
        <v>0.83463658984016453</v>
      </c>
      <c r="I54" s="219">
        <v>0.88596036793220012</v>
      </c>
      <c r="K54" s="130"/>
      <c r="O54" s="131"/>
      <c r="Q54" s="130"/>
      <c r="U54" s="131"/>
      <c r="W54" s="130"/>
      <c r="AA54" s="131"/>
      <c r="AB54" s="123"/>
    </row>
    <row r="55" spans="1:28" s="48" customFormat="1" ht="15" customHeight="1" x14ac:dyDescent="0.25">
      <c r="A55" s="47"/>
      <c r="B55" s="119"/>
      <c r="C55" s="153" t="s">
        <v>49</v>
      </c>
      <c r="D55" s="115">
        <v>40</v>
      </c>
      <c r="E55" s="220">
        <v>0.12726371111835738</v>
      </c>
      <c r="F55" s="220">
        <v>0.11721714136027207</v>
      </c>
      <c r="G55" s="221">
        <v>9.2448752662323871E-2</v>
      </c>
      <c r="H55" s="221">
        <v>0.11274376523387976</v>
      </c>
      <c r="I55" s="221">
        <v>7.9211320337510882E-2</v>
      </c>
      <c r="K55" s="130"/>
      <c r="O55" s="131"/>
      <c r="Q55" s="130"/>
      <c r="U55" s="131"/>
      <c r="W55" s="130"/>
      <c r="AA55" s="131"/>
      <c r="AB55" s="123"/>
    </row>
    <row r="56" spans="1:28" s="48" customFormat="1" ht="15" customHeight="1" x14ac:dyDescent="0.25">
      <c r="A56" s="47"/>
      <c r="B56" s="119"/>
      <c r="C56" s="152" t="s">
        <v>50</v>
      </c>
      <c r="D56" s="116">
        <v>41</v>
      </c>
      <c r="E56" s="218">
        <v>7.0415314333263049E-2</v>
      </c>
      <c r="F56" s="218">
        <v>4.8226153663480167E-2</v>
      </c>
      <c r="G56" s="219">
        <v>4.6382133784893628E-2</v>
      </c>
      <c r="H56" s="219">
        <v>4.7669787306403512E-2</v>
      </c>
      <c r="I56" s="219">
        <v>3.1355364797287615E-2</v>
      </c>
      <c r="K56" s="130"/>
      <c r="O56" s="131"/>
      <c r="Q56" s="130"/>
      <c r="U56" s="131"/>
      <c r="W56" s="130"/>
      <c r="AA56" s="131"/>
      <c r="AB56" s="123"/>
    </row>
    <row r="57" spans="1:28" s="48" customFormat="1" ht="15" customHeight="1" thickBot="1" x14ac:dyDescent="0.3">
      <c r="A57" s="47"/>
      <c r="B57" s="119"/>
      <c r="C57" s="153" t="s">
        <v>51</v>
      </c>
      <c r="D57" s="115">
        <v>42</v>
      </c>
      <c r="E57" s="220">
        <v>9.7023524196693852E-3</v>
      </c>
      <c r="F57" s="220">
        <v>6.2861185366550609E-3</v>
      </c>
      <c r="G57" s="220">
        <v>4.8643506580255151E-3</v>
      </c>
      <c r="H57" s="220">
        <v>4.9498576195520887E-3</v>
      </c>
      <c r="I57" s="221">
        <v>3.4729469330014298E-3</v>
      </c>
      <c r="K57" s="130"/>
      <c r="O57" s="131"/>
      <c r="Q57" s="130"/>
      <c r="U57" s="131"/>
      <c r="W57" s="130"/>
      <c r="AA57" s="131"/>
      <c r="AB57" s="123"/>
    </row>
    <row r="58" spans="1:28" s="48" customFormat="1" ht="15" customHeight="1" x14ac:dyDescent="0.25">
      <c r="A58" s="47"/>
      <c r="B58" s="119"/>
      <c r="C58" s="179" t="s">
        <v>58</v>
      </c>
      <c r="D58" s="143"/>
      <c r="E58" s="143"/>
      <c r="F58" s="143"/>
      <c r="G58" s="143"/>
      <c r="H58" s="143"/>
      <c r="I58" s="143"/>
      <c r="K58" s="130"/>
      <c r="O58" s="131"/>
      <c r="Q58" s="130"/>
      <c r="U58" s="131"/>
      <c r="W58" s="130"/>
      <c r="AA58" s="131"/>
      <c r="AB58" s="123"/>
    </row>
    <row r="59" spans="1:28" s="48" customFormat="1" ht="15" customHeight="1" x14ac:dyDescent="0.25">
      <c r="A59" s="47"/>
      <c r="B59" s="119"/>
      <c r="C59" s="122"/>
      <c r="D59" s="122"/>
      <c r="E59" s="144"/>
      <c r="F59" s="144"/>
      <c r="G59" s="144"/>
      <c r="H59" s="144"/>
      <c r="I59" s="144"/>
      <c r="K59" s="130"/>
      <c r="O59" s="131"/>
      <c r="Q59" s="130"/>
      <c r="U59" s="131"/>
      <c r="W59" s="130"/>
      <c r="AA59" s="131"/>
      <c r="AB59" s="123"/>
    </row>
    <row r="60" spans="1:28" s="48" customFormat="1" ht="15" customHeight="1" x14ac:dyDescent="0.25">
      <c r="A60" s="47"/>
      <c r="B60" s="119"/>
      <c r="C60" s="155" t="s">
        <v>140</v>
      </c>
      <c r="D60" s="177">
        <v>43</v>
      </c>
      <c r="E60" s="196"/>
      <c r="F60" s="196"/>
      <c r="G60" s="196"/>
      <c r="H60" s="196"/>
      <c r="I60" s="196"/>
      <c r="K60" s="130"/>
      <c r="O60" s="131"/>
      <c r="Q60" s="130"/>
      <c r="U60" s="131"/>
      <c r="W60" s="130"/>
      <c r="AA60" s="131"/>
      <c r="AB60" s="123"/>
    </row>
    <row r="61" spans="1:28" s="48" customFormat="1" ht="15" customHeight="1" x14ac:dyDescent="0.25">
      <c r="A61" s="47"/>
      <c r="B61" s="119"/>
      <c r="C61" s="156" t="s">
        <v>141</v>
      </c>
      <c r="D61" s="176">
        <v>44</v>
      </c>
      <c r="E61" s="144"/>
      <c r="F61" s="144"/>
      <c r="G61" s="144"/>
      <c r="H61" s="144"/>
      <c r="I61" s="144"/>
      <c r="K61" s="130"/>
      <c r="O61" s="131"/>
      <c r="Q61" s="130"/>
      <c r="U61" s="131"/>
      <c r="W61" s="130"/>
      <c r="AA61" s="131"/>
      <c r="AB61" s="123"/>
    </row>
    <row r="62" spans="1:28" s="48" customFormat="1" ht="15" customHeight="1" x14ac:dyDescent="0.25">
      <c r="A62" s="47"/>
      <c r="B62" s="119"/>
      <c r="C62" s="157" t="s">
        <v>173</v>
      </c>
      <c r="D62" s="177">
        <v>45</v>
      </c>
      <c r="E62" s="144"/>
      <c r="F62" s="144"/>
      <c r="G62" s="144"/>
      <c r="H62" s="144"/>
      <c r="I62" s="144"/>
      <c r="K62" s="130"/>
      <c r="O62" s="131"/>
      <c r="Q62" s="130"/>
      <c r="U62" s="131"/>
      <c r="W62" s="130"/>
      <c r="AA62" s="131"/>
      <c r="AB62" s="123"/>
    </row>
    <row r="63" spans="1:28" s="48" customFormat="1" ht="15" customHeight="1" x14ac:dyDescent="0.25">
      <c r="A63" s="47"/>
      <c r="B63" s="119"/>
      <c r="C63" s="158" t="s">
        <v>142</v>
      </c>
      <c r="D63" s="176">
        <v>46</v>
      </c>
      <c r="E63" s="144"/>
      <c r="F63" s="144"/>
      <c r="G63" s="144"/>
      <c r="H63" s="144"/>
      <c r="I63" s="144"/>
      <c r="K63" s="133"/>
      <c r="L63" s="134"/>
      <c r="M63" s="134"/>
      <c r="N63" s="134"/>
      <c r="O63" s="135"/>
      <c r="P63" s="145"/>
      <c r="Q63" s="133"/>
      <c r="R63" s="134"/>
      <c r="S63" s="134"/>
      <c r="T63" s="134"/>
      <c r="U63" s="135"/>
      <c r="V63" s="145"/>
      <c r="W63" s="133"/>
      <c r="X63" s="134"/>
      <c r="Y63" s="134"/>
      <c r="Z63" s="134"/>
      <c r="AA63" s="135"/>
      <c r="AB63" s="123"/>
    </row>
    <row r="64" spans="1:28" s="48" customFormat="1" ht="15" customHeight="1" x14ac:dyDescent="0.25">
      <c r="A64" s="47"/>
      <c r="B64" s="119"/>
      <c r="D64" s="177"/>
      <c r="E64" s="144"/>
      <c r="F64" s="144"/>
      <c r="G64" s="144"/>
      <c r="H64" s="144"/>
      <c r="I64" s="144"/>
      <c r="K64" s="12" t="s">
        <v>149</v>
      </c>
      <c r="L64" s="11"/>
      <c r="M64" s="11"/>
      <c r="N64" s="11"/>
      <c r="O64" s="10"/>
      <c r="Q64" s="12" t="s">
        <v>222</v>
      </c>
      <c r="R64" s="11"/>
      <c r="S64" s="11"/>
      <c r="T64" s="11"/>
      <c r="U64" s="10"/>
      <c r="W64" s="12" t="s">
        <v>223</v>
      </c>
      <c r="X64" s="11"/>
      <c r="Y64" s="11"/>
      <c r="Z64" s="11"/>
      <c r="AA64" s="10"/>
      <c r="AB64" s="123"/>
    </row>
    <row r="65" spans="1:28" s="48" customFormat="1" ht="15" customHeight="1" thickBot="1" x14ac:dyDescent="0.3">
      <c r="A65" s="47"/>
      <c r="B65" s="119"/>
      <c r="C65" s="117" t="s">
        <v>176</v>
      </c>
      <c r="E65" s="146"/>
      <c r="F65" s="146"/>
      <c r="G65" s="146"/>
      <c r="H65" s="146"/>
      <c r="I65" s="146"/>
      <c r="K65" s="39" t="s">
        <v>153</v>
      </c>
      <c r="L65" s="120">
        <v>2021</v>
      </c>
      <c r="M65" s="120">
        <v>2022</v>
      </c>
      <c r="N65" s="120">
        <v>2023</v>
      </c>
      <c r="O65" s="121">
        <v>2024</v>
      </c>
      <c r="Q65" s="39" t="s">
        <v>153</v>
      </c>
      <c r="R65" s="120">
        <v>2021</v>
      </c>
      <c r="S65" s="120">
        <v>2022</v>
      </c>
      <c r="T65" s="120">
        <v>2023</v>
      </c>
      <c r="U65" s="121">
        <v>2024</v>
      </c>
      <c r="W65" s="39" t="s">
        <v>153</v>
      </c>
      <c r="X65" s="120">
        <v>2021</v>
      </c>
      <c r="Y65" s="120">
        <v>2022</v>
      </c>
      <c r="Z65" s="120">
        <v>2023</v>
      </c>
      <c r="AA65" s="121">
        <v>2024</v>
      </c>
      <c r="AB65" s="123"/>
    </row>
    <row r="66" spans="1:28" s="48" customFormat="1" ht="19.5" customHeight="1" x14ac:dyDescent="0.25">
      <c r="A66" s="47"/>
      <c r="B66" s="119"/>
      <c r="C66" s="167" t="s">
        <v>201</v>
      </c>
      <c r="D66" s="168"/>
      <c r="E66" s="168"/>
      <c r="F66" s="168"/>
      <c r="G66" s="168"/>
      <c r="H66" s="168"/>
      <c r="I66" s="168"/>
      <c r="K66" s="130"/>
      <c r="O66" s="131"/>
      <c r="Q66" s="130"/>
      <c r="U66" s="131"/>
      <c r="W66" s="130"/>
      <c r="AA66" s="131"/>
      <c r="AB66" s="123"/>
    </row>
    <row r="67" spans="1:28" s="48" customFormat="1" ht="15" customHeight="1" x14ac:dyDescent="0.25">
      <c r="A67" s="47"/>
      <c r="B67" s="119"/>
      <c r="C67" s="200" t="s">
        <v>195</v>
      </c>
      <c r="D67" s="201"/>
      <c r="E67" s="201"/>
      <c r="F67" s="201"/>
      <c r="G67" s="201"/>
      <c r="H67" s="201"/>
      <c r="I67" s="201"/>
      <c r="K67" s="130"/>
      <c r="O67" s="131"/>
      <c r="Q67" s="130"/>
      <c r="U67" s="131"/>
      <c r="W67" s="130"/>
      <c r="AA67" s="131"/>
      <c r="AB67" s="123"/>
    </row>
    <row r="68" spans="1:28" s="48" customFormat="1" ht="15" customHeight="1" x14ac:dyDescent="0.25">
      <c r="A68" s="47"/>
      <c r="B68" s="119"/>
      <c r="C68" s="202" t="s">
        <v>182</v>
      </c>
      <c r="D68" s="169"/>
      <c r="E68" s="169"/>
      <c r="F68" s="169"/>
      <c r="G68" s="169"/>
      <c r="H68" s="169"/>
      <c r="I68" s="169"/>
      <c r="K68" s="130"/>
      <c r="O68" s="131"/>
      <c r="Q68" s="130"/>
      <c r="U68" s="131"/>
      <c r="W68" s="130"/>
      <c r="AA68" s="131"/>
      <c r="AB68" s="123"/>
    </row>
    <row r="69" spans="1:28" s="48" customFormat="1" ht="15" customHeight="1" x14ac:dyDescent="0.25">
      <c r="A69" s="47"/>
      <c r="B69" s="119"/>
      <c r="C69" s="200" t="s">
        <v>183</v>
      </c>
      <c r="D69" s="203"/>
      <c r="E69" s="201"/>
      <c r="F69" s="201"/>
      <c r="G69" s="201"/>
      <c r="H69" s="201"/>
      <c r="I69" s="201"/>
      <c r="K69" s="130"/>
      <c r="O69" s="131"/>
      <c r="Q69" s="130"/>
      <c r="U69" s="131"/>
      <c r="W69" s="130"/>
      <c r="AA69" s="131"/>
      <c r="AB69" s="123"/>
    </row>
    <row r="70" spans="1:28" s="48" customFormat="1" ht="15" customHeight="1" x14ac:dyDescent="0.25">
      <c r="A70" s="47"/>
      <c r="B70" s="119"/>
      <c r="C70" s="202" t="s">
        <v>184</v>
      </c>
      <c r="D70" s="169"/>
      <c r="E70" s="169"/>
      <c r="F70" s="169"/>
      <c r="G70" s="169"/>
      <c r="H70" s="169"/>
      <c r="I70" s="169"/>
      <c r="K70" s="130"/>
      <c r="O70" s="131"/>
      <c r="Q70" s="130"/>
      <c r="U70" s="131"/>
      <c r="W70" s="130"/>
      <c r="AA70" s="131"/>
      <c r="AB70" s="123"/>
    </row>
    <row r="71" spans="1:28" s="48" customFormat="1" ht="15" customHeight="1" x14ac:dyDescent="0.25">
      <c r="A71" s="47"/>
      <c r="B71" s="119"/>
      <c r="C71" s="200" t="s">
        <v>185</v>
      </c>
      <c r="D71" s="201"/>
      <c r="E71" s="170"/>
      <c r="F71" s="170"/>
      <c r="G71" s="170"/>
      <c r="H71" s="171"/>
      <c r="I71" s="171"/>
      <c r="K71" s="130"/>
      <c r="O71" s="131"/>
      <c r="Q71" s="130"/>
      <c r="U71" s="131"/>
      <c r="W71" s="130"/>
      <c r="AA71" s="131"/>
      <c r="AB71" s="123"/>
    </row>
    <row r="72" spans="1:28" s="48" customFormat="1" ht="15" customHeight="1" x14ac:dyDescent="0.25">
      <c r="A72" s="47"/>
      <c r="B72" s="119"/>
      <c r="C72" s="202" t="s">
        <v>186</v>
      </c>
      <c r="D72" s="169"/>
      <c r="E72" s="169"/>
      <c r="F72" s="169"/>
      <c r="G72" s="169"/>
      <c r="H72" s="169"/>
      <c r="I72" s="169"/>
      <c r="K72" s="130"/>
      <c r="O72" s="131"/>
      <c r="Q72" s="130"/>
      <c r="U72" s="131"/>
      <c r="W72" s="130"/>
      <c r="AA72" s="131"/>
      <c r="AB72" s="123"/>
    </row>
    <row r="73" spans="1:28" s="48" customFormat="1" ht="15" customHeight="1" x14ac:dyDescent="0.25">
      <c r="A73" s="47"/>
      <c r="B73" s="119"/>
      <c r="C73" s="200" t="s">
        <v>187</v>
      </c>
      <c r="D73" s="201"/>
      <c r="E73" s="172"/>
      <c r="F73" s="172"/>
      <c r="G73" s="172"/>
      <c r="H73" s="173"/>
      <c r="I73" s="173"/>
      <c r="K73" s="130"/>
      <c r="O73" s="131"/>
      <c r="Q73" s="130"/>
      <c r="U73" s="131"/>
      <c r="W73" s="130"/>
      <c r="AA73" s="131"/>
      <c r="AB73" s="123"/>
    </row>
    <row r="74" spans="1:28" s="48" customFormat="1" ht="15" customHeight="1" x14ac:dyDescent="0.25">
      <c r="A74" s="47"/>
      <c r="B74" s="119"/>
      <c r="C74" s="6" t="s">
        <v>213</v>
      </c>
      <c r="D74" s="6"/>
      <c r="E74" s="6"/>
      <c r="F74" s="6"/>
      <c r="G74" s="6"/>
      <c r="H74" s="6"/>
      <c r="I74" s="6"/>
      <c r="K74" s="130"/>
      <c r="O74" s="131"/>
      <c r="Q74" s="130"/>
      <c r="U74" s="131"/>
      <c r="W74" s="130"/>
      <c r="AA74" s="131"/>
      <c r="AB74" s="123"/>
    </row>
    <row r="75" spans="1:28" s="48" customFormat="1" ht="15" customHeight="1" x14ac:dyDescent="0.25">
      <c r="A75" s="47"/>
      <c r="B75" s="119"/>
      <c r="C75" s="200" t="s">
        <v>209</v>
      </c>
      <c r="D75" s="201"/>
      <c r="E75" s="172"/>
      <c r="F75" s="172"/>
      <c r="G75" s="172"/>
      <c r="H75" s="173"/>
      <c r="I75" s="173"/>
      <c r="K75" s="130"/>
      <c r="O75" s="131"/>
      <c r="Q75" s="130"/>
      <c r="U75" s="131"/>
      <c r="W75" s="130"/>
      <c r="AA75" s="131"/>
      <c r="AB75" s="123"/>
    </row>
    <row r="76" spans="1:28" s="48" customFormat="1" ht="15" customHeight="1" x14ac:dyDescent="0.25">
      <c r="A76" s="47"/>
      <c r="B76" s="119"/>
      <c r="C76" s="7" t="s">
        <v>218</v>
      </c>
      <c r="D76" s="7"/>
      <c r="E76" s="7"/>
      <c r="F76" s="7"/>
      <c r="G76" s="7"/>
      <c r="H76" s="7"/>
      <c r="I76" s="7"/>
      <c r="K76" s="130"/>
      <c r="O76" s="131"/>
      <c r="Q76" s="130"/>
      <c r="U76" s="131"/>
      <c r="W76" s="130"/>
      <c r="AA76" s="131"/>
      <c r="AB76" s="123"/>
    </row>
    <row r="77" spans="1:28" s="48" customFormat="1" ht="15" customHeight="1" thickBot="1" x14ac:dyDescent="0.3">
      <c r="A77" s="47"/>
      <c r="B77" s="119"/>
      <c r="C77" s="204" t="s">
        <v>198</v>
      </c>
      <c r="D77" s="199"/>
      <c r="E77" s="199"/>
      <c r="F77" s="199"/>
      <c r="G77" s="199"/>
      <c r="H77" s="199"/>
      <c r="I77" s="199"/>
      <c r="K77" s="133"/>
      <c r="L77" s="134"/>
      <c r="M77" s="134"/>
      <c r="N77" s="134"/>
      <c r="O77" s="135"/>
      <c r="Q77" s="133"/>
      <c r="R77" s="134"/>
      <c r="S77" s="134"/>
      <c r="T77" s="134"/>
      <c r="U77" s="135"/>
      <c r="W77" s="133"/>
      <c r="X77" s="134"/>
      <c r="Y77" s="134"/>
      <c r="Z77" s="134"/>
      <c r="AA77" s="135"/>
      <c r="AB77" s="123"/>
    </row>
    <row r="78" spans="1:28" s="48" customFormat="1" ht="8.25" customHeight="1" thickBot="1" x14ac:dyDescent="0.3">
      <c r="A78" s="47"/>
      <c r="B78" s="147"/>
      <c r="C78" s="148"/>
      <c r="D78" s="148"/>
      <c r="E78" s="69"/>
      <c r="F78" s="69"/>
      <c r="G78" s="69"/>
      <c r="H78" s="69"/>
      <c r="I78" s="69"/>
      <c r="J78" s="149"/>
      <c r="K78" s="149"/>
      <c r="L78" s="149"/>
      <c r="M78" s="149"/>
      <c r="N78" s="149"/>
      <c r="O78" s="149"/>
      <c r="P78" s="149"/>
      <c r="Q78" s="149"/>
      <c r="R78" s="149"/>
      <c r="S78" s="149"/>
      <c r="T78" s="149"/>
      <c r="U78" s="149"/>
      <c r="V78" s="149"/>
      <c r="W78" s="149"/>
      <c r="X78" s="149"/>
      <c r="Y78" s="149"/>
      <c r="Z78" s="149"/>
      <c r="AA78" s="149"/>
      <c r="AB78" s="150"/>
    </row>
    <row r="79" spans="1:28" s="48" customFormat="1" x14ac:dyDescent="0.25">
      <c r="A79" s="47"/>
      <c r="B79" s="47"/>
      <c r="C79" s="151"/>
      <c r="D79" s="151"/>
      <c r="E79" s="146"/>
      <c r="F79" s="146"/>
      <c r="G79" s="146"/>
      <c r="H79" s="146"/>
      <c r="I79" s="146"/>
    </row>
    <row r="80" spans="1:28" s="48" customFormat="1" x14ac:dyDescent="0.25">
      <c r="A80" s="47"/>
      <c r="B80" s="47"/>
      <c r="E80" s="215"/>
      <c r="F80" s="215"/>
      <c r="G80" s="215"/>
      <c r="H80" s="215"/>
      <c r="I80" s="215"/>
    </row>
  </sheetData>
  <sheetProtection algorithmName="SHA-512" hashValue="GIs0Vt8CyIS8b/LazFYr/r2oJ5xjB3xb0maHMMwVfD9TyKTAzPNbzxEImfQiuJMIzumnYCO/H3GUwBASAxlbTA==" saltValue="4JlQvB278SLdyfIA3+bk9Q==" spinCount="100000" sheet="1" objects="1" scenarios="1" formatCells="0" formatColumns="0" formatRows="0" insertColumns="0" insertRows="0" insertHyperlinks="0" deleteColumns="0" deleteRows="0" sort="0" autoFilter="0" pivotTables="0"/>
  <mergeCells count="19">
    <mergeCell ref="E6:I6"/>
    <mergeCell ref="E7:I7"/>
    <mergeCell ref="C76:I76"/>
    <mergeCell ref="K7:O7"/>
    <mergeCell ref="K64:O64"/>
    <mergeCell ref="K50:O50"/>
    <mergeCell ref="C74:I74"/>
    <mergeCell ref="W64:AA64"/>
    <mergeCell ref="K36:O36"/>
    <mergeCell ref="W7:AA7"/>
    <mergeCell ref="K21:O21"/>
    <mergeCell ref="Q21:U21"/>
    <mergeCell ref="W21:AA21"/>
    <mergeCell ref="Q7:U7"/>
    <mergeCell ref="Q64:U64"/>
    <mergeCell ref="Q36:U36"/>
    <mergeCell ref="W36:AA36"/>
    <mergeCell ref="Q50:U50"/>
    <mergeCell ref="W50:AA50"/>
  </mergeCells>
  <conditionalFormatting sqref="E42:I47">
    <cfRule type="iconSet" priority="2">
      <iconSet iconSet="3ArrowsGray">
        <cfvo type="percent" val="0"/>
        <cfvo type="percent" val="33"/>
        <cfvo type="percent" val="67"/>
      </iconSet>
    </cfRule>
  </conditionalFormatting>
  <conditionalFormatting sqref="K6:O6">
    <cfRule type="dataBar" priority="7">
      <dataBar>
        <cfvo type="min"/>
        <cfvo type="max"/>
        <color rgb="FF638EC6"/>
      </dataBar>
      <extLst>
        <ext xmlns:x14="http://schemas.microsoft.com/office/spreadsheetml/2009/9/main" uri="{B025F937-C7B1-47D3-B67F-A62EFF666E3E}">
          <x14:id>{F4F78D40-A840-40A4-AD72-4FEF2E526C0E}</x14:id>
        </ext>
      </extLst>
    </cfRule>
  </conditionalFormatting>
  <dataValidations count="1">
    <dataValidation type="list" allowBlank="1" showInputMessage="1" showErrorMessage="1" promptTitle="Setor de atividade" sqref="C6:D6" xr:uid="{00000000-0002-0000-0100-000000000000}">
      <formula1>#REF!</formula1>
    </dataValidation>
  </dataValidations>
  <printOptions horizontalCentered="1"/>
  <pageMargins left="0" right="0" top="0" bottom="0" header="0" footer="0"/>
  <pageSetup paperSize="9" scale="49" orientation="landscape" r:id="rId1"/>
  <colBreaks count="2" manualBreakCount="2">
    <brk id="51" max="52" man="1"/>
    <brk id="337" max="1048575" man="1"/>
  </colBreaks>
  <customProperties>
    <customPr name="EpmWorksheetKeyString_GUID" r:id="rId2"/>
  </customProperties>
  <drawing r:id="rId3"/>
  <extLst>
    <ext xmlns:x14="http://schemas.microsoft.com/office/spreadsheetml/2009/9/main" uri="{78C0D931-6437-407d-A8EE-F0AAD7539E65}">
      <x14:conditionalFormattings>
        <x14:conditionalFormatting xmlns:xm="http://schemas.microsoft.com/office/excel/2006/main">
          <x14:cfRule type="iconSet" priority="1" id="{F1EE38E4-9447-4434-81C4-B9DD2DC148F2}">
            <x14:iconSet iconSet="3ArrowsGray" custom="1">
              <x14:cfvo type="percent">
                <xm:f>0</xm:f>
              </x14:cfvo>
              <x14:cfvo type="num">
                <xm:f>0</xm:f>
              </x14:cfvo>
              <x14:cfvo type="num">
                <xm:f>0</xm:f>
              </x14:cfvo>
              <x14:cfIcon iconSet="3ArrowsGray" iconId="0"/>
              <x14:cfIcon iconSet="3ArrowsGray" iconId="0"/>
              <x14:cfIcon iconSet="3ArrowsGray" iconId="2"/>
            </x14:iconSet>
          </x14:cfRule>
          <xm:sqref>E42:I47</xm:sqref>
        </x14:conditionalFormatting>
        <x14:conditionalFormatting xmlns:xm="http://schemas.microsoft.com/office/excel/2006/main">
          <x14:cfRule type="dataBar" id="{F4F78D40-A840-40A4-AD72-4FEF2E526C0E}">
            <x14:dataBar minLength="0" maxLength="100" gradient="0">
              <x14:cfvo type="autoMin"/>
              <x14:cfvo type="autoMax"/>
              <x14:negativeFillColor rgb="FFFF0000"/>
              <x14:axisColor rgb="FF000000"/>
            </x14:dataBar>
          </x14:cfRule>
          <xm:sqref>K6:O6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F9FC-344E-4BC9-B271-021D17062B73}">
  <sheetPr codeName="Folha14"/>
  <dimension ref="B1:V93"/>
  <sheetViews>
    <sheetView workbookViewId="0">
      <pane xSplit="3" ySplit="7" topLeftCell="D51" activePane="bottomRight" state="frozen"/>
      <selection pane="topRight" activeCell="D1" sqref="D1"/>
      <selection pane="bottomLeft" activeCell="A8" sqref="A8"/>
      <selection pane="bottomRight" activeCell="D64" sqref="D64"/>
    </sheetView>
  </sheetViews>
  <sheetFormatPr defaultColWidth="9.140625" defaultRowHeight="15" x14ac:dyDescent="0.25"/>
  <cols>
    <col min="1" max="1" width="2.85546875" customWidth="1"/>
    <col min="2" max="2" width="11.85546875" style="17" hidden="1" customWidth="1"/>
    <col min="3" max="3" width="44.5703125" customWidth="1"/>
    <col min="4" max="8" width="14.7109375" customWidth="1"/>
    <col min="9" max="9" width="2.42578125" style="71" customWidth="1"/>
    <col min="10" max="22" width="11.85546875" style="71" bestFit="1" customWidth="1"/>
  </cols>
  <sheetData>
    <row r="1" spans="2:8" x14ac:dyDescent="0.25">
      <c r="D1" s="216"/>
      <c r="E1" s="216"/>
      <c r="F1" s="216"/>
      <c r="G1" s="216"/>
      <c r="H1" s="216"/>
    </row>
    <row r="2" spans="2:8" ht="20.25" customHeight="1" x14ac:dyDescent="0.25">
      <c r="B2" s="72"/>
      <c r="C2" s="15" t="s">
        <v>45</v>
      </c>
      <c r="D2" s="243"/>
      <c r="E2" s="243"/>
      <c r="F2" s="243"/>
      <c r="G2" s="243"/>
      <c r="H2" s="243"/>
    </row>
    <row r="3" spans="2:8" ht="25.5" customHeight="1" x14ac:dyDescent="0.25">
      <c r="B3" s="73"/>
      <c r="C3" s="15" t="s">
        <v>169</v>
      </c>
      <c r="D3" s="243"/>
      <c r="E3" s="243"/>
      <c r="F3" s="243"/>
      <c r="G3" s="243"/>
      <c r="H3" s="243"/>
    </row>
    <row r="4" spans="2:8" s="71" customFormat="1" ht="5.25" customHeight="1" x14ac:dyDescent="0.25">
      <c r="B4" s="17"/>
    </row>
    <row r="5" spans="2:8" s="71" customFormat="1" ht="18" customHeight="1" x14ac:dyDescent="0.25">
      <c r="B5" s="74"/>
      <c r="C5" s="2" t="s">
        <v>167</v>
      </c>
      <c r="D5" s="9" t="s">
        <v>216</v>
      </c>
      <c r="E5" s="9"/>
      <c r="F5" s="9"/>
      <c r="G5" s="9"/>
      <c r="H5" s="9"/>
    </row>
    <row r="6" spans="2:8" s="71" customFormat="1" ht="17.100000000000001" customHeight="1" x14ac:dyDescent="0.25">
      <c r="C6" s="1"/>
      <c r="F6" s="244" t="s">
        <v>219</v>
      </c>
      <c r="G6" s="244"/>
      <c r="H6" s="244"/>
    </row>
    <row r="7" spans="2:8" s="80" customFormat="1" ht="17.100000000000001" customHeight="1" x14ac:dyDescent="0.25">
      <c r="B7" s="92"/>
      <c r="C7" s="16"/>
      <c r="D7" s="76">
        <v>2020</v>
      </c>
      <c r="E7" s="76">
        <v>2021</v>
      </c>
      <c r="F7" s="76">
        <v>2022</v>
      </c>
      <c r="G7" s="76">
        <v>2023</v>
      </c>
      <c r="H7" s="76">
        <v>2024</v>
      </c>
    </row>
    <row r="8" spans="2:8" s="80" customFormat="1" ht="17.100000000000001" customHeight="1" x14ac:dyDescent="0.25">
      <c r="C8" s="81" t="s">
        <v>6</v>
      </c>
      <c r="D8" s="82">
        <f>+D9+D15</f>
        <v>3056514.9356922698</v>
      </c>
      <c r="E8" s="82">
        <f>+E9+E15</f>
        <v>3091492.4517081496</v>
      </c>
      <c r="F8" s="82">
        <f>+F9+F15</f>
        <v>3402337.41337601</v>
      </c>
      <c r="G8" s="82">
        <f>+G9+G15</f>
        <v>4179886.1798332101</v>
      </c>
      <c r="H8" s="186">
        <f>+H9+H15</f>
        <v>4937404.81093481</v>
      </c>
    </row>
    <row r="9" spans="2:8" s="80" customFormat="1" ht="17.100000000000001" customHeight="1" x14ac:dyDescent="0.25">
      <c r="C9" s="97" t="s">
        <v>178</v>
      </c>
      <c r="D9" s="83">
        <f>+D10+D11+D12+D13+D14</f>
        <v>2099515.3551152698</v>
      </c>
      <c r="E9" s="83">
        <f t="shared" ref="E9:H9" si="0">+E10+E11+E12+E13+E14</f>
        <v>2087652.19943514</v>
      </c>
      <c r="F9" s="83">
        <f t="shared" si="0"/>
        <v>2255788.7784993602</v>
      </c>
      <c r="G9" s="83">
        <f t="shared" si="0"/>
        <v>2415557.91384752</v>
      </c>
      <c r="H9" s="187">
        <f t="shared" si="0"/>
        <v>2406556.2598922001</v>
      </c>
    </row>
    <row r="10" spans="2:8" s="80" customFormat="1" ht="17.100000000000001" customHeight="1" x14ac:dyDescent="0.25">
      <c r="C10" s="98" t="s">
        <v>211</v>
      </c>
      <c r="D10" s="84">
        <f>2012704.06211001</f>
        <v>2012704.0621100101</v>
      </c>
      <c r="E10" s="84">
        <v>1975868.3240116499</v>
      </c>
      <c r="F10" s="84">
        <v>1893965.6343105501</v>
      </c>
      <c r="G10" s="84">
        <v>1954924.6987610499</v>
      </c>
      <c r="H10" s="85">
        <v>1937558.2175115601</v>
      </c>
    </row>
    <row r="11" spans="2:8" s="80" customFormat="1" ht="17.100000000000001" customHeight="1" x14ac:dyDescent="0.25">
      <c r="C11" s="98" t="s">
        <v>7</v>
      </c>
      <c r="D11" s="84">
        <v>2644.8403384799994</v>
      </c>
      <c r="E11" s="84">
        <v>2552.1672170700003</v>
      </c>
      <c r="F11" s="84">
        <v>3536.7074716200004</v>
      </c>
      <c r="G11" s="85">
        <v>3896.7521296400005</v>
      </c>
      <c r="H11" s="85">
        <v>6949.1214070900005</v>
      </c>
    </row>
    <row r="12" spans="2:8" s="80" customFormat="1" ht="17.100000000000001" customHeight="1" x14ac:dyDescent="0.25">
      <c r="C12" s="98" t="s">
        <v>154</v>
      </c>
      <c r="D12" s="84">
        <v>1268.0537899999999</v>
      </c>
      <c r="E12" s="84">
        <v>2248.8684631399997</v>
      </c>
      <c r="F12" s="84">
        <v>52585.47245714</v>
      </c>
      <c r="G12" s="85">
        <v>54028.344544899999</v>
      </c>
      <c r="H12" s="85">
        <v>61612.722395140001</v>
      </c>
    </row>
    <row r="13" spans="2:8" s="80" customFormat="1" ht="17.100000000000001" customHeight="1" x14ac:dyDescent="0.25">
      <c r="C13" s="98" t="s">
        <v>8</v>
      </c>
      <c r="D13" s="84">
        <v>47929.15406162</v>
      </c>
      <c r="E13" s="84">
        <v>35261.013998930001</v>
      </c>
      <c r="F13" s="84">
        <v>286176.51995189994</v>
      </c>
      <c r="G13" s="85">
        <v>368526.69228819001</v>
      </c>
      <c r="H13" s="85">
        <v>366005.90395465004</v>
      </c>
    </row>
    <row r="14" spans="2:8" s="80" customFormat="1" ht="17.100000000000001" customHeight="1" x14ac:dyDescent="0.25">
      <c r="C14" s="98" t="s">
        <v>9</v>
      </c>
      <c r="D14" s="84">
        <v>34969.244815160004</v>
      </c>
      <c r="E14" s="84">
        <v>71721.82574434999</v>
      </c>
      <c r="F14" s="84">
        <v>19524.444308150003</v>
      </c>
      <c r="G14" s="85">
        <v>34181.426123739999</v>
      </c>
      <c r="H14" s="85">
        <v>34430.294623760004</v>
      </c>
    </row>
    <row r="15" spans="2:8" s="80" customFormat="1" ht="17.100000000000001" customHeight="1" x14ac:dyDescent="0.25">
      <c r="C15" s="97" t="s">
        <v>179</v>
      </c>
      <c r="D15" s="83">
        <f t="shared" ref="D15:H15" si="1">+D16+D17+D18+D19</f>
        <v>956999.58057700004</v>
      </c>
      <c r="E15" s="83">
        <f t="shared" si="1"/>
        <v>1003840.2522730097</v>
      </c>
      <c r="F15" s="83">
        <f t="shared" si="1"/>
        <v>1146548.6348766501</v>
      </c>
      <c r="G15" s="83">
        <f t="shared" si="1"/>
        <v>1764328.2659856898</v>
      </c>
      <c r="H15" s="187">
        <f t="shared" si="1"/>
        <v>2530848.5510426098</v>
      </c>
    </row>
    <row r="16" spans="2:8" s="80" customFormat="1" ht="17.100000000000001" customHeight="1" x14ac:dyDescent="0.25">
      <c r="C16" s="98" t="s">
        <v>192</v>
      </c>
      <c r="D16" s="84">
        <v>24675.234504749998</v>
      </c>
      <c r="E16" s="84">
        <v>28641.018512780003</v>
      </c>
      <c r="F16" s="84">
        <v>20556.227149480004</v>
      </c>
      <c r="G16" s="85">
        <v>40760.505178370004</v>
      </c>
      <c r="H16" s="85">
        <v>40602.190551580003</v>
      </c>
    </row>
    <row r="17" spans="3:8" s="80" customFormat="1" ht="17.100000000000001" customHeight="1" x14ac:dyDescent="0.25">
      <c r="C17" s="98" t="s">
        <v>10</v>
      </c>
      <c r="D17" s="84">
        <v>624016.57703922002</v>
      </c>
      <c r="E17" s="84">
        <v>622982.74120648985</v>
      </c>
      <c r="F17" s="84">
        <v>676810.16783615993</v>
      </c>
      <c r="G17" s="85">
        <v>873855.0455399499</v>
      </c>
      <c r="H17" s="85">
        <v>1605437.3963622099</v>
      </c>
    </row>
    <row r="18" spans="3:8" s="80" customFormat="1" ht="17.100000000000001" customHeight="1" x14ac:dyDescent="0.25">
      <c r="C18" s="98" t="s">
        <v>11</v>
      </c>
      <c r="D18" s="84">
        <v>229217.41693293003</v>
      </c>
      <c r="E18" s="84">
        <v>298808.54077602999</v>
      </c>
      <c r="F18" s="84">
        <v>322058.59944210004</v>
      </c>
      <c r="G18" s="85">
        <v>774457.35054068989</v>
      </c>
      <c r="H18" s="85">
        <v>800441.3652409499</v>
      </c>
    </row>
    <row r="19" spans="3:8" s="80" customFormat="1" ht="17.100000000000001" customHeight="1" x14ac:dyDescent="0.25">
      <c r="C19" s="98" t="s">
        <v>12</v>
      </c>
      <c r="D19" s="84">
        <v>79090.352100100004</v>
      </c>
      <c r="E19" s="84">
        <v>53407.951777709997</v>
      </c>
      <c r="F19" s="84">
        <v>127123.64044891001</v>
      </c>
      <c r="G19" s="85">
        <v>75255.364726680011</v>
      </c>
      <c r="H19" s="85">
        <v>84367.598887870015</v>
      </c>
    </row>
    <row r="20" spans="3:8" s="80" customFormat="1" ht="17.100000000000001" customHeight="1" x14ac:dyDescent="0.25">
      <c r="C20" s="86" t="s">
        <v>13</v>
      </c>
      <c r="D20" s="87">
        <f t="shared" ref="D20:H20" si="2">+D21+D26</f>
        <v>3056514.9373545004</v>
      </c>
      <c r="E20" s="87">
        <f t="shared" si="2"/>
        <v>3091492.4517081501</v>
      </c>
      <c r="F20" s="87">
        <f t="shared" si="2"/>
        <v>3402337.41337601</v>
      </c>
      <c r="G20" s="87">
        <f t="shared" si="2"/>
        <v>4179886.1798332101</v>
      </c>
      <c r="H20" s="188">
        <f t="shared" si="2"/>
        <v>4937404.81093481</v>
      </c>
    </row>
    <row r="21" spans="3:8" s="80" customFormat="1" ht="17.100000000000001" customHeight="1" x14ac:dyDescent="0.25">
      <c r="C21" s="97" t="s">
        <v>168</v>
      </c>
      <c r="D21" s="83">
        <f t="shared" ref="D21:H21" si="3">+D22+D23+D24+D25</f>
        <v>1529110.6545980601</v>
      </c>
      <c r="E21" s="83">
        <f t="shared" si="3"/>
        <v>1448683.1386005601</v>
      </c>
      <c r="F21" s="83">
        <f t="shared" si="3"/>
        <v>1471194.5734158498</v>
      </c>
      <c r="G21" s="83">
        <f t="shared" si="3"/>
        <v>1906173.5881875502</v>
      </c>
      <c r="H21" s="187">
        <f t="shared" si="3"/>
        <v>2017235.0643356591</v>
      </c>
    </row>
    <row r="22" spans="3:8" s="80" customFormat="1" ht="17.100000000000001" customHeight="1" x14ac:dyDescent="0.25">
      <c r="C22" s="98" t="s">
        <v>14</v>
      </c>
      <c r="D22" s="84">
        <v>305345.54707353999</v>
      </c>
      <c r="E22" s="84">
        <v>304618.31033705006</v>
      </c>
      <c r="F22" s="84">
        <v>402142.87799094006</v>
      </c>
      <c r="G22" s="85">
        <v>738266.77228511008</v>
      </c>
      <c r="H22" s="85">
        <v>741949.3094808301</v>
      </c>
    </row>
    <row r="23" spans="3:8" s="80" customFormat="1" ht="17.100000000000001" customHeight="1" x14ac:dyDescent="0.25">
      <c r="C23" s="98" t="s">
        <v>15</v>
      </c>
      <c r="D23" s="84">
        <v>1530957.8918006201</v>
      </c>
      <c r="E23" s="84">
        <v>1546632.4488618402</v>
      </c>
      <c r="F23" s="84">
        <v>1567965.8968918398</v>
      </c>
      <c r="G23" s="85">
        <v>1745510.6588076202</v>
      </c>
      <c r="H23" s="85">
        <v>1812882.5248703898</v>
      </c>
    </row>
    <row r="24" spans="3:8" s="80" customFormat="1" ht="17.100000000000001" customHeight="1" x14ac:dyDescent="0.25">
      <c r="C24" s="98" t="s">
        <v>212</v>
      </c>
      <c r="D24" s="84">
        <f>-197408.22890115+3.16</f>
        <v>-197405.06890114999</v>
      </c>
      <c r="E24" s="84">
        <v>-411538.96826112003</v>
      </c>
      <c r="F24" s="84">
        <v>-558025.63558614999</v>
      </c>
      <c r="G24" s="85">
        <v>-589446.99638542999</v>
      </c>
      <c r="H24" s="85">
        <v>-623523.06927771098</v>
      </c>
    </row>
    <row r="25" spans="3:8" s="80" customFormat="1" ht="17.100000000000001" customHeight="1" x14ac:dyDescent="0.25">
      <c r="C25" s="98" t="s">
        <v>193</v>
      </c>
      <c r="D25" s="84">
        <v>-109787.71537495001</v>
      </c>
      <c r="E25" s="84">
        <v>8971.3476627899945</v>
      </c>
      <c r="F25" s="84">
        <v>59111.434119219994</v>
      </c>
      <c r="G25" s="85">
        <v>11843.153480250008</v>
      </c>
      <c r="H25" s="85">
        <v>85926.299262150016</v>
      </c>
    </row>
    <row r="26" spans="3:8" s="80" customFormat="1" ht="17.100000000000001" customHeight="1" x14ac:dyDescent="0.25">
      <c r="C26" s="97" t="s">
        <v>181</v>
      </c>
      <c r="D26" s="96">
        <f t="shared" ref="D26:H26" si="4">+D27+D33</f>
        <v>1527404.2827564401</v>
      </c>
      <c r="E26" s="96">
        <f t="shared" si="4"/>
        <v>1642809.31310759</v>
      </c>
      <c r="F26" s="96">
        <f t="shared" si="4"/>
        <v>1931142.8399601602</v>
      </c>
      <c r="G26" s="96">
        <f t="shared" si="4"/>
        <v>2273712.5916456599</v>
      </c>
      <c r="H26" s="189">
        <f t="shared" si="4"/>
        <v>2920169.7465991504</v>
      </c>
    </row>
    <row r="27" spans="3:8" s="80" customFormat="1" ht="17.100000000000001" customHeight="1" x14ac:dyDescent="0.25">
      <c r="C27" s="99" t="s">
        <v>16</v>
      </c>
      <c r="D27" s="88">
        <f t="shared" ref="D27:H27" si="5">+D28+D29+D30+D31+D32</f>
        <v>510004.90258196997</v>
      </c>
      <c r="E27" s="88">
        <f t="shared" si="5"/>
        <v>554664.71819638996</v>
      </c>
      <c r="F27" s="88">
        <f t="shared" si="5"/>
        <v>664046.89315904013</v>
      </c>
      <c r="G27" s="88">
        <f t="shared" si="5"/>
        <v>713830.44045153004</v>
      </c>
      <c r="H27" s="190">
        <f t="shared" si="5"/>
        <v>753166.38036068005</v>
      </c>
    </row>
    <row r="28" spans="3:8" s="80" customFormat="1" ht="17.100000000000001" customHeight="1" x14ac:dyDescent="0.25">
      <c r="C28" s="98" t="s">
        <v>17</v>
      </c>
      <c r="D28" s="84">
        <v>361110.732938</v>
      </c>
      <c r="E28" s="84">
        <v>364354.72182449</v>
      </c>
      <c r="F28" s="84">
        <v>341303.28698381002</v>
      </c>
      <c r="G28" s="85">
        <v>239236.62175473999</v>
      </c>
      <c r="H28" s="85">
        <v>256989.40294648</v>
      </c>
    </row>
    <row r="29" spans="3:8" s="80" customFormat="1" ht="17.100000000000001" customHeight="1" x14ac:dyDescent="0.25">
      <c r="C29" s="98" t="s">
        <v>18</v>
      </c>
      <c r="D29" s="84">
        <v>-3838.7652946000003</v>
      </c>
      <c r="E29" s="84">
        <v>-3841.3702689800002</v>
      </c>
      <c r="F29" s="84">
        <v>2704.4141576400002</v>
      </c>
      <c r="G29" s="85">
        <v>10.73108223</v>
      </c>
      <c r="H29" s="85">
        <v>18.978363269999999</v>
      </c>
    </row>
    <row r="30" spans="3:8" s="80" customFormat="1" ht="17.100000000000001" customHeight="1" x14ac:dyDescent="0.25">
      <c r="C30" s="98" t="s">
        <v>19</v>
      </c>
      <c r="D30" s="84">
        <v>87098.362400570011</v>
      </c>
      <c r="E30" s="84">
        <v>72221.499103739989</v>
      </c>
      <c r="F30" s="84">
        <v>47689.576684400003</v>
      </c>
      <c r="G30" s="85">
        <v>67968.882656999995</v>
      </c>
      <c r="H30" s="85">
        <v>69082.751938000001</v>
      </c>
    </row>
    <row r="31" spans="3:8" s="80" customFormat="1" ht="17.100000000000001" customHeight="1" x14ac:dyDescent="0.25">
      <c r="C31" s="98" t="s">
        <v>156</v>
      </c>
      <c r="D31" s="84">
        <v>32291.592266930002</v>
      </c>
      <c r="E31" s="84">
        <v>45459.802188469999</v>
      </c>
      <c r="F31" s="84">
        <v>71999.534578460007</v>
      </c>
      <c r="G31" s="85">
        <v>72443.214775209985</v>
      </c>
      <c r="H31" s="85">
        <v>61242.574076129997</v>
      </c>
    </row>
    <row r="32" spans="3:8" s="80" customFormat="1" ht="17.100000000000001" customHeight="1" x14ac:dyDescent="0.25">
      <c r="C32" s="98" t="s">
        <v>20</v>
      </c>
      <c r="D32" s="84">
        <v>33342.980271070002</v>
      </c>
      <c r="E32" s="84">
        <v>76470.065348670003</v>
      </c>
      <c r="F32" s="84">
        <v>200350.08075473001</v>
      </c>
      <c r="G32" s="85">
        <v>334170.99018235004</v>
      </c>
      <c r="H32" s="85">
        <v>365832.67303680006</v>
      </c>
    </row>
    <row r="33" spans="3:8" s="80" customFormat="1" ht="17.100000000000001" customHeight="1" x14ac:dyDescent="0.25">
      <c r="C33" s="99" t="s">
        <v>180</v>
      </c>
      <c r="D33" s="88">
        <f>+D34+D35+D36+D37</f>
        <v>1017399.3801744701</v>
      </c>
      <c r="E33" s="88">
        <f t="shared" ref="E33:H33" si="6">+E34+E35+E36+E37</f>
        <v>1088144.5949112</v>
      </c>
      <c r="F33" s="88">
        <f t="shared" si="6"/>
        <v>1267095.9468011199</v>
      </c>
      <c r="G33" s="88">
        <f t="shared" si="6"/>
        <v>1559882.1511941301</v>
      </c>
      <c r="H33" s="190">
        <f t="shared" si="6"/>
        <v>2167003.3662384702</v>
      </c>
    </row>
    <row r="34" spans="3:8" s="80" customFormat="1" ht="17.100000000000001" customHeight="1" x14ac:dyDescent="0.25">
      <c r="C34" s="98" t="s">
        <v>21</v>
      </c>
      <c r="D34" s="84">
        <v>793069.14398328005</v>
      </c>
      <c r="E34" s="84">
        <v>891627.06899602001</v>
      </c>
      <c r="F34" s="84">
        <v>974157.01685944991</v>
      </c>
      <c r="G34" s="85">
        <v>969429.26207906997</v>
      </c>
      <c r="H34" s="85">
        <v>1638602.2259855301</v>
      </c>
    </row>
    <row r="35" spans="3:8" s="80" customFormat="1" ht="17.100000000000001" customHeight="1" x14ac:dyDescent="0.25">
      <c r="C35" s="98" t="s">
        <v>22</v>
      </c>
      <c r="D35" s="84">
        <v>19530.996706270002</v>
      </c>
      <c r="E35" s="84">
        <v>15208.76771068</v>
      </c>
      <c r="F35" s="84">
        <v>18463.809316520001</v>
      </c>
      <c r="G35" s="85">
        <v>45415.456303179999</v>
      </c>
      <c r="H35" s="85">
        <v>48351.380022710007</v>
      </c>
    </row>
    <row r="36" spans="3:8" s="80" customFormat="1" ht="17.100000000000001" customHeight="1" x14ac:dyDescent="0.25">
      <c r="C36" s="98" t="s">
        <v>155</v>
      </c>
      <c r="D36" s="84">
        <v>40638.487242979994</v>
      </c>
      <c r="E36" s="84">
        <v>34338.339452890003</v>
      </c>
      <c r="F36" s="84">
        <v>25555.411551590001</v>
      </c>
      <c r="G36" s="84">
        <v>41382.653248959999</v>
      </c>
      <c r="H36" s="85">
        <v>40089.054084919997</v>
      </c>
    </row>
    <row r="37" spans="3:8" s="80" customFormat="1" ht="17.100000000000001" customHeight="1" x14ac:dyDescent="0.25">
      <c r="C37" s="100" t="s">
        <v>23</v>
      </c>
      <c r="D37" s="89">
        <v>164160.75224193998</v>
      </c>
      <c r="E37" s="89">
        <v>146970.41875161001</v>
      </c>
      <c r="F37" s="89">
        <v>248919.70907355996</v>
      </c>
      <c r="G37" s="191">
        <v>503654.77956292004</v>
      </c>
      <c r="H37" s="191">
        <v>439960.70614530996</v>
      </c>
    </row>
    <row r="38" spans="3:8" s="80" customFormat="1" ht="17.100000000000001" customHeight="1" x14ac:dyDescent="0.25">
      <c r="C38" s="77"/>
      <c r="D38" s="192"/>
      <c r="E38" s="193"/>
      <c r="F38" s="193"/>
      <c r="G38" s="192"/>
      <c r="H38" s="192"/>
    </row>
    <row r="39" spans="3:8" s="80" customFormat="1" ht="17.100000000000001" customHeight="1" x14ac:dyDescent="0.25">
      <c r="C39" s="5" t="s">
        <v>167</v>
      </c>
      <c r="D39" s="9" t="s">
        <v>215</v>
      </c>
      <c r="E39" s="9"/>
      <c r="F39" s="9"/>
      <c r="G39" s="9"/>
      <c r="H39" s="9"/>
    </row>
    <row r="40" spans="3:8" s="80" customFormat="1" ht="17.100000000000001" customHeight="1" x14ac:dyDescent="0.25">
      <c r="C40" s="4"/>
      <c r="D40" s="192"/>
      <c r="E40" s="112"/>
      <c r="F40" s="244" t="s">
        <v>219</v>
      </c>
      <c r="G40" s="244"/>
      <c r="H40" s="244"/>
    </row>
    <row r="41" spans="3:8" s="71" customFormat="1" ht="17.100000000000001" customHeight="1" x14ac:dyDescent="0.25">
      <c r="C41" s="3"/>
      <c r="D41" s="93">
        <v>2020</v>
      </c>
      <c r="E41" s="93">
        <v>2021</v>
      </c>
      <c r="F41" s="93">
        <v>2022</v>
      </c>
      <c r="G41" s="93">
        <v>2023</v>
      </c>
      <c r="H41" s="93">
        <v>2024</v>
      </c>
    </row>
    <row r="42" spans="3:8" s="80" customFormat="1" ht="17.100000000000001" customHeight="1" x14ac:dyDescent="0.25">
      <c r="C42" s="98" t="s">
        <v>24</v>
      </c>
      <c r="D42" s="78">
        <v>41100.860644920002</v>
      </c>
      <c r="E42" s="78">
        <v>52561.893092549995</v>
      </c>
      <c r="F42" s="78">
        <v>83876.793953970002</v>
      </c>
      <c r="G42" s="79">
        <v>66240.814737990004</v>
      </c>
      <c r="H42" s="79">
        <v>80789.361280500001</v>
      </c>
    </row>
    <row r="43" spans="3:8" s="80" customFormat="1" ht="17.100000000000001" customHeight="1" x14ac:dyDescent="0.25">
      <c r="C43" s="98" t="s">
        <v>189</v>
      </c>
      <c r="D43" s="78">
        <v>553095.98813422001</v>
      </c>
      <c r="E43" s="78">
        <v>723523.09784564993</v>
      </c>
      <c r="F43" s="78">
        <v>783914.44422870013</v>
      </c>
      <c r="G43" s="79">
        <v>1309291.9279648601</v>
      </c>
      <c r="H43" s="79">
        <v>1941149.7343556904</v>
      </c>
    </row>
    <row r="44" spans="3:8" s="80" customFormat="1" ht="17.100000000000001" customHeight="1" x14ac:dyDescent="0.25">
      <c r="C44" s="98" t="s">
        <v>25</v>
      </c>
      <c r="D44" s="78">
        <v>39404.31302093</v>
      </c>
      <c r="E44" s="78">
        <v>42182.404796579998</v>
      </c>
      <c r="F44" s="78">
        <v>49248.365050649998</v>
      </c>
      <c r="G44" s="79">
        <v>62849.419066479997</v>
      </c>
      <c r="H44" s="79">
        <v>78937.233603249988</v>
      </c>
    </row>
    <row r="45" spans="3:8" s="80" customFormat="1" ht="17.100000000000001" customHeight="1" x14ac:dyDescent="0.25">
      <c r="C45" s="98" t="s">
        <v>158</v>
      </c>
      <c r="D45" s="78">
        <v>20.919474000000001</v>
      </c>
      <c r="E45" s="78">
        <v>9.4065153600000002</v>
      </c>
      <c r="F45" s="78">
        <v>6.2476779999999996</v>
      </c>
      <c r="G45" s="79">
        <v>0.88800800000000002</v>
      </c>
      <c r="H45" s="79">
        <v>1.3442366799999999</v>
      </c>
    </row>
    <row r="46" spans="3:8" s="80" customFormat="1" ht="17.100000000000001" customHeight="1" x14ac:dyDescent="0.25">
      <c r="C46" s="98" t="s">
        <v>26</v>
      </c>
      <c r="D46" s="78">
        <v>2.1360000000000001</v>
      </c>
      <c r="E46" s="78">
        <v>3.9572999999999997E-2</v>
      </c>
      <c r="F46" s="78">
        <v>0</v>
      </c>
      <c r="G46" s="79">
        <v>0.24749299999999999</v>
      </c>
      <c r="H46" s="79">
        <v>0</v>
      </c>
    </row>
    <row r="47" spans="3:8" s="80" customFormat="1" ht="17.100000000000001" customHeight="1" x14ac:dyDescent="0.25">
      <c r="C47" s="101" t="s">
        <v>165</v>
      </c>
      <c r="D47" s="90">
        <f t="shared" ref="D47:H47" si="7">+D42+D43+D44+D45+D46</f>
        <v>633624.21727407014</v>
      </c>
      <c r="E47" s="90">
        <f t="shared" si="7"/>
        <v>818276.84182313993</v>
      </c>
      <c r="F47" s="90">
        <f t="shared" si="7"/>
        <v>917045.85091132007</v>
      </c>
      <c r="G47" s="90">
        <f t="shared" si="7"/>
        <v>1438383.2972703301</v>
      </c>
      <c r="H47" s="211">
        <f t="shared" si="7"/>
        <v>2100877.67347612</v>
      </c>
    </row>
    <row r="48" spans="3:8" s="80" customFormat="1" ht="17.100000000000001" customHeight="1" x14ac:dyDescent="0.25">
      <c r="C48" s="98" t="s">
        <v>190</v>
      </c>
      <c r="D48" s="78">
        <v>58911.383836400004</v>
      </c>
      <c r="E48" s="78">
        <v>41890.524527230002</v>
      </c>
      <c r="F48" s="78">
        <v>78384.426767889992</v>
      </c>
      <c r="G48" s="79">
        <v>73258.306406169999</v>
      </c>
      <c r="H48" s="79">
        <v>84378.777975569988</v>
      </c>
    </row>
    <row r="49" spans="3:22" s="80" customFormat="1" ht="17.100000000000001" customHeight="1" x14ac:dyDescent="0.25">
      <c r="C49" s="98" t="s">
        <v>157</v>
      </c>
      <c r="D49" s="78">
        <v>95.026021239999992</v>
      </c>
      <c r="E49" s="78">
        <v>161.31661170999999</v>
      </c>
      <c r="F49" s="78">
        <v>14.58614481</v>
      </c>
      <c r="G49" s="79">
        <v>2.7742339900000004</v>
      </c>
      <c r="H49" s="79">
        <v>444.20507431999999</v>
      </c>
    </row>
    <row r="50" spans="3:22" s="80" customFormat="1" ht="17.100000000000001" customHeight="1" x14ac:dyDescent="0.25">
      <c r="C50" s="98" t="s">
        <v>27</v>
      </c>
      <c r="D50" s="78">
        <v>198186.94208743001</v>
      </c>
      <c r="E50" s="78">
        <v>258541.79109226001</v>
      </c>
      <c r="F50" s="78">
        <v>253562.76371481997</v>
      </c>
      <c r="G50" s="79">
        <v>309268.12630756997</v>
      </c>
      <c r="H50" s="79">
        <v>436875.41919421003</v>
      </c>
    </row>
    <row r="51" spans="3:22" s="80" customFormat="1" ht="17.100000000000001" customHeight="1" x14ac:dyDescent="0.25">
      <c r="C51" s="98" t="s">
        <v>28</v>
      </c>
      <c r="D51" s="78">
        <v>83455.729971890003</v>
      </c>
      <c r="E51" s="78">
        <v>103389.98691987999</v>
      </c>
      <c r="F51" s="78">
        <v>120768.12429757998</v>
      </c>
      <c r="G51" s="79">
        <v>183579.98461374</v>
      </c>
      <c r="H51" s="79">
        <v>313656.47682322003</v>
      </c>
    </row>
    <row r="52" spans="3:22" s="80" customFormat="1" ht="17.100000000000001" customHeight="1" x14ac:dyDescent="0.25">
      <c r="C52" s="98" t="s">
        <v>29</v>
      </c>
      <c r="D52" s="78">
        <v>314329.21199251001</v>
      </c>
      <c r="E52" s="78">
        <v>368009.89489394001</v>
      </c>
      <c r="F52" s="78">
        <v>409095.60910773004</v>
      </c>
      <c r="G52" s="79">
        <v>696158.96288010012</v>
      </c>
      <c r="H52" s="79">
        <v>1046059.47463409</v>
      </c>
    </row>
    <row r="53" spans="3:22" s="80" customFormat="1" ht="17.100000000000001" customHeight="1" x14ac:dyDescent="0.25">
      <c r="C53" s="101" t="s">
        <v>166</v>
      </c>
      <c r="D53" s="90">
        <f t="shared" ref="D53:H53" si="8">+D48+D49+D50+D51+D52</f>
        <v>654978.29390947009</v>
      </c>
      <c r="E53" s="90">
        <f t="shared" si="8"/>
        <v>771993.51404501998</v>
      </c>
      <c r="F53" s="90">
        <f t="shared" si="8"/>
        <v>861825.51003283006</v>
      </c>
      <c r="G53" s="90">
        <f t="shared" si="8"/>
        <v>1262268.1544415702</v>
      </c>
      <c r="H53" s="217">
        <f t="shared" si="8"/>
        <v>1881414.3537014099</v>
      </c>
    </row>
    <row r="54" spans="3:22" s="80" customFormat="1" ht="17.100000000000001" customHeight="1" x14ac:dyDescent="0.25">
      <c r="C54" s="180" t="s">
        <v>159</v>
      </c>
      <c r="D54" s="94">
        <f t="shared" ref="D54:H54" si="9">+D47-D53</f>
        <v>-21354.07663539995</v>
      </c>
      <c r="E54" s="94">
        <f t="shared" si="9"/>
        <v>46283.327778119943</v>
      </c>
      <c r="F54" s="94">
        <f t="shared" si="9"/>
        <v>55220.340878490009</v>
      </c>
      <c r="G54" s="94">
        <f t="shared" si="9"/>
        <v>176115.14282875997</v>
      </c>
      <c r="H54" s="94">
        <f t="shared" si="9"/>
        <v>219463.31977471011</v>
      </c>
    </row>
    <row r="55" spans="3:22" s="80" customFormat="1" ht="17.100000000000001" customHeight="1" x14ac:dyDescent="0.25">
      <c r="C55" s="180" t="s">
        <v>160</v>
      </c>
      <c r="D55" s="94">
        <v>-53179.691071559988</v>
      </c>
      <c r="E55" s="94">
        <v>44190.97730980999</v>
      </c>
      <c r="F55" s="94">
        <v>30948.06890441</v>
      </c>
      <c r="G55" s="95">
        <v>-97203.351341149973</v>
      </c>
      <c r="H55" s="95">
        <v>-63403.184761649987</v>
      </c>
      <c r="J55" s="212"/>
      <c r="K55" s="212"/>
      <c r="L55" s="212"/>
      <c r="M55" s="212"/>
      <c r="N55" s="212"/>
      <c r="O55" s="212"/>
      <c r="P55" s="212"/>
      <c r="Q55" s="212"/>
      <c r="R55" s="212"/>
      <c r="S55" s="212"/>
      <c r="T55" s="212"/>
      <c r="U55" s="212"/>
      <c r="V55" s="212"/>
    </row>
    <row r="56" spans="3:22" s="80" customFormat="1" ht="17.100000000000001" customHeight="1" x14ac:dyDescent="0.25">
      <c r="C56" s="180" t="s">
        <v>161</v>
      </c>
      <c r="D56" s="94">
        <v>8.6726980000000005</v>
      </c>
      <c r="E56" s="94">
        <v>7.3844500000000002</v>
      </c>
      <c r="F56" s="94">
        <v>0</v>
      </c>
      <c r="G56" s="95">
        <v>2135.82637854</v>
      </c>
      <c r="H56" s="95">
        <v>2481.4642151999997</v>
      </c>
    </row>
    <row r="57" spans="3:22" s="80" customFormat="1" ht="17.100000000000001" customHeight="1" x14ac:dyDescent="0.25">
      <c r="C57" s="180" t="s">
        <v>162</v>
      </c>
      <c r="D57" s="94">
        <v>-13330.37705289</v>
      </c>
      <c r="E57" s="94">
        <v>-72264.371500619993</v>
      </c>
      <c r="F57" s="94">
        <v>-25260.996792469999</v>
      </c>
      <c r="G57" s="95">
        <v>-46165.17422736001</v>
      </c>
      <c r="H57" s="95">
        <v>-52392.094421869995</v>
      </c>
    </row>
    <row r="58" spans="3:22" s="80" customFormat="1" ht="17.100000000000001" customHeight="1" x14ac:dyDescent="0.25">
      <c r="C58" s="180" t="s">
        <v>163</v>
      </c>
      <c r="D58" s="94">
        <f>+D54+D55+D56+D57</f>
        <v>-87855.472061849956</v>
      </c>
      <c r="E58" s="94">
        <f t="shared" ref="E58:H58" si="10">+E54+E55+E56+E57</f>
        <v>18217.318037309946</v>
      </c>
      <c r="F58" s="94">
        <f t="shared" si="10"/>
        <v>60907.412990430006</v>
      </c>
      <c r="G58" s="94">
        <f t="shared" si="10"/>
        <v>34882.443638789991</v>
      </c>
      <c r="H58" s="94">
        <f t="shared" si="10"/>
        <v>106149.50480639012</v>
      </c>
    </row>
    <row r="59" spans="3:22" s="80" customFormat="1" ht="17.100000000000001" customHeight="1" x14ac:dyDescent="0.25">
      <c r="C59" s="181" t="s">
        <v>170</v>
      </c>
      <c r="D59" s="78">
        <v>22049.437324540006</v>
      </c>
      <c r="E59" s="78">
        <v>15823.38234892</v>
      </c>
      <c r="F59" s="78">
        <v>18638.933997349999</v>
      </c>
      <c r="G59" s="79">
        <v>30683.892623470001</v>
      </c>
      <c r="H59" s="79">
        <v>31615.408784019997</v>
      </c>
    </row>
    <row r="60" spans="3:22" s="80" customFormat="1" ht="17.100000000000001" customHeight="1" x14ac:dyDescent="0.25">
      <c r="C60" s="182" t="s">
        <v>191</v>
      </c>
      <c r="D60" s="91">
        <f>+D58-D59</f>
        <v>-109904.90938638996</v>
      </c>
      <c r="E60" s="91">
        <f>+E58-E59</f>
        <v>2393.9356883899454</v>
      </c>
      <c r="F60" s="91">
        <f t="shared" ref="F60:H60" si="11">+F58-F59</f>
        <v>42268.478993080003</v>
      </c>
      <c r="G60" s="91">
        <f t="shared" si="11"/>
        <v>4198.5510153199903</v>
      </c>
      <c r="H60" s="91">
        <f t="shared" si="11"/>
        <v>74534.096022370126</v>
      </c>
    </row>
    <row r="61" spans="3:22" s="80" customFormat="1" ht="17.100000000000001" customHeight="1" thickBot="1" x14ac:dyDescent="0.3">
      <c r="C61" s="182" t="s">
        <v>164</v>
      </c>
      <c r="D61" s="94">
        <v>117.19401143994764</v>
      </c>
      <c r="E61" s="94">
        <v>6577.4119744000491</v>
      </c>
      <c r="F61" s="94">
        <v>16842.95512613999</v>
      </c>
      <c r="G61" s="95">
        <v>7644.602464930018</v>
      </c>
      <c r="H61" s="95">
        <v>11392.20323977989</v>
      </c>
    </row>
    <row r="62" spans="3:22" s="80" customFormat="1" ht="17.100000000000001" customHeight="1" thickBot="1" x14ac:dyDescent="0.3">
      <c r="C62" s="183" t="s">
        <v>194</v>
      </c>
      <c r="D62" s="106">
        <f>SUM(D60:D61)</f>
        <v>-109787.71537495001</v>
      </c>
      <c r="E62" s="106">
        <f t="shared" ref="E62:H62" si="12">SUM(E60:E61)</f>
        <v>8971.3476627899945</v>
      </c>
      <c r="F62" s="106">
        <f t="shared" si="12"/>
        <v>59111.434119219994</v>
      </c>
      <c r="G62" s="106">
        <f t="shared" si="12"/>
        <v>11843.153480250008</v>
      </c>
      <c r="H62" s="106">
        <f t="shared" si="12"/>
        <v>85926.299262150016</v>
      </c>
    </row>
    <row r="63" spans="3:22" s="71" customFormat="1" ht="6.75" customHeight="1" thickBot="1" x14ac:dyDescent="0.3">
      <c r="C63" s="184"/>
      <c r="D63" s="75"/>
      <c r="E63" s="75"/>
      <c r="F63" s="75"/>
      <c r="G63" s="75"/>
      <c r="H63" s="75"/>
    </row>
    <row r="64" spans="3:22" s="80" customFormat="1" ht="17.100000000000001" customHeight="1" thickBot="1" x14ac:dyDescent="0.3">
      <c r="C64" s="185" t="s">
        <v>57</v>
      </c>
      <c r="D64" s="111">
        <f>+D8-D20</f>
        <v>-1.6622305847704411E-3</v>
      </c>
      <c r="E64" s="111">
        <f>+E8-E20</f>
        <v>0</v>
      </c>
      <c r="F64" s="111">
        <f>+F8-F20</f>
        <v>0</v>
      </c>
      <c r="G64" s="111">
        <f>+G8-G20</f>
        <v>0</v>
      </c>
      <c r="H64" s="111">
        <f>+H8-H20</f>
        <v>0</v>
      </c>
    </row>
    <row r="65" spans="2:8" s="71" customFormat="1" ht="17.100000000000001" customHeight="1" x14ac:dyDescent="0.25">
      <c r="B65" s="17"/>
      <c r="C65" s="80" t="s">
        <v>210</v>
      </c>
      <c r="D65" s="80"/>
      <c r="E65" s="80"/>
      <c r="F65" s="80"/>
      <c r="G65" s="80"/>
      <c r="H65" s="80"/>
    </row>
    <row r="66" spans="2:8" s="71" customFormat="1" ht="17.100000000000001" customHeight="1" x14ac:dyDescent="0.25">
      <c r="B66" s="17"/>
      <c r="C66" s="80"/>
    </row>
    <row r="67" spans="2:8" s="71" customFormat="1" x14ac:dyDescent="0.25">
      <c r="B67" s="17"/>
      <c r="D67" s="240"/>
      <c r="E67" s="240"/>
      <c r="F67" s="240"/>
      <c r="G67" s="240"/>
      <c r="H67" s="240"/>
    </row>
    <row r="68" spans="2:8" s="71" customFormat="1" x14ac:dyDescent="0.25">
      <c r="B68" s="17"/>
      <c r="D68" s="241"/>
      <c r="E68" s="241"/>
      <c r="F68" s="241"/>
      <c r="G68" s="241"/>
      <c r="H68" s="241"/>
    </row>
    <row r="69" spans="2:8" s="71" customFormat="1" x14ac:dyDescent="0.25">
      <c r="B69" s="17"/>
      <c r="D69" s="241"/>
      <c r="E69" s="241"/>
      <c r="F69" s="241"/>
      <c r="G69" s="241"/>
      <c r="H69" s="241"/>
    </row>
    <row r="70" spans="2:8" s="71" customFormat="1" x14ac:dyDescent="0.25">
      <c r="B70" s="17"/>
      <c r="D70" s="241"/>
      <c r="E70" s="241"/>
      <c r="F70" s="241"/>
      <c r="G70" s="241"/>
      <c r="H70" s="241"/>
    </row>
    <row r="71" spans="2:8" s="71" customFormat="1" x14ac:dyDescent="0.25">
      <c r="B71" s="17"/>
      <c r="D71" s="241"/>
      <c r="E71" s="241"/>
      <c r="F71" s="241"/>
      <c r="G71" s="241"/>
      <c r="H71" s="241"/>
    </row>
    <row r="72" spans="2:8" s="71" customFormat="1" x14ac:dyDescent="0.25">
      <c r="B72" s="17"/>
      <c r="D72" s="241"/>
      <c r="E72" s="241"/>
      <c r="F72" s="241"/>
      <c r="G72" s="241"/>
      <c r="H72" s="241"/>
    </row>
    <row r="73" spans="2:8" s="71" customFormat="1" x14ac:dyDescent="0.25">
      <c r="B73" s="17"/>
      <c r="D73" s="239"/>
      <c r="E73" s="239"/>
      <c r="F73" s="239"/>
      <c r="G73" s="239"/>
      <c r="H73" s="239"/>
    </row>
    <row r="74" spans="2:8" s="71" customFormat="1" x14ac:dyDescent="0.25">
      <c r="B74" s="17"/>
      <c r="D74" s="239"/>
      <c r="E74" s="239"/>
      <c r="F74" s="239"/>
      <c r="G74" s="239"/>
      <c r="H74" s="239"/>
    </row>
    <row r="75" spans="2:8" s="71" customFormat="1" x14ac:dyDescent="0.25">
      <c r="B75" s="17"/>
    </row>
    <row r="76" spans="2:8" s="71" customFormat="1" x14ac:dyDescent="0.25">
      <c r="B76" s="17"/>
    </row>
    <row r="77" spans="2:8" s="71" customFormat="1" x14ac:dyDescent="0.25">
      <c r="B77" s="17"/>
    </row>
    <row r="78" spans="2:8" s="71" customFormat="1" x14ac:dyDescent="0.25">
      <c r="B78" s="17"/>
    </row>
    <row r="79" spans="2:8" s="71" customFormat="1" x14ac:dyDescent="0.25">
      <c r="B79" s="17"/>
    </row>
    <row r="80" spans="2:8" s="71" customFormat="1" x14ac:dyDescent="0.25">
      <c r="B80" s="17"/>
    </row>
    <row r="81" spans="2:2" s="71" customFormat="1" x14ac:dyDescent="0.25">
      <c r="B81" s="17"/>
    </row>
    <row r="82" spans="2:2" s="71" customFormat="1" x14ac:dyDescent="0.25">
      <c r="B82" s="17"/>
    </row>
    <row r="83" spans="2:2" s="71" customFormat="1" x14ac:dyDescent="0.25">
      <c r="B83" s="17"/>
    </row>
    <row r="84" spans="2:2" s="71" customFormat="1" x14ac:dyDescent="0.25">
      <c r="B84" s="17"/>
    </row>
    <row r="85" spans="2:2" s="71" customFormat="1" x14ac:dyDescent="0.25">
      <c r="B85" s="17"/>
    </row>
    <row r="86" spans="2:2" s="71" customFormat="1" x14ac:dyDescent="0.25">
      <c r="B86" s="17"/>
    </row>
    <row r="87" spans="2:2" s="71" customFormat="1" x14ac:dyDescent="0.25">
      <c r="B87" s="17"/>
    </row>
    <row r="88" spans="2:2" s="71" customFormat="1" x14ac:dyDescent="0.25">
      <c r="B88" s="17"/>
    </row>
    <row r="89" spans="2:2" s="71" customFormat="1" x14ac:dyDescent="0.25">
      <c r="B89" s="17"/>
    </row>
    <row r="90" spans="2:2" s="71" customFormat="1" x14ac:dyDescent="0.25">
      <c r="B90" s="17"/>
    </row>
    <row r="91" spans="2:2" s="71" customFormat="1" x14ac:dyDescent="0.25">
      <c r="B91" s="17"/>
    </row>
    <row r="92" spans="2:2" s="71" customFormat="1" x14ac:dyDescent="0.25">
      <c r="B92" s="17"/>
    </row>
    <row r="93" spans="2:2" s="71" customFormat="1" x14ac:dyDescent="0.25">
      <c r="B93" s="17"/>
    </row>
  </sheetData>
  <sheetProtection algorithmName="SHA-512" hashValue="3eGDoADNRauWdcGJ+PWNF3niQUV61XIUBcZ2oG1eD+sQWLWh5KCLgUSSk9Fpu0OsFHJz6zeuXmbt84JZjHJbkw==" saltValue="yPv7SPe5zwj4Uu8PHkWlog==" spinCount="100000" sheet="1" objects="1" scenarios="1"/>
  <mergeCells count="8">
    <mergeCell ref="C39:C41"/>
    <mergeCell ref="C5:C7"/>
    <mergeCell ref="C2:H2"/>
    <mergeCell ref="C3:H3"/>
    <mergeCell ref="D5:H5"/>
    <mergeCell ref="D39:H39"/>
    <mergeCell ref="F40:H40"/>
    <mergeCell ref="F6:H6"/>
  </mergeCells>
  <printOptions horizontalCentered="1"/>
  <pageMargins left="0" right="0" top="0" bottom="0" header="0" footer="0"/>
  <pageSetup paperSize="9" scale="6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nteudo xmlns="ac26e13a-c3a6-41fe-a080-680c457ab7ba" xsi:nil="true"/>
    <Link xmlns="ac26e13a-c3a6-41fe-a080-680c457ab7ba">
      <Url xsi:nil="true"/>
      <Description xsi:nil="true"/>
    </Link>
    <_dlc_DocId xmlns="8305f4f8-dae7-4523-8257-656d8cb4d040">AE2CRDQUTFAC-2123509798-1557</_dlc_DocId>
    <DataDePublicacao xmlns="ac26e13a-c3a6-41fe-a080-680c457ab7ba">2025-09-30T11:00:00+00:00</DataDePublicacao>
    <EstatisticaMonetariaFinanceira xmlns="ac26e13a-c3a6-41fe-a080-680c457ab7ba">false</EstatisticaMonetariaFinanceira>
    <Categoria xmlns="ac26e13a-c3a6-41fe-a080-680c457ab7ba">ECB_PICB_Sector dos Transportes e Armazenagem</Categoria>
    <Visualizar xmlns="ac26e13a-c3a6-41fe-a080-680c457ab7ba">true</Visualizar>
    <Ano xmlns="ac26e13a-c3a6-41fe-a080-680c457ab7ba" xsi:nil="true"/>
    <Fonte xmlns="ac26e13a-c3a6-41fe-a080-680c457ab7ba" xsi:nil="true"/>
    <_dlc_DocIdUrl xmlns="8305f4f8-dae7-4523-8257-656d8cb4d040">
      <Url>http://172.20.42.86/sites/cms/_layouts/15/DocIdRedir.aspx?ID=AE2CRDQUTFAC-2123509798-1557</Url>
      <Description>AE2CRDQUTFAC-2123509798-1557</Description>
    </_dlc_DocIdUrl>
    <Idioma xmlns="ac26e13a-c3a6-41fe-a080-680c457ab7ba">Português</Idioma>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D35055-6D7E-4624-82E1-65F8D88D7CB8}"/>
</file>

<file path=customXml/itemProps2.xml><?xml version="1.0" encoding="utf-8"?>
<ds:datastoreItem xmlns:ds="http://schemas.openxmlformats.org/officeDocument/2006/customXml" ds:itemID="{EF7D762E-F499-45D8-AD26-FA59B846C3FF}"/>
</file>

<file path=customXml/itemProps3.xml><?xml version="1.0" encoding="utf-8"?>
<ds:datastoreItem xmlns:ds="http://schemas.openxmlformats.org/officeDocument/2006/customXml" ds:itemID="{33FC9CED-1439-4E5E-9D80-311791AB2494}"/>
</file>

<file path=customXml/itemProps4.xml><?xml version="1.0" encoding="utf-8"?>
<ds:datastoreItem xmlns:ds="http://schemas.openxmlformats.org/officeDocument/2006/customXml" ds:itemID="{ABF9B14E-DAA4-4AC0-8CE6-64B0FC43F0F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3</vt:i4>
      </vt:variant>
    </vt:vector>
  </HeadingPairs>
  <TitlesOfParts>
    <vt:vector size="6" baseType="lpstr">
      <vt:lpstr>Formulário - Rácios</vt:lpstr>
      <vt:lpstr>INDICADORES SECTORIAL</vt:lpstr>
      <vt:lpstr>PANORAMA SECTORIAL</vt:lpstr>
      <vt:lpstr>'Formulário - Rácios'!Área_de_Impressão</vt:lpstr>
      <vt:lpstr>'INDICADORES SECTORIAL'!Área_de_Impressão</vt:lpstr>
      <vt:lpstr>'PANORAMA SECTORIAL'!Área_de_Impressão</vt:lpstr>
    </vt:vector>
  </TitlesOfParts>
  <Manager/>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Sector dos Transportes e Armazenagem</dc:title>
  <dc:subject/>
  <dc:creator>Carla I. Ferreira</dc:creator>
  <cp:keywords/>
  <dc:description/>
  <cp:lastModifiedBy>Dongala Ramos Songue (DES)</cp:lastModifiedBy>
  <cp:lastPrinted>2023-08-18T08:49:05Z</cp:lastPrinted>
  <dcterms:created xsi:type="dcterms:W3CDTF">2021-03-08T17:35:21Z</dcterms:created>
  <dcterms:modified xsi:type="dcterms:W3CDTF">2026-01-12T20:07:22Z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2021-03-08T17:45:10Z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f818666c-4451-4aad-9915-00006b18b1de</vt:lpwstr>
  </property>
  <property fmtid="{D5CDD505-2E9C-101B-9397-08002B2CF9AE}" pid="8" name="MSIP_Label_84339546-1082-4534-91e1-91aa69eb15e8_ContentBits">
    <vt:lpwstr>0</vt:lpwstr>
  </property>
  <property fmtid="{D5CDD505-2E9C-101B-9397-08002B2CF9AE}" pid="9" name="MSIP_Label_6849ffa4-678e-4825-b0af-573abed55832_Enabled">
    <vt:lpwstr>true</vt:lpwstr>
  </property>
  <property fmtid="{D5CDD505-2E9C-101B-9397-08002B2CF9AE}" pid="10" name="MSIP_Label_6849ffa4-678e-4825-b0af-573abed55832_SetDate">
    <vt:lpwstr>2022-08-01T08:54:08Z</vt:lpwstr>
  </property>
  <property fmtid="{D5CDD505-2E9C-101B-9397-08002B2CF9AE}" pid="11" name="MSIP_Label_6849ffa4-678e-4825-b0af-573abed55832_Method">
    <vt:lpwstr>Privileged</vt:lpwstr>
  </property>
  <property fmtid="{D5CDD505-2E9C-101B-9397-08002B2CF9AE}" pid="12" name="MSIP_Label_6849ffa4-678e-4825-b0af-573abed55832_Name">
    <vt:lpwstr>Público</vt:lpwstr>
  </property>
  <property fmtid="{D5CDD505-2E9C-101B-9397-08002B2CF9AE}" pid="13" name="MSIP_Label_6849ffa4-678e-4825-b0af-573abed55832_SiteId">
    <vt:lpwstr>7907c12b-e008-40cb-a028-5419a08865fb</vt:lpwstr>
  </property>
  <property fmtid="{D5CDD505-2E9C-101B-9397-08002B2CF9AE}" pid="14" name="MSIP_Label_6849ffa4-678e-4825-b0af-573abed55832_ActionId">
    <vt:lpwstr>67535c3d-5d88-4016-be80-23b75e861c40</vt:lpwstr>
  </property>
  <property fmtid="{D5CDD505-2E9C-101B-9397-08002B2CF9AE}" pid="15" name="MSIP_Label_6849ffa4-678e-4825-b0af-573abed55832_ContentBits">
    <vt:lpwstr>0</vt:lpwstr>
  </property>
  <property fmtid="{D5CDD505-2E9C-101B-9397-08002B2CF9AE}" pid="16" name="ContentTypeId">
    <vt:lpwstr>0x01010004071EE6621830479B48F405F238C2E8</vt:lpwstr>
  </property>
  <property fmtid="{D5CDD505-2E9C-101B-9397-08002B2CF9AE}" pid="17" name="_dlc_DocIdItemGuid">
    <vt:lpwstr>c560bb9f-7cd5-4359-b0ba-731fd73df536</vt:lpwstr>
  </property>
</Properties>
</file>