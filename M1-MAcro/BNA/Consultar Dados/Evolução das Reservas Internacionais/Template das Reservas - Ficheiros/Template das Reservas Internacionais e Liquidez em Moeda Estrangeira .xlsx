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ES\DOCUMENTOS DIVERSOS\DIFUSÃO ESTATISTICA\INTERNO\Site BNA\NOVA  PUBLICAÇÃO WEB BNA\2026\PT\"/>
    </mc:Choice>
  </mc:AlternateContent>
  <xr:revisionPtr revIDLastSave="0" documentId="13_ncr:1_{FC05A25E-5706-4AEA-8FC9-1D7E2E6DE421}" xr6:coauthVersionLast="47" xr6:coauthVersionMax="47" xr10:uidLastSave="{00000000-0000-0000-0000-000000000000}"/>
  <bookViews>
    <workbookView xWindow="-120" yWindow="-120" windowWidth="20730" windowHeight="11040" xr2:uid="{736B96D5-B06D-4131-ACA6-4B3716631991}"/>
  </bookViews>
  <sheets>
    <sheet name="Angol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0" i="1" l="1"/>
  <c r="D339" i="1" s="1"/>
  <c r="D118" i="1"/>
  <c r="D338" i="1"/>
  <c r="D113" i="1"/>
  <c r="D109" i="1"/>
  <c r="D110" i="1"/>
  <c r="D111" i="1"/>
  <c r="D71" i="1"/>
  <c r="D72" i="1"/>
  <c r="D73" i="1"/>
  <c r="D75" i="1"/>
  <c r="D85" i="1"/>
  <c r="D90" i="1"/>
  <c r="D95" i="1"/>
  <c r="D100" i="1"/>
  <c r="D43" i="1"/>
  <c r="D38" i="1"/>
  <c r="D33" i="1"/>
  <c r="D34" i="1"/>
  <c r="D35" i="1"/>
  <c r="D70" i="1" l="1"/>
  <c r="D108" i="1"/>
  <c r="D32" i="1"/>
</calcChain>
</file>

<file path=xl/sharedStrings.xml><?xml version="1.0" encoding="utf-8"?>
<sst xmlns="http://schemas.openxmlformats.org/spreadsheetml/2006/main" count="821" uniqueCount="506">
  <si>
    <t>TEMPLATE DAS RESERVAS INTERNACIONAIS E LIQUIDEZ EM MOEDA ESTRANGEIRA</t>
  </si>
  <si>
    <t>Trillions</t>
  </si>
  <si>
    <t>Em Milhões de US$</t>
  </si>
  <si>
    <t>Base Code</t>
  </si>
  <si>
    <t>2021</t>
  </si>
  <si>
    <t>2022</t>
  </si>
  <si>
    <t xml:space="preserve">I. Activos de reserva oficiais e outros activos externos (valor de mercado aproximado)
</t>
  </si>
  <si>
    <t>M10</t>
  </si>
  <si>
    <t>M11</t>
  </si>
  <si>
    <t>M12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</si>
  <si>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</si>
  <si>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</si>
  <si>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</si>
  <si>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</si>
  <si>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</si>
  <si>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</si>
  <si>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</si>
  <si>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</si>
  <si>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</si>
  <si>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</si>
  <si>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</si>
  <si>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</si>
  <si>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</si>
  <si>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</si>
  <si>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</si>
  <si>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</si>
  <si>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</si>
  <si>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</si>
  <si>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</si>
  <si>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</si>
  <si>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</si>
  <si>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</si>
  <si>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</si>
  <si>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</si>
  <si>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</si>
  <si>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</si>
  <si>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</si>
  <si>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</si>
  <si>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</si>
  <si>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</si>
  <si>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</si>
  <si>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</si>
  <si>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</si>
  <si>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</si>
  <si>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</si>
  <si>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</si>
  <si>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</si>
  <si>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</si>
  <si>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</si>
  <si>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</si>
  <si>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</si>
  <si>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</si>
  <si>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</si>
  <si>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</si>
  <si>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</si>
  <si>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</si>
  <si>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</si>
  <si>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</si>
  <si>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</si>
  <si>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</si>
  <si>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</si>
  <si>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</si>
  <si>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</si>
  <si>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</si>
  <si>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</si>
  <si>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</si>
  <si>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</si>
  <si>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</si>
  <si>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</si>
  <si>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</si>
  <si>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</si>
  <si>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A. Activos de reserva oficiais</t>
  </si>
  <si>
    <t>MCG_RAFA</t>
  </si>
  <si>
    <t>(1) Reservas em moeda estrangeira (em moedas estrangeiras convertíveis)</t>
  </si>
  <si>
    <t>MCG_RAFAFX</t>
  </si>
  <si>
    <t xml:space="preserve">(a) Títulos </t>
  </si>
  <si>
    <t>MCG_RAFAFXS</t>
  </si>
  <si>
    <t xml:space="preserve">       Dos quais: emitente com sede em Angola, mas localizado no exterior</t>
  </si>
  <si>
    <t>MCG_RAFAFXSI</t>
  </si>
  <si>
    <t> </t>
  </si>
  <si>
    <t>(b) Moeda e depósitos</t>
  </si>
  <si>
    <t>MCG_RAFAFXCD</t>
  </si>
  <si>
    <t>(2) Posição de reserva no FMI</t>
  </si>
  <si>
    <t>MCG_RAFAIMF</t>
  </si>
  <si>
    <t>(3) Direitos de Saque Especiais</t>
  </si>
  <si>
    <t>MCG_RAFASDR</t>
  </si>
  <si>
    <t>(4) Ouro (incluindo depósitos em ouro, e se aplicável, ouro transacionado)</t>
  </si>
  <si>
    <t>MCG_RAFAGOLD</t>
  </si>
  <si>
    <t>Volume em mil onças</t>
  </si>
  <si>
    <t>MCG_RAFAGOLDV_OZT</t>
  </si>
  <si>
    <t>(5) Outros activos de reserva (especificar)</t>
  </si>
  <si>
    <t>MCG_RAFAO</t>
  </si>
  <si>
    <t>Derivados financeiros</t>
  </si>
  <si>
    <t>MCG_RAFAOF</t>
  </si>
  <si>
    <t xml:space="preserve">Empréstimos concedidos a sociedades não bancárias não residentes </t>
  </si>
  <si>
    <t>MCG_RAFAOL</t>
  </si>
  <si>
    <t>Outros</t>
  </si>
  <si>
    <t>MCG_RAFAOO</t>
  </si>
  <si>
    <t>B. Outros activos em moeda estrangeira (especificar)</t>
  </si>
  <si>
    <t>MCG_RAOFA</t>
  </si>
  <si>
    <t>Títulos não incluídos em activos de reserva oficiais</t>
  </si>
  <si>
    <t>MCG_RAOFAS</t>
  </si>
  <si>
    <t xml:space="preserve">Depósitos não incluídos em activos de reserva oficiais </t>
  </si>
  <si>
    <t>MCG_RAOFAD</t>
  </si>
  <si>
    <t>Empréstimos não incluídos em activos de reserva oficiais</t>
  </si>
  <si>
    <t>MCG_RAOFAL</t>
  </si>
  <si>
    <t>Derivados financeiros não incluídos em activos de reserva oficiais</t>
  </si>
  <si>
    <t>MCG_RAOFAF</t>
  </si>
  <si>
    <t>&lt;No Country Selected&gt;</t>
  </si>
  <si>
    <t>Ouro não incluído em activos de reserva oficiais</t>
  </si>
  <si>
    <t>MCG_RAOFAG</t>
  </si>
  <si>
    <t>AFGHANISTAN, I.S. OF</t>
  </si>
  <si>
    <t>MCG_RAOFAO</t>
  </si>
  <si>
    <t>ALBANIA</t>
  </si>
  <si>
    <t>AMERICAN SAMOA</t>
  </si>
  <si>
    <t>II. Fluxos líquidos pré-determinados de curto prazo sobre activos em moeda estrangeira (valor nominal)</t>
  </si>
  <si>
    <t>ANGOLA</t>
  </si>
  <si>
    <t>ANGUILLA</t>
  </si>
  <si>
    <t>1. Empréstimos, títulos e depósitos em ME</t>
  </si>
  <si>
    <t>Total</t>
  </si>
  <si>
    <t>MCG_RAPFALSD</t>
  </si>
  <si>
    <t>Até 1 Mês</t>
  </si>
  <si>
    <t>MCG_RAPFALSD_1M</t>
  </si>
  <si>
    <t>Mais de 1 Mês e até 3 Meses</t>
  </si>
  <si>
    <t>MCG_RAPFALSD_1M_3M</t>
  </si>
  <si>
    <t>Mais de 3 Meses e até 1 Ano</t>
  </si>
  <si>
    <t>MCG_RAPFALSD_3M_1Y</t>
  </si>
  <si>
    <t>Fluxos de saída (-)</t>
  </si>
  <si>
    <t>Capital</t>
  </si>
  <si>
    <t>MCG_RAPFALSDOP</t>
  </si>
  <si>
    <t>Up to 1 month</t>
  </si>
  <si>
    <t>MCG_RAPFALSDOP_1M</t>
  </si>
  <si>
    <t>More than 1 and up to 3 months</t>
  </si>
  <si>
    <t>MCG_RAPFALSDOP_1M_3M</t>
  </si>
  <si>
    <t>More than 3 months and up to 1 year</t>
  </si>
  <si>
    <t>MCG_RAPFALSDOP_3M_1Y</t>
  </si>
  <si>
    <t>Juros</t>
  </si>
  <si>
    <t>MCG_RAPFALSDOI</t>
  </si>
  <si>
    <t>MCG_RAPFALSDOI_1M</t>
  </si>
  <si>
    <t>MCG_RAPFALSDOI_1M_3M</t>
  </si>
  <si>
    <t>MCG_RAPFALSDOI_3M_1Y</t>
  </si>
  <si>
    <t>Fluxos de entrada (+)</t>
  </si>
  <si>
    <t>MCG_RAPFALSDIP</t>
  </si>
  <si>
    <t>MCG_RAPFALSDIP_1M</t>
  </si>
  <si>
    <t>MCG_RAPFALSDIP_1M_3M</t>
  </si>
  <si>
    <t>MCG_RAPFALSDIP_3M_1Y</t>
  </si>
  <si>
    <t>MCG_RAPFALSDII</t>
  </si>
  <si>
    <t>MCG_RAPFALSDII_1M</t>
  </si>
  <si>
    <t>MCG_RAPFALSDII_1M_3M</t>
  </si>
  <si>
    <t>MCG_RAPFALSDII_3M_1Y</t>
  </si>
  <si>
    <t>2.  Posições agregadas de compra e venda de contratos a prazo e de futuros em ME em relação a MN (incluindo o termo das trocas cambiais)</t>
  </si>
  <si>
    <t>(a) Posições de curto prazo (–)</t>
  </si>
  <si>
    <t>MCG_RAPFAFFS</t>
  </si>
  <si>
    <t>MCG_RAPFAFFS_1M</t>
  </si>
  <si>
    <t>MCG_RAPFAFFS_1M_3M</t>
  </si>
  <si>
    <t>MCG_RAPFAFFS_3M_1Y</t>
  </si>
  <si>
    <t>(b) Posições de longo prazo (+)</t>
  </si>
  <si>
    <t>MCG_RAPFAFFL</t>
  </si>
  <si>
    <t>MCG_RAPFAFFL_1M</t>
  </si>
  <si>
    <t>MCG_RAPFAFFL_1M_3M</t>
  </si>
  <si>
    <t>MCG_RAPFAFFL_3M_1Y</t>
  </si>
  <si>
    <t>3. Outras (especificar)</t>
  </si>
  <si>
    <t>MCG_RAPFAO</t>
  </si>
  <si>
    <t>MCG_RAPFAO_1M</t>
  </si>
  <si>
    <t>MCG_RAPFAO_1M_3M</t>
  </si>
  <si>
    <t>MCG_RAPFAO_3M_1Y</t>
  </si>
  <si>
    <t>Pagamentos relacionados com as REPOS (-)</t>
  </si>
  <si>
    <t>MCG_RAPFAOOR</t>
  </si>
  <si>
    <t>MCG_RAPFAOOR_1M</t>
  </si>
  <si>
    <t>MCG_RAPFAOOR_1M_3M</t>
  </si>
  <si>
    <t>MCG_RAPFAOOR_3M_1Y</t>
  </si>
  <si>
    <t>Recebimentos relacionados com REPOS reversas (+)</t>
  </si>
  <si>
    <t>MCG_RAPFAOIRR</t>
  </si>
  <si>
    <t>MCG_RAPFAOIRR_1M</t>
  </si>
  <si>
    <t>MCG_RAPFAOIRR_1M_3M</t>
  </si>
  <si>
    <t>MCG_RAPFAOIRR_3M_1Y</t>
  </si>
  <si>
    <t>Crédito comercial (-)</t>
  </si>
  <si>
    <t>MCG_RAPFAOOC</t>
  </si>
  <si>
    <t>MCG_RAPFAOOC_1M</t>
  </si>
  <si>
    <t>MCG_RAPFAOOC_1M_3M</t>
  </si>
  <si>
    <t>MCG_RAPFAOOC_3M_1Y</t>
  </si>
  <si>
    <t>Crédito comercial (+)</t>
  </si>
  <si>
    <t>MCG_RAPFAOIC</t>
  </si>
  <si>
    <t>MCG_RAPFAOIC_1M</t>
  </si>
  <si>
    <t>MCG_RAPFAOIC_1M_3M</t>
  </si>
  <si>
    <t>MCG_RAPFAOIC_3M_1Y</t>
  </si>
  <si>
    <t>Outras contas a pagar (-)</t>
  </si>
  <si>
    <t>MCG_RAPFAOOP</t>
  </si>
  <si>
    <t>MCG_RAPFAOOP_1M</t>
  </si>
  <si>
    <t>MCG_RAPFAOOP_1M_3M</t>
  </si>
  <si>
    <t>BOTSWANA</t>
  </si>
  <si>
    <t>MCG_RAPFAOOP_3M_1Y</t>
  </si>
  <si>
    <t>BRAZIL</t>
  </si>
  <si>
    <t>Outras contas a receber (+)</t>
  </si>
  <si>
    <t>BRUNEI DARUSSALAM</t>
  </si>
  <si>
    <t>MCG_RAPFAOIR</t>
  </si>
  <si>
    <t>MCG_RAPFAOIR_1M</t>
  </si>
  <si>
    <t>MCG_RAPFAOIR_1M_3M</t>
  </si>
  <si>
    <t>MCG_RAPFAOIR_3M_1Y</t>
  </si>
  <si>
    <t>III. Fluxos líquidos contingentes de curto prazo sobre activos em moeda estrangeira (valor nominal)</t>
  </si>
  <si>
    <t>1. Passivos contingentes em ME</t>
  </si>
  <si>
    <t>MCG_RACFAL</t>
  </si>
  <si>
    <t>MCG_RACFAL_1M</t>
  </si>
  <si>
    <t>MCG_RACFAL_1M_3M</t>
  </si>
  <si>
    <t>MCG_RACFAL_3M_1Y</t>
  </si>
  <si>
    <t>(a) Garantias colaterizadas sobre dívidas vincendas no prazo de 1 ano</t>
  </si>
  <si>
    <t>MCG_RACFALG</t>
  </si>
  <si>
    <t>MCG_RACFALG_1M</t>
  </si>
  <si>
    <t>MCG_RACFALG_1M_3M</t>
  </si>
  <si>
    <t>MCG_RACFALG_3M_1Y</t>
  </si>
  <si>
    <t>(b) Outros passivos contingentes</t>
  </si>
  <si>
    <t>MCG_RACFALO</t>
  </si>
  <si>
    <t>MCG_RACFALO_1M</t>
  </si>
  <si>
    <t>MCG_RACFALO_1M_3M</t>
  </si>
  <si>
    <t>MCG_RACFALO_3M_1Y</t>
  </si>
  <si>
    <t>2. Títulos em ME emitidos com opções incorporadas (bônus com  opção de resgate antecipado)</t>
  </si>
  <si>
    <t>MCG_RACFAS</t>
  </si>
  <si>
    <t>3. Linhas de crédito não condicionadas e não utilizadas, fornecidas por:</t>
  </si>
  <si>
    <t>MCG_RACFACB</t>
  </si>
  <si>
    <t>MCG_RACFACB_1M</t>
  </si>
  <si>
    <t>MCG_RACFACB_1M_3M</t>
  </si>
  <si>
    <t>MCG_RACFACB_3M_1Y</t>
  </si>
  <si>
    <t>(a) Outras autoridades monetárias nacionais, BIS, FMI e outras organizações internacionais</t>
  </si>
  <si>
    <t>MCG_RACFACBA</t>
  </si>
  <si>
    <t>MCG_RACFACBA_1M</t>
  </si>
  <si>
    <t>MCG_RACFACBA_1M_3M</t>
  </si>
  <si>
    <t>MCG_RACFACBA_3M_1Y</t>
  </si>
  <si>
    <t>Outras autoridades monetárias nacionais (+)</t>
  </si>
  <si>
    <t>MCG_RACFACBAON</t>
  </si>
  <si>
    <t>MCG_RACFACBAON_1M</t>
  </si>
  <si>
    <t>MCG_RACFACBAON_1M_3M</t>
  </si>
  <si>
    <t>MCG_RACFACBAON_3M_1Y</t>
  </si>
  <si>
    <t>BIS (+)</t>
  </si>
  <si>
    <t>MCG_RACFACBABIS</t>
  </si>
  <si>
    <t>MCG_RACFACBABIS_1M</t>
  </si>
  <si>
    <t>MCG_RACFACBABIS_1M_3M</t>
  </si>
  <si>
    <t>MCG_RACFACBABIS_3M_1Y</t>
  </si>
  <si>
    <t>FMI (+)</t>
  </si>
  <si>
    <t>MCG_RACFACBAIMF</t>
  </si>
  <si>
    <t>MCG_RACFACBAIMF_1M</t>
  </si>
  <si>
    <t>MCG_RACFACBAIMF_1M_3M</t>
  </si>
  <si>
    <t>MCG_RACFACBAIMF_3M_1Y</t>
  </si>
  <si>
    <t>Outras organizações internacionais (+)</t>
  </si>
  <si>
    <t>MCG_RACFACBAOI</t>
  </si>
  <si>
    <t>MCG_RACFACBAOI_1M</t>
  </si>
  <si>
    <t>MCG_RACFACBAOI_1M_3M</t>
  </si>
  <si>
    <t>MCG_RACFACBAOI_3M_1Y</t>
  </si>
  <si>
    <t>(b) Bancos e outras instituições financeiras com sede no país declarante (+)</t>
  </si>
  <si>
    <t>MCG_RACFACBFIR</t>
  </si>
  <si>
    <t>MCG_RACFACBFIR_1M</t>
  </si>
  <si>
    <t>MCG_RACFACBFIR_1M_3M</t>
  </si>
  <si>
    <t>MCG_RACFACBFIR_3M_1Y</t>
  </si>
  <si>
    <t>(c) Bancos e outras instituições financeiras com sede fora do país declarante (+)</t>
  </si>
  <si>
    <t>MCG_RACFACBFIO</t>
  </si>
  <si>
    <t>MCG_RACFACBFIO_1M</t>
  </si>
  <si>
    <t>MCG_RACFACBFIO_1M_3M</t>
  </si>
  <si>
    <t>MCG_RACFACBFIO_3M_1Y</t>
  </si>
  <si>
    <t>4. Linhas de crédito não condicionadas e não utilizadas, fornecidas a:</t>
  </si>
  <si>
    <t>MCG_RACFACT</t>
  </si>
  <si>
    <t>MCG_RACFACT_1M</t>
  </si>
  <si>
    <t>MCG_RACFACT_1M_3M</t>
  </si>
  <si>
    <t>MCG_RACFACT_3M_1Y</t>
  </si>
  <si>
    <t>MCG_RACFACTA</t>
  </si>
  <si>
    <t>MCG_RACFACTA_1M</t>
  </si>
  <si>
    <t>MCG_RACFACTA_1M_3M</t>
  </si>
  <si>
    <t>MCG_RACFACTA_3M_1Y</t>
  </si>
  <si>
    <t>Outras autoridades monetárias nacionais (-)</t>
  </si>
  <si>
    <t>MCG_RACFACTAON</t>
  </si>
  <si>
    <t>MCG_RACFACTAON_1M</t>
  </si>
  <si>
    <t>MCG_RACFACTAON_1M_3M</t>
  </si>
  <si>
    <t>MCG_RACFACTAON_3M_1Y</t>
  </si>
  <si>
    <t>BIS (-)</t>
  </si>
  <si>
    <t>MCG_RACFACTABIS</t>
  </si>
  <si>
    <t>MCG_RACFACTABIS_1M</t>
  </si>
  <si>
    <t>MCG_RACFACTABIS_1M_3M</t>
  </si>
  <si>
    <t>MCG_RACFACTABIS_3M_1Y</t>
  </si>
  <si>
    <t>FMI (-)</t>
  </si>
  <si>
    <t>MCG_RACFACTAIMF</t>
  </si>
  <si>
    <t>MCG_RACFACTAIMF_1M</t>
  </si>
  <si>
    <t>MCG_RACFACTAIMF_1M_3M</t>
  </si>
  <si>
    <t>MCG_RACFACTAIMF_3M_1Y</t>
  </si>
  <si>
    <t>Outras organizações internacionais (-)</t>
  </si>
  <si>
    <t>MCG_RACFACTAOI</t>
  </si>
  <si>
    <t>MCG_RACFACTAOI_1M</t>
  </si>
  <si>
    <t>MCG_RACFACTAOI_1M_3M</t>
  </si>
  <si>
    <t>MCG_RACFACTAOI_3M_1Y</t>
  </si>
  <si>
    <t>(b) Bancos e outras instituições financeiras com sede no país declarante (-)</t>
  </si>
  <si>
    <t>MCG_RACFACTFIR</t>
  </si>
  <si>
    <t>MCG_RACFACTFIR_1M</t>
  </si>
  <si>
    <t>MCG_RACFACTFIR_1M_3M</t>
  </si>
  <si>
    <t>MCG_RACFACTFIR_3M_1Y</t>
  </si>
  <si>
    <t>(c) Bancos e outras instituições financeiras com sede fora do país declarante (-)</t>
  </si>
  <si>
    <t>MCG_RACFACTFIO</t>
  </si>
  <si>
    <t>MCG_RACFACTFIO_1M</t>
  </si>
  <si>
    <t>MCG_RACFACTFIO_1M_3M</t>
  </si>
  <si>
    <t>MCG_RACFACTFIO_3M_1Y</t>
  </si>
  <si>
    <t>5. Posição agregada de curto e longo prazo dos contratos a prazo e futuros em ME em relação a MN</t>
  </si>
  <si>
    <t>(a) Posições de curto prazo</t>
  </si>
  <si>
    <t>MCG_RACFAPPS</t>
  </si>
  <si>
    <t>MCG_RACFAPPS_1M</t>
  </si>
  <si>
    <t>MCG_RACFAPPS_1M_3M</t>
  </si>
  <si>
    <t>MCG_RACFAPPS_3M_1Y</t>
  </si>
  <si>
    <t>(i) Opções de venda (put) adquiridas</t>
  </si>
  <si>
    <t>MCG_RACFAPPSBP</t>
  </si>
  <si>
    <t>MCG_RACFAPPSBP_1M</t>
  </si>
  <si>
    <t>MCG_RACFAPPSBP_1M_3M</t>
  </si>
  <si>
    <t>MCG_RACFAPPSBP_3M_1Y</t>
  </si>
  <si>
    <t>(ii) Opções de compra (call) lançadas</t>
  </si>
  <si>
    <t>MCG_RACFAPPSWC</t>
  </si>
  <si>
    <t>MCG_RACFAPPSWC_1M</t>
  </si>
  <si>
    <t>MCG_RACFAPPSWC_1M_3M</t>
  </si>
  <si>
    <t>MCG_RACFAPPSWC_3M_1Y</t>
  </si>
  <si>
    <t>(b) Posições de longo prazo</t>
  </si>
  <si>
    <t>MCG_RACFAPPL</t>
  </si>
  <si>
    <t>MCG_RACFAPPL_1M</t>
  </si>
  <si>
    <t>MCG_RACFAPPL_1M_3M</t>
  </si>
  <si>
    <t>MCG_RACFAPPL_3M_1Y</t>
  </si>
  <si>
    <t>MCG_RACFAPPLBC</t>
  </si>
  <si>
    <t>MCG_RACFAPPLBC_1M</t>
  </si>
  <si>
    <t>MCG_RACFAPPLBC_1M_3M</t>
  </si>
  <si>
    <t>MCG_RACFAPPLBC_3M_1Y</t>
  </si>
  <si>
    <t>MCG_RACFAPPLWP</t>
  </si>
  <si>
    <t>MCG_RACFAPPLWP_1M</t>
  </si>
  <si>
    <t>MCG_RACFAPPLWP_1M_3M</t>
  </si>
  <si>
    <t>MCG_RACFAPPLWP_3M_1Y</t>
  </si>
  <si>
    <t>PRO MEMORIA: opções no dinheiro 11</t>
  </si>
  <si>
    <t>(1) Na taxa de câmbio atual</t>
  </si>
  <si>
    <t>(a) Posição de curto prazo</t>
  </si>
  <si>
    <t>MCG_RACFAMPAS</t>
  </si>
  <si>
    <t>MCG_RACFAMPAS_1M</t>
  </si>
  <si>
    <t>MCG_RACFAMPAS_1M_3M</t>
  </si>
  <si>
    <t>MCG_RACFAMPAS_3M_1Y</t>
  </si>
  <si>
    <t>(b) Posição de longo prazo</t>
  </si>
  <si>
    <t>MCG_RACFAMPAL</t>
  </si>
  <si>
    <t>MCG_RACFAMPAL_1M</t>
  </si>
  <si>
    <t>MCG_RACFAMPAL_1M_3M</t>
  </si>
  <si>
    <t>MCG_RACFAMPAL_3M_1Y</t>
  </si>
  <si>
    <t>(2) + 5% (depreciação de 5%)</t>
  </si>
  <si>
    <t>MCG_RACFAMPBS</t>
  </si>
  <si>
    <t>MCG_RACFAMPBS_1M</t>
  </si>
  <si>
    <t>MCG_RACFAMPBS_1M_3M</t>
  </si>
  <si>
    <t>MCG_RACFAMPBS_3M_1Y</t>
  </si>
  <si>
    <t>MCG_RACFAMPBL</t>
  </si>
  <si>
    <t>MCG_RACFAMPBL_1M</t>
  </si>
  <si>
    <t>MCG_RACFAMPBL_1M_3M</t>
  </si>
  <si>
    <t>MCG_RACFAMPBL_3M_1Y</t>
  </si>
  <si>
    <t>(3) - 5% (valorização de 5%)</t>
  </si>
  <si>
    <t>MCG_RACFAMPCS</t>
  </si>
  <si>
    <t>MCG_RACFAMPCS_1M</t>
  </si>
  <si>
    <t>MCG_RACFAMPCS_1M_3M</t>
  </si>
  <si>
    <t>MCG_RACFAMPCS_3M_1Y</t>
  </si>
  <si>
    <t>MCG_RACFAMPCL</t>
  </si>
  <si>
    <t>MCG_RACFAMPCL_1M</t>
  </si>
  <si>
    <t>MCG_RACFAMPCL_1M_3M</t>
  </si>
  <si>
    <t>MCG_RACFAMPCL_3M_1Y</t>
  </si>
  <si>
    <t>(4) +10% (depreciação de 10%)</t>
  </si>
  <si>
    <t>MCG_RACFAMPDS</t>
  </si>
  <si>
    <t>MCG_RACFAMPDS_1M</t>
  </si>
  <si>
    <t>MCG_RACFAMPDS_1M_3M</t>
  </si>
  <si>
    <t>MCG_RACFAMPDS_3M_1Y</t>
  </si>
  <si>
    <t>MCG_RACFAMPDL</t>
  </si>
  <si>
    <t>MCG_RACFAMPDL_1M</t>
  </si>
  <si>
    <t>MCG_RACFAMPDL_1M_3M</t>
  </si>
  <si>
    <t>MCG_RACFAMPDL_3M_1Y</t>
  </si>
  <si>
    <t>(5) - 10% (valorização de 10%)</t>
  </si>
  <si>
    <t>MCG_RACFAMPES</t>
  </si>
  <si>
    <t>MCG_RACFAMPES_1M</t>
  </si>
  <si>
    <t>MCG_RACFAMPES_1M_3M</t>
  </si>
  <si>
    <t>MCG_RACFAMPES_3M_1Y</t>
  </si>
  <si>
    <t>MCG_RACFAMPEL</t>
  </si>
  <si>
    <t>MCG_RACFAMPEL_1M</t>
  </si>
  <si>
    <t>MCG_RACFAMPEL_1M_3M</t>
  </si>
  <si>
    <t>MCG_RACFAMPEL_3M_1Y</t>
  </si>
  <si>
    <t>(6) Outro (especificar)</t>
  </si>
  <si>
    <t>MCG_RACFAMPFS</t>
  </si>
  <si>
    <t>MCG_RACFAMPFS_1M</t>
  </si>
  <si>
    <t>MCG_RACFAMPFS_1M_3M</t>
  </si>
  <si>
    <t>MCG_RACFAMPFS_3M_1Y</t>
  </si>
  <si>
    <t>MCG_RACFAMPFL</t>
  </si>
  <si>
    <t>MCG_RACFAMPFL_1M</t>
  </si>
  <si>
    <t>GRENADA</t>
  </si>
  <si>
    <t>MCG_RACFAMPFL_1M_3M</t>
  </si>
  <si>
    <t>GUADELOUPE</t>
  </si>
  <si>
    <t>MCG_RACFAMPFL_3M_1Y</t>
  </si>
  <si>
    <t>GUAM</t>
  </si>
  <si>
    <t>GUATEMALA</t>
  </si>
  <si>
    <t>IV. Itens de memorando</t>
  </si>
  <si>
    <t>GUIANA, FRENCH</t>
  </si>
  <si>
    <t>GUINEA-BISSAU</t>
  </si>
  <si>
    <t>(1) Deverão ser reportados com periodicidade e pontualidade padrão:</t>
  </si>
  <si>
    <t>GUYANA</t>
  </si>
  <si>
    <t>(a) Dívida de curto prazo em moeda nacional indexada à taxa de câmbio</t>
  </si>
  <si>
    <t>HAITI</t>
  </si>
  <si>
    <t>(b) Instrumentos financeiros denominados em moeda estrangeira e liquidados por outros meios (por ex: em moeda nacional)</t>
  </si>
  <si>
    <t>HONDURAS</t>
  </si>
  <si>
    <t>—Derivados (contratos a termo, futuros ou de opções)</t>
  </si>
  <si>
    <t>HUNGARY</t>
  </si>
  <si>
    <t xml:space="preserve">               -Posições de curto prazo </t>
  </si>
  <si>
    <t>ICELAND</t>
  </si>
  <si>
    <t xml:space="preserve">               -Posições de longo prazo</t>
  </si>
  <si>
    <t>INDIA</t>
  </si>
  <si>
    <t>—Outros instrumentos</t>
  </si>
  <si>
    <t>INDONESIA</t>
  </si>
  <si>
    <t>(c) Activos dados em garantia</t>
  </si>
  <si>
    <t>IRAN, I.R. OF</t>
  </si>
  <si>
    <t>—Incluído nos activos de reserva</t>
  </si>
  <si>
    <t>IRAQ</t>
  </si>
  <si>
    <t>—Incluído em outros activos em moeda estrangeira</t>
  </si>
  <si>
    <t>IRELAND</t>
  </si>
  <si>
    <t>(d) Títulos emprestados e em operações compromissadas</t>
  </si>
  <si>
    <t>ISRAEL</t>
  </si>
  <si>
    <t>— emprestado ou reembolsado e incluído na Seção I</t>
  </si>
  <si>
    <t>ITALY</t>
  </si>
  <si>
    <t>— emprestado ou reembolsado, mas não incluído na Seção I</t>
  </si>
  <si>
    <t>JAMAICA</t>
  </si>
  <si>
    <t>— emprestado ou adquirido e incluído na Seção I</t>
  </si>
  <si>
    <t>JAPAN</t>
  </si>
  <si>
    <t>— emprestado ou adquirido, mas não incluído na Seção I</t>
  </si>
  <si>
    <t>JORDAN</t>
  </si>
  <si>
    <t>(e) Activos em instrumentos financeiros derivados (líquidos, ao preço de mercado)</t>
  </si>
  <si>
    <t>KAZAKHSTAN</t>
  </si>
  <si>
    <t>—A termo</t>
  </si>
  <si>
    <t>KENYA</t>
  </si>
  <si>
    <t>—Futuros</t>
  </si>
  <si>
    <t>KIRIBATI</t>
  </si>
  <si>
    <t>—Swaps</t>
  </si>
  <si>
    <t>KOREA</t>
  </si>
  <si>
    <t>—Opções</t>
  </si>
  <si>
    <t>KUWAIT</t>
  </si>
  <si>
    <t xml:space="preserve">—Outros  </t>
  </si>
  <si>
    <t>KYRGYZ REPUBLIC</t>
  </si>
  <si>
    <t>(f) Instrumentos derivados (contratos a termo, futuros ou de opções) com vencimento residual superior a um ano.</t>
  </si>
  <si>
    <t>LAO PEOPLE'S DEM.REP</t>
  </si>
  <si>
    <t>—Posições agregadas de compra e venda em contratos a termo e futuros em moeda estrangeira em relação à moeda nacional (incluindo o prazo de swaps cambiais)</t>
  </si>
  <si>
    <t>LATVIA</t>
  </si>
  <si>
    <t>(a)  Posições de curto prazo ( – )</t>
  </si>
  <si>
    <t>LEBANON</t>
  </si>
  <si>
    <t>(b)  Posições de longo prazo (+)</t>
  </si>
  <si>
    <t>LESOTHO</t>
  </si>
  <si>
    <t>—Posições agregadas de compra e venda de contraopções em moeda estrangeira face à-vis a moeda nacional</t>
  </si>
  <si>
    <t>LIBERIA</t>
  </si>
  <si>
    <t>LIBYA</t>
  </si>
  <si>
    <t>LITHUANIA</t>
  </si>
  <si>
    <t>LUXEMBOURG</t>
  </si>
  <si>
    <t>MACEDONIA, FYR</t>
  </si>
  <si>
    <t>MADAGASCAR</t>
  </si>
  <si>
    <t>MALAWI</t>
  </si>
  <si>
    <t>(2) A divulgar na base anual:</t>
  </si>
  <si>
    <t>MALAYSIA</t>
  </si>
  <si>
    <t>(a) Composição monetária das reservas (por grupos de moedas)</t>
  </si>
  <si>
    <t>MCG_RAMCR</t>
  </si>
  <si>
    <t>MALDIVES</t>
  </si>
  <si>
    <t>Moedas no cesto dos DES</t>
  </si>
  <si>
    <t>MCG_RAMCRISDR</t>
  </si>
  <si>
    <t>MALI</t>
  </si>
  <si>
    <t>Moedas fora do cesto dos DES</t>
  </si>
  <si>
    <t>MCG_RAMCROSDR</t>
  </si>
  <si>
    <t>MALTA</t>
  </si>
  <si>
    <t>Fonte: BNA/DES</t>
  </si>
  <si>
    <t>MARTINIQUE</t>
  </si>
  <si>
    <r>
      <rPr>
        <b/>
        <sz val="11"/>
        <color rgb="FF000000"/>
        <rFont val="Calibri"/>
        <family val="2"/>
      </rPr>
      <t xml:space="preserve">Nota: </t>
    </r>
    <r>
      <rPr>
        <sz val="11"/>
        <color rgb="FF000000"/>
        <rFont val="Calibri"/>
        <family val="2"/>
      </rPr>
      <t>A partir de Janeiro de 2022, no apuramento das estatísticas sobre as reservas internacionais passou-se a excluir os títulos colaterizados em operações de financiamento (Repo) e os depósitos do Tesouro Nacional em moeda estrangeira, que doravante  serão reclassificados em outros activos externos, no balanço do Banco Central.</t>
    </r>
  </si>
  <si>
    <t>TAJIKISTAN</t>
  </si>
  <si>
    <t>TANZANIA</t>
  </si>
  <si>
    <t>THAILAND</t>
  </si>
  <si>
    <t>TIMOR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</si>
  <si>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</si>
  <si>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</si>
  <si>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</si>
  <si>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</si>
  <si>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</si>
  <si>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</si>
  <si>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</si>
  <si>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</si>
  <si>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</si>
  <si>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</si>
  <si>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</si>
  <si>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</si>
  <si>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</si>
  <si>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</si>
  <si>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REP. BOL.</t>
  </si>
  <si>
    <t>VIETNAM</t>
  </si>
  <si>
    <t>YEMEN, REPUBLIC OF</t>
  </si>
  <si>
    <t>ZAMBIA</t>
  </si>
  <si>
    <t>ZANZIBAR</t>
  </si>
  <si>
    <t>ZIMBABWE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</si>
  <si>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</si>
  <si>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</si>
  <si>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</si>
  <si>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</si>
  <si>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</si>
  <si>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</si>
  <si>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</si>
  <si>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</si>
  <si>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</si>
  <si>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</si>
  <si>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</si>
  <si>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</si>
  <si>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</si>
  <si>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&lt;No Currency Selected&gt;</t>
  </si>
  <si>
    <t>US Dollars</t>
  </si>
  <si>
    <t>National Currency</t>
  </si>
  <si>
    <t>Euros</t>
  </si>
  <si>
    <t>&lt;No Reporter Selected&gt;</t>
  </si>
  <si>
    <t>Monetary Authorities</t>
  </si>
  <si>
    <t>Central Government</t>
  </si>
  <si>
    <t>2026M2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</si>
</sst>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Times New Roman"/>
      <family val="1"/>
    </font>
    <font>
      <sz val="10"/>
      <color indexed="8"/>
      <name val="MS Sans Serif"/>
      <family val="2"/>
    </font>
    <font>
      <sz val="9"/>
      <color indexed="8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Arial"/>
      <family val="2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0" fontId="2" fillId="2" borderId="1" xfId="0" applyFont="1" applyFill="1" applyBorder="1"/>
    <xf numFmtId="0" fontId="3" fillId="0" borderId="0" xfId="0" applyFont="1"/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left" wrapText="1" indent="1"/>
    </xf>
    <xf numFmtId="0" fontId="3" fillId="3" borderId="3" xfId="0" applyFont="1" applyFill="1" applyBorder="1" applyAlignment="1">
      <alignment vertical="top" wrapText="1"/>
    </xf>
    <xf numFmtId="0" fontId="4" fillId="0" borderId="1" xfId="0" applyFont="1" applyBorder="1" applyAlignment="1" applyProtection="1">
      <alignment horizontal="center" vertical="top"/>
      <protection locked="0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2" fillId="0" borderId="1" xfId="0" applyFont="1" applyBorder="1"/>
    <xf numFmtId="0" fontId="5" fillId="0" borderId="1" xfId="0" applyFont="1" applyBorder="1" applyAlignment="1">
      <alignment horizontal="center"/>
    </xf>
    <xf numFmtId="4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 wrapText="1" indent="1"/>
    </xf>
    <xf numFmtId="0" fontId="3" fillId="3" borderId="3" xfId="0" applyFont="1" applyFill="1" applyBorder="1" applyAlignment="1">
      <alignment horizontal="left" vertical="top" wrapText="1" indent="2"/>
    </xf>
    <xf numFmtId="0" fontId="3" fillId="3" borderId="4" xfId="0" applyFont="1" applyFill="1" applyBorder="1" applyAlignment="1">
      <alignment vertical="top" wrapText="1"/>
    </xf>
    <xf numFmtId="0" fontId="3" fillId="3" borderId="4" xfId="0" applyFont="1" applyFill="1" applyBorder="1" applyAlignment="1">
      <alignment horizontal="left" vertical="top" indent="1"/>
    </xf>
    <xf numFmtId="0" fontId="0" fillId="2" borderId="1" xfId="0" applyFill="1" applyBorder="1" applyAlignment="1">
      <alignment horizontal="left"/>
    </xf>
    <xf numFmtId="0" fontId="3" fillId="3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4" fontId="3" fillId="4" borderId="2" xfId="0" applyNumberFormat="1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left" indent="3"/>
    </xf>
    <xf numFmtId="0" fontId="3" fillId="3" borderId="1" xfId="0" applyFont="1" applyFill="1" applyBorder="1" applyAlignment="1">
      <alignment horizontal="left" vertical="top" wrapText="1" indent="3"/>
    </xf>
    <xf numFmtId="0" fontId="3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indent="4"/>
    </xf>
    <xf numFmtId="0" fontId="3" fillId="3" borderId="1" xfId="0" applyFont="1" applyFill="1" applyBorder="1" applyAlignment="1">
      <alignment horizontal="left" vertical="top" wrapText="1" indent="4"/>
    </xf>
    <xf numFmtId="0" fontId="3" fillId="3" borderId="0" xfId="0" applyFont="1" applyFill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4" fontId="3" fillId="4" borderId="1" xfId="0" applyNumberFormat="1" applyFont="1" applyFill="1" applyBorder="1" applyAlignment="1">
      <alignment horizontal="right" wrapText="1"/>
    </xf>
    <xf numFmtId="0" fontId="3" fillId="3" borderId="3" xfId="0" applyFont="1" applyFill="1" applyBorder="1" applyAlignment="1">
      <alignment horizontal="left" vertical="top" wrapText="1" indent="3"/>
    </xf>
    <xf numFmtId="0" fontId="3" fillId="3" borderId="6" xfId="0" applyFont="1" applyFill="1" applyBorder="1" applyAlignment="1">
      <alignment vertical="top" wrapText="1"/>
    </xf>
    <xf numFmtId="0" fontId="3" fillId="3" borderId="3" xfId="0" applyFont="1" applyFill="1" applyBorder="1" applyAlignment="1">
      <alignment horizontal="left" vertical="top" wrapText="1" indent="1"/>
    </xf>
    <xf numFmtId="0" fontId="3" fillId="0" borderId="4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0" fillId="2" borderId="7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4" fillId="0" borderId="0" xfId="0" applyFont="1" applyAlignment="1">
      <alignment wrapText="1"/>
    </xf>
    <xf numFmtId="0" fontId="0" fillId="2" borderId="8" xfId="0" applyFill="1" applyBorder="1" applyAlignment="1">
      <alignment horizontal="left"/>
    </xf>
    <xf numFmtId="0" fontId="3" fillId="0" borderId="1" xfId="0" applyFont="1" applyBorder="1" applyAlignment="1">
      <alignment vertical="top"/>
    </xf>
    <xf numFmtId="0" fontId="3" fillId="3" borderId="3" xfId="0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wrapText="1"/>
    </xf>
    <xf numFmtId="0" fontId="0" fillId="2" borderId="1" xfId="0" applyFill="1" applyBorder="1"/>
    <xf numFmtId="0" fontId="8" fillId="0" borderId="0" xfId="0" applyFont="1" applyAlignment="1">
      <alignment horizontal="left" vertical="top"/>
    </xf>
    <xf numFmtId="0" fontId="9" fillId="5" borderId="0" xfId="0" applyFont="1" applyFill="1"/>
    <xf numFmtId="0" fontId="9" fillId="5" borderId="1" xfId="0" applyFont="1" applyFill="1" applyBorder="1" applyProtection="1">
      <protection locked="0"/>
    </xf>
    <xf numFmtId="0" fontId="4" fillId="0" borderId="0" xfId="0" applyFont="1"/>
    <xf numFmtId="0" fontId="1" fillId="0" borderId="0" xfId="0" applyFont="1"/>
    <xf numFmtId="4" fontId="3" fillId="4" borderId="3" xfId="0" applyNumberFormat="1" applyFont="1" applyFill="1" applyBorder="1" applyAlignment="1">
      <alignment horizontal="right" wrapText="1"/>
    </xf>
    <xf numFmtId="0" fontId="0" fillId="0" borderId="3" xfId="0" applyBorder="1" applyProtection="1">
      <protection locked="0"/>
    </xf>
    <xf numFmtId="4" fontId="3" fillId="4" borderId="4" xfId="0" applyNumberFormat="1" applyFont="1" applyFill="1" applyBorder="1" applyAlignment="1">
      <alignment horizontal="right" wrapText="1"/>
    </xf>
    <xf numFmtId="4" fontId="0" fillId="0" borderId="3" xfId="0" applyNumberFormat="1" applyBorder="1" applyProtection="1">
      <protection locked="0"/>
    </xf>
    <xf numFmtId="0" fontId="0" fillId="0" borderId="4" xfId="0" applyBorder="1" applyProtection="1">
      <protection locked="0"/>
    </xf>
    <xf numFmtId="0" fontId="11" fillId="5" borderId="0" xfId="0" applyFont="1" applyFill="1" applyAlignment="1">
      <alignment wrapText="1"/>
    </xf>
    <xf numFmtId="4" fontId="0" fillId="0" borderId="1" xfId="0" applyNumberFormat="1" applyBorder="1" applyAlignment="1" applyProtection="1">
      <alignment horizontal="right"/>
      <protection locked="0"/>
    </xf>
    <xf numFmtId="4" fontId="0" fillId="0" borderId="8" xfId="0" applyNumberFormat="1" applyBorder="1" applyProtection="1">
      <protection locked="0"/>
    </xf>
    <xf numFmtId="4" fontId="0" fillId="6" borderId="1" xfId="0" applyNumberFormat="1" applyFill="1" applyBorder="1" applyAlignment="1" applyProtection="1">
      <alignment horizontal="right"/>
      <protection locked="0"/>
    </xf>
    <xf numFmtId="0" fontId="3" fillId="0" borderId="1" xfId="0" applyFont="1" applyBorder="1" applyAlignment="1">
      <alignment horizontal="left" indent="4"/>
    </xf>
    <xf numFmtId="0" fontId="3" fillId="0" borderId="1" xfId="0" applyFont="1" applyBorder="1" applyAlignment="1">
      <alignment horizontal="left" vertical="top" wrapText="1" indent="4"/>
    </xf>
    <xf numFmtId="0" fontId="12" fillId="0" borderId="0" xfId="0" applyFont="1"/>
    <xf numFmtId="4" fontId="0" fillId="0" borderId="0" xfId="0" applyNumberFormat="1"/>
    <xf numFmtId="4" fontId="0" fillId="0" borderId="9" xfId="0" applyNumberFormat="1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4" fontId="0" fillId="0" borderId="9" xfId="0" applyNumberFormat="1" applyBorder="1" applyAlignment="1" applyProtection="1">
      <alignment horizontal="right"/>
      <protection locked="0"/>
    </xf>
    <xf numFmtId="4" fontId="0" fillId="6" borderId="9" xfId="0" applyNumberFormat="1" applyFill="1" applyBorder="1" applyAlignment="1" applyProtection="1">
      <alignment horizontal="right"/>
      <protection locked="0"/>
    </xf>
    <xf numFmtId="0" fontId="0" fillId="0" borderId="8" xfId="0" applyBorder="1" applyProtection="1">
      <protection locked="0"/>
    </xf>
    <xf numFmtId="4" fontId="0" fillId="6" borderId="10" xfId="0" applyNumberFormat="1" applyFill="1" applyBorder="1" applyAlignment="1" applyProtection="1">
      <alignment horizontal="right"/>
      <protection locked="0"/>
    </xf>
    <xf numFmtId="0" fontId="2" fillId="0" borderId="11" xfId="0" applyFont="1" applyBorder="1"/>
    <xf numFmtId="4" fontId="0" fillId="0" borderId="3" xfId="0" applyNumberFormat="1" applyBorder="1" applyAlignment="1" applyProtection="1">
      <alignment horizontal="right"/>
      <protection locked="0"/>
    </xf>
    <xf numFmtId="4" fontId="0" fillId="6" borderId="3" xfId="0" applyNumberFormat="1" applyFill="1" applyBorder="1" applyAlignment="1" applyProtection="1">
      <alignment horizontal="right"/>
      <protection locked="0"/>
    </xf>
    <xf numFmtId="4" fontId="0" fillId="0" borderId="11" xfId="0" applyNumberFormat="1" applyBorder="1" applyAlignment="1" applyProtection="1">
      <alignment horizontal="right"/>
      <protection locked="0"/>
    </xf>
    <xf numFmtId="0" fontId="5" fillId="0" borderId="3" xfId="0" applyFont="1" applyBorder="1" applyAlignment="1">
      <alignment horizontal="center"/>
    </xf>
    <xf numFmtId="4" fontId="0" fillId="0" borderId="4" xfId="0" applyNumberFormat="1" applyBorder="1" applyProtection="1">
      <protection locked="0"/>
    </xf>
    <xf numFmtId="4" fontId="0" fillId="6" borderId="11" xfId="0" applyNumberFormat="1" applyFill="1" applyBorder="1" applyAlignment="1" applyProtection="1">
      <alignment horizontal="right"/>
      <protection locked="0"/>
    </xf>
    <xf numFmtId="4" fontId="2" fillId="0" borderId="11" xfId="0" applyNumberFormat="1" applyFont="1" applyBorder="1"/>
    <xf numFmtId="0" fontId="5" fillId="0" borderId="11" xfId="0" applyFont="1" applyBorder="1" applyAlignment="1">
      <alignment horizontal="center"/>
    </xf>
    <xf numFmtId="4" fontId="2" fillId="0" borderId="14" xfId="0" applyNumberFormat="1" applyFont="1" applyBorder="1"/>
    <xf numFmtId="2" fontId="13" fillId="0" borderId="0" xfId="0" applyNumberFormat="1" applyFont="1"/>
    <xf numFmtId="2" fontId="2" fillId="0" borderId="0" xfId="0" applyNumberFormat="1" applyFont="1"/>
    <xf numFmtId="0" fontId="13" fillId="0" borderId="1" xfId="0" applyFont="1" applyBorder="1"/>
    <xf numFmtId="0" fontId="4" fillId="0" borderId="13" xfId="0" applyFont="1" applyBorder="1" applyAlignment="1" applyProtection="1">
      <alignment horizontal="center" vertical="top"/>
      <protection locked="0"/>
    </xf>
    <xf numFmtId="0" fontId="4" fillId="0" borderId="3" xfId="0" applyFont="1" applyBorder="1" applyAlignment="1" applyProtection="1">
      <alignment horizontal="center" vertical="top"/>
      <protection locked="0"/>
    </xf>
    <xf numFmtId="0" fontId="4" fillId="0" borderId="11" xfId="0" applyFont="1" applyBorder="1" applyAlignment="1" applyProtection="1">
      <alignment horizontal="center" vertical="top"/>
      <protection locked="0"/>
    </xf>
    <xf numFmtId="4" fontId="2" fillId="0" borderId="0" xfId="0" applyNumberFormat="1" applyFont="1"/>
    <xf numFmtId="4" fontId="3" fillId="4" borderId="9" xfId="0" applyNumberFormat="1" applyFont="1" applyFill="1" applyBorder="1" applyAlignment="1">
      <alignment horizontal="right" wrapText="1"/>
    </xf>
    <xf numFmtId="4" fontId="3" fillId="4" borderId="11" xfId="0" applyNumberFormat="1" applyFont="1" applyFill="1" applyBorder="1" applyAlignment="1">
      <alignment horizontal="right" wrapText="1"/>
    </xf>
    <xf numFmtId="4" fontId="3" fillId="4" borderId="13" xfId="0" applyNumberFormat="1" applyFont="1" applyFill="1" applyBorder="1" applyAlignment="1">
      <alignment horizontal="right" wrapText="1"/>
    </xf>
    <xf numFmtId="4" fontId="3" fillId="4" borderId="15" xfId="0" applyNumberFormat="1" applyFont="1" applyFill="1" applyBorder="1" applyAlignment="1">
      <alignment horizontal="right" wrapText="1"/>
    </xf>
    <xf numFmtId="4" fontId="3" fillId="4" borderId="10" xfId="0" applyNumberFormat="1" applyFont="1" applyFill="1" applyBorder="1" applyAlignment="1">
      <alignment horizontal="right" wrapText="1"/>
    </xf>
    <xf numFmtId="0" fontId="11" fillId="0" borderId="9" xfId="0" applyFont="1" applyBorder="1"/>
    <xf numFmtId="0" fontId="0" fillId="5" borderId="0" xfId="0" applyFill="1"/>
    <xf numFmtId="0" fontId="3" fillId="5" borderId="1" xfId="0" applyFont="1" applyFill="1" applyBorder="1" applyAlignment="1">
      <alignment horizontal="left" indent="4"/>
    </xf>
    <xf numFmtId="0" fontId="3" fillId="5" borderId="3" xfId="0" applyFont="1" applyFill="1" applyBorder="1" applyAlignment="1">
      <alignment vertical="top" wrapText="1"/>
    </xf>
    <xf numFmtId="4" fontId="0" fillId="5" borderId="1" xfId="0" applyNumberFormat="1" applyFill="1" applyBorder="1" applyAlignment="1" applyProtection="1">
      <alignment horizontal="right"/>
      <protection locked="0"/>
    </xf>
    <xf numFmtId="4" fontId="0" fillId="5" borderId="9" xfId="0" applyNumberFormat="1" applyFill="1" applyBorder="1" applyAlignment="1" applyProtection="1">
      <alignment horizontal="right"/>
      <protection locked="0"/>
    </xf>
    <xf numFmtId="4" fontId="0" fillId="5" borderId="12" xfId="0" applyNumberFormat="1" applyFill="1" applyBorder="1" applyAlignment="1" applyProtection="1">
      <alignment horizontal="right"/>
      <protection locked="0"/>
    </xf>
    <xf numFmtId="4" fontId="0" fillId="5" borderId="3" xfId="0" applyNumberFormat="1" applyFill="1" applyBorder="1" applyAlignment="1" applyProtection="1">
      <alignment horizontal="right"/>
      <protection locked="0"/>
    </xf>
    <xf numFmtId="4" fontId="0" fillId="5" borderId="3" xfId="0" applyNumberFormat="1" applyFill="1" applyBorder="1" applyAlignment="1" applyProtection="1">
      <alignment horizontal="right" wrapText="1"/>
      <protection locked="0"/>
    </xf>
    <xf numFmtId="2" fontId="2" fillId="5" borderId="14" xfId="0" applyNumberFormat="1" applyFont="1" applyFill="1" applyBorder="1"/>
    <xf numFmtId="0" fontId="2" fillId="5" borderId="14" xfId="0" applyFont="1" applyFill="1" applyBorder="1"/>
    <xf numFmtId="0" fontId="2" fillId="5" borderId="0" xfId="0" applyFont="1" applyFill="1"/>
    <xf numFmtId="0" fontId="3" fillId="5" borderId="1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4" fontId="3" fillId="5" borderId="2" xfId="0" applyNumberFormat="1" applyFont="1" applyFill="1" applyBorder="1" applyAlignment="1">
      <alignment horizontal="right" wrapText="1"/>
    </xf>
    <xf numFmtId="0" fontId="0" fillId="5" borderId="1" xfId="0" applyFill="1" applyBorder="1" applyAlignment="1">
      <alignment horizontal="left"/>
    </xf>
    <xf numFmtId="3" fontId="0" fillId="0" borderId="8" xfId="0" applyNumberFormat="1" applyBorder="1" applyProtection="1">
      <protection locked="0"/>
    </xf>
  </cellXfs>
  <cellStyles count="2">
    <cellStyle name="Normal" xfId="0" builtinId="0"/>
    <cellStyle name="Normal_Sheet1" xfId="1" xr:uid="{93C9C4CC-C66F-422C-91F8-E352D52832E3}"/>
  </cellStyles>
  <dxfs count="2"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F970-1FB2-4554-8491-ACC3C7A2935F}">
  <dimension ref="A2:JJ410"/>
  <sheetViews>
    <sheetView showGridLines="0" tabSelected="1" zoomScale="90" zoomScaleNormal="90" workbookViewId="0">
      <pane xSplit="2" ySplit="7" topLeftCell="AV8" activePane="bottomRight" state="frozen"/>
      <selection pane="topRight" activeCell="D1" sqref="D1"/>
      <selection pane="bottomLeft" activeCell="A8" sqref="A8"/>
      <selection pane="bottomRight" activeCell="BE17" sqref="BE17"/>
    </sheetView>
  </sheetViews>
  <sheetFormatPr defaultColWidth="0" defaultRowHeight="15" x14ac:dyDescent="0.25"/>
  <cols>
    <col min="1" max="1" width="4.28515625" customWidth="1"/>
    <col min="2" max="2" width="77.85546875" style="1" customWidth="1"/>
    <col min="3" max="3" width="0.140625" style="1" hidden="1" customWidth="1"/>
    <col min="4" max="4" width="13.5703125" style="2" customWidth="1"/>
    <col min="5" max="16" width="13.5703125" style="1" customWidth="1"/>
    <col min="17" max="17" width="13.5703125" style="63" customWidth="1"/>
    <col min="18" max="20" width="13.5703125" style="1" customWidth="1"/>
    <col min="21" max="29" width="13.7109375" style="1" customWidth="1"/>
    <col min="30" max="41" width="14.140625" style="1" customWidth="1"/>
    <col min="42" max="42" width="15.7109375" style="1" customWidth="1"/>
    <col min="43" max="43" width="12.7109375" style="1" customWidth="1"/>
    <col min="44" max="54" width="11.85546875" style="1" customWidth="1"/>
    <col min="55" max="55" width="12" style="1" customWidth="1"/>
    <col min="56" max="86" width="9.140625" style="1" customWidth="1"/>
    <col min="87" max="88" width="12.7109375" style="1" hidden="1" customWidth="1"/>
    <col min="89" max="241" width="0" style="1" hidden="1" customWidth="1"/>
    <col min="242" max="243" width="12.7109375" style="1" hidden="1" customWidth="1"/>
    <col min="244" max="270" width="0" style="1" hidden="1" customWidth="1"/>
    <col min="271" max="16384" width="12.7109375" style="1" hidden="1"/>
  </cols>
  <sheetData>
    <row r="2" spans="1:87" ht="18" x14ac:dyDescent="0.25">
      <c r="B2" s="47" t="s">
        <v>0</v>
      </c>
      <c r="Q2" s="1"/>
    </row>
    <row r="3" spans="1:87" x14ac:dyDescent="0.25">
      <c r="B3"/>
      <c r="C3"/>
      <c r="D3"/>
      <c r="E3"/>
      <c r="F3"/>
      <c r="G3"/>
      <c r="H3"/>
      <c r="Q3" s="1"/>
      <c r="CI3" s="3" t="s">
        <v>1</v>
      </c>
    </row>
    <row r="4" spans="1:87" x14ac:dyDescent="0.25">
      <c r="B4" t="s">
        <v>2</v>
      </c>
      <c r="C4"/>
      <c r="D4"/>
      <c r="E4"/>
      <c r="F4"/>
      <c r="G4"/>
      <c r="H4"/>
      <c r="Q4" s="1"/>
      <c r="CI4" s="5">
        <v>5</v>
      </c>
    </row>
    <row r="5" spans="1:87" ht="16.5" customHeight="1" x14ac:dyDescent="0.25">
      <c r="B5" s="6"/>
      <c r="C5" s="7" t="s">
        <v>3</v>
      </c>
      <c r="D5" s="8" t="s">
        <v>4</v>
      </c>
      <c r="E5" s="8" t="s">
        <v>4</v>
      </c>
      <c r="F5" s="8" t="s">
        <v>4</v>
      </c>
      <c r="G5" s="8" t="s">
        <v>5</v>
      </c>
      <c r="H5" s="8" t="s">
        <v>5</v>
      </c>
      <c r="I5" s="8" t="s">
        <v>5</v>
      </c>
      <c r="J5" s="8">
        <v>2022</v>
      </c>
      <c r="K5" s="8">
        <v>2022</v>
      </c>
      <c r="L5" s="8">
        <v>2022</v>
      </c>
      <c r="M5" s="8">
        <v>2022</v>
      </c>
      <c r="N5" s="8">
        <v>2022</v>
      </c>
      <c r="O5" s="8">
        <v>2022</v>
      </c>
      <c r="P5" s="8">
        <v>2022</v>
      </c>
      <c r="Q5" s="8">
        <v>2022</v>
      </c>
      <c r="R5" s="8">
        <v>2022</v>
      </c>
      <c r="S5" s="8">
        <v>2023</v>
      </c>
      <c r="T5" s="8">
        <v>2023</v>
      </c>
      <c r="U5" s="8">
        <v>2023</v>
      </c>
      <c r="V5" s="8">
        <v>2023</v>
      </c>
      <c r="W5" s="8">
        <v>2023</v>
      </c>
      <c r="X5" s="8">
        <v>2023</v>
      </c>
      <c r="Y5" s="8">
        <v>2023</v>
      </c>
      <c r="Z5" s="8">
        <v>2023</v>
      </c>
      <c r="AA5" s="8">
        <v>2023</v>
      </c>
      <c r="AB5" s="8">
        <v>2023</v>
      </c>
      <c r="AC5" s="8">
        <v>2023</v>
      </c>
      <c r="AD5" s="8">
        <v>2023</v>
      </c>
      <c r="AE5" s="8">
        <v>2024</v>
      </c>
      <c r="AF5" s="8">
        <v>2024</v>
      </c>
      <c r="AG5" s="8">
        <v>2024</v>
      </c>
      <c r="AH5" s="8">
        <v>2024</v>
      </c>
      <c r="AI5" s="8">
        <v>2024</v>
      </c>
      <c r="AJ5" s="8">
        <v>2024</v>
      </c>
      <c r="AK5" s="8">
        <v>2024</v>
      </c>
      <c r="AL5" s="8">
        <v>2024</v>
      </c>
      <c r="AM5" s="8">
        <v>2024</v>
      </c>
      <c r="AN5" s="8">
        <v>2024</v>
      </c>
      <c r="AO5" s="8">
        <v>2024</v>
      </c>
      <c r="AP5" s="86">
        <v>2024</v>
      </c>
      <c r="AQ5" s="87">
        <v>2025</v>
      </c>
      <c r="AR5" s="87">
        <v>2025</v>
      </c>
      <c r="AS5" s="87">
        <v>2025</v>
      </c>
      <c r="AT5" s="87">
        <v>2025</v>
      </c>
      <c r="AU5" s="87">
        <v>2025</v>
      </c>
      <c r="AV5" s="87">
        <v>2025</v>
      </c>
      <c r="AW5" s="87">
        <v>2025</v>
      </c>
      <c r="AX5" s="87">
        <v>2025</v>
      </c>
      <c r="AY5" s="87">
        <v>2025</v>
      </c>
      <c r="AZ5" s="87">
        <v>2025</v>
      </c>
      <c r="BA5" s="87">
        <v>2025</v>
      </c>
      <c r="BB5" s="87">
        <v>2025</v>
      </c>
      <c r="BC5" s="87">
        <v>2026</v>
      </c>
      <c r="BD5" s="87">
        <v>2026</v>
      </c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</row>
    <row r="6" spans="1:87" s="4" customFormat="1" ht="48.75" customHeight="1" x14ac:dyDescent="0.25">
      <c r="A6"/>
      <c r="B6" s="41" t="s">
        <v>6</v>
      </c>
      <c r="C6" s="10"/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  <c r="K6" s="8" t="s">
        <v>14</v>
      </c>
      <c r="L6" s="8" t="s">
        <v>15</v>
      </c>
      <c r="M6" s="8" t="s">
        <v>16</v>
      </c>
      <c r="N6" s="8" t="s">
        <v>17</v>
      </c>
      <c r="O6" s="8" t="s">
        <v>18</v>
      </c>
      <c r="P6" s="8" t="s">
        <v>7</v>
      </c>
      <c r="Q6" s="8" t="s">
        <v>8</v>
      </c>
      <c r="R6" s="8" t="s">
        <v>9</v>
      </c>
      <c r="S6" s="8" t="s">
        <v>10</v>
      </c>
      <c r="T6" s="8" t="s">
        <v>11</v>
      </c>
      <c r="U6" s="8" t="s">
        <v>12</v>
      </c>
      <c r="V6" s="8" t="s">
        <v>13</v>
      </c>
      <c r="W6" s="8" t="s">
        <v>14</v>
      </c>
      <c r="X6" s="8" t="s">
        <v>15</v>
      </c>
      <c r="Y6" s="8" t="s">
        <v>16</v>
      </c>
      <c r="Z6" s="8" t="s">
        <v>17</v>
      </c>
      <c r="AA6" s="8" t="s">
        <v>18</v>
      </c>
      <c r="AB6" s="8" t="s">
        <v>7</v>
      </c>
      <c r="AC6" s="8" t="s">
        <v>8</v>
      </c>
      <c r="AD6" s="8" t="s">
        <v>9</v>
      </c>
      <c r="AE6" s="8" t="s">
        <v>10</v>
      </c>
      <c r="AF6" s="8" t="s">
        <v>11</v>
      </c>
      <c r="AG6" s="8" t="s">
        <v>12</v>
      </c>
      <c r="AH6" s="8" t="s">
        <v>13</v>
      </c>
      <c r="AI6" s="8" t="s">
        <v>14</v>
      </c>
      <c r="AJ6" s="8" t="s">
        <v>15</v>
      </c>
      <c r="AK6" s="8" t="s">
        <v>16</v>
      </c>
      <c r="AL6" s="8" t="s">
        <v>17</v>
      </c>
      <c r="AM6" s="8" t="s">
        <v>18</v>
      </c>
      <c r="AN6" s="8" t="s">
        <v>7</v>
      </c>
      <c r="AO6" s="8" t="s">
        <v>8</v>
      </c>
      <c r="AP6" s="86" t="s">
        <v>9</v>
      </c>
      <c r="AQ6" s="85" t="s">
        <v>10</v>
      </c>
      <c r="AR6" s="85" t="s">
        <v>11</v>
      </c>
      <c r="AS6" s="85" t="s">
        <v>12</v>
      </c>
      <c r="AT6" s="85" t="s">
        <v>13</v>
      </c>
      <c r="AU6" s="85" t="s">
        <v>14</v>
      </c>
      <c r="AV6" s="85" t="s">
        <v>15</v>
      </c>
      <c r="AW6" s="85" t="s">
        <v>16</v>
      </c>
      <c r="AX6" s="85" t="s">
        <v>17</v>
      </c>
      <c r="AY6" s="85" t="s">
        <v>18</v>
      </c>
      <c r="AZ6" s="85" t="s">
        <v>7</v>
      </c>
      <c r="BA6" s="85" t="s">
        <v>8</v>
      </c>
      <c r="BB6" s="85" t="s">
        <v>9</v>
      </c>
      <c r="BC6" s="85" t="s">
        <v>10</v>
      </c>
      <c r="BD6" s="87" t="s">
        <v>11</v>
      </c>
    </row>
    <row r="7" spans="1:87" ht="16.5" customHeight="1" x14ac:dyDescent="0.25">
      <c r="C7" s="11"/>
      <c r="D7" s="12" t="s">
        <v>19</v>
      </c>
      <c r="E7" s="12" t="s">
        <v>20</v>
      </c>
      <c r="F7" s="12" t="s">
        <v>21</v>
      </c>
      <c r="G7" s="12" t="s">
        <v>22</v>
      </c>
      <c r="H7" s="12" t="s">
        <v>23</v>
      </c>
      <c r="I7" s="12" t="s">
        <v>24</v>
      </c>
      <c r="J7" s="12" t="s">
        <v>25</v>
      </c>
      <c r="K7" s="12" t="s">
        <v>26</v>
      </c>
      <c r="L7" s="12" t="s">
        <v>27</v>
      </c>
      <c r="M7" s="12" t="s">
        <v>28</v>
      </c>
      <c r="N7" s="12" t="s">
        <v>29</v>
      </c>
      <c r="O7" s="12" t="s">
        <v>30</v>
      </c>
      <c r="P7" s="12" t="s">
        <v>31</v>
      </c>
      <c r="Q7" s="12" t="s">
        <v>32</v>
      </c>
      <c r="R7" s="12" t="s">
        <v>33</v>
      </c>
      <c r="S7" s="12" t="s">
        <v>34</v>
      </c>
      <c r="T7" s="12" t="s">
        <v>35</v>
      </c>
      <c r="U7" s="12" t="s">
        <v>36</v>
      </c>
      <c r="V7" s="12" t="s">
        <v>37</v>
      </c>
      <c r="W7" s="12" t="s">
        <v>38</v>
      </c>
      <c r="X7" s="12" t="s">
        <v>39</v>
      </c>
      <c r="Y7" s="12" t="s">
        <v>40</v>
      </c>
      <c r="Z7" s="12" t="s">
        <v>41</v>
      </c>
      <c r="AA7" s="12" t="s">
        <v>42</v>
      </c>
      <c r="AB7" s="12" t="s">
        <v>43</v>
      </c>
      <c r="AC7" s="12" t="s">
        <v>44</v>
      </c>
      <c r="AD7" s="12" t="s">
        <v>45</v>
      </c>
      <c r="AE7" s="12" t="s">
        <v>46</v>
      </c>
      <c r="AF7" s="12" t="s">
        <v>47</v>
      </c>
      <c r="AG7" s="12" t="s">
        <v>48</v>
      </c>
      <c r="AH7" s="12" t="s">
        <v>49</v>
      </c>
      <c r="AI7" s="12" t="s">
        <v>50</v>
      </c>
      <c r="AJ7" s="12" t="s">
        <v>51</v>
      </c>
      <c r="AK7" s="12" t="s">
        <v>52</v>
      </c>
      <c r="AL7" s="12" t="s">
        <v>53</v>
      </c>
      <c r="AM7" s="12" t="s">
        <v>54</v>
      </c>
      <c r="AN7" s="12" t="s">
        <v>55</v>
      </c>
      <c r="AO7" s="12" t="s">
        <v>56</v>
      </c>
      <c r="AP7" s="76" t="s">
        <v>57</v>
      </c>
      <c r="AQ7" s="80" t="s">
        <v>58</v>
      </c>
      <c r="AR7" s="80" t="s">
        <v>59</v>
      </c>
      <c r="AS7" s="80" t="s">
        <v>60</v>
      </c>
      <c r="AT7" s="80" t="s">
        <v>61</v>
      </c>
      <c r="AU7" s="80" t="s">
        <v>62</v>
      </c>
      <c r="AV7" s="80" t="s">
        <v>63</v>
      </c>
      <c r="AW7" s="80" t="s">
        <v>64</v>
      </c>
      <c r="AX7" s="80" t="s">
        <v>65</v>
      </c>
      <c r="AY7" s="80" t="s">
        <v>66</v>
      </c>
      <c r="AZ7" s="80" t="s">
        <v>67</v>
      </c>
      <c r="BA7" s="80" t="s">
        <v>68</v>
      </c>
      <c r="BB7" s="80" t="s">
        <v>69</v>
      </c>
      <c r="BC7" s="80" t="s">
        <v>70</v>
      </c>
      <c r="BD7" s="80" t="s">
        <v>505</v>
      </c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</row>
    <row r="8" spans="1:87" ht="15" customHeight="1" x14ac:dyDescent="0.25">
      <c r="B8" s="7" t="s">
        <v>71</v>
      </c>
      <c r="C8" s="7" t="s">
        <v>72</v>
      </c>
      <c r="D8" s="13">
        <v>15958.497014983153</v>
      </c>
      <c r="E8" s="13">
        <v>16055.57518269225</v>
      </c>
      <c r="F8" s="13">
        <v>15508.100277320364</v>
      </c>
      <c r="G8" s="13">
        <v>13350.33</v>
      </c>
      <c r="H8" s="13">
        <v>14307.61</v>
      </c>
      <c r="I8" s="13">
        <v>14385.75</v>
      </c>
      <c r="J8" s="13">
        <v>15323.05</v>
      </c>
      <c r="K8" s="13">
        <v>15065.33</v>
      </c>
      <c r="L8" s="13">
        <v>14094.31</v>
      </c>
      <c r="M8" s="13">
        <v>13736.33</v>
      </c>
      <c r="N8" s="13">
        <v>13835.95</v>
      </c>
      <c r="O8" s="13">
        <v>13580.29</v>
      </c>
      <c r="P8" s="13">
        <v>13409.6</v>
      </c>
      <c r="Q8" s="13">
        <v>13789.6</v>
      </c>
      <c r="R8" s="13">
        <v>14660.6</v>
      </c>
      <c r="S8" s="13">
        <v>14249.9</v>
      </c>
      <c r="T8" s="13">
        <v>13950.38</v>
      </c>
      <c r="U8" s="13">
        <v>14050.92</v>
      </c>
      <c r="V8" s="13">
        <v>14451.44</v>
      </c>
      <c r="W8" s="13">
        <v>14085.48</v>
      </c>
      <c r="X8" s="13">
        <v>13680.93</v>
      </c>
      <c r="Y8" s="13">
        <v>13784.04</v>
      </c>
      <c r="Z8" s="13">
        <v>14013.82</v>
      </c>
      <c r="AA8" s="13">
        <v>13963.62</v>
      </c>
      <c r="AB8" s="13">
        <v>14136.03</v>
      </c>
      <c r="AC8" s="13">
        <v>14511.11</v>
      </c>
      <c r="AD8" s="13">
        <v>14726.57</v>
      </c>
      <c r="AE8" s="13">
        <v>14582.52</v>
      </c>
      <c r="AF8" s="13">
        <v>14171.89</v>
      </c>
      <c r="AG8" s="13">
        <v>14316.23</v>
      </c>
      <c r="AH8" s="13">
        <v>14490.82</v>
      </c>
      <c r="AI8" s="13">
        <v>14407.37</v>
      </c>
      <c r="AJ8" s="13">
        <v>14450.72</v>
      </c>
      <c r="AK8" s="13">
        <v>14698.96</v>
      </c>
      <c r="AL8" s="13">
        <v>14776.19</v>
      </c>
      <c r="AM8" s="13">
        <v>14903.88</v>
      </c>
      <c r="AN8" s="13">
        <v>14722.49</v>
      </c>
      <c r="AO8" s="13">
        <v>14599.46</v>
      </c>
      <c r="AP8" s="55">
        <v>15767.56</v>
      </c>
      <c r="AQ8" s="81">
        <v>15664.72</v>
      </c>
      <c r="AR8" s="81">
        <v>15296.15</v>
      </c>
      <c r="AS8" s="81">
        <v>15266.52</v>
      </c>
      <c r="AT8" s="81">
        <v>15473.34</v>
      </c>
      <c r="AU8" s="81">
        <v>15712.59</v>
      </c>
      <c r="AV8" s="81">
        <v>15657.01</v>
      </c>
      <c r="AW8" s="81">
        <v>15102.22</v>
      </c>
      <c r="AX8" s="81">
        <v>15106.44</v>
      </c>
      <c r="AY8" s="81">
        <v>15236.54</v>
      </c>
      <c r="AZ8" s="81">
        <v>15259.28</v>
      </c>
      <c r="BA8" s="81">
        <v>15533.42</v>
      </c>
      <c r="BB8" s="81">
        <v>15895.330029410943</v>
      </c>
      <c r="BC8" s="81">
        <v>15843.814836955162</v>
      </c>
      <c r="BD8" s="81">
        <v>15940.905256702743</v>
      </c>
      <c r="CI8" s="5">
        <v>12</v>
      </c>
    </row>
    <row r="9" spans="1:87" ht="15" customHeight="1" x14ac:dyDescent="0.25">
      <c r="B9" s="15" t="s">
        <v>73</v>
      </c>
      <c r="C9" s="7" t="s">
        <v>74</v>
      </c>
      <c r="D9" s="13">
        <v>12961.930547366013</v>
      </c>
      <c r="E9" s="13">
        <v>13098.936999461121</v>
      </c>
      <c r="F9" s="13">
        <v>12532.232652840259</v>
      </c>
      <c r="G9" s="13">
        <v>10403.91</v>
      </c>
      <c r="H9" s="13">
        <v>11327.01</v>
      </c>
      <c r="I9" s="13">
        <v>11387.41</v>
      </c>
      <c r="J9" s="13">
        <v>12392.37</v>
      </c>
      <c r="K9" s="13">
        <v>12159.6</v>
      </c>
      <c r="L9" s="13">
        <v>11257.72</v>
      </c>
      <c r="M9" s="13">
        <v>10917.88</v>
      </c>
      <c r="N9" s="13">
        <v>11034.84</v>
      </c>
      <c r="O9" s="13">
        <v>10914.24</v>
      </c>
      <c r="P9" s="59">
        <v>10757.15</v>
      </c>
      <c r="Q9" s="59">
        <v>11087.11</v>
      </c>
      <c r="R9" s="59">
        <v>11890.16</v>
      </c>
      <c r="S9" s="59">
        <v>11398.25</v>
      </c>
      <c r="T9" s="59">
        <v>11227.39</v>
      </c>
      <c r="U9" s="59">
        <v>11229.44</v>
      </c>
      <c r="V9" s="59">
        <v>11613.71</v>
      </c>
      <c r="W9" s="59">
        <v>11338.04</v>
      </c>
      <c r="X9" s="59">
        <v>10960.82</v>
      </c>
      <c r="Y9" s="59">
        <v>11020.44</v>
      </c>
      <c r="Z9" s="59">
        <v>11343.13</v>
      </c>
      <c r="AA9" s="59">
        <v>11361.19</v>
      </c>
      <c r="AB9" s="59">
        <v>11449.47</v>
      </c>
      <c r="AC9" s="59">
        <v>11843.88</v>
      </c>
      <c r="AD9" s="59">
        <v>12031.28</v>
      </c>
      <c r="AE9" s="59">
        <v>11901.75</v>
      </c>
      <c r="AF9" s="59">
        <v>11565.65</v>
      </c>
      <c r="AG9" s="59">
        <v>11605.49</v>
      </c>
      <c r="AH9" s="59">
        <v>11742.29</v>
      </c>
      <c r="AI9" s="59">
        <v>11699.19</v>
      </c>
      <c r="AJ9" s="59">
        <v>11744.39</v>
      </c>
      <c r="AK9" s="59">
        <v>11918.97</v>
      </c>
      <c r="AL9" s="59">
        <v>12005.51</v>
      </c>
      <c r="AM9" s="59">
        <v>12042.06</v>
      </c>
      <c r="AN9" s="59">
        <v>11817.59</v>
      </c>
      <c r="AO9" s="59">
        <v>11821.37</v>
      </c>
      <c r="AP9" s="77">
        <v>13004.81</v>
      </c>
      <c r="AQ9" s="79">
        <v>12796.47</v>
      </c>
      <c r="AR9" s="79">
        <v>12434.88</v>
      </c>
      <c r="AS9" s="79">
        <v>12241.82</v>
      </c>
      <c r="AT9" s="79">
        <v>12333</v>
      </c>
      <c r="AU9" s="79">
        <v>12614.79</v>
      </c>
      <c r="AV9" s="79">
        <v>12546.04</v>
      </c>
      <c r="AW9" s="79">
        <v>11997.55</v>
      </c>
      <c r="AX9" s="79">
        <v>11945.74</v>
      </c>
      <c r="AY9" s="79">
        <v>11837.79</v>
      </c>
      <c r="AZ9" s="79">
        <v>11819.99</v>
      </c>
      <c r="BA9" s="79">
        <v>11959.42</v>
      </c>
      <c r="BB9" s="79">
        <v>12260.065635779734</v>
      </c>
      <c r="BC9" s="79">
        <v>11866.50784747643</v>
      </c>
      <c r="BD9" s="79">
        <v>11800.783982162509</v>
      </c>
      <c r="CI9" s="5">
        <v>13</v>
      </c>
    </row>
    <row r="10" spans="1:87" ht="15" customHeight="1" x14ac:dyDescent="0.25">
      <c r="B10" s="16" t="s">
        <v>75</v>
      </c>
      <c r="C10" s="7" t="s">
        <v>76</v>
      </c>
      <c r="D10" s="13">
        <v>6044.0284158660634</v>
      </c>
      <c r="E10" s="13">
        <v>5322.2777026416215</v>
      </c>
      <c r="F10" s="13">
        <v>5208.9985693842855</v>
      </c>
      <c r="G10" s="13">
        <v>3641.26</v>
      </c>
      <c r="H10" s="13">
        <v>3896.68</v>
      </c>
      <c r="I10" s="13">
        <v>3654.99</v>
      </c>
      <c r="J10" s="13">
        <v>3907.19</v>
      </c>
      <c r="K10" s="13">
        <v>4213.4799999999996</v>
      </c>
      <c r="L10" s="13">
        <v>4482.3999999999996</v>
      </c>
      <c r="M10" s="13">
        <v>4588.05</v>
      </c>
      <c r="N10" s="13">
        <v>4549.74</v>
      </c>
      <c r="O10" s="13">
        <v>4448.67</v>
      </c>
      <c r="P10" s="59">
        <v>4584.7700000000004</v>
      </c>
      <c r="Q10" s="59">
        <v>5757.56</v>
      </c>
      <c r="R10" s="59">
        <v>5989.95</v>
      </c>
      <c r="S10" s="59">
        <v>5865.25</v>
      </c>
      <c r="T10" s="59">
        <v>5979.42</v>
      </c>
      <c r="U10" s="59">
        <v>6195.92</v>
      </c>
      <c r="V10" s="59">
        <v>6312.12</v>
      </c>
      <c r="W10" s="59">
        <v>6216.55</v>
      </c>
      <c r="X10" s="59">
        <v>5965.25</v>
      </c>
      <c r="Y10" s="59">
        <v>6160.18</v>
      </c>
      <c r="Z10" s="59">
        <v>5939.41</v>
      </c>
      <c r="AA10" s="59">
        <v>5689.68</v>
      </c>
      <c r="AB10" s="59">
        <v>6001.87</v>
      </c>
      <c r="AC10" s="59">
        <v>6262.66</v>
      </c>
      <c r="AD10" s="59">
        <v>6456.29</v>
      </c>
      <c r="AE10" s="59">
        <v>6654.17</v>
      </c>
      <c r="AF10" s="59">
        <v>6635</v>
      </c>
      <c r="AG10" s="59">
        <v>6529.62</v>
      </c>
      <c r="AH10" s="59">
        <v>6284.32</v>
      </c>
      <c r="AI10" s="59">
        <v>6596.42</v>
      </c>
      <c r="AJ10" s="59">
        <v>6603.45</v>
      </c>
      <c r="AK10" s="59">
        <v>6420</v>
      </c>
      <c r="AL10" s="59">
        <v>6326.8</v>
      </c>
      <c r="AM10" s="59">
        <v>6913.48</v>
      </c>
      <c r="AN10" s="59">
        <v>6794.9</v>
      </c>
      <c r="AO10" s="59">
        <v>6723.91</v>
      </c>
      <c r="AP10" s="77">
        <v>6217.86</v>
      </c>
      <c r="AQ10" s="79">
        <v>6442.99</v>
      </c>
      <c r="AR10" s="79">
        <v>6729.32</v>
      </c>
      <c r="AS10" s="79">
        <v>7024.66</v>
      </c>
      <c r="AT10" s="79">
        <v>7092.56</v>
      </c>
      <c r="AU10" s="79">
        <v>6923.43</v>
      </c>
      <c r="AV10" s="79">
        <v>7306.8</v>
      </c>
      <c r="AW10" s="79">
        <v>7301.2</v>
      </c>
      <c r="AX10" s="79">
        <v>7030.41</v>
      </c>
      <c r="AY10" s="79">
        <v>7355.92</v>
      </c>
      <c r="AZ10" s="79">
        <v>6932.46</v>
      </c>
      <c r="BA10" s="79">
        <v>6968.56</v>
      </c>
      <c r="BB10" s="79">
        <v>7155.9145571380141</v>
      </c>
      <c r="BC10" s="79">
        <v>7186.3843456303402</v>
      </c>
      <c r="BD10" s="79">
        <v>7505.8924962250503</v>
      </c>
      <c r="CI10" s="5">
        <v>14</v>
      </c>
    </row>
    <row r="11" spans="1:87" ht="15" customHeight="1" x14ac:dyDescent="0.25">
      <c r="B11" s="17" t="s">
        <v>77</v>
      </c>
      <c r="C11" s="7" t="s">
        <v>78</v>
      </c>
      <c r="D11" s="13"/>
      <c r="E11" s="13"/>
      <c r="F11" s="13"/>
      <c r="G11" s="13" t="s">
        <v>79</v>
      </c>
      <c r="H11" s="13" t="s">
        <v>79</v>
      </c>
      <c r="I11" s="13" t="s">
        <v>79</v>
      </c>
      <c r="J11" s="13" t="s">
        <v>79</v>
      </c>
      <c r="K11" s="13" t="s">
        <v>79</v>
      </c>
      <c r="L11" s="13" t="s">
        <v>79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 t="s">
        <v>79</v>
      </c>
      <c r="AE11" s="13" t="s">
        <v>79</v>
      </c>
      <c r="AF11" s="13" t="s">
        <v>79</v>
      </c>
      <c r="AG11" s="13" t="s">
        <v>79</v>
      </c>
      <c r="AH11" s="13" t="s">
        <v>79</v>
      </c>
      <c r="AI11" s="13" t="s">
        <v>79</v>
      </c>
      <c r="AJ11" s="13" t="s">
        <v>79</v>
      </c>
      <c r="AK11" s="13" t="s">
        <v>79</v>
      </c>
      <c r="AL11" s="13" t="s">
        <v>79</v>
      </c>
      <c r="AM11" s="13"/>
      <c r="AN11" s="13"/>
      <c r="AO11" s="13"/>
      <c r="AP11" s="55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CI11" s="5">
        <v>15</v>
      </c>
    </row>
    <row r="12" spans="1:87" ht="15" customHeight="1" x14ac:dyDescent="0.25">
      <c r="B12" s="16" t="s">
        <v>80</v>
      </c>
      <c r="C12" s="7" t="s">
        <v>81</v>
      </c>
      <c r="D12" s="13">
        <v>6917.90213149995</v>
      </c>
      <c r="E12" s="13">
        <v>7776.6592968194991</v>
      </c>
      <c r="F12" s="13">
        <v>7323.2340834559736</v>
      </c>
      <c r="G12" s="13">
        <v>6762.65</v>
      </c>
      <c r="H12" s="13">
        <v>7430.33</v>
      </c>
      <c r="I12" s="13">
        <v>7732.42</v>
      </c>
      <c r="J12" s="13">
        <v>8485.17</v>
      </c>
      <c r="K12" s="13">
        <v>7946.11</v>
      </c>
      <c r="L12" s="13">
        <v>6775.32</v>
      </c>
      <c r="M12" s="13">
        <v>6329.83</v>
      </c>
      <c r="N12" s="13">
        <v>6485.1</v>
      </c>
      <c r="O12" s="13">
        <v>6465.56</v>
      </c>
      <c r="P12" s="59">
        <v>6172.38</v>
      </c>
      <c r="Q12" s="59">
        <v>5329.55</v>
      </c>
      <c r="R12" s="59">
        <v>5900.21</v>
      </c>
      <c r="S12" s="59">
        <v>5533</v>
      </c>
      <c r="T12" s="59">
        <v>5247.97</v>
      </c>
      <c r="U12" s="59">
        <v>5033.51</v>
      </c>
      <c r="V12" s="59">
        <v>5301.59</v>
      </c>
      <c r="W12" s="59">
        <v>5121.49</v>
      </c>
      <c r="X12" s="59">
        <v>4995.57</v>
      </c>
      <c r="Y12" s="59">
        <v>4860.2700000000004</v>
      </c>
      <c r="Z12" s="59">
        <v>5403.72</v>
      </c>
      <c r="AA12" s="59">
        <v>5671.51</v>
      </c>
      <c r="AB12" s="59">
        <v>5447.6</v>
      </c>
      <c r="AC12" s="59">
        <v>5581.22</v>
      </c>
      <c r="AD12" s="59">
        <v>5574.99</v>
      </c>
      <c r="AE12" s="59">
        <v>5247.58</v>
      </c>
      <c r="AF12" s="59">
        <v>4930.66</v>
      </c>
      <c r="AG12" s="59">
        <v>5075.87</v>
      </c>
      <c r="AH12" s="59">
        <v>5457.97</v>
      </c>
      <c r="AI12" s="59">
        <v>5102.78</v>
      </c>
      <c r="AJ12" s="59">
        <v>5140.9399999999996</v>
      </c>
      <c r="AK12" s="59">
        <v>5498.97</v>
      </c>
      <c r="AL12" s="59">
        <v>5678.71</v>
      </c>
      <c r="AM12" s="59">
        <v>5128.58</v>
      </c>
      <c r="AN12" s="59">
        <v>5022.6899999999996</v>
      </c>
      <c r="AO12" s="59">
        <v>5097.45</v>
      </c>
      <c r="AP12" s="77">
        <v>6786.96</v>
      </c>
      <c r="AQ12" s="79">
        <v>6353.48</v>
      </c>
      <c r="AR12" s="79">
        <v>5705.56</v>
      </c>
      <c r="AS12" s="79">
        <v>5217.16</v>
      </c>
      <c r="AT12" s="79">
        <v>5240.45</v>
      </c>
      <c r="AU12" s="79">
        <v>5691.36</v>
      </c>
      <c r="AV12" s="79">
        <v>5239.24</v>
      </c>
      <c r="AW12" s="79">
        <v>4696.3500000000004</v>
      </c>
      <c r="AX12" s="79">
        <v>4915.33</v>
      </c>
      <c r="AY12" s="79">
        <v>4481.87</v>
      </c>
      <c r="AZ12" s="79">
        <v>4887.53</v>
      </c>
      <c r="BA12" s="79">
        <v>4990.8599999999997</v>
      </c>
      <c r="BB12" s="79">
        <v>5104.1510786417193</v>
      </c>
      <c r="BC12" s="79">
        <v>4680.1235018460893</v>
      </c>
      <c r="BD12" s="79">
        <v>4294.891485937459</v>
      </c>
      <c r="CI12" s="5">
        <v>16</v>
      </c>
    </row>
    <row r="13" spans="1:87" ht="15" customHeight="1" x14ac:dyDescent="0.25">
      <c r="B13" s="18" t="s">
        <v>82</v>
      </c>
      <c r="C13" s="7" t="s">
        <v>83</v>
      </c>
      <c r="D13" s="13">
        <v>160.70712259948002</v>
      </c>
      <c r="E13" s="13">
        <v>159.05165915680001</v>
      </c>
      <c r="F13" s="13">
        <v>158.91427158713998</v>
      </c>
      <c r="G13" s="13">
        <v>158.03</v>
      </c>
      <c r="H13" s="13">
        <v>158.31</v>
      </c>
      <c r="I13" s="13">
        <v>156.96</v>
      </c>
      <c r="J13" s="13">
        <v>152.63999999999999</v>
      </c>
      <c r="K13" s="13">
        <v>153.25</v>
      </c>
      <c r="L13" s="13">
        <v>150.76</v>
      </c>
      <c r="M13" s="13">
        <v>150.32</v>
      </c>
      <c r="N13" s="13">
        <v>147.79</v>
      </c>
      <c r="O13" s="13">
        <v>145.36000000000001</v>
      </c>
      <c r="P13" s="59">
        <v>145.74</v>
      </c>
      <c r="Q13" s="59">
        <v>149.33000000000001</v>
      </c>
      <c r="R13" s="59">
        <v>151.13999999999999</v>
      </c>
      <c r="S13" s="59">
        <v>153.15</v>
      </c>
      <c r="T13" s="59">
        <v>150.91</v>
      </c>
      <c r="U13" s="59">
        <v>152.78</v>
      </c>
      <c r="V13" s="59">
        <v>152.97999999999999</v>
      </c>
      <c r="W13" s="59">
        <v>150.76</v>
      </c>
      <c r="X13" s="59">
        <v>151.06</v>
      </c>
      <c r="Y13" s="59">
        <v>152.5</v>
      </c>
      <c r="Z13" s="59">
        <v>151.02000000000001</v>
      </c>
      <c r="AA13" s="59">
        <v>149.32</v>
      </c>
      <c r="AB13" s="59">
        <v>149.22999999999999</v>
      </c>
      <c r="AC13" s="59">
        <v>151.4</v>
      </c>
      <c r="AD13" s="59">
        <v>152.36000000000001</v>
      </c>
      <c r="AE13" s="59">
        <v>151.02000000000001</v>
      </c>
      <c r="AF13" s="59">
        <v>150.75</v>
      </c>
      <c r="AG13" s="59">
        <v>150.28</v>
      </c>
      <c r="AH13" s="59">
        <v>149.66</v>
      </c>
      <c r="AI13" s="59">
        <v>150.30000000000001</v>
      </c>
      <c r="AJ13" s="59">
        <v>149.33000000000001</v>
      </c>
      <c r="AK13" s="59">
        <v>150.85</v>
      </c>
      <c r="AL13" s="59">
        <v>152.91999999999999</v>
      </c>
      <c r="AM13" s="59">
        <v>154</v>
      </c>
      <c r="AN13" s="59">
        <v>151.19</v>
      </c>
      <c r="AO13" s="59">
        <v>149.18</v>
      </c>
      <c r="AP13" s="77">
        <v>148.07</v>
      </c>
      <c r="AQ13" s="72">
        <v>148.03</v>
      </c>
      <c r="AR13" s="72">
        <v>148.62</v>
      </c>
      <c r="AS13" s="72">
        <v>150.86000000000001</v>
      </c>
      <c r="AT13" s="72">
        <v>149.63</v>
      </c>
      <c r="AU13" s="79">
        <v>154.04</v>
      </c>
      <c r="AV13" s="79">
        <v>156</v>
      </c>
      <c r="AW13" s="79">
        <v>153.83000000000001</v>
      </c>
      <c r="AX13" s="79">
        <v>155.38999999999999</v>
      </c>
      <c r="AY13" s="72">
        <v>155.65</v>
      </c>
      <c r="AZ13" s="72">
        <v>154.22</v>
      </c>
      <c r="BA13" s="72">
        <v>154.24</v>
      </c>
      <c r="BB13" s="72">
        <v>155.47999999999999</v>
      </c>
      <c r="BC13" s="79">
        <v>156.88931149220002</v>
      </c>
      <c r="BD13" s="79">
        <v>156.18085895779998</v>
      </c>
      <c r="CI13" s="5">
        <v>22</v>
      </c>
    </row>
    <row r="14" spans="1:87" ht="15" customHeight="1" x14ac:dyDescent="0.25">
      <c r="B14" s="18" t="s">
        <v>84</v>
      </c>
      <c r="C14" s="7" t="s">
        <v>85</v>
      </c>
      <c r="D14" s="13">
        <v>1224.4294423592</v>
      </c>
      <c r="E14" s="13">
        <v>1192.7706883967999</v>
      </c>
      <c r="F14" s="13">
        <v>1190.38442609448</v>
      </c>
      <c r="G14" s="13">
        <v>1183.74</v>
      </c>
      <c r="H14" s="13">
        <v>1164.45</v>
      </c>
      <c r="I14" s="13">
        <v>1154.56</v>
      </c>
      <c r="J14" s="13">
        <v>1122.72</v>
      </c>
      <c r="K14" s="13">
        <v>1127.23</v>
      </c>
      <c r="L14" s="13">
        <v>1083.8699999999999</v>
      </c>
      <c r="M14" s="13">
        <v>1080.46</v>
      </c>
      <c r="N14" s="13">
        <v>1062.29</v>
      </c>
      <c r="O14" s="13">
        <v>1013.79</v>
      </c>
      <c r="P14" s="59">
        <v>1016.49</v>
      </c>
      <c r="Q14" s="59">
        <v>998.53</v>
      </c>
      <c r="R14" s="59">
        <v>1010.68</v>
      </c>
      <c r="S14" s="59">
        <v>1024.07</v>
      </c>
      <c r="T14" s="59">
        <v>954.06</v>
      </c>
      <c r="U14" s="59">
        <v>965.86</v>
      </c>
      <c r="V14" s="59">
        <v>967.13</v>
      </c>
      <c r="W14" s="59">
        <v>892.94</v>
      </c>
      <c r="X14" s="59">
        <v>894.69</v>
      </c>
      <c r="Y14" s="59">
        <v>903.35</v>
      </c>
      <c r="Z14" s="59">
        <v>827.79</v>
      </c>
      <c r="AA14" s="59">
        <v>818.48</v>
      </c>
      <c r="AB14" s="59">
        <v>817.95</v>
      </c>
      <c r="AC14" s="59">
        <v>760.37</v>
      </c>
      <c r="AD14" s="59">
        <v>764.95</v>
      </c>
      <c r="AE14" s="59">
        <v>758.43</v>
      </c>
      <c r="AF14" s="59">
        <v>687.7</v>
      </c>
      <c r="AG14" s="59">
        <v>685.56</v>
      </c>
      <c r="AH14" s="59">
        <v>682.71</v>
      </c>
      <c r="AI14" s="59">
        <v>618.64</v>
      </c>
      <c r="AJ14" s="59">
        <v>614.65</v>
      </c>
      <c r="AK14" s="59">
        <v>620.91999999999996</v>
      </c>
      <c r="AL14" s="59">
        <v>560.91</v>
      </c>
      <c r="AM14" s="59">
        <v>564.97</v>
      </c>
      <c r="AN14" s="59">
        <v>554.66999999999996</v>
      </c>
      <c r="AO14" s="59">
        <v>484.81</v>
      </c>
      <c r="AP14" s="77">
        <v>481.24</v>
      </c>
      <c r="AQ14" s="72">
        <v>481.13</v>
      </c>
      <c r="AR14" s="72">
        <v>434.29</v>
      </c>
      <c r="AS14" s="72">
        <v>440.82</v>
      </c>
      <c r="AT14" s="72">
        <v>437.25</v>
      </c>
      <c r="AU14" s="79">
        <v>403.28</v>
      </c>
      <c r="AV14" s="79">
        <v>408.45</v>
      </c>
      <c r="AW14" s="79">
        <v>402.77</v>
      </c>
      <c r="AX14" s="79">
        <v>361.27</v>
      </c>
      <c r="AY14" s="72">
        <v>361.88</v>
      </c>
      <c r="AZ14" s="72">
        <v>316.02</v>
      </c>
      <c r="BA14" s="72">
        <v>316.33999999999997</v>
      </c>
      <c r="BB14" s="72">
        <v>318.86</v>
      </c>
      <c r="BC14" s="79">
        <v>321.74487690771997</v>
      </c>
      <c r="BD14" s="79">
        <v>320.29199926228</v>
      </c>
      <c r="CI14" s="5">
        <v>23</v>
      </c>
    </row>
    <row r="15" spans="1:87" ht="29.25" customHeight="1" x14ac:dyDescent="0.25">
      <c r="B15" s="18" t="s">
        <v>86</v>
      </c>
      <c r="C15" s="7" t="s">
        <v>87</v>
      </c>
      <c r="D15" s="13">
        <v>1057.4100929568008</v>
      </c>
      <c r="E15" s="13">
        <v>1052.0654748694787</v>
      </c>
      <c r="F15" s="13">
        <v>1084.5339604399969</v>
      </c>
      <c r="G15" s="13">
        <v>1065.44</v>
      </c>
      <c r="H15" s="13">
        <v>1120.19</v>
      </c>
      <c r="I15" s="13">
        <v>1152.8699999999999</v>
      </c>
      <c r="J15" s="13">
        <v>1124.69</v>
      </c>
      <c r="K15" s="13">
        <v>1094.48</v>
      </c>
      <c r="L15" s="13">
        <v>1073.1199999999999</v>
      </c>
      <c r="M15" s="13">
        <v>1047.03</v>
      </c>
      <c r="N15" s="13">
        <v>1020.84</v>
      </c>
      <c r="O15" s="13">
        <v>984.58</v>
      </c>
      <c r="P15" s="59">
        <v>969.72</v>
      </c>
      <c r="Q15" s="59">
        <v>1039.28</v>
      </c>
      <c r="R15" s="59">
        <v>1081.46</v>
      </c>
      <c r="S15" s="59">
        <v>1144.08</v>
      </c>
      <c r="T15" s="59">
        <v>1084.6300000000001</v>
      </c>
      <c r="U15" s="59">
        <v>1167.5899999999999</v>
      </c>
      <c r="V15" s="59">
        <v>1179.8699999999999</v>
      </c>
      <c r="W15" s="59">
        <v>1165.19</v>
      </c>
      <c r="X15" s="59">
        <v>1137.98</v>
      </c>
      <c r="Y15" s="59">
        <v>1168.6300000000001</v>
      </c>
      <c r="Z15" s="59">
        <v>1151.28</v>
      </c>
      <c r="AA15" s="59">
        <v>1096.05</v>
      </c>
      <c r="AB15" s="59">
        <v>1176.44</v>
      </c>
      <c r="AC15" s="59">
        <v>1207.78</v>
      </c>
      <c r="AD15" s="59">
        <v>1223.1400000000001</v>
      </c>
      <c r="AE15" s="59">
        <v>1215.26</v>
      </c>
      <c r="AF15" s="59">
        <v>1212.92</v>
      </c>
      <c r="AG15" s="59">
        <v>1317.44</v>
      </c>
      <c r="AH15" s="59">
        <v>1360.58</v>
      </c>
      <c r="AI15" s="59">
        <v>1379.88</v>
      </c>
      <c r="AJ15" s="59">
        <v>1379.53</v>
      </c>
      <c r="AK15" s="59">
        <v>1438.95</v>
      </c>
      <c r="AL15" s="59">
        <v>1484.26</v>
      </c>
      <c r="AM15" s="59">
        <v>1564.77</v>
      </c>
      <c r="AN15" s="59">
        <v>1624.33</v>
      </c>
      <c r="AO15" s="59">
        <v>1567.13</v>
      </c>
      <c r="AP15" s="77">
        <v>1556</v>
      </c>
      <c r="AQ15" s="79">
        <v>1659.18</v>
      </c>
      <c r="AR15" s="79">
        <v>1694.41</v>
      </c>
      <c r="AS15" s="79">
        <v>1848.46</v>
      </c>
      <c r="AT15" s="79">
        <v>1962.95</v>
      </c>
      <c r="AU15" s="79">
        <v>1950.2</v>
      </c>
      <c r="AV15" s="79">
        <v>1954.99</v>
      </c>
      <c r="AW15" s="79">
        <v>1953.67</v>
      </c>
      <c r="AX15" s="79">
        <v>2044.29</v>
      </c>
      <c r="AY15" s="79">
        <v>2280.35</v>
      </c>
      <c r="AZ15" s="79">
        <v>2373.33</v>
      </c>
      <c r="BA15" s="79">
        <v>2513.5700000000002</v>
      </c>
      <c r="BB15" s="72">
        <v>2562.52</v>
      </c>
      <c r="BC15" s="79">
        <v>2901.7923929699837</v>
      </c>
      <c r="BD15" s="79">
        <v>3063.7195031501728</v>
      </c>
      <c r="CI15" s="5">
        <v>24</v>
      </c>
    </row>
    <row r="16" spans="1:87" ht="15" customHeight="1" x14ac:dyDescent="0.25">
      <c r="B16" s="16" t="s">
        <v>88</v>
      </c>
      <c r="C16" s="7" t="s">
        <v>89</v>
      </c>
      <c r="D16" s="13">
        <v>592.90069999999992</v>
      </c>
      <c r="E16" s="13">
        <v>592.90069999999992</v>
      </c>
      <c r="F16" s="13">
        <v>592.90069999999992</v>
      </c>
      <c r="G16" s="13">
        <v>592.90099999999995</v>
      </c>
      <c r="H16" s="13">
        <v>592.90099999999995</v>
      </c>
      <c r="I16" s="13">
        <v>592.90099999999995</v>
      </c>
      <c r="J16" s="13">
        <v>592.90099999999995</v>
      </c>
      <c r="K16" s="13">
        <v>592.90099999999995</v>
      </c>
      <c r="L16" s="13">
        <v>592.90099999999995</v>
      </c>
      <c r="M16" s="13">
        <v>592.90099999999995</v>
      </c>
      <c r="N16" s="13">
        <v>592.90099999999995</v>
      </c>
      <c r="O16" s="13">
        <v>592.90099999999995</v>
      </c>
      <c r="P16" s="59">
        <v>592.90099999999995</v>
      </c>
      <c r="Q16" s="59">
        <v>592.9</v>
      </c>
      <c r="R16" s="59">
        <v>592.9</v>
      </c>
      <c r="S16" s="59">
        <v>592.9</v>
      </c>
      <c r="T16" s="59">
        <v>592.9</v>
      </c>
      <c r="U16" s="59">
        <v>592.9</v>
      </c>
      <c r="V16" s="59">
        <v>592.9</v>
      </c>
      <c r="W16" s="59">
        <v>592.9</v>
      </c>
      <c r="X16" s="59">
        <v>592.9</v>
      </c>
      <c r="Y16" s="59">
        <v>592.9</v>
      </c>
      <c r="Z16" s="59">
        <v>592.9</v>
      </c>
      <c r="AA16" s="59">
        <v>592.9</v>
      </c>
      <c r="AB16" s="59">
        <v>592.9</v>
      </c>
      <c r="AC16" s="59">
        <v>592.9</v>
      </c>
      <c r="AD16" s="59">
        <v>592.9</v>
      </c>
      <c r="AE16" s="59">
        <v>592.9</v>
      </c>
      <c r="AF16" s="59">
        <v>592.9</v>
      </c>
      <c r="AG16" s="59">
        <v>592.9</v>
      </c>
      <c r="AH16" s="59">
        <v>592.9</v>
      </c>
      <c r="AI16" s="59">
        <v>592.9</v>
      </c>
      <c r="AJ16" s="59">
        <v>592.9</v>
      </c>
      <c r="AK16" s="59">
        <v>592.9</v>
      </c>
      <c r="AL16" s="59">
        <v>592.9</v>
      </c>
      <c r="AM16" s="59">
        <v>592.9</v>
      </c>
      <c r="AN16" s="59">
        <v>592.9</v>
      </c>
      <c r="AO16" s="59">
        <v>592.9</v>
      </c>
      <c r="AP16" s="77">
        <v>592.9</v>
      </c>
      <c r="AQ16" s="72">
        <v>592.9</v>
      </c>
      <c r="AR16" s="72">
        <v>592.9</v>
      </c>
      <c r="AS16" s="72">
        <v>592.9</v>
      </c>
      <c r="AT16" s="72">
        <v>592.9</v>
      </c>
      <c r="AU16" s="79">
        <v>592.9</v>
      </c>
      <c r="AV16" s="79">
        <v>592.9</v>
      </c>
      <c r="AW16" s="79">
        <v>592.9</v>
      </c>
      <c r="AX16" s="79">
        <v>592.9</v>
      </c>
      <c r="AY16" s="72">
        <v>592.9</v>
      </c>
      <c r="AZ16" s="72">
        <v>592.9</v>
      </c>
      <c r="BA16" s="72">
        <v>592.9</v>
      </c>
      <c r="BB16" s="72">
        <v>592.9</v>
      </c>
      <c r="BC16" s="72">
        <v>592.9</v>
      </c>
      <c r="BD16" s="72">
        <v>592.9</v>
      </c>
      <c r="CI16" s="5">
        <v>25</v>
      </c>
    </row>
    <row r="17" spans="2:87" ht="15" customHeight="1" x14ac:dyDescent="0.25">
      <c r="B17" s="18" t="s">
        <v>90</v>
      </c>
      <c r="C17" s="7" t="s">
        <v>91</v>
      </c>
      <c r="D17" s="13">
        <v>554.01980970165835</v>
      </c>
      <c r="E17" s="13">
        <v>552.75036080805103</v>
      </c>
      <c r="F17" s="13">
        <v>542.03496635848785</v>
      </c>
      <c r="G17" s="13">
        <v>539.21</v>
      </c>
      <c r="H17" s="13">
        <v>537.65</v>
      </c>
      <c r="I17" s="13">
        <v>533.95000000000005</v>
      </c>
      <c r="J17" s="13">
        <v>530.64</v>
      </c>
      <c r="K17" s="13">
        <v>530.78</v>
      </c>
      <c r="L17" s="13">
        <v>528.84</v>
      </c>
      <c r="M17" s="13">
        <v>540.65</v>
      </c>
      <c r="N17" s="13">
        <v>570.17999999999995</v>
      </c>
      <c r="O17" s="13">
        <v>522.33000000000004</v>
      </c>
      <c r="P17" s="59">
        <v>520.5</v>
      </c>
      <c r="Q17" s="59">
        <v>515.36</v>
      </c>
      <c r="R17" s="59">
        <v>527.16</v>
      </c>
      <c r="S17" s="59">
        <v>530.35</v>
      </c>
      <c r="T17" s="59">
        <v>533.4</v>
      </c>
      <c r="U17" s="59">
        <v>535.26</v>
      </c>
      <c r="V17" s="59">
        <v>537.75</v>
      </c>
      <c r="W17" s="59">
        <v>538.55999999999995</v>
      </c>
      <c r="X17" s="59">
        <v>536.37</v>
      </c>
      <c r="Y17" s="59">
        <v>539.12</v>
      </c>
      <c r="Z17" s="59">
        <v>540.59</v>
      </c>
      <c r="AA17" s="59">
        <v>538.57000000000005</v>
      </c>
      <c r="AB17" s="59">
        <v>542.92999999999995</v>
      </c>
      <c r="AC17" s="59">
        <v>547.66999999999996</v>
      </c>
      <c r="AD17" s="59">
        <v>554.85</v>
      </c>
      <c r="AE17" s="59">
        <v>556.07000000000005</v>
      </c>
      <c r="AF17" s="59">
        <v>554.87</v>
      </c>
      <c r="AG17" s="59">
        <v>557.45000000000005</v>
      </c>
      <c r="AH17" s="59">
        <v>555.58000000000004</v>
      </c>
      <c r="AI17" s="59">
        <v>559.37</v>
      </c>
      <c r="AJ17" s="59">
        <v>562.82000000000005</v>
      </c>
      <c r="AK17" s="59">
        <v>569.26</v>
      </c>
      <c r="AL17" s="59">
        <v>572.6</v>
      </c>
      <c r="AM17" s="59">
        <v>578.08000000000004</v>
      </c>
      <c r="AN17" s="59">
        <v>574.71</v>
      </c>
      <c r="AO17" s="59">
        <v>576.98</v>
      </c>
      <c r="AP17" s="77">
        <v>577.44000000000005</v>
      </c>
      <c r="AQ17" s="72">
        <v>579.91</v>
      </c>
      <c r="AR17" s="72">
        <v>583.95000000000005</v>
      </c>
      <c r="AS17" s="72">
        <v>584.55999999999995</v>
      </c>
      <c r="AT17" s="72">
        <v>590.51</v>
      </c>
      <c r="AU17" s="79">
        <v>590.28</v>
      </c>
      <c r="AV17" s="79">
        <v>591.54</v>
      </c>
      <c r="AW17" s="79">
        <v>594.39</v>
      </c>
      <c r="AX17" s="79">
        <v>599.76</v>
      </c>
      <c r="AY17" s="72">
        <v>600.86</v>
      </c>
      <c r="AZ17" s="72">
        <v>595.72</v>
      </c>
      <c r="BA17" s="72">
        <v>589.85</v>
      </c>
      <c r="BB17" s="72">
        <v>598.38</v>
      </c>
      <c r="BC17" s="79">
        <v>596.88040810882842</v>
      </c>
      <c r="BD17" s="79">
        <v>599.92891316998328</v>
      </c>
      <c r="CI17" s="5">
        <v>26</v>
      </c>
    </row>
    <row r="18" spans="2:87" ht="15" customHeight="1" x14ac:dyDescent="0.25">
      <c r="B18" s="16" t="s">
        <v>92</v>
      </c>
      <c r="C18" s="7" t="s">
        <v>93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77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CI18" s="5">
        <v>27</v>
      </c>
    </row>
    <row r="19" spans="2:87" ht="15" customHeight="1" x14ac:dyDescent="0.25">
      <c r="B19" s="16" t="s">
        <v>94</v>
      </c>
      <c r="C19" s="7" t="s">
        <v>95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77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CI19" s="5">
        <v>28</v>
      </c>
    </row>
    <row r="20" spans="2:87" ht="15" customHeight="1" x14ac:dyDescent="0.25">
      <c r="B20" s="16" t="s">
        <v>96</v>
      </c>
      <c r="C20" s="7" t="s">
        <v>97</v>
      </c>
      <c r="D20" s="13">
        <v>554.01980970165835</v>
      </c>
      <c r="E20" s="13">
        <v>552.75036080805103</v>
      </c>
      <c r="F20" s="13">
        <v>542.03496635848785</v>
      </c>
      <c r="G20" s="13">
        <v>539.21</v>
      </c>
      <c r="H20" s="13">
        <v>537.65</v>
      </c>
      <c r="I20" s="13">
        <v>533.95000000000005</v>
      </c>
      <c r="J20" s="13">
        <v>530.64</v>
      </c>
      <c r="K20" s="13">
        <v>530.78</v>
      </c>
      <c r="L20" s="13">
        <v>528.84</v>
      </c>
      <c r="M20" s="13">
        <v>540.65</v>
      </c>
      <c r="N20" s="13">
        <v>570.17999999999995</v>
      </c>
      <c r="O20" s="13">
        <v>522.33000000000004</v>
      </c>
      <c r="P20" s="59">
        <v>520.5</v>
      </c>
      <c r="Q20" s="59">
        <v>515.36</v>
      </c>
      <c r="R20" s="59">
        <v>527.16</v>
      </c>
      <c r="S20" s="59">
        <v>530.35</v>
      </c>
      <c r="T20" s="59">
        <v>533.4</v>
      </c>
      <c r="U20" s="59">
        <v>535.26</v>
      </c>
      <c r="V20" s="59">
        <v>537.75</v>
      </c>
      <c r="W20" s="59">
        <v>538.55999999999995</v>
      </c>
      <c r="X20" s="59">
        <v>536.37</v>
      </c>
      <c r="Y20" s="59">
        <v>539.12</v>
      </c>
      <c r="Z20" s="59">
        <v>540.59</v>
      </c>
      <c r="AA20" s="59">
        <v>538.57000000000005</v>
      </c>
      <c r="AB20" s="59">
        <v>542.92999999999995</v>
      </c>
      <c r="AC20" s="59">
        <v>547.66999999999996</v>
      </c>
      <c r="AD20" s="59">
        <v>554.85</v>
      </c>
      <c r="AE20" s="59">
        <v>556.07000000000005</v>
      </c>
      <c r="AF20" s="59">
        <v>554.87</v>
      </c>
      <c r="AG20" s="59">
        <v>557.45000000000005</v>
      </c>
      <c r="AH20" s="59">
        <v>555.58000000000004</v>
      </c>
      <c r="AI20" s="59">
        <v>559.37</v>
      </c>
      <c r="AJ20" s="59">
        <v>562.82000000000005</v>
      </c>
      <c r="AK20" s="59">
        <v>569.26</v>
      </c>
      <c r="AL20" s="59">
        <v>572.6</v>
      </c>
      <c r="AM20" s="59">
        <v>578.08000000000004</v>
      </c>
      <c r="AN20" s="59">
        <v>574.71</v>
      </c>
      <c r="AO20" s="59">
        <v>576.98</v>
      </c>
      <c r="AP20" s="77">
        <v>577.44000000000005</v>
      </c>
      <c r="AQ20" s="72">
        <v>579.91</v>
      </c>
      <c r="AR20" s="72">
        <v>583.95000000000005</v>
      </c>
      <c r="AS20" s="72">
        <v>584.55999999999995</v>
      </c>
      <c r="AT20" s="72">
        <v>590.51</v>
      </c>
      <c r="AU20" s="72">
        <v>590.28</v>
      </c>
      <c r="AV20" s="72">
        <v>591.54</v>
      </c>
      <c r="AW20" s="72">
        <v>594.39</v>
      </c>
      <c r="AX20" s="72">
        <v>599.76</v>
      </c>
      <c r="AY20" s="72">
        <v>600.86</v>
      </c>
      <c r="AZ20" s="72">
        <v>595.72</v>
      </c>
      <c r="BA20" s="72">
        <v>589.85</v>
      </c>
      <c r="BB20" s="72">
        <v>598.38</v>
      </c>
      <c r="BC20" s="79">
        <v>596.88040810882842</v>
      </c>
      <c r="BD20" s="79">
        <v>599.92891316998328</v>
      </c>
      <c r="CI20" s="5">
        <v>29</v>
      </c>
    </row>
    <row r="21" spans="2:87" ht="15" customHeight="1" x14ac:dyDescent="0.25">
      <c r="B21" s="18" t="s">
        <v>98</v>
      </c>
      <c r="C21" s="7" t="s">
        <v>99</v>
      </c>
      <c r="D21" s="13">
        <v>342.50888200948066</v>
      </c>
      <c r="E21" s="13">
        <v>315.80879508684183</v>
      </c>
      <c r="F21" s="13">
        <v>235.31060725637457</v>
      </c>
      <c r="G21" s="13">
        <v>3396.88</v>
      </c>
      <c r="H21" s="13">
        <v>2306.11</v>
      </c>
      <c r="I21" s="13">
        <v>2532.25</v>
      </c>
      <c r="J21" s="13">
        <v>2423.38</v>
      </c>
      <c r="K21" s="13">
        <v>2037.89</v>
      </c>
      <c r="L21" s="13">
        <v>2076.31</v>
      </c>
      <c r="M21" s="13">
        <v>1899.22</v>
      </c>
      <c r="N21" s="13">
        <v>2155.83</v>
      </c>
      <c r="O21" s="13">
        <v>2116.34</v>
      </c>
      <c r="P21" s="59">
        <v>2416.6799999999998</v>
      </c>
      <c r="Q21" s="59">
        <v>1438.37</v>
      </c>
      <c r="R21" s="59">
        <v>691.9</v>
      </c>
      <c r="S21" s="59">
        <v>842.25</v>
      </c>
      <c r="T21" s="59">
        <v>908.09</v>
      </c>
      <c r="U21" s="59">
        <v>842.05</v>
      </c>
      <c r="V21" s="59">
        <v>1155.98</v>
      </c>
      <c r="W21" s="59">
        <v>797.87</v>
      </c>
      <c r="X21" s="59">
        <v>824.82</v>
      </c>
      <c r="Y21" s="59">
        <v>1232.96</v>
      </c>
      <c r="Z21" s="59">
        <v>940.37</v>
      </c>
      <c r="AA21" s="59">
        <v>1081.31</v>
      </c>
      <c r="AB21" s="59">
        <v>1331.94</v>
      </c>
      <c r="AC21" s="59">
        <v>1355.58</v>
      </c>
      <c r="AD21" s="59">
        <v>1168.98</v>
      </c>
      <c r="AE21" s="59">
        <v>992.15</v>
      </c>
      <c r="AF21" s="59">
        <v>1224.58</v>
      </c>
      <c r="AG21" s="59">
        <v>939.32</v>
      </c>
      <c r="AH21" s="59">
        <v>1175.93</v>
      </c>
      <c r="AI21" s="59">
        <v>842.37</v>
      </c>
      <c r="AJ21" s="59">
        <v>969.71</v>
      </c>
      <c r="AK21" s="59">
        <v>1181.46</v>
      </c>
      <c r="AL21" s="59">
        <v>950.8</v>
      </c>
      <c r="AM21" s="59">
        <v>1133.04</v>
      </c>
      <c r="AN21" s="59">
        <v>899.88</v>
      </c>
      <c r="AO21" s="59">
        <v>1012.47</v>
      </c>
      <c r="AP21" s="77">
        <v>819.77</v>
      </c>
      <c r="AQ21" s="79">
        <v>1002.63</v>
      </c>
      <c r="AR21" s="72">
        <v>826.28</v>
      </c>
      <c r="AS21" s="72">
        <v>1075.53</v>
      </c>
      <c r="AT21" s="79">
        <v>1028.82</v>
      </c>
      <c r="AU21" s="72">
        <v>884.19</v>
      </c>
      <c r="AV21" s="72">
        <v>988.3</v>
      </c>
      <c r="AW21" s="72">
        <v>838.62</v>
      </c>
      <c r="AX21" s="72">
        <v>775.33</v>
      </c>
      <c r="AY21" s="72">
        <v>732.58</v>
      </c>
      <c r="AZ21" s="79">
        <v>1747.74</v>
      </c>
      <c r="BA21" s="72">
        <v>778.3</v>
      </c>
      <c r="BB21" s="72">
        <v>933.33</v>
      </c>
      <c r="BC21" s="79">
        <v>1152.9417348442933</v>
      </c>
      <c r="BD21" s="79">
        <v>820.05937243394851</v>
      </c>
      <c r="CI21" s="5">
        <v>30</v>
      </c>
    </row>
    <row r="22" spans="2:87" ht="15" customHeight="1" x14ac:dyDescent="0.25">
      <c r="B22" s="16" t="s">
        <v>100</v>
      </c>
      <c r="C22" s="7" t="s">
        <v>101</v>
      </c>
      <c r="D22" s="13">
        <v>240.91674233246229</v>
      </c>
      <c r="E22" s="13">
        <v>219.44116409203079</v>
      </c>
      <c r="F22" s="13">
        <v>146.6879787855801</v>
      </c>
      <c r="G22" s="13">
        <v>1131.5899999999999</v>
      </c>
      <c r="H22" s="13">
        <v>1135.54</v>
      </c>
      <c r="I22" s="13">
        <v>1225.17</v>
      </c>
      <c r="J22" s="13">
        <v>1121.72</v>
      </c>
      <c r="K22" s="13">
        <v>1122.29</v>
      </c>
      <c r="L22" s="13">
        <v>1115.8699999999999</v>
      </c>
      <c r="M22" s="13">
        <v>1120.4100000000001</v>
      </c>
      <c r="N22" s="13">
        <v>1109.57</v>
      </c>
      <c r="O22" s="13">
        <v>1100.3399999999999</v>
      </c>
      <c r="P22" s="59">
        <v>1095.81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77">
        <v>0</v>
      </c>
      <c r="AQ22" s="72">
        <v>0</v>
      </c>
      <c r="AR22" s="72">
        <v>0</v>
      </c>
      <c r="AS22" s="72">
        <v>0</v>
      </c>
      <c r="AT22" s="72">
        <v>0</v>
      </c>
      <c r="AU22" s="72">
        <v>0</v>
      </c>
      <c r="AV22" s="72">
        <v>0</v>
      </c>
      <c r="AW22" s="72">
        <v>0</v>
      </c>
      <c r="AX22" s="72">
        <v>0</v>
      </c>
      <c r="AY22" s="72">
        <v>0</v>
      </c>
      <c r="AZ22" s="72">
        <v>0</v>
      </c>
      <c r="BA22" s="72">
        <v>0</v>
      </c>
      <c r="BB22" s="72">
        <v>0</v>
      </c>
      <c r="BC22" s="110">
        <v>-1.2913686929428056E-7</v>
      </c>
      <c r="BD22" s="110">
        <v>-1.2872054562338085E-7</v>
      </c>
      <c r="CI22" s="5">
        <v>31</v>
      </c>
    </row>
    <row r="23" spans="2:87" ht="15" customHeight="1" x14ac:dyDescent="0.25">
      <c r="B23" s="16" t="s">
        <v>102</v>
      </c>
      <c r="C23" s="7" t="s">
        <v>103</v>
      </c>
      <c r="D23" s="13">
        <v>44.579075503668349</v>
      </c>
      <c r="E23" s="13">
        <v>44.549516651682104</v>
      </c>
      <c r="F23" s="13">
        <v>44.543808966054698</v>
      </c>
      <c r="G23" s="13">
        <v>1733.91</v>
      </c>
      <c r="H23" s="13">
        <v>605.27</v>
      </c>
      <c r="I23" s="13">
        <v>874.58</v>
      </c>
      <c r="J23" s="13">
        <v>880</v>
      </c>
      <c r="K23" s="13">
        <v>484.26</v>
      </c>
      <c r="L23" s="13">
        <v>434.39</v>
      </c>
      <c r="M23" s="13">
        <v>251.36</v>
      </c>
      <c r="N23" s="13">
        <v>519.51</v>
      </c>
      <c r="O23" s="13">
        <v>452.69</v>
      </c>
      <c r="P23" s="59">
        <v>757.28</v>
      </c>
      <c r="Q23" s="59">
        <v>801.88</v>
      </c>
      <c r="R23" s="59">
        <v>75.569999999999993</v>
      </c>
      <c r="S23" s="59">
        <v>233.28</v>
      </c>
      <c r="T23" s="59">
        <v>290.12</v>
      </c>
      <c r="U23" s="59">
        <v>218.75</v>
      </c>
      <c r="V23" s="59">
        <v>574.79999999999995</v>
      </c>
      <c r="W23" s="59">
        <v>79.91</v>
      </c>
      <c r="X23" s="59">
        <v>107.2</v>
      </c>
      <c r="Y23" s="59">
        <v>454.66</v>
      </c>
      <c r="Z23" s="59">
        <v>212.44</v>
      </c>
      <c r="AA23" s="59">
        <v>353.46</v>
      </c>
      <c r="AB23" s="59">
        <v>609.69000000000005</v>
      </c>
      <c r="AC23" s="59">
        <v>625.24</v>
      </c>
      <c r="AD23" s="59">
        <v>438.68</v>
      </c>
      <c r="AE23" s="59">
        <v>258.12</v>
      </c>
      <c r="AF23" s="59">
        <v>447.29</v>
      </c>
      <c r="AG23" s="59">
        <v>191.87</v>
      </c>
      <c r="AH23" s="59">
        <v>422.73</v>
      </c>
      <c r="AI23" s="59">
        <v>87.78</v>
      </c>
      <c r="AJ23" s="59">
        <v>209.96</v>
      </c>
      <c r="AK23" s="59">
        <v>415.11</v>
      </c>
      <c r="AL23" s="59">
        <v>184.38</v>
      </c>
      <c r="AM23" s="59">
        <v>363.31</v>
      </c>
      <c r="AN23" s="59">
        <v>125.11</v>
      </c>
      <c r="AO23" s="59">
        <v>233.38</v>
      </c>
      <c r="AP23" s="77">
        <v>31.33</v>
      </c>
      <c r="AQ23" s="72">
        <v>209.66</v>
      </c>
      <c r="AR23" s="72">
        <v>30.02</v>
      </c>
      <c r="AS23" s="72">
        <v>279.27</v>
      </c>
      <c r="AT23" s="72">
        <v>358.62</v>
      </c>
      <c r="AU23" s="72">
        <v>219.25</v>
      </c>
      <c r="AV23" s="72">
        <v>307.64</v>
      </c>
      <c r="AW23" s="72">
        <v>148.22999999999999</v>
      </c>
      <c r="AX23" s="72">
        <v>83.06</v>
      </c>
      <c r="AY23" s="72">
        <v>39.64</v>
      </c>
      <c r="AZ23" s="79">
        <v>1048.24</v>
      </c>
      <c r="BA23" s="72">
        <v>85.69</v>
      </c>
      <c r="BB23" s="72">
        <v>203.26</v>
      </c>
      <c r="BC23" s="79">
        <v>422.67604903113914</v>
      </c>
      <c r="BD23" s="79">
        <v>89.755607704649876</v>
      </c>
    </row>
    <row r="24" spans="2:87" ht="15" customHeight="1" x14ac:dyDescent="0.25">
      <c r="B24" s="16" t="s">
        <v>104</v>
      </c>
      <c r="C24" s="7" t="s">
        <v>105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 t="s">
        <v>79</v>
      </c>
      <c r="AE24" s="59" t="s">
        <v>79</v>
      </c>
      <c r="AF24" s="59" t="s">
        <v>79</v>
      </c>
      <c r="AG24" s="59" t="s">
        <v>79</v>
      </c>
      <c r="AH24" s="59" t="s">
        <v>79</v>
      </c>
      <c r="AI24" s="59" t="s">
        <v>79</v>
      </c>
      <c r="AJ24" s="59" t="s">
        <v>79</v>
      </c>
      <c r="AK24" s="59" t="s">
        <v>79</v>
      </c>
      <c r="AL24" s="59" t="s">
        <v>79</v>
      </c>
      <c r="AM24" s="59" t="s">
        <v>79</v>
      </c>
      <c r="AN24" s="59" t="s">
        <v>79</v>
      </c>
      <c r="AO24" s="59" t="s">
        <v>79</v>
      </c>
      <c r="AP24" s="77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</row>
    <row r="25" spans="2:87" ht="15" customHeight="1" x14ac:dyDescent="0.25">
      <c r="B25" s="19" t="s">
        <v>106</v>
      </c>
      <c r="C25" s="7" t="s">
        <v>107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 t="s">
        <v>79</v>
      </c>
      <c r="AE25" s="59" t="s">
        <v>79</v>
      </c>
      <c r="AF25" s="59" t="s">
        <v>79</v>
      </c>
      <c r="AG25" s="59" t="s">
        <v>79</v>
      </c>
      <c r="AH25" s="59" t="s">
        <v>79</v>
      </c>
      <c r="AI25" s="59" t="s">
        <v>79</v>
      </c>
      <c r="AJ25" s="59" t="s">
        <v>79</v>
      </c>
      <c r="AK25" s="59" t="s">
        <v>79</v>
      </c>
      <c r="AL25" s="59" t="s">
        <v>79</v>
      </c>
      <c r="AM25" s="59" t="s">
        <v>79</v>
      </c>
      <c r="AN25" s="59" t="s">
        <v>79</v>
      </c>
      <c r="AO25" s="59" t="s">
        <v>79</v>
      </c>
      <c r="AP25" s="77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CI25" s="20" t="s">
        <v>108</v>
      </c>
    </row>
    <row r="26" spans="2:87" ht="15" customHeight="1" x14ac:dyDescent="0.25">
      <c r="B26" s="16" t="s">
        <v>109</v>
      </c>
      <c r="C26" s="7" t="s">
        <v>110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 t="s">
        <v>79</v>
      </c>
      <c r="AE26" s="59" t="s">
        <v>79</v>
      </c>
      <c r="AF26" s="59" t="s">
        <v>79</v>
      </c>
      <c r="AG26" s="59" t="s">
        <v>79</v>
      </c>
      <c r="AH26" s="59" t="s">
        <v>79</v>
      </c>
      <c r="AI26" s="59" t="s">
        <v>79</v>
      </c>
      <c r="AJ26" s="59" t="s">
        <v>79</v>
      </c>
      <c r="AK26" s="59" t="s">
        <v>79</v>
      </c>
      <c r="AL26" s="59" t="s">
        <v>79</v>
      </c>
      <c r="AM26" s="59" t="s">
        <v>79</v>
      </c>
      <c r="AN26" s="59" t="s">
        <v>79</v>
      </c>
      <c r="AO26" s="59" t="s">
        <v>79</v>
      </c>
      <c r="AP26" s="77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CI26" s="20" t="s">
        <v>111</v>
      </c>
    </row>
    <row r="27" spans="2:87" ht="15" customHeight="1" x14ac:dyDescent="0.25">
      <c r="B27" s="16" t="s">
        <v>96</v>
      </c>
      <c r="C27" s="7" t="s">
        <v>112</v>
      </c>
      <c r="D27" s="13">
        <v>57.013064173350017</v>
      </c>
      <c r="E27" s="13">
        <v>51.818114343128912</v>
      </c>
      <c r="F27" s="13">
        <v>44.078819504739798</v>
      </c>
      <c r="G27" s="13">
        <v>531.38</v>
      </c>
      <c r="H27" s="13">
        <v>565.29999999999995</v>
      </c>
      <c r="I27" s="13">
        <v>432.5</v>
      </c>
      <c r="J27" s="13">
        <v>421.66</v>
      </c>
      <c r="K27" s="13">
        <v>431.34</v>
      </c>
      <c r="L27" s="13">
        <v>526.04999999999995</v>
      </c>
      <c r="M27" s="13">
        <v>527.44000000000005</v>
      </c>
      <c r="N27" s="13">
        <v>526.75</v>
      </c>
      <c r="O27" s="13">
        <v>563.29999999999995</v>
      </c>
      <c r="P27" s="59">
        <v>563.58000000000004</v>
      </c>
      <c r="Q27" s="59">
        <v>636.49</v>
      </c>
      <c r="R27" s="59">
        <v>616.33000000000004</v>
      </c>
      <c r="S27" s="59">
        <v>608.98</v>
      </c>
      <c r="T27" s="59">
        <v>617.96</v>
      </c>
      <c r="U27" s="59">
        <v>623.29999999999995</v>
      </c>
      <c r="V27" s="59">
        <v>581.17999999999995</v>
      </c>
      <c r="W27" s="59">
        <v>717.96</v>
      </c>
      <c r="X27" s="59">
        <v>717.62</v>
      </c>
      <c r="Y27" s="59">
        <v>778.3</v>
      </c>
      <c r="Z27" s="59">
        <v>727.94</v>
      </c>
      <c r="AA27" s="59">
        <v>727.85</v>
      </c>
      <c r="AB27" s="59">
        <v>722.25</v>
      </c>
      <c r="AC27" s="59">
        <v>730.34</v>
      </c>
      <c r="AD27" s="59">
        <v>730.3</v>
      </c>
      <c r="AE27" s="59">
        <v>734.03</v>
      </c>
      <c r="AF27" s="59">
        <v>777.29</v>
      </c>
      <c r="AG27" s="59">
        <v>747.45</v>
      </c>
      <c r="AH27" s="59">
        <v>753.2</v>
      </c>
      <c r="AI27" s="59">
        <v>754.58</v>
      </c>
      <c r="AJ27" s="59">
        <v>759.75</v>
      </c>
      <c r="AK27" s="59">
        <v>766.35</v>
      </c>
      <c r="AL27" s="59">
        <v>766.43</v>
      </c>
      <c r="AM27" s="59">
        <v>769.73</v>
      </c>
      <c r="AN27" s="59">
        <v>774.77</v>
      </c>
      <c r="AO27" s="59">
        <v>779.09</v>
      </c>
      <c r="AP27" s="77">
        <v>788.44</v>
      </c>
      <c r="AQ27" s="72">
        <v>792.97</v>
      </c>
      <c r="AR27" s="72">
        <v>796.26</v>
      </c>
      <c r="AS27" s="72">
        <v>796.27</v>
      </c>
      <c r="AT27" s="72">
        <v>670.2</v>
      </c>
      <c r="AU27" s="72">
        <v>664.94</v>
      </c>
      <c r="AV27" s="72">
        <v>680.66</v>
      </c>
      <c r="AW27" s="72">
        <v>690.39</v>
      </c>
      <c r="AX27" s="72">
        <v>692.28</v>
      </c>
      <c r="AY27" s="72">
        <v>692.95</v>
      </c>
      <c r="AZ27" s="72">
        <v>699.5</v>
      </c>
      <c r="BA27" s="72">
        <v>692.61</v>
      </c>
      <c r="BB27" s="72">
        <v>730.06</v>
      </c>
      <c r="BC27" s="79">
        <v>730.26568594229104</v>
      </c>
      <c r="BD27" s="79">
        <v>730.30376485801924</v>
      </c>
      <c r="CI27" s="20" t="s">
        <v>113</v>
      </c>
    </row>
    <row r="28" spans="2:87" x14ac:dyDescent="0.25">
      <c r="D28"/>
      <c r="E28"/>
      <c r="F28"/>
      <c r="Q28" s="1"/>
      <c r="AW28" s="83"/>
      <c r="CI28" s="20" t="s">
        <v>114</v>
      </c>
    </row>
    <row r="29" spans="2:87" ht="31.5" x14ac:dyDescent="0.25">
      <c r="B29" s="41" t="s">
        <v>115</v>
      </c>
      <c r="C29" s="41"/>
      <c r="D29" s="41"/>
      <c r="E29" s="41"/>
      <c r="F29" s="41"/>
      <c r="G29" s="50"/>
      <c r="H29" s="4"/>
      <c r="Q29" s="1"/>
      <c r="R29" s="88"/>
      <c r="CI29" s="20" t="s">
        <v>116</v>
      </c>
    </row>
    <row r="30" spans="2:87" x14ac:dyDescent="0.25">
      <c r="D30"/>
      <c r="E30"/>
      <c r="F30"/>
      <c r="Q30" s="1"/>
      <c r="CI30" s="20" t="s">
        <v>117</v>
      </c>
    </row>
    <row r="31" spans="2:87" ht="15.75" x14ac:dyDescent="0.25">
      <c r="B31" s="21" t="s">
        <v>118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CG31"/>
    </row>
    <row r="32" spans="2:87" ht="15" customHeight="1" x14ac:dyDescent="0.25">
      <c r="B32" s="24" t="s">
        <v>119</v>
      </c>
      <c r="C32" s="7" t="s">
        <v>120</v>
      </c>
      <c r="D32" s="13">
        <f t="shared" ref="D32" si="0">+D33+D34+D35</f>
        <v>-5075.0038038668299</v>
      </c>
      <c r="E32" s="13">
        <v>-3450.7211581995789</v>
      </c>
      <c r="F32" s="13">
        <v>-4226.5683536441084</v>
      </c>
      <c r="G32" s="13">
        <v>-4002.3594980281218</v>
      </c>
      <c r="H32" s="13">
        <v>-4062.1381910019104</v>
      </c>
      <c r="I32" s="13">
        <v>-4275.3342109895057</v>
      </c>
      <c r="J32" s="13">
        <v>-4260.5987336605631</v>
      </c>
      <c r="K32" s="13">
        <v>-4249.6878637965892</v>
      </c>
      <c r="L32" s="13">
        <v>-4305.7947806800003</v>
      </c>
      <c r="M32" s="13">
        <v>-4224.03</v>
      </c>
      <c r="N32" s="13">
        <v>-5318.58</v>
      </c>
      <c r="O32" s="13">
        <v>-5452.65</v>
      </c>
      <c r="P32" s="13">
        <v>-5453.33</v>
      </c>
      <c r="Q32" s="13">
        <v>-5040.37</v>
      </c>
      <c r="R32" s="13">
        <v>-4828.53</v>
      </c>
      <c r="S32" s="13">
        <v>-4858.34</v>
      </c>
      <c r="T32" s="13">
        <v>-5331.48</v>
      </c>
      <c r="U32" s="13">
        <v>-4731.32</v>
      </c>
      <c r="V32" s="13">
        <v>-5140.2099999999991</v>
      </c>
      <c r="W32" s="13">
        <v>-5185.12</v>
      </c>
      <c r="X32" s="13">
        <v>-4889.6899999999996</v>
      </c>
      <c r="Y32" s="13">
        <v>-5848.6</v>
      </c>
      <c r="Z32" s="13">
        <v>-4887.71</v>
      </c>
      <c r="AA32" s="13">
        <v>-6370.02</v>
      </c>
      <c r="AB32" s="13">
        <v>-4613.5599999999995</v>
      </c>
      <c r="AC32" s="13">
        <v>-8106.2</v>
      </c>
      <c r="AD32" s="13">
        <v>-5844.49</v>
      </c>
      <c r="AE32" s="13">
        <v>-7221.7100000000009</v>
      </c>
      <c r="AF32" s="13">
        <v>-6686.08</v>
      </c>
      <c r="AG32" s="13">
        <v>-2985.84</v>
      </c>
      <c r="AH32" s="13">
        <v>-5723.24</v>
      </c>
      <c r="AI32" s="13">
        <v>-4944.54</v>
      </c>
      <c r="AJ32" s="13">
        <v>-1697.8000000000002</v>
      </c>
      <c r="AK32" s="13">
        <v>-3419.95</v>
      </c>
      <c r="AL32" s="13">
        <v>-4553.2</v>
      </c>
      <c r="AM32" s="13">
        <v>-3614.75</v>
      </c>
      <c r="AN32" s="13">
        <v>-3042.15</v>
      </c>
      <c r="AO32" s="13">
        <v>-3614.75</v>
      </c>
      <c r="AP32" s="13">
        <v>-6470.9</v>
      </c>
      <c r="AQ32" s="13">
        <v>-1824.8200000000002</v>
      </c>
      <c r="AR32" s="13">
        <v>-1866.17</v>
      </c>
      <c r="AS32" s="13">
        <v>-4725.9399999999996</v>
      </c>
      <c r="AT32" s="13">
        <v>-4547.2961336900007</v>
      </c>
      <c r="AU32" s="13">
        <v>-4048.8177663104088</v>
      </c>
      <c r="AV32" s="13">
        <v>-6968.16</v>
      </c>
      <c r="AW32" s="13">
        <v>-8464.19</v>
      </c>
      <c r="AX32" s="13">
        <v>-6135.9500000000007</v>
      </c>
      <c r="AY32" s="13">
        <v>-6229.26</v>
      </c>
      <c r="AZ32" s="13">
        <v>-5976.08</v>
      </c>
      <c r="BA32" s="13">
        <v>-4698.2800000000007</v>
      </c>
      <c r="BB32" s="13">
        <v>-5126.2700000000004</v>
      </c>
      <c r="BC32" s="13">
        <v>-4835.2594613571619</v>
      </c>
      <c r="BD32" s="13"/>
      <c r="CG32"/>
    </row>
    <row r="33" spans="2:87" ht="15" customHeight="1" x14ac:dyDescent="0.25">
      <c r="B33" s="25" t="s">
        <v>121</v>
      </c>
      <c r="C33" s="7" t="s">
        <v>122</v>
      </c>
      <c r="D33" s="13">
        <f t="shared" ref="D33" si="1">+D39+D44</f>
        <v>-2728.74765899883</v>
      </c>
      <c r="E33" s="13">
        <v>-787.11535411674754</v>
      </c>
      <c r="F33" s="13">
        <v>-349.2584439210126</v>
      </c>
      <c r="G33" s="13">
        <v>-206.72217276681732</v>
      </c>
      <c r="H33" s="13">
        <v>-40.204410626391606</v>
      </c>
      <c r="I33" s="13">
        <v>-149.28195697599998</v>
      </c>
      <c r="J33" s="13">
        <v>-124.09802282082805</v>
      </c>
      <c r="K33" s="13">
        <v>-262.68710340710436</v>
      </c>
      <c r="L33" s="13">
        <v>-141.92410078</v>
      </c>
      <c r="M33" s="13">
        <v>-280.83</v>
      </c>
      <c r="N33" s="13">
        <v>-174.6</v>
      </c>
      <c r="O33" s="13">
        <v>-150.75</v>
      </c>
      <c r="P33" s="13">
        <v>-227.39000000000001</v>
      </c>
      <c r="Q33" s="13">
        <v>-1126.4199999999998</v>
      </c>
      <c r="R33" s="13">
        <v>-226.54</v>
      </c>
      <c r="S33" s="13">
        <v>-296.60000000000002</v>
      </c>
      <c r="T33" s="13">
        <v>-768.12</v>
      </c>
      <c r="U33" s="13">
        <v>-188.39999999999998</v>
      </c>
      <c r="V33" s="13">
        <v>-601.30000000000007</v>
      </c>
      <c r="W33" s="13">
        <v>-450.31</v>
      </c>
      <c r="X33" s="13">
        <v>-684.05</v>
      </c>
      <c r="Y33" s="13">
        <v>-849.44</v>
      </c>
      <c r="Z33" s="13">
        <v>-503.86</v>
      </c>
      <c r="AA33" s="13">
        <v>-541.54</v>
      </c>
      <c r="AB33" s="13">
        <v>-215.92</v>
      </c>
      <c r="AC33" s="13">
        <v>-1247.9100000000001</v>
      </c>
      <c r="AD33" s="13">
        <v>-48.11</v>
      </c>
      <c r="AE33" s="13">
        <v>-287.78000000000003</v>
      </c>
      <c r="AF33" s="13">
        <v>-882.55000000000007</v>
      </c>
      <c r="AG33" s="13">
        <v>-168.45</v>
      </c>
      <c r="AH33" s="13">
        <v>-628.87</v>
      </c>
      <c r="AI33" s="13">
        <v>-480.89</v>
      </c>
      <c r="AJ33" s="13">
        <v>-95.12</v>
      </c>
      <c r="AK33" s="13">
        <v>-253.45</v>
      </c>
      <c r="AL33" s="13">
        <v>-228.8</v>
      </c>
      <c r="AM33" s="13">
        <v>-329.18</v>
      </c>
      <c r="AN33" s="13">
        <v>-207.62</v>
      </c>
      <c r="AO33" s="13">
        <v>-329.18</v>
      </c>
      <c r="AP33" s="13">
        <v>-459.44</v>
      </c>
      <c r="AQ33" s="13">
        <v>-185.85000000000002</v>
      </c>
      <c r="AR33" s="13">
        <v>-76.63</v>
      </c>
      <c r="AS33" s="13">
        <v>-244.41</v>
      </c>
      <c r="AT33" s="13">
        <v>-272.55124218999998</v>
      </c>
      <c r="AU33" s="13">
        <v>-435.92731422916893</v>
      </c>
      <c r="AV33" s="13">
        <v>-329.51</v>
      </c>
      <c r="AW33" s="13">
        <v>-255.71</v>
      </c>
      <c r="AX33" s="13">
        <v>-234.05</v>
      </c>
      <c r="AY33" s="13">
        <v>-619.52</v>
      </c>
      <c r="AZ33" s="13">
        <v>-1281.49</v>
      </c>
      <c r="BA33" s="13">
        <v>-734.38</v>
      </c>
      <c r="BB33" s="13">
        <v>-300.25</v>
      </c>
      <c r="BC33" s="13">
        <v>-284.66418064679965</v>
      </c>
      <c r="BD33" s="13"/>
      <c r="CG33"/>
    </row>
    <row r="34" spans="2:87" ht="15" customHeight="1" x14ac:dyDescent="0.25">
      <c r="B34" s="26" t="s">
        <v>123</v>
      </c>
      <c r="C34" s="7" t="s">
        <v>124</v>
      </c>
      <c r="D34" s="13">
        <f t="shared" ref="D34" si="2">+D40+D45</f>
        <v>-449.93477574500002</v>
      </c>
      <c r="E34" s="13">
        <v>-532.43056249997812</v>
      </c>
      <c r="F34" s="13">
        <v>-484.70629795556158</v>
      </c>
      <c r="G34" s="13">
        <v>-327.81872751268713</v>
      </c>
      <c r="H34" s="13">
        <v>-504.55554892068176</v>
      </c>
      <c r="I34" s="13">
        <v>-667.6582593739447</v>
      </c>
      <c r="J34" s="13">
        <v>-767.36641076741739</v>
      </c>
      <c r="K34" s="13">
        <v>-785.28781086582012</v>
      </c>
      <c r="L34" s="13">
        <v>-683.50108290000003</v>
      </c>
      <c r="M34" s="13">
        <v>-621.67000000000007</v>
      </c>
      <c r="N34" s="13">
        <v>-2224.1800000000003</v>
      </c>
      <c r="O34" s="13">
        <v>-2332.94</v>
      </c>
      <c r="P34" s="13">
        <v>-2246.48</v>
      </c>
      <c r="Q34" s="13">
        <v>-663.9</v>
      </c>
      <c r="R34" s="13">
        <v>-596.85</v>
      </c>
      <c r="S34" s="13">
        <v>-543.82999999999993</v>
      </c>
      <c r="T34" s="13">
        <v>-1223.17</v>
      </c>
      <c r="U34" s="13">
        <v>-1430.49</v>
      </c>
      <c r="V34" s="13">
        <v>-1202.22</v>
      </c>
      <c r="W34" s="13">
        <v>-1510.81</v>
      </c>
      <c r="X34" s="13">
        <v>-1078.3499999999999</v>
      </c>
      <c r="Y34" s="13">
        <v>-743.35</v>
      </c>
      <c r="Z34" s="13">
        <v>-1700.2</v>
      </c>
      <c r="AA34" s="13">
        <v>-1358.72</v>
      </c>
      <c r="AB34" s="13">
        <v>-1557.87</v>
      </c>
      <c r="AC34" s="13">
        <v>-1277</v>
      </c>
      <c r="AD34" s="13">
        <v>-1706.72</v>
      </c>
      <c r="AE34" s="13">
        <v>-1835.5900000000001</v>
      </c>
      <c r="AF34" s="13">
        <v>-2196.5100000000002</v>
      </c>
      <c r="AG34" s="13">
        <v>-920.56</v>
      </c>
      <c r="AH34" s="13">
        <v>-959.91</v>
      </c>
      <c r="AI34" s="13">
        <v>-743.13</v>
      </c>
      <c r="AJ34" s="13">
        <v>-119.39</v>
      </c>
      <c r="AK34" s="13">
        <v>-639.82999999999993</v>
      </c>
      <c r="AL34" s="13">
        <v>-802.31999999999994</v>
      </c>
      <c r="AM34" s="13">
        <v>-1061.24</v>
      </c>
      <c r="AN34" s="13">
        <v>-798.12</v>
      </c>
      <c r="AO34" s="13">
        <v>-1061.24</v>
      </c>
      <c r="AP34" s="13">
        <v>-1516.32</v>
      </c>
      <c r="AQ34" s="13">
        <v>-199.35</v>
      </c>
      <c r="AR34" s="13">
        <v>-210.79000000000002</v>
      </c>
      <c r="AS34" s="13">
        <v>-940.04</v>
      </c>
      <c r="AT34" s="13">
        <v>-773.63354249999998</v>
      </c>
      <c r="AU34" s="13">
        <v>-490.10643732051409</v>
      </c>
      <c r="AV34" s="13">
        <v>-580.12</v>
      </c>
      <c r="AW34" s="13">
        <v>-913.24</v>
      </c>
      <c r="AX34" s="13">
        <v>-2387.3000000000002</v>
      </c>
      <c r="AY34" s="13">
        <v>-2335.56</v>
      </c>
      <c r="AZ34" s="13">
        <v>-1212.48</v>
      </c>
      <c r="BA34" s="13">
        <v>-1616.96</v>
      </c>
      <c r="BB34" s="13">
        <v>-1208.72</v>
      </c>
      <c r="BC34" s="13">
        <v>-1710.3562812602452</v>
      </c>
      <c r="BD34" s="13"/>
      <c r="CG34"/>
    </row>
    <row r="35" spans="2:87" ht="15" customHeight="1" x14ac:dyDescent="0.25">
      <c r="B35" s="25" t="s">
        <v>125</v>
      </c>
      <c r="C35" s="7" t="s">
        <v>126</v>
      </c>
      <c r="D35" s="13">
        <f t="shared" ref="D35" si="3">+D41+D46</f>
        <v>-1896.3213691230001</v>
      </c>
      <c r="E35" s="13">
        <v>-2131.1752415828532</v>
      </c>
      <c r="F35" s="13">
        <v>-3392.6036117675339</v>
      </c>
      <c r="G35" s="13">
        <v>-3467.8185977486173</v>
      </c>
      <c r="H35" s="13">
        <v>-3517.3782314548371</v>
      </c>
      <c r="I35" s="13">
        <v>-3458.3939946395612</v>
      </c>
      <c r="J35" s="13">
        <v>-3369.1343000723173</v>
      </c>
      <c r="K35" s="13">
        <v>-3201.712949523665</v>
      </c>
      <c r="L35" s="13">
        <v>-3480.3695969999999</v>
      </c>
      <c r="M35" s="13">
        <v>-3321.5299999999997</v>
      </c>
      <c r="N35" s="13">
        <v>-2919.8</v>
      </c>
      <c r="O35" s="13">
        <v>-2968.96</v>
      </c>
      <c r="P35" s="13">
        <v>-2979.46</v>
      </c>
      <c r="Q35" s="13">
        <v>-3250.05</v>
      </c>
      <c r="R35" s="13">
        <v>-4005.14</v>
      </c>
      <c r="S35" s="13">
        <v>-4017.91</v>
      </c>
      <c r="T35" s="13">
        <v>-3340.19</v>
      </c>
      <c r="U35" s="13">
        <v>-3112.4300000000003</v>
      </c>
      <c r="V35" s="13">
        <v>-3336.6899999999996</v>
      </c>
      <c r="W35" s="13">
        <v>-3224</v>
      </c>
      <c r="X35" s="13">
        <v>-3127.29</v>
      </c>
      <c r="Y35" s="13">
        <v>-4255.8100000000004</v>
      </c>
      <c r="Z35" s="13">
        <v>-2683.65</v>
      </c>
      <c r="AA35" s="13">
        <v>-4469.76</v>
      </c>
      <c r="AB35" s="13">
        <v>-2839.77</v>
      </c>
      <c r="AC35" s="13">
        <v>-5581.29</v>
      </c>
      <c r="AD35" s="13">
        <v>-4089.6600000000003</v>
      </c>
      <c r="AE35" s="13">
        <v>-5098.34</v>
      </c>
      <c r="AF35" s="13">
        <v>-3607.02</v>
      </c>
      <c r="AG35" s="13">
        <v>-1896.83</v>
      </c>
      <c r="AH35" s="13">
        <v>-4134.46</v>
      </c>
      <c r="AI35" s="13">
        <v>-3720.52</v>
      </c>
      <c r="AJ35" s="13">
        <v>-1483.2900000000002</v>
      </c>
      <c r="AK35" s="13">
        <v>-2526.67</v>
      </c>
      <c r="AL35" s="13">
        <v>-3522.08</v>
      </c>
      <c r="AM35" s="13">
        <v>-2224.33</v>
      </c>
      <c r="AN35" s="13">
        <v>-2036.41</v>
      </c>
      <c r="AO35" s="13">
        <v>-2224.33</v>
      </c>
      <c r="AP35" s="13">
        <v>-4495.1399999999994</v>
      </c>
      <c r="AQ35" s="13">
        <v>-1439.6200000000001</v>
      </c>
      <c r="AR35" s="13">
        <v>-1578.75</v>
      </c>
      <c r="AS35" s="13">
        <v>-3541.49</v>
      </c>
      <c r="AT35" s="13">
        <v>-3501.1113490000002</v>
      </c>
      <c r="AU35" s="13">
        <v>-3122.7840147607258</v>
      </c>
      <c r="AV35" s="13">
        <v>-6058.53</v>
      </c>
      <c r="AW35" s="13">
        <v>-7295.24</v>
      </c>
      <c r="AX35" s="13">
        <v>-3514.6</v>
      </c>
      <c r="AY35" s="13">
        <v>-3274.1800000000003</v>
      </c>
      <c r="AZ35" s="13">
        <v>-3482.11</v>
      </c>
      <c r="BA35" s="13">
        <v>-2346.94</v>
      </c>
      <c r="BB35" s="13">
        <v>-3617.3</v>
      </c>
      <c r="BC35" s="13">
        <v>-2840.2389994501168</v>
      </c>
      <c r="BD35" s="13"/>
      <c r="CG35"/>
    </row>
    <row r="36" spans="2:87" ht="15" customHeight="1" x14ac:dyDescent="0.25">
      <c r="B36" s="27" t="s">
        <v>127</v>
      </c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CG36"/>
    </row>
    <row r="37" spans="2:87" ht="15" customHeight="1" x14ac:dyDescent="0.25">
      <c r="B37" s="24" t="s">
        <v>128</v>
      </c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CG37"/>
    </row>
    <row r="38" spans="2:87" ht="15" customHeight="1" x14ac:dyDescent="0.25">
      <c r="B38" s="26" t="s">
        <v>119</v>
      </c>
      <c r="C38" s="7" t="s">
        <v>129</v>
      </c>
      <c r="D38" s="13">
        <f t="shared" ref="D38" si="4">+D39+D40+D41</f>
        <v>-3502.34701050083</v>
      </c>
      <c r="E38" s="13">
        <v>-1627.399511396359</v>
      </c>
      <c r="F38" s="13">
        <v>-2653.9115602781085</v>
      </c>
      <c r="G38" s="13">
        <v>-2695.8023095989274</v>
      </c>
      <c r="H38" s="13">
        <v>-2680.0651293789815</v>
      </c>
      <c r="I38" s="13">
        <v>-2889.3496258844739</v>
      </c>
      <c r="J38" s="13">
        <v>-2863.3750942354272</v>
      </c>
      <c r="K38" s="13">
        <v>-2789.277360118685</v>
      </c>
      <c r="L38" s="13">
        <v>-3016.5576776999997</v>
      </c>
      <c r="M38" s="13">
        <v>-2867.72</v>
      </c>
      <c r="N38" s="13">
        <v>-3788.29</v>
      </c>
      <c r="O38" s="13">
        <v>-3723.57</v>
      </c>
      <c r="P38" s="13">
        <v>-3676.5699999999997</v>
      </c>
      <c r="Q38" s="13">
        <v>-3572.7</v>
      </c>
      <c r="R38" s="13">
        <v>-3162.67</v>
      </c>
      <c r="S38" s="13">
        <v>-3169.47</v>
      </c>
      <c r="T38" s="13">
        <v>-3685.17</v>
      </c>
      <c r="U38" s="13">
        <v>-3120.82</v>
      </c>
      <c r="V38" s="13">
        <v>-3231.49</v>
      </c>
      <c r="W38" s="13">
        <v>-3263.7200000000003</v>
      </c>
      <c r="X38" s="13">
        <v>-3214.91</v>
      </c>
      <c r="Y38" s="13">
        <v>-3965.99</v>
      </c>
      <c r="Z38" s="13">
        <v>-3227.55</v>
      </c>
      <c r="AA38" s="13">
        <v>-4109.09</v>
      </c>
      <c r="AB38" s="13">
        <v>-2860.36</v>
      </c>
      <c r="AC38" s="13">
        <v>-5675.72</v>
      </c>
      <c r="AD38" s="13">
        <v>-3806.9800000000005</v>
      </c>
      <c r="AE38" s="13">
        <v>-4998.46</v>
      </c>
      <c r="AF38" s="13">
        <v>-4642.17</v>
      </c>
      <c r="AG38" s="13">
        <v>-1434.33</v>
      </c>
      <c r="AH38" s="13">
        <v>-3758.1000000000004</v>
      </c>
      <c r="AI38" s="13">
        <v>-3108.39</v>
      </c>
      <c r="AJ38" s="13">
        <v>-1508.2</v>
      </c>
      <c r="AK38" s="13">
        <v>-1874.52</v>
      </c>
      <c r="AL38" s="13">
        <v>-2941.0099999999998</v>
      </c>
      <c r="AM38" s="13">
        <v>-2007.15</v>
      </c>
      <c r="AN38" s="13">
        <v>-1596.46</v>
      </c>
      <c r="AO38" s="13">
        <v>-4224.9699999999993</v>
      </c>
      <c r="AP38" s="13">
        <v>-4946.18</v>
      </c>
      <c r="AQ38" s="13">
        <v>-1301.33</v>
      </c>
      <c r="AR38" s="13">
        <v>-1417.84</v>
      </c>
      <c r="AS38" s="13">
        <v>-3106.09</v>
      </c>
      <c r="AT38" s="13">
        <v>-2962.1205998900004</v>
      </c>
      <c r="AU38" s="13">
        <v>-2867.2482784645945</v>
      </c>
      <c r="AV38" s="13">
        <v>-5142.74</v>
      </c>
      <c r="AW38" s="13">
        <v>-5121.9500000000007</v>
      </c>
      <c r="AX38" s="13">
        <v>-4452.01</v>
      </c>
      <c r="AY38" s="13">
        <v>-4547.3999999999996</v>
      </c>
      <c r="AZ38" s="13">
        <v>-4289.0600000000004</v>
      </c>
      <c r="BA38" s="13">
        <v>-3109.81</v>
      </c>
      <c r="BB38" s="13">
        <v>-3483.9700000000003</v>
      </c>
      <c r="BC38" s="13">
        <v>-3278.669106343817</v>
      </c>
      <c r="BD38" s="13"/>
      <c r="CG38"/>
    </row>
    <row r="39" spans="2:87" ht="15" customHeight="1" x14ac:dyDescent="0.25">
      <c r="B39" s="28" t="s">
        <v>130</v>
      </c>
      <c r="C39" s="7" t="s">
        <v>131</v>
      </c>
      <c r="D39" s="13">
        <v>-2474.6034031128302</v>
      </c>
      <c r="E39" s="13">
        <v>-468.84337224979828</v>
      </c>
      <c r="F39" s="13">
        <v>-95.114188035012631</v>
      </c>
      <c r="G39" s="13">
        <v>-122.42042136299878</v>
      </c>
      <c r="H39" s="13">
        <v>-9.2028781505663186</v>
      </c>
      <c r="I39" s="13">
        <v>-122.65495210900001</v>
      </c>
      <c r="J39" s="13">
        <v>-71.032846114177971</v>
      </c>
      <c r="K39" s="13">
        <v>-24.002307265661248</v>
      </c>
      <c r="L39" s="13">
        <v>-110.7408324</v>
      </c>
      <c r="M39" s="13">
        <v>-202.76</v>
      </c>
      <c r="N39" s="13">
        <v>-137.69999999999999</v>
      </c>
      <c r="O39" s="13">
        <v>-52.44</v>
      </c>
      <c r="P39" s="13">
        <v>-28.62</v>
      </c>
      <c r="Q39" s="13">
        <v>-1068.32</v>
      </c>
      <c r="R39" s="13">
        <v>-151.54</v>
      </c>
      <c r="S39" s="13">
        <v>-194.37</v>
      </c>
      <c r="T39" s="13">
        <v>-716.72</v>
      </c>
      <c r="U39" s="13">
        <v>-141.32</v>
      </c>
      <c r="V39" s="13">
        <v>-433.22</v>
      </c>
      <c r="W39" s="13">
        <v>-215.59</v>
      </c>
      <c r="X39" s="13">
        <v>-632.80999999999995</v>
      </c>
      <c r="Y39" s="13">
        <v>-794.2</v>
      </c>
      <c r="Z39" s="13">
        <v>-431.11</v>
      </c>
      <c r="AA39" s="13">
        <v>-284.14</v>
      </c>
      <c r="AB39" s="13">
        <v>-42.6</v>
      </c>
      <c r="AC39" s="14">
        <v>-926.59</v>
      </c>
      <c r="AD39" s="13">
        <v>-35.5</v>
      </c>
      <c r="AE39" s="13">
        <v>-244.27</v>
      </c>
      <c r="AF39" s="13">
        <v>-584.20000000000005</v>
      </c>
      <c r="AG39" s="13">
        <v>-53.33</v>
      </c>
      <c r="AH39" s="13">
        <v>-399.27</v>
      </c>
      <c r="AI39" s="13">
        <v>-277.11</v>
      </c>
      <c r="AJ39" s="13">
        <v>-89.5</v>
      </c>
      <c r="AK39" s="13">
        <v>-231.62</v>
      </c>
      <c r="AL39" s="13">
        <v>-218.08</v>
      </c>
      <c r="AM39" s="13">
        <v>-288.2</v>
      </c>
      <c r="AN39" s="13">
        <v>-13.88</v>
      </c>
      <c r="AO39" s="13">
        <v>-1370.65</v>
      </c>
      <c r="AP39" s="13">
        <v>-428.45</v>
      </c>
      <c r="AQ39" s="13">
        <v>-149.9</v>
      </c>
      <c r="AR39" s="13">
        <v>-50.78</v>
      </c>
      <c r="AS39" s="13">
        <v>-194.95</v>
      </c>
      <c r="AT39" s="13">
        <v>-23.56055039</v>
      </c>
      <c r="AU39" s="13">
        <v>-239.45591973174837</v>
      </c>
      <c r="AV39" s="13">
        <v>-258.79000000000002</v>
      </c>
      <c r="AW39" s="13">
        <v>-141.28</v>
      </c>
      <c r="AX39" s="13">
        <v>-178.4</v>
      </c>
      <c r="AY39" s="13">
        <v>-363.31</v>
      </c>
      <c r="AZ39" s="13">
        <v>-1002.46</v>
      </c>
      <c r="BA39" s="13">
        <v>-277.05</v>
      </c>
      <c r="BB39" s="13">
        <v>-221.75</v>
      </c>
      <c r="BC39" s="13">
        <v>-201.66055510864055</v>
      </c>
      <c r="BD39" s="13"/>
      <c r="CG39"/>
    </row>
    <row r="40" spans="2:87" ht="15" customHeight="1" x14ac:dyDescent="0.25">
      <c r="B40" s="29" t="s">
        <v>132</v>
      </c>
      <c r="C40" s="7" t="s">
        <v>133</v>
      </c>
      <c r="D40" s="13">
        <v>-233.00544932400001</v>
      </c>
      <c r="E40" s="13">
        <v>-240.22636969807161</v>
      </c>
      <c r="F40" s="13">
        <v>-267.7769715345616</v>
      </c>
      <c r="G40" s="13">
        <v>-223.97801350316641</v>
      </c>
      <c r="H40" s="13">
        <v>-218.04512689311494</v>
      </c>
      <c r="I40" s="13">
        <v>-221.48737015584186</v>
      </c>
      <c r="J40" s="13">
        <v>-275.94860251847012</v>
      </c>
      <c r="K40" s="13">
        <v>-441.23447494803997</v>
      </c>
      <c r="L40" s="13">
        <v>-480.4277993</v>
      </c>
      <c r="M40" s="13">
        <v>-260.05</v>
      </c>
      <c r="N40" s="13">
        <v>-1692.7</v>
      </c>
      <c r="O40" s="13">
        <v>-1789.69</v>
      </c>
      <c r="P40" s="13">
        <v>-1803.57</v>
      </c>
      <c r="Q40" s="13">
        <v>-411.52</v>
      </c>
      <c r="R40" s="13">
        <v>-315.72000000000003</v>
      </c>
      <c r="S40" s="13">
        <v>-282.31</v>
      </c>
      <c r="T40" s="13">
        <v>-666.05</v>
      </c>
      <c r="U40" s="13">
        <v>-857.24</v>
      </c>
      <c r="V40" s="13">
        <v>-646.69000000000005</v>
      </c>
      <c r="W40" s="13">
        <v>-1094.46</v>
      </c>
      <c r="X40" s="13">
        <v>-818.92</v>
      </c>
      <c r="Y40" s="13">
        <v>-525.27</v>
      </c>
      <c r="Z40" s="13">
        <v>-1095.17</v>
      </c>
      <c r="AA40" s="13">
        <v>-937.28</v>
      </c>
      <c r="AB40" s="13">
        <v>-1158.28</v>
      </c>
      <c r="AC40" s="14">
        <v>-933.25</v>
      </c>
      <c r="AD40" s="13">
        <v>-1101.72</v>
      </c>
      <c r="AE40" s="13">
        <v>-1220.1400000000001</v>
      </c>
      <c r="AF40" s="13">
        <v>-1508.49</v>
      </c>
      <c r="AG40" s="13">
        <v>-444.61</v>
      </c>
      <c r="AH40" s="13">
        <v>-601.76</v>
      </c>
      <c r="AI40" s="13">
        <v>-534.01</v>
      </c>
      <c r="AJ40" s="13">
        <v>-102.81</v>
      </c>
      <c r="AK40" s="13">
        <v>-380.52</v>
      </c>
      <c r="AL40" s="13">
        <v>-349.98</v>
      </c>
      <c r="AM40" s="13">
        <v>-487.96</v>
      </c>
      <c r="AN40" s="13">
        <v>-456.94</v>
      </c>
      <c r="AO40" s="13">
        <v>-465.62</v>
      </c>
      <c r="AP40" s="13">
        <v>-1020.24</v>
      </c>
      <c r="AQ40" s="13">
        <v>-121.47</v>
      </c>
      <c r="AR40" s="13">
        <v>-106.26</v>
      </c>
      <c r="AS40" s="13">
        <v>-358.29</v>
      </c>
      <c r="AT40" s="13">
        <v>-478.21148049999999</v>
      </c>
      <c r="AU40" s="13">
        <v>-304.43926071904042</v>
      </c>
      <c r="AV40" s="13">
        <v>-411.29</v>
      </c>
      <c r="AW40" s="13">
        <v>-600.70000000000005</v>
      </c>
      <c r="AX40" s="13">
        <v>-1716.66</v>
      </c>
      <c r="AY40" s="13">
        <v>-1841.38</v>
      </c>
      <c r="AZ40" s="13">
        <v>-902.22</v>
      </c>
      <c r="BA40" s="13">
        <v>-1205.8399999999999</v>
      </c>
      <c r="BB40" s="13">
        <v>-818.4</v>
      </c>
      <c r="BC40" s="13">
        <v>-1221.8615163122654</v>
      </c>
      <c r="BD40" s="13"/>
      <c r="CG40"/>
    </row>
    <row r="41" spans="2:87" ht="15" customHeight="1" x14ac:dyDescent="0.25">
      <c r="B41" s="28" t="s">
        <v>134</v>
      </c>
      <c r="C41" s="7" t="s">
        <v>135</v>
      </c>
      <c r="D41" s="13">
        <v>-794.73815806400012</v>
      </c>
      <c r="E41" s="13">
        <v>-918.32976944848906</v>
      </c>
      <c r="F41" s="13">
        <v>-2291.020400708534</v>
      </c>
      <c r="G41" s="13">
        <v>-2349.4038747327622</v>
      </c>
      <c r="H41" s="13">
        <v>-2452.8171243353004</v>
      </c>
      <c r="I41" s="13">
        <v>-2545.2073036196321</v>
      </c>
      <c r="J41" s="13">
        <v>-2516.3936456027791</v>
      </c>
      <c r="K41" s="13">
        <v>-2324.0405779049838</v>
      </c>
      <c r="L41" s="13">
        <v>-2425.3890459999998</v>
      </c>
      <c r="M41" s="13">
        <v>-2404.91</v>
      </c>
      <c r="N41" s="13">
        <v>-1957.89</v>
      </c>
      <c r="O41" s="13">
        <v>-1881.44</v>
      </c>
      <c r="P41" s="13">
        <v>-1844.38</v>
      </c>
      <c r="Q41" s="13">
        <v>-2092.86</v>
      </c>
      <c r="R41" s="13">
        <v>-2695.41</v>
      </c>
      <c r="S41" s="13">
        <v>-2692.79</v>
      </c>
      <c r="T41" s="13">
        <v>-2302.4</v>
      </c>
      <c r="U41" s="13">
        <v>-2122.2600000000002</v>
      </c>
      <c r="V41" s="13">
        <v>-2151.58</v>
      </c>
      <c r="W41" s="13">
        <v>-1953.67</v>
      </c>
      <c r="X41" s="13">
        <v>-1763.18</v>
      </c>
      <c r="Y41" s="13">
        <v>-2646.51</v>
      </c>
      <c r="Z41" s="13">
        <v>-1701.27</v>
      </c>
      <c r="AA41" s="13">
        <v>-2887.67</v>
      </c>
      <c r="AB41" s="13">
        <v>-1659.47</v>
      </c>
      <c r="AC41" s="13">
        <v>-3815.88</v>
      </c>
      <c r="AD41" s="13">
        <v>-2669.76</v>
      </c>
      <c r="AE41" s="13">
        <v>-3534.05</v>
      </c>
      <c r="AF41" s="13">
        <v>-2549.48</v>
      </c>
      <c r="AG41" s="13">
        <v>-936.39</v>
      </c>
      <c r="AH41" s="13">
        <v>-2757.07</v>
      </c>
      <c r="AI41" s="13">
        <v>-2297.27</v>
      </c>
      <c r="AJ41" s="13">
        <v>-1315.89</v>
      </c>
      <c r="AK41" s="13">
        <v>-1262.3800000000001</v>
      </c>
      <c r="AL41" s="13">
        <v>-2372.9499999999998</v>
      </c>
      <c r="AM41" s="13">
        <v>-1230.99</v>
      </c>
      <c r="AN41" s="13">
        <v>-1125.6400000000001</v>
      </c>
      <c r="AO41" s="13">
        <v>-2388.6999999999998</v>
      </c>
      <c r="AP41" s="13">
        <v>-3497.49</v>
      </c>
      <c r="AQ41" s="13">
        <v>-1029.96</v>
      </c>
      <c r="AR41" s="13">
        <v>-1260.8</v>
      </c>
      <c r="AS41" s="13">
        <v>-2552.85</v>
      </c>
      <c r="AT41" s="13">
        <v>-2460.3485690000002</v>
      </c>
      <c r="AU41" s="13">
        <v>-2323.3530980138057</v>
      </c>
      <c r="AV41" s="13">
        <v>-4472.66</v>
      </c>
      <c r="AW41" s="13">
        <v>-4379.97</v>
      </c>
      <c r="AX41" s="13">
        <v>-2556.9499999999998</v>
      </c>
      <c r="AY41" s="13">
        <v>-2342.71</v>
      </c>
      <c r="AZ41" s="13">
        <v>-2384.38</v>
      </c>
      <c r="BA41" s="13">
        <v>-1626.92</v>
      </c>
      <c r="BB41" s="13">
        <v>-2443.8200000000002</v>
      </c>
      <c r="BC41" s="13">
        <v>-1855.1470349229112</v>
      </c>
      <c r="BD41" s="13"/>
      <c r="CG41"/>
    </row>
    <row r="42" spans="2:87" ht="15" customHeight="1" x14ac:dyDescent="0.25">
      <c r="B42" s="24" t="s">
        <v>136</v>
      </c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CG42"/>
    </row>
    <row r="43" spans="2:87" ht="15" customHeight="1" x14ac:dyDescent="0.25">
      <c r="B43" s="26" t="s">
        <v>119</v>
      </c>
      <c r="C43" s="7" t="s">
        <v>137</v>
      </c>
      <c r="D43" s="13">
        <f t="shared" ref="D43" si="5">+D44+D45+D46</f>
        <v>-1572.6567933659999</v>
      </c>
      <c r="E43" s="13">
        <v>-1823.3216468032197</v>
      </c>
      <c r="F43" s="13">
        <v>-1572.6567933659999</v>
      </c>
      <c r="G43" s="13">
        <v>-1306.5571884291944</v>
      </c>
      <c r="H43" s="13">
        <v>-1382.0730616229289</v>
      </c>
      <c r="I43" s="13">
        <v>-1385.9845851050322</v>
      </c>
      <c r="J43" s="13">
        <v>-1397.2236394251354</v>
      </c>
      <c r="K43" s="13">
        <v>-1460.4105036779044</v>
      </c>
      <c r="L43" s="13">
        <v>-1289.2371029800001</v>
      </c>
      <c r="M43" s="13">
        <v>-1356.31</v>
      </c>
      <c r="N43" s="13">
        <v>-1530.29</v>
      </c>
      <c r="O43" s="13">
        <v>-1729.08</v>
      </c>
      <c r="P43" s="13">
        <v>-1776.76</v>
      </c>
      <c r="Q43" s="13">
        <v>-1467.67</v>
      </c>
      <c r="R43" s="13">
        <v>-1665.8600000000001</v>
      </c>
      <c r="S43" s="13">
        <v>-1688.87</v>
      </c>
      <c r="T43" s="13">
        <v>-1646.31</v>
      </c>
      <c r="U43" s="13">
        <v>-1610.5</v>
      </c>
      <c r="V43" s="13">
        <v>-1908.7199999999998</v>
      </c>
      <c r="W43" s="13">
        <v>-1921.4</v>
      </c>
      <c r="X43" s="13">
        <v>-1674.78</v>
      </c>
      <c r="Y43" s="13">
        <v>-1882.61</v>
      </c>
      <c r="Z43" s="13">
        <v>-1660.16</v>
      </c>
      <c r="AA43" s="13">
        <v>-2260.92</v>
      </c>
      <c r="AB43" s="13">
        <v>-1753.21</v>
      </c>
      <c r="AC43" s="13">
        <v>-2430.48</v>
      </c>
      <c r="AD43" s="13">
        <v>-2037.5100000000002</v>
      </c>
      <c r="AE43" s="13">
        <v>-2223.25</v>
      </c>
      <c r="AF43" s="13">
        <v>-2043.9099999999999</v>
      </c>
      <c r="AG43" s="13">
        <v>-1551.51</v>
      </c>
      <c r="AH43" s="13">
        <v>-1965.14</v>
      </c>
      <c r="AI43" s="13">
        <v>-1836.15</v>
      </c>
      <c r="AJ43" s="13">
        <v>-189.6</v>
      </c>
      <c r="AK43" s="13">
        <v>-1545.4299999999998</v>
      </c>
      <c r="AL43" s="13">
        <v>-1612.19</v>
      </c>
      <c r="AM43" s="13">
        <v>-1607.6</v>
      </c>
      <c r="AN43" s="13">
        <v>-1445.69</v>
      </c>
      <c r="AO43" s="13">
        <v>-1845.3200000000002</v>
      </c>
      <c r="AP43" s="13">
        <v>-1524.7199999999998</v>
      </c>
      <c r="AQ43" s="13">
        <v>-523.49</v>
      </c>
      <c r="AR43" s="13">
        <v>-448.33</v>
      </c>
      <c r="AS43" s="13">
        <v>-1619.85</v>
      </c>
      <c r="AT43" s="13">
        <v>-1585.1755338</v>
      </c>
      <c r="AU43" s="13">
        <v>-1181.5694878458144</v>
      </c>
      <c r="AV43" s="13">
        <v>-1825.4199999999998</v>
      </c>
      <c r="AW43" s="13">
        <v>-3342.24</v>
      </c>
      <c r="AX43" s="13">
        <v>-1683.94</v>
      </c>
      <c r="AY43" s="13">
        <v>-1681.8600000000001</v>
      </c>
      <c r="AZ43" s="13">
        <v>-1687.02</v>
      </c>
      <c r="BA43" s="13">
        <v>-1588.47</v>
      </c>
      <c r="BB43" s="13">
        <v>-1642.3</v>
      </c>
      <c r="BC43" s="13">
        <v>-1556.5903550133444</v>
      </c>
      <c r="BD43" s="13"/>
      <c r="CG43"/>
    </row>
    <row r="44" spans="2:87" ht="15" customHeight="1" x14ac:dyDescent="0.25">
      <c r="B44" s="28" t="s">
        <v>121</v>
      </c>
      <c r="C44" s="7" t="s">
        <v>138</v>
      </c>
      <c r="D44" s="13">
        <v>-254.144255886</v>
      </c>
      <c r="E44" s="13">
        <v>-318.2719818669492</v>
      </c>
      <c r="F44" s="13">
        <v>-254.144255886</v>
      </c>
      <c r="G44" s="13">
        <v>-84.301751403818542</v>
      </c>
      <c r="H44" s="13">
        <v>-31.001532475825286</v>
      </c>
      <c r="I44" s="13">
        <v>-26.627004866999979</v>
      </c>
      <c r="J44" s="13">
        <v>-53.065176706650078</v>
      </c>
      <c r="K44" s="13">
        <v>-238.68479614144312</v>
      </c>
      <c r="L44" s="13">
        <v>-31.183268380000001</v>
      </c>
      <c r="M44" s="13">
        <v>-78.069999999999993</v>
      </c>
      <c r="N44" s="13">
        <v>-36.9</v>
      </c>
      <c r="O44" s="13">
        <v>-98.31</v>
      </c>
      <c r="P44" s="13">
        <v>-198.77</v>
      </c>
      <c r="Q44" s="13">
        <v>-58.1</v>
      </c>
      <c r="R44" s="13">
        <v>-75</v>
      </c>
      <c r="S44" s="13">
        <v>-102.23</v>
      </c>
      <c r="T44" s="13">
        <v>-51.4</v>
      </c>
      <c r="U44" s="13">
        <v>-47.08</v>
      </c>
      <c r="V44" s="13">
        <v>-168.08</v>
      </c>
      <c r="W44" s="13">
        <v>-234.72</v>
      </c>
      <c r="X44" s="13">
        <v>-51.24</v>
      </c>
      <c r="Y44" s="13">
        <v>-55.24</v>
      </c>
      <c r="Z44" s="13">
        <v>-72.75</v>
      </c>
      <c r="AA44" s="13">
        <v>-257.39999999999998</v>
      </c>
      <c r="AB44" s="13">
        <v>-173.32</v>
      </c>
      <c r="AC44" s="14">
        <v>-321.32</v>
      </c>
      <c r="AD44" s="13">
        <v>-12.61</v>
      </c>
      <c r="AE44" s="13">
        <v>-43.51</v>
      </c>
      <c r="AF44" s="13">
        <v>-298.35000000000002</v>
      </c>
      <c r="AG44" s="13">
        <v>-115.12</v>
      </c>
      <c r="AH44" s="13">
        <v>-229.6</v>
      </c>
      <c r="AI44" s="13">
        <v>-203.78</v>
      </c>
      <c r="AJ44" s="13">
        <v>-5.62</v>
      </c>
      <c r="AK44" s="13">
        <v>-21.83</v>
      </c>
      <c r="AL44" s="13">
        <v>-10.72</v>
      </c>
      <c r="AM44" s="13">
        <v>-40.98</v>
      </c>
      <c r="AN44" s="13">
        <v>-193.74</v>
      </c>
      <c r="AO44" s="13">
        <v>-265.39</v>
      </c>
      <c r="AP44" s="13">
        <v>-30.99</v>
      </c>
      <c r="AQ44" s="13">
        <v>-35.950000000000003</v>
      </c>
      <c r="AR44" s="13">
        <v>-25.85</v>
      </c>
      <c r="AS44" s="13">
        <v>-49.46</v>
      </c>
      <c r="AT44" s="13">
        <v>-248.99069180000001</v>
      </c>
      <c r="AU44" s="13">
        <v>-196.47139449742056</v>
      </c>
      <c r="AV44" s="13">
        <v>-70.72</v>
      </c>
      <c r="AW44" s="13">
        <v>-114.43</v>
      </c>
      <c r="AX44" s="13">
        <v>-55.65</v>
      </c>
      <c r="AY44" s="13">
        <v>-256.20999999999998</v>
      </c>
      <c r="AZ44" s="13">
        <v>-279.02999999999997</v>
      </c>
      <c r="BA44" s="13">
        <v>-457.33</v>
      </c>
      <c r="BB44" s="13">
        <v>-78.5</v>
      </c>
      <c r="BC44" s="13">
        <v>-83.003625538159127</v>
      </c>
      <c r="BD44" s="13"/>
      <c r="CG44"/>
    </row>
    <row r="45" spans="2:87" ht="15" customHeight="1" x14ac:dyDescent="0.25">
      <c r="B45" s="29" t="s">
        <v>123</v>
      </c>
      <c r="C45" s="7" t="s">
        <v>139</v>
      </c>
      <c r="D45" s="13">
        <v>-216.92932642100001</v>
      </c>
      <c r="E45" s="13">
        <v>-292.20419280190652</v>
      </c>
      <c r="F45" s="13">
        <v>-216.92932642100001</v>
      </c>
      <c r="G45" s="13">
        <v>-103.8407140095207</v>
      </c>
      <c r="H45" s="13">
        <v>-286.51042202756679</v>
      </c>
      <c r="I45" s="13">
        <v>-446.17088921810284</v>
      </c>
      <c r="J45" s="13">
        <v>-491.41780824894721</v>
      </c>
      <c r="K45" s="13">
        <v>-344.0533359177802</v>
      </c>
      <c r="L45" s="13">
        <v>-203.0732836</v>
      </c>
      <c r="M45" s="13">
        <v>-361.62</v>
      </c>
      <c r="N45" s="13">
        <v>-531.48</v>
      </c>
      <c r="O45" s="13">
        <v>-543.25</v>
      </c>
      <c r="P45" s="13">
        <v>-442.91</v>
      </c>
      <c r="Q45" s="13">
        <v>-252.38</v>
      </c>
      <c r="R45" s="13">
        <v>-281.13</v>
      </c>
      <c r="S45" s="13">
        <v>-261.52</v>
      </c>
      <c r="T45" s="13">
        <v>-557.12</v>
      </c>
      <c r="U45" s="13">
        <v>-573.25</v>
      </c>
      <c r="V45" s="13">
        <v>-555.53</v>
      </c>
      <c r="W45" s="13">
        <v>-416.35</v>
      </c>
      <c r="X45" s="13">
        <v>-259.43</v>
      </c>
      <c r="Y45" s="13">
        <v>-218.08</v>
      </c>
      <c r="Z45" s="13">
        <v>-605.03</v>
      </c>
      <c r="AA45" s="13">
        <v>-421.44</v>
      </c>
      <c r="AB45" s="13">
        <v>-399.59</v>
      </c>
      <c r="AC45" s="14">
        <v>-343.75</v>
      </c>
      <c r="AD45" s="13">
        <v>-605</v>
      </c>
      <c r="AE45" s="13">
        <v>-615.45000000000005</v>
      </c>
      <c r="AF45" s="13">
        <v>-688.02</v>
      </c>
      <c r="AG45" s="13">
        <v>-475.95</v>
      </c>
      <c r="AH45" s="13">
        <v>-358.15</v>
      </c>
      <c r="AI45" s="13">
        <v>-209.12</v>
      </c>
      <c r="AJ45" s="13">
        <v>-16.579999999999998</v>
      </c>
      <c r="AK45" s="13">
        <v>-259.31</v>
      </c>
      <c r="AL45" s="13">
        <v>-452.34</v>
      </c>
      <c r="AM45" s="13">
        <v>-573.28</v>
      </c>
      <c r="AN45" s="13">
        <v>-341.18</v>
      </c>
      <c r="AO45" s="13">
        <v>-213.96</v>
      </c>
      <c r="AP45" s="13">
        <v>-496.08</v>
      </c>
      <c r="AQ45" s="13">
        <v>-77.88</v>
      </c>
      <c r="AR45" s="13">
        <v>-104.53</v>
      </c>
      <c r="AS45" s="13">
        <v>-581.75</v>
      </c>
      <c r="AT45" s="13">
        <v>-295.42206199999998</v>
      </c>
      <c r="AU45" s="13">
        <v>-185.66717660147367</v>
      </c>
      <c r="AV45" s="13">
        <v>-168.83</v>
      </c>
      <c r="AW45" s="13">
        <v>-312.54000000000002</v>
      </c>
      <c r="AX45" s="13">
        <v>-670.64</v>
      </c>
      <c r="AY45" s="13">
        <v>-494.18</v>
      </c>
      <c r="AZ45" s="13">
        <v>-310.26</v>
      </c>
      <c r="BA45" s="13">
        <v>-411.12</v>
      </c>
      <c r="BB45" s="13">
        <v>-390.32</v>
      </c>
      <c r="BC45" s="13">
        <v>-488.49476494797977</v>
      </c>
      <c r="BD45" s="13"/>
      <c r="CG45"/>
    </row>
    <row r="46" spans="2:87" ht="15" customHeight="1" x14ac:dyDescent="0.25">
      <c r="B46" s="28" t="s">
        <v>125</v>
      </c>
      <c r="C46" s="7" t="s">
        <v>140</v>
      </c>
      <c r="D46" s="13">
        <v>-1101.583211059</v>
      </c>
      <c r="E46" s="13">
        <v>-1212.8454721343639</v>
      </c>
      <c r="F46" s="13">
        <v>-1101.583211059</v>
      </c>
      <c r="G46" s="13">
        <v>-1118.4147230158551</v>
      </c>
      <c r="H46" s="13">
        <v>-1064.5611071195369</v>
      </c>
      <c r="I46" s="13">
        <v>-913.1866910199293</v>
      </c>
      <c r="J46" s="13">
        <v>-852.74065446953819</v>
      </c>
      <c r="K46" s="13">
        <v>-877.67237161868115</v>
      </c>
      <c r="L46" s="13">
        <v>-1054.9805510000001</v>
      </c>
      <c r="M46" s="13">
        <v>-916.62</v>
      </c>
      <c r="N46" s="13">
        <v>-961.91</v>
      </c>
      <c r="O46" s="13">
        <v>-1087.52</v>
      </c>
      <c r="P46" s="13">
        <v>-1135.08</v>
      </c>
      <c r="Q46" s="13">
        <v>-1157.19</v>
      </c>
      <c r="R46" s="13">
        <v>-1309.73</v>
      </c>
      <c r="S46" s="13">
        <v>-1325.12</v>
      </c>
      <c r="T46" s="13">
        <v>-1037.79</v>
      </c>
      <c r="U46" s="13">
        <v>-990.17</v>
      </c>
      <c r="V46" s="13">
        <v>-1185.1099999999999</v>
      </c>
      <c r="W46" s="13">
        <v>-1270.33</v>
      </c>
      <c r="X46" s="13">
        <v>-1364.11</v>
      </c>
      <c r="Y46" s="13">
        <v>-1609.3</v>
      </c>
      <c r="Z46" s="13">
        <v>-982.38</v>
      </c>
      <c r="AA46" s="13">
        <v>-1582.09</v>
      </c>
      <c r="AB46" s="13">
        <v>-1180.3</v>
      </c>
      <c r="AC46" s="13">
        <v>-1765.41</v>
      </c>
      <c r="AD46" s="13">
        <v>-1419.9</v>
      </c>
      <c r="AE46" s="13">
        <v>-1564.29</v>
      </c>
      <c r="AF46" s="13">
        <v>-1057.54</v>
      </c>
      <c r="AG46" s="13">
        <v>-960.44</v>
      </c>
      <c r="AH46" s="13">
        <v>-1377.39</v>
      </c>
      <c r="AI46" s="13">
        <v>-1423.25</v>
      </c>
      <c r="AJ46" s="13">
        <v>-167.4</v>
      </c>
      <c r="AK46" s="13">
        <v>-1264.29</v>
      </c>
      <c r="AL46" s="13">
        <v>-1149.1300000000001</v>
      </c>
      <c r="AM46" s="13">
        <v>-993.34</v>
      </c>
      <c r="AN46" s="13">
        <v>-910.77</v>
      </c>
      <c r="AO46" s="13">
        <v>-1365.97</v>
      </c>
      <c r="AP46" s="13">
        <v>-997.65</v>
      </c>
      <c r="AQ46" s="13">
        <v>-409.66</v>
      </c>
      <c r="AR46" s="13">
        <v>-317.95</v>
      </c>
      <c r="AS46" s="13">
        <v>-988.64</v>
      </c>
      <c r="AT46" s="13">
        <v>-1040.76278</v>
      </c>
      <c r="AU46" s="13">
        <v>-799.43091674692027</v>
      </c>
      <c r="AV46" s="13">
        <v>-1585.87</v>
      </c>
      <c r="AW46" s="13">
        <v>-2915.27</v>
      </c>
      <c r="AX46" s="13">
        <v>-957.65</v>
      </c>
      <c r="AY46" s="13">
        <v>-931.47</v>
      </c>
      <c r="AZ46" s="13">
        <v>-1097.73</v>
      </c>
      <c r="BA46" s="13">
        <v>-720.02</v>
      </c>
      <c r="BB46" s="13">
        <v>-1173.48</v>
      </c>
      <c r="BC46" s="13">
        <v>-985.0919645272055</v>
      </c>
      <c r="BD46" s="13"/>
      <c r="CI46" s="20"/>
    </row>
    <row r="47" spans="2:87" ht="15" customHeight="1" x14ac:dyDescent="0.25">
      <c r="B47" s="27" t="s">
        <v>141</v>
      </c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CI47" s="20"/>
    </row>
    <row r="48" spans="2:87" ht="15" customHeight="1" x14ac:dyDescent="0.25">
      <c r="B48" s="24" t="s">
        <v>128</v>
      </c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CI48" s="20"/>
    </row>
    <row r="49" spans="2:87" ht="15" customHeight="1" x14ac:dyDescent="0.25">
      <c r="B49" s="26" t="s">
        <v>119</v>
      </c>
      <c r="C49" s="7" t="s">
        <v>142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CI49" s="20"/>
    </row>
    <row r="50" spans="2:87" ht="15" customHeight="1" x14ac:dyDescent="0.25">
      <c r="B50" s="28" t="s">
        <v>130</v>
      </c>
      <c r="C50" s="7" t="s">
        <v>143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CI50" s="20"/>
    </row>
    <row r="51" spans="2:87" ht="15" customHeight="1" x14ac:dyDescent="0.25">
      <c r="B51" s="29" t="s">
        <v>132</v>
      </c>
      <c r="C51" s="7" t="s">
        <v>144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CI51" s="20"/>
    </row>
    <row r="52" spans="2:87" ht="15" customHeight="1" x14ac:dyDescent="0.25">
      <c r="B52" s="28" t="s">
        <v>134</v>
      </c>
      <c r="C52" s="7" t="s">
        <v>145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CI52" s="20"/>
    </row>
    <row r="53" spans="2:87" ht="15" customHeight="1" x14ac:dyDescent="0.25">
      <c r="B53" s="24" t="s">
        <v>136</v>
      </c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CI53" s="20"/>
    </row>
    <row r="54" spans="2:87" ht="15" customHeight="1" x14ac:dyDescent="0.25">
      <c r="B54" s="26" t="s">
        <v>119</v>
      </c>
      <c r="C54" s="7" t="s">
        <v>146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CI54" s="20"/>
    </row>
    <row r="55" spans="2:87" ht="15" customHeight="1" x14ac:dyDescent="0.25">
      <c r="B55" s="28" t="s">
        <v>121</v>
      </c>
      <c r="C55" s="7" t="s">
        <v>147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CI55" s="20"/>
    </row>
    <row r="56" spans="2:87" ht="15" customHeight="1" x14ac:dyDescent="0.25">
      <c r="B56" s="29" t="s">
        <v>123</v>
      </c>
      <c r="C56" s="7" t="s">
        <v>148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CI56" s="20"/>
    </row>
    <row r="57" spans="2:87" ht="15" customHeight="1" x14ac:dyDescent="0.25">
      <c r="B57" s="28" t="s">
        <v>125</v>
      </c>
      <c r="C57" s="7" t="s">
        <v>149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CI57" s="20"/>
    </row>
    <row r="58" spans="2:87" ht="30" x14ac:dyDescent="0.25">
      <c r="B58" s="21" t="s">
        <v>150</v>
      </c>
      <c r="C58" s="22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CI58" s="20"/>
    </row>
    <row r="59" spans="2:87" ht="15.75" x14ac:dyDescent="0.25">
      <c r="B59" s="21" t="s">
        <v>151</v>
      </c>
      <c r="C59" s="22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CI59" s="20"/>
    </row>
    <row r="60" spans="2:87" ht="15" customHeight="1" x14ac:dyDescent="0.25">
      <c r="B60" s="26" t="s">
        <v>119</v>
      </c>
      <c r="C60" s="7" t="s">
        <v>152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CI60" s="20"/>
    </row>
    <row r="61" spans="2:87" ht="15" customHeight="1" x14ac:dyDescent="0.25">
      <c r="B61" s="28" t="s">
        <v>121</v>
      </c>
      <c r="C61" s="7" t="s">
        <v>153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CI61" s="20"/>
    </row>
    <row r="62" spans="2:87" ht="15" customHeight="1" x14ac:dyDescent="0.25">
      <c r="B62" s="29" t="s">
        <v>123</v>
      </c>
      <c r="C62" s="7" t="s">
        <v>154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CI62" s="20"/>
    </row>
    <row r="63" spans="2:87" ht="15" customHeight="1" x14ac:dyDescent="0.25">
      <c r="B63" s="28" t="s">
        <v>125</v>
      </c>
      <c r="C63" s="7" t="s">
        <v>155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CI63" s="20"/>
    </row>
    <row r="64" spans="2:87" ht="15" customHeight="1" x14ac:dyDescent="0.25">
      <c r="B64" s="21" t="s">
        <v>156</v>
      </c>
      <c r="C64" s="22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CI64" s="20"/>
    </row>
    <row r="65" spans="1:87" ht="15" customHeight="1" x14ac:dyDescent="0.25">
      <c r="B65" s="26" t="s">
        <v>119</v>
      </c>
      <c r="C65" s="7" t="s">
        <v>157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CI65" s="20"/>
    </row>
    <row r="66" spans="1:87" ht="15" customHeight="1" x14ac:dyDescent="0.25">
      <c r="B66" s="28" t="s">
        <v>121</v>
      </c>
      <c r="C66" s="7" t="s">
        <v>158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CI66" s="20"/>
    </row>
    <row r="67" spans="1:87" ht="15" customHeight="1" x14ac:dyDescent="0.25">
      <c r="B67" s="29" t="s">
        <v>123</v>
      </c>
      <c r="C67" s="7" t="s">
        <v>159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CI67" s="20"/>
    </row>
    <row r="68" spans="1:87" ht="15" customHeight="1" x14ac:dyDescent="0.25">
      <c r="B68" s="28" t="s">
        <v>125</v>
      </c>
      <c r="C68" s="7" t="s">
        <v>160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CI68" s="20"/>
    </row>
    <row r="69" spans="1:87" s="105" customFormat="1" ht="15" customHeight="1" x14ac:dyDescent="0.25">
      <c r="A69" s="95"/>
      <c r="B69" s="106" t="s">
        <v>161</v>
      </c>
      <c r="C69" s="107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CI69" s="109"/>
    </row>
    <row r="70" spans="1:87" ht="15" customHeight="1" x14ac:dyDescent="0.25">
      <c r="B70" s="26" t="s">
        <v>119</v>
      </c>
      <c r="C70" s="7" t="s">
        <v>162</v>
      </c>
      <c r="D70" s="13">
        <f>+D71+D72+D73</f>
        <v>-3553.2761537421111</v>
      </c>
      <c r="E70" s="13">
        <v>-3670.5995954038885</v>
      </c>
      <c r="F70" s="13">
        <v>-3535.8432879532938</v>
      </c>
      <c r="G70" s="13">
        <v>-4244.0748443278817</v>
      </c>
      <c r="H70" s="13">
        <v>-4866.7807396678891</v>
      </c>
      <c r="I70" s="13">
        <v>-4993.3945778548878</v>
      </c>
      <c r="J70" s="13">
        <v>-3943.9811870568892</v>
      </c>
      <c r="K70" s="13">
        <v>-4339.2040082868898</v>
      </c>
      <c r="L70" s="13">
        <v>-4119.1211640620004</v>
      </c>
      <c r="M70" s="13">
        <v>-3749.5299999999997</v>
      </c>
      <c r="N70" s="13">
        <v>-5387.34</v>
      </c>
      <c r="O70" s="13">
        <v>-5139.74</v>
      </c>
      <c r="P70" s="13">
        <v>-3656.7747220000001</v>
      </c>
      <c r="Q70" s="13">
        <v>-2957.43</v>
      </c>
      <c r="R70" s="13">
        <v>-4511.5600000000004</v>
      </c>
      <c r="S70" s="13">
        <v>-4468.33</v>
      </c>
      <c r="T70" s="13">
        <v>-5525.1399999999994</v>
      </c>
      <c r="U70" s="13">
        <v>-5526.8099999999995</v>
      </c>
      <c r="V70" s="13">
        <v>-6734.3799999999992</v>
      </c>
      <c r="W70" s="13">
        <v>-5576.22</v>
      </c>
      <c r="X70" s="13">
        <v>-6105.8099999999995</v>
      </c>
      <c r="Y70" s="13">
        <v>-7558.8</v>
      </c>
      <c r="Z70" s="13">
        <v>-6430.84</v>
      </c>
      <c r="AA70" s="13">
        <v>-6418.64</v>
      </c>
      <c r="AB70" s="13">
        <v>-6411.5199999999995</v>
      </c>
      <c r="AC70" s="13">
        <v>-6772.49</v>
      </c>
      <c r="AD70" s="13">
        <v>-5887.43</v>
      </c>
      <c r="AE70" s="13">
        <v>-6021.9</v>
      </c>
      <c r="AF70" s="13">
        <v>-5596.5399999999991</v>
      </c>
      <c r="AG70" s="13">
        <v>-6269.6299999999992</v>
      </c>
      <c r="AH70" s="13">
        <v>-5308.6900000000005</v>
      </c>
      <c r="AI70" s="13">
        <v>-6093.35</v>
      </c>
      <c r="AJ70" s="13">
        <v>-5569.95</v>
      </c>
      <c r="AK70" s="13">
        <v>-5558.33</v>
      </c>
      <c r="AL70" s="13">
        <v>-4822.13</v>
      </c>
      <c r="AM70" s="13">
        <v>-4575.2</v>
      </c>
      <c r="AN70" s="13">
        <v>-5771.68</v>
      </c>
      <c r="AO70" s="13">
        <v>-7183.84</v>
      </c>
      <c r="AP70" s="13">
        <v>-5141.0199999999995</v>
      </c>
      <c r="AQ70" s="13">
        <v>-1672.12</v>
      </c>
      <c r="AR70" s="13">
        <v>-1408.33</v>
      </c>
      <c r="AS70" s="13">
        <v>-6481.57</v>
      </c>
      <c r="AT70" s="13">
        <v>-7422.1429506010008</v>
      </c>
      <c r="AU70" s="13">
        <v>-5721.1965282117908</v>
      </c>
      <c r="AV70" s="13">
        <v>-7158.44</v>
      </c>
      <c r="AW70" s="13">
        <v>-7049.29</v>
      </c>
      <c r="AX70" s="13">
        <v>-6802.18</v>
      </c>
      <c r="AY70" s="13">
        <v>-6716</v>
      </c>
      <c r="AZ70" s="13">
        <v>-6258.07</v>
      </c>
      <c r="BA70" s="13">
        <v>-6795.8600000000006</v>
      </c>
      <c r="BB70" s="13">
        <v>-5412.85</v>
      </c>
      <c r="BC70" s="13">
        <v>-5338.6214549648284</v>
      </c>
      <c r="BD70" s="13"/>
      <c r="CI70" s="20"/>
    </row>
    <row r="71" spans="1:87" ht="15" customHeight="1" x14ac:dyDescent="0.25">
      <c r="B71" s="28" t="s">
        <v>121</v>
      </c>
      <c r="C71" s="7" t="s">
        <v>163</v>
      </c>
      <c r="D71" s="13">
        <f t="shared" ref="D71:D73" si="6">D76+D86+D96+D101</f>
        <v>-134.39941031699999</v>
      </c>
      <c r="E71" s="13">
        <v>-1260.201379787778</v>
      </c>
      <c r="F71" s="13">
        <v>-356.6802429596915</v>
      </c>
      <c r="G71" s="13">
        <v>-110.13719358299997</v>
      </c>
      <c r="H71" s="13">
        <v>-223.24646819399996</v>
      </c>
      <c r="I71" s="13">
        <v>-764.58186785399948</v>
      </c>
      <c r="J71" s="13">
        <v>-169.51273272199998</v>
      </c>
      <c r="K71" s="13">
        <v>-198.06596134855559</v>
      </c>
      <c r="L71" s="13">
        <v>-192.73765933199999</v>
      </c>
      <c r="M71" s="13">
        <v>-197.61999999999998</v>
      </c>
      <c r="N71" s="13">
        <v>-438.97999999999996</v>
      </c>
      <c r="O71" s="13">
        <v>-309.82</v>
      </c>
      <c r="P71" s="13">
        <v>-464.72999999999996</v>
      </c>
      <c r="Q71" s="13">
        <v>-410.96</v>
      </c>
      <c r="R71" s="13">
        <v>-89.78</v>
      </c>
      <c r="S71" s="13">
        <v>-49.18</v>
      </c>
      <c r="T71" s="13">
        <v>-252.74</v>
      </c>
      <c r="U71" s="13">
        <v>-254.68</v>
      </c>
      <c r="V71" s="13">
        <v>-559.32999999999993</v>
      </c>
      <c r="W71" s="13">
        <v>-236.48</v>
      </c>
      <c r="X71" s="13">
        <v>-127.28999999999999</v>
      </c>
      <c r="Y71" s="13">
        <v>-176.79999999999998</v>
      </c>
      <c r="Z71" s="13">
        <v>-779.66</v>
      </c>
      <c r="AA71" s="13">
        <v>-556.77</v>
      </c>
      <c r="AB71" s="13">
        <v>-254.57</v>
      </c>
      <c r="AC71" s="13">
        <v>-1000.25</v>
      </c>
      <c r="AD71" s="13">
        <v>-50.86</v>
      </c>
      <c r="AE71" s="13">
        <v>-181.71</v>
      </c>
      <c r="AF71" s="13">
        <v>-746.18999999999994</v>
      </c>
      <c r="AG71" s="13">
        <v>-643.27</v>
      </c>
      <c r="AH71" s="13">
        <v>-135.9</v>
      </c>
      <c r="AI71" s="13">
        <v>-558.76</v>
      </c>
      <c r="AJ71" s="13">
        <v>-63.089999999999996</v>
      </c>
      <c r="AK71" s="13">
        <v>-31.240000000000002</v>
      </c>
      <c r="AL71" s="13">
        <v>-4.3199999999999994</v>
      </c>
      <c r="AM71" s="13">
        <v>-114.06</v>
      </c>
      <c r="AN71" s="13">
        <v>-172.19</v>
      </c>
      <c r="AO71" s="13">
        <v>-925.74</v>
      </c>
      <c r="AP71" s="13">
        <v>-138.85</v>
      </c>
      <c r="AQ71" s="13">
        <v>-85.679999999999993</v>
      </c>
      <c r="AR71" s="13">
        <v>-154.76000000000002</v>
      </c>
      <c r="AS71" s="13">
        <v>-532.72</v>
      </c>
      <c r="AT71" s="13">
        <v>-339.96051625000001</v>
      </c>
      <c r="AU71" s="13">
        <v>-692.8263073221558</v>
      </c>
      <c r="AV71" s="13">
        <v>-211.72000000000003</v>
      </c>
      <c r="AW71" s="13">
        <v>-233.06</v>
      </c>
      <c r="AX71" s="13">
        <v>-1019.56</v>
      </c>
      <c r="AY71" s="13">
        <v>-603.63</v>
      </c>
      <c r="AZ71" s="13">
        <v>-336.71999999999997</v>
      </c>
      <c r="BA71" s="13">
        <v>-2112.14</v>
      </c>
      <c r="BB71" s="13">
        <v>-54.589999999999996</v>
      </c>
      <c r="BC71" s="13">
        <v>284.66418064679971</v>
      </c>
      <c r="BD71" s="13"/>
      <c r="CI71" s="20"/>
    </row>
    <row r="72" spans="1:87" ht="15" customHeight="1" x14ac:dyDescent="0.25">
      <c r="B72" s="29" t="s">
        <v>123</v>
      </c>
      <c r="C72" s="7" t="s">
        <v>164</v>
      </c>
      <c r="D72" s="13">
        <f t="shared" si="6"/>
        <v>-1614.1208219779999</v>
      </c>
      <c r="E72" s="13">
        <v>-633.01704253199978</v>
      </c>
      <c r="F72" s="13">
        <v>-563.05355476331283</v>
      </c>
      <c r="G72" s="13">
        <v>-770.92287544260489</v>
      </c>
      <c r="H72" s="13">
        <v>-1189.5473610739996</v>
      </c>
      <c r="I72" s="13">
        <v>-896.76412859455547</v>
      </c>
      <c r="J72" s="13">
        <v>-740.57367531255579</v>
      </c>
      <c r="K72" s="13">
        <v>-785.81921417199999</v>
      </c>
      <c r="L72" s="13">
        <v>-702.05404970999996</v>
      </c>
      <c r="M72" s="13">
        <v>-882.75999999999988</v>
      </c>
      <c r="N72" s="13">
        <v>-1068.22</v>
      </c>
      <c r="O72" s="13">
        <v>-1798</v>
      </c>
      <c r="P72" s="13">
        <v>214.89527799999999</v>
      </c>
      <c r="Q72" s="13">
        <v>499.69</v>
      </c>
      <c r="R72" s="13">
        <v>-813.67</v>
      </c>
      <c r="S72" s="13">
        <v>-812.39</v>
      </c>
      <c r="T72" s="13">
        <v>-1732.6499999999999</v>
      </c>
      <c r="U72" s="13">
        <v>-1733.11</v>
      </c>
      <c r="V72" s="13">
        <v>-1354.74</v>
      </c>
      <c r="W72" s="13">
        <v>-1237.28</v>
      </c>
      <c r="X72" s="13">
        <v>-1184.8599999999999</v>
      </c>
      <c r="Y72" s="13">
        <v>-1516.07</v>
      </c>
      <c r="Z72" s="13">
        <v>-1865.66</v>
      </c>
      <c r="AA72" s="13">
        <v>-1374.7</v>
      </c>
      <c r="AB72" s="13">
        <v>-1384.63</v>
      </c>
      <c r="AC72" s="13">
        <v>-1031.77</v>
      </c>
      <c r="AD72" s="13">
        <v>-1719.36</v>
      </c>
      <c r="AE72" s="13">
        <v>-1677.91</v>
      </c>
      <c r="AF72" s="13">
        <v>-1783.32</v>
      </c>
      <c r="AG72" s="13">
        <v>-1209.5</v>
      </c>
      <c r="AH72" s="13">
        <v>-804.98</v>
      </c>
      <c r="AI72" s="13">
        <v>-775.51</v>
      </c>
      <c r="AJ72" s="13">
        <v>-1476.3999999999999</v>
      </c>
      <c r="AK72" s="13">
        <v>-1482.6</v>
      </c>
      <c r="AL72" s="13">
        <v>-1454.73</v>
      </c>
      <c r="AM72" s="13">
        <v>-1681.6000000000001</v>
      </c>
      <c r="AN72" s="13">
        <v>-1113.6000000000001</v>
      </c>
      <c r="AO72" s="13">
        <v>-1162.1599999999999</v>
      </c>
      <c r="AP72" s="13">
        <v>-1332.3500000000001</v>
      </c>
      <c r="AQ72" s="13">
        <v>-459.68</v>
      </c>
      <c r="AR72" s="13">
        <v>-345.57</v>
      </c>
      <c r="AS72" s="13">
        <v>-1866.8700000000001</v>
      </c>
      <c r="AT72" s="13">
        <v>-956.41920382299998</v>
      </c>
      <c r="AU72" s="13">
        <v>-474.88014693612871</v>
      </c>
      <c r="AV72" s="13">
        <v>-1483.8899999999999</v>
      </c>
      <c r="AW72" s="13">
        <v>-1736.9</v>
      </c>
      <c r="AX72" s="13">
        <v>-3007.61</v>
      </c>
      <c r="AY72" s="13">
        <v>-5732.7699999999995</v>
      </c>
      <c r="AZ72" s="13">
        <v>-2125.11</v>
      </c>
      <c r="BA72" s="13">
        <v>-1134.3400000000001</v>
      </c>
      <c r="BB72" s="13">
        <v>-1249.06</v>
      </c>
      <c r="BC72" s="13">
        <v>-1228.8385179027584</v>
      </c>
      <c r="BD72" s="13"/>
      <c r="CI72" s="20"/>
    </row>
    <row r="73" spans="1:87" ht="15" customHeight="1" x14ac:dyDescent="0.25">
      <c r="B73" s="28" t="s">
        <v>125</v>
      </c>
      <c r="C73" s="7" t="s">
        <v>165</v>
      </c>
      <c r="D73" s="13">
        <f t="shared" si="6"/>
        <v>-1804.7559214471109</v>
      </c>
      <c r="E73" s="13">
        <v>-1777.3811730841107</v>
      </c>
      <c r="F73" s="13">
        <v>-2616.1094902302893</v>
      </c>
      <c r="G73" s="13">
        <v>-3363.0147753022766</v>
      </c>
      <c r="H73" s="13">
        <v>-3453.9869103998894</v>
      </c>
      <c r="I73" s="13">
        <v>-3332.0485814063331</v>
      </c>
      <c r="J73" s="13">
        <v>-3033.8947790223333</v>
      </c>
      <c r="K73" s="13">
        <v>-3355.3188327663338</v>
      </c>
      <c r="L73" s="13">
        <v>-3224.3294550200003</v>
      </c>
      <c r="M73" s="13">
        <v>-2669.15</v>
      </c>
      <c r="N73" s="13">
        <v>-3880.14</v>
      </c>
      <c r="O73" s="13">
        <v>-3031.92</v>
      </c>
      <c r="P73" s="13">
        <v>-3406.94</v>
      </c>
      <c r="Q73" s="13">
        <v>-3046.16</v>
      </c>
      <c r="R73" s="13">
        <v>-3608.11</v>
      </c>
      <c r="S73" s="13">
        <v>-3606.76</v>
      </c>
      <c r="T73" s="13">
        <v>-3539.75</v>
      </c>
      <c r="U73" s="13">
        <v>-3539.02</v>
      </c>
      <c r="V73" s="13">
        <v>-4820.3099999999995</v>
      </c>
      <c r="W73" s="13">
        <v>-4102.46</v>
      </c>
      <c r="X73" s="13">
        <v>-4793.66</v>
      </c>
      <c r="Y73" s="13">
        <v>-5865.93</v>
      </c>
      <c r="Z73" s="13">
        <v>-3785.52</v>
      </c>
      <c r="AA73" s="13">
        <v>-4487.17</v>
      </c>
      <c r="AB73" s="13">
        <v>-4772.32</v>
      </c>
      <c r="AC73" s="13">
        <v>-4740.47</v>
      </c>
      <c r="AD73" s="13">
        <v>-4117.21</v>
      </c>
      <c r="AE73" s="13">
        <v>-4162.28</v>
      </c>
      <c r="AF73" s="13">
        <v>-3067.0299999999997</v>
      </c>
      <c r="AG73" s="13">
        <v>-4416.8599999999997</v>
      </c>
      <c r="AH73" s="13">
        <v>-4367.8100000000004</v>
      </c>
      <c r="AI73" s="13">
        <v>-4759.08</v>
      </c>
      <c r="AJ73" s="13">
        <v>-4030.46</v>
      </c>
      <c r="AK73" s="13">
        <v>-4044.49</v>
      </c>
      <c r="AL73" s="13">
        <v>-3363.0800000000004</v>
      </c>
      <c r="AM73" s="13">
        <v>-2779.54</v>
      </c>
      <c r="AN73" s="13">
        <v>-4485.8900000000003</v>
      </c>
      <c r="AO73" s="13">
        <v>-5095.9400000000005</v>
      </c>
      <c r="AP73" s="13">
        <v>-3669.8199999999997</v>
      </c>
      <c r="AQ73" s="13">
        <v>-1126.76</v>
      </c>
      <c r="AR73" s="13">
        <v>-908</v>
      </c>
      <c r="AS73" s="13">
        <v>-4081.98</v>
      </c>
      <c r="AT73" s="13">
        <v>-6125.7632305280003</v>
      </c>
      <c r="AU73" s="13">
        <v>-4553.490073953506</v>
      </c>
      <c r="AV73" s="13">
        <v>-5462.83</v>
      </c>
      <c r="AW73" s="13">
        <v>-5079.33</v>
      </c>
      <c r="AX73" s="13">
        <v>-2775.0099999999998</v>
      </c>
      <c r="AY73" s="13">
        <v>-379.6</v>
      </c>
      <c r="AZ73" s="13">
        <v>-3796.24</v>
      </c>
      <c r="BA73" s="13">
        <v>-3549.38</v>
      </c>
      <c r="BB73" s="13">
        <v>-4109.2000000000007</v>
      </c>
      <c r="BC73" s="13">
        <v>-4394.4471177088699</v>
      </c>
      <c r="BD73" s="13"/>
      <c r="CI73" s="20"/>
    </row>
    <row r="74" spans="1:87" ht="15" customHeight="1" x14ac:dyDescent="0.25">
      <c r="B74" s="27" t="s">
        <v>166</v>
      </c>
      <c r="C74" s="22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CI74" s="20"/>
    </row>
    <row r="75" spans="1:87" ht="15" customHeight="1" x14ac:dyDescent="0.25">
      <c r="B75" s="26" t="s">
        <v>119</v>
      </c>
      <c r="C75" s="7" t="s">
        <v>167</v>
      </c>
      <c r="D75" s="13">
        <f t="shared" ref="D75" si="7">+D76+D77+D78</f>
        <v>-1040.7622222211112</v>
      </c>
      <c r="E75" s="13">
        <v>-1040.7622222188891</v>
      </c>
      <c r="F75" s="13">
        <v>-1032.9513888888889</v>
      </c>
      <c r="G75" s="13">
        <v>-1032.9513888888889</v>
      </c>
      <c r="H75" s="13">
        <v>-1032.9513888888889</v>
      </c>
      <c r="I75" s="13">
        <v>-1024.8263888888889</v>
      </c>
      <c r="J75" s="13">
        <v>-1024.8263888888889</v>
      </c>
      <c r="K75" s="13">
        <v>-1024.8263888888889</v>
      </c>
      <c r="L75" s="13">
        <v>-1016.53</v>
      </c>
      <c r="M75" s="13">
        <v>-1016.53</v>
      </c>
      <c r="N75" s="13">
        <v>-1016.53</v>
      </c>
      <c r="O75" s="13">
        <v>-1008.22</v>
      </c>
      <c r="P75" s="13">
        <v>1008.215278</v>
      </c>
      <c r="Q75" s="13">
        <v>1008.31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/>
      <c r="CI75" s="20"/>
    </row>
    <row r="76" spans="1:87" ht="15" customHeight="1" x14ac:dyDescent="0.25">
      <c r="B76" s="28" t="s">
        <v>121</v>
      </c>
      <c r="C76" s="7" t="s">
        <v>168</v>
      </c>
      <c r="D76" s="13">
        <v>0</v>
      </c>
      <c r="E76" s="13">
        <v>-1016.0261111077779</v>
      </c>
      <c r="F76" s="13">
        <v>-8.125</v>
      </c>
      <c r="G76" s="13">
        <v>-8.125</v>
      </c>
      <c r="H76" s="13">
        <v>-8.125</v>
      </c>
      <c r="I76" s="13">
        <v>0</v>
      </c>
      <c r="J76" s="13">
        <v>0</v>
      </c>
      <c r="K76" s="13">
        <v>-8.3055555555555589</v>
      </c>
      <c r="L76" s="13">
        <v>0</v>
      </c>
      <c r="M76" s="13">
        <v>0</v>
      </c>
      <c r="N76" s="13">
        <v>-8.31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13">
        <v>0</v>
      </c>
      <c r="BB76" s="13">
        <v>0</v>
      </c>
      <c r="BC76" s="13">
        <v>0</v>
      </c>
      <c r="BD76" s="13"/>
      <c r="CI76" s="20"/>
    </row>
    <row r="77" spans="1:87" ht="15" customHeight="1" x14ac:dyDescent="0.25">
      <c r="B77" s="29" t="s">
        <v>123</v>
      </c>
      <c r="C77" s="7" t="s">
        <v>169</v>
      </c>
      <c r="D77" s="13">
        <v>-1016.02611111</v>
      </c>
      <c r="E77" s="13">
        <v>-8.125</v>
      </c>
      <c r="F77" s="13">
        <v>-8.3055555555555589</v>
      </c>
      <c r="G77" s="13">
        <v>-8.3055555555555589</v>
      </c>
      <c r="H77" s="13">
        <v>0</v>
      </c>
      <c r="I77" s="13">
        <v>-8.3055555555555589</v>
      </c>
      <c r="J77" s="13">
        <v>-8.3055555555555589</v>
      </c>
      <c r="K77" s="13">
        <v>0</v>
      </c>
      <c r="L77" s="13">
        <v>-8.31</v>
      </c>
      <c r="M77" s="13">
        <v>-8.31</v>
      </c>
      <c r="N77" s="13">
        <v>0</v>
      </c>
      <c r="O77" s="13">
        <v>-1008.22</v>
      </c>
      <c r="P77" s="13">
        <v>1008.215278</v>
      </c>
      <c r="Q77" s="13">
        <v>1008.31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13">
        <v>0</v>
      </c>
      <c r="BA77" s="13">
        <v>0</v>
      </c>
      <c r="BB77" s="13">
        <v>0</v>
      </c>
      <c r="BC77" s="13">
        <v>0</v>
      </c>
      <c r="BD77" s="13"/>
      <c r="CI77" s="20"/>
    </row>
    <row r="78" spans="1:87" ht="15" customHeight="1" x14ac:dyDescent="0.25">
      <c r="B78" s="28" t="s">
        <v>125</v>
      </c>
      <c r="C78" s="7" t="s">
        <v>170</v>
      </c>
      <c r="D78" s="13">
        <v>-24.7361111111111</v>
      </c>
      <c r="E78" s="13">
        <v>-16.6111111111111</v>
      </c>
      <c r="F78" s="13">
        <v>-1016.5208333333333</v>
      </c>
      <c r="G78" s="13">
        <v>-1016.5208333333333</v>
      </c>
      <c r="H78" s="13">
        <v>-1024.8263888888889</v>
      </c>
      <c r="I78" s="13">
        <v>-1016.5208333333333</v>
      </c>
      <c r="J78" s="13">
        <v>-1016.5208333333333</v>
      </c>
      <c r="K78" s="13">
        <v>-1016.5208333333333</v>
      </c>
      <c r="L78" s="13">
        <v>-1008.22</v>
      </c>
      <c r="M78" s="13">
        <v>-1008.22</v>
      </c>
      <c r="N78" s="13">
        <v>-1008.22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13">
        <v>0</v>
      </c>
      <c r="BB78" s="13">
        <v>0</v>
      </c>
      <c r="BC78" s="13">
        <v>0</v>
      </c>
      <c r="BD78" s="13"/>
      <c r="CI78" s="20"/>
    </row>
    <row r="79" spans="1:87" ht="15" customHeight="1" x14ac:dyDescent="0.25">
      <c r="B79" s="27" t="s">
        <v>171</v>
      </c>
      <c r="C79" s="22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CI79" s="20"/>
    </row>
    <row r="80" spans="1:87" ht="15" customHeight="1" x14ac:dyDescent="0.25">
      <c r="B80" s="26" t="s">
        <v>119</v>
      </c>
      <c r="C80" s="7" t="s">
        <v>172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CI80" s="20"/>
    </row>
    <row r="81" spans="2:87" ht="15" customHeight="1" x14ac:dyDescent="0.25">
      <c r="B81" s="28" t="s">
        <v>121</v>
      </c>
      <c r="C81" s="7" t="s">
        <v>173</v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CI81" s="20"/>
    </row>
    <row r="82" spans="2:87" ht="15" customHeight="1" x14ac:dyDescent="0.25">
      <c r="B82" s="29" t="s">
        <v>123</v>
      </c>
      <c r="C82" s="7" t="s">
        <v>174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CI82" s="20"/>
    </row>
    <row r="83" spans="2:87" ht="15" customHeight="1" x14ac:dyDescent="0.25">
      <c r="B83" s="28" t="s">
        <v>125</v>
      </c>
      <c r="C83" s="7" t="s">
        <v>175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CI83" s="20"/>
    </row>
    <row r="84" spans="2:87" ht="15" customHeight="1" x14ac:dyDescent="0.25">
      <c r="B84" s="27" t="s">
        <v>176</v>
      </c>
      <c r="C84" s="22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CI84" s="20"/>
    </row>
    <row r="85" spans="2:87" ht="15" customHeight="1" x14ac:dyDescent="0.25">
      <c r="B85" s="26" t="s">
        <v>119</v>
      </c>
      <c r="C85" s="7" t="s">
        <v>177</v>
      </c>
      <c r="D85" s="13">
        <f t="shared" ref="D85" si="8">+D86+D87+D88</f>
        <v>-2512.5139315209999</v>
      </c>
      <c r="E85" s="13">
        <v>-2702.9368475809997</v>
      </c>
      <c r="F85" s="13">
        <v>-2431.4419018499998</v>
      </c>
      <c r="G85" s="13">
        <v>-3131.7835823739997</v>
      </c>
      <c r="H85" s="13">
        <v>-3747.9908437539998</v>
      </c>
      <c r="I85" s="13">
        <v>-3885.4219786129997</v>
      </c>
      <c r="J85" s="13">
        <v>-2918.8211601009998</v>
      </c>
      <c r="K85" s="13">
        <v>-3240.0518093420001</v>
      </c>
      <c r="L85" s="13">
        <v>-3044.1561977000001</v>
      </c>
      <c r="M85" s="13">
        <v>-2711.7699999999995</v>
      </c>
      <c r="N85" s="13">
        <v>-4314.05</v>
      </c>
      <c r="O85" s="13">
        <v>-4056.45</v>
      </c>
      <c r="P85" s="13">
        <v>-4623.09</v>
      </c>
      <c r="Q85" s="13">
        <v>-3927.27</v>
      </c>
      <c r="R85" s="13">
        <v>-4465.63</v>
      </c>
      <c r="S85" s="13">
        <v>-4437.1000000000004</v>
      </c>
      <c r="T85" s="13">
        <v>-5492.63</v>
      </c>
      <c r="U85" s="13">
        <v>-5492.63</v>
      </c>
      <c r="V85" s="13">
        <v>-6645.23</v>
      </c>
      <c r="W85" s="13">
        <v>-5521.62</v>
      </c>
      <c r="X85" s="13">
        <v>-6032.47</v>
      </c>
      <c r="Y85" s="13">
        <v>-7495.79</v>
      </c>
      <c r="Z85" s="13">
        <v>-6385.32</v>
      </c>
      <c r="AA85" s="13">
        <v>-6370.01</v>
      </c>
      <c r="AB85" s="13">
        <v>-6308.82</v>
      </c>
      <c r="AC85" s="13">
        <v>-6657.93</v>
      </c>
      <c r="AD85" s="13">
        <v>-5843.29</v>
      </c>
      <c r="AE85" s="13">
        <v>-5962.69</v>
      </c>
      <c r="AF85" s="13">
        <v>-5558.26</v>
      </c>
      <c r="AG85" s="13">
        <v>-6233.3899999999994</v>
      </c>
      <c r="AH85" s="13">
        <v>-5261.4400000000005</v>
      </c>
      <c r="AI85" s="13">
        <v>-6049.95</v>
      </c>
      <c r="AJ85" s="13">
        <v>-5569.16</v>
      </c>
      <c r="AK85" s="13">
        <v>-5526.42</v>
      </c>
      <c r="AL85" s="13">
        <v>-4785.62</v>
      </c>
      <c r="AM85" s="13">
        <v>-4528.2700000000004</v>
      </c>
      <c r="AN85" s="13">
        <v>-5734.27</v>
      </c>
      <c r="AO85" s="13">
        <v>-7158.85</v>
      </c>
      <c r="AP85" s="13">
        <v>-5116.21</v>
      </c>
      <c r="AQ85" s="13">
        <v>-1663.49</v>
      </c>
      <c r="AR85" s="13">
        <v>-1402.55</v>
      </c>
      <c r="AS85" s="13">
        <v>-6475.91</v>
      </c>
      <c r="AT85" s="13">
        <v>-7417.3216241000009</v>
      </c>
      <c r="AU85" s="13">
        <v>-5688.3481778551541</v>
      </c>
      <c r="AV85" s="13">
        <v>-7081.83</v>
      </c>
      <c r="AW85" s="13">
        <v>-6991.92</v>
      </c>
      <c r="AX85" s="13">
        <v>-6777.91</v>
      </c>
      <c r="AY85" s="13">
        <v>-6705.3099999999995</v>
      </c>
      <c r="AZ85" s="13">
        <v>-6246.51</v>
      </c>
      <c r="BA85" s="13">
        <v>-6784.3</v>
      </c>
      <c r="BB85" s="13">
        <v>-5401.34</v>
      </c>
      <c r="BC85" s="13">
        <v>-5327.1483578291245</v>
      </c>
      <c r="BD85" s="13"/>
      <c r="CI85" s="20"/>
    </row>
    <row r="86" spans="2:87" ht="15" customHeight="1" x14ac:dyDescent="0.25">
      <c r="B86" s="28" t="s">
        <v>121</v>
      </c>
      <c r="C86" s="7" t="s">
        <v>178</v>
      </c>
      <c r="D86" s="13">
        <v>-134.39941031699999</v>
      </c>
      <c r="E86" s="13">
        <v>-249.51527129400009</v>
      </c>
      <c r="F86" s="13">
        <v>-345.12665942299998</v>
      </c>
      <c r="G86" s="13">
        <v>-77.345228413999976</v>
      </c>
      <c r="H86" s="13">
        <v>-211.90812952499996</v>
      </c>
      <c r="I86" s="13">
        <v>-759.34281745999954</v>
      </c>
      <c r="J86" s="13">
        <v>-169.49249111199998</v>
      </c>
      <c r="K86" s="13">
        <v>-177.65881013700002</v>
      </c>
      <c r="L86" s="13">
        <v>-192.37239959999999</v>
      </c>
      <c r="M86" s="13">
        <v>-193.39</v>
      </c>
      <c r="N86" s="13">
        <v>-425.33</v>
      </c>
      <c r="O86" s="13">
        <v>-279.02</v>
      </c>
      <c r="P86" s="13">
        <v>-459.7</v>
      </c>
      <c r="Q86" s="13">
        <v>-409.89</v>
      </c>
      <c r="R86" s="13">
        <v>-70.540000000000006</v>
      </c>
      <c r="S86" s="13">
        <v>-45.26</v>
      </c>
      <c r="T86" s="13">
        <v>-250.44</v>
      </c>
      <c r="U86" s="13">
        <v>-250.44</v>
      </c>
      <c r="V86" s="13">
        <v>-540.29999999999995</v>
      </c>
      <c r="W86" s="13">
        <v>-228.79</v>
      </c>
      <c r="X86" s="13">
        <v>-120.33</v>
      </c>
      <c r="Y86" s="13">
        <v>-172.41</v>
      </c>
      <c r="Z86" s="13">
        <v>-777.04</v>
      </c>
      <c r="AA86" s="14">
        <v>-541.53</v>
      </c>
      <c r="AB86" s="13">
        <v>-249.78</v>
      </c>
      <c r="AC86" s="14">
        <v>-932.06</v>
      </c>
      <c r="AD86" s="13">
        <v>-47.93</v>
      </c>
      <c r="AE86" s="13">
        <v>-172.03</v>
      </c>
      <c r="AF86" s="13">
        <v>-740.04</v>
      </c>
      <c r="AG86" s="14">
        <v>-636.09</v>
      </c>
      <c r="AH86" s="13">
        <v>-126.38</v>
      </c>
      <c r="AI86" s="13">
        <v>-548.84</v>
      </c>
      <c r="AJ86" s="13">
        <v>-62.91</v>
      </c>
      <c r="AK86" s="13">
        <v>-30.23</v>
      </c>
      <c r="AL86" s="13">
        <v>-4.3099999999999996</v>
      </c>
      <c r="AM86" s="13">
        <v>-108.18</v>
      </c>
      <c r="AN86" s="13">
        <v>-154.94</v>
      </c>
      <c r="AO86" s="13">
        <v>-923.17</v>
      </c>
      <c r="AP86" s="13">
        <v>-135.43</v>
      </c>
      <c r="AQ86" s="13">
        <v>-83.96</v>
      </c>
      <c r="AR86" s="13">
        <v>-153.71</v>
      </c>
      <c r="AS86" s="13">
        <v>-532.03</v>
      </c>
      <c r="AT86" s="82">
        <v>-338.9900098</v>
      </c>
      <c r="AU86" s="13">
        <v>-684.49512941534113</v>
      </c>
      <c r="AV86" s="13">
        <v>-190.05</v>
      </c>
      <c r="AW86" s="13">
        <v>-207.32</v>
      </c>
      <c r="AX86" s="13">
        <v>-1018.92</v>
      </c>
      <c r="AY86" s="13">
        <v>-597.45000000000005</v>
      </c>
      <c r="AZ86" s="13">
        <v>-336.26</v>
      </c>
      <c r="BA86" s="13">
        <v>-2111.94</v>
      </c>
      <c r="BB86" s="13">
        <v>-54.01</v>
      </c>
      <c r="BC86" s="13">
        <v>285.15422469839285</v>
      </c>
      <c r="BD86" s="13"/>
      <c r="CI86" s="20"/>
    </row>
    <row r="87" spans="2:87" ht="15" customHeight="1" x14ac:dyDescent="0.25">
      <c r="B87" s="29" t="s">
        <v>123</v>
      </c>
      <c r="C87" s="7" t="s">
        <v>179</v>
      </c>
      <c r="D87" s="13">
        <v>-598.09471086799988</v>
      </c>
      <c r="E87" s="13">
        <v>-651.70083413299983</v>
      </c>
      <c r="F87" s="13">
        <v>-520.13288977599996</v>
      </c>
      <c r="G87" s="13">
        <v>-745.56397153399996</v>
      </c>
      <c r="H87" s="13">
        <v>-1165.6287584779996</v>
      </c>
      <c r="I87" s="13">
        <v>-869.15259894099995</v>
      </c>
      <c r="J87" s="13">
        <v>-732.1761399410002</v>
      </c>
      <c r="K87" s="13">
        <v>-756.52669116999994</v>
      </c>
      <c r="L87" s="13">
        <v>-666.17603710000003</v>
      </c>
      <c r="M87" s="13">
        <v>-860.31</v>
      </c>
      <c r="N87" s="13">
        <v>-1052.1600000000001</v>
      </c>
      <c r="O87" s="13">
        <v>-767.24</v>
      </c>
      <c r="P87" s="13">
        <v>-774.23</v>
      </c>
      <c r="Q87" s="13">
        <v>-488.57</v>
      </c>
      <c r="R87" s="13">
        <v>-811.53</v>
      </c>
      <c r="S87" s="13">
        <v>-810.23</v>
      </c>
      <c r="T87" s="13">
        <v>-1731.35</v>
      </c>
      <c r="U87" s="13">
        <v>-1731.35</v>
      </c>
      <c r="V87" s="13">
        <v>-1319.03</v>
      </c>
      <c r="W87" s="13">
        <v>-1217.0899999999999</v>
      </c>
      <c r="X87" s="13">
        <v>-1150.26</v>
      </c>
      <c r="Y87" s="13">
        <v>-1500.36</v>
      </c>
      <c r="Z87" s="13">
        <v>-1845.99</v>
      </c>
      <c r="AA87" s="13">
        <v>-1358.72</v>
      </c>
      <c r="AB87" s="13">
        <v>-1309.1300000000001</v>
      </c>
      <c r="AC87" s="13">
        <v>-1015.77</v>
      </c>
      <c r="AD87" s="13">
        <v>-1706.49</v>
      </c>
      <c r="AE87" s="13">
        <v>-1654.22</v>
      </c>
      <c r="AF87" s="13">
        <v>-1767.85</v>
      </c>
      <c r="AG87" s="13">
        <v>-1197.3</v>
      </c>
      <c r="AH87" s="13">
        <v>-791.34</v>
      </c>
      <c r="AI87" s="13">
        <v>-766.71</v>
      </c>
      <c r="AJ87" s="13">
        <v>-1476.1</v>
      </c>
      <c r="AK87" s="13">
        <v>-1469.49</v>
      </c>
      <c r="AL87" s="13">
        <v>-1434.01</v>
      </c>
      <c r="AM87" s="13">
        <v>-1651.64</v>
      </c>
      <c r="AN87" s="13">
        <v>-1109.44</v>
      </c>
      <c r="AO87" s="13">
        <v>-1157.54</v>
      </c>
      <c r="AP87" s="13">
        <v>-1324.43</v>
      </c>
      <c r="AQ87" s="13">
        <v>-456.23</v>
      </c>
      <c r="AR87" s="13">
        <v>-343.43</v>
      </c>
      <c r="AS87" s="13">
        <v>-1864.88</v>
      </c>
      <c r="AT87" s="13">
        <v>-955.29007630000001</v>
      </c>
      <c r="AU87" s="13">
        <v>-465.54189860877932</v>
      </c>
      <c r="AV87" s="13">
        <v>-1456.81</v>
      </c>
      <c r="AW87" s="13">
        <v>-1726.2</v>
      </c>
      <c r="AX87" s="13">
        <v>-2993.83</v>
      </c>
      <c r="AY87" s="13">
        <v>-5732.49</v>
      </c>
      <c r="AZ87" s="13">
        <v>-2124.36</v>
      </c>
      <c r="BA87" s="13">
        <v>-1133.6500000000001</v>
      </c>
      <c r="BB87" s="13">
        <v>-1244.73</v>
      </c>
      <c r="BC87" s="13">
        <v>-1223.985511738915</v>
      </c>
      <c r="BD87" s="13"/>
      <c r="CI87" s="20"/>
    </row>
    <row r="88" spans="2:87" ht="15" customHeight="1" x14ac:dyDescent="0.25">
      <c r="B88" s="28" t="s">
        <v>125</v>
      </c>
      <c r="C88" s="7" t="s">
        <v>180</v>
      </c>
      <c r="D88" s="13">
        <v>-1780.0198103359999</v>
      </c>
      <c r="E88" s="13">
        <v>-1801.7207421539997</v>
      </c>
      <c r="F88" s="13">
        <v>-1566.1823526509997</v>
      </c>
      <c r="G88" s="13">
        <v>-2308.874382426</v>
      </c>
      <c r="H88" s="13">
        <v>-2370.4539557510002</v>
      </c>
      <c r="I88" s="13">
        <v>-2256.9265622120001</v>
      </c>
      <c r="J88" s="13">
        <v>-2017.1525290479999</v>
      </c>
      <c r="K88" s="13">
        <v>-2305.8663080350002</v>
      </c>
      <c r="L88" s="13">
        <v>-2185.6077610000002</v>
      </c>
      <c r="M88" s="13">
        <v>-1658.07</v>
      </c>
      <c r="N88" s="13">
        <v>-2836.56</v>
      </c>
      <c r="O88" s="13">
        <v>-3010.19</v>
      </c>
      <c r="P88" s="13">
        <v>-3389.16</v>
      </c>
      <c r="Q88" s="13">
        <v>-3028.81</v>
      </c>
      <c r="R88" s="13">
        <v>-3583.56</v>
      </c>
      <c r="S88" s="13">
        <v>-3581.61</v>
      </c>
      <c r="T88" s="13">
        <v>-3510.84</v>
      </c>
      <c r="U88" s="13">
        <v>-3510.84</v>
      </c>
      <c r="V88" s="13">
        <v>-4785.8999999999996</v>
      </c>
      <c r="W88" s="13">
        <v>-4075.74</v>
      </c>
      <c r="X88" s="13">
        <v>-4761.88</v>
      </c>
      <c r="Y88" s="13">
        <v>-5823.01</v>
      </c>
      <c r="Z88" s="13">
        <v>-3762.3</v>
      </c>
      <c r="AA88" s="13">
        <v>-4469.76</v>
      </c>
      <c r="AB88" s="13">
        <v>-4749.91</v>
      </c>
      <c r="AC88" s="13">
        <v>-4710.1000000000004</v>
      </c>
      <c r="AD88" s="13">
        <v>-4088.87</v>
      </c>
      <c r="AE88" s="13">
        <v>-4136.4399999999996</v>
      </c>
      <c r="AF88" s="13">
        <v>-3050.37</v>
      </c>
      <c r="AG88" s="13">
        <v>-4400</v>
      </c>
      <c r="AH88" s="13">
        <v>-4343.72</v>
      </c>
      <c r="AI88" s="13">
        <v>-4734.3999999999996</v>
      </c>
      <c r="AJ88" s="13">
        <v>-4030.15</v>
      </c>
      <c r="AK88" s="13">
        <v>-4026.7</v>
      </c>
      <c r="AL88" s="13">
        <v>-3347.3</v>
      </c>
      <c r="AM88" s="13">
        <v>-2768.45</v>
      </c>
      <c r="AN88" s="13">
        <v>-4469.8900000000003</v>
      </c>
      <c r="AO88" s="13">
        <v>-5078.1400000000003</v>
      </c>
      <c r="AP88" s="13">
        <v>-3656.35</v>
      </c>
      <c r="AQ88" s="13">
        <v>-1123.3</v>
      </c>
      <c r="AR88" s="13">
        <v>-905.41</v>
      </c>
      <c r="AS88" s="13">
        <v>-4079</v>
      </c>
      <c r="AT88" s="13">
        <v>-6123.0415380000004</v>
      </c>
      <c r="AU88" s="13">
        <v>-4538.3111498310336</v>
      </c>
      <c r="AV88" s="13">
        <v>-5434.97</v>
      </c>
      <c r="AW88" s="13">
        <v>-5058.3999999999996</v>
      </c>
      <c r="AX88" s="13">
        <v>-2765.16</v>
      </c>
      <c r="AY88" s="13">
        <v>-375.37</v>
      </c>
      <c r="AZ88" s="13">
        <v>-3785.89</v>
      </c>
      <c r="BA88" s="13">
        <v>-3538.71</v>
      </c>
      <c r="BB88" s="13">
        <v>-4102.6000000000004</v>
      </c>
      <c r="BC88" s="13">
        <v>-4388.3170707886029</v>
      </c>
      <c r="BD88" s="13"/>
      <c r="CI88" s="20"/>
    </row>
    <row r="89" spans="2:87" ht="15" customHeight="1" x14ac:dyDescent="0.25">
      <c r="B89" s="27" t="s">
        <v>181</v>
      </c>
      <c r="C89" s="22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CI89" s="20"/>
    </row>
    <row r="90" spans="2:87" ht="15" customHeight="1" x14ac:dyDescent="0.25">
      <c r="B90" s="26" t="s">
        <v>119</v>
      </c>
      <c r="C90" s="7" t="s">
        <v>182</v>
      </c>
      <c r="D90" s="13">
        <f t="shared" ref="D90" si="9">+D91+D92+D93</f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13">
        <v>0</v>
      </c>
      <c r="BA90" s="13">
        <v>0</v>
      </c>
      <c r="BB90" s="13">
        <v>0</v>
      </c>
      <c r="BC90" s="13">
        <v>0</v>
      </c>
      <c r="BD90" s="13"/>
      <c r="CI90" s="20"/>
    </row>
    <row r="91" spans="2:87" ht="15" customHeight="1" x14ac:dyDescent="0.25">
      <c r="B91" s="28" t="s">
        <v>121</v>
      </c>
      <c r="C91" s="7" t="s">
        <v>183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13">
        <v>0</v>
      </c>
      <c r="BA91" s="13">
        <v>0</v>
      </c>
      <c r="BB91" s="13">
        <v>0</v>
      </c>
      <c r="BC91" s="13">
        <v>0</v>
      </c>
      <c r="BD91" s="13"/>
      <c r="CI91" s="20"/>
    </row>
    <row r="92" spans="2:87" ht="15" customHeight="1" x14ac:dyDescent="0.25">
      <c r="B92" s="29" t="s">
        <v>123</v>
      </c>
      <c r="C92" s="7" t="s">
        <v>184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13">
        <v>0</v>
      </c>
      <c r="BA92" s="13">
        <v>0</v>
      </c>
      <c r="BB92" s="13">
        <v>0</v>
      </c>
      <c r="BC92" s="13">
        <v>0</v>
      </c>
      <c r="BD92" s="13"/>
      <c r="CI92" s="20"/>
    </row>
    <row r="93" spans="2:87" ht="15" customHeight="1" x14ac:dyDescent="0.25">
      <c r="B93" s="28" t="s">
        <v>125</v>
      </c>
      <c r="C93" s="7" t="s">
        <v>185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13">
        <v>0</v>
      </c>
      <c r="BA93" s="13">
        <v>0</v>
      </c>
      <c r="BB93" s="13">
        <v>0</v>
      </c>
      <c r="BC93" s="13">
        <v>0</v>
      </c>
      <c r="BD93" s="13"/>
      <c r="CI93" s="20"/>
    </row>
    <row r="94" spans="2:87" ht="15" customHeight="1" x14ac:dyDescent="0.25">
      <c r="B94" s="27" t="s">
        <v>186</v>
      </c>
      <c r="C94" s="22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CI94" s="20"/>
    </row>
    <row r="95" spans="2:87" ht="15" customHeight="1" x14ac:dyDescent="0.25">
      <c r="B95" s="26" t="s">
        <v>119</v>
      </c>
      <c r="C95" s="7" t="s">
        <v>187</v>
      </c>
      <c r="D95" s="13">
        <f t="shared" ref="D95" si="10">+D96+D97+D98</f>
        <v>0</v>
      </c>
      <c r="E95" s="13">
        <v>73.099474395999991</v>
      </c>
      <c r="F95" s="13">
        <v>-71.449997214405599</v>
      </c>
      <c r="G95" s="13">
        <v>-79.339873064992744</v>
      </c>
      <c r="H95" s="13">
        <v>-85.838507024999998</v>
      </c>
      <c r="I95" s="13">
        <v>-83.146210353000001</v>
      </c>
      <c r="J95" s="13">
        <v>-0.33363806699999998</v>
      </c>
      <c r="K95" s="13">
        <v>-74.325810055999995</v>
      </c>
      <c r="L95" s="13">
        <v>-58.434966361999997</v>
      </c>
      <c r="M95" s="13">
        <v>-21.23</v>
      </c>
      <c r="N95" s="13">
        <v>-56.76</v>
      </c>
      <c r="O95" s="13">
        <v>-75.070000000000007</v>
      </c>
      <c r="P95" s="13">
        <v>-41.900000000000006</v>
      </c>
      <c r="Q95" s="13">
        <v>-38.47</v>
      </c>
      <c r="R95" s="13">
        <v>-45.93</v>
      </c>
      <c r="S95" s="13">
        <v>-31.229999999999997</v>
      </c>
      <c r="T95" s="13">
        <v>-32.51</v>
      </c>
      <c r="U95" s="13">
        <v>-34.18</v>
      </c>
      <c r="V95" s="13">
        <v>-89.15</v>
      </c>
      <c r="W95" s="13">
        <v>-54.6</v>
      </c>
      <c r="X95" s="13">
        <v>-73.34</v>
      </c>
      <c r="Y95" s="13">
        <v>-63.02</v>
      </c>
      <c r="Z95" s="13">
        <v>-45.51</v>
      </c>
      <c r="AA95" s="13">
        <v>-48.63</v>
      </c>
      <c r="AB95" s="13">
        <v>-102.7</v>
      </c>
      <c r="AC95" s="14">
        <v>-114.56</v>
      </c>
      <c r="AD95" s="13">
        <v>-44.13</v>
      </c>
      <c r="AE95" s="13">
        <v>-59.210000000000008</v>
      </c>
      <c r="AF95" s="13">
        <v>-38.28</v>
      </c>
      <c r="AG95" s="13">
        <v>-36.239999999999995</v>
      </c>
      <c r="AH95" s="13">
        <v>-47.25</v>
      </c>
      <c r="AI95" s="13">
        <v>-43.4</v>
      </c>
      <c r="AJ95" s="13">
        <v>-0.79</v>
      </c>
      <c r="AK95" s="13">
        <v>-31.909999999999997</v>
      </c>
      <c r="AL95" s="13">
        <v>-36.51</v>
      </c>
      <c r="AM95" s="13">
        <v>-46.930000000000007</v>
      </c>
      <c r="AN95" s="13">
        <v>-37.409999999999997</v>
      </c>
      <c r="AO95" s="13">
        <v>-24.990000000000002</v>
      </c>
      <c r="AP95" s="13">
        <v>-24.810000000000002</v>
      </c>
      <c r="AQ95" s="13">
        <v>-8.629999999999999</v>
      </c>
      <c r="AR95" s="13">
        <v>-5.78</v>
      </c>
      <c r="AS95" s="13">
        <v>-5.66</v>
      </c>
      <c r="AT95" s="13">
        <v>-4.8213265009999997</v>
      </c>
      <c r="AU95" s="13">
        <v>-32.848350356636402</v>
      </c>
      <c r="AV95" s="13">
        <v>-76.61</v>
      </c>
      <c r="AW95" s="13">
        <v>-57.37</v>
      </c>
      <c r="AX95" s="13">
        <v>-24.27</v>
      </c>
      <c r="AY95" s="13">
        <v>-10.690000000000001</v>
      </c>
      <c r="AZ95" s="13">
        <v>-11.559999999999999</v>
      </c>
      <c r="BA95" s="13">
        <v>-11.56</v>
      </c>
      <c r="BB95" s="13">
        <v>-11.51</v>
      </c>
      <c r="BC95" s="13">
        <v>-11.473097135703124</v>
      </c>
      <c r="BD95" s="13"/>
      <c r="CI95" s="20"/>
    </row>
    <row r="96" spans="2:87" ht="15" customHeight="1" x14ac:dyDescent="0.25">
      <c r="B96" s="28" t="s">
        <v>121</v>
      </c>
      <c r="C96" s="7" t="s">
        <v>188</v>
      </c>
      <c r="D96" s="13">
        <v>0</v>
      </c>
      <c r="E96" s="13">
        <v>5.3400026139999994</v>
      </c>
      <c r="F96" s="13">
        <v>-3.4285835366915092</v>
      </c>
      <c r="G96" s="13">
        <v>-24.666965169000001</v>
      </c>
      <c r="H96" s="13">
        <v>-3.2133386690000005</v>
      </c>
      <c r="I96" s="13">
        <v>-5.2390503940000004</v>
      </c>
      <c r="J96" s="13">
        <v>-2.024161E-2</v>
      </c>
      <c r="K96" s="13">
        <v>-12.101595655999999</v>
      </c>
      <c r="L96" s="13">
        <v>-0.365259732</v>
      </c>
      <c r="M96" s="13">
        <v>-4.2300000000000004</v>
      </c>
      <c r="N96" s="13">
        <v>-5.34</v>
      </c>
      <c r="O96" s="13">
        <v>-30.8</v>
      </c>
      <c r="P96" s="13">
        <v>-5.03</v>
      </c>
      <c r="Q96" s="13">
        <v>-1.07</v>
      </c>
      <c r="R96" s="13">
        <v>-19.239999999999998</v>
      </c>
      <c r="S96" s="13">
        <v>-3.92</v>
      </c>
      <c r="T96" s="13">
        <v>-2.2999999999999998</v>
      </c>
      <c r="U96" s="13">
        <v>-4.24</v>
      </c>
      <c r="V96" s="13">
        <v>-19.03</v>
      </c>
      <c r="W96" s="13">
        <v>-7.69</v>
      </c>
      <c r="X96" s="13">
        <v>-6.96</v>
      </c>
      <c r="Y96" s="13">
        <v>-4.3899999999999997</v>
      </c>
      <c r="Z96" s="13">
        <v>-2.62</v>
      </c>
      <c r="AA96" s="13">
        <v>-15.24</v>
      </c>
      <c r="AB96" s="13">
        <v>-4.79</v>
      </c>
      <c r="AC96" s="14">
        <v>-68.19</v>
      </c>
      <c r="AD96" s="13">
        <v>-2.93</v>
      </c>
      <c r="AE96" s="13">
        <v>-9.68</v>
      </c>
      <c r="AF96" s="13">
        <v>-6.15</v>
      </c>
      <c r="AG96" s="14">
        <v>-7.18</v>
      </c>
      <c r="AH96" s="13">
        <v>-9.52</v>
      </c>
      <c r="AI96" s="13">
        <v>-9.92</v>
      </c>
      <c r="AJ96" s="13">
        <v>-0.18</v>
      </c>
      <c r="AK96" s="13">
        <v>-1.01</v>
      </c>
      <c r="AL96" s="13">
        <v>-0.01</v>
      </c>
      <c r="AM96" s="13">
        <v>-5.88</v>
      </c>
      <c r="AN96" s="13">
        <v>-17.25</v>
      </c>
      <c r="AO96" s="13">
        <v>-2.57</v>
      </c>
      <c r="AP96" s="13">
        <v>-3.42</v>
      </c>
      <c r="AQ96" s="13">
        <v>-1.72</v>
      </c>
      <c r="AR96" s="13">
        <v>-1.05</v>
      </c>
      <c r="AS96" s="13">
        <v>-0.69</v>
      </c>
      <c r="AT96" s="13">
        <v>-0.97050645000000002</v>
      </c>
      <c r="AU96" s="13">
        <v>-8.3311779068146183</v>
      </c>
      <c r="AV96" s="13">
        <v>-21.67</v>
      </c>
      <c r="AW96" s="13">
        <v>-25.74</v>
      </c>
      <c r="AX96" s="13">
        <v>-0.64</v>
      </c>
      <c r="AY96" s="13">
        <v>-6.18</v>
      </c>
      <c r="AZ96" s="13">
        <v>-0.46</v>
      </c>
      <c r="BA96" s="13">
        <v>-0.2</v>
      </c>
      <c r="BB96" s="13">
        <v>-0.57999999999999996</v>
      </c>
      <c r="BC96" s="13">
        <v>-0.49004405159316405</v>
      </c>
      <c r="BD96" s="13"/>
      <c r="CI96" s="20"/>
    </row>
    <row r="97" spans="2:88" ht="15" customHeight="1" x14ac:dyDescent="0.25">
      <c r="B97" s="29" t="s">
        <v>123</v>
      </c>
      <c r="C97" s="7" t="s">
        <v>189</v>
      </c>
      <c r="D97" s="13">
        <v>0</v>
      </c>
      <c r="E97" s="13">
        <v>26.808791600999996</v>
      </c>
      <c r="F97" s="13">
        <v>-34.615109431757361</v>
      </c>
      <c r="G97" s="13">
        <v>-17.053348353049408</v>
      </c>
      <c r="H97" s="13">
        <v>-23.918602595999999</v>
      </c>
      <c r="I97" s="13">
        <v>-19.305974098000004</v>
      </c>
      <c r="J97" s="13">
        <v>-9.1979815999999992E-2</v>
      </c>
      <c r="K97" s="13">
        <v>-29.292523001999999</v>
      </c>
      <c r="L97" s="13">
        <v>-27.56801261</v>
      </c>
      <c r="M97" s="13">
        <v>-14.14</v>
      </c>
      <c r="N97" s="13">
        <v>-16.059999999999999</v>
      </c>
      <c r="O97" s="13">
        <v>-22.54</v>
      </c>
      <c r="P97" s="13">
        <v>-19.09</v>
      </c>
      <c r="Q97" s="13">
        <v>-20.05</v>
      </c>
      <c r="R97" s="13">
        <v>-2.14</v>
      </c>
      <c r="S97" s="13">
        <v>-2.16</v>
      </c>
      <c r="T97" s="13">
        <v>-1.3</v>
      </c>
      <c r="U97" s="13">
        <v>-1.76</v>
      </c>
      <c r="V97" s="13">
        <v>-35.71</v>
      </c>
      <c r="W97" s="13">
        <v>-20.190000000000001</v>
      </c>
      <c r="X97" s="13">
        <v>-34.6</v>
      </c>
      <c r="Y97" s="13">
        <v>-15.71</v>
      </c>
      <c r="Z97" s="13">
        <v>-19.670000000000002</v>
      </c>
      <c r="AA97" s="13">
        <v>-15.98</v>
      </c>
      <c r="AB97" s="13">
        <v>-75.5</v>
      </c>
      <c r="AC97" s="14">
        <v>-16</v>
      </c>
      <c r="AD97" s="13">
        <v>-12.87</v>
      </c>
      <c r="AE97" s="13">
        <v>-23.69</v>
      </c>
      <c r="AF97" s="13">
        <v>-15.47</v>
      </c>
      <c r="AG97" s="14">
        <v>-12.2</v>
      </c>
      <c r="AH97" s="13">
        <v>-13.64</v>
      </c>
      <c r="AI97" s="13">
        <v>-8.8000000000000007</v>
      </c>
      <c r="AJ97" s="13">
        <v>-0.3</v>
      </c>
      <c r="AK97" s="13">
        <v>-13.11</v>
      </c>
      <c r="AL97" s="13">
        <v>-20.72</v>
      </c>
      <c r="AM97" s="13">
        <v>-29.96</v>
      </c>
      <c r="AN97" s="13">
        <v>-4.16</v>
      </c>
      <c r="AO97" s="13">
        <v>-4.62</v>
      </c>
      <c r="AP97" s="13">
        <v>-7.92</v>
      </c>
      <c r="AQ97" s="13">
        <v>-3.45</v>
      </c>
      <c r="AR97" s="13">
        <v>-2.14</v>
      </c>
      <c r="AS97" s="13">
        <v>-1.99</v>
      </c>
      <c r="AT97" s="13">
        <v>-1.129127523</v>
      </c>
      <c r="AU97" s="13">
        <v>-9.3382483273493673</v>
      </c>
      <c r="AV97" s="13">
        <v>-27.08</v>
      </c>
      <c r="AW97" s="13">
        <v>-10.7</v>
      </c>
      <c r="AX97" s="13">
        <v>-13.78</v>
      </c>
      <c r="AY97" s="13">
        <v>-0.28000000000000003</v>
      </c>
      <c r="AZ97" s="13">
        <v>-0.75</v>
      </c>
      <c r="BA97" s="13">
        <v>-0.69</v>
      </c>
      <c r="BB97" s="13">
        <v>-4.33</v>
      </c>
      <c r="BC97" s="13">
        <v>-4.8530061638434034</v>
      </c>
      <c r="BD97" s="13"/>
      <c r="CI97" s="20" t="s">
        <v>190</v>
      </c>
    </row>
    <row r="98" spans="2:88" ht="15" customHeight="1" x14ac:dyDescent="0.25">
      <c r="B98" s="28" t="s">
        <v>125</v>
      </c>
      <c r="C98" s="7" t="s">
        <v>191</v>
      </c>
      <c r="D98" s="13">
        <v>0</v>
      </c>
      <c r="E98" s="13">
        <v>40.950680180999996</v>
      </c>
      <c r="F98" s="13">
        <v>-33.406304245956726</v>
      </c>
      <c r="G98" s="13">
        <v>-37.619559542943335</v>
      </c>
      <c r="H98" s="13">
        <v>-58.706565759999997</v>
      </c>
      <c r="I98" s="13">
        <v>-58.601185860999998</v>
      </c>
      <c r="J98" s="13">
        <v>-0.22141664099999997</v>
      </c>
      <c r="K98" s="13">
        <v>-32.931691397999998</v>
      </c>
      <c r="L98" s="13">
        <v>-30.501694019999999</v>
      </c>
      <c r="M98" s="13">
        <v>-2.86</v>
      </c>
      <c r="N98" s="13">
        <v>-35.36</v>
      </c>
      <c r="O98" s="13">
        <v>-21.73</v>
      </c>
      <c r="P98" s="13">
        <v>-17.78</v>
      </c>
      <c r="Q98" s="13">
        <v>-17.350000000000001</v>
      </c>
      <c r="R98" s="13">
        <v>-24.55</v>
      </c>
      <c r="S98" s="13">
        <v>-25.15</v>
      </c>
      <c r="T98" s="13">
        <v>-28.91</v>
      </c>
      <c r="U98" s="13">
        <v>-28.18</v>
      </c>
      <c r="V98" s="13">
        <v>-34.409999999999997</v>
      </c>
      <c r="W98" s="13">
        <v>-26.72</v>
      </c>
      <c r="X98" s="13">
        <v>-31.78</v>
      </c>
      <c r="Y98" s="13">
        <v>-42.92</v>
      </c>
      <c r="Z98" s="13">
        <v>-23.22</v>
      </c>
      <c r="AA98" s="13">
        <v>-17.41</v>
      </c>
      <c r="AB98" s="13">
        <v>-22.41</v>
      </c>
      <c r="AC98" s="14">
        <v>-30.37</v>
      </c>
      <c r="AD98" s="13">
        <v>-28.34</v>
      </c>
      <c r="AE98" s="13">
        <v>-25.84</v>
      </c>
      <c r="AF98" s="13">
        <v>-16.66</v>
      </c>
      <c r="AG98" s="14">
        <v>-16.86</v>
      </c>
      <c r="AH98" s="13">
        <v>-24.09</v>
      </c>
      <c r="AI98" s="13">
        <v>-24.68</v>
      </c>
      <c r="AJ98" s="13">
        <v>-0.31</v>
      </c>
      <c r="AK98" s="13">
        <v>-17.79</v>
      </c>
      <c r="AL98" s="13">
        <v>-15.78</v>
      </c>
      <c r="AM98" s="13">
        <v>-11.09</v>
      </c>
      <c r="AN98" s="13">
        <v>-16</v>
      </c>
      <c r="AO98" s="13">
        <v>-17.8</v>
      </c>
      <c r="AP98" s="13">
        <v>-13.47</v>
      </c>
      <c r="AQ98" s="13">
        <v>-3.46</v>
      </c>
      <c r="AR98" s="13">
        <v>-2.59</v>
      </c>
      <c r="AS98" s="13">
        <v>-2.98</v>
      </c>
      <c r="AT98" s="13">
        <v>-2.7216925280000002</v>
      </c>
      <c r="AU98" s="13">
        <v>-15.178924122472418</v>
      </c>
      <c r="AV98" s="13">
        <v>-27.86</v>
      </c>
      <c r="AW98" s="13">
        <v>-20.93</v>
      </c>
      <c r="AX98" s="13">
        <v>-9.85</v>
      </c>
      <c r="AY98" s="13">
        <v>-4.2300000000000004</v>
      </c>
      <c r="AZ98" s="13">
        <v>-10.35</v>
      </c>
      <c r="BA98" s="13">
        <v>-10.67</v>
      </c>
      <c r="BB98" s="13">
        <v>-6.6</v>
      </c>
      <c r="BC98" s="13">
        <v>-6.1300469202665564</v>
      </c>
      <c r="BD98" s="13"/>
      <c r="CI98" s="20" t="s">
        <v>192</v>
      </c>
    </row>
    <row r="99" spans="2:88" ht="15" customHeight="1" x14ac:dyDescent="0.25">
      <c r="B99" s="27" t="s">
        <v>193</v>
      </c>
      <c r="C99" s="22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CJ99" s="20" t="s">
        <v>194</v>
      </c>
    </row>
    <row r="100" spans="2:88" ht="15" customHeight="1" x14ac:dyDescent="0.25">
      <c r="B100" s="26" t="s">
        <v>119</v>
      </c>
      <c r="C100" s="7" t="s">
        <v>195</v>
      </c>
      <c r="D100" s="13">
        <f t="shared" ref="D100" si="11">+D101+D102+D103</f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13">
        <v>0</v>
      </c>
      <c r="BA100" s="13">
        <v>0</v>
      </c>
      <c r="BB100" s="13">
        <v>0</v>
      </c>
      <c r="BC100" s="13">
        <v>0</v>
      </c>
      <c r="BD100" s="13"/>
      <c r="CH100"/>
    </row>
    <row r="101" spans="2:88" ht="15" customHeight="1" x14ac:dyDescent="0.25">
      <c r="B101" s="28" t="s">
        <v>121</v>
      </c>
      <c r="C101" s="7" t="s">
        <v>196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13">
        <v>0</v>
      </c>
      <c r="BA101" s="13">
        <v>0</v>
      </c>
      <c r="BB101" s="13">
        <v>0</v>
      </c>
      <c r="BC101" s="13">
        <v>0</v>
      </c>
      <c r="BD101" s="13"/>
      <c r="CH101"/>
    </row>
    <row r="102" spans="2:88" ht="15" customHeight="1" x14ac:dyDescent="0.25">
      <c r="B102" s="29" t="s">
        <v>123</v>
      </c>
      <c r="C102" s="7" t="s">
        <v>197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3">
        <v>0</v>
      </c>
      <c r="AE102" s="13">
        <v>0</v>
      </c>
      <c r="AF102" s="13">
        <v>0</v>
      </c>
      <c r="AG102" s="13">
        <v>0</v>
      </c>
      <c r="AH102" s="13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13">
        <v>0</v>
      </c>
      <c r="BA102" s="13">
        <v>0</v>
      </c>
      <c r="BB102" s="13">
        <v>0</v>
      </c>
      <c r="BC102" s="13">
        <v>0</v>
      </c>
      <c r="BD102" s="13"/>
      <c r="CH102"/>
    </row>
    <row r="103" spans="2:88" ht="15" customHeight="1" x14ac:dyDescent="0.25">
      <c r="B103" s="28" t="s">
        <v>125</v>
      </c>
      <c r="C103" s="7" t="s">
        <v>198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  <c r="AJ103" s="13">
        <v>0</v>
      </c>
      <c r="AK103" s="13">
        <v>0</v>
      </c>
      <c r="AL103" s="13">
        <v>0</v>
      </c>
      <c r="AM103" s="13">
        <v>0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13">
        <v>0</v>
      </c>
      <c r="BA103" s="13">
        <v>0</v>
      </c>
      <c r="BB103" s="13">
        <v>0</v>
      </c>
      <c r="BC103" s="13">
        <v>0</v>
      </c>
      <c r="BD103" s="13"/>
      <c r="CH103"/>
    </row>
    <row r="104" spans="2:88" x14ac:dyDescent="0.25">
      <c r="B104" s="30"/>
      <c r="C104" s="30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CH104"/>
    </row>
    <row r="105" spans="2:88" ht="31.5" x14ac:dyDescent="0.25">
      <c r="B105" s="41" t="s">
        <v>199</v>
      </c>
      <c r="C105" s="9"/>
      <c r="D105" s="9"/>
      <c r="E105" s="9"/>
      <c r="F105" s="9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CH105"/>
    </row>
    <row r="106" spans="2:88" x14ac:dyDescent="0.25">
      <c r="B106" s="30"/>
      <c r="C106" s="30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CH106"/>
    </row>
    <row r="107" spans="2:88" ht="15" customHeight="1" x14ac:dyDescent="0.25">
      <c r="B107" s="7" t="s">
        <v>200</v>
      </c>
      <c r="C107" s="31"/>
      <c r="D107" s="32"/>
      <c r="E107" s="32"/>
      <c r="F107" s="32"/>
      <c r="G107" s="32"/>
      <c r="H107" s="32"/>
      <c r="I107" s="32"/>
      <c r="J107" s="32"/>
      <c r="K107" s="32"/>
      <c r="L107" s="52"/>
      <c r="M107" s="52"/>
      <c r="N107" s="52"/>
      <c r="O107" s="52"/>
      <c r="P107" s="52"/>
      <c r="Q107" s="52"/>
      <c r="R107" s="52"/>
      <c r="S107" s="52"/>
      <c r="T107" s="52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52"/>
      <c r="AQ107" s="90"/>
      <c r="AR107" s="90"/>
      <c r="AS107" s="90"/>
      <c r="AT107" s="90"/>
      <c r="AU107" s="90"/>
      <c r="AV107" s="90"/>
      <c r="AW107" s="90"/>
      <c r="AX107" s="90"/>
      <c r="AY107" s="90"/>
      <c r="AZ107" s="90"/>
      <c r="BA107" s="90"/>
      <c r="BB107" s="90"/>
      <c r="BC107" s="90"/>
      <c r="BD107" s="90"/>
      <c r="CH107"/>
    </row>
    <row r="108" spans="2:88" ht="15" customHeight="1" x14ac:dyDescent="0.25">
      <c r="B108" s="26" t="s">
        <v>119</v>
      </c>
      <c r="C108" s="7" t="s">
        <v>201</v>
      </c>
      <c r="D108" s="58">
        <f t="shared" ref="D108" si="12">+D109+D110+D111</f>
        <v>2149.6639884482997</v>
      </c>
      <c r="E108" s="58">
        <v>2084.6382662532001</v>
      </c>
      <c r="F108" s="58">
        <v>2079.2113922002</v>
      </c>
      <c r="G108" s="58">
        <v>1972.4103778939</v>
      </c>
      <c r="H108" s="58">
        <v>2075.5937819096998</v>
      </c>
      <c r="I108" s="58">
        <v>1998.9510495292998</v>
      </c>
      <c r="J108" s="58">
        <v>2199.9971497028</v>
      </c>
      <c r="K108" s="58">
        <v>2166.8445018713001</v>
      </c>
      <c r="L108" s="58">
        <v>1027.2909259788</v>
      </c>
      <c r="M108" s="58">
        <v>911.93681270809998</v>
      </c>
      <c r="N108" s="58">
        <v>910.32198486899995</v>
      </c>
      <c r="O108" s="58">
        <v>953.48690690621493</v>
      </c>
      <c r="P108" s="58">
        <v>928.41746223283906</v>
      </c>
      <c r="Q108" s="58">
        <v>1135.53</v>
      </c>
      <c r="R108" s="58">
        <v>1762.5772907108001</v>
      </c>
      <c r="S108" s="58">
        <v>1809.5803248887701</v>
      </c>
      <c r="T108" s="58">
        <v>1767.02883018947</v>
      </c>
      <c r="U108" s="58">
        <v>1624.1865271659501</v>
      </c>
      <c r="V108" s="58">
        <v>1450.1627684170501</v>
      </c>
      <c r="W108" s="58">
        <v>1632.7782126975701</v>
      </c>
      <c r="X108" s="58">
        <v>1513.8938928886901</v>
      </c>
      <c r="Y108" s="58">
        <v>1650.8243420092101</v>
      </c>
      <c r="Z108" s="58">
        <v>1566.6892815220599</v>
      </c>
      <c r="AA108" s="58">
        <v>1557.66458031822</v>
      </c>
      <c r="AB108" s="58">
        <v>1604.88981900559</v>
      </c>
      <c r="AC108" s="58">
        <v>1612.7258539447198</v>
      </c>
      <c r="AD108" s="58">
        <v>1333.354</v>
      </c>
      <c r="AE108" s="58">
        <v>1642.2015397522598</v>
      </c>
      <c r="AF108" s="58">
        <v>1605.25830732035</v>
      </c>
      <c r="AG108" s="58">
        <v>1603.0727505245102</v>
      </c>
      <c r="AH108" s="58">
        <v>1591.00328776332</v>
      </c>
      <c r="AI108" s="58">
        <v>1562.6438093526499</v>
      </c>
      <c r="AJ108" s="58">
        <v>1563.3699704788598</v>
      </c>
      <c r="AK108" s="58">
        <v>1541.4062893801201</v>
      </c>
      <c r="AL108" s="58">
        <v>1504.4314249089202</v>
      </c>
      <c r="AM108" s="58">
        <v>1474.5779130870901</v>
      </c>
      <c r="AN108" s="58">
        <v>1556.03685096611</v>
      </c>
      <c r="AO108" s="58">
        <v>1605.34342538091</v>
      </c>
      <c r="AP108" s="73">
        <v>1451.8</v>
      </c>
      <c r="AQ108" s="75">
        <v>1537.1141926207902</v>
      </c>
      <c r="AR108" s="75">
        <v>1566.5388674182998</v>
      </c>
      <c r="AS108" s="75">
        <v>1534.4232576895599</v>
      </c>
      <c r="AT108" s="75">
        <v>1547.92833740436</v>
      </c>
      <c r="AU108" s="75">
        <v>1571.1832237336798</v>
      </c>
      <c r="AV108" s="75">
        <v>1594.6865299999999</v>
      </c>
      <c r="AW108" s="75">
        <v>1553.0080810853799</v>
      </c>
      <c r="AX108" s="75">
        <v>1557.1316721030703</v>
      </c>
      <c r="AY108" s="75">
        <v>1523.96232354325</v>
      </c>
      <c r="AZ108" s="75">
        <v>1506.2889611283497</v>
      </c>
      <c r="BA108" s="75">
        <v>1525.3407577647299</v>
      </c>
      <c r="BB108" s="75">
        <v>1543.96</v>
      </c>
      <c r="BC108" s="75">
        <v>1497.7199999999998</v>
      </c>
      <c r="BD108" s="75"/>
      <c r="CH108"/>
    </row>
    <row r="109" spans="2:88" ht="15" customHeight="1" x14ac:dyDescent="0.25">
      <c r="B109" s="28" t="s">
        <v>121</v>
      </c>
      <c r="C109" s="7" t="s">
        <v>202</v>
      </c>
      <c r="D109" s="58">
        <f t="shared" ref="D109:D111" si="13">+D114+D119</f>
        <v>2001.9629972183</v>
      </c>
      <c r="E109" s="58">
        <v>1980.2336308731999</v>
      </c>
      <c r="F109" s="58">
        <v>1979.8184861402001</v>
      </c>
      <c r="G109" s="58">
        <v>1870.3409315739</v>
      </c>
      <c r="H109" s="58">
        <v>1969.7694841596999</v>
      </c>
      <c r="I109" s="58">
        <v>1892.1359514492999</v>
      </c>
      <c r="J109" s="58">
        <v>1028.8828431028001</v>
      </c>
      <c r="K109" s="58">
        <v>903.63108147130004</v>
      </c>
      <c r="L109" s="58">
        <v>907.04092597880003</v>
      </c>
      <c r="M109" s="58">
        <v>784.65681270810001</v>
      </c>
      <c r="N109" s="58">
        <v>798.29198486899998</v>
      </c>
      <c r="O109" s="58">
        <v>840.776906906215</v>
      </c>
      <c r="P109" s="58">
        <v>812.62746223283909</v>
      </c>
      <c r="Q109" s="58">
        <v>1013.98</v>
      </c>
      <c r="R109" s="58">
        <v>1649.4072907108</v>
      </c>
      <c r="S109" s="58">
        <v>1693.60032488877</v>
      </c>
      <c r="T109" s="58">
        <v>1660.30883018947</v>
      </c>
      <c r="U109" s="58">
        <v>1525.1465271659501</v>
      </c>
      <c r="V109" s="58">
        <v>1347.76276841705</v>
      </c>
      <c r="W109" s="58">
        <v>1493.08821269757</v>
      </c>
      <c r="X109" s="58">
        <v>1412.3238928886901</v>
      </c>
      <c r="Y109" s="58">
        <v>1542.5743420092101</v>
      </c>
      <c r="Z109" s="58">
        <v>1503.4592815220599</v>
      </c>
      <c r="AA109" s="58">
        <v>1479.6245803182201</v>
      </c>
      <c r="AB109" s="58">
        <v>1505.13981900559</v>
      </c>
      <c r="AC109" s="58">
        <v>1507.24585394472</v>
      </c>
      <c r="AD109" s="58">
        <v>1235.4839999999999</v>
      </c>
      <c r="AE109" s="58">
        <v>1535.8815397522599</v>
      </c>
      <c r="AF109" s="58">
        <v>1508.01830732035</v>
      </c>
      <c r="AG109" s="58">
        <v>1506.5927505245102</v>
      </c>
      <c r="AH109" s="58">
        <v>1487.75328776332</v>
      </c>
      <c r="AI109" s="58">
        <v>1453.8638093526499</v>
      </c>
      <c r="AJ109" s="58">
        <v>1458.3399704788599</v>
      </c>
      <c r="AK109" s="58">
        <v>1428.77628938012</v>
      </c>
      <c r="AL109" s="58">
        <v>1421.3414249089201</v>
      </c>
      <c r="AM109" s="58">
        <v>1373.74791308709</v>
      </c>
      <c r="AN109" s="58">
        <v>1445.6468509661102</v>
      </c>
      <c r="AO109" s="58">
        <v>1486.36342538091</v>
      </c>
      <c r="AP109" s="73">
        <v>1335.12</v>
      </c>
      <c r="AQ109" s="75">
        <v>1421.9441926207901</v>
      </c>
      <c r="AR109" s="75">
        <v>1457.1588674182999</v>
      </c>
      <c r="AS109" s="75">
        <v>1431.84325768956</v>
      </c>
      <c r="AT109" s="75">
        <v>1433.71833740436</v>
      </c>
      <c r="AU109" s="75">
        <v>1450.3732237336799</v>
      </c>
      <c r="AV109" s="75">
        <v>1477.34653</v>
      </c>
      <c r="AW109" s="75">
        <v>1432.4680810853799</v>
      </c>
      <c r="AX109" s="75">
        <v>1467.7816721030702</v>
      </c>
      <c r="AY109" s="75">
        <v>1437.75232354325</v>
      </c>
      <c r="AZ109" s="75">
        <v>1411.8889611283498</v>
      </c>
      <c r="BA109" s="75">
        <v>1425.8207577647299</v>
      </c>
      <c r="BB109" s="75">
        <v>1426.22</v>
      </c>
      <c r="BC109" s="75">
        <v>1400.59</v>
      </c>
      <c r="BD109" s="75"/>
      <c r="CH109"/>
    </row>
    <row r="110" spans="2:88" ht="15" customHeight="1" x14ac:dyDescent="0.25">
      <c r="B110" s="29" t="s">
        <v>123</v>
      </c>
      <c r="C110" s="7" t="s">
        <v>203</v>
      </c>
      <c r="D110" s="58">
        <f t="shared" si="13"/>
        <v>18.991908650000003</v>
      </c>
      <c r="E110" s="58">
        <v>11.165704940000001</v>
      </c>
      <c r="F110" s="58">
        <v>12.172657859999999</v>
      </c>
      <c r="G110" s="58">
        <v>22.630258079999997</v>
      </c>
      <c r="H110" s="58">
        <v>30.793580479999999</v>
      </c>
      <c r="I110" s="58">
        <v>23.293580479999996</v>
      </c>
      <c r="J110" s="58">
        <v>103.18315150000001</v>
      </c>
      <c r="K110" s="58">
        <v>127.1053278</v>
      </c>
      <c r="L110" s="58">
        <v>56.47</v>
      </c>
      <c r="M110" s="58">
        <v>52.5</v>
      </c>
      <c r="N110" s="58">
        <v>12.42</v>
      </c>
      <c r="O110" s="58">
        <v>12.42</v>
      </c>
      <c r="P110" s="58">
        <v>11.28</v>
      </c>
      <c r="Q110" s="58">
        <v>13.75</v>
      </c>
      <c r="R110" s="58">
        <v>13.78</v>
      </c>
      <c r="S110" s="58">
        <v>27.4</v>
      </c>
      <c r="T110" s="58">
        <v>28.23</v>
      </c>
      <c r="U110" s="58">
        <v>12.24</v>
      </c>
      <c r="V110" s="58">
        <v>11.23</v>
      </c>
      <c r="W110" s="58">
        <v>19.73</v>
      </c>
      <c r="X110" s="58">
        <v>37.049999999999997</v>
      </c>
      <c r="Y110" s="58">
        <v>47.38</v>
      </c>
      <c r="Z110" s="58">
        <v>17.73</v>
      </c>
      <c r="AA110" s="58">
        <v>6.98</v>
      </c>
      <c r="AB110" s="58">
        <v>11.17</v>
      </c>
      <c r="AC110" s="58">
        <v>10.6</v>
      </c>
      <c r="AD110" s="58">
        <v>10.65</v>
      </c>
      <c r="AE110" s="58">
        <v>31.04</v>
      </c>
      <c r="AF110" s="58">
        <v>21.23</v>
      </c>
      <c r="AG110" s="58">
        <v>8.89</v>
      </c>
      <c r="AH110" s="58">
        <v>10.92</v>
      </c>
      <c r="AI110" s="58">
        <v>10.15</v>
      </c>
      <c r="AJ110" s="58">
        <v>32.35</v>
      </c>
      <c r="AK110" s="58">
        <v>47.89</v>
      </c>
      <c r="AL110" s="58">
        <v>23.67</v>
      </c>
      <c r="AM110" s="58">
        <v>8.68</v>
      </c>
      <c r="AN110" s="58">
        <v>10.86</v>
      </c>
      <c r="AO110" s="58">
        <v>11.95</v>
      </c>
      <c r="AP110" s="73">
        <v>15.99</v>
      </c>
      <c r="AQ110" s="75">
        <v>31.45</v>
      </c>
      <c r="AR110" s="75">
        <v>26.79</v>
      </c>
      <c r="AS110" s="75">
        <v>7.98</v>
      </c>
      <c r="AT110" s="75">
        <v>9.49</v>
      </c>
      <c r="AU110" s="75">
        <v>9.82</v>
      </c>
      <c r="AV110" s="75">
        <v>36.51</v>
      </c>
      <c r="AW110" s="75">
        <v>52.73</v>
      </c>
      <c r="AX110" s="75">
        <v>25.14</v>
      </c>
      <c r="AY110" s="75">
        <v>8.33</v>
      </c>
      <c r="AZ110" s="75">
        <v>9.33</v>
      </c>
      <c r="BA110" s="75">
        <v>9.75</v>
      </c>
      <c r="BB110" s="75">
        <v>38.64</v>
      </c>
      <c r="BC110" s="75">
        <v>36.57</v>
      </c>
      <c r="BD110" s="75"/>
      <c r="CH110"/>
    </row>
    <row r="111" spans="2:88" ht="15" customHeight="1" x14ac:dyDescent="0.25">
      <c r="B111" s="28" t="s">
        <v>125</v>
      </c>
      <c r="C111" s="7" t="s">
        <v>204</v>
      </c>
      <c r="D111" s="58">
        <f t="shared" si="13"/>
        <v>128.70908258</v>
      </c>
      <c r="E111" s="58">
        <v>93.238930440000004</v>
      </c>
      <c r="F111" s="58">
        <v>87.2202482</v>
      </c>
      <c r="G111" s="58">
        <v>79.439188239999993</v>
      </c>
      <c r="H111" s="58">
        <v>75.030717269999997</v>
      </c>
      <c r="I111" s="58">
        <v>83.521517599999996</v>
      </c>
      <c r="J111" s="58">
        <v>1067.9311551000001</v>
      </c>
      <c r="K111" s="58">
        <v>1136.1080926</v>
      </c>
      <c r="L111" s="58">
        <v>63.78</v>
      </c>
      <c r="M111" s="58">
        <v>74.78</v>
      </c>
      <c r="N111" s="58">
        <v>99.61</v>
      </c>
      <c r="O111" s="58">
        <v>100.29</v>
      </c>
      <c r="P111" s="58">
        <v>104.51</v>
      </c>
      <c r="Q111" s="58">
        <v>107.8</v>
      </c>
      <c r="R111" s="58">
        <v>99.39</v>
      </c>
      <c r="S111" s="58">
        <v>88.58</v>
      </c>
      <c r="T111" s="58">
        <v>78.489999999999995</v>
      </c>
      <c r="U111" s="58">
        <v>86.8</v>
      </c>
      <c r="V111" s="58">
        <v>91.17</v>
      </c>
      <c r="W111" s="58">
        <v>119.96</v>
      </c>
      <c r="X111" s="58">
        <v>64.52</v>
      </c>
      <c r="Y111" s="58">
        <v>60.87</v>
      </c>
      <c r="Z111" s="58">
        <v>45.5</v>
      </c>
      <c r="AA111" s="58">
        <v>71.06</v>
      </c>
      <c r="AB111" s="58">
        <v>88.58</v>
      </c>
      <c r="AC111" s="58">
        <v>94.88</v>
      </c>
      <c r="AD111" s="58">
        <v>87.22</v>
      </c>
      <c r="AE111" s="58">
        <v>75.28</v>
      </c>
      <c r="AF111" s="58">
        <v>76.010000000000005</v>
      </c>
      <c r="AG111" s="58">
        <v>87.59</v>
      </c>
      <c r="AH111" s="58">
        <v>92.33</v>
      </c>
      <c r="AI111" s="58">
        <v>98.63</v>
      </c>
      <c r="AJ111" s="58">
        <v>72.680000000000007</v>
      </c>
      <c r="AK111" s="58">
        <v>64.739999999999995</v>
      </c>
      <c r="AL111" s="58">
        <v>59.42</v>
      </c>
      <c r="AM111" s="58">
        <v>92.15</v>
      </c>
      <c r="AN111" s="58">
        <v>99.53</v>
      </c>
      <c r="AO111" s="58">
        <v>107.03</v>
      </c>
      <c r="AP111" s="73">
        <v>100.69</v>
      </c>
      <c r="AQ111" s="75">
        <v>83.72</v>
      </c>
      <c r="AR111" s="75">
        <v>82.59</v>
      </c>
      <c r="AS111" s="75">
        <v>94.6</v>
      </c>
      <c r="AT111" s="75">
        <v>104.72</v>
      </c>
      <c r="AU111" s="75">
        <v>110.99</v>
      </c>
      <c r="AV111" s="75">
        <v>80.83</v>
      </c>
      <c r="AW111" s="75">
        <v>67.81</v>
      </c>
      <c r="AX111" s="75">
        <v>64.209999999999994</v>
      </c>
      <c r="AY111" s="75">
        <v>77.88</v>
      </c>
      <c r="AZ111" s="75">
        <v>85.07</v>
      </c>
      <c r="BA111" s="75">
        <v>89.77</v>
      </c>
      <c r="BB111" s="75">
        <v>79.099999999999994</v>
      </c>
      <c r="BC111" s="75">
        <v>60.56</v>
      </c>
      <c r="BD111" s="75"/>
      <c r="CH111"/>
    </row>
    <row r="112" spans="2:88" ht="15" customHeight="1" x14ac:dyDescent="0.25">
      <c r="B112" s="7" t="s">
        <v>205</v>
      </c>
      <c r="C112" s="31"/>
      <c r="D112" s="32"/>
      <c r="E112" s="32"/>
      <c r="F112" s="32"/>
      <c r="G112" s="32"/>
      <c r="H112" s="32"/>
      <c r="I112" s="32"/>
      <c r="J112" s="32"/>
      <c r="K112" s="32"/>
      <c r="L112" s="52"/>
      <c r="M112" s="52"/>
      <c r="N112" s="52"/>
      <c r="O112" s="52"/>
      <c r="P112" s="52"/>
      <c r="Q112" s="52"/>
      <c r="R112" s="52"/>
      <c r="S112" s="52"/>
      <c r="T112" s="52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52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1"/>
      <c r="BD112" s="91"/>
      <c r="CH112"/>
    </row>
    <row r="113" spans="1:86" ht="15" customHeight="1" x14ac:dyDescent="0.25">
      <c r="B113" s="26" t="s">
        <v>119</v>
      </c>
      <c r="C113" s="7" t="s">
        <v>206</v>
      </c>
      <c r="D113" s="58">
        <f t="shared" ref="D113" si="14">+D114+D115+D116</f>
        <v>0</v>
      </c>
      <c r="E113" s="58">
        <v>0</v>
      </c>
      <c r="F113" s="58">
        <v>0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0</v>
      </c>
      <c r="M113" s="58">
        <v>0</v>
      </c>
      <c r="N113" s="58">
        <v>0</v>
      </c>
      <c r="O113" s="58">
        <v>0</v>
      </c>
      <c r="P113" s="58">
        <v>0</v>
      </c>
      <c r="Q113" s="58">
        <v>0</v>
      </c>
      <c r="R113" s="58">
        <v>0</v>
      </c>
      <c r="S113" s="58">
        <v>0</v>
      </c>
      <c r="T113" s="58">
        <v>0</v>
      </c>
      <c r="U113" s="68">
        <v>0</v>
      </c>
      <c r="V113" s="68">
        <v>0</v>
      </c>
      <c r="W113" s="68">
        <v>0</v>
      </c>
      <c r="X113" s="68">
        <v>0</v>
      </c>
      <c r="Y113" s="68">
        <v>0</v>
      </c>
      <c r="Z113" s="68">
        <v>0</v>
      </c>
      <c r="AA113" s="68">
        <v>0</v>
      </c>
      <c r="AB113" s="68">
        <v>0</v>
      </c>
      <c r="AC113" s="68">
        <v>0</v>
      </c>
      <c r="AD113" s="68">
        <v>0</v>
      </c>
      <c r="AE113" s="68">
        <v>0</v>
      </c>
      <c r="AF113" s="68">
        <v>0</v>
      </c>
      <c r="AG113" s="68">
        <v>0</v>
      </c>
      <c r="AH113" s="68">
        <v>0</v>
      </c>
      <c r="AI113" s="68">
        <v>0</v>
      </c>
      <c r="AJ113" s="68">
        <v>0</v>
      </c>
      <c r="AK113" s="68">
        <v>0</v>
      </c>
      <c r="AL113" s="68">
        <v>0</v>
      </c>
      <c r="AM113" s="68">
        <v>0</v>
      </c>
      <c r="AN113" s="68">
        <v>0</v>
      </c>
      <c r="AO113" s="68">
        <v>0</v>
      </c>
      <c r="AP113" s="73">
        <v>0</v>
      </c>
      <c r="AQ113" s="75">
        <v>0</v>
      </c>
      <c r="AR113" s="75">
        <v>0</v>
      </c>
      <c r="AS113" s="75">
        <v>0</v>
      </c>
      <c r="AT113" s="75">
        <v>0</v>
      </c>
      <c r="AU113" s="75">
        <v>0</v>
      </c>
      <c r="AV113" s="75">
        <v>0</v>
      </c>
      <c r="AW113" s="75">
        <v>0</v>
      </c>
      <c r="AX113" s="75">
        <v>0</v>
      </c>
      <c r="AY113" s="75">
        <v>0</v>
      </c>
      <c r="AZ113" s="75">
        <v>0</v>
      </c>
      <c r="BA113" s="75">
        <v>0</v>
      </c>
      <c r="BB113" s="75">
        <v>0</v>
      </c>
      <c r="BC113" s="75">
        <v>0</v>
      </c>
      <c r="BD113" s="75"/>
      <c r="CH113"/>
    </row>
    <row r="114" spans="1:86" ht="15" customHeight="1" x14ac:dyDescent="0.25">
      <c r="B114" s="28" t="s">
        <v>121</v>
      </c>
      <c r="C114" s="7" t="s">
        <v>207</v>
      </c>
      <c r="D114" s="58">
        <v>0</v>
      </c>
      <c r="E114" s="58">
        <v>0</v>
      </c>
      <c r="F114" s="58">
        <v>0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0</v>
      </c>
      <c r="M114" s="58">
        <v>0</v>
      </c>
      <c r="N114" s="58">
        <v>0</v>
      </c>
      <c r="O114" s="58">
        <v>0</v>
      </c>
      <c r="P114" s="58">
        <v>0</v>
      </c>
      <c r="Q114" s="58">
        <v>0</v>
      </c>
      <c r="R114" s="58">
        <v>0</v>
      </c>
      <c r="S114" s="58">
        <v>0</v>
      </c>
      <c r="T114" s="58">
        <v>0</v>
      </c>
      <c r="U114" s="68">
        <v>0</v>
      </c>
      <c r="V114" s="68">
        <v>0</v>
      </c>
      <c r="W114" s="68">
        <v>0</v>
      </c>
      <c r="X114" s="68">
        <v>0</v>
      </c>
      <c r="Y114" s="68">
        <v>0</v>
      </c>
      <c r="Z114" s="68">
        <v>0</v>
      </c>
      <c r="AA114" s="68">
        <v>0</v>
      </c>
      <c r="AB114" s="68">
        <v>0</v>
      </c>
      <c r="AC114" s="68">
        <v>0</v>
      </c>
      <c r="AD114" s="68">
        <v>0</v>
      </c>
      <c r="AE114" s="68">
        <v>0</v>
      </c>
      <c r="AF114" s="68">
        <v>0</v>
      </c>
      <c r="AG114" s="68">
        <v>0</v>
      </c>
      <c r="AH114" s="68">
        <v>0</v>
      </c>
      <c r="AI114" s="68">
        <v>0</v>
      </c>
      <c r="AJ114" s="68">
        <v>0</v>
      </c>
      <c r="AK114" s="68">
        <v>0</v>
      </c>
      <c r="AL114" s="68">
        <v>0</v>
      </c>
      <c r="AM114" s="68">
        <v>0</v>
      </c>
      <c r="AN114" s="68">
        <v>0</v>
      </c>
      <c r="AO114" s="68">
        <v>0</v>
      </c>
      <c r="AP114" s="73">
        <v>0</v>
      </c>
      <c r="AQ114" s="75">
        <v>0</v>
      </c>
      <c r="AR114" s="75">
        <v>0</v>
      </c>
      <c r="AS114" s="75">
        <v>0</v>
      </c>
      <c r="AT114" s="75">
        <v>0</v>
      </c>
      <c r="AU114" s="75">
        <v>0</v>
      </c>
      <c r="AV114" s="75">
        <v>0</v>
      </c>
      <c r="AW114" s="75">
        <v>0</v>
      </c>
      <c r="AX114" s="75">
        <v>0</v>
      </c>
      <c r="AY114" s="75">
        <v>0</v>
      </c>
      <c r="AZ114" s="75">
        <v>0</v>
      </c>
      <c r="BA114" s="75">
        <v>0</v>
      </c>
      <c r="BB114" s="75">
        <v>0</v>
      </c>
      <c r="BC114" s="75">
        <v>0</v>
      </c>
      <c r="BD114" s="75"/>
      <c r="CH114"/>
    </row>
    <row r="115" spans="1:86" ht="15" customHeight="1" x14ac:dyDescent="0.25">
      <c r="B115" s="29" t="s">
        <v>123</v>
      </c>
      <c r="C115" s="7" t="s">
        <v>208</v>
      </c>
      <c r="D115" s="58">
        <v>0</v>
      </c>
      <c r="E115" s="58">
        <v>0</v>
      </c>
      <c r="F115" s="58">
        <v>0</v>
      </c>
      <c r="G115" s="58">
        <v>0</v>
      </c>
      <c r="H115" s="58">
        <v>0</v>
      </c>
      <c r="I115" s="58">
        <v>0</v>
      </c>
      <c r="J115" s="58">
        <v>0</v>
      </c>
      <c r="K115" s="58">
        <v>0</v>
      </c>
      <c r="L115" s="58">
        <v>0</v>
      </c>
      <c r="M115" s="58">
        <v>0</v>
      </c>
      <c r="N115" s="58">
        <v>0</v>
      </c>
      <c r="O115" s="58">
        <v>0</v>
      </c>
      <c r="P115" s="58">
        <v>0</v>
      </c>
      <c r="Q115" s="58">
        <v>0</v>
      </c>
      <c r="R115" s="58">
        <v>0</v>
      </c>
      <c r="S115" s="58">
        <v>0</v>
      </c>
      <c r="T115" s="58">
        <v>0</v>
      </c>
      <c r="U115" s="68">
        <v>0</v>
      </c>
      <c r="V115" s="68">
        <v>0</v>
      </c>
      <c r="W115" s="68">
        <v>0</v>
      </c>
      <c r="X115" s="68">
        <v>0</v>
      </c>
      <c r="Y115" s="68">
        <v>0</v>
      </c>
      <c r="Z115" s="68">
        <v>0</v>
      </c>
      <c r="AA115" s="68">
        <v>0</v>
      </c>
      <c r="AB115" s="68">
        <v>0</v>
      </c>
      <c r="AC115" s="68">
        <v>0</v>
      </c>
      <c r="AD115" s="68">
        <v>0</v>
      </c>
      <c r="AE115" s="68">
        <v>0</v>
      </c>
      <c r="AF115" s="68">
        <v>0</v>
      </c>
      <c r="AG115" s="68">
        <v>0</v>
      </c>
      <c r="AH115" s="68">
        <v>0</v>
      </c>
      <c r="AI115" s="68">
        <v>0</v>
      </c>
      <c r="AJ115" s="68">
        <v>0</v>
      </c>
      <c r="AK115" s="68">
        <v>0</v>
      </c>
      <c r="AL115" s="68">
        <v>0</v>
      </c>
      <c r="AM115" s="68">
        <v>0</v>
      </c>
      <c r="AN115" s="68">
        <v>0</v>
      </c>
      <c r="AO115" s="68">
        <v>0</v>
      </c>
      <c r="AP115" s="73">
        <v>0</v>
      </c>
      <c r="AQ115" s="75">
        <v>0</v>
      </c>
      <c r="AR115" s="75">
        <v>0</v>
      </c>
      <c r="AS115" s="75">
        <v>0</v>
      </c>
      <c r="AT115" s="75">
        <v>0</v>
      </c>
      <c r="AU115" s="75">
        <v>0</v>
      </c>
      <c r="AV115" s="75">
        <v>0</v>
      </c>
      <c r="AW115" s="75">
        <v>0</v>
      </c>
      <c r="AX115" s="75">
        <v>0</v>
      </c>
      <c r="AY115" s="75">
        <v>0</v>
      </c>
      <c r="AZ115" s="75">
        <v>0</v>
      </c>
      <c r="BA115" s="75">
        <v>0</v>
      </c>
      <c r="BB115" s="75">
        <v>0</v>
      </c>
      <c r="BC115" s="75">
        <v>0</v>
      </c>
      <c r="BD115" s="75"/>
      <c r="CH115"/>
    </row>
    <row r="116" spans="1:86" ht="15" customHeight="1" x14ac:dyDescent="0.25">
      <c r="B116" s="28" t="s">
        <v>125</v>
      </c>
      <c r="C116" s="7" t="s">
        <v>209</v>
      </c>
      <c r="D116" s="58">
        <v>0</v>
      </c>
      <c r="E116" s="58">
        <v>0</v>
      </c>
      <c r="F116" s="58">
        <v>0</v>
      </c>
      <c r="G116" s="58">
        <v>0</v>
      </c>
      <c r="H116" s="58">
        <v>0</v>
      </c>
      <c r="I116" s="58">
        <v>0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68">
        <v>0</v>
      </c>
      <c r="V116" s="68">
        <v>0</v>
      </c>
      <c r="W116" s="68">
        <v>0</v>
      </c>
      <c r="X116" s="68">
        <v>0</v>
      </c>
      <c r="Y116" s="68">
        <v>0</v>
      </c>
      <c r="Z116" s="68">
        <v>0</v>
      </c>
      <c r="AA116" s="68">
        <v>0</v>
      </c>
      <c r="AB116" s="68">
        <v>0</v>
      </c>
      <c r="AC116" s="68">
        <v>0</v>
      </c>
      <c r="AD116" s="68">
        <v>0</v>
      </c>
      <c r="AE116" s="68">
        <v>0</v>
      </c>
      <c r="AF116" s="68">
        <v>0</v>
      </c>
      <c r="AG116" s="68">
        <v>0</v>
      </c>
      <c r="AH116" s="68">
        <v>0</v>
      </c>
      <c r="AI116" s="68">
        <v>0</v>
      </c>
      <c r="AJ116" s="68">
        <v>0</v>
      </c>
      <c r="AK116" s="68">
        <v>0</v>
      </c>
      <c r="AL116" s="68">
        <v>0</v>
      </c>
      <c r="AM116" s="68">
        <v>0</v>
      </c>
      <c r="AN116" s="68">
        <v>0</v>
      </c>
      <c r="AO116" s="68">
        <v>0</v>
      </c>
      <c r="AP116" s="73">
        <v>0</v>
      </c>
      <c r="AQ116" s="75">
        <v>0</v>
      </c>
      <c r="AR116" s="75">
        <v>0</v>
      </c>
      <c r="AS116" s="75">
        <v>0</v>
      </c>
      <c r="AT116" s="75">
        <v>0</v>
      </c>
      <c r="AU116" s="75">
        <v>0</v>
      </c>
      <c r="AV116" s="75">
        <v>0</v>
      </c>
      <c r="AW116" s="75">
        <v>0</v>
      </c>
      <c r="AX116" s="75">
        <v>0</v>
      </c>
      <c r="AY116" s="75">
        <v>0</v>
      </c>
      <c r="AZ116" s="75">
        <v>0</v>
      </c>
      <c r="BA116" s="75">
        <v>0</v>
      </c>
      <c r="BB116" s="75">
        <v>0</v>
      </c>
      <c r="BC116" s="75">
        <v>0</v>
      </c>
      <c r="BD116" s="75"/>
      <c r="CH116"/>
    </row>
    <row r="117" spans="1:86" ht="15" customHeight="1" x14ac:dyDescent="0.25">
      <c r="B117" s="7" t="s">
        <v>210</v>
      </c>
      <c r="C117" s="31"/>
      <c r="D117" s="32"/>
      <c r="E117" s="32"/>
      <c r="F117" s="32"/>
      <c r="G117" s="32"/>
      <c r="H117" s="32"/>
      <c r="I117" s="32"/>
      <c r="J117" s="32"/>
      <c r="K117" s="32"/>
      <c r="L117" s="52"/>
      <c r="M117" s="52"/>
      <c r="N117" s="52"/>
      <c r="O117" s="52"/>
      <c r="P117" s="52"/>
      <c r="Q117" s="52"/>
      <c r="R117" s="52"/>
      <c r="S117" s="52"/>
      <c r="T117" s="52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5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D117" s="92"/>
      <c r="CH117"/>
    </row>
    <row r="118" spans="1:86" ht="15" customHeight="1" x14ac:dyDescent="0.25">
      <c r="B118" s="26" t="s">
        <v>119</v>
      </c>
      <c r="C118" s="7" t="s">
        <v>211</v>
      </c>
      <c r="D118" s="58">
        <f>+D119+D120+D121</f>
        <v>2149.6639884482997</v>
      </c>
      <c r="E118" s="58">
        <v>2084.6382662532001</v>
      </c>
      <c r="F118" s="58">
        <v>2079.2113922002</v>
      </c>
      <c r="G118" s="58">
        <v>1972.4103778939</v>
      </c>
      <c r="H118" s="58">
        <v>2075.5937819096998</v>
      </c>
      <c r="I118" s="58">
        <v>1998.9510495292998</v>
      </c>
      <c r="J118" s="58">
        <v>2199.9971497028</v>
      </c>
      <c r="K118" s="58">
        <v>2166.8445018713001</v>
      </c>
      <c r="L118" s="58">
        <v>1027.2909259788</v>
      </c>
      <c r="M118" s="58">
        <v>911.93681270809998</v>
      </c>
      <c r="N118" s="58">
        <v>910.32198486899995</v>
      </c>
      <c r="O118" s="60">
        <v>953.48690690621493</v>
      </c>
      <c r="P118" s="60">
        <v>928.41746223283906</v>
      </c>
      <c r="Q118" s="60">
        <v>1135.53</v>
      </c>
      <c r="R118" s="60">
        <v>1762.5772907108001</v>
      </c>
      <c r="S118" s="60">
        <v>1809.5803248887701</v>
      </c>
      <c r="T118" s="60">
        <v>1767.02883018947</v>
      </c>
      <c r="U118" s="60">
        <v>1624.1865271659501</v>
      </c>
      <c r="V118" s="60">
        <v>1450.1627684170501</v>
      </c>
      <c r="W118" s="60">
        <v>1632.7782126975701</v>
      </c>
      <c r="X118" s="60">
        <v>1513.8938928886901</v>
      </c>
      <c r="Y118" s="60">
        <v>1650.8243420092101</v>
      </c>
      <c r="Z118" s="60">
        <v>1566.6892815220599</v>
      </c>
      <c r="AA118" s="60">
        <v>1557.66458031822</v>
      </c>
      <c r="AB118" s="60">
        <v>1604.88981900559</v>
      </c>
      <c r="AC118" s="60">
        <v>1612.7258539447198</v>
      </c>
      <c r="AD118" s="60">
        <v>1333.354</v>
      </c>
      <c r="AE118" s="60">
        <v>1642.2015397522598</v>
      </c>
      <c r="AF118" s="60">
        <v>1605.25830732035</v>
      </c>
      <c r="AG118" s="60">
        <v>1603.0727505245102</v>
      </c>
      <c r="AH118" s="60">
        <v>1591.00328776332</v>
      </c>
      <c r="AI118" s="60">
        <v>1562.6438093526499</v>
      </c>
      <c r="AJ118" s="60">
        <v>1563.3699704788598</v>
      </c>
      <c r="AK118" s="60">
        <v>1541.4062893801201</v>
      </c>
      <c r="AL118" s="60">
        <v>1504.4314249089202</v>
      </c>
      <c r="AM118" s="60">
        <v>1474.5779130870901</v>
      </c>
      <c r="AN118" s="60">
        <v>1556.03685096611</v>
      </c>
      <c r="AO118" s="60">
        <v>1605.34342538091</v>
      </c>
      <c r="AP118" s="74">
        <v>1451.8</v>
      </c>
      <c r="AQ118" s="74">
        <v>1537.1141926207902</v>
      </c>
      <c r="AR118" s="74">
        <v>1566.5388674182998</v>
      </c>
      <c r="AS118" s="74">
        <v>1534.4232576895599</v>
      </c>
      <c r="AT118" s="78">
        <v>1547.92833740436</v>
      </c>
      <c r="AU118" s="78">
        <v>1571.1832237336798</v>
      </c>
      <c r="AV118" s="78">
        <v>1594.6865299999999</v>
      </c>
      <c r="AW118" s="78">
        <v>1553.0080810853799</v>
      </c>
      <c r="AX118" s="78">
        <v>1557.1316721030703</v>
      </c>
      <c r="AY118" s="78">
        <v>1523.96232354325</v>
      </c>
      <c r="AZ118" s="78">
        <v>1506.2889611283497</v>
      </c>
      <c r="BA118" s="78">
        <v>1525.3407577647299</v>
      </c>
      <c r="BB118" s="78">
        <v>1543.96</v>
      </c>
      <c r="BC118" s="78">
        <v>1497.7199999999998</v>
      </c>
      <c r="BD118" s="78"/>
      <c r="CH118"/>
    </row>
    <row r="119" spans="1:86" s="105" customFormat="1" ht="15" customHeight="1" x14ac:dyDescent="0.25">
      <c r="A119" s="95"/>
      <c r="B119" s="96" t="s">
        <v>121</v>
      </c>
      <c r="C119" s="97" t="s">
        <v>212</v>
      </c>
      <c r="D119" s="98">
        <v>2001.9629972183</v>
      </c>
      <c r="E119" s="98">
        <v>1980.2336308731999</v>
      </c>
      <c r="F119" s="98">
        <v>1979.8184861402001</v>
      </c>
      <c r="G119" s="98">
        <v>1870.3409315739</v>
      </c>
      <c r="H119" s="98">
        <v>1969.7694841596999</v>
      </c>
      <c r="I119" s="98">
        <v>1892.1359514492999</v>
      </c>
      <c r="J119" s="98">
        <v>1028.8828431028001</v>
      </c>
      <c r="K119" s="98">
        <v>903.63108147130004</v>
      </c>
      <c r="L119" s="98">
        <v>907.04092597880003</v>
      </c>
      <c r="M119" s="98">
        <v>784.65681270810001</v>
      </c>
      <c r="N119" s="98">
        <v>798.29198486899998</v>
      </c>
      <c r="O119" s="98">
        <v>840.776906906215</v>
      </c>
      <c r="P119" s="98">
        <v>812.62746223283909</v>
      </c>
      <c r="Q119" s="98">
        <v>1013.98</v>
      </c>
      <c r="R119" s="98">
        <v>1649.4072907108</v>
      </c>
      <c r="S119" s="98">
        <v>1693.60032488877</v>
      </c>
      <c r="T119" s="98">
        <v>1660.30883018947</v>
      </c>
      <c r="U119" s="99">
        <v>1525.1465271659501</v>
      </c>
      <c r="V119" s="99">
        <v>1347.76276841705</v>
      </c>
      <c r="W119" s="99">
        <v>1493.08821269757</v>
      </c>
      <c r="X119" s="99">
        <v>1412.3238928886901</v>
      </c>
      <c r="Y119" s="99">
        <v>1542.5743420092101</v>
      </c>
      <c r="Z119" s="99">
        <v>1503.4592815220599</v>
      </c>
      <c r="AA119" s="99">
        <v>1479.6245803182201</v>
      </c>
      <c r="AB119" s="99">
        <v>1505.13981900559</v>
      </c>
      <c r="AC119" s="99">
        <v>1507.24585394472</v>
      </c>
      <c r="AD119" s="99">
        <v>1235.4839999999999</v>
      </c>
      <c r="AE119" s="99">
        <v>1535.8815397522599</v>
      </c>
      <c r="AF119" s="99">
        <v>1508.01830732035</v>
      </c>
      <c r="AG119" s="99">
        <v>1506.5927505245102</v>
      </c>
      <c r="AH119" s="99">
        <v>1487.75328776332</v>
      </c>
      <c r="AI119" s="99">
        <v>1453.8638093526499</v>
      </c>
      <c r="AJ119" s="99">
        <v>1458.3399704788599</v>
      </c>
      <c r="AK119" s="99">
        <v>1428.77628938012</v>
      </c>
      <c r="AL119" s="99">
        <v>1421.3414249089201</v>
      </c>
      <c r="AM119" s="99">
        <v>1373.74791308709</v>
      </c>
      <c r="AN119" s="99">
        <v>1445.6468509661102</v>
      </c>
      <c r="AO119" s="100">
        <v>1486.36342538091</v>
      </c>
      <c r="AP119" s="101">
        <v>1335.12</v>
      </c>
      <c r="AQ119" s="101">
        <v>1421.9441926207901</v>
      </c>
      <c r="AR119" s="102">
        <v>1457.1588674182999</v>
      </c>
      <c r="AS119" s="102">
        <v>1431.84325768956</v>
      </c>
      <c r="AT119" s="103">
        <v>1433.71833740436</v>
      </c>
      <c r="AU119" s="103">
        <v>1450.3732237336799</v>
      </c>
      <c r="AV119" s="103">
        <v>1477.34653</v>
      </c>
      <c r="AW119" s="103">
        <v>1432.4680810853799</v>
      </c>
      <c r="AX119" s="103">
        <v>1467.7816721030702</v>
      </c>
      <c r="AY119" s="103">
        <v>1437.75232354325</v>
      </c>
      <c r="AZ119" s="103">
        <v>1411.8889611283498</v>
      </c>
      <c r="BA119" s="103">
        <v>1425.8207577647299</v>
      </c>
      <c r="BB119" s="104">
        <v>1426.22</v>
      </c>
      <c r="BC119" s="104">
        <v>1400.59</v>
      </c>
      <c r="BD119" s="104"/>
      <c r="CH119" s="95"/>
    </row>
    <row r="120" spans="1:86" ht="15" customHeight="1" x14ac:dyDescent="0.25">
      <c r="B120" s="62" t="s">
        <v>123</v>
      </c>
      <c r="C120" s="7" t="s">
        <v>213</v>
      </c>
      <c r="D120" s="58">
        <v>18.991908650000003</v>
      </c>
      <c r="E120" s="58">
        <v>11.165704940000001</v>
      </c>
      <c r="F120" s="58">
        <v>12.172657859999999</v>
      </c>
      <c r="G120" s="58">
        <v>22.630258079999997</v>
      </c>
      <c r="H120" s="58">
        <v>30.793580479999999</v>
      </c>
      <c r="I120" s="58">
        <v>23.293580479999996</v>
      </c>
      <c r="J120" s="58">
        <v>103.18315150000001</v>
      </c>
      <c r="K120" s="58">
        <v>127.1053278</v>
      </c>
      <c r="L120" s="58">
        <v>56.47</v>
      </c>
      <c r="M120" s="58">
        <v>52.5</v>
      </c>
      <c r="N120" s="58">
        <v>12.42</v>
      </c>
      <c r="O120" s="60">
        <v>12.42</v>
      </c>
      <c r="P120" s="60">
        <v>11.28</v>
      </c>
      <c r="Q120" s="60">
        <v>13.75</v>
      </c>
      <c r="R120" s="60">
        <v>13.78</v>
      </c>
      <c r="S120" s="60">
        <v>27.4</v>
      </c>
      <c r="T120" s="60">
        <v>28.23</v>
      </c>
      <c r="U120" s="69">
        <v>12.24</v>
      </c>
      <c r="V120" s="69">
        <v>11.23</v>
      </c>
      <c r="W120" s="69">
        <v>19.73</v>
      </c>
      <c r="X120" s="69">
        <v>37.049999999999997</v>
      </c>
      <c r="Y120" s="69">
        <v>47.38</v>
      </c>
      <c r="Z120" s="69">
        <v>17.73</v>
      </c>
      <c r="AA120" s="69">
        <v>6.98</v>
      </c>
      <c r="AB120" s="69">
        <v>11.17</v>
      </c>
      <c r="AC120" s="69">
        <v>10.6</v>
      </c>
      <c r="AD120" s="69">
        <v>10.65</v>
      </c>
      <c r="AE120" s="69">
        <v>31.04</v>
      </c>
      <c r="AF120" s="69">
        <v>21.23</v>
      </c>
      <c r="AG120" s="69">
        <v>8.89</v>
      </c>
      <c r="AH120" s="69">
        <v>10.92</v>
      </c>
      <c r="AI120" s="69">
        <v>10.15</v>
      </c>
      <c r="AJ120" s="69">
        <v>32.35</v>
      </c>
      <c r="AK120" s="69">
        <v>47.89</v>
      </c>
      <c r="AL120" s="69">
        <v>23.67</v>
      </c>
      <c r="AM120" s="69">
        <v>8.68</v>
      </c>
      <c r="AN120" s="69">
        <v>10.86</v>
      </c>
      <c r="AO120" s="71">
        <v>11.95</v>
      </c>
      <c r="AP120" s="74">
        <v>15.99</v>
      </c>
      <c r="AQ120" s="74">
        <v>31.45</v>
      </c>
      <c r="AR120" s="74">
        <v>26.79</v>
      </c>
      <c r="AS120" s="74">
        <v>7.98</v>
      </c>
      <c r="AT120" s="72">
        <v>9.49</v>
      </c>
      <c r="AU120" s="72">
        <v>9.82</v>
      </c>
      <c r="AV120" s="78">
        <v>36.51</v>
      </c>
      <c r="AW120" s="72">
        <v>52.73</v>
      </c>
      <c r="AX120" s="72">
        <v>25.14</v>
      </c>
      <c r="AY120" s="72">
        <v>8.33</v>
      </c>
      <c r="AZ120" s="72">
        <v>9.33</v>
      </c>
      <c r="BA120" s="72">
        <v>9.75</v>
      </c>
      <c r="BB120" s="72">
        <v>38.64</v>
      </c>
      <c r="BC120" s="72">
        <v>36.57</v>
      </c>
      <c r="BD120" s="72"/>
      <c r="CH120"/>
    </row>
    <row r="121" spans="1:86" ht="15" customHeight="1" x14ac:dyDescent="0.25">
      <c r="B121" s="61" t="s">
        <v>125</v>
      </c>
      <c r="C121" s="7" t="s">
        <v>214</v>
      </c>
      <c r="D121" s="58">
        <v>128.70908258</v>
      </c>
      <c r="E121" s="58">
        <v>93.238930440000004</v>
      </c>
      <c r="F121" s="58">
        <v>87.2202482</v>
      </c>
      <c r="G121" s="58">
        <v>79.439188239999993</v>
      </c>
      <c r="H121" s="58">
        <v>75.030717269999997</v>
      </c>
      <c r="I121" s="58">
        <v>83.521517599999996</v>
      </c>
      <c r="J121" s="58">
        <v>1067.9311551000001</v>
      </c>
      <c r="K121" s="58">
        <v>1136.1080926</v>
      </c>
      <c r="L121" s="58">
        <v>63.78</v>
      </c>
      <c r="M121" s="58">
        <v>74.78</v>
      </c>
      <c r="N121" s="58">
        <v>99.61</v>
      </c>
      <c r="O121" s="60">
        <v>100.29</v>
      </c>
      <c r="P121" s="60">
        <v>104.51</v>
      </c>
      <c r="Q121" s="60">
        <v>107.8</v>
      </c>
      <c r="R121" s="60">
        <v>99.39</v>
      </c>
      <c r="S121" s="60">
        <v>88.58</v>
      </c>
      <c r="T121" s="60">
        <v>78.489999999999995</v>
      </c>
      <c r="U121" s="69">
        <v>86.8</v>
      </c>
      <c r="V121" s="69">
        <v>91.17</v>
      </c>
      <c r="W121" s="69">
        <v>119.96</v>
      </c>
      <c r="X121" s="69">
        <v>64.52</v>
      </c>
      <c r="Y121" s="69">
        <v>60.87</v>
      </c>
      <c r="Z121" s="69">
        <v>45.5</v>
      </c>
      <c r="AA121" s="69">
        <v>71.06</v>
      </c>
      <c r="AB121" s="69">
        <v>88.58</v>
      </c>
      <c r="AC121" s="69">
        <v>94.88</v>
      </c>
      <c r="AD121" s="69">
        <v>87.22</v>
      </c>
      <c r="AE121" s="69">
        <v>75.28</v>
      </c>
      <c r="AF121" s="69">
        <v>76.010000000000005</v>
      </c>
      <c r="AG121" s="69">
        <v>87.59</v>
      </c>
      <c r="AH121" s="69">
        <v>92.33</v>
      </c>
      <c r="AI121" s="69">
        <v>98.63</v>
      </c>
      <c r="AJ121" s="69">
        <v>72.680000000000007</v>
      </c>
      <c r="AK121" s="69">
        <v>64.739999999999995</v>
      </c>
      <c r="AL121" s="69">
        <v>59.42</v>
      </c>
      <c r="AM121" s="69">
        <v>92.15</v>
      </c>
      <c r="AN121" s="69">
        <v>99.53</v>
      </c>
      <c r="AO121" s="69">
        <v>107.03</v>
      </c>
      <c r="AP121" s="74">
        <v>100.69</v>
      </c>
      <c r="AQ121" s="74">
        <v>83.72</v>
      </c>
      <c r="AR121" s="74">
        <v>82.59</v>
      </c>
      <c r="AS121" s="74">
        <v>94.6</v>
      </c>
      <c r="AT121" s="72">
        <v>104.72</v>
      </c>
      <c r="AU121" s="72">
        <v>110.99</v>
      </c>
      <c r="AV121" s="78">
        <v>80.83</v>
      </c>
      <c r="AW121" s="72">
        <v>67.81</v>
      </c>
      <c r="AX121" s="72">
        <v>64.209999999999994</v>
      </c>
      <c r="AY121" s="72">
        <v>77.88</v>
      </c>
      <c r="AZ121" s="72">
        <v>85.07</v>
      </c>
      <c r="BA121" s="72">
        <v>89.77</v>
      </c>
      <c r="BB121" s="72">
        <v>79.099999999999994</v>
      </c>
      <c r="BC121" s="72">
        <v>60.56</v>
      </c>
      <c r="BD121" s="72"/>
      <c r="CH121"/>
    </row>
    <row r="122" spans="1:86" ht="30" x14ac:dyDescent="0.25">
      <c r="B122" s="7" t="s">
        <v>215</v>
      </c>
      <c r="C122" s="31"/>
      <c r="D122" s="32"/>
      <c r="E122" s="32"/>
      <c r="F122" s="32"/>
      <c r="G122" s="32"/>
      <c r="H122" s="32"/>
      <c r="I122" s="32"/>
      <c r="J122" s="32"/>
      <c r="K122" s="32"/>
      <c r="L122" s="52"/>
      <c r="M122" s="52"/>
      <c r="N122" s="52"/>
      <c r="O122" s="52"/>
      <c r="P122" s="52"/>
      <c r="Q122" s="52"/>
      <c r="R122" s="52"/>
      <c r="S122" s="52"/>
      <c r="T122" s="52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  <c r="AS122" s="89"/>
      <c r="AT122" s="89"/>
      <c r="AU122" s="89"/>
      <c r="AV122" s="89"/>
      <c r="AW122" s="89"/>
      <c r="AX122" s="89"/>
      <c r="AY122" s="89"/>
      <c r="AZ122" s="89"/>
      <c r="BA122" s="89"/>
      <c r="BB122" s="89"/>
      <c r="BC122" s="89"/>
      <c r="BD122" s="89"/>
      <c r="CH122"/>
    </row>
    <row r="123" spans="1:86" ht="15" customHeight="1" x14ac:dyDescent="0.25">
      <c r="B123" s="33" t="s">
        <v>119</v>
      </c>
      <c r="C123" s="7" t="s">
        <v>216</v>
      </c>
      <c r="D123" s="14"/>
      <c r="E123" s="14"/>
      <c r="F123" s="14"/>
      <c r="G123" s="14"/>
      <c r="H123" s="14"/>
      <c r="I123" s="14"/>
      <c r="J123" s="14"/>
      <c r="K123" s="14"/>
      <c r="L123" s="53"/>
      <c r="M123" s="53"/>
      <c r="N123" s="53"/>
      <c r="O123" s="53"/>
      <c r="P123" s="53"/>
      <c r="Q123" s="53"/>
      <c r="R123" s="53"/>
      <c r="S123" s="53"/>
      <c r="T123" s="53"/>
      <c r="CH123"/>
    </row>
    <row r="124" spans="1:86" ht="15.75" x14ac:dyDescent="0.25">
      <c r="B124" s="18" t="s">
        <v>217</v>
      </c>
      <c r="C124" s="34"/>
      <c r="D124" s="32"/>
      <c r="E124" s="32"/>
      <c r="F124" s="32"/>
      <c r="G124" s="32"/>
      <c r="H124" s="32"/>
      <c r="I124" s="32"/>
      <c r="J124" s="32"/>
      <c r="K124" s="32"/>
      <c r="L124" s="54"/>
      <c r="M124" s="54"/>
      <c r="N124" s="54"/>
      <c r="O124" s="54"/>
      <c r="P124" s="54"/>
      <c r="Q124" s="54"/>
      <c r="R124" s="54"/>
      <c r="S124" s="54"/>
      <c r="T124" s="54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90"/>
      <c r="AW124" s="90"/>
      <c r="AX124" s="90"/>
      <c r="AY124" s="90"/>
      <c r="AZ124" s="90"/>
      <c r="BA124" s="90"/>
      <c r="BB124" s="90"/>
      <c r="BC124" s="90"/>
      <c r="BD124" s="90"/>
      <c r="CH124"/>
    </row>
    <row r="125" spans="1:86" ht="15" customHeight="1" x14ac:dyDescent="0.25">
      <c r="B125" s="26" t="s">
        <v>119</v>
      </c>
      <c r="C125" s="7" t="s">
        <v>218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  <c r="BD125" s="70"/>
      <c r="CH125"/>
    </row>
    <row r="126" spans="1:86" ht="15" customHeight="1" x14ac:dyDescent="0.25">
      <c r="B126" s="28" t="s">
        <v>121</v>
      </c>
      <c r="C126" s="7" t="s">
        <v>219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CH126"/>
    </row>
    <row r="127" spans="1:86" ht="15" customHeight="1" x14ac:dyDescent="0.25">
      <c r="B127" s="29" t="s">
        <v>123</v>
      </c>
      <c r="C127" s="7" t="s">
        <v>220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CH127"/>
    </row>
    <row r="128" spans="1:86" ht="15" customHeight="1" x14ac:dyDescent="0.25">
      <c r="B128" s="28" t="s">
        <v>125</v>
      </c>
      <c r="C128" s="7" t="s">
        <v>221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CH128"/>
    </row>
    <row r="129" spans="2:86" ht="30" x14ac:dyDescent="0.25">
      <c r="B129" s="7" t="s">
        <v>222</v>
      </c>
      <c r="C129" s="31"/>
      <c r="D129" s="32"/>
      <c r="E129" s="32"/>
      <c r="F129" s="32"/>
      <c r="G129" s="32"/>
      <c r="H129" s="32"/>
      <c r="I129" s="32"/>
      <c r="J129" s="32"/>
      <c r="K129" s="32"/>
      <c r="L129" s="52"/>
      <c r="M129" s="52"/>
      <c r="N129" s="52"/>
      <c r="O129" s="52"/>
      <c r="P129" s="52"/>
      <c r="Q129" s="52"/>
      <c r="R129" s="52"/>
      <c r="S129" s="52"/>
      <c r="T129" s="52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  <c r="AS129" s="89"/>
      <c r="AT129" s="89"/>
      <c r="AU129" s="89"/>
      <c r="AV129" s="89"/>
      <c r="AW129" s="89"/>
      <c r="AX129" s="89"/>
      <c r="AY129" s="89"/>
      <c r="AZ129" s="89"/>
      <c r="BA129" s="89"/>
      <c r="BB129" s="89"/>
      <c r="BC129" s="89"/>
      <c r="BD129" s="89"/>
      <c r="CH129"/>
    </row>
    <row r="130" spans="2:86" ht="15" customHeight="1" x14ac:dyDescent="0.25">
      <c r="B130" s="26" t="s">
        <v>119</v>
      </c>
      <c r="C130" s="7" t="s">
        <v>223</v>
      </c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  <c r="BC130" s="66"/>
      <c r="BD130" s="66"/>
      <c r="CH130"/>
    </row>
    <row r="131" spans="2:86" ht="15" customHeight="1" x14ac:dyDescent="0.25">
      <c r="B131" s="28" t="s">
        <v>121</v>
      </c>
      <c r="C131" s="7" t="s">
        <v>224</v>
      </c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  <c r="BC131" s="66"/>
      <c r="BD131" s="66"/>
      <c r="CH131"/>
    </row>
    <row r="132" spans="2:86" ht="15" customHeight="1" x14ac:dyDescent="0.25">
      <c r="B132" s="29" t="s">
        <v>123</v>
      </c>
      <c r="C132" s="7" t="s">
        <v>225</v>
      </c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  <c r="AW132" s="66"/>
      <c r="AX132" s="66"/>
      <c r="AY132" s="66"/>
      <c r="AZ132" s="66"/>
      <c r="BA132" s="66"/>
      <c r="BB132" s="66"/>
      <c r="BC132" s="66"/>
      <c r="BD132" s="66"/>
      <c r="CH132"/>
    </row>
    <row r="133" spans="2:86" ht="15" customHeight="1" x14ac:dyDescent="0.25">
      <c r="B133" s="28" t="s">
        <v>125</v>
      </c>
      <c r="C133" s="7" t="s">
        <v>226</v>
      </c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6"/>
      <c r="AX133" s="66"/>
      <c r="AY133" s="66"/>
      <c r="AZ133" s="66"/>
      <c r="BA133" s="66"/>
      <c r="BB133" s="66"/>
      <c r="BC133" s="66"/>
      <c r="BD133" s="66"/>
      <c r="CH133"/>
    </row>
    <row r="134" spans="2:86" ht="15" customHeight="1" x14ac:dyDescent="0.25">
      <c r="B134" s="35" t="s">
        <v>227</v>
      </c>
      <c r="C134" s="31"/>
      <c r="D134" s="32"/>
      <c r="E134" s="32"/>
      <c r="F134" s="32"/>
      <c r="G134" s="32"/>
      <c r="H134" s="32"/>
      <c r="I134" s="32"/>
      <c r="J134" s="32"/>
      <c r="K134" s="32"/>
      <c r="L134" s="52"/>
      <c r="M134" s="52"/>
      <c r="N134" s="52"/>
      <c r="O134" s="52"/>
      <c r="P134" s="52"/>
      <c r="Q134" s="52"/>
      <c r="R134" s="52"/>
      <c r="S134" s="52"/>
      <c r="T134" s="52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CH134"/>
    </row>
    <row r="135" spans="2:86" ht="15" customHeight="1" x14ac:dyDescent="0.25">
      <c r="B135" s="26" t="s">
        <v>119</v>
      </c>
      <c r="C135" s="7" t="s">
        <v>228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  <c r="BC135" s="66"/>
      <c r="BD135" s="66"/>
      <c r="CH135"/>
    </row>
    <row r="136" spans="2:86" ht="15" customHeight="1" x14ac:dyDescent="0.25">
      <c r="B136" s="28" t="s">
        <v>121</v>
      </c>
      <c r="C136" s="7" t="s">
        <v>229</v>
      </c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6"/>
      <c r="BD136" s="66"/>
      <c r="CH136"/>
    </row>
    <row r="137" spans="2:86" ht="15" customHeight="1" x14ac:dyDescent="0.25">
      <c r="B137" s="29" t="s">
        <v>123</v>
      </c>
      <c r="C137" s="7" t="s">
        <v>230</v>
      </c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66"/>
      <c r="BD137" s="66"/>
      <c r="CH137"/>
    </row>
    <row r="138" spans="2:86" ht="15" customHeight="1" x14ac:dyDescent="0.25">
      <c r="B138" s="28" t="s">
        <v>125</v>
      </c>
      <c r="C138" s="7" t="s">
        <v>231</v>
      </c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6"/>
      <c r="BD138" s="66"/>
      <c r="CH138"/>
    </row>
    <row r="139" spans="2:86" ht="15" customHeight="1" x14ac:dyDescent="0.25">
      <c r="B139" s="35" t="s">
        <v>232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52"/>
      <c r="M139" s="52"/>
      <c r="N139" s="52"/>
      <c r="O139" s="52"/>
      <c r="P139" s="52"/>
      <c r="Q139" s="52"/>
      <c r="R139" s="52"/>
      <c r="S139" s="52"/>
      <c r="T139" s="52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89"/>
      <c r="AR139" s="89"/>
      <c r="AS139" s="89"/>
      <c r="AT139" s="89"/>
      <c r="AU139" s="89"/>
      <c r="AV139" s="89"/>
      <c r="AW139" s="89"/>
      <c r="AX139" s="89"/>
      <c r="AY139" s="89"/>
      <c r="AZ139" s="89"/>
      <c r="BA139" s="89"/>
      <c r="BB139" s="89"/>
      <c r="BC139" s="89"/>
      <c r="BD139" s="89"/>
      <c r="CH139"/>
    </row>
    <row r="140" spans="2:86" ht="15" customHeight="1" x14ac:dyDescent="0.25">
      <c r="B140" s="26" t="s">
        <v>119</v>
      </c>
      <c r="C140" s="7" t="s">
        <v>233</v>
      </c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66"/>
      <c r="BD140" s="66"/>
      <c r="CH140"/>
    </row>
    <row r="141" spans="2:86" ht="15" customHeight="1" x14ac:dyDescent="0.25">
      <c r="B141" s="28" t="s">
        <v>121</v>
      </c>
      <c r="C141" s="7" t="s">
        <v>234</v>
      </c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CH141"/>
    </row>
    <row r="142" spans="2:86" ht="15" customHeight="1" x14ac:dyDescent="0.25">
      <c r="B142" s="29" t="s">
        <v>123</v>
      </c>
      <c r="C142" s="7" t="s">
        <v>235</v>
      </c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  <c r="BD142" s="66"/>
      <c r="CH142"/>
    </row>
    <row r="143" spans="2:86" ht="15" customHeight="1" x14ac:dyDescent="0.25">
      <c r="B143" s="28" t="s">
        <v>125</v>
      </c>
      <c r="C143" s="7" t="s">
        <v>236</v>
      </c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CH143"/>
    </row>
    <row r="144" spans="2:86" ht="15" customHeight="1" x14ac:dyDescent="0.25">
      <c r="B144" s="35" t="s">
        <v>237</v>
      </c>
      <c r="C144" s="31"/>
      <c r="D144" s="32"/>
      <c r="E144" s="32"/>
      <c r="F144" s="32"/>
      <c r="G144" s="32"/>
      <c r="H144" s="32"/>
      <c r="I144" s="32"/>
      <c r="J144" s="32"/>
      <c r="K144" s="32"/>
      <c r="L144" s="52"/>
      <c r="M144" s="52"/>
      <c r="N144" s="52"/>
      <c r="O144" s="52"/>
      <c r="P144" s="52"/>
      <c r="Q144" s="52"/>
      <c r="R144" s="52"/>
      <c r="S144" s="52"/>
      <c r="T144" s="52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  <c r="AP144" s="89"/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CH144"/>
    </row>
    <row r="145" spans="2:88" ht="15" customHeight="1" x14ac:dyDescent="0.25">
      <c r="B145" s="26" t="s">
        <v>119</v>
      </c>
      <c r="C145" s="7" t="s">
        <v>238</v>
      </c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  <c r="AZ145" s="66"/>
      <c r="BA145" s="66"/>
      <c r="BB145" s="66"/>
      <c r="BC145" s="66"/>
      <c r="BD145" s="66"/>
      <c r="CH145"/>
    </row>
    <row r="146" spans="2:88" ht="15" customHeight="1" x14ac:dyDescent="0.25">
      <c r="B146" s="28" t="s">
        <v>121</v>
      </c>
      <c r="C146" s="7" t="s">
        <v>239</v>
      </c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/>
      <c r="BB146" s="66"/>
      <c r="BC146" s="66"/>
      <c r="BD146" s="66"/>
      <c r="CH146"/>
    </row>
    <row r="147" spans="2:88" ht="15" customHeight="1" x14ac:dyDescent="0.25">
      <c r="B147" s="29" t="s">
        <v>123</v>
      </c>
      <c r="C147" s="7" t="s">
        <v>240</v>
      </c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/>
      <c r="BC147" s="66"/>
      <c r="BD147" s="66"/>
      <c r="CH147"/>
    </row>
    <row r="148" spans="2:88" ht="15" customHeight="1" x14ac:dyDescent="0.25">
      <c r="B148" s="28" t="s">
        <v>125</v>
      </c>
      <c r="C148" s="7" t="s">
        <v>241</v>
      </c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66"/>
      <c r="BD148" s="66"/>
      <c r="CJ148" s="20"/>
    </row>
    <row r="149" spans="2:88" ht="15" customHeight="1" x14ac:dyDescent="0.25">
      <c r="B149" s="35" t="s">
        <v>242</v>
      </c>
      <c r="C149" s="31"/>
      <c r="D149" s="32"/>
      <c r="E149" s="32"/>
      <c r="F149" s="32"/>
      <c r="G149" s="32"/>
      <c r="H149" s="32"/>
      <c r="I149" s="32"/>
      <c r="J149" s="32"/>
      <c r="K149" s="32"/>
      <c r="L149" s="52"/>
      <c r="M149" s="52"/>
      <c r="N149" s="52"/>
      <c r="O149" s="52"/>
      <c r="P149" s="52"/>
      <c r="Q149" s="52"/>
      <c r="R149" s="52"/>
      <c r="S149" s="52"/>
      <c r="T149" s="52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  <c r="AP149" s="89"/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CJ149" s="20"/>
    </row>
    <row r="150" spans="2:88" ht="15" customHeight="1" x14ac:dyDescent="0.25">
      <c r="B150" s="26" t="s">
        <v>119</v>
      </c>
      <c r="C150" s="7" t="s">
        <v>243</v>
      </c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CJ150" s="20"/>
    </row>
    <row r="151" spans="2:88" ht="15" customHeight="1" x14ac:dyDescent="0.25">
      <c r="B151" s="28" t="s">
        <v>121</v>
      </c>
      <c r="C151" s="7" t="s">
        <v>244</v>
      </c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66"/>
      <c r="BD151" s="66"/>
      <c r="CJ151" s="20"/>
    </row>
    <row r="152" spans="2:88" ht="15" customHeight="1" x14ac:dyDescent="0.25">
      <c r="B152" s="29" t="s">
        <v>123</v>
      </c>
      <c r="C152" s="7" t="s">
        <v>245</v>
      </c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  <c r="AZ152" s="66"/>
      <c r="BA152" s="66"/>
      <c r="BB152" s="66"/>
      <c r="BC152" s="66"/>
      <c r="BD152" s="66"/>
      <c r="CJ152" s="20"/>
    </row>
    <row r="153" spans="2:88" ht="15" customHeight="1" x14ac:dyDescent="0.25">
      <c r="B153" s="28" t="s">
        <v>125</v>
      </c>
      <c r="C153" s="7" t="s">
        <v>246</v>
      </c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  <c r="AZ153" s="66"/>
      <c r="BA153" s="66"/>
      <c r="BB153" s="66"/>
      <c r="BC153" s="66"/>
      <c r="BD153" s="66"/>
      <c r="CJ153" s="20"/>
    </row>
    <row r="154" spans="2:88" ht="30" x14ac:dyDescent="0.25">
      <c r="B154" s="7" t="s">
        <v>247</v>
      </c>
      <c r="C154" s="31"/>
      <c r="D154" s="32"/>
      <c r="E154" s="32"/>
      <c r="F154" s="32"/>
      <c r="G154" s="32"/>
      <c r="H154" s="32"/>
      <c r="I154" s="32"/>
      <c r="J154" s="32"/>
      <c r="K154" s="32"/>
      <c r="L154" s="52"/>
      <c r="M154" s="52"/>
      <c r="N154" s="52"/>
      <c r="O154" s="52"/>
      <c r="P154" s="52"/>
      <c r="Q154" s="52"/>
      <c r="R154" s="52"/>
      <c r="S154" s="52"/>
      <c r="T154" s="52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  <c r="AP154" s="89"/>
      <c r="AQ154" s="89"/>
      <c r="AR154" s="89"/>
      <c r="AS154" s="89"/>
      <c r="AT154" s="89"/>
      <c r="AU154" s="89"/>
      <c r="AV154" s="89"/>
      <c r="AW154" s="89"/>
      <c r="AX154" s="89"/>
      <c r="AY154" s="89"/>
      <c r="AZ154" s="89"/>
      <c r="BA154" s="89"/>
      <c r="BB154" s="89"/>
      <c r="BC154" s="89"/>
      <c r="BD154" s="89"/>
      <c r="CJ154" s="20"/>
    </row>
    <row r="155" spans="2:88" ht="15" customHeight="1" x14ac:dyDescent="0.25">
      <c r="B155" s="26" t="s">
        <v>119</v>
      </c>
      <c r="C155" s="7" t="s">
        <v>248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  <c r="BD155" s="66"/>
      <c r="CJ155" s="20"/>
    </row>
    <row r="156" spans="2:88" ht="15" customHeight="1" x14ac:dyDescent="0.25">
      <c r="B156" s="28" t="s">
        <v>121</v>
      </c>
      <c r="C156" s="7" t="s">
        <v>249</v>
      </c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CJ156" s="20"/>
    </row>
    <row r="157" spans="2:88" ht="15" customHeight="1" x14ac:dyDescent="0.25">
      <c r="B157" s="29" t="s">
        <v>123</v>
      </c>
      <c r="C157" s="7" t="s">
        <v>250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6"/>
      <c r="AW157" s="66"/>
      <c r="AX157" s="66"/>
      <c r="AY157" s="66"/>
      <c r="AZ157" s="66"/>
      <c r="BA157" s="66"/>
      <c r="BB157" s="66"/>
      <c r="BC157" s="66"/>
      <c r="BD157" s="66"/>
      <c r="CJ157" s="20"/>
    </row>
    <row r="158" spans="2:88" ht="15" customHeight="1" x14ac:dyDescent="0.25">
      <c r="B158" s="28" t="s">
        <v>125</v>
      </c>
      <c r="C158" s="7" t="s">
        <v>251</v>
      </c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  <c r="BD158" s="66"/>
      <c r="CJ158" s="20"/>
    </row>
    <row r="159" spans="2:88" ht="30" x14ac:dyDescent="0.25">
      <c r="B159" s="7" t="s">
        <v>252</v>
      </c>
      <c r="C159" s="31"/>
      <c r="D159" s="32"/>
      <c r="E159" s="32"/>
      <c r="F159" s="32"/>
      <c r="G159" s="32"/>
      <c r="H159" s="32"/>
      <c r="I159" s="32"/>
      <c r="J159" s="32"/>
      <c r="K159" s="32"/>
      <c r="L159" s="52"/>
      <c r="M159" s="52"/>
      <c r="N159" s="52"/>
      <c r="O159" s="52"/>
      <c r="P159" s="52"/>
      <c r="Q159" s="52"/>
      <c r="R159" s="52"/>
      <c r="S159" s="52"/>
      <c r="T159" s="52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  <c r="AP159" s="89"/>
      <c r="AQ159" s="89"/>
      <c r="AR159" s="89"/>
      <c r="AS159" s="89"/>
      <c r="AT159" s="89"/>
      <c r="AU159" s="89"/>
      <c r="AV159" s="89"/>
      <c r="AW159" s="89"/>
      <c r="AX159" s="89"/>
      <c r="AY159" s="89"/>
      <c r="AZ159" s="89"/>
      <c r="BA159" s="89"/>
      <c r="BB159" s="89"/>
      <c r="BC159" s="89"/>
      <c r="BD159" s="89"/>
      <c r="CJ159" s="20"/>
    </row>
    <row r="160" spans="2:88" ht="15" customHeight="1" x14ac:dyDescent="0.25">
      <c r="B160" s="26" t="s">
        <v>119</v>
      </c>
      <c r="C160" s="7" t="s">
        <v>253</v>
      </c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6"/>
      <c r="BB160" s="66"/>
      <c r="BC160" s="66"/>
      <c r="BD160" s="66"/>
      <c r="CJ160" s="20"/>
    </row>
    <row r="161" spans="2:88" ht="15" customHeight="1" x14ac:dyDescent="0.25">
      <c r="B161" s="28" t="s">
        <v>121</v>
      </c>
      <c r="C161" s="7" t="s">
        <v>254</v>
      </c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  <c r="AZ161" s="66"/>
      <c r="BA161" s="66"/>
      <c r="BB161" s="66"/>
      <c r="BC161" s="66"/>
      <c r="BD161" s="66"/>
      <c r="CJ161" s="20"/>
    </row>
    <row r="162" spans="2:88" ht="15" customHeight="1" x14ac:dyDescent="0.25">
      <c r="B162" s="29" t="s">
        <v>123</v>
      </c>
      <c r="C162" s="7" t="s">
        <v>255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6"/>
      <c r="BD162" s="66"/>
      <c r="CJ162" s="20"/>
    </row>
    <row r="163" spans="2:88" ht="15" customHeight="1" x14ac:dyDescent="0.25">
      <c r="B163" s="28" t="s">
        <v>125</v>
      </c>
      <c r="C163" s="7" t="s">
        <v>256</v>
      </c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66"/>
      <c r="BD163" s="66"/>
      <c r="CJ163" s="20"/>
    </row>
    <row r="164" spans="2:88" ht="15.75" x14ac:dyDescent="0.25">
      <c r="B164" s="7" t="s">
        <v>257</v>
      </c>
      <c r="C164" s="31"/>
      <c r="D164" s="32"/>
      <c r="E164" s="32"/>
      <c r="F164" s="32"/>
      <c r="G164" s="32"/>
      <c r="H164" s="32"/>
      <c r="I164" s="32"/>
      <c r="J164" s="32"/>
      <c r="K164" s="32"/>
      <c r="L164" s="52"/>
      <c r="M164" s="52"/>
      <c r="N164" s="52"/>
      <c r="O164" s="52"/>
      <c r="P164" s="52"/>
      <c r="Q164" s="52"/>
      <c r="R164" s="52"/>
      <c r="S164" s="52"/>
      <c r="T164" s="52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89"/>
      <c r="AS164" s="89"/>
      <c r="AT164" s="89"/>
      <c r="AU164" s="89"/>
      <c r="AV164" s="89"/>
      <c r="AW164" s="89"/>
      <c r="AX164" s="89"/>
      <c r="AY164" s="89"/>
      <c r="AZ164" s="89"/>
      <c r="BA164" s="89"/>
      <c r="BB164" s="89"/>
      <c r="BC164" s="89"/>
      <c r="BD164" s="89"/>
      <c r="CJ164" s="20"/>
    </row>
    <row r="165" spans="2:88" ht="15" customHeight="1" x14ac:dyDescent="0.25">
      <c r="B165" s="26" t="s">
        <v>119</v>
      </c>
      <c r="C165" s="7" t="s">
        <v>258</v>
      </c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66"/>
      <c r="BD165" s="66"/>
      <c r="CJ165" s="20"/>
    </row>
    <row r="166" spans="2:88" ht="15" customHeight="1" x14ac:dyDescent="0.25">
      <c r="B166" s="28" t="s">
        <v>121</v>
      </c>
      <c r="C166" s="7" t="s">
        <v>259</v>
      </c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6"/>
      <c r="AW166" s="66"/>
      <c r="AX166" s="66"/>
      <c r="AY166" s="66"/>
      <c r="AZ166" s="66"/>
      <c r="BA166" s="66"/>
      <c r="BB166" s="66"/>
      <c r="BC166" s="66"/>
      <c r="BD166" s="66"/>
      <c r="CJ166" s="20"/>
    </row>
    <row r="167" spans="2:88" ht="15" customHeight="1" x14ac:dyDescent="0.25">
      <c r="B167" s="29" t="s">
        <v>123</v>
      </c>
      <c r="C167" s="7" t="s">
        <v>260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6"/>
      <c r="BC167" s="66"/>
      <c r="BD167" s="66"/>
      <c r="CJ167" s="20"/>
    </row>
    <row r="168" spans="2:88" ht="15" customHeight="1" x14ac:dyDescent="0.25">
      <c r="B168" s="28" t="s">
        <v>125</v>
      </c>
      <c r="C168" s="7" t="s">
        <v>261</v>
      </c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66"/>
      <c r="BB168" s="66"/>
      <c r="BC168" s="66"/>
      <c r="BD168" s="66"/>
      <c r="CJ168" s="20"/>
    </row>
    <row r="169" spans="2:88" ht="30" x14ac:dyDescent="0.25">
      <c r="B169" s="7" t="s">
        <v>222</v>
      </c>
      <c r="C169" s="31"/>
      <c r="D169" s="32"/>
      <c r="E169" s="32"/>
      <c r="F169" s="32"/>
      <c r="G169" s="32"/>
      <c r="H169" s="32"/>
      <c r="I169" s="32"/>
      <c r="J169" s="32"/>
      <c r="K169" s="32"/>
      <c r="L169" s="52"/>
      <c r="M169" s="52"/>
      <c r="N169" s="52"/>
      <c r="O169" s="52"/>
      <c r="P169" s="52"/>
      <c r="Q169" s="52"/>
      <c r="R169" s="52"/>
      <c r="S169" s="52"/>
      <c r="T169" s="52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  <c r="AP169" s="89"/>
      <c r="AQ169" s="89"/>
      <c r="AR169" s="89"/>
      <c r="AS169" s="89"/>
      <c r="AT169" s="89"/>
      <c r="AU169" s="89"/>
      <c r="AV169" s="89"/>
      <c r="AW169" s="89"/>
      <c r="AX169" s="89"/>
      <c r="AY169" s="89"/>
      <c r="AZ169" s="89"/>
      <c r="BA169" s="89"/>
      <c r="BB169" s="89"/>
      <c r="BC169" s="89"/>
      <c r="BD169" s="89"/>
      <c r="CJ169" s="20"/>
    </row>
    <row r="170" spans="2:88" ht="15" customHeight="1" x14ac:dyDescent="0.25">
      <c r="B170" s="26" t="s">
        <v>119</v>
      </c>
      <c r="C170" s="7" t="s">
        <v>262</v>
      </c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66"/>
      <c r="BD170" s="66"/>
      <c r="CJ170" s="20"/>
    </row>
    <row r="171" spans="2:88" ht="15" customHeight="1" x14ac:dyDescent="0.25">
      <c r="B171" s="28" t="s">
        <v>121</v>
      </c>
      <c r="C171" s="7" t="s">
        <v>263</v>
      </c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  <c r="AW171" s="66"/>
      <c r="AX171" s="66"/>
      <c r="AY171" s="66"/>
      <c r="AZ171" s="66"/>
      <c r="BA171" s="66"/>
      <c r="BB171" s="66"/>
      <c r="BC171" s="66"/>
      <c r="BD171" s="66"/>
      <c r="CJ171" s="20"/>
    </row>
    <row r="172" spans="2:88" ht="15" customHeight="1" x14ac:dyDescent="0.25">
      <c r="B172" s="29" t="s">
        <v>123</v>
      </c>
      <c r="C172" s="7" t="s">
        <v>264</v>
      </c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  <c r="AW172" s="66"/>
      <c r="AX172" s="66"/>
      <c r="AY172" s="66"/>
      <c r="AZ172" s="66"/>
      <c r="BA172" s="66"/>
      <c r="BB172" s="66"/>
      <c r="BC172" s="66"/>
      <c r="BD172" s="66"/>
      <c r="CJ172" s="20"/>
    </row>
    <row r="173" spans="2:88" ht="15" customHeight="1" x14ac:dyDescent="0.25">
      <c r="B173" s="28" t="s">
        <v>125</v>
      </c>
      <c r="C173" s="7" t="s">
        <v>265</v>
      </c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  <c r="BD173" s="66"/>
      <c r="CJ173" s="20"/>
    </row>
    <row r="174" spans="2:88" ht="15" customHeight="1" x14ac:dyDescent="0.25">
      <c r="B174" s="35" t="s">
        <v>266</v>
      </c>
      <c r="C174" s="31"/>
      <c r="D174" s="32"/>
      <c r="E174" s="32"/>
      <c r="F174" s="32"/>
      <c r="G174" s="32"/>
      <c r="H174" s="32"/>
      <c r="I174" s="32"/>
      <c r="J174" s="32"/>
      <c r="K174" s="32"/>
      <c r="L174" s="52"/>
      <c r="M174" s="52"/>
      <c r="N174" s="52"/>
      <c r="O174" s="52"/>
      <c r="P174" s="52"/>
      <c r="Q174" s="52"/>
      <c r="R174" s="52"/>
      <c r="S174" s="52"/>
      <c r="T174" s="52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O174" s="89"/>
      <c r="AP174" s="89"/>
      <c r="AQ174" s="89"/>
      <c r="AR174" s="89"/>
      <c r="AS174" s="89"/>
      <c r="AT174" s="89"/>
      <c r="AU174" s="89"/>
      <c r="AV174" s="89"/>
      <c r="AW174" s="89"/>
      <c r="AX174" s="89"/>
      <c r="AY174" s="89"/>
      <c r="AZ174" s="89"/>
      <c r="BA174" s="89"/>
      <c r="BB174" s="89"/>
      <c r="BC174" s="89"/>
      <c r="BD174" s="89"/>
      <c r="CJ174" s="20"/>
    </row>
    <row r="175" spans="2:88" ht="15" customHeight="1" x14ac:dyDescent="0.25">
      <c r="B175" s="26" t="s">
        <v>119</v>
      </c>
      <c r="C175" s="7" t="s">
        <v>267</v>
      </c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6"/>
      <c r="BD175" s="66"/>
      <c r="CJ175" s="20"/>
    </row>
    <row r="176" spans="2:88" ht="15" customHeight="1" x14ac:dyDescent="0.25">
      <c r="B176" s="28" t="s">
        <v>121</v>
      </c>
      <c r="C176" s="7" t="s">
        <v>268</v>
      </c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6"/>
      <c r="BB176" s="66"/>
      <c r="BC176" s="66"/>
      <c r="BD176" s="66"/>
      <c r="CJ176" s="20"/>
    </row>
    <row r="177" spans="2:88" ht="15" customHeight="1" x14ac:dyDescent="0.25">
      <c r="B177" s="29" t="s">
        <v>123</v>
      </c>
      <c r="C177" s="7" t="s">
        <v>269</v>
      </c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CJ177" s="20"/>
    </row>
    <row r="178" spans="2:88" ht="15" customHeight="1" x14ac:dyDescent="0.25">
      <c r="B178" s="28" t="s">
        <v>125</v>
      </c>
      <c r="C178" s="7" t="s">
        <v>270</v>
      </c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  <c r="AZ178" s="66"/>
      <c r="BA178" s="66"/>
      <c r="BB178" s="66"/>
      <c r="BC178" s="66"/>
      <c r="BD178" s="66"/>
      <c r="CJ178" s="20"/>
    </row>
    <row r="179" spans="2:88" ht="15" customHeight="1" x14ac:dyDescent="0.25">
      <c r="B179" s="35" t="s">
        <v>271</v>
      </c>
      <c r="C179" s="31"/>
      <c r="D179" s="32"/>
      <c r="E179" s="32"/>
      <c r="F179" s="32"/>
      <c r="G179" s="32"/>
      <c r="H179" s="32"/>
      <c r="I179" s="32"/>
      <c r="J179" s="32"/>
      <c r="K179" s="32"/>
      <c r="L179" s="52"/>
      <c r="M179" s="52"/>
      <c r="N179" s="52"/>
      <c r="O179" s="52"/>
      <c r="P179" s="52"/>
      <c r="Q179" s="52"/>
      <c r="R179" s="52"/>
      <c r="S179" s="52"/>
      <c r="T179" s="52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O179" s="89"/>
      <c r="AP179" s="89"/>
      <c r="AQ179" s="89"/>
      <c r="AR179" s="89"/>
      <c r="AS179" s="89"/>
      <c r="AT179" s="89"/>
      <c r="AU179" s="89"/>
      <c r="AV179" s="89"/>
      <c r="AW179" s="89"/>
      <c r="AX179" s="89"/>
      <c r="AY179" s="89"/>
      <c r="AZ179" s="89"/>
      <c r="BA179" s="89"/>
      <c r="BB179" s="89"/>
      <c r="BC179" s="89"/>
      <c r="BD179" s="89"/>
      <c r="CJ179" s="20"/>
    </row>
    <row r="180" spans="2:88" ht="15" customHeight="1" x14ac:dyDescent="0.25">
      <c r="B180" s="26" t="s">
        <v>119</v>
      </c>
      <c r="C180" s="7" t="s">
        <v>272</v>
      </c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  <c r="AZ180" s="66"/>
      <c r="BA180" s="66"/>
      <c r="BB180" s="66"/>
      <c r="BC180" s="66"/>
      <c r="BD180" s="66"/>
      <c r="CJ180" s="20"/>
    </row>
    <row r="181" spans="2:88" ht="15" customHeight="1" x14ac:dyDescent="0.25">
      <c r="B181" s="28" t="s">
        <v>121</v>
      </c>
      <c r="C181" s="7" t="s">
        <v>273</v>
      </c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C181" s="66"/>
      <c r="BD181" s="66"/>
      <c r="CJ181" s="20"/>
    </row>
    <row r="182" spans="2:88" ht="15" customHeight="1" x14ac:dyDescent="0.25">
      <c r="B182" s="29" t="s">
        <v>123</v>
      </c>
      <c r="C182" s="7" t="s">
        <v>274</v>
      </c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6"/>
      <c r="AW182" s="66"/>
      <c r="AX182" s="66"/>
      <c r="AY182" s="66"/>
      <c r="AZ182" s="66"/>
      <c r="BA182" s="66"/>
      <c r="BB182" s="66"/>
      <c r="BC182" s="66"/>
      <c r="BD182" s="66"/>
      <c r="CJ182" s="20"/>
    </row>
    <row r="183" spans="2:88" ht="15" customHeight="1" x14ac:dyDescent="0.25">
      <c r="B183" s="28" t="s">
        <v>125</v>
      </c>
      <c r="C183" s="7" t="s">
        <v>275</v>
      </c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/>
      <c r="AT183" s="66"/>
      <c r="AU183" s="66"/>
      <c r="AV183" s="66"/>
      <c r="AW183" s="66"/>
      <c r="AX183" s="66"/>
      <c r="AY183" s="66"/>
      <c r="AZ183" s="66"/>
      <c r="BA183" s="66"/>
      <c r="BB183" s="66"/>
      <c r="BC183" s="66"/>
      <c r="BD183" s="66"/>
      <c r="CJ183" s="20"/>
    </row>
    <row r="184" spans="2:88" ht="15" customHeight="1" x14ac:dyDescent="0.25">
      <c r="B184" s="35" t="s">
        <v>276</v>
      </c>
      <c r="C184" s="31"/>
      <c r="D184" s="32"/>
      <c r="E184" s="32"/>
      <c r="F184" s="32"/>
      <c r="G184" s="32"/>
      <c r="H184" s="32"/>
      <c r="I184" s="32"/>
      <c r="J184" s="32"/>
      <c r="K184" s="32"/>
      <c r="L184" s="52"/>
      <c r="M184" s="52"/>
      <c r="N184" s="52"/>
      <c r="O184" s="52"/>
      <c r="P184" s="52"/>
      <c r="Q184" s="52"/>
      <c r="R184" s="52"/>
      <c r="S184" s="52"/>
      <c r="T184" s="52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O184" s="89"/>
      <c r="AP184" s="89"/>
      <c r="AQ184" s="89"/>
      <c r="AR184" s="89"/>
      <c r="AS184" s="89"/>
      <c r="AT184" s="89"/>
      <c r="AU184" s="89"/>
      <c r="AV184" s="89"/>
      <c r="AW184" s="89"/>
      <c r="AX184" s="89"/>
      <c r="AY184" s="89"/>
      <c r="AZ184" s="89"/>
      <c r="BA184" s="89"/>
      <c r="BB184" s="89"/>
      <c r="BC184" s="89"/>
      <c r="BD184" s="89"/>
      <c r="CJ184" s="20"/>
    </row>
    <row r="185" spans="2:88" ht="15" customHeight="1" x14ac:dyDescent="0.25">
      <c r="B185" s="26" t="s">
        <v>119</v>
      </c>
      <c r="C185" s="7" t="s">
        <v>277</v>
      </c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  <c r="AW185" s="66"/>
      <c r="AX185" s="66"/>
      <c r="AY185" s="66"/>
      <c r="AZ185" s="66"/>
      <c r="BA185" s="66"/>
      <c r="BB185" s="66"/>
      <c r="BC185" s="66"/>
      <c r="BD185" s="66"/>
      <c r="CJ185" s="20"/>
    </row>
    <row r="186" spans="2:88" ht="15" customHeight="1" x14ac:dyDescent="0.25">
      <c r="B186" s="28" t="s">
        <v>121</v>
      </c>
      <c r="C186" s="7" t="s">
        <v>278</v>
      </c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/>
      <c r="BB186" s="66"/>
      <c r="BC186" s="66"/>
      <c r="BD186" s="66"/>
      <c r="CJ186" s="20"/>
    </row>
    <row r="187" spans="2:88" ht="15" customHeight="1" x14ac:dyDescent="0.25">
      <c r="B187" s="29" t="s">
        <v>123</v>
      </c>
      <c r="C187" s="7" t="s">
        <v>279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66"/>
      <c r="AU187" s="66"/>
      <c r="AV187" s="66"/>
      <c r="AW187" s="66"/>
      <c r="AX187" s="66"/>
      <c r="AY187" s="66"/>
      <c r="AZ187" s="66"/>
      <c r="BA187" s="66"/>
      <c r="BB187" s="66"/>
      <c r="BC187" s="66"/>
      <c r="BD187" s="66"/>
      <c r="CJ187" s="20"/>
    </row>
    <row r="188" spans="2:88" ht="15" customHeight="1" x14ac:dyDescent="0.25">
      <c r="B188" s="28" t="s">
        <v>125</v>
      </c>
      <c r="C188" s="7" t="s">
        <v>280</v>
      </c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/>
      <c r="BB188" s="66"/>
      <c r="BC188" s="66"/>
      <c r="BD188" s="66"/>
      <c r="CJ188" s="20"/>
    </row>
    <row r="189" spans="2:88" ht="15.75" x14ac:dyDescent="0.25">
      <c r="B189" s="35" t="s">
        <v>281</v>
      </c>
      <c r="C189" s="31"/>
      <c r="D189" s="32"/>
      <c r="E189" s="32"/>
      <c r="F189" s="32"/>
      <c r="G189" s="32"/>
      <c r="H189" s="32"/>
      <c r="I189" s="32"/>
      <c r="J189" s="32"/>
      <c r="K189" s="32"/>
      <c r="L189" s="52"/>
      <c r="M189" s="52"/>
      <c r="N189" s="52"/>
      <c r="O189" s="52"/>
      <c r="P189" s="52"/>
      <c r="Q189" s="52"/>
      <c r="R189" s="52"/>
      <c r="S189" s="52"/>
      <c r="T189" s="52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89"/>
      <c r="AO189" s="89"/>
      <c r="AP189" s="89"/>
      <c r="AQ189" s="89"/>
      <c r="AR189" s="89"/>
      <c r="AS189" s="89"/>
      <c r="AT189" s="89"/>
      <c r="AU189" s="89"/>
      <c r="AV189" s="89"/>
      <c r="AW189" s="89"/>
      <c r="AX189" s="89"/>
      <c r="AY189" s="89"/>
      <c r="AZ189" s="89"/>
      <c r="BA189" s="89"/>
      <c r="BB189" s="89"/>
      <c r="BC189" s="89"/>
      <c r="BD189" s="89"/>
      <c r="CJ189" s="20"/>
    </row>
    <row r="190" spans="2:88" ht="15" customHeight="1" x14ac:dyDescent="0.25">
      <c r="B190" s="26" t="s">
        <v>119</v>
      </c>
      <c r="C190" s="7" t="s">
        <v>282</v>
      </c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  <c r="AW190" s="66"/>
      <c r="AX190" s="66"/>
      <c r="AY190" s="66"/>
      <c r="AZ190" s="66"/>
      <c r="BA190" s="66"/>
      <c r="BB190" s="66"/>
      <c r="BC190" s="66"/>
      <c r="BD190" s="66"/>
      <c r="CJ190" s="20"/>
    </row>
    <row r="191" spans="2:88" ht="15" customHeight="1" x14ac:dyDescent="0.25">
      <c r="B191" s="28" t="s">
        <v>121</v>
      </c>
      <c r="C191" s="7" t="s">
        <v>283</v>
      </c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6"/>
      <c r="AW191" s="66"/>
      <c r="AX191" s="66"/>
      <c r="AY191" s="66"/>
      <c r="AZ191" s="66"/>
      <c r="BA191" s="66"/>
      <c r="BB191" s="66"/>
      <c r="BC191" s="66"/>
      <c r="BD191" s="66"/>
      <c r="CJ191" s="20"/>
    </row>
    <row r="192" spans="2:88" ht="15" customHeight="1" x14ac:dyDescent="0.25">
      <c r="B192" s="29" t="s">
        <v>123</v>
      </c>
      <c r="C192" s="7" t="s">
        <v>284</v>
      </c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  <c r="AZ192" s="66"/>
      <c r="BA192" s="66"/>
      <c r="BB192" s="66"/>
      <c r="BC192" s="66"/>
      <c r="BD192" s="66"/>
      <c r="CJ192" s="20"/>
    </row>
    <row r="193" spans="2:88" ht="15" customHeight="1" x14ac:dyDescent="0.25">
      <c r="B193" s="28" t="s">
        <v>125</v>
      </c>
      <c r="C193" s="7" t="s">
        <v>285</v>
      </c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  <c r="AW193" s="66"/>
      <c r="AX193" s="66"/>
      <c r="AY193" s="66"/>
      <c r="AZ193" s="66"/>
      <c r="BA193" s="66"/>
      <c r="BB193" s="66"/>
      <c r="BC193" s="66"/>
      <c r="BD193" s="66"/>
      <c r="CJ193" s="20"/>
    </row>
    <row r="194" spans="2:88" ht="15" customHeight="1" x14ac:dyDescent="0.25">
      <c r="B194" s="7" t="s">
        <v>286</v>
      </c>
      <c r="C194" s="31"/>
      <c r="D194" s="32"/>
      <c r="E194" s="32"/>
      <c r="F194" s="32"/>
      <c r="G194" s="32"/>
      <c r="H194" s="32"/>
      <c r="I194" s="32"/>
      <c r="J194" s="32"/>
      <c r="K194" s="32"/>
      <c r="L194" s="52"/>
      <c r="M194" s="52"/>
      <c r="N194" s="52"/>
      <c r="O194" s="52"/>
      <c r="P194" s="52"/>
      <c r="Q194" s="52"/>
      <c r="R194" s="52"/>
      <c r="S194" s="52"/>
      <c r="T194" s="52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O194" s="89"/>
      <c r="AP194" s="89"/>
      <c r="AQ194" s="89"/>
      <c r="AR194" s="89"/>
      <c r="AS194" s="89"/>
      <c r="AT194" s="89"/>
      <c r="AU194" s="89"/>
      <c r="AV194" s="89"/>
      <c r="AW194" s="89"/>
      <c r="AX194" s="89"/>
      <c r="AY194" s="89"/>
      <c r="AZ194" s="89"/>
      <c r="BA194" s="89"/>
      <c r="BB194" s="89"/>
      <c r="BC194" s="89"/>
      <c r="BD194" s="89"/>
      <c r="CJ194" s="20"/>
    </row>
    <row r="195" spans="2:88" ht="15" customHeight="1" x14ac:dyDescent="0.25">
      <c r="B195" s="26" t="s">
        <v>119</v>
      </c>
      <c r="C195" s="7" t="s">
        <v>287</v>
      </c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  <c r="AZ195" s="66"/>
      <c r="BA195" s="66"/>
      <c r="BB195" s="66"/>
      <c r="BC195" s="66"/>
      <c r="BD195" s="66"/>
      <c r="CJ195" s="20"/>
    </row>
    <row r="196" spans="2:88" ht="15" customHeight="1" x14ac:dyDescent="0.25">
      <c r="B196" s="28" t="s">
        <v>121</v>
      </c>
      <c r="C196" s="7" t="s">
        <v>288</v>
      </c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X196" s="66"/>
      <c r="AY196" s="66"/>
      <c r="AZ196" s="66"/>
      <c r="BA196" s="66"/>
      <c r="BB196" s="66"/>
      <c r="BC196" s="66"/>
      <c r="BD196" s="66"/>
      <c r="CJ196" s="20"/>
    </row>
    <row r="197" spans="2:88" ht="15" customHeight="1" x14ac:dyDescent="0.25">
      <c r="B197" s="29" t="s">
        <v>123</v>
      </c>
      <c r="C197" s="7" t="s">
        <v>289</v>
      </c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  <c r="AZ197" s="66"/>
      <c r="BA197" s="66"/>
      <c r="BB197" s="66"/>
      <c r="BC197" s="66"/>
      <c r="BD197" s="66"/>
      <c r="CJ197" s="20"/>
    </row>
    <row r="198" spans="2:88" ht="15" customHeight="1" x14ac:dyDescent="0.25">
      <c r="B198" s="28" t="s">
        <v>125</v>
      </c>
      <c r="C198" s="7" t="s">
        <v>290</v>
      </c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  <c r="AW198" s="66"/>
      <c r="AX198" s="66"/>
      <c r="AY198" s="66"/>
      <c r="AZ198" s="66"/>
      <c r="BA198" s="66"/>
      <c r="BB198" s="66"/>
      <c r="BC198" s="66"/>
      <c r="BD198" s="66"/>
      <c r="CJ198" s="20"/>
    </row>
    <row r="199" spans="2:88" ht="30" x14ac:dyDescent="0.25">
      <c r="B199" s="7" t="s">
        <v>291</v>
      </c>
      <c r="C199" s="31"/>
      <c r="D199" s="32"/>
      <c r="E199" s="32"/>
      <c r="F199" s="32"/>
      <c r="G199" s="32"/>
      <c r="H199" s="32"/>
      <c r="I199" s="32"/>
      <c r="J199" s="32"/>
      <c r="K199" s="32"/>
      <c r="L199" s="52"/>
      <c r="M199" s="52"/>
      <c r="N199" s="52"/>
      <c r="O199" s="52"/>
      <c r="P199" s="52"/>
      <c r="Q199" s="52"/>
      <c r="R199" s="52"/>
      <c r="S199" s="52"/>
      <c r="T199" s="52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  <c r="AN199" s="89"/>
      <c r="AO199" s="89"/>
      <c r="AP199" s="89"/>
      <c r="AQ199" s="89"/>
      <c r="AR199" s="89"/>
      <c r="AS199" s="89"/>
      <c r="AT199" s="89"/>
      <c r="AU199" s="89"/>
      <c r="AV199" s="89"/>
      <c r="AW199" s="89"/>
      <c r="AX199" s="89"/>
      <c r="AY199" s="89"/>
      <c r="AZ199" s="89"/>
      <c r="BA199" s="89"/>
      <c r="BB199" s="89"/>
      <c r="BC199" s="89"/>
      <c r="BD199" s="89"/>
      <c r="CJ199" s="20"/>
    </row>
    <row r="200" spans="2:88" ht="15" customHeight="1" x14ac:dyDescent="0.25">
      <c r="B200" s="26" t="s">
        <v>119</v>
      </c>
      <c r="C200" s="7" t="s">
        <v>292</v>
      </c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6"/>
      <c r="BB200" s="66"/>
      <c r="BC200" s="66"/>
      <c r="BD200" s="66"/>
      <c r="CJ200" s="20"/>
    </row>
    <row r="201" spans="2:88" ht="15" customHeight="1" x14ac:dyDescent="0.25">
      <c r="B201" s="28" t="s">
        <v>121</v>
      </c>
      <c r="C201" s="7" t="s">
        <v>293</v>
      </c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66"/>
      <c r="AU201" s="66"/>
      <c r="AV201" s="66"/>
      <c r="AW201" s="66"/>
      <c r="AX201" s="66"/>
      <c r="AY201" s="66"/>
      <c r="AZ201" s="66"/>
      <c r="BA201" s="66"/>
      <c r="BB201" s="66"/>
      <c r="BC201" s="66"/>
      <c r="BD201" s="66"/>
      <c r="CJ201" s="20"/>
    </row>
    <row r="202" spans="2:88" ht="15" customHeight="1" x14ac:dyDescent="0.25">
      <c r="B202" s="29" t="s">
        <v>123</v>
      </c>
      <c r="C202" s="7" t="s">
        <v>294</v>
      </c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6"/>
      <c r="AW202" s="66"/>
      <c r="AX202" s="66"/>
      <c r="AY202" s="66"/>
      <c r="AZ202" s="66"/>
      <c r="BA202" s="66"/>
      <c r="BB202" s="66"/>
      <c r="BC202" s="66"/>
      <c r="BD202" s="66"/>
      <c r="CJ202" s="20"/>
    </row>
    <row r="203" spans="2:88" ht="15" customHeight="1" x14ac:dyDescent="0.25">
      <c r="B203" s="28" t="s">
        <v>125</v>
      </c>
      <c r="C203" s="7" t="s">
        <v>295</v>
      </c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  <c r="AV203" s="66"/>
      <c r="AW203" s="66"/>
      <c r="AX203" s="66"/>
      <c r="AY203" s="66"/>
      <c r="AZ203" s="66"/>
      <c r="BA203" s="66"/>
      <c r="BB203" s="66"/>
      <c r="BC203" s="66"/>
      <c r="BD203" s="66"/>
      <c r="CJ203" s="20"/>
    </row>
    <row r="204" spans="2:88" ht="30" x14ac:dyDescent="0.25">
      <c r="B204" s="36" t="s">
        <v>296</v>
      </c>
      <c r="C204" s="37"/>
      <c r="D204" s="32"/>
      <c r="E204" s="32"/>
      <c r="F204" s="32"/>
      <c r="G204" s="32"/>
      <c r="H204" s="32"/>
      <c r="I204" s="32"/>
      <c r="J204" s="32"/>
      <c r="K204" s="32"/>
      <c r="L204" s="54"/>
      <c r="M204" s="54"/>
      <c r="N204" s="54"/>
      <c r="O204" s="54"/>
      <c r="P204" s="54"/>
      <c r="Q204" s="54"/>
      <c r="R204" s="54"/>
      <c r="S204" s="54"/>
      <c r="T204" s="54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  <c r="AP204" s="93"/>
      <c r="AQ204" s="93"/>
      <c r="AR204" s="93"/>
      <c r="AS204" s="93"/>
      <c r="AT204" s="93"/>
      <c r="AU204" s="93"/>
      <c r="AV204" s="93"/>
      <c r="AW204" s="93"/>
      <c r="AX204" s="93"/>
      <c r="AY204" s="93"/>
      <c r="AZ204" s="93"/>
      <c r="BA204" s="93"/>
      <c r="BB204" s="93"/>
      <c r="BC204" s="93"/>
      <c r="BD204" s="93"/>
      <c r="CJ204" s="20"/>
    </row>
    <row r="205" spans="2:88" ht="15" customHeight="1" x14ac:dyDescent="0.25">
      <c r="B205" s="7" t="s">
        <v>297</v>
      </c>
      <c r="C205" s="31"/>
      <c r="D205" s="32"/>
      <c r="E205" s="32"/>
      <c r="F205" s="32"/>
      <c r="G205" s="32"/>
      <c r="H205" s="32"/>
      <c r="I205" s="32"/>
      <c r="J205" s="32"/>
      <c r="K205" s="32"/>
      <c r="L205" s="52"/>
      <c r="M205" s="52"/>
      <c r="N205" s="52"/>
      <c r="O205" s="52"/>
      <c r="P205" s="52"/>
      <c r="Q205" s="52"/>
      <c r="R205" s="52"/>
      <c r="S205" s="52"/>
      <c r="T205" s="52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  <c r="AN205" s="89"/>
      <c r="AO205" s="89"/>
      <c r="AP205" s="89"/>
      <c r="AQ205" s="89"/>
      <c r="AR205" s="89"/>
      <c r="AS205" s="89"/>
      <c r="AT205" s="89"/>
      <c r="AU205" s="89"/>
      <c r="AV205" s="89"/>
      <c r="AW205" s="89"/>
      <c r="AX205" s="89"/>
      <c r="AY205" s="89"/>
      <c r="AZ205" s="89"/>
      <c r="BA205" s="89"/>
      <c r="BB205" s="89"/>
      <c r="BC205" s="89"/>
      <c r="BD205" s="89"/>
      <c r="CJ205" s="20"/>
    </row>
    <row r="206" spans="2:88" ht="15" customHeight="1" x14ac:dyDescent="0.25">
      <c r="B206" s="26" t="s">
        <v>119</v>
      </c>
      <c r="C206" s="7" t="s">
        <v>298</v>
      </c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66"/>
      <c r="AU206" s="66"/>
      <c r="AV206" s="66"/>
      <c r="AW206" s="66"/>
      <c r="AX206" s="66"/>
      <c r="AY206" s="66"/>
      <c r="AZ206" s="66"/>
      <c r="BA206" s="66"/>
      <c r="BB206" s="66"/>
      <c r="BC206" s="66"/>
      <c r="BD206" s="66"/>
      <c r="CJ206" s="20"/>
    </row>
    <row r="207" spans="2:88" ht="15" customHeight="1" x14ac:dyDescent="0.25">
      <c r="B207" s="28" t="s">
        <v>121</v>
      </c>
      <c r="C207" s="7" t="s">
        <v>299</v>
      </c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66"/>
      <c r="AU207" s="66"/>
      <c r="AV207" s="66"/>
      <c r="AW207" s="66"/>
      <c r="AX207" s="66"/>
      <c r="AY207" s="66"/>
      <c r="AZ207" s="66"/>
      <c r="BA207" s="66"/>
      <c r="BB207" s="66"/>
      <c r="BC207" s="66"/>
      <c r="BD207" s="66"/>
      <c r="CJ207" s="20"/>
    </row>
    <row r="208" spans="2:88" ht="15" customHeight="1" x14ac:dyDescent="0.25">
      <c r="B208" s="29" t="s">
        <v>123</v>
      </c>
      <c r="C208" s="7" t="s">
        <v>300</v>
      </c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  <c r="AV208" s="66"/>
      <c r="AW208" s="66"/>
      <c r="AX208" s="66"/>
      <c r="AY208" s="66"/>
      <c r="AZ208" s="66"/>
      <c r="BA208" s="66"/>
      <c r="BB208" s="66"/>
      <c r="BC208" s="66"/>
      <c r="BD208" s="66"/>
      <c r="CJ208" s="20"/>
    </row>
    <row r="209" spans="2:88" ht="15" customHeight="1" x14ac:dyDescent="0.25">
      <c r="B209" s="28" t="s">
        <v>125</v>
      </c>
      <c r="C209" s="7" t="s">
        <v>301</v>
      </c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66"/>
      <c r="AU209" s="66"/>
      <c r="AV209" s="66"/>
      <c r="AW209" s="66"/>
      <c r="AX209" s="66"/>
      <c r="AY209" s="66"/>
      <c r="AZ209" s="66"/>
      <c r="BA209" s="66"/>
      <c r="BB209" s="66"/>
      <c r="BC209" s="66"/>
      <c r="BD209" s="66"/>
      <c r="CJ209" s="20"/>
    </row>
    <row r="210" spans="2:88" ht="15" customHeight="1" x14ac:dyDescent="0.25">
      <c r="B210" s="7" t="s">
        <v>302</v>
      </c>
      <c r="C210" s="31"/>
      <c r="D210" s="32"/>
      <c r="E210" s="32"/>
      <c r="F210" s="32"/>
      <c r="G210" s="32"/>
      <c r="H210" s="32"/>
      <c r="I210" s="32"/>
      <c r="J210" s="32"/>
      <c r="K210" s="32"/>
      <c r="L210" s="52"/>
      <c r="M210" s="52"/>
      <c r="N210" s="52"/>
      <c r="O210" s="52"/>
      <c r="P210" s="52"/>
      <c r="Q210" s="52"/>
      <c r="R210" s="52"/>
      <c r="S210" s="52"/>
      <c r="T210" s="52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  <c r="AL210" s="89"/>
      <c r="AM210" s="89"/>
      <c r="AN210" s="89"/>
      <c r="AO210" s="89"/>
      <c r="AP210" s="89"/>
      <c r="AQ210" s="89"/>
      <c r="AR210" s="89"/>
      <c r="AS210" s="89"/>
      <c r="AT210" s="89"/>
      <c r="AU210" s="89"/>
      <c r="AV210" s="89"/>
      <c r="AW210" s="89"/>
      <c r="AX210" s="89"/>
      <c r="AY210" s="89"/>
      <c r="AZ210" s="89"/>
      <c r="BA210" s="89"/>
      <c r="BB210" s="89"/>
      <c r="BC210" s="89"/>
      <c r="BD210" s="89"/>
      <c r="CJ210" s="20"/>
    </row>
    <row r="211" spans="2:88" ht="15" customHeight="1" x14ac:dyDescent="0.25">
      <c r="B211" s="26" t="s">
        <v>119</v>
      </c>
      <c r="C211" s="7" t="s">
        <v>303</v>
      </c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6"/>
      <c r="AW211" s="66"/>
      <c r="AX211" s="66"/>
      <c r="AY211" s="66"/>
      <c r="AZ211" s="66"/>
      <c r="BA211" s="66"/>
      <c r="BB211" s="66"/>
      <c r="BC211" s="66"/>
      <c r="BD211" s="66"/>
      <c r="CJ211" s="20"/>
    </row>
    <row r="212" spans="2:88" ht="15" customHeight="1" x14ac:dyDescent="0.25">
      <c r="B212" s="28" t="s">
        <v>121</v>
      </c>
      <c r="C212" s="7" t="s">
        <v>304</v>
      </c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  <c r="AZ212" s="66"/>
      <c r="BA212" s="66"/>
      <c r="BB212" s="66"/>
      <c r="BC212" s="66"/>
      <c r="BD212" s="66"/>
      <c r="CJ212" s="20"/>
    </row>
    <row r="213" spans="2:88" ht="15" customHeight="1" x14ac:dyDescent="0.25">
      <c r="B213" s="29" t="s">
        <v>123</v>
      </c>
      <c r="C213" s="7" t="s">
        <v>305</v>
      </c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66"/>
      <c r="AX213" s="66"/>
      <c r="AY213" s="66"/>
      <c r="AZ213" s="66"/>
      <c r="BA213" s="66"/>
      <c r="BB213" s="66"/>
      <c r="BC213" s="66"/>
      <c r="BD213" s="66"/>
      <c r="CJ213" s="20"/>
    </row>
    <row r="214" spans="2:88" ht="15" customHeight="1" x14ac:dyDescent="0.25">
      <c r="B214" s="28" t="s">
        <v>125</v>
      </c>
      <c r="C214" s="7" t="s">
        <v>306</v>
      </c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6"/>
      <c r="AW214" s="66"/>
      <c r="AX214" s="66"/>
      <c r="AY214" s="66"/>
      <c r="AZ214" s="66"/>
      <c r="BA214" s="66"/>
      <c r="BB214" s="66"/>
      <c r="BC214" s="66"/>
      <c r="BD214" s="66"/>
      <c r="CJ214" s="20"/>
    </row>
    <row r="215" spans="2:88" ht="15" customHeight="1" x14ac:dyDescent="0.25">
      <c r="B215" s="7" t="s">
        <v>307</v>
      </c>
      <c r="C215" s="31"/>
      <c r="D215" s="32"/>
      <c r="E215" s="32"/>
      <c r="F215" s="32"/>
      <c r="G215" s="32"/>
      <c r="H215" s="32"/>
      <c r="I215" s="32"/>
      <c r="J215" s="32"/>
      <c r="K215" s="32"/>
      <c r="L215" s="52"/>
      <c r="M215" s="52"/>
      <c r="N215" s="52"/>
      <c r="O215" s="52"/>
      <c r="P215" s="52"/>
      <c r="Q215" s="52"/>
      <c r="R215" s="52"/>
      <c r="S215" s="52"/>
      <c r="T215" s="52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  <c r="AN215" s="89"/>
      <c r="AO215" s="89"/>
      <c r="AP215" s="89"/>
      <c r="AQ215" s="89"/>
      <c r="AR215" s="89"/>
      <c r="AS215" s="89"/>
      <c r="AT215" s="89"/>
      <c r="AU215" s="89"/>
      <c r="AV215" s="89"/>
      <c r="AW215" s="89"/>
      <c r="AX215" s="89"/>
      <c r="AY215" s="89"/>
      <c r="AZ215" s="89"/>
      <c r="BA215" s="89"/>
      <c r="BB215" s="89"/>
      <c r="BC215" s="89"/>
      <c r="BD215" s="89"/>
      <c r="CJ215" s="20"/>
    </row>
    <row r="216" spans="2:88" ht="15" customHeight="1" x14ac:dyDescent="0.25">
      <c r="B216" s="26" t="s">
        <v>119</v>
      </c>
      <c r="C216" s="7" t="s">
        <v>308</v>
      </c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6"/>
      <c r="AW216" s="66"/>
      <c r="AX216" s="66"/>
      <c r="AY216" s="66"/>
      <c r="AZ216" s="66"/>
      <c r="BA216" s="66"/>
      <c r="BB216" s="66"/>
      <c r="BC216" s="66"/>
      <c r="BD216" s="66"/>
      <c r="CJ216" s="20"/>
    </row>
    <row r="217" spans="2:88" ht="15" customHeight="1" x14ac:dyDescent="0.25">
      <c r="B217" s="28" t="s">
        <v>121</v>
      </c>
      <c r="C217" s="7" t="s">
        <v>309</v>
      </c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  <c r="AV217" s="66"/>
      <c r="AW217" s="66"/>
      <c r="AX217" s="66"/>
      <c r="AY217" s="66"/>
      <c r="AZ217" s="66"/>
      <c r="BA217" s="66"/>
      <c r="BB217" s="66"/>
      <c r="BC217" s="66"/>
      <c r="BD217" s="66"/>
      <c r="CJ217" s="20"/>
    </row>
    <row r="218" spans="2:88" ht="15" customHeight="1" x14ac:dyDescent="0.25">
      <c r="B218" s="29" t="s">
        <v>123</v>
      </c>
      <c r="C218" s="7" t="s">
        <v>310</v>
      </c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  <c r="AV218" s="66"/>
      <c r="AW218" s="66"/>
      <c r="AX218" s="66"/>
      <c r="AY218" s="66"/>
      <c r="AZ218" s="66"/>
      <c r="BA218" s="66"/>
      <c r="BB218" s="66"/>
      <c r="BC218" s="66"/>
      <c r="BD218" s="66"/>
      <c r="CJ218" s="20"/>
    </row>
    <row r="219" spans="2:88" ht="15" customHeight="1" x14ac:dyDescent="0.25">
      <c r="B219" s="28" t="s">
        <v>125</v>
      </c>
      <c r="C219" s="7" t="s">
        <v>311</v>
      </c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  <c r="AZ219" s="66"/>
      <c r="BA219" s="66"/>
      <c r="BB219" s="66"/>
      <c r="BC219" s="66"/>
      <c r="BD219" s="66"/>
      <c r="CJ219" s="20"/>
    </row>
    <row r="220" spans="2:88" ht="15" customHeight="1" x14ac:dyDescent="0.25">
      <c r="B220" s="7" t="s">
        <v>312</v>
      </c>
      <c r="C220" s="31"/>
      <c r="D220" s="32"/>
      <c r="E220" s="32"/>
      <c r="F220" s="32"/>
      <c r="G220" s="32"/>
      <c r="H220" s="32"/>
      <c r="I220" s="32"/>
      <c r="J220" s="32"/>
      <c r="K220" s="32"/>
      <c r="L220" s="52"/>
      <c r="M220" s="52"/>
      <c r="N220" s="52"/>
      <c r="O220" s="52"/>
      <c r="P220" s="52"/>
      <c r="Q220" s="52"/>
      <c r="R220" s="52"/>
      <c r="S220" s="52"/>
      <c r="T220" s="52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  <c r="AL220" s="89"/>
      <c r="AM220" s="89"/>
      <c r="AN220" s="89"/>
      <c r="AO220" s="89"/>
      <c r="AP220" s="89"/>
      <c r="AQ220" s="89"/>
      <c r="AR220" s="89"/>
      <c r="AS220" s="89"/>
      <c r="AT220" s="89"/>
      <c r="AU220" s="89"/>
      <c r="AV220" s="89"/>
      <c r="AW220" s="89"/>
      <c r="AX220" s="89"/>
      <c r="AY220" s="89"/>
      <c r="AZ220" s="89"/>
      <c r="BA220" s="89"/>
      <c r="BB220" s="89"/>
      <c r="BC220" s="89"/>
      <c r="BD220" s="89"/>
      <c r="CJ220" s="20"/>
    </row>
    <row r="221" spans="2:88" ht="15" customHeight="1" x14ac:dyDescent="0.25">
      <c r="B221" s="26" t="s">
        <v>119</v>
      </c>
      <c r="C221" s="7" t="s">
        <v>313</v>
      </c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6"/>
      <c r="AW221" s="66"/>
      <c r="AX221" s="66"/>
      <c r="AY221" s="66"/>
      <c r="AZ221" s="66"/>
      <c r="BA221" s="66"/>
      <c r="BB221" s="66"/>
      <c r="BC221" s="66"/>
      <c r="BD221" s="66"/>
      <c r="CJ221" s="20"/>
    </row>
    <row r="222" spans="2:88" ht="15" customHeight="1" x14ac:dyDescent="0.25">
      <c r="B222" s="28" t="s">
        <v>121</v>
      </c>
      <c r="C222" s="7" t="s">
        <v>314</v>
      </c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  <c r="AZ222" s="66"/>
      <c r="BA222" s="66"/>
      <c r="BB222" s="66"/>
      <c r="BC222" s="66"/>
      <c r="BD222" s="66"/>
      <c r="CJ222" s="20"/>
    </row>
    <row r="223" spans="2:88" ht="15" customHeight="1" x14ac:dyDescent="0.25">
      <c r="B223" s="29" t="s">
        <v>123</v>
      </c>
      <c r="C223" s="7" t="s">
        <v>315</v>
      </c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6"/>
      <c r="AW223" s="66"/>
      <c r="AX223" s="66"/>
      <c r="AY223" s="66"/>
      <c r="AZ223" s="66"/>
      <c r="BA223" s="66"/>
      <c r="BB223" s="66"/>
      <c r="BC223" s="66"/>
      <c r="BD223" s="66"/>
      <c r="CJ223" s="20"/>
    </row>
    <row r="224" spans="2:88" ht="15" customHeight="1" x14ac:dyDescent="0.25">
      <c r="B224" s="28" t="s">
        <v>125</v>
      </c>
      <c r="C224" s="7" t="s">
        <v>316</v>
      </c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/>
      <c r="BB224" s="66"/>
      <c r="BC224" s="66"/>
      <c r="BD224" s="66"/>
      <c r="CJ224" s="20"/>
    </row>
    <row r="225" spans="2:88" ht="15" customHeight="1" x14ac:dyDescent="0.25">
      <c r="B225" s="7" t="s">
        <v>302</v>
      </c>
      <c r="C225" s="31"/>
      <c r="D225" s="32"/>
      <c r="E225" s="32"/>
      <c r="F225" s="32"/>
      <c r="G225" s="32"/>
      <c r="H225" s="32"/>
      <c r="I225" s="32"/>
      <c r="J225" s="32"/>
      <c r="K225" s="32"/>
      <c r="L225" s="52"/>
      <c r="M225" s="52"/>
      <c r="N225" s="52"/>
      <c r="O225" s="52"/>
      <c r="P225" s="52"/>
      <c r="Q225" s="52"/>
      <c r="R225" s="52"/>
      <c r="S225" s="52"/>
      <c r="T225" s="52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  <c r="AN225" s="89"/>
      <c r="AO225" s="89"/>
      <c r="AP225" s="89"/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CJ225" s="20"/>
    </row>
    <row r="226" spans="2:88" ht="15" customHeight="1" x14ac:dyDescent="0.25">
      <c r="B226" s="26" t="s">
        <v>119</v>
      </c>
      <c r="C226" s="7" t="s">
        <v>317</v>
      </c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/>
      <c r="BD226" s="66"/>
      <c r="CJ226" s="20"/>
    </row>
    <row r="227" spans="2:88" ht="15" customHeight="1" x14ac:dyDescent="0.25">
      <c r="B227" s="28" t="s">
        <v>121</v>
      </c>
      <c r="C227" s="7" t="s">
        <v>318</v>
      </c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  <c r="AZ227" s="66"/>
      <c r="BA227" s="66"/>
      <c r="BB227" s="66"/>
      <c r="BC227" s="66"/>
      <c r="BD227" s="66"/>
      <c r="CJ227" s="20"/>
    </row>
    <row r="228" spans="2:88" ht="15" customHeight="1" x14ac:dyDescent="0.25">
      <c r="B228" s="29" t="s">
        <v>123</v>
      </c>
      <c r="C228" s="7" t="s">
        <v>319</v>
      </c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/>
      <c r="BB228" s="66"/>
      <c r="BC228" s="66"/>
      <c r="BD228" s="66"/>
      <c r="CJ228" s="20"/>
    </row>
    <row r="229" spans="2:88" ht="15" customHeight="1" x14ac:dyDescent="0.25">
      <c r="B229" s="28" t="s">
        <v>125</v>
      </c>
      <c r="C229" s="7" t="s">
        <v>320</v>
      </c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6"/>
      <c r="AW229" s="66"/>
      <c r="AX229" s="66"/>
      <c r="AY229" s="66"/>
      <c r="AZ229" s="66"/>
      <c r="BA229" s="66"/>
      <c r="BB229" s="66"/>
      <c r="BC229" s="66"/>
      <c r="BD229" s="66"/>
      <c r="CJ229" s="20"/>
    </row>
    <row r="230" spans="2:88" ht="15" customHeight="1" x14ac:dyDescent="0.25">
      <c r="B230" s="7" t="s">
        <v>307</v>
      </c>
      <c r="C230" s="31"/>
      <c r="D230" s="32"/>
      <c r="E230" s="32"/>
      <c r="F230" s="32"/>
      <c r="G230" s="32"/>
      <c r="H230" s="32"/>
      <c r="I230" s="32"/>
      <c r="J230" s="32"/>
      <c r="K230" s="32"/>
      <c r="L230" s="52"/>
      <c r="M230" s="52"/>
      <c r="N230" s="52"/>
      <c r="O230" s="52"/>
      <c r="P230" s="52"/>
      <c r="Q230" s="52"/>
      <c r="R230" s="52"/>
      <c r="S230" s="52"/>
      <c r="T230" s="52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89"/>
      <c r="AO230" s="89"/>
      <c r="AP230" s="89"/>
      <c r="AQ230" s="89"/>
      <c r="AR230" s="89"/>
      <c r="AS230" s="89"/>
      <c r="AT230" s="89"/>
      <c r="AU230" s="89"/>
      <c r="AV230" s="89"/>
      <c r="AW230" s="89"/>
      <c r="AX230" s="89"/>
      <c r="AY230" s="89"/>
      <c r="AZ230" s="89"/>
      <c r="BA230" s="89"/>
      <c r="BB230" s="89"/>
      <c r="BC230" s="89"/>
      <c r="BD230" s="89"/>
      <c r="CJ230" s="20"/>
    </row>
    <row r="231" spans="2:88" ht="15" customHeight="1" x14ac:dyDescent="0.25">
      <c r="B231" s="26" t="s">
        <v>119</v>
      </c>
      <c r="C231" s="7" t="s">
        <v>321</v>
      </c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6"/>
      <c r="AW231" s="66"/>
      <c r="AX231" s="66"/>
      <c r="AY231" s="66"/>
      <c r="AZ231" s="66"/>
      <c r="BA231" s="66"/>
      <c r="BB231" s="66"/>
      <c r="BC231" s="66"/>
      <c r="BD231" s="66"/>
      <c r="CJ231" s="20"/>
    </row>
    <row r="232" spans="2:88" ht="15" customHeight="1" x14ac:dyDescent="0.25">
      <c r="B232" s="28" t="s">
        <v>121</v>
      </c>
      <c r="C232" s="7" t="s">
        <v>322</v>
      </c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6"/>
      <c r="AW232" s="66"/>
      <c r="AX232" s="66"/>
      <c r="AY232" s="66"/>
      <c r="AZ232" s="66"/>
      <c r="BA232" s="66"/>
      <c r="BB232" s="66"/>
      <c r="BC232" s="66"/>
      <c r="BD232" s="66"/>
      <c r="CJ232" s="20"/>
    </row>
    <row r="233" spans="2:88" ht="15" customHeight="1" x14ac:dyDescent="0.25">
      <c r="B233" s="29" t="s">
        <v>123</v>
      </c>
      <c r="C233" s="7" t="s">
        <v>323</v>
      </c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6"/>
      <c r="AW233" s="66"/>
      <c r="AX233" s="66"/>
      <c r="AY233" s="66"/>
      <c r="AZ233" s="66"/>
      <c r="BA233" s="66"/>
      <c r="BB233" s="66"/>
      <c r="BC233" s="66"/>
      <c r="BD233" s="66"/>
      <c r="CJ233" s="20"/>
    </row>
    <row r="234" spans="2:88" ht="15" customHeight="1" x14ac:dyDescent="0.25">
      <c r="B234" s="28" t="s">
        <v>125</v>
      </c>
      <c r="C234" s="7" t="s">
        <v>324</v>
      </c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6"/>
      <c r="AW234" s="66"/>
      <c r="AX234" s="66"/>
      <c r="AY234" s="66"/>
      <c r="AZ234" s="66"/>
      <c r="BA234" s="66"/>
      <c r="BB234" s="66"/>
      <c r="BC234" s="66"/>
      <c r="BD234" s="66"/>
      <c r="CJ234" s="20"/>
    </row>
    <row r="235" spans="2:88" ht="18" customHeight="1" x14ac:dyDescent="0.25">
      <c r="B235" s="38" t="s">
        <v>325</v>
      </c>
      <c r="C235"/>
      <c r="D235" s="32"/>
      <c r="E235" s="32"/>
      <c r="F235" s="32"/>
      <c r="G235" s="32"/>
      <c r="H235" s="32"/>
      <c r="I235" s="32"/>
      <c r="J235" s="32"/>
      <c r="K235" s="32"/>
      <c r="L235" s="52"/>
      <c r="M235" s="52"/>
      <c r="N235" s="52"/>
      <c r="O235" s="52"/>
      <c r="P235" s="52"/>
      <c r="Q235" s="52"/>
      <c r="R235" s="52"/>
      <c r="S235" s="52"/>
      <c r="T235" s="52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89"/>
      <c r="AL235" s="89"/>
      <c r="AM235" s="89"/>
      <c r="AN235" s="89"/>
      <c r="AO235" s="89"/>
      <c r="AP235" s="89"/>
      <c r="AQ235" s="89"/>
      <c r="AR235" s="89"/>
      <c r="AS235" s="89"/>
      <c r="AT235" s="89"/>
      <c r="AU235" s="89"/>
      <c r="AV235" s="89"/>
      <c r="AW235" s="89"/>
      <c r="AX235" s="89"/>
      <c r="AY235" s="89"/>
      <c r="AZ235" s="89"/>
      <c r="BA235" s="89"/>
      <c r="BB235" s="89"/>
      <c r="BC235" s="89"/>
      <c r="BD235" s="89"/>
      <c r="CJ235" s="20"/>
    </row>
    <row r="236" spans="2:88" ht="15.75" x14ac:dyDescent="0.25">
      <c r="B236" s="7" t="s">
        <v>326</v>
      </c>
      <c r="C236" s="31"/>
      <c r="D236" s="32"/>
      <c r="E236" s="32"/>
      <c r="F236" s="32"/>
      <c r="G236" s="32"/>
      <c r="H236" s="32"/>
      <c r="I236" s="32"/>
      <c r="J236" s="32"/>
      <c r="K236" s="32"/>
      <c r="L236" s="52"/>
      <c r="M236" s="52"/>
      <c r="N236" s="52"/>
      <c r="O236" s="52"/>
      <c r="P236" s="52"/>
      <c r="Q236" s="52"/>
      <c r="R236" s="52"/>
      <c r="S236" s="52"/>
      <c r="T236" s="52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  <c r="AN236" s="89"/>
      <c r="AO236" s="89"/>
      <c r="AP236" s="89"/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CJ236" s="20"/>
    </row>
    <row r="237" spans="2:88" ht="15" customHeight="1" x14ac:dyDescent="0.25">
      <c r="B237" s="7" t="s">
        <v>327</v>
      </c>
      <c r="C237" s="31"/>
      <c r="D237" s="32"/>
      <c r="E237" s="32"/>
      <c r="F237" s="32"/>
      <c r="G237" s="32"/>
      <c r="H237" s="32"/>
      <c r="I237" s="32"/>
      <c r="J237" s="32"/>
      <c r="K237" s="32"/>
      <c r="L237" s="52"/>
      <c r="M237" s="52"/>
      <c r="N237" s="52"/>
      <c r="O237" s="52"/>
      <c r="P237" s="52"/>
      <c r="Q237" s="52"/>
      <c r="R237" s="52"/>
      <c r="S237" s="52"/>
      <c r="T237" s="52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  <c r="AN237" s="89"/>
      <c r="AO237" s="89"/>
      <c r="AP237" s="89"/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CJ237" s="20"/>
    </row>
    <row r="238" spans="2:88" ht="15" customHeight="1" x14ac:dyDescent="0.25">
      <c r="B238" s="26" t="s">
        <v>119</v>
      </c>
      <c r="C238" s="7" t="s">
        <v>328</v>
      </c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66"/>
      <c r="AU238" s="66"/>
      <c r="AV238" s="66"/>
      <c r="AW238" s="66"/>
      <c r="AX238" s="66"/>
      <c r="AY238" s="66"/>
      <c r="AZ238" s="66"/>
      <c r="BA238" s="66"/>
      <c r="BB238" s="66"/>
      <c r="BC238" s="66"/>
      <c r="BD238" s="66"/>
      <c r="CJ238" s="20"/>
    </row>
    <row r="239" spans="2:88" ht="15" customHeight="1" x14ac:dyDescent="0.25">
      <c r="B239" s="28" t="s">
        <v>121</v>
      </c>
      <c r="C239" s="7" t="s">
        <v>329</v>
      </c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  <c r="AR239" s="66"/>
      <c r="AS239" s="66"/>
      <c r="AT239" s="66"/>
      <c r="AU239" s="66"/>
      <c r="AV239" s="66"/>
      <c r="AW239" s="66"/>
      <c r="AX239" s="66"/>
      <c r="AY239" s="66"/>
      <c r="AZ239" s="66"/>
      <c r="BA239" s="66"/>
      <c r="BB239" s="66"/>
      <c r="BC239" s="66"/>
      <c r="BD239" s="66"/>
      <c r="CJ239" s="20"/>
    </row>
    <row r="240" spans="2:88" ht="15" customHeight="1" x14ac:dyDescent="0.25">
      <c r="B240" s="29" t="s">
        <v>123</v>
      </c>
      <c r="C240" s="7" t="s">
        <v>330</v>
      </c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X240" s="66"/>
      <c r="AY240" s="66"/>
      <c r="AZ240" s="66"/>
      <c r="BA240" s="66"/>
      <c r="BB240" s="66"/>
      <c r="BC240" s="66"/>
      <c r="BD240" s="66"/>
      <c r="CJ240" s="20"/>
    </row>
    <row r="241" spans="2:88" ht="15" customHeight="1" x14ac:dyDescent="0.25">
      <c r="B241" s="28" t="s">
        <v>125</v>
      </c>
      <c r="C241" s="7" t="s">
        <v>331</v>
      </c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66"/>
      <c r="AU241" s="66"/>
      <c r="AV241" s="66"/>
      <c r="AW241" s="66"/>
      <c r="AX241" s="66"/>
      <c r="AY241" s="66"/>
      <c r="AZ241" s="66"/>
      <c r="BA241" s="66"/>
      <c r="BB241" s="66"/>
      <c r="BC241" s="66"/>
      <c r="BD241" s="66"/>
      <c r="CJ241" s="20"/>
    </row>
    <row r="242" spans="2:88" ht="15" customHeight="1" x14ac:dyDescent="0.25">
      <c r="B242" s="7" t="s">
        <v>332</v>
      </c>
      <c r="C242" s="31"/>
      <c r="D242" s="32"/>
      <c r="E242" s="32"/>
      <c r="F242" s="32"/>
      <c r="G242" s="32"/>
      <c r="H242" s="32"/>
      <c r="I242" s="32"/>
      <c r="J242" s="32"/>
      <c r="K242" s="32"/>
      <c r="L242" s="52"/>
      <c r="M242" s="52"/>
      <c r="N242" s="52"/>
      <c r="O242" s="52"/>
      <c r="P242" s="52"/>
      <c r="Q242" s="52"/>
      <c r="R242" s="52"/>
      <c r="S242" s="52"/>
      <c r="T242" s="52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  <c r="AN242" s="89"/>
      <c r="AO242" s="89"/>
      <c r="AP242" s="89"/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CJ242" s="20"/>
    </row>
    <row r="243" spans="2:88" ht="15" customHeight="1" x14ac:dyDescent="0.25">
      <c r="B243" s="26" t="s">
        <v>119</v>
      </c>
      <c r="C243" s="7" t="s">
        <v>333</v>
      </c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X243" s="66"/>
      <c r="AY243" s="66"/>
      <c r="AZ243" s="66"/>
      <c r="BA243" s="66"/>
      <c r="BB243" s="66"/>
      <c r="BC243" s="66"/>
      <c r="BD243" s="66"/>
      <c r="CJ243" s="20"/>
    </row>
    <row r="244" spans="2:88" ht="15" customHeight="1" x14ac:dyDescent="0.25">
      <c r="B244" s="28" t="s">
        <v>121</v>
      </c>
      <c r="C244" s="7" t="s">
        <v>334</v>
      </c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  <c r="AR244" s="66"/>
      <c r="AS244" s="66"/>
      <c r="AT244" s="66"/>
      <c r="AU244" s="66"/>
      <c r="AV244" s="66"/>
      <c r="AW244" s="66"/>
      <c r="AX244" s="66"/>
      <c r="AY244" s="66"/>
      <c r="AZ244" s="66"/>
      <c r="BA244" s="66"/>
      <c r="BB244" s="66"/>
      <c r="BC244" s="66"/>
      <c r="BD244" s="66"/>
      <c r="CJ244" s="20"/>
    </row>
    <row r="245" spans="2:88" ht="15" customHeight="1" x14ac:dyDescent="0.25">
      <c r="B245" s="29" t="s">
        <v>123</v>
      </c>
      <c r="C245" s="7" t="s">
        <v>335</v>
      </c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66"/>
      <c r="AU245" s="66"/>
      <c r="AV245" s="66"/>
      <c r="AW245" s="66"/>
      <c r="AX245" s="66"/>
      <c r="AY245" s="66"/>
      <c r="AZ245" s="66"/>
      <c r="BA245" s="66"/>
      <c r="BB245" s="66"/>
      <c r="BC245" s="66"/>
      <c r="BD245" s="66"/>
      <c r="CJ245" s="20"/>
    </row>
    <row r="246" spans="2:88" ht="15" customHeight="1" x14ac:dyDescent="0.25">
      <c r="B246" s="28" t="s">
        <v>125</v>
      </c>
      <c r="C246" s="7" t="s">
        <v>336</v>
      </c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  <c r="AZ246" s="66"/>
      <c r="BA246" s="66"/>
      <c r="BB246" s="66"/>
      <c r="BC246" s="66"/>
      <c r="BD246" s="66"/>
      <c r="CJ246" s="20"/>
    </row>
    <row r="247" spans="2:88" ht="15" customHeight="1" x14ac:dyDescent="0.25">
      <c r="B247" s="7" t="s">
        <v>337</v>
      </c>
      <c r="C247" s="31"/>
      <c r="D247" s="32"/>
      <c r="E247" s="32"/>
      <c r="F247" s="32"/>
      <c r="G247" s="32"/>
      <c r="H247" s="32"/>
      <c r="I247" s="32"/>
      <c r="J247" s="32"/>
      <c r="K247" s="32"/>
      <c r="L247" s="52"/>
      <c r="M247" s="52"/>
      <c r="N247" s="52"/>
      <c r="O247" s="52"/>
      <c r="P247" s="52"/>
      <c r="Q247" s="52"/>
      <c r="R247" s="52"/>
      <c r="S247" s="52"/>
      <c r="T247" s="52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  <c r="AN247" s="89"/>
      <c r="AO247" s="89"/>
      <c r="AP247" s="89"/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CJ247" s="20"/>
    </row>
    <row r="248" spans="2:88" ht="15" customHeight="1" x14ac:dyDescent="0.25">
      <c r="B248" s="7" t="s">
        <v>327</v>
      </c>
      <c r="C248" s="31"/>
      <c r="D248" s="32"/>
      <c r="E248" s="32"/>
      <c r="F248" s="32"/>
      <c r="G248" s="32"/>
      <c r="H248" s="32"/>
      <c r="I248" s="32"/>
      <c r="J248" s="32"/>
      <c r="K248" s="32"/>
      <c r="L248" s="52"/>
      <c r="M248" s="52"/>
      <c r="N248" s="52"/>
      <c r="O248" s="52"/>
      <c r="P248" s="52"/>
      <c r="Q248" s="52"/>
      <c r="R248" s="52"/>
      <c r="S248" s="52"/>
      <c r="T248" s="52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89"/>
      <c r="AL248" s="89"/>
      <c r="AM248" s="89"/>
      <c r="AN248" s="89"/>
      <c r="AO248" s="89"/>
      <c r="AP248" s="89"/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CJ248" s="20"/>
    </row>
    <row r="249" spans="2:88" ht="15" customHeight="1" x14ac:dyDescent="0.25">
      <c r="B249" s="26" t="s">
        <v>119</v>
      </c>
      <c r="C249" s="7" t="s">
        <v>338</v>
      </c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6"/>
      <c r="AS249" s="66"/>
      <c r="AT249" s="66"/>
      <c r="AU249" s="66"/>
      <c r="AV249" s="66"/>
      <c r="AW249" s="66"/>
      <c r="AX249" s="66"/>
      <c r="AY249" s="66"/>
      <c r="AZ249" s="66"/>
      <c r="BA249" s="66"/>
      <c r="BB249" s="66"/>
      <c r="BC249" s="66"/>
      <c r="BD249" s="66"/>
      <c r="CJ249" s="20"/>
    </row>
    <row r="250" spans="2:88" ht="15" customHeight="1" x14ac:dyDescent="0.25">
      <c r="B250" s="28" t="s">
        <v>121</v>
      </c>
      <c r="C250" s="7" t="s">
        <v>339</v>
      </c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6"/>
      <c r="AW250" s="66"/>
      <c r="AX250" s="66"/>
      <c r="AY250" s="66"/>
      <c r="AZ250" s="66"/>
      <c r="BA250" s="66"/>
      <c r="BB250" s="66"/>
      <c r="BC250" s="66"/>
      <c r="BD250" s="66"/>
      <c r="CJ250" s="20"/>
    </row>
    <row r="251" spans="2:88" ht="15" customHeight="1" x14ac:dyDescent="0.25">
      <c r="B251" s="29" t="s">
        <v>123</v>
      </c>
      <c r="C251" s="7" t="s">
        <v>340</v>
      </c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6"/>
      <c r="AW251" s="66"/>
      <c r="AX251" s="66"/>
      <c r="AY251" s="66"/>
      <c r="AZ251" s="66"/>
      <c r="BA251" s="66"/>
      <c r="BB251" s="66"/>
      <c r="BC251" s="66"/>
      <c r="BD251" s="66"/>
      <c r="CJ251" s="20"/>
    </row>
    <row r="252" spans="2:88" ht="15" customHeight="1" x14ac:dyDescent="0.25">
      <c r="B252" s="28" t="s">
        <v>125</v>
      </c>
      <c r="C252" s="7" t="s">
        <v>341</v>
      </c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6"/>
      <c r="AW252" s="66"/>
      <c r="AX252" s="66"/>
      <c r="AY252" s="66"/>
      <c r="AZ252" s="66"/>
      <c r="BA252" s="66"/>
      <c r="BB252" s="66"/>
      <c r="BC252" s="66"/>
      <c r="BD252" s="66"/>
      <c r="CJ252" s="20"/>
    </row>
    <row r="253" spans="2:88" ht="15" customHeight="1" x14ac:dyDescent="0.25">
      <c r="B253" s="7" t="s">
        <v>332</v>
      </c>
      <c r="C253" s="31"/>
      <c r="D253" s="32"/>
      <c r="E253" s="32"/>
      <c r="F253" s="32"/>
      <c r="G253" s="32"/>
      <c r="H253" s="32"/>
      <c r="I253" s="32"/>
      <c r="J253" s="32"/>
      <c r="K253" s="32"/>
      <c r="L253" s="52"/>
      <c r="M253" s="52"/>
      <c r="N253" s="52"/>
      <c r="O253" s="52"/>
      <c r="P253" s="52"/>
      <c r="Q253" s="52"/>
      <c r="R253" s="52"/>
      <c r="S253" s="52"/>
      <c r="T253" s="52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89"/>
      <c r="AL253" s="89"/>
      <c r="AM253" s="89"/>
      <c r="AN253" s="89"/>
      <c r="AO253" s="89"/>
      <c r="AP253" s="89"/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CJ253" s="20"/>
    </row>
    <row r="254" spans="2:88" ht="15" customHeight="1" x14ac:dyDescent="0.25">
      <c r="B254" s="26" t="s">
        <v>119</v>
      </c>
      <c r="C254" s="7" t="s">
        <v>342</v>
      </c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/>
      <c r="AU254" s="66"/>
      <c r="AV254" s="66"/>
      <c r="AW254" s="66"/>
      <c r="AX254" s="66"/>
      <c r="AY254" s="66"/>
      <c r="AZ254" s="66"/>
      <c r="BA254" s="66"/>
      <c r="BB254" s="66"/>
      <c r="BC254" s="66"/>
      <c r="BD254" s="66"/>
      <c r="CJ254" s="20"/>
    </row>
    <row r="255" spans="2:88" ht="15" customHeight="1" x14ac:dyDescent="0.25">
      <c r="B255" s="28" t="s">
        <v>121</v>
      </c>
      <c r="C255" s="7" t="s">
        <v>343</v>
      </c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/>
      <c r="AU255" s="66"/>
      <c r="AV255" s="66"/>
      <c r="AW255" s="66"/>
      <c r="AX255" s="66"/>
      <c r="AY255" s="66"/>
      <c r="AZ255" s="66"/>
      <c r="BA255" s="66"/>
      <c r="BB255" s="66"/>
      <c r="BC255" s="66"/>
      <c r="BD255" s="66"/>
      <c r="CJ255" s="20"/>
    </row>
    <row r="256" spans="2:88" ht="15" customHeight="1" x14ac:dyDescent="0.25">
      <c r="B256" s="29" t="s">
        <v>123</v>
      </c>
      <c r="C256" s="7" t="s">
        <v>344</v>
      </c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/>
      <c r="AU256" s="66"/>
      <c r="AV256" s="66"/>
      <c r="AW256" s="66"/>
      <c r="AX256" s="66"/>
      <c r="AY256" s="66"/>
      <c r="AZ256" s="66"/>
      <c r="BA256" s="66"/>
      <c r="BB256" s="66"/>
      <c r="BC256" s="66"/>
      <c r="BD256" s="66"/>
      <c r="CJ256" s="20"/>
    </row>
    <row r="257" spans="2:88" ht="15" customHeight="1" x14ac:dyDescent="0.25">
      <c r="B257" s="28" t="s">
        <v>125</v>
      </c>
      <c r="C257" s="7" t="s">
        <v>345</v>
      </c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6"/>
      <c r="AS257" s="66"/>
      <c r="AT257" s="66"/>
      <c r="AU257" s="66"/>
      <c r="AV257" s="66"/>
      <c r="AW257" s="66"/>
      <c r="AX257" s="66"/>
      <c r="AY257" s="66"/>
      <c r="AZ257" s="66"/>
      <c r="BA257" s="66"/>
      <c r="BB257" s="66"/>
      <c r="BC257" s="66"/>
      <c r="BD257" s="66"/>
      <c r="CJ257" s="20"/>
    </row>
    <row r="258" spans="2:88" ht="15" customHeight="1" x14ac:dyDescent="0.25">
      <c r="B258" s="7" t="s">
        <v>346</v>
      </c>
      <c r="C258" s="31"/>
      <c r="D258" s="32"/>
      <c r="E258" s="32"/>
      <c r="F258" s="32"/>
      <c r="G258" s="32"/>
      <c r="H258" s="32"/>
      <c r="I258" s="32"/>
      <c r="J258" s="32"/>
      <c r="K258" s="32"/>
      <c r="L258" s="52"/>
      <c r="M258" s="52"/>
      <c r="N258" s="52"/>
      <c r="O258" s="52"/>
      <c r="P258" s="52"/>
      <c r="Q258" s="52"/>
      <c r="R258" s="52"/>
      <c r="S258" s="52"/>
      <c r="T258" s="52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  <c r="AN258" s="89"/>
      <c r="AO258" s="89"/>
      <c r="AP258" s="89"/>
      <c r="AQ258" s="89"/>
      <c r="AR258" s="89"/>
      <c r="AS258" s="89"/>
      <c r="AT258" s="89"/>
      <c r="AU258" s="89"/>
      <c r="AV258" s="89"/>
      <c r="AW258" s="89"/>
      <c r="AX258" s="89"/>
      <c r="AY258" s="89"/>
      <c r="AZ258" s="89"/>
      <c r="BA258" s="89"/>
      <c r="BB258" s="89"/>
      <c r="BC258" s="89"/>
      <c r="BD258" s="89"/>
      <c r="CJ258" s="20"/>
    </row>
    <row r="259" spans="2:88" ht="15" customHeight="1" x14ac:dyDescent="0.25">
      <c r="B259" s="7" t="s">
        <v>327</v>
      </c>
      <c r="C259" s="31"/>
      <c r="D259" s="32"/>
      <c r="E259" s="32"/>
      <c r="F259" s="32"/>
      <c r="G259" s="32"/>
      <c r="H259" s="32"/>
      <c r="I259" s="32"/>
      <c r="J259" s="32"/>
      <c r="K259" s="32"/>
      <c r="L259" s="52"/>
      <c r="M259" s="52"/>
      <c r="N259" s="52"/>
      <c r="O259" s="52"/>
      <c r="P259" s="52"/>
      <c r="Q259" s="52"/>
      <c r="R259" s="52"/>
      <c r="S259" s="52"/>
      <c r="T259" s="52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89"/>
      <c r="AL259" s="89"/>
      <c r="AM259" s="89"/>
      <c r="AN259" s="89"/>
      <c r="AO259" s="89"/>
      <c r="AP259" s="89"/>
      <c r="AQ259" s="89"/>
      <c r="AR259" s="89"/>
      <c r="AS259" s="89"/>
      <c r="AT259" s="89"/>
      <c r="AU259" s="89"/>
      <c r="AV259" s="89"/>
      <c r="AW259" s="89"/>
      <c r="AX259" s="89"/>
      <c r="AY259" s="89"/>
      <c r="AZ259" s="89"/>
      <c r="BA259" s="89"/>
      <c r="BB259" s="89"/>
      <c r="BC259" s="89"/>
      <c r="BD259" s="89"/>
      <c r="CJ259" s="20"/>
    </row>
    <row r="260" spans="2:88" ht="15" customHeight="1" x14ac:dyDescent="0.25">
      <c r="B260" s="26" t="s">
        <v>119</v>
      </c>
      <c r="C260" s="7" t="s">
        <v>347</v>
      </c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CJ260" s="20"/>
    </row>
    <row r="261" spans="2:88" ht="15" customHeight="1" x14ac:dyDescent="0.25">
      <c r="B261" s="28" t="s">
        <v>121</v>
      </c>
      <c r="C261" s="7" t="s">
        <v>348</v>
      </c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66"/>
      <c r="AU261" s="66"/>
      <c r="AV261" s="66"/>
      <c r="AW261" s="66"/>
      <c r="AX261" s="66"/>
      <c r="AY261" s="66"/>
      <c r="AZ261" s="66"/>
      <c r="BA261" s="66"/>
      <c r="BB261" s="66"/>
      <c r="BC261" s="66"/>
      <c r="BD261" s="66"/>
      <c r="CJ261" s="20"/>
    </row>
    <row r="262" spans="2:88" ht="15" customHeight="1" x14ac:dyDescent="0.25">
      <c r="B262" s="29" t="s">
        <v>123</v>
      </c>
      <c r="C262" s="7" t="s">
        <v>349</v>
      </c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6"/>
      <c r="AS262" s="66"/>
      <c r="AT262" s="66"/>
      <c r="AU262" s="66"/>
      <c r="AV262" s="66"/>
      <c r="AW262" s="66"/>
      <c r="AX262" s="66"/>
      <c r="AY262" s="66"/>
      <c r="AZ262" s="66"/>
      <c r="BA262" s="66"/>
      <c r="BB262" s="66"/>
      <c r="BC262" s="66"/>
      <c r="BD262" s="66"/>
      <c r="CJ262" s="20"/>
    </row>
    <row r="263" spans="2:88" ht="15" customHeight="1" x14ac:dyDescent="0.25">
      <c r="B263" s="28" t="s">
        <v>125</v>
      </c>
      <c r="C263" s="7" t="s">
        <v>350</v>
      </c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CJ263" s="20"/>
    </row>
    <row r="264" spans="2:88" ht="15" customHeight="1" x14ac:dyDescent="0.25">
      <c r="B264" s="7" t="s">
        <v>332</v>
      </c>
      <c r="C264" s="31"/>
      <c r="D264" s="32"/>
      <c r="E264" s="32"/>
      <c r="F264" s="32"/>
      <c r="G264" s="32"/>
      <c r="H264" s="32"/>
      <c r="I264" s="32"/>
      <c r="J264" s="32"/>
      <c r="K264" s="32"/>
      <c r="L264" s="52"/>
      <c r="M264" s="52"/>
      <c r="N264" s="52"/>
      <c r="O264" s="52"/>
      <c r="P264" s="52"/>
      <c r="Q264" s="52"/>
      <c r="R264" s="52"/>
      <c r="S264" s="52"/>
      <c r="T264" s="52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  <c r="AN264" s="89"/>
      <c r="AO264" s="89"/>
      <c r="AP264" s="89"/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CJ264" s="20"/>
    </row>
    <row r="265" spans="2:88" ht="15" customHeight="1" x14ac:dyDescent="0.25">
      <c r="B265" s="26" t="s">
        <v>119</v>
      </c>
      <c r="C265" s="7" t="s">
        <v>351</v>
      </c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66"/>
      <c r="AU265" s="66"/>
      <c r="AV265" s="66"/>
      <c r="AW265" s="66"/>
      <c r="AX265" s="66"/>
      <c r="AY265" s="66"/>
      <c r="AZ265" s="66"/>
      <c r="BA265" s="66"/>
      <c r="BB265" s="66"/>
      <c r="BC265" s="66"/>
      <c r="BD265" s="66"/>
      <c r="CJ265" s="20"/>
    </row>
    <row r="266" spans="2:88" ht="15" customHeight="1" x14ac:dyDescent="0.25">
      <c r="B266" s="28" t="s">
        <v>121</v>
      </c>
      <c r="C266" s="7" t="s">
        <v>352</v>
      </c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/>
      <c r="BB266" s="66"/>
      <c r="BC266" s="66"/>
      <c r="BD266" s="66"/>
      <c r="CJ266" s="20"/>
    </row>
    <row r="267" spans="2:88" ht="15" customHeight="1" x14ac:dyDescent="0.25">
      <c r="B267" s="29" t="s">
        <v>123</v>
      </c>
      <c r="C267" s="7" t="s">
        <v>353</v>
      </c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66"/>
      <c r="AU267" s="66"/>
      <c r="AV267" s="66"/>
      <c r="AW267" s="66"/>
      <c r="AX267" s="66"/>
      <c r="AY267" s="66"/>
      <c r="AZ267" s="66"/>
      <c r="BA267" s="66"/>
      <c r="BB267" s="66"/>
      <c r="BC267" s="66"/>
      <c r="BD267" s="66"/>
      <c r="CJ267" s="20"/>
    </row>
    <row r="268" spans="2:88" ht="15" customHeight="1" x14ac:dyDescent="0.25">
      <c r="B268" s="28" t="s">
        <v>125</v>
      </c>
      <c r="C268" s="7" t="s">
        <v>354</v>
      </c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  <c r="AZ268" s="66"/>
      <c r="BA268" s="66"/>
      <c r="BB268" s="66"/>
      <c r="BC268" s="66"/>
      <c r="BD268" s="66"/>
      <c r="CJ268" s="20"/>
    </row>
    <row r="269" spans="2:88" ht="15" customHeight="1" x14ac:dyDescent="0.25">
      <c r="B269" s="7" t="s">
        <v>355</v>
      </c>
      <c r="C269" s="31"/>
      <c r="D269" s="32"/>
      <c r="E269" s="32"/>
      <c r="F269" s="32"/>
      <c r="G269" s="32"/>
      <c r="H269" s="32"/>
      <c r="I269" s="32"/>
      <c r="J269" s="32"/>
      <c r="K269" s="32"/>
      <c r="L269" s="52"/>
      <c r="M269" s="52"/>
      <c r="N269" s="52"/>
      <c r="O269" s="52"/>
      <c r="P269" s="52"/>
      <c r="Q269" s="52"/>
      <c r="R269" s="52"/>
      <c r="S269" s="52"/>
      <c r="T269" s="52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CJ269" s="20"/>
    </row>
    <row r="270" spans="2:88" ht="15" customHeight="1" x14ac:dyDescent="0.25">
      <c r="B270" s="7" t="s">
        <v>327</v>
      </c>
      <c r="C270" s="31"/>
      <c r="D270" s="32"/>
      <c r="E270" s="32"/>
      <c r="F270" s="32"/>
      <c r="G270" s="32"/>
      <c r="H270" s="32"/>
      <c r="I270" s="32"/>
      <c r="J270" s="32"/>
      <c r="K270" s="32"/>
      <c r="L270" s="52"/>
      <c r="M270" s="52"/>
      <c r="N270" s="52"/>
      <c r="O270" s="52"/>
      <c r="P270" s="52"/>
      <c r="Q270" s="52"/>
      <c r="R270" s="52"/>
      <c r="S270" s="52"/>
      <c r="T270" s="52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  <c r="AN270" s="89"/>
      <c r="AO270" s="89"/>
      <c r="AP270" s="89"/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CJ270" s="20"/>
    </row>
    <row r="271" spans="2:88" ht="15" customHeight="1" x14ac:dyDescent="0.25">
      <c r="B271" s="26" t="s">
        <v>119</v>
      </c>
      <c r="C271" s="7" t="s">
        <v>356</v>
      </c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66"/>
      <c r="AU271" s="66"/>
      <c r="AV271" s="66"/>
      <c r="AW271" s="66"/>
      <c r="AX271" s="66"/>
      <c r="AY271" s="66"/>
      <c r="AZ271" s="66"/>
      <c r="BA271" s="66"/>
      <c r="BB271" s="66"/>
      <c r="BC271" s="66"/>
      <c r="BD271" s="66"/>
      <c r="CJ271" s="20"/>
    </row>
    <row r="272" spans="2:88" ht="15" customHeight="1" x14ac:dyDescent="0.25">
      <c r="B272" s="28" t="s">
        <v>121</v>
      </c>
      <c r="C272" s="7" t="s">
        <v>357</v>
      </c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66"/>
      <c r="AU272" s="66"/>
      <c r="AV272" s="66"/>
      <c r="AW272" s="66"/>
      <c r="AX272" s="66"/>
      <c r="AY272" s="66"/>
      <c r="AZ272" s="66"/>
      <c r="BA272" s="66"/>
      <c r="BB272" s="66"/>
      <c r="BC272" s="66"/>
      <c r="BD272" s="66"/>
      <c r="CJ272" s="20"/>
    </row>
    <row r="273" spans="2:88" ht="15" customHeight="1" x14ac:dyDescent="0.25">
      <c r="B273" s="29" t="s">
        <v>123</v>
      </c>
      <c r="C273" s="7" t="s">
        <v>358</v>
      </c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66"/>
      <c r="AU273" s="66"/>
      <c r="AV273" s="66"/>
      <c r="AW273" s="66"/>
      <c r="AX273" s="66"/>
      <c r="AY273" s="66"/>
      <c r="AZ273" s="66"/>
      <c r="BA273" s="66"/>
      <c r="BB273" s="66"/>
      <c r="BC273" s="66"/>
      <c r="BD273" s="66"/>
      <c r="CJ273" s="20"/>
    </row>
    <row r="274" spans="2:88" ht="15" customHeight="1" x14ac:dyDescent="0.25">
      <c r="B274" s="28" t="s">
        <v>125</v>
      </c>
      <c r="C274" s="7" t="s">
        <v>359</v>
      </c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/>
      <c r="AU274" s="66"/>
      <c r="AV274" s="66"/>
      <c r="AW274" s="66"/>
      <c r="AX274" s="66"/>
      <c r="AY274" s="66"/>
      <c r="AZ274" s="66"/>
      <c r="BA274" s="66"/>
      <c r="BB274" s="66"/>
      <c r="BC274" s="66"/>
      <c r="BD274" s="66"/>
      <c r="CJ274" s="20"/>
    </row>
    <row r="275" spans="2:88" ht="15" customHeight="1" x14ac:dyDescent="0.25">
      <c r="B275" s="7" t="s">
        <v>332</v>
      </c>
      <c r="C275" s="31"/>
      <c r="D275" s="32"/>
      <c r="E275" s="32"/>
      <c r="F275" s="32"/>
      <c r="G275" s="32"/>
      <c r="H275" s="32"/>
      <c r="I275" s="32"/>
      <c r="J275" s="32"/>
      <c r="K275" s="32"/>
      <c r="L275" s="52"/>
      <c r="M275" s="52"/>
      <c r="N275" s="52"/>
      <c r="O275" s="52"/>
      <c r="P275" s="52"/>
      <c r="Q275" s="52"/>
      <c r="R275" s="52"/>
      <c r="S275" s="52"/>
      <c r="T275" s="52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89"/>
      <c r="AL275" s="89"/>
      <c r="AM275" s="89"/>
      <c r="AN275" s="89"/>
      <c r="AO275" s="89"/>
      <c r="AP275" s="89"/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CJ275" s="20"/>
    </row>
    <row r="276" spans="2:88" ht="15" customHeight="1" x14ac:dyDescent="0.25">
      <c r="B276" s="26" t="s">
        <v>119</v>
      </c>
      <c r="C276" s="7" t="s">
        <v>360</v>
      </c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/>
      <c r="AU276" s="66"/>
      <c r="AV276" s="66"/>
      <c r="AW276" s="66"/>
      <c r="AX276" s="66"/>
      <c r="AY276" s="66"/>
      <c r="AZ276" s="66"/>
      <c r="BA276" s="66"/>
      <c r="BB276" s="66"/>
      <c r="BC276" s="66"/>
      <c r="BD276" s="66"/>
      <c r="CJ276" s="20"/>
    </row>
    <row r="277" spans="2:88" ht="15" customHeight="1" x14ac:dyDescent="0.25">
      <c r="B277" s="28" t="s">
        <v>121</v>
      </c>
      <c r="C277" s="7" t="s">
        <v>361</v>
      </c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6"/>
      <c r="AW277" s="66"/>
      <c r="AX277" s="66"/>
      <c r="AY277" s="66"/>
      <c r="AZ277" s="66"/>
      <c r="BA277" s="66"/>
      <c r="BB277" s="66"/>
      <c r="BC277" s="66"/>
      <c r="BD277" s="66"/>
      <c r="CJ277" s="20"/>
    </row>
    <row r="278" spans="2:88" ht="15" customHeight="1" x14ac:dyDescent="0.25">
      <c r="B278" s="29" t="s">
        <v>123</v>
      </c>
      <c r="C278" s="7" t="s">
        <v>362</v>
      </c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/>
      <c r="AX278" s="66"/>
      <c r="AY278" s="66"/>
      <c r="AZ278" s="66"/>
      <c r="BA278" s="66"/>
      <c r="BB278" s="66"/>
      <c r="BC278" s="66"/>
      <c r="BD278" s="66"/>
      <c r="CJ278" s="20"/>
    </row>
    <row r="279" spans="2:88" ht="15" customHeight="1" x14ac:dyDescent="0.25">
      <c r="B279" s="28" t="s">
        <v>125</v>
      </c>
      <c r="C279" s="7" t="s">
        <v>363</v>
      </c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66"/>
      <c r="AU279" s="66"/>
      <c r="AV279" s="66"/>
      <c r="AW279" s="66"/>
      <c r="AX279" s="66"/>
      <c r="AY279" s="66"/>
      <c r="AZ279" s="66"/>
      <c r="BA279" s="66"/>
      <c r="BB279" s="66"/>
      <c r="BC279" s="66"/>
      <c r="BD279" s="66"/>
      <c r="CJ279" s="20"/>
    </row>
    <row r="280" spans="2:88" ht="15" customHeight="1" x14ac:dyDescent="0.25">
      <c r="B280" s="7" t="s">
        <v>364</v>
      </c>
      <c r="C280" s="31"/>
      <c r="D280" s="32"/>
      <c r="E280" s="32"/>
      <c r="F280" s="32"/>
      <c r="G280" s="32"/>
      <c r="H280" s="32"/>
      <c r="I280" s="32"/>
      <c r="J280" s="32"/>
      <c r="K280" s="32"/>
      <c r="L280" s="52"/>
      <c r="M280" s="52"/>
      <c r="N280" s="52"/>
      <c r="O280" s="52"/>
      <c r="P280" s="52"/>
      <c r="Q280" s="52"/>
      <c r="R280" s="52"/>
      <c r="S280" s="52"/>
      <c r="T280" s="52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89"/>
      <c r="AL280" s="89"/>
      <c r="AM280" s="89"/>
      <c r="AN280" s="89"/>
      <c r="AO280" s="89"/>
      <c r="AP280" s="89"/>
      <c r="AQ280" s="89"/>
      <c r="AR280" s="89"/>
      <c r="AS280" s="89"/>
      <c r="AT280" s="89"/>
      <c r="AU280" s="89"/>
      <c r="AV280" s="89"/>
      <c r="AW280" s="89"/>
      <c r="AX280" s="89"/>
      <c r="AY280" s="89"/>
      <c r="AZ280" s="89"/>
      <c r="BA280" s="89"/>
      <c r="BB280" s="89"/>
      <c r="BC280" s="89"/>
      <c r="BD280" s="89"/>
      <c r="CJ280" s="20"/>
    </row>
    <row r="281" spans="2:88" ht="15" customHeight="1" x14ac:dyDescent="0.25">
      <c r="B281" s="7" t="s">
        <v>327</v>
      </c>
      <c r="C281" s="31"/>
      <c r="D281" s="32"/>
      <c r="E281" s="32"/>
      <c r="F281" s="32"/>
      <c r="G281" s="32"/>
      <c r="H281" s="32"/>
      <c r="I281" s="32"/>
      <c r="J281" s="32"/>
      <c r="K281" s="32"/>
      <c r="L281" s="52"/>
      <c r="M281" s="52"/>
      <c r="N281" s="52"/>
      <c r="O281" s="52"/>
      <c r="P281" s="52"/>
      <c r="Q281" s="52"/>
      <c r="R281" s="52"/>
      <c r="S281" s="52"/>
      <c r="T281" s="52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89"/>
      <c r="AL281" s="89"/>
      <c r="AM281" s="89"/>
      <c r="AN281" s="89"/>
      <c r="AO281" s="89"/>
      <c r="AP281" s="89"/>
      <c r="AQ281" s="89"/>
      <c r="AR281" s="89"/>
      <c r="AS281" s="89"/>
      <c r="AT281" s="89"/>
      <c r="AU281" s="89"/>
      <c r="AV281" s="89"/>
      <c r="AW281" s="89"/>
      <c r="AX281" s="89"/>
      <c r="AY281" s="89"/>
      <c r="AZ281" s="89"/>
      <c r="BA281" s="89"/>
      <c r="BB281" s="89"/>
      <c r="BC281" s="89"/>
      <c r="BD281" s="89"/>
      <c r="CJ281" s="20"/>
    </row>
    <row r="282" spans="2:88" ht="15" customHeight="1" x14ac:dyDescent="0.25">
      <c r="B282" s="26" t="s">
        <v>119</v>
      </c>
      <c r="C282" s="7" t="s">
        <v>365</v>
      </c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66"/>
      <c r="AU282" s="66"/>
      <c r="AV282" s="66"/>
      <c r="AW282" s="66"/>
      <c r="AX282" s="66"/>
      <c r="AY282" s="66"/>
      <c r="AZ282" s="66"/>
      <c r="BA282" s="66"/>
      <c r="BB282" s="66"/>
      <c r="BC282" s="66"/>
      <c r="BD282" s="66"/>
      <c r="CJ282" s="20"/>
    </row>
    <row r="283" spans="2:88" ht="15" customHeight="1" x14ac:dyDescent="0.25">
      <c r="B283" s="28" t="s">
        <v>121</v>
      </c>
      <c r="C283" s="7" t="s">
        <v>366</v>
      </c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  <c r="AR283" s="66"/>
      <c r="AS283" s="66"/>
      <c r="AT283" s="66"/>
      <c r="AU283" s="66"/>
      <c r="AV283" s="66"/>
      <c r="AW283" s="66"/>
      <c r="AX283" s="66"/>
      <c r="AY283" s="66"/>
      <c r="AZ283" s="66"/>
      <c r="BA283" s="66"/>
      <c r="BB283" s="66"/>
      <c r="BC283" s="66"/>
      <c r="BD283" s="66"/>
      <c r="CJ283" s="20"/>
    </row>
    <row r="284" spans="2:88" ht="15" customHeight="1" x14ac:dyDescent="0.25">
      <c r="B284" s="29" t="s">
        <v>123</v>
      </c>
      <c r="C284" s="7" t="s">
        <v>367</v>
      </c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66"/>
      <c r="AU284" s="66"/>
      <c r="AV284" s="66"/>
      <c r="AW284" s="66"/>
      <c r="AX284" s="66"/>
      <c r="AY284" s="66"/>
      <c r="AZ284" s="66"/>
      <c r="BA284" s="66"/>
      <c r="BB284" s="66"/>
      <c r="BC284" s="66"/>
      <c r="BD284" s="66"/>
      <c r="CJ284" s="20"/>
    </row>
    <row r="285" spans="2:88" ht="15" customHeight="1" x14ac:dyDescent="0.25">
      <c r="B285" s="28" t="s">
        <v>125</v>
      </c>
      <c r="C285" s="7" t="s">
        <v>368</v>
      </c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66"/>
      <c r="AU285" s="66"/>
      <c r="AV285" s="66"/>
      <c r="AW285" s="66"/>
      <c r="AX285" s="66"/>
      <c r="AY285" s="66"/>
      <c r="AZ285" s="66"/>
      <c r="BA285" s="66"/>
      <c r="BB285" s="66"/>
      <c r="BC285" s="66"/>
      <c r="BD285" s="66"/>
      <c r="CJ285" s="20"/>
    </row>
    <row r="286" spans="2:88" ht="15" customHeight="1" x14ac:dyDescent="0.25">
      <c r="B286" s="7" t="s">
        <v>332</v>
      </c>
      <c r="C286" s="31"/>
      <c r="D286" s="32"/>
      <c r="E286" s="32"/>
      <c r="F286" s="32"/>
      <c r="G286" s="32"/>
      <c r="H286" s="32"/>
      <c r="I286" s="32"/>
      <c r="J286" s="32"/>
      <c r="K286" s="32"/>
      <c r="L286" s="52"/>
      <c r="M286" s="52"/>
      <c r="N286" s="52"/>
      <c r="O286" s="52"/>
      <c r="P286" s="52"/>
      <c r="Q286" s="52"/>
      <c r="R286" s="52"/>
      <c r="S286" s="52"/>
      <c r="T286" s="52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89"/>
      <c r="AL286" s="89"/>
      <c r="AM286" s="89"/>
      <c r="AN286" s="89"/>
      <c r="AO286" s="89"/>
      <c r="AP286" s="89"/>
      <c r="AQ286" s="89"/>
      <c r="AR286" s="89"/>
      <c r="AS286" s="89"/>
      <c r="AT286" s="89"/>
      <c r="AU286" s="89"/>
      <c r="AV286" s="89"/>
      <c r="AW286" s="89"/>
      <c r="AX286" s="89"/>
      <c r="AY286" s="89"/>
      <c r="AZ286" s="89"/>
      <c r="BA286" s="89"/>
      <c r="BB286" s="89"/>
      <c r="BC286" s="89"/>
      <c r="BD286" s="89"/>
      <c r="CJ286" s="20"/>
    </row>
    <row r="287" spans="2:88" ht="15" customHeight="1" x14ac:dyDescent="0.25">
      <c r="B287" s="26" t="s">
        <v>119</v>
      </c>
      <c r="C287" s="7" t="s">
        <v>369</v>
      </c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  <c r="AR287" s="66"/>
      <c r="AS287" s="66"/>
      <c r="AT287" s="66"/>
      <c r="AU287" s="66"/>
      <c r="AV287" s="66"/>
      <c r="AW287" s="66"/>
      <c r="AX287" s="66"/>
      <c r="AY287" s="66"/>
      <c r="AZ287" s="66"/>
      <c r="BA287" s="66"/>
      <c r="BB287" s="66"/>
      <c r="BC287" s="66"/>
      <c r="BD287" s="66"/>
      <c r="CJ287" s="20"/>
    </row>
    <row r="288" spans="2:88" ht="15" customHeight="1" x14ac:dyDescent="0.25">
      <c r="B288" s="28" t="s">
        <v>121</v>
      </c>
      <c r="C288" s="7" t="s">
        <v>370</v>
      </c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66"/>
      <c r="AU288" s="66"/>
      <c r="AV288" s="66"/>
      <c r="AW288" s="66"/>
      <c r="AX288" s="66"/>
      <c r="AY288" s="66"/>
      <c r="AZ288" s="66"/>
      <c r="BA288" s="66"/>
      <c r="BB288" s="66"/>
      <c r="BC288" s="66"/>
      <c r="BD288" s="66"/>
      <c r="CJ288" s="20"/>
    </row>
    <row r="289" spans="2:88" ht="15" customHeight="1" x14ac:dyDescent="0.25">
      <c r="B289" s="29" t="s">
        <v>123</v>
      </c>
      <c r="C289" s="7" t="s">
        <v>371</v>
      </c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66"/>
      <c r="AU289" s="66"/>
      <c r="AV289" s="66"/>
      <c r="AW289" s="66"/>
      <c r="AX289" s="66"/>
      <c r="AY289" s="66"/>
      <c r="AZ289" s="66"/>
      <c r="BA289" s="66"/>
      <c r="BB289" s="66"/>
      <c r="BC289" s="66"/>
      <c r="BD289" s="66"/>
      <c r="CJ289" s="20"/>
    </row>
    <row r="290" spans="2:88" ht="15" customHeight="1" x14ac:dyDescent="0.25">
      <c r="B290" s="28" t="s">
        <v>125</v>
      </c>
      <c r="C290" s="7" t="s">
        <v>372</v>
      </c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66"/>
      <c r="AU290" s="66"/>
      <c r="AV290" s="66"/>
      <c r="AW290" s="66"/>
      <c r="AX290" s="66"/>
      <c r="AY290" s="66"/>
      <c r="AZ290" s="66"/>
      <c r="BA290" s="66"/>
      <c r="BB290" s="66"/>
      <c r="BC290" s="66"/>
      <c r="BD290" s="66"/>
      <c r="CJ290" s="20"/>
    </row>
    <row r="291" spans="2:88" ht="15" customHeight="1" x14ac:dyDescent="0.25">
      <c r="B291" s="7" t="s">
        <v>373</v>
      </c>
      <c r="C291" s="31"/>
      <c r="D291" s="32"/>
      <c r="E291" s="32"/>
      <c r="F291" s="32"/>
      <c r="G291" s="32"/>
      <c r="H291" s="32"/>
      <c r="I291" s="32"/>
      <c r="J291" s="32"/>
      <c r="K291" s="32"/>
      <c r="L291" s="52"/>
      <c r="M291" s="52"/>
      <c r="N291" s="52"/>
      <c r="O291" s="52"/>
      <c r="P291" s="52"/>
      <c r="Q291" s="52"/>
      <c r="R291" s="52"/>
      <c r="S291" s="52"/>
      <c r="T291" s="52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89"/>
      <c r="AL291" s="89"/>
      <c r="AM291" s="89"/>
      <c r="AN291" s="89"/>
      <c r="AO291" s="89"/>
      <c r="AP291" s="89"/>
      <c r="AQ291" s="89"/>
      <c r="AR291" s="89"/>
      <c r="AS291" s="89"/>
      <c r="AT291" s="89"/>
      <c r="AU291" s="89"/>
      <c r="AV291" s="89"/>
      <c r="AW291" s="89"/>
      <c r="AX291" s="89"/>
      <c r="AY291" s="89"/>
      <c r="AZ291" s="89"/>
      <c r="BA291" s="89"/>
      <c r="BB291" s="89"/>
      <c r="BC291" s="89"/>
      <c r="BD291" s="89"/>
      <c r="CJ291" s="20"/>
    </row>
    <row r="292" spans="2:88" ht="15" customHeight="1" x14ac:dyDescent="0.25">
      <c r="B292" s="7" t="s">
        <v>327</v>
      </c>
      <c r="C292" s="31"/>
      <c r="D292" s="32"/>
      <c r="E292" s="32"/>
      <c r="F292" s="32"/>
      <c r="G292" s="32"/>
      <c r="H292" s="32"/>
      <c r="I292" s="32"/>
      <c r="J292" s="32"/>
      <c r="K292" s="32"/>
      <c r="L292" s="52"/>
      <c r="M292" s="52"/>
      <c r="N292" s="52"/>
      <c r="O292" s="52"/>
      <c r="P292" s="52"/>
      <c r="Q292" s="52"/>
      <c r="R292" s="52"/>
      <c r="S292" s="52"/>
      <c r="T292" s="52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89"/>
      <c r="AL292" s="89"/>
      <c r="AM292" s="89"/>
      <c r="AN292" s="89"/>
      <c r="AO292" s="89"/>
      <c r="AP292" s="89"/>
      <c r="AQ292" s="89"/>
      <c r="AR292" s="89"/>
      <c r="AS292" s="89"/>
      <c r="AT292" s="89"/>
      <c r="AU292" s="89"/>
      <c r="AV292" s="89"/>
      <c r="AW292" s="89"/>
      <c r="AX292" s="89"/>
      <c r="AY292" s="89"/>
      <c r="AZ292" s="89"/>
      <c r="BA292" s="89"/>
      <c r="BB292" s="89"/>
      <c r="BC292" s="89"/>
      <c r="BD292" s="89"/>
      <c r="CJ292" s="20"/>
    </row>
    <row r="293" spans="2:88" ht="15" customHeight="1" x14ac:dyDescent="0.25">
      <c r="B293" s="26" t="s">
        <v>119</v>
      </c>
      <c r="C293" s="7" t="s">
        <v>374</v>
      </c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66"/>
      <c r="AU293" s="66"/>
      <c r="AV293" s="66"/>
      <c r="AW293" s="66"/>
      <c r="AX293" s="66"/>
      <c r="AY293" s="66"/>
      <c r="AZ293" s="66"/>
      <c r="BA293" s="66"/>
      <c r="BB293" s="66"/>
      <c r="BC293" s="66"/>
      <c r="BD293" s="66"/>
      <c r="CJ293" s="20"/>
    </row>
    <row r="294" spans="2:88" ht="15" customHeight="1" x14ac:dyDescent="0.25">
      <c r="B294" s="28" t="s">
        <v>121</v>
      </c>
      <c r="C294" s="7" t="s">
        <v>375</v>
      </c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/>
      <c r="AU294" s="66"/>
      <c r="AV294" s="66"/>
      <c r="AW294" s="66"/>
      <c r="AX294" s="66"/>
      <c r="AY294" s="66"/>
      <c r="AZ294" s="66"/>
      <c r="BA294" s="66"/>
      <c r="BB294" s="66"/>
      <c r="BC294" s="66"/>
      <c r="BD294" s="66"/>
      <c r="CJ294" s="20"/>
    </row>
    <row r="295" spans="2:88" ht="15" customHeight="1" x14ac:dyDescent="0.25">
      <c r="B295" s="29" t="s">
        <v>123</v>
      </c>
      <c r="C295" s="7" t="s">
        <v>376</v>
      </c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/>
      <c r="AU295" s="66"/>
      <c r="AV295" s="66"/>
      <c r="AW295" s="66"/>
      <c r="AX295" s="66"/>
      <c r="AY295" s="66"/>
      <c r="AZ295" s="66"/>
      <c r="BA295" s="66"/>
      <c r="BB295" s="66"/>
      <c r="BC295" s="66"/>
      <c r="BD295" s="66"/>
      <c r="CJ295" s="20"/>
    </row>
    <row r="296" spans="2:88" ht="15" customHeight="1" x14ac:dyDescent="0.25">
      <c r="B296" s="28" t="s">
        <v>125</v>
      </c>
      <c r="C296" s="7" t="s">
        <v>377</v>
      </c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6"/>
      <c r="AW296" s="66"/>
      <c r="AX296" s="66"/>
      <c r="AY296" s="66"/>
      <c r="AZ296" s="66"/>
      <c r="BA296" s="66"/>
      <c r="BB296" s="66"/>
      <c r="BC296" s="66"/>
      <c r="BD296" s="66"/>
      <c r="CJ296" s="20"/>
    </row>
    <row r="297" spans="2:88" ht="15" customHeight="1" x14ac:dyDescent="0.25">
      <c r="B297" s="7" t="s">
        <v>332</v>
      </c>
      <c r="C297" s="31"/>
      <c r="D297" s="32"/>
      <c r="E297" s="32"/>
      <c r="F297" s="32"/>
      <c r="G297" s="32"/>
      <c r="H297" s="32"/>
      <c r="I297" s="32"/>
      <c r="J297" s="32"/>
      <c r="K297" s="32"/>
      <c r="L297" s="52"/>
      <c r="M297" s="52"/>
      <c r="N297" s="52"/>
      <c r="O297" s="52"/>
      <c r="P297" s="52"/>
      <c r="Q297" s="52"/>
      <c r="R297" s="52"/>
      <c r="S297" s="52"/>
      <c r="T297" s="52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89"/>
      <c r="AK297" s="89"/>
      <c r="AL297" s="89"/>
      <c r="AM297" s="89"/>
      <c r="AN297" s="89"/>
      <c r="AO297" s="89"/>
      <c r="AP297" s="89"/>
      <c r="AQ297" s="89"/>
      <c r="AR297" s="89"/>
      <c r="AS297" s="89"/>
      <c r="AT297" s="89"/>
      <c r="AU297" s="89"/>
      <c r="AV297" s="89"/>
      <c r="AW297" s="89"/>
      <c r="AX297" s="89"/>
      <c r="AY297" s="89"/>
      <c r="AZ297" s="89"/>
      <c r="BA297" s="89"/>
      <c r="BB297" s="89"/>
      <c r="BC297" s="89"/>
      <c r="BD297" s="89"/>
      <c r="CJ297" s="20"/>
    </row>
    <row r="298" spans="2:88" ht="15" customHeight="1" x14ac:dyDescent="0.25">
      <c r="B298" s="26" t="s">
        <v>119</v>
      </c>
      <c r="C298" s="7" t="s">
        <v>378</v>
      </c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/>
      <c r="AT298" s="66"/>
      <c r="AU298" s="66"/>
      <c r="AV298" s="66"/>
      <c r="AW298" s="66"/>
      <c r="AX298" s="66"/>
      <c r="AY298" s="66"/>
      <c r="AZ298" s="66"/>
      <c r="BA298" s="66"/>
      <c r="BB298" s="66"/>
      <c r="BC298" s="66"/>
      <c r="BD298" s="66"/>
      <c r="CJ298" s="20"/>
    </row>
    <row r="299" spans="2:88" ht="15" customHeight="1" x14ac:dyDescent="0.25">
      <c r="B299" s="28" t="s">
        <v>121</v>
      </c>
      <c r="C299" s="7" t="s">
        <v>379</v>
      </c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66"/>
      <c r="AU299" s="66"/>
      <c r="AV299" s="66"/>
      <c r="AW299" s="66"/>
      <c r="AX299" s="66"/>
      <c r="AY299" s="66"/>
      <c r="AZ299" s="66"/>
      <c r="BA299" s="66"/>
      <c r="BB299" s="66"/>
      <c r="BC299" s="66"/>
      <c r="BD299" s="66"/>
      <c r="CI299" s="20" t="s">
        <v>380</v>
      </c>
    </row>
    <row r="300" spans="2:88" ht="15" customHeight="1" x14ac:dyDescent="0.25">
      <c r="B300" s="29" t="s">
        <v>123</v>
      </c>
      <c r="C300" s="7" t="s">
        <v>381</v>
      </c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66"/>
      <c r="AU300" s="66"/>
      <c r="AV300" s="66"/>
      <c r="AW300" s="66"/>
      <c r="AX300" s="66"/>
      <c r="AY300" s="66"/>
      <c r="AZ300" s="66"/>
      <c r="BA300" s="66"/>
      <c r="BB300" s="66"/>
      <c r="BC300" s="66"/>
      <c r="BD300" s="66"/>
      <c r="CI300" s="20" t="s">
        <v>382</v>
      </c>
    </row>
    <row r="301" spans="2:88" ht="15" customHeight="1" x14ac:dyDescent="0.25">
      <c r="B301" s="28" t="s">
        <v>125</v>
      </c>
      <c r="C301" s="7" t="s">
        <v>383</v>
      </c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  <c r="AR301" s="66"/>
      <c r="AS301" s="66"/>
      <c r="AT301" s="66"/>
      <c r="AU301" s="66"/>
      <c r="AV301" s="66"/>
      <c r="AW301" s="66"/>
      <c r="AX301" s="66"/>
      <c r="AY301" s="66"/>
      <c r="AZ301" s="66"/>
      <c r="BA301" s="66"/>
      <c r="BB301" s="66"/>
      <c r="BC301" s="66"/>
      <c r="BD301" s="66"/>
      <c r="CI301" s="39" t="s">
        <v>384</v>
      </c>
    </row>
    <row r="302" spans="2:88" ht="15.75" x14ac:dyDescent="0.25">
      <c r="B302"/>
      <c r="C302" s="30"/>
      <c r="D302"/>
      <c r="E302"/>
      <c r="F302"/>
      <c r="G302" s="4"/>
      <c r="H302" s="4"/>
      <c r="Q302" s="1"/>
      <c r="CI302" s="40" t="s">
        <v>385</v>
      </c>
    </row>
    <row r="303" spans="2:88" ht="15.75" x14ac:dyDescent="0.25">
      <c r="B303" s="41" t="s">
        <v>386</v>
      </c>
      <c r="C303" s="41"/>
      <c r="D303" s="51"/>
      <c r="E303" s="51"/>
      <c r="F303" s="51"/>
      <c r="G303" s="50"/>
      <c r="H303" s="4"/>
      <c r="Q303" s="1"/>
      <c r="CI303" s="42" t="s">
        <v>387</v>
      </c>
    </row>
    <row r="304" spans="2:88" ht="15.75" x14ac:dyDescent="0.25">
      <c r="D304"/>
      <c r="E304"/>
      <c r="F304"/>
      <c r="G304" s="4"/>
      <c r="H304" s="4"/>
      <c r="Q304" s="1"/>
      <c r="CI304" s="20" t="s">
        <v>388</v>
      </c>
    </row>
    <row r="305" spans="2:87" ht="15.75" x14ac:dyDescent="0.25">
      <c r="B305" s="43" t="s">
        <v>389</v>
      </c>
      <c r="C305"/>
      <c r="D305"/>
      <c r="E305"/>
      <c r="F305"/>
      <c r="G305" s="4"/>
      <c r="H305" s="4"/>
      <c r="Q305" s="1"/>
      <c r="CI305" s="20" t="s">
        <v>390</v>
      </c>
    </row>
    <row r="306" spans="2:87" ht="15" customHeight="1" x14ac:dyDescent="0.25">
      <c r="B306" s="35" t="s">
        <v>391</v>
      </c>
      <c r="C306" s="7"/>
      <c r="D306" s="13">
        <v>0</v>
      </c>
      <c r="E306" s="13">
        <v>846.17</v>
      </c>
      <c r="F306" s="13">
        <v>908.54587424016336</v>
      </c>
      <c r="G306" s="13">
        <v>915.79159766142743</v>
      </c>
      <c r="H306" s="13">
        <v>1086.4174788002426</v>
      </c>
      <c r="I306" s="13">
        <v>1087.9586747830829</v>
      </c>
      <c r="J306" s="13">
        <v>1112.2841921499398</v>
      </c>
      <c r="K306" s="13">
        <v>1158.9651276295481</v>
      </c>
      <c r="L306" s="55">
        <v>1236.6099999999999</v>
      </c>
      <c r="M306" s="55">
        <v>938.22</v>
      </c>
      <c r="N306" s="55">
        <v>953.51</v>
      </c>
      <c r="O306" s="55">
        <v>1316.29</v>
      </c>
      <c r="P306" s="55">
        <v>1219.81</v>
      </c>
      <c r="Q306" s="55">
        <v>1088.6099999999999</v>
      </c>
      <c r="R306" s="55">
        <v>1125.97</v>
      </c>
      <c r="S306" s="55">
        <v>1127.28</v>
      </c>
      <c r="T306" s="55">
        <v>947.6</v>
      </c>
      <c r="U306" s="65">
        <v>1068.6099999999999</v>
      </c>
      <c r="V306" s="65">
        <v>1044.3800000000001</v>
      </c>
      <c r="W306" s="65">
        <v>1005.11</v>
      </c>
      <c r="X306" s="65">
        <v>926.8</v>
      </c>
      <c r="Y306" s="65">
        <v>900.54</v>
      </c>
      <c r="Z306" s="65">
        <v>1601.98</v>
      </c>
      <c r="AA306" s="65">
        <v>1133.23</v>
      </c>
      <c r="AB306" s="65">
        <v>619.1</v>
      </c>
      <c r="AC306" s="65">
        <v>598.04999999999995</v>
      </c>
      <c r="AD306" s="65">
        <v>828.8</v>
      </c>
      <c r="AE306" s="65">
        <v>422.05</v>
      </c>
      <c r="AF306" s="65">
        <v>426.32</v>
      </c>
      <c r="AG306" s="14">
        <v>292.57</v>
      </c>
      <c r="AH306" s="14">
        <v>292.57</v>
      </c>
      <c r="AI306" s="65">
        <v>297.57</v>
      </c>
      <c r="AJ306" s="65">
        <v>338.82</v>
      </c>
      <c r="AK306" s="65">
        <v>310.08999999999997</v>
      </c>
      <c r="AL306" s="65">
        <v>296.98</v>
      </c>
      <c r="AM306" s="65">
        <v>264.73</v>
      </c>
      <c r="AN306" s="65">
        <v>107.56</v>
      </c>
      <c r="AO306" s="65">
        <v>145.88999999999999</v>
      </c>
      <c r="AP306" s="65">
        <v>91.16</v>
      </c>
      <c r="AQ306" s="65">
        <v>127.78099570000001</v>
      </c>
      <c r="AR306" s="65">
        <v>112.24</v>
      </c>
      <c r="AS306" s="94">
        <v>110.41</v>
      </c>
      <c r="AT306" s="65">
        <v>110.41</v>
      </c>
      <c r="AU306" s="65">
        <v>115.50656766325446</v>
      </c>
      <c r="AV306" s="94">
        <v>75.39</v>
      </c>
      <c r="AW306" s="84">
        <v>41.98</v>
      </c>
      <c r="AX306" s="84">
        <v>41.17</v>
      </c>
      <c r="AY306" s="84">
        <v>40.56</v>
      </c>
      <c r="AZ306" s="84">
        <v>43.07</v>
      </c>
      <c r="BA306" s="84">
        <v>0.01</v>
      </c>
      <c r="BB306" s="84">
        <v>0.01</v>
      </c>
      <c r="BC306" s="84">
        <v>0.01</v>
      </c>
      <c r="BD306" s="84"/>
      <c r="CI306" s="20" t="s">
        <v>392</v>
      </c>
    </row>
    <row r="307" spans="2:87" ht="33" customHeight="1" x14ac:dyDescent="0.25">
      <c r="B307" s="35" t="s">
        <v>393</v>
      </c>
      <c r="C307" s="7"/>
      <c r="D307" s="14"/>
      <c r="E307" s="14"/>
      <c r="F307" s="14"/>
      <c r="G307" s="14"/>
      <c r="H307" s="14"/>
      <c r="I307" s="14"/>
      <c r="J307" s="14"/>
      <c r="K307" s="14"/>
      <c r="L307" s="53"/>
      <c r="M307" s="53"/>
      <c r="N307" s="53"/>
      <c r="O307" s="53"/>
      <c r="P307" s="53"/>
      <c r="Q307" s="53"/>
      <c r="R307" s="53"/>
      <c r="S307" s="53"/>
      <c r="T307" s="53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  <c r="AV307" s="66"/>
      <c r="AW307" s="66"/>
      <c r="AX307" s="66"/>
      <c r="AY307" s="66"/>
      <c r="AZ307" s="66"/>
      <c r="BA307" s="66"/>
      <c r="BB307" s="66"/>
      <c r="BC307" s="66"/>
      <c r="BD307" s="66"/>
      <c r="CI307" s="20" t="s">
        <v>394</v>
      </c>
    </row>
    <row r="308" spans="2:87" ht="15" customHeight="1" x14ac:dyDescent="0.25">
      <c r="B308" s="17" t="s">
        <v>395</v>
      </c>
      <c r="C308" s="7"/>
      <c r="D308" s="14"/>
      <c r="E308" s="14"/>
      <c r="F308" s="14"/>
      <c r="G308" s="14"/>
      <c r="H308" s="14"/>
      <c r="I308" s="14"/>
      <c r="J308" s="14"/>
      <c r="K308" s="14"/>
      <c r="L308" s="53"/>
      <c r="M308" s="53"/>
      <c r="N308" s="53"/>
      <c r="O308" s="53"/>
      <c r="P308" s="53"/>
      <c r="Q308" s="53"/>
      <c r="R308" s="53"/>
      <c r="S308" s="53"/>
      <c r="T308" s="53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6"/>
      <c r="BB308" s="66"/>
      <c r="BC308" s="66"/>
      <c r="BD308" s="66"/>
      <c r="CI308" s="20" t="s">
        <v>396</v>
      </c>
    </row>
    <row r="309" spans="2:87" ht="15" customHeight="1" x14ac:dyDescent="0.25">
      <c r="B309" s="17" t="s">
        <v>397</v>
      </c>
      <c r="C309" s="7"/>
      <c r="D309" s="14"/>
      <c r="E309" s="14"/>
      <c r="F309" s="14"/>
      <c r="G309" s="14"/>
      <c r="H309" s="14"/>
      <c r="I309" s="14"/>
      <c r="J309" s="14"/>
      <c r="K309" s="14"/>
      <c r="L309" s="53"/>
      <c r="M309" s="53"/>
      <c r="N309" s="53"/>
      <c r="O309" s="53"/>
      <c r="P309" s="53"/>
      <c r="Q309" s="53"/>
      <c r="R309" s="53"/>
      <c r="S309" s="53"/>
      <c r="T309" s="53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66"/>
      <c r="AU309" s="66"/>
      <c r="AV309" s="66"/>
      <c r="AW309" s="66"/>
      <c r="AX309" s="66"/>
      <c r="AY309" s="66"/>
      <c r="AZ309" s="66"/>
      <c r="BA309" s="66"/>
      <c r="BB309" s="66"/>
      <c r="BC309" s="66"/>
      <c r="BD309" s="66"/>
      <c r="CI309" s="20" t="s">
        <v>398</v>
      </c>
    </row>
    <row r="310" spans="2:87" ht="15" customHeight="1" x14ac:dyDescent="0.25">
      <c r="B310" s="17" t="s">
        <v>399</v>
      </c>
      <c r="C310" s="7"/>
      <c r="D310" s="14"/>
      <c r="E310" s="14"/>
      <c r="F310" s="14"/>
      <c r="G310" s="14"/>
      <c r="H310" s="14"/>
      <c r="I310" s="14"/>
      <c r="J310" s="14"/>
      <c r="K310" s="14"/>
      <c r="L310" s="53"/>
      <c r="M310" s="53"/>
      <c r="N310" s="53"/>
      <c r="O310" s="53"/>
      <c r="P310" s="53"/>
      <c r="Q310" s="53"/>
      <c r="R310" s="53"/>
      <c r="S310" s="53"/>
      <c r="T310" s="53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66"/>
      <c r="AU310" s="66"/>
      <c r="AV310" s="66"/>
      <c r="AW310" s="66"/>
      <c r="AX310" s="66"/>
      <c r="AY310" s="66"/>
      <c r="AZ310" s="66"/>
      <c r="BA310" s="66"/>
      <c r="BB310" s="66"/>
      <c r="BC310" s="66"/>
      <c r="BD310" s="66"/>
      <c r="CI310" s="20" t="s">
        <v>400</v>
      </c>
    </row>
    <row r="311" spans="2:87" ht="15" customHeight="1" x14ac:dyDescent="0.25">
      <c r="B311" s="17" t="s">
        <v>401</v>
      </c>
      <c r="C311" s="7"/>
      <c r="D311" s="14"/>
      <c r="E311" s="14"/>
      <c r="F311" s="14"/>
      <c r="G311" s="14"/>
      <c r="H311" s="14"/>
      <c r="I311" s="14"/>
      <c r="J311" s="14"/>
      <c r="K311" s="14"/>
      <c r="L311" s="53"/>
      <c r="M311" s="53"/>
      <c r="N311" s="53"/>
      <c r="O311" s="53"/>
      <c r="P311" s="53"/>
      <c r="Q311" s="53"/>
      <c r="R311" s="53"/>
      <c r="S311" s="53"/>
      <c r="T311" s="53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6"/>
      <c r="AS311" s="66"/>
      <c r="AT311" s="66"/>
      <c r="AU311" s="66"/>
      <c r="AV311" s="66"/>
      <c r="AW311" s="66"/>
      <c r="AX311" s="66"/>
      <c r="AY311" s="66"/>
      <c r="AZ311" s="66"/>
      <c r="BA311" s="66"/>
      <c r="BB311" s="66"/>
      <c r="BC311" s="66"/>
      <c r="BD311" s="66"/>
      <c r="CI311" s="20" t="s">
        <v>402</v>
      </c>
    </row>
    <row r="312" spans="2:87" ht="20.100000000000001" customHeight="1" x14ac:dyDescent="0.25">
      <c r="B312" s="19" t="s">
        <v>403</v>
      </c>
      <c r="C312" s="15"/>
      <c r="D312" s="49"/>
      <c r="E312" s="14"/>
      <c r="F312" s="14"/>
      <c r="G312" s="14"/>
      <c r="H312" s="14"/>
      <c r="I312" s="14"/>
      <c r="J312" s="14"/>
      <c r="K312" s="14"/>
      <c r="L312" s="56"/>
      <c r="M312" s="56"/>
      <c r="N312" s="56"/>
      <c r="O312" s="56"/>
      <c r="P312" s="56"/>
      <c r="Q312" s="56"/>
      <c r="R312" s="56"/>
      <c r="S312" s="56"/>
      <c r="T312" s="56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  <c r="AR312" s="67"/>
      <c r="AS312" s="67"/>
      <c r="AT312" s="67"/>
      <c r="AU312" s="67"/>
      <c r="AV312" s="67"/>
      <c r="AW312" s="67"/>
      <c r="AX312" s="67"/>
      <c r="AY312" s="67"/>
      <c r="AZ312" s="67"/>
      <c r="BA312" s="67"/>
      <c r="BB312" s="67"/>
      <c r="BC312" s="67"/>
      <c r="BD312" s="67"/>
      <c r="CI312" s="20" t="s">
        <v>404</v>
      </c>
    </row>
    <row r="313" spans="2:87" ht="15" customHeight="1" x14ac:dyDescent="0.25">
      <c r="B313" s="17" t="s">
        <v>405</v>
      </c>
      <c r="C313" s="7"/>
      <c r="D313" s="14"/>
      <c r="E313" s="14"/>
      <c r="F313" s="14"/>
      <c r="G313" s="14"/>
      <c r="H313" s="14"/>
      <c r="I313" s="14"/>
      <c r="J313" s="14"/>
      <c r="K313" s="14"/>
      <c r="L313" s="53"/>
      <c r="M313" s="53"/>
      <c r="N313" s="53"/>
      <c r="O313" s="53"/>
      <c r="P313" s="53"/>
      <c r="Q313" s="53"/>
      <c r="R313" s="53"/>
      <c r="S313" s="53"/>
      <c r="T313" s="53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66"/>
      <c r="AU313" s="66"/>
      <c r="AV313" s="66"/>
      <c r="AW313" s="66"/>
      <c r="AX313" s="66"/>
      <c r="AY313" s="66"/>
      <c r="AZ313" s="66"/>
      <c r="BA313" s="66"/>
      <c r="BB313" s="66"/>
      <c r="BC313" s="66"/>
      <c r="BD313" s="66"/>
      <c r="CI313" s="20" t="s">
        <v>406</v>
      </c>
    </row>
    <row r="314" spans="2:87" ht="15" customHeight="1" x14ac:dyDescent="0.25">
      <c r="B314" s="17" t="s">
        <v>407</v>
      </c>
      <c r="C314" s="7"/>
      <c r="D314" s="14"/>
      <c r="E314" s="14"/>
      <c r="F314" s="14"/>
      <c r="G314" s="14"/>
      <c r="H314" s="14"/>
      <c r="I314" s="14"/>
      <c r="J314" s="14"/>
      <c r="K314" s="14"/>
      <c r="L314" s="53"/>
      <c r="M314" s="53"/>
      <c r="N314" s="53"/>
      <c r="O314" s="53"/>
      <c r="P314" s="53"/>
      <c r="Q314" s="53"/>
      <c r="R314" s="53"/>
      <c r="S314" s="53"/>
      <c r="T314" s="53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/>
      <c r="AU314" s="66"/>
      <c r="AV314" s="66"/>
      <c r="AW314" s="66"/>
      <c r="AX314" s="66"/>
      <c r="AY314" s="66"/>
      <c r="AZ314" s="66"/>
      <c r="BA314" s="66"/>
      <c r="BB314" s="66"/>
      <c r="BC314" s="66"/>
      <c r="BD314" s="66"/>
      <c r="CI314" s="20" t="s">
        <v>408</v>
      </c>
    </row>
    <row r="315" spans="2:87" ht="20.100000000000001" customHeight="1" x14ac:dyDescent="0.25">
      <c r="B315" s="19" t="s">
        <v>409</v>
      </c>
      <c r="C315" s="15"/>
      <c r="D315" s="14"/>
      <c r="E315" s="14"/>
      <c r="F315" s="14"/>
      <c r="G315" s="14"/>
      <c r="H315" s="14"/>
      <c r="I315" s="14"/>
      <c r="J315" s="14"/>
      <c r="K315" s="14"/>
      <c r="L315" s="56"/>
      <c r="M315" s="56"/>
      <c r="N315" s="56"/>
      <c r="O315" s="56"/>
      <c r="P315" s="56"/>
      <c r="Q315" s="56"/>
      <c r="R315" s="56"/>
      <c r="S315" s="56"/>
      <c r="T315" s="56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  <c r="AR315" s="67"/>
      <c r="AS315" s="67"/>
      <c r="AT315" s="67"/>
      <c r="AU315" s="67"/>
      <c r="AV315" s="67"/>
      <c r="AW315" s="67"/>
      <c r="AX315" s="67"/>
      <c r="AY315" s="67"/>
      <c r="AZ315" s="67"/>
      <c r="BA315" s="67"/>
      <c r="BB315" s="67"/>
      <c r="BC315" s="67"/>
      <c r="BD315" s="67"/>
      <c r="CI315" s="20" t="s">
        <v>410</v>
      </c>
    </row>
    <row r="316" spans="2:87" ht="15" customHeight="1" x14ac:dyDescent="0.25">
      <c r="B316" s="17" t="s">
        <v>411</v>
      </c>
      <c r="C316" s="7"/>
      <c r="D316" s="13">
        <v>2232.1341516699199</v>
      </c>
      <c r="E316" s="13">
        <v>2229.4518213850297</v>
      </c>
      <c r="F316" s="13">
        <v>1002.7083333327807</v>
      </c>
      <c r="G316" s="13"/>
      <c r="H316" s="13"/>
      <c r="I316" s="13"/>
      <c r="J316" s="13"/>
      <c r="K316" s="13"/>
      <c r="L316" s="55"/>
      <c r="M316" s="55"/>
      <c r="N316" s="55"/>
      <c r="O316" s="55"/>
      <c r="P316" s="55"/>
      <c r="Q316" s="55"/>
      <c r="R316" s="55"/>
      <c r="S316" s="55"/>
      <c r="T316" s="5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  <c r="AQ316" s="65"/>
      <c r="AR316" s="65"/>
      <c r="AS316" s="65"/>
      <c r="AT316" s="65"/>
      <c r="AU316" s="65"/>
      <c r="AV316" s="65"/>
      <c r="AW316" s="65"/>
      <c r="AX316" s="65"/>
      <c r="AY316" s="65"/>
      <c r="AZ316" s="65"/>
      <c r="BA316" s="65"/>
      <c r="BB316" s="65"/>
      <c r="BC316" s="65"/>
      <c r="BD316" s="65"/>
      <c r="CI316" s="20" t="s">
        <v>412</v>
      </c>
    </row>
    <row r="317" spans="2:87" ht="15" customHeight="1" x14ac:dyDescent="0.25">
      <c r="B317" s="17" t="s">
        <v>413</v>
      </c>
      <c r="C317" s="7"/>
      <c r="D317" s="14"/>
      <c r="E317" s="14"/>
      <c r="F317" s="14"/>
      <c r="G317" s="13">
        <v>1131.5944672626065</v>
      </c>
      <c r="H317" s="13">
        <v>1135.5373255669099</v>
      </c>
      <c r="I317" s="13">
        <v>1225.1747378636235</v>
      </c>
      <c r="J317" s="13">
        <v>1121.7189492917582</v>
      </c>
      <c r="K317" s="13">
        <v>1121.9529518099998</v>
      </c>
      <c r="L317" s="55">
        <v>1115.8699999999999</v>
      </c>
      <c r="M317" s="55">
        <v>1120.2</v>
      </c>
      <c r="N317" s="55">
        <v>1110.1500000000001</v>
      </c>
      <c r="O317" s="55">
        <v>1094.8387517997</v>
      </c>
      <c r="P317" s="55">
        <v>1093.57</v>
      </c>
      <c r="Q317" s="55">
        <v>1098.3</v>
      </c>
      <c r="R317" s="55">
        <v>0</v>
      </c>
      <c r="S317" s="55">
        <v>0</v>
      </c>
      <c r="T317" s="55">
        <v>0</v>
      </c>
      <c r="U317" s="65">
        <v>0</v>
      </c>
      <c r="V317" s="65">
        <v>0</v>
      </c>
      <c r="W317" s="65">
        <v>0</v>
      </c>
      <c r="X317" s="65">
        <v>0</v>
      </c>
      <c r="Y317" s="65">
        <v>0</v>
      </c>
      <c r="Z317" s="65">
        <v>0</v>
      </c>
      <c r="AA317" s="65">
        <v>0</v>
      </c>
      <c r="AB317" s="65">
        <v>0</v>
      </c>
      <c r="AC317" s="65">
        <v>0</v>
      </c>
      <c r="AD317" s="65">
        <v>0</v>
      </c>
      <c r="AE317" s="65">
        <v>0</v>
      </c>
      <c r="AF317" s="65">
        <v>0</v>
      </c>
      <c r="AG317" s="65">
        <v>0</v>
      </c>
      <c r="AH317" s="65">
        <v>0</v>
      </c>
      <c r="AI317" s="65">
        <v>0</v>
      </c>
      <c r="AJ317" s="65">
        <v>0</v>
      </c>
      <c r="AK317" s="65">
        <v>0</v>
      </c>
      <c r="AL317" s="65">
        <v>0</v>
      </c>
      <c r="AM317" s="65">
        <v>0</v>
      </c>
      <c r="AN317" s="65">
        <v>0</v>
      </c>
      <c r="AO317" s="65">
        <v>0</v>
      </c>
      <c r="AP317" s="65">
        <v>0</v>
      </c>
      <c r="AQ317" s="65">
        <v>0</v>
      </c>
      <c r="AR317" s="65">
        <v>0</v>
      </c>
      <c r="AS317" s="65">
        <v>0</v>
      </c>
      <c r="AT317" s="65">
        <v>0</v>
      </c>
      <c r="AU317" s="65">
        <v>0</v>
      </c>
      <c r="AV317" s="65">
        <v>0</v>
      </c>
      <c r="AW317" s="65">
        <v>0</v>
      </c>
      <c r="AX317" s="65">
        <v>0</v>
      </c>
      <c r="AY317" s="65">
        <v>0</v>
      </c>
      <c r="AZ317" s="65">
        <v>0</v>
      </c>
      <c r="BA317" s="65">
        <v>0</v>
      </c>
      <c r="BB317" s="65">
        <v>0</v>
      </c>
      <c r="BC317" s="65">
        <v>0</v>
      </c>
      <c r="BD317" s="65"/>
      <c r="CI317" s="20" t="s">
        <v>414</v>
      </c>
    </row>
    <row r="318" spans="2:87" ht="15" customHeight="1" x14ac:dyDescent="0.25">
      <c r="B318" s="17" t="s">
        <v>415</v>
      </c>
      <c r="C318" s="7"/>
      <c r="D318" s="14"/>
      <c r="E318" s="14"/>
      <c r="F318" s="14"/>
      <c r="G318" s="14"/>
      <c r="H318" s="14"/>
      <c r="I318" s="14"/>
      <c r="J318" s="14"/>
      <c r="K318" s="14"/>
      <c r="L318" s="53"/>
      <c r="M318" s="53"/>
      <c r="N318" s="53"/>
      <c r="O318" s="53"/>
      <c r="P318" s="53"/>
      <c r="Q318" s="53"/>
      <c r="R318" s="53"/>
      <c r="S318" s="53"/>
      <c r="T318" s="53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  <c r="AR318" s="66"/>
      <c r="AS318" s="66"/>
      <c r="AT318" s="66"/>
      <c r="AU318" s="66"/>
      <c r="AV318" s="66"/>
      <c r="AW318" s="66"/>
      <c r="AX318" s="66"/>
      <c r="AY318" s="66"/>
      <c r="AZ318" s="66"/>
      <c r="BA318" s="66"/>
      <c r="BB318" s="66"/>
      <c r="BC318" s="66"/>
      <c r="BD318" s="66"/>
      <c r="CI318" s="20" t="s">
        <v>416</v>
      </c>
    </row>
    <row r="319" spans="2:87" ht="15" customHeight="1" x14ac:dyDescent="0.25">
      <c r="B319" s="17" t="s">
        <v>417</v>
      </c>
      <c r="C319" s="7"/>
      <c r="D319" s="14"/>
      <c r="E319" s="14"/>
      <c r="F319" s="14"/>
      <c r="G319" s="14"/>
      <c r="H319" s="14"/>
      <c r="I319" s="14"/>
      <c r="J319" s="14"/>
      <c r="K319" s="14"/>
      <c r="L319" s="53"/>
      <c r="M319" s="53"/>
      <c r="N319" s="53"/>
      <c r="O319" s="53"/>
      <c r="P319" s="53"/>
      <c r="Q319" s="53"/>
      <c r="R319" s="53"/>
      <c r="S319" s="53"/>
      <c r="T319" s="53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  <c r="AR319" s="66"/>
      <c r="AS319" s="66"/>
      <c r="AT319" s="66"/>
      <c r="AU319" s="66"/>
      <c r="AV319" s="66"/>
      <c r="AW319" s="66"/>
      <c r="AX319" s="66"/>
      <c r="AY319" s="66"/>
      <c r="AZ319" s="66"/>
      <c r="BA319" s="66"/>
      <c r="BB319" s="66"/>
      <c r="BC319" s="66"/>
      <c r="BD319" s="66"/>
      <c r="CI319" s="20" t="s">
        <v>418</v>
      </c>
    </row>
    <row r="320" spans="2:87" ht="20.100000000000001" customHeight="1" x14ac:dyDescent="0.25">
      <c r="B320" s="19" t="s">
        <v>419</v>
      </c>
      <c r="C320" s="15"/>
      <c r="D320" s="14"/>
      <c r="E320" s="14"/>
      <c r="F320" s="14"/>
      <c r="G320" s="14"/>
      <c r="H320" s="14"/>
      <c r="I320" s="14"/>
      <c r="J320" s="14"/>
      <c r="K320" s="14"/>
      <c r="L320" s="56"/>
      <c r="M320" s="56"/>
      <c r="N320" s="56"/>
      <c r="O320" s="56"/>
      <c r="P320" s="56"/>
      <c r="Q320" s="56"/>
      <c r="R320" s="56"/>
      <c r="S320" s="56"/>
      <c r="T320" s="56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  <c r="AS320" s="67"/>
      <c r="AT320" s="67"/>
      <c r="AU320" s="67"/>
      <c r="AV320" s="67"/>
      <c r="AW320" s="67"/>
      <c r="AX320" s="67"/>
      <c r="AY320" s="67"/>
      <c r="AZ320" s="67"/>
      <c r="BA320" s="67"/>
      <c r="BB320" s="67"/>
      <c r="BC320" s="67"/>
      <c r="BD320" s="67"/>
      <c r="CI320" s="20" t="s">
        <v>420</v>
      </c>
    </row>
    <row r="321" spans="2:87" ht="15" customHeight="1" x14ac:dyDescent="0.25">
      <c r="B321" s="17" t="s">
        <v>421</v>
      </c>
      <c r="C321" s="7"/>
      <c r="D321" s="14"/>
      <c r="E321" s="14"/>
      <c r="F321" s="14"/>
      <c r="G321" s="14"/>
      <c r="H321" s="14"/>
      <c r="I321" s="14"/>
      <c r="J321" s="14"/>
      <c r="K321" s="14"/>
      <c r="L321" s="53"/>
      <c r="M321" s="53"/>
      <c r="N321" s="53"/>
      <c r="O321" s="53"/>
      <c r="P321" s="53"/>
      <c r="Q321" s="53"/>
      <c r="R321" s="53"/>
      <c r="S321" s="53"/>
      <c r="T321" s="53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66"/>
      <c r="AU321" s="66"/>
      <c r="AV321" s="66"/>
      <c r="AW321" s="66"/>
      <c r="AX321" s="66"/>
      <c r="AY321" s="66"/>
      <c r="AZ321" s="66"/>
      <c r="BA321" s="66"/>
      <c r="BB321" s="66"/>
      <c r="BC321" s="66"/>
      <c r="BD321" s="66"/>
      <c r="CI321" s="20" t="s">
        <v>422</v>
      </c>
    </row>
    <row r="322" spans="2:87" ht="15" customHeight="1" x14ac:dyDescent="0.25">
      <c r="B322" s="17" t="s">
        <v>423</v>
      </c>
      <c r="C322" s="7"/>
      <c r="D322" s="14"/>
      <c r="E322" s="14"/>
      <c r="F322" s="14"/>
      <c r="G322" s="14"/>
      <c r="H322" s="14"/>
      <c r="I322" s="14"/>
      <c r="J322" s="14"/>
      <c r="K322" s="14"/>
      <c r="L322" s="53"/>
      <c r="M322" s="53"/>
      <c r="N322" s="53"/>
      <c r="O322" s="53"/>
      <c r="P322" s="53"/>
      <c r="Q322" s="53"/>
      <c r="R322" s="53"/>
      <c r="S322" s="53"/>
      <c r="T322" s="53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66"/>
      <c r="AU322" s="66"/>
      <c r="AV322" s="66"/>
      <c r="AW322" s="66"/>
      <c r="AX322" s="66"/>
      <c r="AY322" s="66"/>
      <c r="AZ322" s="66"/>
      <c r="BA322" s="66"/>
      <c r="BB322" s="66"/>
      <c r="BC322" s="66"/>
      <c r="BD322" s="66"/>
      <c r="CI322" s="20" t="s">
        <v>424</v>
      </c>
    </row>
    <row r="323" spans="2:87" ht="15" customHeight="1" x14ac:dyDescent="0.25">
      <c r="B323" s="17" t="s">
        <v>425</v>
      </c>
      <c r="C323" s="7"/>
      <c r="D323" s="14"/>
      <c r="E323" s="14"/>
      <c r="F323" s="14"/>
      <c r="G323" s="14"/>
      <c r="H323" s="14"/>
      <c r="I323" s="14"/>
      <c r="J323" s="14"/>
      <c r="K323" s="14"/>
      <c r="L323" s="53"/>
      <c r="M323" s="53"/>
      <c r="N323" s="53"/>
      <c r="O323" s="53"/>
      <c r="P323" s="53"/>
      <c r="Q323" s="53"/>
      <c r="R323" s="53"/>
      <c r="S323" s="53"/>
      <c r="T323" s="53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  <c r="AR323" s="66"/>
      <c r="AS323" s="66"/>
      <c r="AT323" s="66"/>
      <c r="AU323" s="66"/>
      <c r="AV323" s="66"/>
      <c r="AW323" s="66"/>
      <c r="AX323" s="66"/>
      <c r="AY323" s="66"/>
      <c r="AZ323" s="66"/>
      <c r="BA323" s="66"/>
      <c r="BB323" s="66"/>
      <c r="BC323" s="66"/>
      <c r="BD323" s="66"/>
      <c r="CI323" s="20" t="s">
        <v>426</v>
      </c>
    </row>
    <row r="324" spans="2:87" ht="15" customHeight="1" x14ac:dyDescent="0.25">
      <c r="B324" s="17" t="s">
        <v>427</v>
      </c>
      <c r="C324" s="7"/>
      <c r="D324" s="14"/>
      <c r="E324" s="14"/>
      <c r="F324" s="14"/>
      <c r="G324" s="14"/>
      <c r="H324" s="14"/>
      <c r="I324" s="14"/>
      <c r="J324" s="14"/>
      <c r="K324" s="14"/>
      <c r="L324" s="53"/>
      <c r="M324" s="53"/>
      <c r="N324" s="53"/>
      <c r="O324" s="53"/>
      <c r="P324" s="53"/>
      <c r="Q324" s="53"/>
      <c r="R324" s="53"/>
      <c r="S324" s="53"/>
      <c r="T324" s="53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66"/>
      <c r="AU324" s="66"/>
      <c r="AV324" s="66"/>
      <c r="AW324" s="66"/>
      <c r="AX324" s="66"/>
      <c r="AY324" s="66"/>
      <c r="AZ324" s="66"/>
      <c r="BA324" s="66"/>
      <c r="BB324" s="66"/>
      <c r="BC324" s="66"/>
      <c r="BD324" s="66"/>
      <c r="CI324" s="20" t="s">
        <v>428</v>
      </c>
    </row>
    <row r="325" spans="2:87" ht="15" customHeight="1" x14ac:dyDescent="0.25">
      <c r="B325" s="17" t="s">
        <v>429</v>
      </c>
      <c r="C325" s="7"/>
      <c r="D325" s="14"/>
      <c r="E325" s="14"/>
      <c r="F325" s="14"/>
      <c r="G325" s="14"/>
      <c r="H325" s="14"/>
      <c r="I325" s="14"/>
      <c r="J325" s="14"/>
      <c r="K325" s="14"/>
      <c r="L325" s="53"/>
      <c r="M325" s="53"/>
      <c r="N325" s="53"/>
      <c r="O325" s="53"/>
      <c r="P325" s="53"/>
      <c r="Q325" s="53"/>
      <c r="R325" s="53"/>
      <c r="S325" s="53"/>
      <c r="T325" s="53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66"/>
      <c r="AU325" s="66"/>
      <c r="AV325" s="66"/>
      <c r="AW325" s="66"/>
      <c r="AX325" s="66"/>
      <c r="AY325" s="66"/>
      <c r="AZ325" s="66"/>
      <c r="BA325" s="66"/>
      <c r="BB325" s="66"/>
      <c r="BC325" s="66"/>
      <c r="BD325" s="66"/>
      <c r="CI325" s="20" t="s">
        <v>430</v>
      </c>
    </row>
    <row r="326" spans="2:87" ht="30.75" customHeight="1" x14ac:dyDescent="0.25">
      <c r="B326" s="35" t="s">
        <v>431</v>
      </c>
      <c r="C326" s="7"/>
      <c r="D326" s="14"/>
      <c r="E326" s="14"/>
      <c r="F326" s="14"/>
      <c r="G326" s="14"/>
      <c r="H326" s="14"/>
      <c r="I326" s="14"/>
      <c r="J326" s="14"/>
      <c r="K326" s="14"/>
      <c r="L326" s="53"/>
      <c r="M326" s="53"/>
      <c r="N326" s="53"/>
      <c r="O326" s="53"/>
      <c r="P326" s="53"/>
      <c r="Q326" s="53"/>
      <c r="R326" s="53"/>
      <c r="S326" s="53"/>
      <c r="T326" s="53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66"/>
      <c r="AU326" s="66"/>
      <c r="AV326" s="66"/>
      <c r="AW326" s="66"/>
      <c r="AX326" s="66"/>
      <c r="AY326" s="66"/>
      <c r="AZ326" s="66"/>
      <c r="BA326" s="66"/>
      <c r="BB326" s="66"/>
      <c r="BC326" s="66"/>
      <c r="BD326" s="66"/>
      <c r="CI326" s="20" t="s">
        <v>432</v>
      </c>
    </row>
    <row r="327" spans="2:87" ht="33" customHeight="1" x14ac:dyDescent="0.25">
      <c r="B327" s="44" t="s">
        <v>433</v>
      </c>
      <c r="C327" s="31"/>
      <c r="D327" s="32"/>
      <c r="E327" s="32"/>
      <c r="F327" s="32"/>
      <c r="G327" s="32"/>
      <c r="H327" s="32"/>
      <c r="I327" s="32"/>
      <c r="J327" s="32"/>
      <c r="K327" s="32"/>
      <c r="L327" s="52"/>
      <c r="M327" s="52"/>
      <c r="N327" s="52"/>
      <c r="O327" s="52"/>
      <c r="P327" s="52"/>
      <c r="Q327" s="52"/>
      <c r="R327" s="52"/>
      <c r="S327" s="52"/>
      <c r="T327" s="52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  <c r="AJ327" s="89"/>
      <c r="AK327" s="89"/>
      <c r="AL327" s="89"/>
      <c r="AM327" s="89"/>
      <c r="AN327" s="89"/>
      <c r="AO327" s="89"/>
      <c r="AP327" s="89"/>
      <c r="AQ327" s="89"/>
      <c r="AR327" s="89"/>
      <c r="AS327" s="89"/>
      <c r="AT327" s="89"/>
      <c r="AU327" s="89"/>
      <c r="AV327" s="89"/>
      <c r="AW327" s="89"/>
      <c r="AX327" s="89"/>
      <c r="AY327" s="89"/>
      <c r="AZ327" s="89"/>
      <c r="BA327" s="89"/>
      <c r="BB327" s="89"/>
      <c r="BC327" s="89"/>
      <c r="BD327" s="89"/>
      <c r="CI327" s="20" t="s">
        <v>434</v>
      </c>
    </row>
    <row r="328" spans="2:87" ht="15" customHeight="1" x14ac:dyDescent="0.25">
      <c r="B328" s="35" t="s">
        <v>435</v>
      </c>
      <c r="C328" s="7"/>
      <c r="D328" s="14"/>
      <c r="E328" s="14"/>
      <c r="F328" s="14"/>
      <c r="G328" s="14"/>
      <c r="H328" s="14"/>
      <c r="I328" s="14"/>
      <c r="J328" s="14"/>
      <c r="K328" s="14"/>
      <c r="L328" s="53"/>
      <c r="M328" s="53"/>
      <c r="N328" s="53"/>
      <c r="O328" s="53"/>
      <c r="P328" s="53"/>
      <c r="Q328" s="53"/>
      <c r="R328" s="53"/>
      <c r="S328" s="53"/>
      <c r="T328" s="53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  <c r="AR328" s="66"/>
      <c r="AS328" s="66"/>
      <c r="AT328" s="66"/>
      <c r="AU328" s="66"/>
      <c r="AV328" s="66"/>
      <c r="AW328" s="66"/>
      <c r="AX328" s="66"/>
      <c r="AY328" s="66"/>
      <c r="AZ328" s="66"/>
      <c r="BA328" s="66"/>
      <c r="BB328" s="66"/>
      <c r="BC328" s="66"/>
      <c r="BD328" s="66"/>
      <c r="CI328" s="20" t="s">
        <v>436</v>
      </c>
    </row>
    <row r="329" spans="2:87" ht="15" customHeight="1" x14ac:dyDescent="0.25">
      <c r="B329" s="35" t="s">
        <v>437</v>
      </c>
      <c r="C329" s="7"/>
      <c r="D329" s="14"/>
      <c r="E329" s="14"/>
      <c r="F329" s="14"/>
      <c r="G329" s="14"/>
      <c r="H329" s="14"/>
      <c r="I329" s="14"/>
      <c r="J329" s="14"/>
      <c r="K329" s="14"/>
      <c r="L329" s="53"/>
      <c r="M329" s="53"/>
      <c r="N329" s="53"/>
      <c r="O329" s="53"/>
      <c r="P329" s="53"/>
      <c r="Q329" s="53"/>
      <c r="R329" s="53"/>
      <c r="S329" s="53"/>
      <c r="T329" s="53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66"/>
      <c r="AU329" s="66"/>
      <c r="AV329" s="66"/>
      <c r="AW329" s="66"/>
      <c r="AX329" s="66"/>
      <c r="AY329" s="66"/>
      <c r="AZ329" s="66"/>
      <c r="BA329" s="66"/>
      <c r="BB329" s="66"/>
      <c r="BC329" s="66"/>
      <c r="BD329" s="66"/>
      <c r="CI329" s="20" t="s">
        <v>438</v>
      </c>
    </row>
    <row r="330" spans="2:87" ht="30" x14ac:dyDescent="0.25">
      <c r="B330" s="44" t="s">
        <v>439</v>
      </c>
      <c r="C330" s="31"/>
      <c r="D330" s="32"/>
      <c r="E330" s="32"/>
      <c r="F330" s="32"/>
      <c r="G330" s="32"/>
      <c r="H330" s="32"/>
      <c r="I330" s="32"/>
      <c r="J330" s="32"/>
      <c r="K330" s="32"/>
      <c r="L330" s="52"/>
      <c r="M330" s="52"/>
      <c r="N330" s="52"/>
      <c r="O330" s="52"/>
      <c r="P330" s="52"/>
      <c r="Q330" s="52"/>
      <c r="R330" s="52"/>
      <c r="S330" s="52"/>
      <c r="T330" s="52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89"/>
      <c r="AK330" s="89"/>
      <c r="AL330" s="89"/>
      <c r="AM330" s="89"/>
      <c r="AN330" s="89"/>
      <c r="AO330" s="89"/>
      <c r="AP330" s="89"/>
      <c r="AQ330" s="89"/>
      <c r="AR330" s="89"/>
      <c r="AS330" s="89"/>
      <c r="AT330" s="89"/>
      <c r="AU330" s="89"/>
      <c r="AV330" s="89"/>
      <c r="AW330" s="89"/>
      <c r="AX330" s="89"/>
      <c r="AY330" s="89"/>
      <c r="AZ330" s="89"/>
      <c r="BA330" s="89"/>
      <c r="BB330" s="89"/>
      <c r="BC330" s="89"/>
      <c r="BD330" s="89"/>
      <c r="CI330" s="20" t="s">
        <v>440</v>
      </c>
    </row>
    <row r="331" spans="2:87" ht="15" customHeight="1" x14ac:dyDescent="0.25">
      <c r="B331" s="35" t="s">
        <v>297</v>
      </c>
      <c r="C331" s="7"/>
      <c r="D331" s="14"/>
      <c r="E331" s="14"/>
      <c r="F331" s="14"/>
      <c r="G331" s="14"/>
      <c r="H331" s="14"/>
      <c r="I331" s="14"/>
      <c r="J331" s="14"/>
      <c r="K331" s="14"/>
      <c r="L331" s="53"/>
      <c r="M331" s="53"/>
      <c r="N331" s="53"/>
      <c r="O331" s="53"/>
      <c r="P331" s="53"/>
      <c r="Q331" s="53"/>
      <c r="R331" s="53"/>
      <c r="S331" s="53"/>
      <c r="T331" s="53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  <c r="AS331" s="66"/>
      <c r="AT331" s="66"/>
      <c r="AU331" s="66"/>
      <c r="AV331" s="66"/>
      <c r="AW331" s="66"/>
      <c r="AX331" s="66"/>
      <c r="AY331" s="66"/>
      <c r="AZ331" s="66"/>
      <c r="BA331" s="66"/>
      <c r="BB331" s="66"/>
      <c r="BC331" s="66"/>
      <c r="BD331" s="66"/>
      <c r="CI331" s="20" t="s">
        <v>441</v>
      </c>
    </row>
    <row r="332" spans="2:87" ht="15" customHeight="1" x14ac:dyDescent="0.25">
      <c r="B332" s="17" t="s">
        <v>302</v>
      </c>
      <c r="C332" s="7"/>
      <c r="D332" s="14"/>
      <c r="E332" s="14"/>
      <c r="F332" s="14"/>
      <c r="G332" s="14"/>
      <c r="H332" s="14"/>
      <c r="I332" s="14"/>
      <c r="J332" s="14"/>
      <c r="K332" s="14"/>
      <c r="L332" s="53"/>
      <c r="M332" s="53"/>
      <c r="N332" s="53"/>
      <c r="O332" s="53"/>
      <c r="P332" s="53"/>
      <c r="Q332" s="53"/>
      <c r="R332" s="53"/>
      <c r="S332" s="53"/>
      <c r="T332" s="53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  <c r="AS332" s="66"/>
      <c r="AT332" s="66"/>
      <c r="AU332" s="66"/>
      <c r="AV332" s="66"/>
      <c r="AW332" s="66"/>
      <c r="AX332" s="66"/>
      <c r="AY332" s="66"/>
      <c r="AZ332" s="66"/>
      <c r="BA332" s="66"/>
      <c r="BB332" s="66"/>
      <c r="BC332" s="66"/>
      <c r="BD332" s="66"/>
      <c r="CI332" s="20" t="s">
        <v>442</v>
      </c>
    </row>
    <row r="333" spans="2:87" ht="15" customHeight="1" x14ac:dyDescent="0.25">
      <c r="B333" s="17" t="s">
        <v>307</v>
      </c>
      <c r="C333" s="7"/>
      <c r="D333" s="14"/>
      <c r="E333" s="14"/>
      <c r="F333" s="14"/>
      <c r="G333" s="14"/>
      <c r="H333" s="14"/>
      <c r="I333" s="14"/>
      <c r="J333" s="14"/>
      <c r="K333" s="14"/>
      <c r="L333" s="53"/>
      <c r="M333" s="53"/>
      <c r="N333" s="53"/>
      <c r="O333" s="53"/>
      <c r="P333" s="53"/>
      <c r="Q333" s="53"/>
      <c r="R333" s="53"/>
      <c r="S333" s="53"/>
      <c r="T333" s="53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66"/>
      <c r="AU333" s="66"/>
      <c r="AV333" s="66"/>
      <c r="AW333" s="66"/>
      <c r="AX333" s="66"/>
      <c r="AY333" s="66"/>
      <c r="AZ333" s="66"/>
      <c r="BA333" s="66"/>
      <c r="BB333" s="66"/>
      <c r="BC333" s="66"/>
      <c r="BD333" s="66"/>
      <c r="CI333" s="20" t="s">
        <v>443</v>
      </c>
    </row>
    <row r="334" spans="2:87" ht="15" customHeight="1" x14ac:dyDescent="0.25">
      <c r="B334" s="35" t="s">
        <v>312</v>
      </c>
      <c r="C334" s="7"/>
      <c r="D334" s="14"/>
      <c r="E334" s="14"/>
      <c r="F334" s="14"/>
      <c r="G334" s="14"/>
      <c r="H334" s="14"/>
      <c r="I334" s="14"/>
      <c r="J334" s="14"/>
      <c r="K334" s="14"/>
      <c r="L334" s="53"/>
      <c r="M334" s="53"/>
      <c r="N334" s="53"/>
      <c r="O334" s="53"/>
      <c r="P334" s="53"/>
      <c r="Q334" s="53"/>
      <c r="R334" s="53"/>
      <c r="S334" s="53"/>
      <c r="T334" s="53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66"/>
      <c r="AU334" s="66"/>
      <c r="AV334" s="66"/>
      <c r="AW334" s="66"/>
      <c r="AX334" s="66"/>
      <c r="AY334" s="66"/>
      <c r="AZ334" s="66"/>
      <c r="BA334" s="66"/>
      <c r="BB334" s="66"/>
      <c r="BC334" s="66"/>
      <c r="BD334" s="66"/>
      <c r="CI334" s="20" t="s">
        <v>444</v>
      </c>
    </row>
    <row r="335" spans="2:87" ht="15" customHeight="1" x14ac:dyDescent="0.25">
      <c r="B335" s="17" t="s">
        <v>302</v>
      </c>
      <c r="C335" s="7"/>
      <c r="D335" s="14"/>
      <c r="E335" s="14"/>
      <c r="F335" s="14"/>
      <c r="G335" s="14"/>
      <c r="H335" s="14"/>
      <c r="I335" s="14"/>
      <c r="J335" s="14"/>
      <c r="K335" s="14"/>
      <c r="L335" s="53"/>
      <c r="M335" s="53"/>
      <c r="N335" s="53"/>
      <c r="O335" s="53"/>
      <c r="P335" s="53"/>
      <c r="Q335" s="53"/>
      <c r="R335" s="53"/>
      <c r="S335" s="53"/>
      <c r="T335" s="53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/>
      <c r="AU335" s="66"/>
      <c r="AV335" s="66"/>
      <c r="AW335" s="66"/>
      <c r="AX335" s="66"/>
      <c r="AY335" s="66"/>
      <c r="AZ335" s="66"/>
      <c r="BA335" s="66"/>
      <c r="BB335" s="66"/>
      <c r="BC335" s="66"/>
      <c r="BD335" s="66"/>
      <c r="CI335" s="20" t="s">
        <v>445</v>
      </c>
    </row>
    <row r="336" spans="2:87" ht="15" customHeight="1" x14ac:dyDescent="0.25">
      <c r="B336" s="17" t="s">
        <v>307</v>
      </c>
      <c r="C336" s="7"/>
      <c r="D336" s="14"/>
      <c r="E336" s="14"/>
      <c r="F336" s="14"/>
      <c r="G336" s="14"/>
      <c r="H336" s="14"/>
      <c r="I336" s="14"/>
      <c r="J336" s="14"/>
      <c r="K336" s="14"/>
      <c r="L336" s="53"/>
      <c r="M336" s="53"/>
      <c r="N336" s="53"/>
      <c r="O336" s="53"/>
      <c r="P336" s="53"/>
      <c r="Q336" s="53"/>
      <c r="R336" s="53"/>
      <c r="S336" s="53"/>
      <c r="T336" s="53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/>
      <c r="AU336" s="66"/>
      <c r="AV336" s="66"/>
      <c r="AW336" s="66"/>
      <c r="AX336" s="66"/>
      <c r="AY336" s="66"/>
      <c r="AZ336" s="66"/>
      <c r="BA336" s="66"/>
      <c r="BB336" s="66"/>
      <c r="BC336" s="66"/>
      <c r="BD336" s="66"/>
      <c r="CI336" s="20" t="s">
        <v>446</v>
      </c>
    </row>
    <row r="337" spans="2:87" ht="15" customHeight="1" x14ac:dyDescent="0.25">
      <c r="B337" s="7" t="s">
        <v>447</v>
      </c>
      <c r="C337" s="31"/>
      <c r="D337" s="32"/>
      <c r="E337" s="32"/>
      <c r="F337" s="32"/>
      <c r="G337" s="32"/>
      <c r="H337" s="32"/>
      <c r="I337" s="32"/>
      <c r="J337" s="32"/>
      <c r="K337" s="32"/>
      <c r="L337" s="52"/>
      <c r="M337" s="52"/>
      <c r="N337" s="52"/>
      <c r="O337" s="52"/>
      <c r="P337" s="52"/>
      <c r="Q337" s="52"/>
      <c r="R337" s="52"/>
      <c r="S337" s="52"/>
      <c r="T337" s="52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89"/>
      <c r="AJ337" s="89"/>
      <c r="AK337" s="89"/>
      <c r="AL337" s="89"/>
      <c r="AM337" s="89"/>
      <c r="AN337" s="89"/>
      <c r="AO337" s="89"/>
      <c r="AP337" s="89"/>
      <c r="AQ337" s="89"/>
      <c r="AR337" s="89"/>
      <c r="AS337" s="89"/>
      <c r="AT337" s="89"/>
      <c r="AU337" s="89"/>
      <c r="AV337" s="89"/>
      <c r="AW337" s="89"/>
      <c r="AX337" s="89"/>
      <c r="AY337" s="89"/>
      <c r="AZ337" s="89"/>
      <c r="BA337" s="89"/>
      <c r="BB337" s="89"/>
      <c r="BC337" s="89"/>
      <c r="BD337" s="89"/>
      <c r="CI337" s="20" t="s">
        <v>448</v>
      </c>
    </row>
    <row r="338" spans="2:87" ht="15" customHeight="1" x14ac:dyDescent="0.25">
      <c r="B338" s="35" t="s">
        <v>449</v>
      </c>
      <c r="C338" s="7" t="s">
        <v>450</v>
      </c>
      <c r="D338" s="13">
        <f t="shared" ref="D338" si="15">+D339+D340</f>
        <v>15958.497014983153</v>
      </c>
      <c r="E338" s="13">
        <v>16055.57518269225</v>
      </c>
      <c r="F338" s="13">
        <v>15508.100277320362</v>
      </c>
      <c r="G338" s="13">
        <v>13350.33</v>
      </c>
      <c r="H338" s="13">
        <v>14307.61</v>
      </c>
      <c r="I338" s="13">
        <v>14385.75</v>
      </c>
      <c r="J338" s="13">
        <v>15323.05</v>
      </c>
      <c r="K338" s="13">
        <v>15065.33</v>
      </c>
      <c r="L338" s="13">
        <v>14094.309999999998</v>
      </c>
      <c r="M338" s="13">
        <v>13736.33</v>
      </c>
      <c r="N338" s="13">
        <v>13835.95</v>
      </c>
      <c r="O338" s="13">
        <v>13580.29</v>
      </c>
      <c r="P338" s="13">
        <v>13409.6</v>
      </c>
      <c r="Q338" s="13">
        <v>13789.6</v>
      </c>
      <c r="R338" s="13">
        <v>14660.599999999999</v>
      </c>
      <c r="S338" s="13">
        <v>14249.9</v>
      </c>
      <c r="T338" s="13">
        <v>13950.380000000001</v>
      </c>
      <c r="U338" s="65">
        <v>14050.92</v>
      </c>
      <c r="V338" s="65">
        <v>14451.439999999999</v>
      </c>
      <c r="W338" s="65">
        <v>14085.48</v>
      </c>
      <c r="X338" s="65">
        <v>13680.93</v>
      </c>
      <c r="Y338" s="65">
        <v>13784.04</v>
      </c>
      <c r="Z338" s="65">
        <v>14013.82</v>
      </c>
      <c r="AA338" s="65">
        <v>13963.62</v>
      </c>
      <c r="AB338" s="65">
        <v>14136.03</v>
      </c>
      <c r="AC338" s="65">
        <v>14511.11</v>
      </c>
      <c r="AD338" s="65">
        <v>14726.57</v>
      </c>
      <c r="AE338" s="65">
        <v>14582.52</v>
      </c>
      <c r="AF338" s="65">
        <v>14171.89</v>
      </c>
      <c r="AG338" s="65">
        <v>14316.23</v>
      </c>
      <c r="AH338" s="65">
        <v>14490.82</v>
      </c>
      <c r="AI338" s="65">
        <v>14407.370000000003</v>
      </c>
      <c r="AJ338" s="65">
        <v>14450.72</v>
      </c>
      <c r="AK338" s="65">
        <v>14698.96</v>
      </c>
      <c r="AL338" s="65">
        <v>14776.19</v>
      </c>
      <c r="AM338" s="65">
        <v>14903.88</v>
      </c>
      <c r="AN338" s="65">
        <v>14722.49</v>
      </c>
      <c r="AO338" s="65">
        <v>14599.46</v>
      </c>
      <c r="AP338" s="65">
        <v>15767.56</v>
      </c>
      <c r="AQ338" s="65">
        <v>15664.72</v>
      </c>
      <c r="AR338" s="65">
        <v>15296.15</v>
      </c>
      <c r="AS338" s="65">
        <v>15266.52</v>
      </c>
      <c r="AT338" s="65">
        <v>15473.34</v>
      </c>
      <c r="AU338" s="65">
        <v>15712.59</v>
      </c>
      <c r="AV338" s="65">
        <v>15657.01</v>
      </c>
      <c r="AW338" s="65">
        <v>15102.22</v>
      </c>
      <c r="AX338" s="65">
        <v>15106.440000000002</v>
      </c>
      <c r="AY338" s="65">
        <v>15236.54</v>
      </c>
      <c r="AZ338" s="65">
        <v>15259.28</v>
      </c>
      <c r="BA338" s="65">
        <v>15533.42</v>
      </c>
      <c r="BB338" s="65">
        <v>15895.330029410943</v>
      </c>
      <c r="BC338" s="65">
        <v>15840.990913522812</v>
      </c>
      <c r="BD338" s="65"/>
      <c r="CI338" s="20" t="s">
        <v>451</v>
      </c>
    </row>
    <row r="339" spans="2:87" ht="15" customHeight="1" x14ac:dyDescent="0.25">
      <c r="B339" s="17" t="s">
        <v>452</v>
      </c>
      <c r="C339" s="7" t="s">
        <v>453</v>
      </c>
      <c r="D339" s="13">
        <f t="shared" ref="D339" si="16">D8-D340</f>
        <v>14901.086922026352</v>
      </c>
      <c r="E339" s="13">
        <v>15003.50970782277</v>
      </c>
      <c r="F339" s="13">
        <v>14423.566316880366</v>
      </c>
      <c r="G339" s="13">
        <v>12284.89</v>
      </c>
      <c r="H339" s="13">
        <v>13187.42</v>
      </c>
      <c r="I339" s="13">
        <v>13232.880000000001</v>
      </c>
      <c r="J339" s="13">
        <v>14198.359999999999</v>
      </c>
      <c r="K339" s="13">
        <v>13970.85</v>
      </c>
      <c r="L339" s="13">
        <v>13021.189999999999</v>
      </c>
      <c r="M339" s="13">
        <v>12689.3</v>
      </c>
      <c r="N339" s="13">
        <v>12815.11</v>
      </c>
      <c r="O339" s="13">
        <v>12595.710000000001</v>
      </c>
      <c r="P339" s="13">
        <v>12439.880000000001</v>
      </c>
      <c r="Q339" s="13">
        <v>12750.32</v>
      </c>
      <c r="R339" s="13">
        <v>13579.14</v>
      </c>
      <c r="S339" s="13">
        <v>13105.82</v>
      </c>
      <c r="T339" s="13">
        <v>12865.75</v>
      </c>
      <c r="U339" s="65">
        <v>12883.33</v>
      </c>
      <c r="V339" s="65">
        <v>13271.57</v>
      </c>
      <c r="W339" s="65">
        <v>12920.289999999999</v>
      </c>
      <c r="X339" s="65">
        <v>12542.95</v>
      </c>
      <c r="Y339" s="65">
        <v>12615.41</v>
      </c>
      <c r="Z339" s="65">
        <v>12862.539999999999</v>
      </c>
      <c r="AA339" s="65">
        <v>12867.570000000002</v>
      </c>
      <c r="AB339" s="65">
        <v>12959.59</v>
      </c>
      <c r="AC339" s="65">
        <v>13303.33</v>
      </c>
      <c r="AD339" s="65">
        <v>13503.43</v>
      </c>
      <c r="AE339" s="65">
        <v>13367.26</v>
      </c>
      <c r="AF339" s="65">
        <v>12958.97</v>
      </c>
      <c r="AG339" s="65">
        <v>12998.789999999999</v>
      </c>
      <c r="AH339" s="65">
        <v>13130.24</v>
      </c>
      <c r="AI339" s="65">
        <v>13027.490000000002</v>
      </c>
      <c r="AJ339" s="65">
        <v>13071.189999999999</v>
      </c>
      <c r="AK339" s="65">
        <v>13260.009999999998</v>
      </c>
      <c r="AL339" s="65">
        <v>13291.93</v>
      </c>
      <c r="AM339" s="65">
        <v>13339.109999999999</v>
      </c>
      <c r="AN339" s="65">
        <v>13098.16</v>
      </c>
      <c r="AO339" s="65">
        <v>13032.329999999998</v>
      </c>
      <c r="AP339" s="65">
        <v>14211.56</v>
      </c>
      <c r="AQ339" s="65">
        <v>14005.539999999999</v>
      </c>
      <c r="AR339" s="65">
        <v>13601.74</v>
      </c>
      <c r="AS339" s="65">
        <v>13418.060000000001</v>
      </c>
      <c r="AT339" s="65">
        <v>13510.39</v>
      </c>
      <c r="AU339" s="65">
        <v>13762.39</v>
      </c>
      <c r="AV339" s="65">
        <v>13702.02</v>
      </c>
      <c r="AW339" s="65">
        <v>13148.55</v>
      </c>
      <c r="AX339" s="65">
        <v>13062.150000000001</v>
      </c>
      <c r="AY339" s="65">
        <v>12956.19</v>
      </c>
      <c r="AZ339" s="65">
        <v>12885.95</v>
      </c>
      <c r="BA339" s="65">
        <v>13019.85</v>
      </c>
      <c r="BB339" s="65">
        <v>13332.80134600073</v>
      </c>
      <c r="BC339" s="65">
        <v>12939.198520552829</v>
      </c>
      <c r="BD339" s="65"/>
      <c r="CI339" s="20" t="s">
        <v>454</v>
      </c>
    </row>
    <row r="340" spans="2:87" ht="15" customHeight="1" x14ac:dyDescent="0.25">
      <c r="B340" s="17" t="s">
        <v>455</v>
      </c>
      <c r="C340" s="7" t="s">
        <v>456</v>
      </c>
      <c r="D340" s="13">
        <f t="shared" ref="D340" si="17">+D15</f>
        <v>1057.4100929568008</v>
      </c>
      <c r="E340" s="13">
        <v>1052.0654748694787</v>
      </c>
      <c r="F340" s="13">
        <v>1084.5339604399969</v>
      </c>
      <c r="G340" s="13">
        <v>1065.44</v>
      </c>
      <c r="H340" s="13">
        <v>1120.19</v>
      </c>
      <c r="I340" s="13">
        <v>1152.8699999999999</v>
      </c>
      <c r="J340" s="13">
        <v>1124.69</v>
      </c>
      <c r="K340" s="13">
        <v>1094.48</v>
      </c>
      <c r="L340" s="13">
        <v>1073.1199999999999</v>
      </c>
      <c r="M340" s="13">
        <v>1047.03</v>
      </c>
      <c r="N340" s="13">
        <v>1020.84</v>
      </c>
      <c r="O340" s="13">
        <v>984.58</v>
      </c>
      <c r="P340" s="13">
        <v>969.72</v>
      </c>
      <c r="Q340" s="13">
        <v>1039.28</v>
      </c>
      <c r="R340" s="13">
        <v>1081.46</v>
      </c>
      <c r="S340" s="13">
        <v>1144.08</v>
      </c>
      <c r="T340" s="13">
        <v>1084.6300000000001</v>
      </c>
      <c r="U340" s="65">
        <v>1167.5899999999999</v>
      </c>
      <c r="V340" s="65">
        <v>1179.8699999999999</v>
      </c>
      <c r="W340" s="65">
        <v>1165.19</v>
      </c>
      <c r="X340" s="65">
        <v>1137.98</v>
      </c>
      <c r="Y340" s="65">
        <v>1168.6300000000001</v>
      </c>
      <c r="Z340" s="65">
        <v>1151.28</v>
      </c>
      <c r="AA340" s="65">
        <v>1096.05</v>
      </c>
      <c r="AB340" s="65">
        <v>1176.44</v>
      </c>
      <c r="AC340" s="65">
        <v>1207.78</v>
      </c>
      <c r="AD340" s="65">
        <v>1223.1400000000001</v>
      </c>
      <c r="AE340" s="65">
        <v>1215.26</v>
      </c>
      <c r="AF340" s="65">
        <v>1212.92</v>
      </c>
      <c r="AG340" s="65">
        <v>1317.44</v>
      </c>
      <c r="AH340" s="65">
        <v>1360.58</v>
      </c>
      <c r="AI340" s="65">
        <v>1379.88</v>
      </c>
      <c r="AJ340" s="65">
        <v>1379.53</v>
      </c>
      <c r="AK340" s="65">
        <v>1438.95</v>
      </c>
      <c r="AL340" s="65">
        <v>1484.26</v>
      </c>
      <c r="AM340" s="65">
        <v>1564.77</v>
      </c>
      <c r="AN340" s="65">
        <v>1624.33</v>
      </c>
      <c r="AO340" s="65">
        <v>1567.13</v>
      </c>
      <c r="AP340" s="65">
        <v>1556</v>
      </c>
      <c r="AQ340" s="65">
        <v>1659.18</v>
      </c>
      <c r="AR340" s="65">
        <v>1694.41</v>
      </c>
      <c r="AS340" s="65">
        <v>1848.46</v>
      </c>
      <c r="AT340" s="65">
        <v>1962.95</v>
      </c>
      <c r="AU340" s="65">
        <v>1950.2</v>
      </c>
      <c r="AV340" s="65">
        <v>1954.99</v>
      </c>
      <c r="AW340" s="65">
        <v>1953.67</v>
      </c>
      <c r="AX340" s="65">
        <v>2044.29</v>
      </c>
      <c r="AY340" s="65">
        <v>2280.35</v>
      </c>
      <c r="AZ340" s="65">
        <v>2373.33</v>
      </c>
      <c r="BA340" s="65">
        <v>2513.5700000000002</v>
      </c>
      <c r="BB340" s="65">
        <v>2562.5286834102135</v>
      </c>
      <c r="BC340" s="65">
        <v>2901.7923929699837</v>
      </c>
      <c r="BD340" s="65"/>
      <c r="CI340" s="20" t="s">
        <v>457</v>
      </c>
    </row>
    <row r="341" spans="2:87" x14ac:dyDescent="0.25">
      <c r="B341" s="48" t="s">
        <v>458</v>
      </c>
      <c r="C341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CI341" s="20" t="s">
        <v>459</v>
      </c>
    </row>
    <row r="342" spans="2:87" ht="75" x14ac:dyDescent="0.25">
      <c r="B342" s="57" t="s">
        <v>460</v>
      </c>
      <c r="Q342" s="1"/>
      <c r="CI342" s="20" t="s">
        <v>461</v>
      </c>
    </row>
    <row r="343" spans="2:87" x14ac:dyDescent="0.25">
      <c r="Q343" s="1"/>
      <c r="CI343" s="20" t="s">
        <v>462</v>
      </c>
    </row>
    <row r="344" spans="2:87" x14ac:dyDescent="0.25">
      <c r="Q344" s="1"/>
      <c r="CI344" s="20" t="s">
        <v>463</v>
      </c>
    </row>
    <row r="345" spans="2:87" x14ac:dyDescent="0.25">
      <c r="Q345" s="1"/>
      <c r="CI345" s="20" t="s">
        <v>464</v>
      </c>
    </row>
    <row r="346" spans="2:87" x14ac:dyDescent="0.25">
      <c r="Q346" s="1"/>
      <c r="CI346" s="20" t="s">
        <v>465</v>
      </c>
    </row>
    <row r="347" spans="2:87" x14ac:dyDescent="0.25">
      <c r="Q347" s="1"/>
      <c r="CI347" s="20" t="s">
        <v>466</v>
      </c>
    </row>
    <row r="348" spans="2:87" x14ac:dyDescent="0.25">
      <c r="Q348" s="1"/>
      <c r="CI348" s="20" t="s">
        <v>467</v>
      </c>
    </row>
    <row r="349" spans="2:87" x14ac:dyDescent="0.25">
      <c r="Q349" s="1"/>
      <c r="CI349" s="20" t="s">
        <v>468</v>
      </c>
    </row>
    <row r="350" spans="2:87" x14ac:dyDescent="0.25">
      <c r="Q350" s="1"/>
      <c r="CI350" s="20" t="s">
        <v>469</v>
      </c>
    </row>
    <row r="351" spans="2:87" x14ac:dyDescent="0.25">
      <c r="Q351" s="1"/>
      <c r="CI351" s="20" t="s">
        <v>470</v>
      </c>
    </row>
    <row r="352" spans="2:87" x14ac:dyDescent="0.25">
      <c r="Q352" s="1"/>
      <c r="CI352" s="20" t="s">
        <v>471</v>
      </c>
    </row>
    <row r="353" spans="87:87" x14ac:dyDescent="0.25">
      <c r="CI353" s="20" t="s">
        <v>472</v>
      </c>
    </row>
    <row r="354" spans="87:87" x14ac:dyDescent="0.25">
      <c r="CI354" s="20" t="s">
        <v>473</v>
      </c>
    </row>
    <row r="355" spans="87:87" x14ac:dyDescent="0.25">
      <c r="CI355" s="20" t="s">
        <v>474</v>
      </c>
    </row>
    <row r="356" spans="87:87" x14ac:dyDescent="0.25">
      <c r="CI356" s="20" t="s">
        <v>475</v>
      </c>
    </row>
    <row r="357" spans="87:87" x14ac:dyDescent="0.25">
      <c r="CI357" s="20" t="s">
        <v>476</v>
      </c>
    </row>
    <row r="358" spans="87:87" x14ac:dyDescent="0.25">
      <c r="CI358" s="20" t="s">
        <v>477</v>
      </c>
    </row>
    <row r="359" spans="87:87" x14ac:dyDescent="0.25">
      <c r="CI359" s="20" t="s">
        <v>478</v>
      </c>
    </row>
    <row r="360" spans="87:87" x14ac:dyDescent="0.25">
      <c r="CI360" s="20" t="s">
        <v>479</v>
      </c>
    </row>
    <row r="361" spans="87:87" x14ac:dyDescent="0.25">
      <c r="CI361" s="20" t="s">
        <v>480</v>
      </c>
    </row>
    <row r="362" spans="87:87" x14ac:dyDescent="0.25">
      <c r="CI362" s="20" t="s">
        <v>481</v>
      </c>
    </row>
    <row r="363" spans="87:87" x14ac:dyDescent="0.25">
      <c r="CI363" s="20" t="s">
        <v>482</v>
      </c>
    </row>
    <row r="364" spans="87:87" x14ac:dyDescent="0.25">
      <c r="CI364" s="20" t="s">
        <v>483</v>
      </c>
    </row>
    <row r="365" spans="87:87" x14ac:dyDescent="0.25">
      <c r="CI365" s="20" t="s">
        <v>484</v>
      </c>
    </row>
    <row r="370" spans="87:87" x14ac:dyDescent="0.25">
      <c r="CI370" s="11" t="s">
        <v>485</v>
      </c>
    </row>
    <row r="371" spans="87:87" x14ac:dyDescent="0.25">
      <c r="CI371" s="45">
        <v>1999</v>
      </c>
    </row>
    <row r="372" spans="87:87" x14ac:dyDescent="0.25">
      <c r="CI372" s="45">
        <v>2000</v>
      </c>
    </row>
    <row r="373" spans="87:87" x14ac:dyDescent="0.25">
      <c r="CI373" s="45">
        <v>2001</v>
      </c>
    </row>
    <row r="374" spans="87:87" x14ac:dyDescent="0.25">
      <c r="CI374" s="45">
        <v>2002</v>
      </c>
    </row>
    <row r="375" spans="87:87" x14ac:dyDescent="0.25">
      <c r="CI375" s="45">
        <v>2003</v>
      </c>
    </row>
    <row r="376" spans="87:87" x14ac:dyDescent="0.25">
      <c r="CI376" s="45">
        <v>2004</v>
      </c>
    </row>
    <row r="377" spans="87:87" x14ac:dyDescent="0.25">
      <c r="CI377" s="45">
        <v>2005</v>
      </c>
    </row>
    <row r="378" spans="87:87" x14ac:dyDescent="0.25">
      <c r="CI378" s="45">
        <v>2006</v>
      </c>
    </row>
    <row r="379" spans="87:87" x14ac:dyDescent="0.25">
      <c r="CI379" s="45">
        <v>2007</v>
      </c>
    </row>
    <row r="380" spans="87:87" x14ac:dyDescent="0.25">
      <c r="CI380" s="45">
        <v>2008</v>
      </c>
    </row>
    <row r="381" spans="87:87" x14ac:dyDescent="0.25">
      <c r="CI381" s="45">
        <v>2009</v>
      </c>
    </row>
    <row r="382" spans="87:87" x14ac:dyDescent="0.25">
      <c r="CI382" s="45">
        <v>2010</v>
      </c>
    </row>
    <row r="383" spans="87:87" x14ac:dyDescent="0.25">
      <c r="CI383" s="45">
        <v>2011</v>
      </c>
    </row>
    <row r="384" spans="87:87" x14ac:dyDescent="0.25">
      <c r="CI384" s="45">
        <v>2012</v>
      </c>
    </row>
    <row r="385" spans="87:87" x14ac:dyDescent="0.25">
      <c r="CI385" s="45">
        <v>2013</v>
      </c>
    </row>
    <row r="386" spans="87:87" x14ac:dyDescent="0.25">
      <c r="CI386" s="45">
        <v>2014</v>
      </c>
    </row>
    <row r="387" spans="87:87" x14ac:dyDescent="0.25">
      <c r="CI387" s="45">
        <v>2015</v>
      </c>
    </row>
    <row r="389" spans="87:87" x14ac:dyDescent="0.25">
      <c r="CI389" s="5" t="s">
        <v>486</v>
      </c>
    </row>
    <row r="390" spans="87:87" x14ac:dyDescent="0.25">
      <c r="CI390" s="45" t="s">
        <v>487</v>
      </c>
    </row>
    <row r="391" spans="87:87" x14ac:dyDescent="0.25">
      <c r="CI391" s="5" t="s">
        <v>488</v>
      </c>
    </row>
    <row r="392" spans="87:87" x14ac:dyDescent="0.25">
      <c r="CI392" s="45" t="s">
        <v>489</v>
      </c>
    </row>
    <row r="393" spans="87:87" x14ac:dyDescent="0.25">
      <c r="CI393" s="5" t="s">
        <v>490</v>
      </c>
    </row>
    <row r="394" spans="87:87" x14ac:dyDescent="0.25">
      <c r="CI394" s="45" t="s">
        <v>491</v>
      </c>
    </row>
    <row r="395" spans="87:87" x14ac:dyDescent="0.25">
      <c r="CI395" s="5" t="s">
        <v>492</v>
      </c>
    </row>
    <row r="396" spans="87:87" x14ac:dyDescent="0.25">
      <c r="CI396" s="45" t="s">
        <v>493</v>
      </c>
    </row>
    <row r="397" spans="87:87" x14ac:dyDescent="0.25">
      <c r="CI397" s="5" t="s">
        <v>494</v>
      </c>
    </row>
    <row r="398" spans="87:87" x14ac:dyDescent="0.25">
      <c r="CI398" s="45" t="s">
        <v>495</v>
      </c>
    </row>
    <row r="399" spans="87:87" x14ac:dyDescent="0.25">
      <c r="CI399" s="5" t="s">
        <v>496</v>
      </c>
    </row>
    <row r="400" spans="87:87" x14ac:dyDescent="0.25">
      <c r="CI400" s="45" t="s">
        <v>497</v>
      </c>
    </row>
    <row r="403" spans="87:87" x14ac:dyDescent="0.25">
      <c r="CI403" s="46" t="s">
        <v>498</v>
      </c>
    </row>
    <row r="404" spans="87:87" x14ac:dyDescent="0.25">
      <c r="CI404" s="46" t="s">
        <v>499</v>
      </c>
    </row>
    <row r="405" spans="87:87" x14ac:dyDescent="0.25">
      <c r="CI405" s="46" t="s">
        <v>500</v>
      </c>
    </row>
    <row r="406" spans="87:87" x14ac:dyDescent="0.25">
      <c r="CI406" s="46" t="s">
        <v>501</v>
      </c>
    </row>
    <row r="408" spans="87:87" x14ac:dyDescent="0.25">
      <c r="CI408" s="46" t="s">
        <v>502</v>
      </c>
    </row>
    <row r="409" spans="87:87" x14ac:dyDescent="0.25">
      <c r="CI409" s="46" t="s">
        <v>503</v>
      </c>
    </row>
    <row r="410" spans="87:87" x14ac:dyDescent="0.25">
      <c r="CI410" s="46" t="s">
        <v>504</v>
      </c>
    </row>
  </sheetData>
  <phoneticPr fontId="14" type="noConversion"/>
  <conditionalFormatting sqref="D7:BD7">
    <cfRule type="expression" dxfId="1" priority="3">
      <formula>IF(D7&lt;&gt;"",IF(COUNTIF($D$7:$K$7,D7)&gt;1,TRUE,FALSE),FALSE)</formula>
    </cfRule>
    <cfRule type="expression" dxfId="0" priority="4">
      <formula>IF(AND(D5&lt;&gt;"",D6&lt;&gt;""),IF(OR(LEN(D5)&lt;&gt;4,LEN(D6)&gt;3),TRUE,FALSE),FALSE)</formula>
    </cfRule>
  </conditionalFormatting>
  <pageMargins left="0.7" right="0.7" top="0.75" bottom="0.75" header="0.3" footer="0.3"/>
  <pageSetup paperSize="9" orientation="portrait" r:id="rId1"/>
  <ignoredErrors>
    <ignoredError sqref="D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DePublicacao xmlns="ac26e13a-c3a6-41fe-a080-680c457ab7ba">2026-03-13T14:41:07+00:00</DataDePublicacao>
    <Idioma xmlns="ac26e13a-c3a6-41fe-a080-680c457ab7ba">Português</Idioma>
    <Visualizar xmlns="ac26e13a-c3a6-41fe-a080-680c457ab7ba">true</Visualizar>
    <Link xmlns="ac26e13a-c3a6-41fe-a080-680c457ab7ba">
      <Url xsi:nil="true"/>
      <Description xsi:nil="true"/>
    </Link>
    <EstatisticaMonetariaFinanceira xmlns="ac26e13a-c3a6-41fe-a080-680c457ab7ba">true</EstatisticaMonetariaFinanceira>
    <Categoria xmlns="ac26e13a-c3a6-41fe-a080-680c457ab7ba">Estatísticas Monetárias e Financeira</Categoria>
    <Ano xmlns="ac26e13a-c3a6-41fe-a080-680c457ab7ba" xsi:nil="true"/>
    <Conteudo xmlns="ac26e13a-c3a6-41fe-a080-680c457ab7ba" xsi:nil="true"/>
    <Fonte xmlns="ac26e13a-c3a6-41fe-a080-680c457ab7ba" xsi:nil="true"/>
    <_dlc_DocId xmlns="8305f4f8-dae7-4523-8257-656d8cb4d040">AE2CRDQUTFAC-2123509798-1554</_dlc_DocId>
    <_dlc_DocIdUrl xmlns="8305f4f8-dae7-4523-8257-656d8cb4d040">
      <Url>http://172.20.42.86/sites/cms/_layouts/15/DocIdRedir.aspx?ID=AE2CRDQUTFAC-2123509798-1554</Url>
      <Description>AE2CRDQUTFAC-2123509798-1554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7938B8F-9304-4E20-8008-C12BDE8203C1}"/>
</file>

<file path=customXml/itemProps2.xml><?xml version="1.0" encoding="utf-8"?>
<ds:datastoreItem xmlns:ds="http://schemas.openxmlformats.org/officeDocument/2006/customXml" ds:itemID="{82CCF7F4-E4F0-4DD2-B9C7-11980DFF65AD}"/>
</file>

<file path=customXml/itemProps3.xml><?xml version="1.0" encoding="utf-8"?>
<ds:datastoreItem xmlns:ds="http://schemas.openxmlformats.org/officeDocument/2006/customXml" ds:itemID="{49E80FB5-97C8-419D-9B39-D7EC93898406}"/>
</file>

<file path=customXml/itemProps4.xml><?xml version="1.0" encoding="utf-8"?>
<ds:datastoreItem xmlns:ds="http://schemas.openxmlformats.org/officeDocument/2006/customXml" ds:itemID="{F85AC2DE-8D09-4CAE-ACC7-B5FA936B7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Angola</vt:lpstr>
    </vt:vector>
  </TitlesOfParts>
  <Manager/>
  <Company>Banco Nacional Angola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das Reservas Internacionais e Liquidez em Moeda Estrangeira </dc:title>
  <dc:subject/>
  <dc:creator>Sarina Kelly Faria Pimentel Alves (DES)</dc:creator>
  <cp:keywords/>
  <dc:description/>
  <cp:lastModifiedBy>Manuel Octávio Baptista Pires Delgado</cp:lastModifiedBy>
  <cp:revision/>
  <dcterms:created xsi:type="dcterms:W3CDTF">2022-07-05T07:59:40Z</dcterms:created>
  <dcterms:modified xsi:type="dcterms:W3CDTF">2026-03-13T09:27:49Z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2022-07-05T08:35:25Z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e2f0ddac-819b-433c-9582-d4d209bf7dec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0bb637a4-e838-40fc-80ab-822644187fa8</vt:lpwstr>
  </property>
</Properties>
</file>