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X:\2PERFINS_PROVINCIAIS\10 PORTAL INE\30 CUANDO_FEITO\"/>
    </mc:Choice>
  </mc:AlternateContent>
  <xr:revisionPtr revIDLastSave="0" documentId="13_ncr:1_{71DCBB30-E5D8-4540-A017-1F1B99A83560}" xr6:coauthVersionLast="47" xr6:coauthVersionMax="47" xr10:uidLastSave="{00000000-0000-0000-0000-000000000000}"/>
  <bookViews>
    <workbookView xWindow="-120" yWindow="-120" windowWidth="29040" windowHeight="15840" tabRatio="911" firstSheet="21" activeTab="34" xr2:uid="{00000000-000D-0000-FFFF-FFFF00000000}"/>
  </bookViews>
  <sheets>
    <sheet name="1. População" sheetId="1" r:id="rId1"/>
    <sheet name="Q1.1" sheetId="2" r:id="rId2"/>
    <sheet name="Q1.2" sheetId="3" r:id="rId3"/>
    <sheet name="Q1.3" sheetId="4" r:id="rId4"/>
    <sheet name="Q1.4" sheetId="5" r:id="rId5"/>
    <sheet name="Q1.5" sheetId="6" r:id="rId6"/>
    <sheet name="Q1.6" sheetId="7" r:id="rId7"/>
    <sheet name="Q1.7" sheetId="8" r:id="rId8"/>
    <sheet name="2. Estado Civil" sheetId="10" r:id="rId9"/>
    <sheet name="Q2.1" sheetId="11" r:id="rId10"/>
    <sheet name="3. Registo Civil" sheetId="12" r:id="rId11"/>
    <sheet name="Q3.1" sheetId="15" r:id="rId12"/>
    <sheet name="Q3.2" sheetId="16" r:id="rId13"/>
    <sheet name="Q3.3" sheetId="17" r:id="rId14"/>
    <sheet name="Q3.4" sheetId="18" r:id="rId15"/>
    <sheet name="4. Deficiência e Albinismo" sheetId="13" r:id="rId16"/>
    <sheet name="Q4.1" sheetId="19" r:id="rId17"/>
    <sheet name="Q4.2" sheetId="21" r:id="rId18"/>
    <sheet name="Q4.3" sheetId="20" r:id="rId19"/>
    <sheet name="5. Orfandade" sheetId="14" r:id="rId20"/>
    <sheet name="Q5.1" sheetId="22" r:id="rId21"/>
    <sheet name="Q5.2" sheetId="23" r:id="rId22"/>
    <sheet name="6. Língua Materna" sheetId="24" r:id="rId23"/>
    <sheet name="Q 6.1" sheetId="26" r:id="rId24"/>
    <sheet name="Q 6.2" sheetId="27" r:id="rId25"/>
    <sheet name="7. Religião" sheetId="28" r:id="rId26"/>
    <sheet name="Q 7.1" sheetId="29" r:id="rId27"/>
    <sheet name="8. Educação" sheetId="30" r:id="rId28"/>
    <sheet name="Q8.1" sheetId="31" r:id="rId29"/>
    <sheet name="Q8.2" sheetId="33" r:id="rId30"/>
    <sheet name="Q8.3" sheetId="34" r:id="rId31"/>
    <sheet name="Q8.4" sheetId="32" r:id="rId32"/>
    <sheet name="Q8.5" sheetId="25" r:id="rId33"/>
    <sheet name="Q8.6" sheetId="35" r:id="rId34"/>
    <sheet name="Q8.7" sheetId="36" r:id="rId35"/>
    <sheet name="Q8.8" sheetId="37" r:id="rId36"/>
    <sheet name="Q8.9" sheetId="38" r:id="rId37"/>
    <sheet name="Q8.10" sheetId="39" r:id="rId38"/>
    <sheet name="Q8.11" sheetId="40" r:id="rId39"/>
    <sheet name="Q8.12" sheetId="41" r:id="rId40"/>
    <sheet name="Q8.13" sheetId="42" r:id="rId41"/>
    <sheet name="Q8.14" sheetId="43" r:id="rId42"/>
    <sheet name="Q8.15" sheetId="44" r:id="rId43"/>
    <sheet name="Q 8.16" sheetId="75" r:id="rId44"/>
    <sheet name="9. Agregado Familiar" sheetId="45" r:id="rId45"/>
    <sheet name="Q9.1" sheetId="46" r:id="rId46"/>
    <sheet name="Q9.2" sheetId="47" r:id="rId47"/>
    <sheet name="Q9.3" sheetId="48" r:id="rId48"/>
    <sheet name="Q9.4" sheetId="49" r:id="rId49"/>
    <sheet name="Q 9.5" sheetId="50" r:id="rId50"/>
    <sheet name="Q9.6" sheetId="51" r:id="rId51"/>
    <sheet name="Q9.7" sheetId="52" r:id="rId52"/>
    <sheet name="Q9.8" sheetId="53" r:id="rId53"/>
    <sheet name="Q9.9" sheetId="54" r:id="rId54"/>
    <sheet name="Q9.10" sheetId="55" r:id="rId55"/>
    <sheet name="Q9.11" sheetId="56" r:id="rId56"/>
    <sheet name="Q9.12" sheetId="57" r:id="rId57"/>
    <sheet name="Q9.13" sheetId="58" r:id="rId58"/>
    <sheet name="Q9.14" sheetId="59" r:id="rId59"/>
    <sheet name="Q9.15" sheetId="60" r:id="rId60"/>
    <sheet name="Q9.16" sheetId="61" r:id="rId61"/>
    <sheet name="Q9.17" sheetId="62" r:id="rId62"/>
    <sheet name="Q9.18" sheetId="63" r:id="rId63"/>
    <sheet name="Q9.19" sheetId="64" r:id="rId64"/>
    <sheet name="Q9.20" sheetId="65" r:id="rId65"/>
    <sheet name="10. Habitação" sheetId="66" r:id="rId66"/>
    <sheet name="Q10.1" sheetId="67" r:id="rId67"/>
    <sheet name="Q10.2" sheetId="68" r:id="rId68"/>
    <sheet name="Q10.3" sheetId="69" r:id="rId69"/>
    <sheet name="Q10.4" sheetId="70" r:id="rId70"/>
    <sheet name="Q10.5" sheetId="71" r:id="rId71"/>
    <sheet name="Q10.6" sheetId="72" r:id="rId72"/>
    <sheet name="Q10.7" sheetId="73" r:id="rId73"/>
  </sheets>
  <externalReferences>
    <externalReference r:id="rId7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0" i="75" l="1"/>
  <c r="M29" i="75"/>
  <c r="M28" i="75"/>
  <c r="M27" i="75"/>
  <c r="M26" i="75"/>
  <c r="M25" i="75"/>
  <c r="M24" i="75"/>
  <c r="M23" i="75"/>
  <c r="M22" i="75"/>
  <c r="M21" i="75"/>
  <c r="M20" i="75"/>
  <c r="M19" i="75"/>
  <c r="M18" i="75"/>
  <c r="M17" i="75"/>
  <c r="M16" i="75"/>
  <c r="M15" i="75"/>
  <c r="M14" i="75"/>
  <c r="M13" i="75"/>
  <c r="M12" i="75"/>
  <c r="M11" i="75"/>
  <c r="M10" i="75"/>
  <c r="M8" i="75"/>
  <c r="M7" i="75"/>
  <c r="M4" i="75"/>
  <c r="A2" i="43" l="1"/>
  <c r="A2" i="42"/>
  <c r="A2" i="41"/>
  <c r="A2" i="40"/>
  <c r="A3" i="39"/>
  <c r="A2" i="25"/>
  <c r="A2" i="32"/>
  <c r="O14" i="23" l="1"/>
  <c r="O13" i="23"/>
  <c r="O12" i="23"/>
  <c r="O11" i="23"/>
  <c r="L10" i="23"/>
  <c r="H10" i="23"/>
  <c r="D10" i="23"/>
  <c r="O9" i="23"/>
  <c r="O8" i="23"/>
  <c r="L7" i="23"/>
  <c r="H7" i="23"/>
  <c r="D7" i="23"/>
  <c r="L6" i="23"/>
  <c r="H6" i="23"/>
  <c r="D6" i="23"/>
  <c r="O5" i="23"/>
  <c r="D43" i="19"/>
  <c r="D42" i="19"/>
  <c r="D41" i="19"/>
  <c r="D40" i="19"/>
  <c r="D37" i="19"/>
  <c r="D36" i="19"/>
  <c r="D35" i="19"/>
  <c r="D34" i="19"/>
  <c r="D31" i="19"/>
  <c r="D30" i="19"/>
  <c r="D29" i="19"/>
  <c r="D28" i="19"/>
  <c r="D25" i="19"/>
  <c r="D24" i="19"/>
  <c r="D23" i="19"/>
  <c r="D22" i="19"/>
  <c r="D19" i="19"/>
  <c r="D18" i="19"/>
  <c r="D17" i="19"/>
  <c r="D16" i="19"/>
  <c r="D13" i="19"/>
  <c r="D12" i="19"/>
  <c r="D11" i="19"/>
  <c r="D10" i="19"/>
  <c r="D7" i="19"/>
  <c r="D6" i="19"/>
  <c r="D5" i="19"/>
  <c r="D4" i="19"/>
  <c r="J31" i="7" l="1"/>
  <c r="F31" i="7"/>
  <c r="B31" i="7"/>
  <c r="J30" i="7"/>
  <c r="F30" i="7"/>
  <c r="B30" i="7"/>
  <c r="J29" i="7"/>
  <c r="F29" i="7"/>
  <c r="B29" i="7"/>
  <c r="J28" i="7"/>
  <c r="F28" i="7"/>
  <c r="B28" i="7"/>
  <c r="J27" i="7"/>
  <c r="F27" i="7"/>
  <c r="B27" i="7"/>
  <c r="J26" i="7"/>
  <c r="F26" i="7"/>
  <c r="B26" i="7"/>
  <c r="J25" i="7"/>
  <c r="F25" i="7"/>
  <c r="B25" i="7"/>
  <c r="J24" i="7"/>
  <c r="F24" i="7"/>
  <c r="B24" i="7"/>
  <c r="J23" i="7"/>
  <c r="F23" i="7"/>
  <c r="B23" i="7"/>
  <c r="J22" i="7"/>
  <c r="F22" i="7"/>
  <c r="B22" i="7"/>
  <c r="J21" i="7"/>
  <c r="F21" i="7"/>
  <c r="B21" i="7"/>
  <c r="J20" i="7"/>
  <c r="F20" i="7"/>
  <c r="B20" i="7"/>
  <c r="J19" i="7"/>
  <c r="F19" i="7"/>
  <c r="B19" i="7"/>
  <c r="J18" i="7"/>
  <c r="F18" i="7"/>
  <c r="B18" i="7"/>
  <c r="J17" i="7"/>
  <c r="F17" i="7"/>
  <c r="B17" i="7"/>
  <c r="J16" i="7"/>
  <c r="F16" i="7"/>
  <c r="B16" i="7"/>
  <c r="J15" i="7"/>
  <c r="F15" i="7"/>
  <c r="B15" i="7"/>
  <c r="J14" i="7"/>
  <c r="F14" i="7"/>
  <c r="B14" i="7"/>
  <c r="J13" i="7"/>
  <c r="F13" i="7"/>
  <c r="B13" i="7"/>
  <c r="J12" i="7"/>
  <c r="F12" i="7"/>
  <c r="B12" i="7"/>
  <c r="J11" i="7"/>
  <c r="F11" i="7"/>
  <c r="B11" i="7"/>
  <c r="J9" i="7"/>
  <c r="F9" i="7"/>
  <c r="B9" i="7"/>
  <c r="J8" i="7"/>
  <c r="F8" i="7"/>
  <c r="B8" i="7"/>
  <c r="J5" i="7"/>
  <c r="F5" i="7"/>
  <c r="B5" i="7"/>
  <c r="B4" i="5"/>
</calcChain>
</file>

<file path=xl/sharedStrings.xml><?xml version="1.0" encoding="utf-8"?>
<sst xmlns="http://schemas.openxmlformats.org/spreadsheetml/2006/main" count="2404" uniqueCount="571">
  <si>
    <t>Idades Simples</t>
  </si>
  <si>
    <t>Total</t>
  </si>
  <si>
    <t>Homens</t>
  </si>
  <si>
    <t>Mulheres</t>
  </si>
  <si>
    <t>Urbana</t>
  </si>
  <si>
    <t>Rural</t>
  </si>
  <si>
    <t>Total da população</t>
  </si>
  <si>
    <t>Grupos etários</t>
  </si>
  <si>
    <t>0-4 anos</t>
  </si>
  <si>
    <t>5-14 anos</t>
  </si>
  <si>
    <t>15-64 anos</t>
  </si>
  <si>
    <t>Total de Habitaçãoes</t>
  </si>
  <si>
    <t>Habitação Familiar</t>
  </si>
  <si>
    <t>Vivenda</t>
  </si>
  <si>
    <t>Casa convencional</t>
  </si>
  <si>
    <t>Apartamento</t>
  </si>
  <si>
    <t>Cubata</t>
  </si>
  <si>
    <t>Barraca/Casa de chapa</t>
  </si>
  <si>
    <t>Outro</t>
  </si>
  <si>
    <t>Total de  Habitações</t>
  </si>
  <si>
    <t>Estado de ocupação da habitação</t>
  </si>
  <si>
    <t>Residência de uso habitual ocupado</t>
  </si>
  <si>
    <t>Residência de uso  oacasional ocupado</t>
  </si>
  <si>
    <t>Residência fechada</t>
  </si>
  <si>
    <t>Tipo de material usado principamente nas paredes exteriores</t>
  </si>
  <si>
    <t>Pedra</t>
  </si>
  <si>
    <t>Cimento / Bloco</t>
  </si>
  <si>
    <t>Tijolo</t>
  </si>
  <si>
    <t>Adobe</t>
  </si>
  <si>
    <t>Madeira</t>
  </si>
  <si>
    <t>Zinco</t>
  </si>
  <si>
    <t>Pau-a-pique</t>
  </si>
  <si>
    <t>Tipo de material usado principalmente no tecto</t>
  </si>
  <si>
    <t>Placa de betão</t>
  </si>
  <si>
    <t>Telha</t>
  </si>
  <si>
    <t>Lusalite / Fibrocimento</t>
  </si>
  <si>
    <t>Capim</t>
  </si>
  <si>
    <t>Tipo de material usado principalmente no chão</t>
  </si>
  <si>
    <t>Terra batida</t>
  </si>
  <si>
    <t>Cimento</t>
  </si>
  <si>
    <t>Mosaicos de cerâmica</t>
  </si>
  <si>
    <t>Divisões da habitação</t>
  </si>
  <si>
    <t>Quartos só para dormir</t>
  </si>
  <si>
    <t>Média de divisões por habitação</t>
  </si>
  <si>
    <t>Média de pessoas por divisões</t>
  </si>
  <si>
    <t xml:space="preserve">Média de quartos só para dormir por habitação </t>
  </si>
  <si>
    <t>Média de pessoas por quarto só para  dormir</t>
  </si>
  <si>
    <t>Quadro 9.1 - Agregados familiares por área de residência, município e comuna, segundo o principal tipo de iluminação, 2024</t>
  </si>
  <si>
    <t>Total de agregados familiares</t>
  </si>
  <si>
    <t>Principal tipo de Iluminação</t>
  </si>
  <si>
    <t>Gerador</t>
  </si>
  <si>
    <t>Painel solar</t>
  </si>
  <si>
    <t>Eólica (vento)</t>
  </si>
  <si>
    <t>Lanterna</t>
  </si>
  <si>
    <t>Candeeiro (gás, petróleo, pilhs etc.)</t>
  </si>
  <si>
    <t>Vela</t>
  </si>
  <si>
    <t>Lenha</t>
  </si>
  <si>
    <t>Nenhum</t>
  </si>
  <si>
    <t>Outra fonte</t>
  </si>
  <si>
    <t>Principal fonte de energia/combustível utilizado para cozinhar</t>
  </si>
  <si>
    <t xml:space="preserve"> Electricidade</t>
  </si>
  <si>
    <t xml:space="preserve"> Gás</t>
  </si>
  <si>
    <t xml:space="preserve"> Petróleo</t>
  </si>
  <si>
    <t xml:space="preserve"> Carvão</t>
  </si>
  <si>
    <t xml:space="preserve"> Lenha</t>
  </si>
  <si>
    <t xml:space="preserve"> Carvão/papelão</t>
  </si>
  <si>
    <t>Dentro de Casa</t>
  </si>
  <si>
    <t>Fora de Casa</t>
  </si>
  <si>
    <t xml:space="preserve"> Sanita ligada à fossa séptica</t>
  </si>
  <si>
    <t>Sanita ligada à fossa aberta( vala ou rio)</t>
  </si>
  <si>
    <t xml:space="preserve"> Retrete/ Latrina ligada a fossa séptica</t>
  </si>
  <si>
    <t xml:space="preserve"> Retrete/ Latrina ligada a fossa aberta ( vala ou rio)</t>
  </si>
  <si>
    <t xml:space="preserve"> Nenhum sanitário / espaço livre / Ar livre</t>
  </si>
  <si>
    <t>Principal modo de tratamento habitual que se da a água para beber</t>
  </si>
  <si>
    <t xml:space="preserve"> Ferve</t>
  </si>
  <si>
    <t xml:space="preserve"> Desinfeta com lixívia (outro desinfetante)</t>
  </si>
  <si>
    <t xml:space="preserve"> Filtra com pano</t>
  </si>
  <si>
    <t xml:space="preserve"> Filtra com filtro de água</t>
  </si>
  <si>
    <t xml:space="preserve"> Filtra e ferve</t>
  </si>
  <si>
    <t xml:space="preserve"> Aquece ao sol</t>
  </si>
  <si>
    <t xml:space="preserve"> Nenhum tratamento</t>
  </si>
  <si>
    <t>Outro modo</t>
  </si>
  <si>
    <t>Agregados que partilham a casa de banho</t>
  </si>
  <si>
    <t xml:space="preserve"> Não</t>
  </si>
  <si>
    <t>Área de residencia</t>
  </si>
  <si>
    <t>Total de Agregados familiares</t>
  </si>
  <si>
    <t xml:space="preserve"> Sim, dentro da casa</t>
  </si>
  <si>
    <t xml:space="preserve"> Sim, dentro do quintal da casa</t>
  </si>
  <si>
    <t>Não tem acesso</t>
  </si>
  <si>
    <t>Quadro 9.7 - Agregados familiares por área de residência, município e comuna, segundo situação se a água utilizada para beber provém da mesma fonte, 2024</t>
  </si>
  <si>
    <t>Situação se a água utilizada para beber provém da mesma fonte</t>
  </si>
  <si>
    <t xml:space="preserve"> Sim</t>
  </si>
  <si>
    <t>Quadro 9.8 - Agregados familiares por área de residência, município e comuna, segundo a principal fonte utilizada para abastecimento de água, 2024</t>
  </si>
  <si>
    <t>Principal fonte utilizado para abastecimento de água</t>
  </si>
  <si>
    <t xml:space="preserve"> Torneira do Agregado familiar ligada a rede pública</t>
  </si>
  <si>
    <t>Torneira do edifício vizinho ligada a rede pública</t>
  </si>
  <si>
    <t>Camião cisterna / mota de 3 rodas / cupapata</t>
  </si>
  <si>
    <t>Chafariz público</t>
  </si>
  <si>
    <t>Furo com bomba</t>
  </si>
  <si>
    <t>Cacimba / poço protegido</t>
  </si>
  <si>
    <t>Cacimba / poço desprotegido</t>
  </si>
  <si>
    <t>Nascente protegida</t>
  </si>
  <si>
    <t>Nascente desprotegida</t>
  </si>
  <si>
    <t>Água da chuva / chimpacas</t>
  </si>
  <si>
    <t>Charco / rio / Riacho/ Canal</t>
  </si>
  <si>
    <t>Sim</t>
  </si>
  <si>
    <t>Não</t>
  </si>
  <si>
    <t>Não declarado</t>
  </si>
  <si>
    <t xml:space="preserve"> 0 - 14 anos</t>
  </si>
  <si>
    <t xml:space="preserve"> 15-64 anos</t>
  </si>
  <si>
    <t xml:space="preserve"> 65 ou mais anos</t>
  </si>
  <si>
    <t>Área de residência</t>
  </si>
  <si>
    <t xml:space="preserve">Sexo </t>
  </si>
  <si>
    <t xml:space="preserve">Homens </t>
  </si>
  <si>
    <t>Média</t>
  </si>
  <si>
    <t>Mediana</t>
  </si>
  <si>
    <t>População com 12 ou mais anos</t>
  </si>
  <si>
    <t>Estado Civil</t>
  </si>
  <si>
    <t>Solteiro(a)</t>
  </si>
  <si>
    <t>Casado(a) ou em União de facto</t>
  </si>
  <si>
    <t>Separado(a)</t>
  </si>
  <si>
    <t>Divorciado(a)</t>
  </si>
  <si>
    <t>Viúvo(a)</t>
  </si>
  <si>
    <t>População com registo de nascimento</t>
  </si>
  <si>
    <t>Masculino</t>
  </si>
  <si>
    <t>Feminino</t>
  </si>
  <si>
    <t>Grupo Etário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</si>
  <si>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</si>
  <si>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</si>
  <si>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</si>
  <si>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</si>
  <si>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</si>
  <si>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</si>
  <si>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</si>
  <si>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</si>
  <si>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</si>
  <si>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</si>
  <si>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</si>
  <si>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</si>
  <si>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 ou mais anos</t>
  </si>
  <si>
    <t>Quicongo (Kikongu ou Congolês conguês</t>
  </si>
  <si>
    <t>Quimbundo (Kimbundu ou Tymbundu)</t>
  </si>
  <si>
    <t>Lunda-Quioco (Lunda-kioko ou Lunda-Tchokwe Tshokwe)</t>
  </si>
  <si>
    <t>Umbundo (ou Ovimbundo)</t>
  </si>
  <si>
    <t>Nhaneca-Humbe (Nyaneka-Lumkumbi)</t>
  </si>
  <si>
    <t>Ambó (Vahambo tanbé designado Xikwanyama)</t>
  </si>
  <si>
    <t>Helelo, Herero (Tchielelo, Tjiherero)</t>
  </si>
  <si>
    <t>Cuangar</t>
  </si>
  <si>
    <t>Khoisan</t>
  </si>
  <si>
    <t>Vátua</t>
  </si>
  <si>
    <t>Kwoi</t>
  </si>
  <si>
    <t>Xindonga (Oshindonga)</t>
  </si>
  <si>
    <t>Não sabe</t>
  </si>
  <si>
    <t>Português</t>
  </si>
  <si>
    <t>Kimbundu</t>
  </si>
  <si>
    <t>Umbundu</t>
  </si>
  <si>
    <t>Cokue (Chokwe/Kioko)</t>
  </si>
  <si>
    <t>Kikongo</t>
  </si>
  <si>
    <t>Olunyaneka (Nhaneka)</t>
  </si>
  <si>
    <t>Nganguela</t>
  </si>
  <si>
    <t>Oxikwanhama (Kwanhama)</t>
  </si>
  <si>
    <t>Ifyoti (Fiote)</t>
  </si>
  <si>
    <t>Muhumbi</t>
  </si>
  <si>
    <t>Luvale</t>
  </si>
  <si>
    <t>Outras línguas</t>
  </si>
  <si>
    <t>Domínio Funcional</t>
  </si>
  <si>
    <t>Grau de dificuldade</t>
  </si>
  <si>
    <t>N</t>
  </si>
  <si>
    <t>%</t>
  </si>
  <si>
    <t>Dificulade em ver, mesmo quando usa os seus óculos/lentes de contacto</t>
  </si>
  <si>
    <t>Não tem dificuldade</t>
  </si>
  <si>
    <t>Tem alguma dificuldade</t>
  </si>
  <si>
    <t>Tem muita dificuldade</t>
  </si>
  <si>
    <t>Não consegue ver de modo algum</t>
  </si>
  <si>
    <t>Total dos 5 ou mais anos</t>
  </si>
  <si>
    <t>Dificuldade em ouvir, mesmo quando usa aparelho(S) auditivo</t>
  </si>
  <si>
    <t>Não consegue ouvir de modo algum</t>
  </si>
  <si>
    <t>Dificuldade em andar ou subir escadas</t>
  </si>
  <si>
    <t>Não consegue andar de modo algum</t>
  </si>
  <si>
    <t>Dificuldade de se comunicar (por exemplo, compreender, interpretar ou ser compreendido pelos outros)</t>
  </si>
  <si>
    <t>Não consegue entender os outros ou fazer-se entender de modo algum</t>
  </si>
  <si>
    <t>Dificuldade em lembrar das coisas ou concentrar-se</t>
  </si>
  <si>
    <t>Não consegue se concentrar ou lembrar de modo algum</t>
  </si>
  <si>
    <t>Dificuldades em usar as mãos e os dedos(por exemplo, apanhar pequenos objectos, como um botão, lápis,  abrir ou fechar recipientes)</t>
  </si>
  <si>
    <t>Não consegue usar os dedos de modo algum</t>
  </si>
  <si>
    <t>Dificuldades em cuidar de si próprio (por exemplo  tomar banho da cabeça aos pés ou vestir-se sozinho)</t>
  </si>
  <si>
    <t>Não consegue cuidar da si de modo algum</t>
  </si>
  <si>
    <t xml:space="preserve">Nota-A : O denominador usado para o cálculo das percentagens é o total da população com 5 ou mais anos, </t>
  </si>
  <si>
    <r>
      <t xml:space="preserve">Nota-B: Inseriu-se a linha do total respodente,visto que para o nosso caso a população será a mesma uma vez que os missings foram recodificados em todas as variáveis para a opção de resposta </t>
    </r>
    <r>
      <rPr>
        <b/>
        <sz val="9"/>
        <color theme="1"/>
        <rFont val="Calibri"/>
        <family val="2"/>
      </rPr>
      <t>não tem dificuldad</t>
    </r>
    <r>
      <rPr>
        <sz val="9"/>
        <color theme="1"/>
        <rFont val="Calibri"/>
        <family val="2"/>
      </rPr>
      <t>e</t>
    </r>
  </si>
  <si>
    <t>Mãe vive noutro agregado</t>
  </si>
  <si>
    <t xml:space="preserve"> Pai vive noutro agregado</t>
  </si>
  <si>
    <t>Ambos vivem noutro agregado</t>
  </si>
  <si>
    <t xml:space="preserve">Urbana </t>
  </si>
  <si>
    <t>Total de crianças orfãos</t>
  </si>
  <si>
    <t>Crianças orfãos de mãe</t>
  </si>
  <si>
    <t>Crianças orfãos de pai</t>
  </si>
  <si>
    <t>Crianças orfãos  de ambos</t>
  </si>
  <si>
    <t>Taxa de orfandade</t>
  </si>
  <si>
    <t>Grupo etário</t>
  </si>
  <si>
    <t>15-17 anos</t>
  </si>
  <si>
    <t>Total da população com 15 ou mais anos</t>
  </si>
  <si>
    <t>População com 15 ou mais anos que sabe ler e escrever</t>
  </si>
  <si>
    <t>Taxa de alfabetização</t>
  </si>
  <si>
    <t>Índice de paridade no género</t>
  </si>
  <si>
    <t>Grupo etário e área de 
residência</t>
  </si>
  <si>
    <t>65-69 anos</t>
  </si>
  <si>
    <t>70-74 anos</t>
  </si>
  <si>
    <t>75-79 anos</t>
  </si>
  <si>
    <t>80-84 anos</t>
  </si>
  <si>
    <t>85-89 anos</t>
  </si>
  <si>
    <t>90-94 anos</t>
  </si>
  <si>
    <t>95 ou mais anos</t>
  </si>
  <si>
    <t xml:space="preserve"> População com 5 ou mais anos</t>
  </si>
  <si>
    <t>A frequentar</t>
  </si>
  <si>
    <t>Alguma vez frequentou</t>
  </si>
  <si>
    <t>Nunca frequentou</t>
  </si>
  <si>
    <t>População com 5-11 anos fora do sistema de ensino</t>
  </si>
  <si>
    <t xml:space="preserve"> População com 12-14 anos</t>
  </si>
  <si>
    <t xml:space="preserve"> População com 12-14 anos fora do sistema do ensino</t>
  </si>
  <si>
    <t xml:space="preserve"> População com 15-18 anos</t>
  </si>
  <si>
    <t xml:space="preserve"> População com 15-18 anos fora do sistema do ensino</t>
  </si>
  <si>
    <t xml:space="preserve">População com 5-18 anos </t>
  </si>
  <si>
    <t>População com 5-18 anos fora do sistema de ensino</t>
  </si>
  <si>
    <t>I Ciclo do ensino secundário</t>
  </si>
  <si>
    <t>II Ciclo do ensino secundário</t>
  </si>
  <si>
    <t>População com 18 ou mais anos</t>
  </si>
  <si>
    <t>População com 18 ou mais anos que frequenta ou alguma vez frequentou a escola</t>
  </si>
  <si>
    <t>Nível de ensino concluído</t>
  </si>
  <si>
    <t>Ensino primário</t>
  </si>
  <si>
    <t>Ensino superior</t>
  </si>
  <si>
    <t>Nenhum nível</t>
  </si>
  <si>
    <t>Frequência líquida no ensino primário</t>
  </si>
  <si>
    <t>Taxa líquida de frequência no ensino primário</t>
  </si>
  <si>
    <t>Católica</t>
  </si>
  <si>
    <t>Bom Deus</t>
  </si>
  <si>
    <t>Islâmica/ Muçulmana</t>
  </si>
  <si>
    <t>Animista</t>
  </si>
  <si>
    <t>Judaica</t>
  </si>
  <si>
    <t>Protestante</t>
  </si>
  <si>
    <t>Universal do reino de Deus</t>
  </si>
  <si>
    <t>Nova apostólica</t>
  </si>
  <si>
    <t>Tocoísta</t>
  </si>
  <si>
    <t>Kimbanguista</t>
  </si>
  <si>
    <t>Josafat</t>
  </si>
  <si>
    <t>Assembleia de Deus Pentecostal</t>
  </si>
  <si>
    <t>Testemunha de Jeová</t>
  </si>
  <si>
    <t>Metodista</t>
  </si>
  <si>
    <t>Evangélica</t>
  </si>
  <si>
    <t>Adventista</t>
  </si>
  <si>
    <t>Baptista</t>
  </si>
  <si>
    <t>Mensagem dos últimos Tempos</t>
  </si>
  <si>
    <t>Sem religião</t>
  </si>
  <si>
    <t>Outra religião</t>
  </si>
  <si>
    <t>Não sabe/ Não respondeu</t>
  </si>
  <si>
    <t>Quadro 1.3 - População por grupos etários quinquenais, 2024</t>
  </si>
  <si>
    <t xml:space="preserve"> Grupos etários</t>
  </si>
  <si>
    <t>0-19 anos</t>
  </si>
  <si>
    <t>20-29 anos</t>
  </si>
  <si>
    <t>30-54 anos</t>
  </si>
  <si>
    <t>55-64 anos</t>
  </si>
  <si>
    <t>65-74 anos</t>
  </si>
  <si>
    <t>75 ou mais anos</t>
  </si>
  <si>
    <t>0 - 14 anos</t>
  </si>
  <si>
    <t>15 - 64 anos</t>
  </si>
  <si>
    <t>Áreas de residência</t>
  </si>
  <si>
    <t>Granito</t>
  </si>
  <si>
    <t>Mármore</t>
  </si>
  <si>
    <t>Tacos de madeira</t>
  </si>
  <si>
    <t>Tamanho do agregado</t>
  </si>
  <si>
    <t>Média de pessoas por agregado</t>
  </si>
  <si>
    <t>1 pessoa</t>
  </si>
  <si>
    <t>2 pessoas</t>
  </si>
  <si>
    <t>3 pessoas</t>
  </si>
  <si>
    <t>4 pessoas</t>
  </si>
  <si>
    <t>5 pessoas</t>
  </si>
  <si>
    <t>6 pessoas</t>
  </si>
  <si>
    <t>7 ou mais pessoas</t>
  </si>
  <si>
    <t>Nº</t>
  </si>
  <si>
    <t>Menor de 24 anos</t>
  </si>
  <si>
    <t>25-34 anos</t>
  </si>
  <si>
    <t>35-44 anos</t>
  </si>
  <si>
    <t>45-54 anos</t>
  </si>
  <si>
    <t>Tipo de núcleo</t>
  </si>
  <si>
    <t xml:space="preserve"> Só 1 pessoa</t>
  </si>
  <si>
    <t>Casal sem filhos, sem outras pessoas</t>
  </si>
  <si>
    <t>Casal sem filhos, com outras pessoas</t>
  </si>
  <si>
    <t>Casal com filhos, sem outras pessoas</t>
  </si>
  <si>
    <t>Casal com filhos, com outras pessoas</t>
  </si>
  <si>
    <t>Pai ou mãe com filhos, sem outras pessoas</t>
  </si>
  <si>
    <t>Pai ou mãe com filhos, com outras pessoas</t>
  </si>
  <si>
    <t>Outros</t>
  </si>
  <si>
    <t>Quadro 9.17 - Agregados familiares por área de residência, município e comuna, segundo o sexo do chefe, 2024</t>
  </si>
  <si>
    <t>Quadro 9.16 - Agregados familiares por área de residência, município e comuna, segundo a entidade que prestou o apoio social, 2024</t>
  </si>
  <si>
    <t>Total de Agregados familiares que receberam algum apoio</t>
  </si>
  <si>
    <t>Entidade que prestou apoio social</t>
  </si>
  <si>
    <t>Projecto Kwenda</t>
  </si>
  <si>
    <t>ONG´s</t>
  </si>
  <si>
    <t>Doações de diversas entidades ( igreja, grupos sociais, administrações, empresas públicas/ privadas, etc.)</t>
  </si>
  <si>
    <t>Quadro 9.15 - Agregados familiares por área de residência, município e comuna, segundo a situação se recebe algum tipo de apoio social</t>
  </si>
  <si>
    <t>Situação se o agregado recebe algum tipo de apoio social</t>
  </si>
  <si>
    <t>Recebe</t>
  </si>
  <si>
    <t>Não recebe</t>
  </si>
  <si>
    <t>Quadro 9.14 - Agregados familiares por área de residência, município e comuna, segundo a posse de bens que funcionam em casa</t>
  </si>
  <si>
    <t xml:space="preserve"> Rádio</t>
  </si>
  <si>
    <t xml:space="preserve"> Televisão</t>
  </si>
  <si>
    <t xml:space="preserve"> Telefone Fixo</t>
  </si>
  <si>
    <t xml:space="preserve"> Tablet</t>
  </si>
  <si>
    <t>Computador</t>
  </si>
  <si>
    <t>Serviços de internet</t>
  </si>
  <si>
    <t xml:space="preserve"> Carro/Carrinha/Camião</t>
  </si>
  <si>
    <t>Motorizada</t>
  </si>
  <si>
    <t>Bicicleta</t>
  </si>
  <si>
    <t>Geleira/Arca</t>
  </si>
  <si>
    <t xml:space="preserve"> Bois/Vacas</t>
  </si>
  <si>
    <t>Cabrito/cabra</t>
  </si>
  <si>
    <t>Porco/leitão</t>
  </si>
  <si>
    <t>Carneiro/ovelha</t>
  </si>
  <si>
    <t>Equino/cavalo</t>
  </si>
  <si>
    <t>Quadro 9.11 - Agregados familiares por área de residência, município e comuna, segundo a situação de criação de animais por algum membro nos últimos 12 meses, 2024</t>
  </si>
  <si>
    <t>Situação de criação de animais por conta própria</t>
  </si>
  <si>
    <t>Município e área de residência</t>
  </si>
  <si>
    <t>Quadro 9.10 - Agregados familiares por área de residência, município e comuna, segundo o regime de ocupação da lavra/exploração (parcela), 2024</t>
  </si>
  <si>
    <t>Total de agregados familiares que praticam actividade agrícola</t>
  </si>
  <si>
    <t>Regime de ocupação da lavra/parcela</t>
  </si>
  <si>
    <t>Cedida, autoridade tradicional</t>
  </si>
  <si>
    <t>Cedida, governo</t>
  </si>
  <si>
    <t>Cedida por Terceiros (familiares, amigos, compadre, vizinhos, igreja, etc.)</t>
  </si>
  <si>
    <t>Arrendada / Alugada</t>
  </si>
  <si>
    <t>Ocupada de facto</t>
  </si>
  <si>
    <t>Comprada</t>
  </si>
  <si>
    <t>Herdada</t>
  </si>
  <si>
    <t>Emprestada</t>
  </si>
  <si>
    <t>Outro regime</t>
  </si>
  <si>
    <t xml:space="preserve">1 ano </t>
  </si>
  <si>
    <t xml:space="preserve">2 anos </t>
  </si>
  <si>
    <t xml:space="preserve">3 anos </t>
  </si>
  <si>
    <t xml:space="preserve">4 anos </t>
  </si>
  <si>
    <t xml:space="preserve">5 anos </t>
  </si>
  <si>
    <t xml:space="preserve">6 anos </t>
  </si>
  <si>
    <t xml:space="preserve">7 anos </t>
  </si>
  <si>
    <t xml:space="preserve">8 anos </t>
  </si>
  <si>
    <t xml:space="preserve">9 anos </t>
  </si>
  <si>
    <t xml:space="preserve">10 anos </t>
  </si>
  <si>
    <t xml:space="preserve">11 anos </t>
  </si>
  <si>
    <t xml:space="preserve">12 anos </t>
  </si>
  <si>
    <t xml:space="preserve">13 anos </t>
  </si>
  <si>
    <t xml:space="preserve">14 anos </t>
  </si>
  <si>
    <t xml:space="preserve">15 anos </t>
  </si>
  <si>
    <t xml:space="preserve">16 anos </t>
  </si>
  <si>
    <t xml:space="preserve">17 anos </t>
  </si>
  <si>
    <t xml:space="preserve">18 anos </t>
  </si>
  <si>
    <t xml:space="preserve">19 anos </t>
  </si>
  <si>
    <t xml:space="preserve">20 anos </t>
  </si>
  <si>
    <t xml:space="preserve">21 anos </t>
  </si>
  <si>
    <t xml:space="preserve">22 anos </t>
  </si>
  <si>
    <t xml:space="preserve">23 anos </t>
  </si>
  <si>
    <t xml:space="preserve">24 anos </t>
  </si>
  <si>
    <t xml:space="preserve">25 anos </t>
  </si>
  <si>
    <t xml:space="preserve">26 anos </t>
  </si>
  <si>
    <t xml:space="preserve">27 anos </t>
  </si>
  <si>
    <t xml:space="preserve">28 anos </t>
  </si>
  <si>
    <t xml:space="preserve">29 anos </t>
  </si>
  <si>
    <t xml:space="preserve">30 anos </t>
  </si>
  <si>
    <t xml:space="preserve">31 anos </t>
  </si>
  <si>
    <t xml:space="preserve">32 anos  </t>
  </si>
  <si>
    <t xml:space="preserve">33 anos </t>
  </si>
  <si>
    <t xml:space="preserve">34 anos </t>
  </si>
  <si>
    <t xml:space="preserve">35 anos </t>
  </si>
  <si>
    <t xml:space="preserve">36 anos </t>
  </si>
  <si>
    <t xml:space="preserve">37 anos </t>
  </si>
  <si>
    <t xml:space="preserve">38 anos </t>
  </si>
  <si>
    <t xml:space="preserve">39 anos </t>
  </si>
  <si>
    <t xml:space="preserve">40 anos </t>
  </si>
  <si>
    <t xml:space="preserve">41 anos </t>
  </si>
  <si>
    <t xml:space="preserve">42 anos </t>
  </si>
  <si>
    <t xml:space="preserve">43 anos </t>
  </si>
  <si>
    <t xml:space="preserve">44 anos </t>
  </si>
  <si>
    <t xml:space="preserve">45 anos </t>
  </si>
  <si>
    <t xml:space="preserve">46 anos </t>
  </si>
  <si>
    <t xml:space="preserve">47 anos </t>
  </si>
  <si>
    <t xml:space="preserve">48 anos </t>
  </si>
  <si>
    <t xml:space="preserve">49 anos </t>
  </si>
  <si>
    <t xml:space="preserve">50 anos </t>
  </si>
  <si>
    <t xml:space="preserve">51 anos </t>
  </si>
  <si>
    <t xml:space="preserve">52 anos </t>
  </si>
  <si>
    <t xml:space="preserve">53 anos </t>
  </si>
  <si>
    <t xml:space="preserve">54 anos </t>
  </si>
  <si>
    <t xml:space="preserve">55 anos </t>
  </si>
  <si>
    <t xml:space="preserve">56 anos </t>
  </si>
  <si>
    <t xml:space="preserve">57 anos </t>
  </si>
  <si>
    <t xml:space="preserve">58 anos </t>
  </si>
  <si>
    <t xml:space="preserve">59 anos </t>
  </si>
  <si>
    <t xml:space="preserve">60 anos </t>
  </si>
  <si>
    <t xml:space="preserve">61 anos </t>
  </si>
  <si>
    <t xml:space="preserve">62 anos </t>
  </si>
  <si>
    <t xml:space="preserve">63 anos </t>
  </si>
  <si>
    <t xml:space="preserve">64 anos </t>
  </si>
  <si>
    <t xml:space="preserve">65 anos </t>
  </si>
  <si>
    <t xml:space="preserve">66 anos </t>
  </si>
  <si>
    <t xml:space="preserve">67 anos </t>
  </si>
  <si>
    <t xml:space="preserve">68 anos </t>
  </si>
  <si>
    <t xml:space="preserve">69 anos </t>
  </si>
  <si>
    <t xml:space="preserve">70 anos </t>
  </si>
  <si>
    <t xml:space="preserve">71 anos </t>
  </si>
  <si>
    <t xml:space="preserve">72 anos </t>
  </si>
  <si>
    <t xml:space="preserve">73 anos </t>
  </si>
  <si>
    <t xml:space="preserve">74 anos </t>
  </si>
  <si>
    <t xml:space="preserve">75 anos </t>
  </si>
  <si>
    <t xml:space="preserve">76 anos </t>
  </si>
  <si>
    <t xml:space="preserve">77 anos </t>
  </si>
  <si>
    <t xml:space="preserve">78 anos </t>
  </si>
  <si>
    <t xml:space="preserve">79 anos </t>
  </si>
  <si>
    <t xml:space="preserve">80 anos </t>
  </si>
  <si>
    <t xml:space="preserve">81 anos </t>
  </si>
  <si>
    <t xml:space="preserve">82 anos </t>
  </si>
  <si>
    <t xml:space="preserve">83 anos </t>
  </si>
  <si>
    <t xml:space="preserve">84 anos </t>
  </si>
  <si>
    <t xml:space="preserve">85 anos </t>
  </si>
  <si>
    <t xml:space="preserve">86 anos </t>
  </si>
  <si>
    <t xml:space="preserve">87 anos </t>
  </si>
  <si>
    <t xml:space="preserve">88 anos </t>
  </si>
  <si>
    <t xml:space="preserve">89 anos </t>
  </si>
  <si>
    <t xml:space="preserve">90 anos </t>
  </si>
  <si>
    <t xml:space="preserve">91 anos </t>
  </si>
  <si>
    <t xml:space="preserve">92 anos </t>
  </si>
  <si>
    <t xml:space="preserve">93 anos </t>
  </si>
  <si>
    <t xml:space="preserve">94 anos </t>
  </si>
  <si>
    <t>População com bilhete de identidade</t>
  </si>
  <si>
    <t>Total da população com albinismo</t>
  </si>
  <si>
    <t>População com 2 ou mais anos</t>
  </si>
  <si>
    <t>Número de pessoas com 0 - 17 anos de idade</t>
  </si>
  <si>
    <t xml:space="preserve">Total </t>
  </si>
  <si>
    <t xml:space="preserve">Total  </t>
  </si>
  <si>
    <t>Número de pessoas com 0 -17 anos de idade</t>
  </si>
  <si>
    <t>Crianças com 0 - 17 anos que não vivem com pelo menos um dos pais</t>
  </si>
  <si>
    <t>Total de Agregados só para dormir</t>
  </si>
  <si>
    <t xml:space="preserve"> População com 5 ou mais anos a frequentar a escola</t>
  </si>
  <si>
    <t>Nível de ensino a frequentar</t>
  </si>
  <si>
    <t>Iniciação ou alfabetização</t>
  </si>
  <si>
    <t>Ensino Primário</t>
  </si>
  <si>
    <t>Ensino Superior</t>
  </si>
  <si>
    <t>Total de agregados familiares que praticaram actividade pecuária nos últimos 12 meses</t>
  </si>
  <si>
    <t>Total de agregados familiares que praticaram actividade piscatória nos últimos 12 meses</t>
  </si>
  <si>
    <t>Posse de bens que funcionam</t>
  </si>
  <si>
    <t>Frequência líquida no ensino secundário</t>
  </si>
  <si>
    <t>Área de residência, município e comuna</t>
  </si>
  <si>
    <t>Área de residência e grupos quinquenais</t>
  </si>
  <si>
    <t>Quadro 4.2 - Pessoas com albinismo por área de residência, município e comuna, segundo o sexo, 2024</t>
  </si>
  <si>
    <t>Município / Comuna</t>
  </si>
  <si>
    <t>Quadro 4.3 - População com albinismo por área de residência, município e comuna, segundo grupo etário, 2024</t>
  </si>
  <si>
    <t>Idades</t>
  </si>
  <si>
    <t>Quadro 4.1- Resumo síntese dos indicadores da dificiência</t>
  </si>
  <si>
    <t>Município</t>
  </si>
  <si>
    <t>Área de residencia, município e comuna</t>
  </si>
  <si>
    <t xml:space="preserve"> População com 5-11 anos</t>
  </si>
  <si>
    <t>Quadro 9.2 - Agregados familiares por área de residência, município e comuna, segundo a principal fonte de energia/combustível utilizado para cozinhar</t>
  </si>
  <si>
    <t>Quadro 9.3 - Agregados familiares por área de residência, município e comuna, segundo o tipo de sanitário (casa de banho, retrete) que o agregado familiar utiliza normalmente dentro ou fora de casa</t>
  </si>
  <si>
    <t>Quadro 9.4 -Agregados familiares por área de residência, município e comuna, segundo o modo de tratamento habitual que se da a água para beber, 2024</t>
  </si>
  <si>
    <t>Quadro 9.5 -Agregados familiares por área de residência, município e comuna, segundo a situação de partilha da casa de banho</t>
  </si>
  <si>
    <t>Quadro 9.6 -Agregados familiares por área de residência, município e comuna, segundo o acesso a água da rede pública, 2024</t>
  </si>
  <si>
    <t>Quadro 9.12 - Agregados familiares criadores de animais  por área de residência, município e comuna, segundo o tipo de animais criados nos últimos 12 meses</t>
  </si>
  <si>
    <t>Quadro 9.13 - Agregados familiares por área de residência, município e comuna, segundo o tipo de actividade piscatória praticada</t>
  </si>
  <si>
    <t>Quadro 9.18 - Agregados familiares por  província e área de residência, segundo o tipo  de núcleo, 2024</t>
  </si>
  <si>
    <t>Quadro 9.19- Agregados familiares por grupo étário, segundo o sexo do chefe, 2024</t>
  </si>
  <si>
    <t>Quadro 9.20 - Agregados familiares por província e área de residência, segundo o tamanho e média de pessoas por agregado, 2024</t>
  </si>
  <si>
    <t>Pesca continental/Fluvial</t>
  </si>
  <si>
    <t>Quadro 10.2 - Habitações familiares por município e área de residência, segundo o tipo de habitação, 2024</t>
  </si>
  <si>
    <t>Quadro 10.3 - Habitações familiares por município e área de residência, segundo o estado de ocupação da habitação, 2024</t>
  </si>
  <si>
    <t>Quadro 10.4 - Habitações familiares por município e área de residência, segundo o tipo de material usado principalmente nas paredes exteriores, 2024</t>
  </si>
  <si>
    <t>Quadro 10.5 - Habitações familiares por município e área de residência, segundo o tipo de material usado principamente no tecto, 2024</t>
  </si>
  <si>
    <t>Quadro10.6 - Habitações familiares por município e área de residência, segundo o tipo de material usado principamente no chão, 2024</t>
  </si>
  <si>
    <t>Quadro 10.7 - Habitações familiares por município e área de residência, segundo a média de divisões da habitação e a média de quartos para dormir, 2024</t>
  </si>
  <si>
    <t>Quadro 1.1 - População por área de residência e província, 2024</t>
  </si>
  <si>
    <t>Quadro 1.2 - População por idades simples, 2024</t>
  </si>
  <si>
    <t>Quadro 1.4 - População por município, por área de residência, 2024</t>
  </si>
  <si>
    <t>Quadro 1.5 - População por município, segundo outros grupos etários, 2024</t>
  </si>
  <si>
    <t>Quadro 1.6 - População por município e área de residência, 2024</t>
  </si>
  <si>
    <t>Municipio / Comuna</t>
  </si>
  <si>
    <t xml:space="preserve">Quadro 1.7 - Idade média e mediana da população por área de residência e sexo, 2024   
</t>
  </si>
  <si>
    <t xml:space="preserve">Quadro 2.1 - População com 12 ou mais por estado civil segungo o sexo, 2024 </t>
  </si>
  <si>
    <t>Quadro 3.1 - População  residente com registo de nascimento por município e  área de residência,  segundo sexo, 2024</t>
  </si>
  <si>
    <t>Área de residencia e grupo etário</t>
  </si>
  <si>
    <t>Quadro 3.4 - População com 5 anos ou mais, residente com Bilhete de identidade por município,area de residencia segundo  sexo, 2024</t>
  </si>
  <si>
    <t>Quadro 3.3 - População  residente com Bilhete de identidade por área de residência, segundo os grupos etários e sexo, 2024</t>
  </si>
  <si>
    <t>Quadro 5.1 - Crianças com 0-17 anos que não vivem com os pais por área de residência,  município, segundo sexo, 2024</t>
  </si>
  <si>
    <t xml:space="preserve">Área de residência </t>
  </si>
  <si>
    <t>Mavinga</t>
  </si>
  <si>
    <t>Cuito Cuanavale</t>
  </si>
  <si>
    <t>Lupire</t>
  </si>
  <si>
    <t>Dirico</t>
  </si>
  <si>
    <t>Xamavera</t>
  </si>
  <si>
    <t>Rivungo</t>
  </si>
  <si>
    <t>Luiana</t>
  </si>
  <si>
    <t>Luengue</t>
  </si>
  <si>
    <t>Dima</t>
  </si>
  <si>
    <t>Cutuile</t>
  </si>
  <si>
    <t>Cunjamba</t>
  </si>
  <si>
    <t>Xipundo</t>
  </si>
  <si>
    <t>Mucusso</t>
  </si>
  <si>
    <t>Luíana</t>
  </si>
  <si>
    <t>Cuando</t>
  </si>
  <si>
    <t>0 anos</t>
  </si>
  <si>
    <t>Quadro 3.2 - População  residente com registo de nascimento por  grupos etários segundo sexo, 2024</t>
  </si>
  <si>
    <t>Quadro 5.2 - Crianças com 0-17 anos por área de residência, segundo a situação de viver junto com os pais biológicos e taxa de orfandade, 2024</t>
  </si>
  <si>
    <t>Quadro 6.2   População por província e área de residência, segundo a língua materna, 2024</t>
  </si>
  <si>
    <t>Línguas Estangeiras</t>
  </si>
  <si>
    <t xml:space="preserve"> </t>
  </si>
  <si>
    <t>Quadro 7.1 - População com 2 ou mais anos por província e área de residência,  segundo a  religião ou espiritualidade, 2024</t>
  </si>
  <si>
    <t>Quadro 8.1-População com 15 ou mais anos que sabe ler e escrever por área de residência, município e comuna, segundo o sexo</t>
  </si>
  <si>
    <t xml:space="preserve">População com 15 ou mais anos </t>
  </si>
  <si>
    <t>Quadro 8.2-População com 15 ou mais anos que sabe ler e escrever por grupo etário e área de residência, segundo o sexo</t>
  </si>
  <si>
    <t>Quadro 8.3-População com 15-24 anos que sabe ler e escrever por área de residência, município e comuna, segundo o sexo</t>
  </si>
  <si>
    <t>Área de resiência</t>
  </si>
  <si>
    <t>Quadro 8.4 - População com 5 ou mais anos por área de residência, município e comuna, segundo a  situação de frequência escolar</t>
  </si>
  <si>
    <t>Quadro 8.5 - População com 5-11 anos fora do sistema de ensino por área de residência, município e comuna, segundo o sexo</t>
  </si>
  <si>
    <t>Quadro 8.6-População com 12-14 anos fora do sistema de ensino por área de residência, município e comuna, segundo o sexo</t>
  </si>
  <si>
    <t>Quadro 8.7 - População com 15-18 anos fora do sistema de ensino por área de residência, município e comuna, segundo o sexo</t>
  </si>
  <si>
    <t>Quadro 8.8- População com 5 ou mais anos por área de residência e grupos etários, segundo a situação de frequência escolar e sexo</t>
  </si>
  <si>
    <t>Quadro 8.9 - População com 5-18 anos fora do sistema de ensino por área de residência , segundo o sexo</t>
  </si>
  <si>
    <t>Quadro 8.10 - População com 5-18 anos  por área de residência, município e comuna, segundo a situação de frequência escolar no ensino primário</t>
  </si>
  <si>
    <t>Quadro 8.11 - População com 5-11 anos  por área de residência, município e comuna, segundo a situação de frequência escolar no ensino primário</t>
  </si>
  <si>
    <t>Quadro 8.13 - População com 12-14 anos  por área de residência, município e comuna, segundo a situação de frequência escolar no ensino primário</t>
  </si>
  <si>
    <t>Quadro 8.14- População com 18 ou mais anos por área de residência, município e comuna, segundo o nível  de ensino concluído</t>
  </si>
  <si>
    <t>Quadro 8.15-Taxa líquida de frequência do ensino primário por área de residência,município e comuna, segundo o sexo</t>
  </si>
  <si>
    <t>População com 6 - 11 anos</t>
  </si>
  <si>
    <t xml:space="preserve"> Indice de paridade no genero</t>
  </si>
  <si>
    <t xml:space="preserve"> Homens</t>
  </si>
  <si>
    <t xml:space="preserve"> Mulheres</t>
  </si>
  <si>
    <t>Quadro 8.16-Taxa líquida de frequência do ensino secundário por área de residência, município e comuna, segundo o sexo</t>
  </si>
  <si>
    <t>População com 12- 18 anos</t>
  </si>
  <si>
    <t>Taxa líquida de frequência no ensino secundário</t>
  </si>
  <si>
    <t>Electricidade da rede pública</t>
  </si>
  <si>
    <t xml:space="preserve"> Não cozinha</t>
  </si>
  <si>
    <t xml:space="preserve"> Outra fonte</t>
  </si>
  <si>
    <t>Tipo de sanitário</t>
  </si>
  <si>
    <t xml:space="preserve"> Sanita ligada à rede púlica de esgotos</t>
  </si>
  <si>
    <t xml:space="preserve"> Sanita ligada à fossa aberta( vala ou rio)</t>
  </si>
  <si>
    <t>Latrina ligada a rede pública de esgotos</t>
  </si>
  <si>
    <t>Total de AF com sanitário dentro de casa</t>
  </si>
  <si>
    <t>Sanita ligada à rede púlica de esgotos</t>
  </si>
  <si>
    <t>Sanita ligada à fossa séptica</t>
  </si>
  <si>
    <t xml:space="preserve"> Latrina ligada a rede pública de esgotos</t>
  </si>
  <si>
    <t>Retrete/ Latrina ligada a fossa aberta ( vala ou rio)</t>
  </si>
  <si>
    <t>Deixa repousar</t>
  </si>
  <si>
    <t>Acesso a água da rede pública</t>
  </si>
  <si>
    <t>Total de agregados familiares com acesso a água da rede pública</t>
  </si>
  <si>
    <t>Tipo de animais</t>
  </si>
  <si>
    <t>Tipo de actividade piscatória praticada</t>
  </si>
  <si>
    <t>Pesca artesanal marítima</t>
  </si>
  <si>
    <t>Sexo do chefe</t>
  </si>
  <si>
    <t>Área de residência e município</t>
  </si>
  <si>
    <t>Área de 
residência e município</t>
  </si>
  <si>
    <t>Área de residência,município e comuna</t>
  </si>
  <si>
    <t xml:space="preserve"> Área de residencia,municipío e comuna</t>
  </si>
  <si>
    <t>Quadro 6.1 - População de 2 ou mais anos por  residência, município e comuna,  segundo grupos étinicos tribos, 2024</t>
  </si>
  <si>
    <t xml:space="preserve"> Grupo Étnico da população com 2 ou mais anos</t>
  </si>
  <si>
    <t>Área de residência e grupo etário</t>
  </si>
  <si>
    <t>Município/Comuna</t>
  </si>
  <si>
    <t>Situação de posse de parcela/lavra ou prática de actividade agrícola</t>
  </si>
  <si>
    <t>Municipio</t>
  </si>
  <si>
    <t>Frequência escolar</t>
  </si>
  <si>
    <t>Quadro 8.12 - População com 5 ou mais anos por área de residência, município e comuna, segundo o nível de ensino a frequentar e sexo, 2024</t>
  </si>
  <si>
    <t>Ovanganguela (Nganguela ou Vanganguela)</t>
  </si>
  <si>
    <t xml:space="preserve">Língua materna </t>
  </si>
  <si>
    <t xml:space="preserve">População com 5-11 anos  </t>
  </si>
  <si>
    <t>População com 5-18 anos</t>
  </si>
  <si>
    <t>População com 15-24 anos que sabe ler e escrever</t>
  </si>
  <si>
    <t>Ppulação com 15-24 anos</t>
  </si>
  <si>
    <t>Aquicultura/Aquicultura marítima</t>
  </si>
  <si>
    <t>Quadro 9.9 - Agregados familiares por área de residência, município e comuna, segundo a posse de parcela/lavra ou prática de actividade agrícola,  2024</t>
  </si>
  <si>
    <t>Quadro 10.1 - População recenseada por município, comuna e área de residência, segundo grupos étários,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</si>
</sst>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.00\ _€_-;\-* #,##0.00\ _€_-;_-* &quot;-&quot;??\ _€_-;_-@_-"/>
    <numFmt numFmtId="165" formatCode="_-* #,##0.00\ _K_z_-;\-* #,##0.00\ _K_z_-;_-* &quot;-&quot;??\ _K_z_-;_-@_-"/>
    <numFmt numFmtId="166" formatCode="#,###,###"/>
    <numFmt numFmtId="167" formatCode="###0"/>
    <numFmt numFmtId="168" formatCode="#,##0.0"/>
    <numFmt numFmtId="169" formatCode="_-* #,##0_-;\-* #,##0_-;_-* &quot;-&quot;??_-;_-@_-"/>
    <numFmt numFmtId="170" formatCode="###\ ###\ ###"/>
    <numFmt numFmtId="171" formatCode="###0.00"/>
    <numFmt numFmtId="172" formatCode="0.0"/>
    <numFmt numFmtId="173" formatCode="###0.0"/>
    <numFmt numFmtId="174" formatCode="_-* #,##0\ _K_z_-;\-* #,##0\ _K_z_-;_-* &quot;-&quot;??\ _K_z_-;_-@_-"/>
    <numFmt numFmtId="175" formatCode="_-* #,##0\ _€_-;\-* #,##0\ _€_-;_-* &quot;-&quot;??\ _€_-;_-@_-"/>
  </numFmts>
  <fonts count="30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6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charset val="1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9"/>
      <color theme="0"/>
      <name val="Calibri"/>
      <family val="2"/>
      <scheme val="minor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sz val="9"/>
      <color theme="1" tint="0.499984740745262"/>
      <name val="Calibri"/>
      <family val="2"/>
    </font>
    <font>
      <sz val="9"/>
      <color indexed="8"/>
      <name val="Arial"/>
      <family val="2"/>
    </font>
    <font>
      <b/>
      <sz val="9"/>
      <color indexed="8"/>
      <name val="Arial Bold"/>
    </font>
    <font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21E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62">
    <xf numFmtId="0" fontId="0" fillId="0" borderId="0"/>
    <xf numFmtId="165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1" fillId="0" borderId="0"/>
    <xf numFmtId="0" fontId="20" fillId="0" borderId="0"/>
    <xf numFmtId="0" fontId="5" fillId="0" borderId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951">
    <xf numFmtId="0" fontId="0" fillId="0" borderId="0" xfId="0"/>
    <xf numFmtId="0" fontId="0" fillId="2" borderId="0" xfId="0" applyFill="1"/>
    <xf numFmtId="0" fontId="4" fillId="2" borderId="0" xfId="0" applyFont="1" applyFill="1"/>
    <xf numFmtId="3" fontId="11" fillId="3" borderId="0" xfId="0" applyNumberFormat="1" applyFont="1" applyFill="1" applyAlignment="1">
      <alignment horizontal="right"/>
    </xf>
    <xf numFmtId="3" fontId="11" fillId="3" borderId="0" xfId="4" applyNumberFormat="1" applyFont="1" applyFill="1" applyAlignment="1">
      <alignment horizontal="right" vertical="top" wrapText="1"/>
    </xf>
    <xf numFmtId="0" fontId="7" fillId="3" borderId="0" xfId="10" applyFont="1" applyFill="1" applyAlignment="1">
      <alignment vertical="top" wrapText="1"/>
    </xf>
    <xf numFmtId="170" fontId="7" fillId="3" borderId="0" xfId="6" applyNumberFormat="1" applyFont="1" applyFill="1" applyAlignment="1">
      <alignment horizontal="left" vertical="center"/>
    </xf>
    <xf numFmtId="0" fontId="6" fillId="3" borderId="0" xfId="11" applyFont="1" applyFill="1" applyAlignment="1">
      <alignment vertical="top" wrapText="1"/>
    </xf>
    <xf numFmtId="0" fontId="7" fillId="3" borderId="0" xfId="11" applyFont="1" applyFill="1" applyAlignment="1">
      <alignment vertical="top" wrapText="1"/>
    </xf>
    <xf numFmtId="171" fontId="6" fillId="3" borderId="0" xfId="10" applyNumberFormat="1" applyFont="1" applyFill="1" applyAlignment="1">
      <alignment horizontal="center"/>
    </xf>
    <xf numFmtId="0" fontId="13" fillId="2" borderId="0" xfId="0" applyFont="1" applyFill="1"/>
    <xf numFmtId="0" fontId="10" fillId="3" borderId="0" xfId="12" applyFont="1" applyFill="1" applyAlignment="1">
      <alignment horizontal="left" vertical="center" wrapText="1"/>
    </xf>
    <xf numFmtId="0" fontId="7" fillId="3" borderId="0" xfId="13" applyFont="1" applyFill="1" applyAlignment="1">
      <alignment horizontal="left" vertical="top" wrapText="1"/>
    </xf>
    <xf numFmtId="0" fontId="6" fillId="3" borderId="0" xfId="16" applyFont="1" applyFill="1" applyAlignment="1">
      <alignment vertical="top"/>
    </xf>
    <xf numFmtId="0" fontId="6" fillId="3" borderId="0" xfId="5" applyFont="1" applyFill="1" applyAlignment="1">
      <alignment vertical="top" wrapText="1"/>
    </xf>
    <xf numFmtId="166" fontId="6" fillId="3" borderId="0" xfId="5" applyNumberFormat="1" applyFont="1" applyFill="1" applyAlignment="1">
      <alignment horizontal="right" vertical="center"/>
    </xf>
    <xf numFmtId="166" fontId="7" fillId="3" borderId="0" xfId="5" applyNumberFormat="1" applyFont="1" applyFill="1" applyAlignment="1">
      <alignment horizontal="right" vertical="center"/>
    </xf>
    <xf numFmtId="0" fontId="7" fillId="3" borderId="0" xfId="5" applyFont="1" applyFill="1" applyAlignment="1">
      <alignment vertical="top" wrapText="1"/>
    </xf>
    <xf numFmtId="0" fontId="7" fillId="3" borderId="0" xfId="5" applyFont="1" applyFill="1" applyAlignment="1">
      <alignment horizontal="left" vertical="top" wrapText="1" indent="1"/>
    </xf>
    <xf numFmtId="0" fontId="11" fillId="3" borderId="0" xfId="12" applyFont="1" applyFill="1" applyAlignment="1">
      <alignment horizontal="left" vertical="center" wrapText="1"/>
    </xf>
    <xf numFmtId="0" fontId="7" fillId="3" borderId="0" xfId="10" applyFont="1" applyFill="1" applyAlignment="1">
      <alignment horizontal="left" vertical="top" wrapText="1"/>
    </xf>
    <xf numFmtId="174" fontId="7" fillId="3" borderId="0" xfId="1" applyNumberFormat="1" applyFont="1" applyFill="1" applyAlignment="1">
      <alignment horizontal="right" vertical="center"/>
    </xf>
    <xf numFmtId="174" fontId="6" fillId="3" borderId="0" xfId="1" applyNumberFormat="1" applyFont="1" applyFill="1" applyAlignment="1">
      <alignment horizontal="right" vertical="center"/>
    </xf>
    <xf numFmtId="174" fontId="7" fillId="3" borderId="0" xfId="1" applyNumberFormat="1" applyFont="1" applyFill="1" applyBorder="1" applyAlignment="1">
      <alignment horizontal="right" vertical="center"/>
    </xf>
    <xf numFmtId="174" fontId="6" fillId="3" borderId="0" xfId="1" applyNumberFormat="1" applyFont="1" applyFill="1" applyBorder="1" applyAlignment="1">
      <alignment horizontal="right" vertical="center"/>
    </xf>
    <xf numFmtId="174" fontId="7" fillId="3" borderId="0" xfId="1" applyNumberFormat="1" applyFont="1" applyFill="1" applyBorder="1" applyAlignment="1">
      <alignment horizontal="center" vertical="center"/>
    </xf>
    <xf numFmtId="174" fontId="6" fillId="3" borderId="0" xfId="1" applyNumberFormat="1" applyFont="1" applyFill="1" applyBorder="1" applyAlignment="1">
      <alignment horizontal="center" vertical="center"/>
    </xf>
    <xf numFmtId="0" fontId="7" fillId="3" borderId="0" xfId="28" applyFont="1" applyFill="1" applyAlignment="1">
      <alignment horizontal="left" vertical="top"/>
    </xf>
    <xf numFmtId="0" fontId="7" fillId="3" borderId="1" xfId="25" applyFont="1" applyFill="1" applyBorder="1" applyAlignment="1">
      <alignment wrapText="1"/>
    </xf>
    <xf numFmtId="0" fontId="7" fillId="3" borderId="1" xfId="25" applyFont="1" applyFill="1" applyBorder="1" applyAlignment="1">
      <alignment horizontal="center" wrapText="1"/>
    </xf>
    <xf numFmtId="0" fontId="6" fillId="3" borderId="3" xfId="13" applyFont="1" applyFill="1" applyBorder="1" applyAlignment="1">
      <alignment vertical="center" wrapText="1"/>
    </xf>
    <xf numFmtId="0" fontId="7" fillId="3" borderId="2" xfId="25" applyFont="1" applyFill="1" applyBorder="1" applyAlignment="1">
      <alignment horizontal="center" wrapText="1"/>
    </xf>
    <xf numFmtId="0" fontId="7" fillId="3" borderId="0" xfId="11" applyFont="1" applyFill="1" applyAlignment="1">
      <alignment horizontal="center" wrapText="1"/>
    </xf>
    <xf numFmtId="3" fontId="8" fillId="3" borderId="0" xfId="4" applyNumberFormat="1" applyFont="1" applyFill="1" applyAlignment="1">
      <alignment horizontal="right"/>
    </xf>
    <xf numFmtId="3" fontId="8" fillId="3" borderId="0" xfId="4" applyNumberFormat="1" applyFont="1" applyFill="1" applyAlignment="1">
      <alignment horizontal="right" vertical="center"/>
    </xf>
    <xf numFmtId="3" fontId="8" fillId="3" borderId="0" xfId="4" applyNumberFormat="1" applyFont="1" applyFill="1" applyAlignment="1">
      <alignment horizontal="right" vertical="center" wrapText="1"/>
    </xf>
    <xf numFmtId="3" fontId="9" fillId="3" borderId="0" xfId="4" applyNumberFormat="1" applyFont="1" applyFill="1" applyAlignment="1">
      <alignment horizontal="right"/>
    </xf>
    <xf numFmtId="3" fontId="9" fillId="3" borderId="0" xfId="4" applyNumberFormat="1" applyFont="1" applyFill="1" applyAlignment="1">
      <alignment horizontal="right" vertical="center"/>
    </xf>
    <xf numFmtId="3" fontId="9" fillId="3" borderId="0" xfId="4" applyNumberFormat="1" applyFont="1" applyFill="1" applyAlignment="1">
      <alignment horizontal="right" vertical="center" wrapText="1"/>
    </xf>
    <xf numFmtId="3" fontId="7" fillId="3" borderId="0" xfId="5" applyNumberFormat="1" applyFont="1" applyFill="1" applyAlignment="1">
      <alignment horizontal="right" vertical="center"/>
    </xf>
    <xf numFmtId="3" fontId="7" fillId="3" borderId="0" xfId="13" applyNumberFormat="1" applyFont="1" applyFill="1" applyAlignment="1">
      <alignment horizontal="right" vertical="center"/>
    </xf>
    <xf numFmtId="3" fontId="7" fillId="3" borderId="0" xfId="9" applyNumberFormat="1" applyFont="1" applyFill="1" applyAlignment="1">
      <alignment horizontal="right" vertical="center"/>
    </xf>
    <xf numFmtId="3" fontId="11" fillId="3" borderId="0" xfId="12" applyNumberFormat="1" applyFont="1" applyFill="1" applyAlignment="1">
      <alignment horizontal="right" vertical="center"/>
    </xf>
    <xf numFmtId="3" fontId="7" fillId="3" borderId="0" xfId="16" applyNumberFormat="1" applyFont="1" applyFill="1" applyAlignment="1">
      <alignment horizontal="right" vertical="center"/>
    </xf>
    <xf numFmtId="3" fontId="7" fillId="3" borderId="0" xfId="17" applyNumberFormat="1" applyFont="1" applyFill="1" applyAlignment="1">
      <alignment horizontal="right" vertical="center"/>
    </xf>
    <xf numFmtId="0" fontId="11" fillId="3" borderId="0" xfId="5" applyFont="1" applyFill="1" applyAlignment="1">
      <alignment horizontal="center" wrapText="1"/>
    </xf>
    <xf numFmtId="169" fontId="7" fillId="3" borderId="0" xfId="1" applyNumberFormat="1" applyFont="1" applyFill="1" applyAlignment="1">
      <alignment horizontal="right" vertical="center"/>
    </xf>
    <xf numFmtId="169" fontId="6" fillId="3" borderId="0" xfId="1" applyNumberFormat="1" applyFont="1" applyFill="1" applyAlignment="1">
      <alignment horizontal="right" vertical="center"/>
    </xf>
    <xf numFmtId="173" fontId="7" fillId="3" borderId="0" xfId="10" applyNumberFormat="1" applyFont="1" applyFill="1" applyAlignment="1">
      <alignment horizontal="center"/>
    </xf>
    <xf numFmtId="3" fontId="6" fillId="3" borderId="0" xfId="16" applyNumberFormat="1" applyFont="1" applyFill="1" applyAlignment="1">
      <alignment horizontal="right" vertical="center"/>
    </xf>
    <xf numFmtId="3" fontId="6" fillId="3" borderId="0" xfId="17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6" fillId="3" borderId="0" xfId="1" applyNumberFormat="1" applyFont="1" applyFill="1" applyAlignment="1">
      <alignment horizontal="right" vertical="center"/>
    </xf>
    <xf numFmtId="3" fontId="6" fillId="3" borderId="0" xfId="5" applyNumberFormat="1" applyFont="1" applyFill="1" applyAlignment="1">
      <alignment horizontal="right" vertical="center"/>
    </xf>
    <xf numFmtId="0" fontId="7" fillId="3" borderId="0" xfId="9" applyFont="1" applyFill="1" applyAlignment="1">
      <alignment horizontal="left" vertical="top" wrapText="1" indent="1"/>
    </xf>
    <xf numFmtId="3" fontId="23" fillId="3" borderId="0" xfId="16" applyNumberFormat="1" applyFont="1" applyFill="1" applyAlignment="1">
      <alignment horizontal="right" vertical="center"/>
    </xf>
    <xf numFmtId="3" fontId="8" fillId="3" borderId="0" xfId="16" applyNumberFormat="1" applyFont="1" applyFill="1" applyAlignment="1">
      <alignment horizontal="right" vertical="center"/>
    </xf>
    <xf numFmtId="0" fontId="9" fillId="3" borderId="0" xfId="18" applyFont="1" applyFill="1" applyAlignment="1">
      <alignment horizontal="left" vertical="top" wrapText="1"/>
    </xf>
    <xf numFmtId="3" fontId="9" fillId="3" borderId="0" xfId="1" applyNumberFormat="1" applyFont="1" applyFill="1" applyAlignment="1">
      <alignment horizontal="center" vertical="center"/>
    </xf>
    <xf numFmtId="3" fontId="8" fillId="3" borderId="0" xfId="1" applyNumberFormat="1" applyFont="1" applyFill="1" applyAlignment="1">
      <alignment horizontal="center" vertical="center"/>
    </xf>
    <xf numFmtId="0" fontId="9" fillId="3" borderId="0" xfId="18" applyFont="1" applyFill="1" applyAlignment="1">
      <alignment horizontal="center" wrapText="1"/>
    </xf>
    <xf numFmtId="3" fontId="16" fillId="3" borderId="0" xfId="1" applyNumberFormat="1" applyFont="1" applyFill="1" applyAlignment="1">
      <alignment horizontal="right" vertical="center"/>
    </xf>
    <xf numFmtId="3" fontId="16" fillId="3" borderId="0" xfId="1" applyNumberFormat="1" applyFont="1" applyFill="1" applyAlignment="1">
      <alignment horizontal="center" vertical="center"/>
    </xf>
    <xf numFmtId="170" fontId="7" fillId="3" borderId="0" xfId="6" applyNumberFormat="1" applyFont="1" applyFill="1" applyAlignment="1">
      <alignment horizontal="right" vertical="center"/>
    </xf>
    <xf numFmtId="169" fontId="11" fillId="3" borderId="0" xfId="1" applyNumberFormat="1" applyFont="1" applyFill="1"/>
    <xf numFmtId="169" fontId="11" fillId="3" borderId="0" xfId="1" applyNumberFormat="1" applyFont="1" applyFill="1" applyAlignment="1">
      <alignment horizontal="right" vertical="center"/>
    </xf>
    <xf numFmtId="0" fontId="7" fillId="3" borderId="0" xfId="13" applyFont="1" applyFill="1" applyAlignment="1">
      <alignment horizontal="center" wrapText="1"/>
    </xf>
    <xf numFmtId="170" fontId="6" fillId="3" borderId="0" xfId="32" applyNumberFormat="1" applyFont="1" applyFill="1" applyBorder="1" applyAlignment="1">
      <alignment horizontal="center" vertical="center"/>
    </xf>
    <xf numFmtId="0" fontId="14" fillId="2" borderId="0" xfId="0" applyFont="1" applyFill="1"/>
    <xf numFmtId="0" fontId="11" fillId="2" borderId="0" xfId="0" applyFont="1" applyFill="1"/>
    <xf numFmtId="0" fontId="11" fillId="2" borderId="0" xfId="0" applyFont="1" applyFill="1" applyAlignment="1">
      <alignment horizontal="left"/>
    </xf>
    <xf numFmtId="172" fontId="11" fillId="2" borderId="0" xfId="0" applyNumberFormat="1" applyFont="1" applyFill="1"/>
    <xf numFmtId="0" fontId="10" fillId="2" borderId="0" xfId="0" applyFont="1" applyFill="1"/>
    <xf numFmtId="0" fontId="7" fillId="3" borderId="2" xfId="5" applyFont="1" applyFill="1" applyBorder="1" applyAlignment="1">
      <alignment horizontal="center" vertical="center" wrapText="1"/>
    </xf>
    <xf numFmtId="0" fontId="7" fillId="3" borderId="3" xfId="9" applyFont="1" applyFill="1" applyBorder="1" applyAlignment="1">
      <alignment vertical="center" wrapText="1"/>
    </xf>
    <xf numFmtId="0" fontId="11" fillId="2" borderId="0" xfId="0" applyFont="1" applyFill="1" applyAlignment="1">
      <alignment horizontal="center"/>
    </xf>
    <xf numFmtId="0" fontId="11" fillId="3" borderId="0" xfId="0" applyFont="1" applyFill="1" applyAlignment="1">
      <alignment horizontal="left" indent="1"/>
    </xf>
    <xf numFmtId="0" fontId="7" fillId="3" borderId="0" xfId="3" applyFont="1" applyFill="1" applyAlignment="1">
      <alignment vertical="top" wrapText="1"/>
    </xf>
    <xf numFmtId="0" fontId="7" fillId="3" borderId="0" xfId="16" applyFont="1" applyFill="1" applyAlignment="1">
      <alignment vertical="center"/>
    </xf>
    <xf numFmtId="3" fontId="6" fillId="3" borderId="0" xfId="2" applyNumberFormat="1" applyFont="1" applyFill="1" applyAlignment="1">
      <alignment vertical="top" wrapText="1"/>
    </xf>
    <xf numFmtId="175" fontId="9" fillId="3" borderId="0" xfId="1" applyNumberFormat="1" applyFont="1" applyFill="1" applyAlignment="1">
      <alignment horizontal="right" vertical="center"/>
    </xf>
    <xf numFmtId="3" fontId="6" fillId="3" borderId="0" xfId="2" applyNumberFormat="1" applyFont="1" applyFill="1" applyAlignment="1">
      <alignment horizontal="center" vertical="center"/>
    </xf>
    <xf numFmtId="3" fontId="7" fillId="3" borderId="0" xfId="2" applyNumberFormat="1" applyFont="1" applyFill="1" applyAlignment="1">
      <alignment horizontal="center" vertical="center"/>
    </xf>
    <xf numFmtId="3" fontId="14" fillId="3" borderId="0" xfId="0" applyNumberFormat="1" applyFont="1" applyFill="1"/>
    <xf numFmtId="3" fontId="16" fillId="3" borderId="0" xfId="1" applyNumberFormat="1" applyFont="1" applyFill="1" applyAlignment="1">
      <alignment vertical="center"/>
    </xf>
    <xf numFmtId="3" fontId="16" fillId="3" borderId="0" xfId="1" applyNumberFormat="1" applyFont="1" applyFill="1" applyAlignment="1">
      <alignment vertical="top" wrapText="1"/>
    </xf>
    <xf numFmtId="0" fontId="6" fillId="3" borderId="0" xfId="6" applyFont="1" applyFill="1" applyAlignment="1">
      <alignment vertical="top" wrapText="1"/>
    </xf>
    <xf numFmtId="0" fontId="7" fillId="3" borderId="0" xfId="6" applyFont="1" applyFill="1" applyAlignment="1">
      <alignment horizontal="left" vertical="top" wrapText="1" indent="1"/>
    </xf>
    <xf numFmtId="0" fontId="6" fillId="3" borderId="0" xfId="6" applyFont="1" applyFill="1" applyAlignment="1">
      <alignment horizontal="left" vertical="top" wrapText="1"/>
    </xf>
    <xf numFmtId="0" fontId="11" fillId="3" borderId="0" xfId="0" applyFont="1" applyFill="1" applyAlignment="1">
      <alignment horizontal="left"/>
    </xf>
    <xf numFmtId="3" fontId="6" fillId="3" borderId="0" xfId="1" applyNumberFormat="1" applyFont="1" applyFill="1" applyAlignment="1">
      <alignment horizontal="center" vertical="center"/>
    </xf>
    <xf numFmtId="3" fontId="7" fillId="3" borderId="0" xfId="1" applyNumberFormat="1" applyFont="1" applyFill="1" applyAlignment="1">
      <alignment horizontal="center" vertical="center"/>
    </xf>
    <xf numFmtId="0" fontId="11" fillId="3" borderId="0" xfId="12" applyFont="1" applyFill="1" applyAlignment="1">
      <alignment horizontal="left" vertical="center" wrapText="1" indent="1"/>
    </xf>
    <xf numFmtId="174" fontId="23" fillId="3" borderId="0" xfId="1" applyNumberFormat="1" applyFont="1" applyFill="1" applyBorder="1" applyAlignment="1">
      <alignment horizontal="right" vertical="center"/>
    </xf>
    <xf numFmtId="169" fontId="9" fillId="3" borderId="0" xfId="1" applyNumberFormat="1" applyFont="1" applyFill="1" applyBorder="1" applyAlignment="1">
      <alignment horizontal="right" vertical="center"/>
    </xf>
    <xf numFmtId="0" fontId="7" fillId="3" borderId="0" xfId="6" applyFont="1" applyFill="1" applyAlignment="1">
      <alignment horizontal="left" vertical="top" wrapText="1"/>
    </xf>
    <xf numFmtId="0" fontId="11" fillId="3" borderId="0" xfId="0" applyFont="1" applyFill="1" applyAlignment="1">
      <alignment horizontal="center"/>
    </xf>
    <xf numFmtId="0" fontId="7" fillId="3" borderId="0" xfId="6" applyFont="1" applyFill="1" applyAlignment="1">
      <alignment vertical="top" wrapText="1"/>
    </xf>
    <xf numFmtId="169" fontId="6" fillId="3" borderId="0" xfId="1" applyNumberFormat="1" applyFont="1" applyFill="1" applyBorder="1" applyAlignment="1">
      <alignment horizontal="right"/>
    </xf>
    <xf numFmtId="169" fontId="7" fillId="3" borderId="0" xfId="1" applyNumberFormat="1" applyFont="1" applyFill="1" applyBorder="1" applyAlignment="1">
      <alignment horizontal="right"/>
    </xf>
    <xf numFmtId="0" fontId="11" fillId="3" borderId="3" xfId="0" applyFont="1" applyFill="1" applyBorder="1" applyAlignment="1">
      <alignment horizontal="left"/>
    </xf>
    <xf numFmtId="0" fontId="11" fillId="3" borderId="0" xfId="0" applyFont="1" applyFill="1" applyAlignment="1">
      <alignment horizontal="left" vertical="center" wrapText="1"/>
    </xf>
    <xf numFmtId="0" fontId="10" fillId="3" borderId="8" xfId="0" applyFont="1" applyFill="1" applyBorder="1" applyAlignment="1">
      <alignment horizontal="center" vertical="center"/>
    </xf>
    <xf numFmtId="0" fontId="23" fillId="3" borderId="0" xfId="4" applyFont="1" applyFill="1" applyAlignment="1">
      <alignment vertical="top" wrapText="1"/>
    </xf>
    <xf numFmtId="0" fontId="9" fillId="3" borderId="0" xfId="4" applyFont="1" applyFill="1" applyAlignment="1">
      <alignment vertical="top" wrapText="1"/>
    </xf>
    <xf numFmtId="0" fontId="10" fillId="2" borderId="0" xfId="0" applyFont="1" applyFill="1" applyAlignment="1"/>
    <xf numFmtId="0" fontId="11" fillId="3" borderId="0" xfId="0" applyFont="1" applyFill="1"/>
    <xf numFmtId="3" fontId="23" fillId="3" borderId="0" xfId="4" applyNumberFormat="1" applyFont="1" applyFill="1" applyAlignment="1">
      <alignment horizontal="right" vertical="top" wrapText="1"/>
    </xf>
    <xf numFmtId="3" fontId="23" fillId="3" borderId="0" xfId="0" applyNumberFormat="1" applyFont="1" applyFill="1" applyAlignment="1">
      <alignment horizontal="right"/>
    </xf>
    <xf numFmtId="0" fontId="7" fillId="3" borderId="5" xfId="7" applyFont="1" applyFill="1" applyBorder="1" applyAlignment="1">
      <alignment horizontal="center" vertical="center" wrapText="1"/>
    </xf>
    <xf numFmtId="0" fontId="11" fillId="3" borderId="5" xfId="7" applyFont="1" applyFill="1" applyBorder="1" applyAlignment="1">
      <alignment horizontal="center" wrapText="1"/>
    </xf>
    <xf numFmtId="0" fontId="11" fillId="3" borderId="0" xfId="31" applyFont="1" applyFill="1" applyAlignment="1">
      <alignment horizontal="left" wrapText="1"/>
    </xf>
    <xf numFmtId="0" fontId="11" fillId="3" borderId="0" xfId="31" applyFont="1" applyFill="1" applyAlignment="1">
      <alignment horizontal="center" wrapText="1"/>
    </xf>
    <xf numFmtId="0" fontId="7" fillId="3" borderId="0" xfId="31" applyFont="1" applyFill="1" applyAlignment="1">
      <alignment horizontal="left" vertical="top" wrapText="1"/>
    </xf>
    <xf numFmtId="170" fontId="7" fillId="3" borderId="0" xfId="31" applyNumberFormat="1" applyFont="1" applyFill="1" applyAlignment="1">
      <alignment vertical="center"/>
    </xf>
    <xf numFmtId="0" fontId="7" fillId="3" borderId="0" xfId="31" applyFont="1" applyFill="1" applyAlignment="1">
      <alignment vertical="top" wrapText="1"/>
    </xf>
    <xf numFmtId="0" fontId="6" fillId="3" borderId="0" xfId="31" applyFont="1" applyFill="1" applyAlignment="1">
      <alignment vertical="top" wrapText="1"/>
    </xf>
    <xf numFmtId="170" fontId="6" fillId="3" borderId="0" xfId="31" applyNumberFormat="1" applyFont="1" applyFill="1" applyAlignment="1">
      <alignment horizontal="right" vertical="center"/>
    </xf>
    <xf numFmtId="0" fontId="7" fillId="3" borderId="0" xfId="31" applyFont="1" applyFill="1" applyAlignment="1">
      <alignment horizontal="left" vertical="top" wrapText="1" indent="1"/>
    </xf>
    <xf numFmtId="170" fontId="7" fillId="3" borderId="0" xfId="31" applyNumberFormat="1" applyFont="1" applyFill="1" applyAlignment="1">
      <alignment horizontal="right" vertical="center"/>
    </xf>
    <xf numFmtId="170" fontId="11" fillId="3" borderId="0" xfId="0" applyNumberFormat="1" applyFont="1" applyFill="1"/>
    <xf numFmtId="0" fontId="6" fillId="3" borderId="0" xfId="10" applyFont="1" applyFill="1" applyAlignment="1">
      <alignment horizontal="left" vertical="top" wrapText="1"/>
    </xf>
    <xf numFmtId="0" fontId="6" fillId="3" borderId="0" xfId="16" applyFont="1" applyFill="1" applyAlignment="1">
      <alignment horizontal="left" vertical="top" wrapText="1"/>
    </xf>
    <xf numFmtId="0" fontId="7" fillId="3" borderId="0" xfId="16" applyFont="1" applyFill="1" applyAlignment="1">
      <alignment horizontal="left" vertical="top" wrapText="1" indent="1"/>
    </xf>
    <xf numFmtId="0" fontId="7" fillId="3" borderId="0" xfId="13" applyFont="1" applyFill="1" applyAlignment="1">
      <alignment vertical="top" wrapText="1"/>
    </xf>
    <xf numFmtId="0" fontId="11" fillId="4" borderId="0" xfId="0" applyFont="1" applyFill="1"/>
    <xf numFmtId="3" fontId="9" fillId="3" borderId="0" xfId="16" applyNumberFormat="1" applyFont="1" applyFill="1" applyAlignment="1">
      <alignment horizontal="right" vertical="center"/>
    </xf>
    <xf numFmtId="169" fontId="8" fillId="3" borderId="0" xfId="1" applyNumberFormat="1" applyFont="1" applyFill="1" applyBorder="1" applyAlignment="1">
      <alignment horizontal="right" vertical="center"/>
    </xf>
    <xf numFmtId="0" fontId="10" fillId="3" borderId="0" xfId="5" applyFont="1" applyFill="1" applyAlignment="1">
      <alignment horizontal="center" vertical="center" wrapText="1"/>
    </xf>
    <xf numFmtId="172" fontId="23" fillId="3" borderId="0" xfId="0" applyNumberFormat="1" applyFont="1" applyFill="1" applyAlignment="1">
      <alignment horizontal="right"/>
    </xf>
    <xf numFmtId="172" fontId="9" fillId="3" borderId="0" xfId="0" applyNumberFormat="1" applyFont="1" applyFill="1" applyAlignment="1">
      <alignment horizontal="right"/>
    </xf>
    <xf numFmtId="3" fontId="7" fillId="3" borderId="0" xfId="1" applyNumberFormat="1" applyFont="1" applyFill="1" applyAlignment="1">
      <alignment horizontal="center"/>
    </xf>
    <xf numFmtId="3" fontId="7" fillId="3" borderId="0" xfId="1" applyNumberFormat="1" applyFont="1" applyFill="1" applyAlignment="1">
      <alignment horizontal="right"/>
    </xf>
    <xf numFmtId="3" fontId="26" fillId="3" borderId="0" xfId="34" applyNumberFormat="1" applyFont="1" applyFill="1" applyAlignment="1">
      <alignment horizontal="center" vertical="center"/>
    </xf>
    <xf numFmtId="3" fontId="26" fillId="3" borderId="0" xfId="34" applyNumberFormat="1" applyFont="1" applyFill="1" applyAlignment="1">
      <alignment horizontal="right" vertical="center"/>
    </xf>
    <xf numFmtId="3" fontId="14" fillId="3" borderId="0" xfId="0" applyNumberFormat="1" applyFont="1" applyFill="1" applyAlignment="1">
      <alignment horizontal="center"/>
    </xf>
    <xf numFmtId="1" fontId="14" fillId="3" borderId="0" xfId="0" applyNumberFormat="1" applyFont="1" applyFill="1"/>
    <xf numFmtId="0" fontId="7" fillId="3" borderId="3" xfId="28" applyFont="1" applyFill="1" applyBorder="1" applyAlignment="1">
      <alignment horizontal="center" wrapText="1"/>
    </xf>
    <xf numFmtId="0" fontId="7" fillId="3" borderId="2" xfId="13" applyFont="1" applyFill="1" applyBorder="1" applyAlignment="1">
      <alignment horizontal="center" wrapText="1"/>
    </xf>
    <xf numFmtId="0" fontId="7" fillId="3" borderId="0" xfId="6" applyFont="1" applyFill="1" applyAlignment="1">
      <alignment horizontal="right" vertical="center" wrapText="1"/>
    </xf>
    <xf numFmtId="0" fontId="9" fillId="3" borderId="2" xfId="18" applyFont="1" applyFill="1" applyBorder="1" applyAlignment="1">
      <alignment horizontal="center" wrapText="1"/>
    </xf>
    <xf numFmtId="0" fontId="11" fillId="3" borderId="0" xfId="5" applyFont="1" applyFill="1" applyAlignment="1">
      <alignment horizontal="center" vertical="center" wrapText="1"/>
    </xf>
    <xf numFmtId="0" fontId="7" fillId="3" borderId="0" xfId="16" applyFont="1" applyFill="1" applyAlignment="1">
      <alignment horizontal="center" wrapText="1"/>
    </xf>
    <xf numFmtId="0" fontId="23" fillId="5" borderId="0" xfId="31" applyFont="1" applyFill="1" applyAlignment="1">
      <alignment horizontal="left" vertical="top" wrapText="1"/>
    </xf>
    <xf numFmtId="170" fontId="23" fillId="5" borderId="0" xfId="31" applyNumberFormat="1" applyFont="1" applyFill="1" applyAlignment="1">
      <alignment horizontal="left" vertical="center"/>
    </xf>
    <xf numFmtId="0" fontId="23" fillId="5" borderId="0" xfId="6" applyFont="1" applyFill="1" applyAlignment="1">
      <alignment vertical="top" wrapText="1"/>
    </xf>
    <xf numFmtId="170" fontId="23" fillId="5" borderId="0" xfId="31" applyNumberFormat="1" applyFont="1" applyFill="1" applyAlignment="1">
      <alignment horizontal="right" vertical="center"/>
    </xf>
    <xf numFmtId="0" fontId="24" fillId="5" borderId="0" xfId="0" applyFont="1" applyFill="1" applyAlignment="1">
      <alignment horizontal="left"/>
    </xf>
    <xf numFmtId="170" fontId="11" fillId="5" borderId="0" xfId="0" applyNumberFormat="1" applyFont="1" applyFill="1"/>
    <xf numFmtId="170" fontId="23" fillId="5" borderId="0" xfId="31" applyNumberFormat="1" applyFont="1" applyFill="1" applyAlignment="1">
      <alignment vertical="center"/>
    </xf>
    <xf numFmtId="170" fontId="7" fillId="3" borderId="0" xfId="31" applyNumberFormat="1" applyFont="1" applyFill="1" applyAlignment="1">
      <alignment horizontal="center" vertical="center"/>
    </xf>
    <xf numFmtId="0" fontId="23" fillId="5" borderId="0" xfId="16" applyFont="1" applyFill="1" applyAlignment="1">
      <alignment vertical="top"/>
    </xf>
    <xf numFmtId="0" fontId="23" fillId="5" borderId="0" xfId="16" applyFont="1" applyFill="1" applyAlignment="1">
      <alignment horizontal="center" vertical="top"/>
    </xf>
    <xf numFmtId="174" fontId="23" fillId="5" borderId="0" xfId="32" applyNumberFormat="1" applyFont="1" applyFill="1" applyBorder="1" applyAlignment="1">
      <alignment horizontal="center" vertical="top"/>
    </xf>
    <xf numFmtId="0" fontId="23" fillId="5" borderId="0" xfId="9" applyFont="1" applyFill="1" applyAlignment="1">
      <alignment wrapText="1"/>
    </xf>
    <xf numFmtId="169" fontId="23" fillId="5" borderId="0" xfId="1" applyNumberFormat="1" applyFont="1" applyFill="1" applyAlignment="1">
      <alignment horizontal="right" vertical="center"/>
    </xf>
    <xf numFmtId="0" fontId="23" fillId="5" borderId="0" xfId="9" applyFont="1" applyFill="1" applyAlignment="1">
      <alignment vertical="top" wrapText="1"/>
    </xf>
    <xf numFmtId="0" fontId="7" fillId="3" borderId="16" xfId="9" applyFont="1" applyFill="1" applyBorder="1" applyAlignment="1">
      <alignment horizontal="left" vertical="center" wrapText="1"/>
    </xf>
    <xf numFmtId="0" fontId="7" fillId="3" borderId="16" xfId="9" applyFont="1" applyFill="1" applyBorder="1" applyAlignment="1">
      <alignment horizontal="center" wrapText="1"/>
    </xf>
    <xf numFmtId="0" fontId="7" fillId="3" borderId="16" xfId="26" applyFont="1" applyFill="1" applyBorder="1" applyAlignment="1">
      <alignment horizontal="center" wrapText="1"/>
    </xf>
    <xf numFmtId="0" fontId="23" fillId="5" borderId="0" xfId="6" applyFont="1" applyFill="1" applyAlignment="1">
      <alignment vertical="center" wrapText="1"/>
    </xf>
    <xf numFmtId="169" fontId="23" fillId="5" borderId="0" xfId="1" applyNumberFormat="1" applyFont="1" applyFill="1" applyAlignment="1">
      <alignment horizontal="left" vertical="center"/>
    </xf>
    <xf numFmtId="170" fontId="23" fillId="5" borderId="0" xfId="6" applyNumberFormat="1" applyFont="1" applyFill="1" applyAlignment="1">
      <alignment horizontal="left" vertical="center"/>
    </xf>
    <xf numFmtId="0" fontId="23" fillId="5" borderId="0" xfId="12" applyFont="1" applyFill="1" applyAlignment="1">
      <alignment horizontal="left" vertical="center" wrapText="1"/>
    </xf>
    <xf numFmtId="0" fontId="23" fillId="5" borderId="0" xfId="13" applyFont="1" applyFill="1" applyAlignment="1">
      <alignment horizontal="left" vertical="top" wrapText="1"/>
    </xf>
    <xf numFmtId="169" fontId="24" fillId="5" borderId="0" xfId="1" applyNumberFormat="1" applyFont="1" applyFill="1" applyAlignment="1">
      <alignment horizontal="right" vertical="center"/>
    </xf>
    <xf numFmtId="0" fontId="7" fillId="3" borderId="16" xfId="10" applyFont="1" applyFill="1" applyBorder="1" applyAlignment="1">
      <alignment horizontal="left" wrapText="1"/>
    </xf>
    <xf numFmtId="0" fontId="7" fillId="3" borderId="16" xfId="10" applyFont="1" applyFill="1" applyBorder="1" applyAlignment="1">
      <alignment horizontal="center" wrapText="1"/>
    </xf>
    <xf numFmtId="173" fontId="23" fillId="5" borderId="0" xfId="10" applyNumberFormat="1" applyFont="1" applyFill="1" applyAlignment="1">
      <alignment horizontal="center"/>
    </xf>
    <xf numFmtId="0" fontId="23" fillId="5" borderId="0" xfId="10" applyFont="1" applyFill="1" applyAlignment="1">
      <alignment horizontal="left" vertical="top" wrapText="1"/>
    </xf>
    <xf numFmtId="171" fontId="24" fillId="5" borderId="0" xfId="10" applyNumberFormat="1" applyFont="1" applyFill="1" applyAlignment="1">
      <alignment horizontal="center"/>
    </xf>
    <xf numFmtId="171" fontId="23" fillId="5" borderId="0" xfId="10" applyNumberFormat="1" applyFont="1" applyFill="1" applyAlignment="1">
      <alignment horizontal="center"/>
    </xf>
    <xf numFmtId="173" fontId="6" fillId="3" borderId="0" xfId="10" applyNumberFormat="1" applyFont="1" applyFill="1" applyAlignment="1">
      <alignment horizontal="center"/>
    </xf>
    <xf numFmtId="0" fontId="23" fillId="5" borderId="0" xfId="11" applyFont="1" applyFill="1" applyAlignment="1">
      <alignment vertical="top" wrapText="1"/>
    </xf>
    <xf numFmtId="174" fontId="23" fillId="5" borderId="0" xfId="1" applyNumberFormat="1" applyFont="1" applyFill="1" applyAlignment="1">
      <alignment vertical="top" wrapText="1"/>
    </xf>
    <xf numFmtId="174" fontId="23" fillId="5" borderId="0" xfId="1" applyNumberFormat="1" applyFont="1" applyFill="1" applyAlignment="1">
      <alignment horizontal="right" vertical="center"/>
    </xf>
    <xf numFmtId="169" fontId="23" fillId="5" borderId="0" xfId="1" applyNumberFormat="1" applyFont="1" applyFill="1" applyAlignment="1">
      <alignment horizontal="center"/>
    </xf>
    <xf numFmtId="169" fontId="24" fillId="5" borderId="0" xfId="1" applyNumberFormat="1" applyFont="1" applyFill="1" applyAlignment="1">
      <alignment horizontal="right"/>
    </xf>
    <xf numFmtId="3" fontId="23" fillId="5" borderId="0" xfId="6" applyNumberFormat="1" applyFont="1" applyFill="1" applyAlignment="1">
      <alignment horizontal="right" vertical="center"/>
    </xf>
    <xf numFmtId="3" fontId="23" fillId="5" borderId="0" xfId="5" applyNumberFormat="1" applyFont="1" applyFill="1" applyAlignment="1">
      <alignment horizontal="right" vertical="center"/>
    </xf>
    <xf numFmtId="0" fontId="6" fillId="3" borderId="0" xfId="16" applyFont="1" applyFill="1" applyAlignment="1">
      <alignment vertical="top" wrapText="1"/>
    </xf>
    <xf numFmtId="0" fontId="7" fillId="3" borderId="0" xfId="16" applyFont="1" applyFill="1" applyAlignment="1">
      <alignment vertical="top" wrapText="1"/>
    </xf>
    <xf numFmtId="0" fontId="11" fillId="2" borderId="0" xfId="0" applyFont="1" applyFill="1" applyAlignment="1">
      <alignment horizontal="left" indent="1"/>
    </xf>
    <xf numFmtId="3" fontId="23" fillId="5" borderId="0" xfId="9" applyNumberFormat="1" applyFont="1" applyFill="1" applyAlignment="1">
      <alignment horizontal="right" vertical="center"/>
    </xf>
    <xf numFmtId="3" fontId="24" fillId="5" borderId="0" xfId="13" applyNumberFormat="1" applyFont="1" applyFill="1" applyAlignment="1">
      <alignment horizontal="right" vertical="center"/>
    </xf>
    <xf numFmtId="0" fontId="23" fillId="5" borderId="0" xfId="9" applyFont="1" applyFill="1" applyAlignment="1">
      <alignment vertical="center"/>
    </xf>
    <xf numFmtId="3" fontId="23" fillId="5" borderId="0" xfId="13" applyNumberFormat="1" applyFont="1" applyFill="1" applyAlignment="1">
      <alignment horizontal="right" vertical="center"/>
    </xf>
    <xf numFmtId="0" fontId="23" fillId="5" borderId="0" xfId="12" applyFont="1" applyFill="1" applyAlignment="1">
      <alignment horizontal="left" vertical="center" wrapText="1" indent="1"/>
    </xf>
    <xf numFmtId="3" fontId="23" fillId="5" borderId="0" xfId="16" applyNumberFormat="1" applyFont="1" applyFill="1" applyAlignment="1">
      <alignment horizontal="right" vertical="center"/>
    </xf>
    <xf numFmtId="3" fontId="23" fillId="5" borderId="0" xfId="17" applyNumberFormat="1" applyFont="1" applyFill="1" applyAlignment="1">
      <alignment horizontal="right" vertical="center"/>
    </xf>
    <xf numFmtId="3" fontId="24" fillId="5" borderId="0" xfId="16" applyNumberFormat="1" applyFont="1" applyFill="1" applyAlignment="1">
      <alignment horizontal="right" vertical="center"/>
    </xf>
    <xf numFmtId="3" fontId="24" fillId="5" borderId="0" xfId="17" applyNumberFormat="1" applyFont="1" applyFill="1" applyAlignment="1">
      <alignment horizontal="right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0" fontId="11" fillId="3" borderId="19" xfId="0" applyFont="1" applyFill="1" applyBorder="1"/>
    <xf numFmtId="166" fontId="11" fillId="3" borderId="19" xfId="0" applyNumberFormat="1" applyFont="1" applyFill="1" applyBorder="1"/>
    <xf numFmtId="172" fontId="11" fillId="3" borderId="19" xfId="0" applyNumberFormat="1" applyFont="1" applyFill="1" applyBorder="1"/>
    <xf numFmtId="0" fontId="10" fillId="3" borderId="19" xfId="0" applyFont="1" applyFill="1" applyBorder="1"/>
    <xf numFmtId="166" fontId="10" fillId="3" borderId="19" xfId="0" applyNumberFormat="1" applyFont="1" applyFill="1" applyBorder="1"/>
    <xf numFmtId="172" fontId="10" fillId="3" borderId="19" xfId="0" applyNumberFormat="1" applyFont="1" applyFill="1" applyBorder="1"/>
    <xf numFmtId="0" fontId="11" fillId="5" borderId="19" xfId="0" applyFont="1" applyFill="1" applyBorder="1"/>
    <xf numFmtId="166" fontId="11" fillId="5" borderId="19" xfId="0" applyNumberFormat="1" applyFont="1" applyFill="1" applyBorder="1"/>
    <xf numFmtId="172" fontId="11" fillId="5" borderId="19" xfId="0" applyNumberFormat="1" applyFont="1" applyFill="1" applyBorder="1"/>
    <xf numFmtId="3" fontId="8" fillId="5" borderId="0" xfId="16" applyNumberFormat="1" applyFont="1" applyFill="1" applyAlignment="1">
      <alignment horizontal="right" vertical="center"/>
    </xf>
    <xf numFmtId="3" fontId="9" fillId="5" borderId="0" xfId="16" applyNumberFormat="1" applyFont="1" applyFill="1" applyAlignment="1">
      <alignment horizontal="right" vertical="center"/>
    </xf>
    <xf numFmtId="0" fontId="23" fillId="5" borderId="0" xfId="5" applyFont="1" applyFill="1" applyAlignment="1">
      <alignment vertical="top" wrapText="1"/>
    </xf>
    <xf numFmtId="166" fontId="23" fillId="5" borderId="0" xfId="5" applyNumberFormat="1" applyFont="1" applyFill="1" applyAlignment="1">
      <alignment horizontal="right" vertical="center"/>
    </xf>
    <xf numFmtId="172" fontId="23" fillId="5" borderId="0" xfId="0" applyNumberFormat="1" applyFont="1" applyFill="1" applyAlignment="1">
      <alignment horizontal="right"/>
    </xf>
    <xf numFmtId="166" fontId="24" fillId="5" borderId="0" xfId="5" applyNumberFormat="1" applyFont="1" applyFill="1" applyAlignment="1">
      <alignment horizontal="right" vertical="center"/>
    </xf>
    <xf numFmtId="3" fontId="6" fillId="3" borderId="0" xfId="2" applyNumberFormat="1" applyFont="1" applyFill="1" applyAlignment="1">
      <alignment horizontal="left" vertical="top" wrapText="1"/>
    </xf>
    <xf numFmtId="3" fontId="23" fillId="5" borderId="0" xfId="18" applyNumberFormat="1" applyFont="1" applyFill="1" applyAlignment="1">
      <alignment vertical="top" wrapText="1"/>
    </xf>
    <xf numFmtId="3" fontId="23" fillId="5" borderId="0" xfId="1" applyNumberFormat="1" applyFont="1" applyFill="1" applyAlignment="1">
      <alignment horizontal="center" vertical="center"/>
    </xf>
    <xf numFmtId="0" fontId="23" fillId="5" borderId="0" xfId="18" applyFont="1" applyFill="1" applyAlignment="1">
      <alignment horizontal="left" vertical="top" wrapText="1"/>
    </xf>
    <xf numFmtId="175" fontId="8" fillId="5" borderId="0" xfId="1" applyNumberFormat="1" applyFont="1" applyFill="1" applyAlignment="1">
      <alignment horizontal="right" vertical="center"/>
    </xf>
    <xf numFmtId="3" fontId="9" fillId="5" borderId="0" xfId="1" applyNumberFormat="1" applyFont="1" applyFill="1" applyAlignment="1">
      <alignment horizontal="center" vertical="center"/>
    </xf>
    <xf numFmtId="3" fontId="7" fillId="3" borderId="0" xfId="1" applyNumberFormat="1" applyFont="1" applyFill="1" applyAlignment="1">
      <alignment horizontal="left" vertical="center" indent="1"/>
    </xf>
    <xf numFmtId="3" fontId="23" fillId="5" borderId="0" xfId="2" applyNumberFormat="1" applyFont="1" applyFill="1" applyAlignment="1">
      <alignment horizontal="center" vertical="center"/>
    </xf>
    <xf numFmtId="0" fontId="23" fillId="5" borderId="0" xfId="18" applyFont="1" applyFill="1" applyAlignment="1">
      <alignment vertical="top" wrapText="1"/>
    </xf>
    <xf numFmtId="0" fontId="11" fillId="3" borderId="2" xfId="2" applyFont="1" applyFill="1" applyBorder="1" applyAlignment="1">
      <alignment horizontal="center" wrapText="1"/>
    </xf>
    <xf numFmtId="0" fontId="11" fillId="3" borderId="2" xfId="2" applyFont="1" applyFill="1" applyBorder="1" applyAlignment="1">
      <alignment horizontal="right" wrapText="1"/>
    </xf>
    <xf numFmtId="0" fontId="23" fillId="5" borderId="0" xfId="2" applyFont="1" applyFill="1" applyAlignment="1">
      <alignment vertical="top" wrapText="1"/>
    </xf>
    <xf numFmtId="3" fontId="23" fillId="5" borderId="0" xfId="1" applyNumberFormat="1" applyFont="1" applyFill="1" applyAlignment="1">
      <alignment horizontal="right" vertical="center"/>
    </xf>
    <xf numFmtId="0" fontId="10" fillId="3" borderId="0" xfId="2" applyFont="1" applyFill="1" applyAlignment="1">
      <alignment vertical="top" wrapText="1"/>
    </xf>
    <xf numFmtId="3" fontId="11" fillId="3" borderId="0" xfId="1" applyNumberFormat="1" applyFont="1" applyFill="1" applyAlignment="1">
      <alignment horizontal="right" vertical="center"/>
    </xf>
    <xf numFmtId="0" fontId="23" fillId="5" borderId="0" xfId="2" applyFont="1" applyFill="1" applyAlignment="1">
      <alignment vertical="center" wrapText="1"/>
    </xf>
    <xf numFmtId="3" fontId="11" fillId="5" borderId="0" xfId="1" applyNumberFormat="1" applyFont="1" applyFill="1" applyAlignment="1">
      <alignment horizontal="right" vertical="center"/>
    </xf>
    <xf numFmtId="0" fontId="11" fillId="3" borderId="0" xfId="2" applyFont="1" applyFill="1" applyAlignment="1">
      <alignment horizontal="left" vertical="top" wrapText="1"/>
    </xf>
    <xf numFmtId="0" fontId="23" fillId="5" borderId="0" xfId="2" applyFont="1" applyFill="1" applyAlignment="1">
      <alignment horizontal="left" vertical="top" wrapText="1"/>
    </xf>
    <xf numFmtId="3" fontId="10" fillId="3" borderId="0" xfId="1" applyNumberFormat="1" applyFont="1" applyFill="1" applyAlignment="1">
      <alignment horizontal="right"/>
    </xf>
    <xf numFmtId="3" fontId="10" fillId="3" borderId="0" xfId="1" applyNumberFormat="1" applyFont="1" applyFill="1" applyAlignment="1">
      <alignment horizontal="right" vertical="center"/>
    </xf>
    <xf numFmtId="3" fontId="11" fillId="3" borderId="0" xfId="1" applyNumberFormat="1" applyFont="1" applyFill="1" applyAlignment="1">
      <alignment horizontal="right"/>
    </xf>
    <xf numFmtId="3" fontId="16" fillId="3" borderId="2" xfId="7" applyNumberFormat="1" applyFont="1" applyFill="1" applyBorder="1" applyAlignment="1">
      <alignment horizontal="left" wrapText="1"/>
    </xf>
    <xf numFmtId="3" fontId="15" fillId="5" borderId="0" xfId="1" applyNumberFormat="1" applyFont="1" applyFill="1" applyAlignment="1">
      <alignment horizontal="center" vertical="center"/>
    </xf>
    <xf numFmtId="3" fontId="15" fillId="5" borderId="0" xfId="1" applyNumberFormat="1" applyFont="1" applyFill="1" applyAlignment="1">
      <alignment vertical="center"/>
    </xf>
    <xf numFmtId="3" fontId="16" fillId="3" borderId="0" xfId="16" applyNumberFormat="1" applyFont="1" applyFill="1" applyAlignment="1">
      <alignment horizontal="left" vertical="top" wrapText="1" indent="1"/>
    </xf>
    <xf numFmtId="3" fontId="18" fillId="5" borderId="0" xfId="1" applyNumberFormat="1" applyFont="1" applyFill="1" applyAlignment="1">
      <alignment horizontal="center"/>
    </xf>
    <xf numFmtId="3" fontId="18" fillId="5" borderId="0" xfId="1" applyNumberFormat="1" applyFont="1" applyFill="1" applyAlignment="1">
      <alignment horizontal="right"/>
    </xf>
    <xf numFmtId="3" fontId="17" fillId="5" borderId="0" xfId="1" applyNumberFormat="1" applyFont="1" applyFill="1" applyAlignment="1">
      <alignment horizontal="right"/>
    </xf>
    <xf numFmtId="3" fontId="16" fillId="5" borderId="0" xfId="1" applyNumberFormat="1" applyFont="1" applyFill="1" applyAlignment="1">
      <alignment vertical="center"/>
    </xf>
    <xf numFmtId="3" fontId="7" fillId="3" borderId="0" xfId="11" applyNumberFormat="1" applyFont="1" applyFill="1" applyAlignment="1">
      <alignment horizontal="left" vertical="top" wrapText="1"/>
    </xf>
    <xf numFmtId="3" fontId="16" fillId="5" borderId="0" xfId="1" applyNumberFormat="1" applyFont="1" applyFill="1" applyAlignment="1">
      <alignment horizontal="center" vertical="center"/>
    </xf>
    <xf numFmtId="3" fontId="16" fillId="5" borderId="0" xfId="1" applyNumberFormat="1" applyFont="1" applyFill="1" applyAlignment="1">
      <alignment vertical="top" wrapText="1"/>
    </xf>
    <xf numFmtId="0" fontId="7" fillId="3" borderId="16" xfId="6" applyFont="1" applyFill="1" applyBorder="1" applyAlignment="1">
      <alignment horizontal="center" wrapText="1"/>
    </xf>
    <xf numFmtId="0" fontId="7" fillId="3" borderId="2" xfId="6" applyFont="1" applyFill="1" applyBorder="1" applyAlignment="1">
      <alignment horizontal="center" wrapText="1"/>
    </xf>
    <xf numFmtId="0" fontId="23" fillId="5" borderId="0" xfId="6" applyFont="1" applyFill="1" applyAlignment="1">
      <alignment horizontal="left" vertical="top" wrapText="1"/>
    </xf>
    <xf numFmtId="0" fontId="23" fillId="5" borderId="0" xfId="16" applyFont="1" applyFill="1" applyAlignment="1">
      <alignment vertical="top" wrapText="1"/>
    </xf>
    <xf numFmtId="0" fontId="7" fillId="3" borderId="0" xfId="5" applyFont="1" applyFill="1" applyAlignment="1">
      <alignment horizontal="left" vertical="top"/>
    </xf>
    <xf numFmtId="174" fontId="23" fillId="5" borderId="0" xfId="1" applyNumberFormat="1" applyFont="1" applyFill="1" applyBorder="1" applyAlignment="1">
      <alignment horizontal="right" vertical="center"/>
    </xf>
    <xf numFmtId="0" fontId="6" fillId="3" borderId="0" xfId="16" applyFont="1" applyFill="1" applyAlignment="1">
      <alignment horizontal="left" vertical="center"/>
    </xf>
    <xf numFmtId="0" fontId="23" fillId="5" borderId="0" xfId="16" applyFont="1" applyFill="1" applyAlignment="1">
      <alignment horizontal="left" wrapText="1"/>
    </xf>
    <xf numFmtId="174" fontId="24" fillId="5" borderId="0" xfId="1" applyNumberFormat="1" applyFont="1" applyFill="1" applyAlignment="1">
      <alignment horizontal="right" vertical="center"/>
    </xf>
    <xf numFmtId="0" fontId="11" fillId="3" borderId="0" xfId="16" applyFont="1" applyFill="1" applyAlignment="1">
      <alignment vertical="top" wrapText="1"/>
    </xf>
    <xf numFmtId="0" fontId="23" fillId="3" borderId="0" xfId="16" applyFont="1" applyFill="1" applyAlignment="1">
      <alignment vertical="top" wrapText="1"/>
    </xf>
    <xf numFmtId="0" fontId="23" fillId="5" borderId="0" xfId="16" applyFont="1" applyFill="1" applyAlignment="1">
      <alignment horizontal="left" vertical="center"/>
    </xf>
    <xf numFmtId="174" fontId="23" fillId="5" borderId="0" xfId="1" applyNumberFormat="1" applyFont="1" applyFill="1" applyBorder="1" applyAlignment="1">
      <alignment horizontal="center" vertical="center"/>
    </xf>
    <xf numFmtId="0" fontId="6" fillId="3" borderId="0" xfId="16" applyFont="1" applyFill="1" applyAlignment="1">
      <alignment horizontal="left" wrapText="1"/>
    </xf>
    <xf numFmtId="174" fontId="7" fillId="5" borderId="0" xfId="1" applyNumberFormat="1" applyFont="1" applyFill="1" applyBorder="1" applyAlignment="1">
      <alignment horizontal="center" vertical="center"/>
    </xf>
    <xf numFmtId="169" fontId="23" fillId="5" borderId="0" xfId="1" applyNumberFormat="1" applyFont="1" applyFill="1" applyAlignment="1">
      <alignment horizontal="center" vertical="center"/>
    </xf>
    <xf numFmtId="0" fontId="7" fillId="3" borderId="0" xfId="18" applyFont="1" applyFill="1" applyAlignment="1">
      <alignment vertical="top" wrapText="1"/>
    </xf>
    <xf numFmtId="169" fontId="7" fillId="3" borderId="0" xfId="1" applyNumberFormat="1" applyFont="1" applyFill="1" applyAlignment="1">
      <alignment horizontal="center" vertical="center"/>
    </xf>
    <xf numFmtId="0" fontId="7" fillId="3" borderId="0" xfId="18" applyFont="1" applyFill="1" applyAlignment="1">
      <alignment horizontal="left" vertical="top" wrapText="1" indent="1"/>
    </xf>
    <xf numFmtId="169" fontId="6" fillId="3" borderId="0" xfId="1" applyNumberFormat="1" applyFont="1" applyFill="1" applyAlignment="1">
      <alignment horizontal="center" vertical="center"/>
    </xf>
    <xf numFmtId="0" fontId="6" fillId="3" borderId="0" xfId="18" applyFont="1" applyFill="1" applyAlignment="1">
      <alignment vertical="top" wrapText="1"/>
    </xf>
    <xf numFmtId="0" fontId="23" fillId="5" borderId="0" xfId="35" applyFont="1" applyFill="1" applyAlignment="1">
      <alignment vertical="top" wrapText="1"/>
    </xf>
    <xf numFmtId="0" fontId="7" fillId="3" borderId="0" xfId="35" applyFont="1" applyFill="1" applyAlignment="1">
      <alignment horizontal="left" vertical="top" wrapText="1"/>
    </xf>
    <xf numFmtId="0" fontId="7" fillId="3" borderId="0" xfId="35" applyFont="1" applyFill="1" applyAlignment="1">
      <alignment horizontal="left" vertical="top" wrapText="1" indent="1"/>
    </xf>
    <xf numFmtId="0" fontId="6" fillId="3" borderId="0" xfId="35" applyFont="1" applyFill="1" applyAlignment="1">
      <alignment vertical="top" wrapText="1"/>
    </xf>
    <xf numFmtId="0" fontId="23" fillId="5" borderId="0" xfId="36" applyFont="1" applyFill="1" applyAlignment="1">
      <alignment vertical="top" wrapText="1"/>
    </xf>
    <xf numFmtId="0" fontId="7" fillId="3" borderId="0" xfId="36" applyFont="1" applyFill="1" applyAlignment="1">
      <alignment vertical="top" wrapText="1"/>
    </xf>
    <xf numFmtId="0" fontId="7" fillId="3" borderId="0" xfId="36" applyFont="1" applyFill="1" applyAlignment="1">
      <alignment horizontal="left" vertical="top" wrapText="1" indent="2"/>
    </xf>
    <xf numFmtId="0" fontId="7" fillId="3" borderId="0" xfId="36" applyFont="1" applyFill="1" applyAlignment="1">
      <alignment horizontal="left" vertical="top" wrapText="1" indent="1"/>
    </xf>
    <xf numFmtId="0" fontId="7" fillId="3" borderId="0" xfId="37" applyFont="1" applyFill="1" applyAlignment="1">
      <alignment vertical="top" wrapText="1"/>
    </xf>
    <xf numFmtId="0" fontId="6" fillId="3" borderId="0" xfId="37" applyFont="1" applyFill="1" applyAlignment="1">
      <alignment vertical="top" wrapText="1"/>
    </xf>
    <xf numFmtId="0" fontId="7" fillId="3" borderId="0" xfId="37" applyFont="1" applyFill="1" applyAlignment="1">
      <alignment horizontal="left" vertical="top" wrapText="1" indent="1"/>
    </xf>
    <xf numFmtId="0" fontId="23" fillId="5" borderId="0" xfId="38" applyFont="1" applyFill="1" applyAlignment="1">
      <alignment vertical="top" wrapText="1"/>
    </xf>
    <xf numFmtId="0" fontId="6" fillId="3" borderId="0" xfId="38" applyFont="1" applyFill="1" applyAlignment="1">
      <alignment vertical="top" wrapText="1"/>
    </xf>
    <xf numFmtId="0" fontId="7" fillId="3" borderId="0" xfId="38" applyFont="1" applyFill="1" applyAlignment="1">
      <alignment horizontal="left" vertical="top" wrapText="1" indent="1"/>
    </xf>
    <xf numFmtId="0" fontId="7" fillId="3" borderId="0" xfId="39" applyFont="1" applyFill="1" applyAlignment="1">
      <alignment horizontal="left" vertical="top" wrapText="1"/>
    </xf>
    <xf numFmtId="0" fontId="23" fillId="5" borderId="0" xfId="39" applyFont="1" applyFill="1" applyAlignment="1">
      <alignment horizontal="left" vertical="top" wrapText="1"/>
    </xf>
    <xf numFmtId="0" fontId="7" fillId="3" borderId="0" xfId="39" applyFont="1" applyFill="1" applyAlignment="1">
      <alignment horizontal="left" vertical="top" wrapText="1" indent="1"/>
    </xf>
    <xf numFmtId="0" fontId="6" fillId="3" borderId="0" xfId="39" applyFont="1" applyFill="1" applyAlignment="1">
      <alignment vertical="top" wrapText="1"/>
    </xf>
    <xf numFmtId="0" fontId="7" fillId="3" borderId="0" xfId="40" applyFont="1" applyFill="1" applyAlignment="1">
      <alignment horizontal="left" vertical="top" wrapText="1"/>
    </xf>
    <xf numFmtId="0" fontId="7" fillId="3" borderId="0" xfId="40" applyFont="1" applyFill="1" applyAlignment="1">
      <alignment horizontal="left" vertical="top" wrapText="1" indent="1"/>
    </xf>
    <xf numFmtId="0" fontId="6" fillId="3" borderId="0" xfId="40" applyFont="1" applyFill="1" applyAlignment="1">
      <alignment vertical="top" wrapText="1"/>
    </xf>
    <xf numFmtId="0" fontId="7" fillId="3" borderId="16" xfId="41" applyFont="1" applyFill="1" applyBorder="1" applyAlignment="1">
      <alignment horizontal="center" wrapText="1"/>
    </xf>
    <xf numFmtId="0" fontId="23" fillId="5" borderId="0" xfId="41" applyFont="1" applyFill="1" applyAlignment="1">
      <alignment vertical="top" wrapText="1"/>
    </xf>
    <xf numFmtId="0" fontId="7" fillId="3" borderId="0" xfId="41" applyFont="1" applyFill="1" applyAlignment="1">
      <alignment vertical="top" wrapText="1"/>
    </xf>
    <xf numFmtId="0" fontId="7" fillId="3" borderId="0" xfId="41" applyFont="1" applyFill="1" applyAlignment="1">
      <alignment horizontal="left" vertical="top" wrapText="1" indent="1"/>
    </xf>
    <xf numFmtId="0" fontId="6" fillId="3" borderId="0" xfId="41" applyFont="1" applyFill="1" applyAlignment="1">
      <alignment vertical="top" wrapText="1"/>
    </xf>
    <xf numFmtId="0" fontId="7" fillId="3" borderId="0" xfId="42" applyFont="1" applyFill="1" applyAlignment="1">
      <alignment horizontal="center" wrapText="1"/>
    </xf>
    <xf numFmtId="0" fontId="7" fillId="3" borderId="16" xfId="42" applyFont="1" applyFill="1" applyBorder="1" applyAlignment="1">
      <alignment horizontal="center" wrapText="1"/>
    </xf>
    <xf numFmtId="0" fontId="7" fillId="3" borderId="2" xfId="42" applyFont="1" applyFill="1" applyBorder="1" applyAlignment="1">
      <alignment horizontal="center" wrapText="1"/>
    </xf>
    <xf numFmtId="0" fontId="23" fillId="5" borderId="0" xfId="42" applyFont="1" applyFill="1" applyAlignment="1">
      <alignment vertical="top" wrapText="1"/>
    </xf>
    <xf numFmtId="0" fontId="6" fillId="3" borderId="0" xfId="42" applyFont="1" applyFill="1" applyAlignment="1">
      <alignment vertical="top" wrapText="1"/>
    </xf>
    <xf numFmtId="0" fontId="7" fillId="3" borderId="0" xfId="42" applyFont="1" applyFill="1" applyAlignment="1">
      <alignment vertical="top" wrapText="1"/>
    </xf>
    <xf numFmtId="2" fontId="6" fillId="3" borderId="0" xfId="43" applyNumberFormat="1" applyFont="1" applyFill="1" applyAlignment="1">
      <alignment horizontal="center" vertical="center" wrapText="1"/>
    </xf>
    <xf numFmtId="0" fontId="7" fillId="3" borderId="3" xfId="43" applyFont="1" applyFill="1" applyBorder="1" applyAlignment="1">
      <alignment wrapText="1"/>
    </xf>
    <xf numFmtId="0" fontId="7" fillId="3" borderId="16" xfId="43" applyFont="1" applyFill="1" applyBorder="1" applyAlignment="1">
      <alignment horizontal="center" wrapText="1"/>
    </xf>
    <xf numFmtId="0" fontId="7" fillId="3" borderId="2" xfId="43" applyFont="1" applyFill="1" applyBorder="1" applyAlignment="1">
      <alignment horizontal="center" wrapText="1"/>
    </xf>
    <xf numFmtId="0" fontId="23" fillId="5" borderId="0" xfId="43" applyFont="1" applyFill="1" applyAlignment="1">
      <alignment vertical="top" wrapText="1"/>
    </xf>
    <xf numFmtId="0" fontId="7" fillId="3" borderId="0" xfId="43" applyFont="1" applyFill="1" applyAlignment="1">
      <alignment vertical="top" wrapText="1"/>
    </xf>
    <xf numFmtId="0" fontId="7" fillId="3" borderId="0" xfId="43" applyFont="1" applyFill="1" applyAlignment="1">
      <alignment horizontal="left" vertical="top" wrapText="1" indent="1"/>
    </xf>
    <xf numFmtId="0" fontId="6" fillId="3" borderId="0" xfId="43" applyFont="1" applyFill="1" applyAlignment="1">
      <alignment vertical="top" wrapText="1"/>
    </xf>
    <xf numFmtId="0" fontId="7" fillId="3" borderId="2" xfId="45" applyFont="1" applyFill="1" applyBorder="1" applyAlignment="1">
      <alignment horizontal="center" wrapText="1"/>
    </xf>
    <xf numFmtId="0" fontId="23" fillId="5" borderId="0" xfId="45" applyFont="1" applyFill="1" applyAlignment="1">
      <alignment vertical="top" wrapText="1"/>
    </xf>
    <xf numFmtId="0" fontId="23" fillId="3" borderId="0" xfId="45" applyFont="1" applyFill="1" applyAlignment="1">
      <alignment vertical="top" wrapText="1"/>
    </xf>
    <xf numFmtId="0" fontId="7" fillId="3" borderId="0" xfId="45" applyFont="1" applyFill="1" applyAlignment="1">
      <alignment vertical="top" wrapText="1"/>
    </xf>
    <xf numFmtId="0" fontId="6" fillId="3" borderId="0" xfId="45" applyFont="1" applyFill="1" applyAlignment="1">
      <alignment vertical="top" wrapText="1"/>
    </xf>
    <xf numFmtId="0" fontId="7" fillId="3" borderId="0" xfId="45" applyFont="1" applyFill="1" applyAlignment="1">
      <alignment horizontal="left" vertical="top" wrapText="1" indent="1"/>
    </xf>
    <xf numFmtId="0" fontId="7" fillId="3" borderId="2" xfId="46" applyFont="1" applyFill="1" applyBorder="1" applyAlignment="1">
      <alignment horizontal="center" wrapText="1"/>
    </xf>
    <xf numFmtId="0" fontId="23" fillId="5" borderId="0" xfId="46" applyFont="1" applyFill="1" applyAlignment="1">
      <alignment vertical="top" wrapText="1"/>
    </xf>
    <xf numFmtId="0" fontId="6" fillId="3" borderId="0" xfId="46" applyFont="1" applyFill="1" applyAlignment="1">
      <alignment vertical="top" wrapText="1"/>
    </xf>
    <xf numFmtId="0" fontId="10" fillId="3" borderId="0" xfId="46" applyFont="1" applyFill="1" applyAlignment="1">
      <alignment horizontal="left" vertical="top" wrapText="1"/>
    </xf>
    <xf numFmtId="0" fontId="7" fillId="3" borderId="0" xfId="46" applyFont="1" applyFill="1" applyAlignment="1">
      <alignment horizontal="left" vertical="top" wrapText="1" indent="1"/>
    </xf>
    <xf numFmtId="0" fontId="6" fillId="3" borderId="0" xfId="46" applyFont="1" applyFill="1" applyAlignment="1">
      <alignment horizontal="left" vertical="top" wrapText="1"/>
    </xf>
    <xf numFmtId="0" fontId="6" fillId="3" borderId="0" xfId="47" applyFont="1" applyFill="1" applyAlignment="1">
      <alignment vertical="center" wrapText="1"/>
    </xf>
    <xf numFmtId="0" fontId="7" fillId="3" borderId="2" xfId="47" applyFont="1" applyFill="1" applyBorder="1" applyAlignment="1">
      <alignment horizontal="center" wrapText="1"/>
    </xf>
    <xf numFmtId="0" fontId="9" fillId="3" borderId="2" xfId="47" applyFont="1" applyFill="1" applyBorder="1" applyAlignment="1">
      <alignment horizontal="center" wrapText="1"/>
    </xf>
    <xf numFmtId="0" fontId="23" fillId="5" borderId="0" xfId="47" applyFont="1" applyFill="1" applyAlignment="1">
      <alignment vertical="top" wrapText="1"/>
    </xf>
    <xf numFmtId="0" fontId="6" fillId="3" borderId="0" xfId="47" applyFont="1" applyFill="1" applyAlignment="1">
      <alignment vertical="top" wrapText="1"/>
    </xf>
    <xf numFmtId="0" fontId="6" fillId="3" borderId="0" xfId="47" applyFont="1" applyFill="1" applyAlignment="1">
      <alignment horizontal="left" vertical="top" wrapText="1"/>
    </xf>
    <xf numFmtId="0" fontId="7" fillId="3" borderId="0" xfId="47" applyFont="1" applyFill="1" applyAlignment="1">
      <alignment horizontal="left" vertical="top" wrapText="1" indent="1"/>
    </xf>
    <xf numFmtId="0" fontId="7" fillId="3" borderId="2" xfId="48" applyFont="1" applyFill="1" applyBorder="1" applyAlignment="1">
      <alignment horizontal="center" wrapText="1"/>
    </xf>
    <xf numFmtId="0" fontId="23" fillId="5" borderId="0" xfId="48" applyFont="1" applyFill="1" applyAlignment="1">
      <alignment vertical="top" wrapText="1"/>
    </xf>
    <xf numFmtId="0" fontId="6" fillId="3" borderId="0" xfId="48" applyFont="1" applyFill="1" applyAlignment="1">
      <alignment vertical="top" wrapText="1"/>
    </xf>
    <xf numFmtId="0" fontId="6" fillId="3" borderId="0" xfId="48" applyFont="1" applyFill="1" applyAlignment="1">
      <alignment horizontal="left" vertical="top" wrapText="1"/>
    </xf>
    <xf numFmtId="0" fontId="7" fillId="3" borderId="0" xfId="48" applyFont="1" applyFill="1" applyAlignment="1">
      <alignment horizontal="left" vertical="top" wrapText="1" indent="1"/>
    </xf>
    <xf numFmtId="0" fontId="7" fillId="3" borderId="2" xfId="49" applyFont="1" applyFill="1" applyBorder="1" applyAlignment="1">
      <alignment horizontal="center" wrapText="1"/>
    </xf>
    <xf numFmtId="0" fontId="23" fillId="5" borderId="0" xfId="49" applyFont="1" applyFill="1" applyAlignment="1">
      <alignment vertical="top" wrapText="1"/>
    </xf>
    <xf numFmtId="0" fontId="7" fillId="3" borderId="0" xfId="49" applyFont="1" applyFill="1" applyAlignment="1">
      <alignment horizontal="left" vertical="top" wrapText="1"/>
    </xf>
    <xf numFmtId="0" fontId="6" fillId="3" borderId="0" xfId="49" applyFont="1" applyFill="1" applyAlignment="1">
      <alignment horizontal="left" vertical="top" wrapText="1"/>
    </xf>
    <xf numFmtId="0" fontId="7" fillId="3" borderId="0" xfId="49" applyFont="1" applyFill="1" applyAlignment="1">
      <alignment horizontal="left" vertical="top" wrapText="1" indent="1"/>
    </xf>
    <xf numFmtId="0" fontId="7" fillId="3" borderId="2" xfId="50" applyFont="1" applyFill="1" applyBorder="1" applyAlignment="1">
      <alignment wrapText="1"/>
    </xf>
    <xf numFmtId="0" fontId="7" fillId="3" borderId="2" xfId="50" applyFont="1" applyFill="1" applyBorder="1" applyAlignment="1">
      <alignment horizontal="center" wrapText="1"/>
    </xf>
    <xf numFmtId="0" fontId="23" fillId="5" borderId="0" xfId="50" applyFont="1" applyFill="1" applyAlignment="1">
      <alignment vertical="top" wrapText="1"/>
    </xf>
    <xf numFmtId="0" fontId="6" fillId="3" borderId="0" xfId="50" applyFont="1" applyFill="1" applyAlignment="1">
      <alignment vertical="top" wrapText="1"/>
    </xf>
    <xf numFmtId="0" fontId="6" fillId="3" borderId="0" xfId="50" applyFont="1" applyFill="1" applyAlignment="1">
      <alignment horizontal="left" vertical="top" wrapText="1"/>
    </xf>
    <xf numFmtId="0" fontId="7" fillId="3" borderId="0" xfId="50" applyFont="1" applyFill="1" applyAlignment="1">
      <alignment horizontal="left" vertical="top" wrapText="1" indent="1"/>
    </xf>
    <xf numFmtId="0" fontId="7" fillId="3" borderId="16" xfId="51" applyFont="1" applyFill="1" applyBorder="1" applyAlignment="1">
      <alignment horizontal="center" wrapText="1"/>
    </xf>
    <xf numFmtId="0" fontId="23" fillId="5" borderId="0" xfId="51" applyFont="1" applyFill="1" applyAlignment="1">
      <alignment vertical="top" wrapText="1"/>
    </xf>
    <xf numFmtId="0" fontId="6" fillId="3" borderId="0" xfId="51" applyFont="1" applyFill="1" applyAlignment="1">
      <alignment vertical="top" wrapText="1"/>
    </xf>
    <xf numFmtId="0" fontId="6" fillId="3" borderId="0" xfId="51" applyFont="1" applyFill="1" applyAlignment="1">
      <alignment horizontal="left" vertical="top" wrapText="1"/>
    </xf>
    <xf numFmtId="0" fontId="7" fillId="3" borderId="0" xfId="51" applyFont="1" applyFill="1" applyAlignment="1">
      <alignment horizontal="left" vertical="top" wrapText="1" indent="1"/>
    </xf>
    <xf numFmtId="0" fontId="7" fillId="3" borderId="2" xfId="52" applyFont="1" applyFill="1" applyBorder="1" applyAlignment="1">
      <alignment horizontal="center" wrapText="1"/>
    </xf>
    <xf numFmtId="0" fontId="23" fillId="5" borderId="0" xfId="52" applyFont="1" applyFill="1" applyAlignment="1">
      <alignment vertical="top" wrapText="1"/>
    </xf>
    <xf numFmtId="0" fontId="6" fillId="3" borderId="0" xfId="52" applyFont="1" applyFill="1" applyAlignment="1">
      <alignment vertical="top" wrapText="1"/>
    </xf>
    <xf numFmtId="0" fontId="6" fillId="3" borderId="0" xfId="52" applyFont="1" applyFill="1" applyAlignment="1">
      <alignment horizontal="left" vertical="top" wrapText="1"/>
    </xf>
    <xf numFmtId="0" fontId="7" fillId="3" borderId="0" xfId="52" applyFont="1" applyFill="1" applyAlignment="1">
      <alignment horizontal="left" vertical="top" wrapText="1" indent="1"/>
    </xf>
    <xf numFmtId="0" fontId="7" fillId="3" borderId="16" xfId="53" applyFont="1" applyFill="1" applyBorder="1" applyAlignment="1">
      <alignment horizontal="center" wrapText="1"/>
    </xf>
    <xf numFmtId="0" fontId="23" fillId="5" borderId="0" xfId="53" applyFont="1" applyFill="1" applyAlignment="1">
      <alignment vertical="top" wrapText="1"/>
    </xf>
    <xf numFmtId="0" fontId="6" fillId="3" borderId="0" xfId="53" applyFont="1" applyFill="1" applyAlignment="1">
      <alignment vertical="top" wrapText="1"/>
    </xf>
    <xf numFmtId="0" fontId="6" fillId="3" borderId="0" xfId="53" applyFont="1" applyFill="1" applyAlignment="1">
      <alignment horizontal="left" vertical="top" wrapText="1"/>
    </xf>
    <xf numFmtId="0" fontId="7" fillId="3" borderId="0" xfId="53" applyFont="1" applyFill="1" applyAlignment="1">
      <alignment horizontal="left" vertical="top" wrapText="1" indent="1"/>
    </xf>
    <xf numFmtId="0" fontId="7" fillId="3" borderId="3" xfId="54" applyFont="1" applyFill="1" applyBorder="1" applyAlignment="1">
      <alignment wrapText="1"/>
    </xf>
    <xf numFmtId="0" fontId="7" fillId="3" borderId="16" xfId="54" applyFont="1" applyFill="1" applyBorder="1" applyAlignment="1">
      <alignment horizontal="center" wrapText="1"/>
    </xf>
    <xf numFmtId="0" fontId="23" fillId="5" borderId="0" xfId="54" applyFont="1" applyFill="1" applyAlignment="1">
      <alignment vertical="top" wrapText="1"/>
    </xf>
    <xf numFmtId="0" fontId="6" fillId="3" borderId="0" xfId="54" applyFont="1" applyFill="1" applyAlignment="1">
      <alignment vertical="top" wrapText="1"/>
    </xf>
    <xf numFmtId="0" fontId="6" fillId="3" borderId="0" xfId="54" applyFont="1" applyFill="1" applyAlignment="1">
      <alignment horizontal="left" vertical="top" wrapText="1"/>
    </xf>
    <xf numFmtId="0" fontId="7" fillId="3" borderId="0" xfId="54" applyFont="1" applyFill="1" applyAlignment="1">
      <alignment horizontal="left" vertical="top" wrapText="1" indent="1"/>
    </xf>
    <xf numFmtId="0" fontId="6" fillId="3" borderId="0" xfId="41" applyFont="1" applyFill="1" applyAlignment="1">
      <alignment horizontal="left" vertical="top" wrapText="1"/>
    </xf>
    <xf numFmtId="0" fontId="23" fillId="5" borderId="0" xfId="55" applyFont="1" applyFill="1" applyAlignment="1">
      <alignment vertical="top" wrapText="1"/>
    </xf>
    <xf numFmtId="0" fontId="6" fillId="3" borderId="0" xfId="55" applyFont="1" applyFill="1" applyAlignment="1">
      <alignment vertical="top" wrapText="1"/>
    </xf>
    <xf numFmtId="0" fontId="6" fillId="3" borderId="0" xfId="55" applyFont="1" applyFill="1" applyAlignment="1">
      <alignment horizontal="left" vertical="top" wrapText="1"/>
    </xf>
    <xf numFmtId="0" fontId="7" fillId="3" borderId="0" xfId="55" applyFont="1" applyFill="1" applyAlignment="1">
      <alignment horizontal="left" vertical="top" wrapText="1" indent="1"/>
    </xf>
    <xf numFmtId="0" fontId="23" fillId="5" borderId="0" xfId="56" applyFont="1" applyFill="1" applyAlignment="1">
      <alignment vertical="top" wrapText="1"/>
    </xf>
    <xf numFmtId="0" fontId="6" fillId="3" borderId="0" xfId="56" applyFont="1" applyFill="1" applyAlignment="1">
      <alignment vertical="top" wrapText="1"/>
    </xf>
    <xf numFmtId="0" fontId="6" fillId="3" borderId="0" xfId="56" applyFont="1" applyFill="1" applyAlignment="1">
      <alignment horizontal="left" vertical="top" wrapText="1"/>
    </xf>
    <xf numFmtId="0" fontId="7" fillId="3" borderId="0" xfId="56" applyFont="1" applyFill="1" applyAlignment="1">
      <alignment horizontal="left" vertical="top" wrapText="1" indent="1"/>
    </xf>
    <xf numFmtId="0" fontId="6" fillId="3" borderId="0" xfId="57" applyFont="1" applyFill="1" applyAlignment="1">
      <alignment vertical="center" wrapText="1"/>
    </xf>
    <xf numFmtId="0" fontId="6" fillId="3" borderId="3" xfId="57" applyFont="1" applyFill="1" applyBorder="1" applyAlignment="1">
      <alignment horizontal="center" vertical="center" wrapText="1"/>
    </xf>
    <xf numFmtId="0" fontId="23" fillId="5" borderId="0" xfId="57" applyFont="1" applyFill="1" applyAlignment="1">
      <alignment vertical="top" wrapText="1"/>
    </xf>
    <xf numFmtId="0" fontId="6" fillId="3" borderId="0" xfId="57" applyFont="1" applyFill="1" applyAlignment="1">
      <alignment vertical="top" wrapText="1"/>
    </xf>
    <xf numFmtId="0" fontId="6" fillId="3" borderId="0" xfId="57" applyFont="1" applyFill="1" applyAlignment="1">
      <alignment horizontal="left" vertical="top" wrapText="1"/>
    </xf>
    <xf numFmtId="0" fontId="7" fillId="3" borderId="0" xfId="57" applyFont="1" applyFill="1" applyAlignment="1">
      <alignment horizontal="left" vertical="top" wrapText="1" indent="1"/>
    </xf>
    <xf numFmtId="0" fontId="7" fillId="3" borderId="16" xfId="58" applyFont="1" applyFill="1" applyBorder="1" applyAlignment="1">
      <alignment horizontal="center" wrapText="1"/>
    </xf>
    <xf numFmtId="0" fontId="23" fillId="5" borderId="0" xfId="58" applyFont="1" applyFill="1" applyAlignment="1">
      <alignment vertical="top" wrapText="1"/>
    </xf>
    <xf numFmtId="0" fontId="6" fillId="3" borderId="0" xfId="58" applyFont="1" applyFill="1" applyAlignment="1">
      <alignment vertical="top" wrapText="1"/>
    </xf>
    <xf numFmtId="0" fontId="6" fillId="3" borderId="0" xfId="58" applyFont="1" applyFill="1" applyAlignment="1">
      <alignment horizontal="left" vertical="top" wrapText="1"/>
    </xf>
    <xf numFmtId="0" fontId="7" fillId="3" borderId="0" xfId="58" applyFont="1" applyFill="1" applyAlignment="1">
      <alignment horizontal="left" vertical="top" wrapText="1" indent="1"/>
    </xf>
    <xf numFmtId="0" fontId="23" fillId="5" borderId="0" xfId="59" applyFont="1" applyFill="1" applyAlignment="1">
      <alignment vertical="top" wrapText="1"/>
    </xf>
    <xf numFmtId="0" fontId="7" fillId="3" borderId="0" xfId="59" applyFont="1" applyFill="1" applyAlignment="1">
      <alignment vertical="top" wrapText="1"/>
    </xf>
    <xf numFmtId="0" fontId="6" fillId="3" borderId="0" xfId="59" applyFont="1" applyFill="1" applyAlignment="1">
      <alignment horizontal="left" vertical="top" wrapText="1"/>
    </xf>
    <xf numFmtId="0" fontId="7" fillId="3" borderId="0" xfId="59" applyFont="1" applyFill="1" applyAlignment="1">
      <alignment horizontal="left" vertical="top" wrapText="1" indent="1"/>
    </xf>
    <xf numFmtId="0" fontId="7" fillId="3" borderId="2" xfId="60" applyFont="1" applyFill="1" applyBorder="1" applyAlignment="1">
      <alignment horizontal="center" wrapText="1"/>
    </xf>
    <xf numFmtId="0" fontId="23" fillId="5" borderId="0" xfId="60" applyFont="1" applyFill="1" applyAlignment="1">
      <alignment vertical="top" wrapText="1"/>
    </xf>
    <xf numFmtId="0" fontId="7" fillId="3" borderId="0" xfId="60" applyFont="1" applyFill="1" applyAlignment="1">
      <alignment vertical="top" wrapText="1"/>
    </xf>
    <xf numFmtId="0" fontId="6" fillId="3" borderId="0" xfId="60" applyFont="1" applyFill="1" applyAlignment="1">
      <alignment horizontal="left" vertical="top" wrapText="1"/>
    </xf>
    <xf numFmtId="0" fontId="7" fillId="3" borderId="0" xfId="60" applyFont="1" applyFill="1" applyAlignment="1">
      <alignment horizontal="left" vertical="top" wrapText="1" indent="1"/>
    </xf>
    <xf numFmtId="0" fontId="7" fillId="3" borderId="16" xfId="30" applyFont="1" applyFill="1" applyBorder="1" applyAlignment="1">
      <alignment horizontal="center" wrapText="1"/>
    </xf>
    <xf numFmtId="169" fontId="23" fillId="5" borderId="0" xfId="1" applyNumberFormat="1" applyFont="1" applyFill="1" applyBorder="1" applyAlignment="1">
      <alignment vertical="top" wrapText="1"/>
    </xf>
    <xf numFmtId="0" fontId="7" fillId="3" borderId="2" xfId="6" applyFont="1" applyFill="1" applyBorder="1" applyAlignment="1">
      <alignment vertical="top" wrapText="1"/>
    </xf>
    <xf numFmtId="0" fontId="7" fillId="3" borderId="16" xfId="28" applyFont="1" applyFill="1" applyBorder="1" applyAlignment="1">
      <alignment horizontal="right" wrapText="1"/>
    </xf>
    <xf numFmtId="0" fontId="7" fillId="3" borderId="0" xfId="28" applyFont="1" applyFill="1" applyAlignment="1">
      <alignment horizontal="right" wrapText="1"/>
    </xf>
    <xf numFmtId="0" fontId="7" fillId="3" borderId="2" xfId="28" applyFont="1" applyFill="1" applyBorder="1" applyAlignment="1">
      <alignment horizontal="left" vertical="top"/>
    </xf>
    <xf numFmtId="1" fontId="11" fillId="3" borderId="2" xfId="0" applyNumberFormat="1" applyFont="1" applyFill="1" applyBorder="1" applyAlignment="1">
      <alignment horizontal="right"/>
    </xf>
    <xf numFmtId="3" fontId="23" fillId="5" borderId="0" xfId="4" applyNumberFormat="1" applyFont="1" applyFill="1" applyAlignment="1">
      <alignment horizontal="right" vertical="top" wrapText="1"/>
    </xf>
    <xf numFmtId="3" fontId="23" fillId="5" borderId="0" xfId="0" applyNumberFormat="1" applyFont="1" applyFill="1" applyAlignment="1">
      <alignment horizontal="right"/>
    </xf>
    <xf numFmtId="3" fontId="9" fillId="5" borderId="0" xfId="4" applyNumberFormat="1" applyFont="1" applyFill="1" applyAlignment="1">
      <alignment horizontal="right" vertical="top" wrapText="1"/>
    </xf>
    <xf numFmtId="3" fontId="9" fillId="5" borderId="0" xfId="0" applyNumberFormat="1" applyFont="1" applyFill="1" applyAlignment="1">
      <alignment horizontal="right"/>
    </xf>
    <xf numFmtId="3" fontId="24" fillId="5" borderId="0" xfId="4" applyNumberFormat="1" applyFont="1" applyFill="1" applyAlignment="1">
      <alignment horizontal="right" vertical="top" wrapText="1"/>
    </xf>
    <xf numFmtId="3" fontId="24" fillId="5" borderId="0" xfId="0" applyNumberFormat="1" applyFont="1" applyFill="1" applyAlignment="1">
      <alignment horizontal="right"/>
    </xf>
    <xf numFmtId="3" fontId="23" fillId="5" borderId="0" xfId="4" applyNumberFormat="1" applyFont="1" applyFill="1" applyAlignment="1">
      <alignment horizontal="right"/>
    </xf>
    <xf numFmtId="3" fontId="23" fillId="5" borderId="0" xfId="4" applyNumberFormat="1" applyFont="1" applyFill="1" applyAlignment="1">
      <alignment horizontal="right" vertical="center"/>
    </xf>
    <xf numFmtId="3" fontId="9" fillId="5" borderId="0" xfId="4" applyNumberFormat="1" applyFont="1" applyFill="1" applyAlignment="1">
      <alignment horizontal="right"/>
    </xf>
    <xf numFmtId="3" fontId="9" fillId="5" borderId="0" xfId="4" applyNumberFormat="1" applyFont="1" applyFill="1" applyAlignment="1">
      <alignment horizontal="right" vertical="center"/>
    </xf>
    <xf numFmtId="0" fontId="23" fillId="5" borderId="0" xfId="4" applyFont="1" applyFill="1" applyAlignment="1">
      <alignment vertical="top" wrapText="1"/>
    </xf>
    <xf numFmtId="0" fontId="23" fillId="5" borderId="0" xfId="4" applyFont="1" applyFill="1" applyAlignment="1">
      <alignment horizontal="left" vertical="top" wrapText="1"/>
    </xf>
    <xf numFmtId="3" fontId="9" fillId="3" borderId="16" xfId="4" applyNumberFormat="1" applyFont="1" applyFill="1" applyBorder="1" applyAlignment="1">
      <alignment horizontal="right" vertical="center"/>
    </xf>
    <xf numFmtId="3" fontId="8" fillId="5" borderId="0" xfId="4" applyNumberFormat="1" applyFont="1" applyFill="1" applyAlignment="1">
      <alignment horizontal="right"/>
    </xf>
    <xf numFmtId="3" fontId="8" fillId="5" borderId="0" xfId="4" applyNumberFormat="1" applyFont="1" applyFill="1" applyAlignment="1">
      <alignment horizontal="right" vertical="center"/>
    </xf>
    <xf numFmtId="0" fontId="7" fillId="3" borderId="0" xfId="35" applyFont="1" applyFill="1" applyAlignment="1">
      <alignment vertical="top" wrapText="1"/>
    </xf>
    <xf numFmtId="0" fontId="23" fillId="5" borderId="0" xfId="37" applyFont="1" applyFill="1" applyAlignment="1">
      <alignment vertical="top" wrapText="1"/>
    </xf>
    <xf numFmtId="0" fontId="7" fillId="3" borderId="0" xfId="38" applyFont="1" applyFill="1" applyAlignment="1">
      <alignment vertical="top" wrapText="1"/>
    </xf>
    <xf numFmtId="0" fontId="7" fillId="3" borderId="0" xfId="39" applyFont="1" applyFill="1" applyAlignment="1">
      <alignment vertical="top" wrapText="1"/>
    </xf>
    <xf numFmtId="0" fontId="7" fillId="3" borderId="0" xfId="42" applyFont="1" applyFill="1" applyAlignment="1">
      <alignment horizontal="left" vertical="top" wrapText="1" indent="1"/>
    </xf>
    <xf numFmtId="167" fontId="23" fillId="5" borderId="0" xfId="2" applyNumberFormat="1" applyFont="1" applyFill="1" applyAlignment="1">
      <alignment horizontal="right" vertical="center"/>
    </xf>
    <xf numFmtId="167" fontId="7" fillId="3" borderId="0" xfId="2" applyNumberFormat="1" applyFont="1" applyFill="1" applyAlignment="1">
      <alignment horizontal="right" vertical="center"/>
    </xf>
    <xf numFmtId="167" fontId="7" fillId="3" borderId="0" xfId="2" applyNumberFormat="1" applyFont="1" applyFill="1" applyAlignment="1">
      <alignment horizontal="center" vertical="center"/>
    </xf>
    <xf numFmtId="0" fontId="23" fillId="3" borderId="0" xfId="6" applyFont="1" applyFill="1" applyAlignment="1">
      <alignment vertical="center" wrapText="1"/>
    </xf>
    <xf numFmtId="169" fontId="23" fillId="3" borderId="0" xfId="1" applyNumberFormat="1" applyFont="1" applyFill="1" applyAlignment="1">
      <alignment horizontal="left" vertical="center"/>
    </xf>
    <xf numFmtId="169" fontId="24" fillId="5" borderId="0" xfId="1" applyNumberFormat="1" applyFont="1" applyFill="1"/>
    <xf numFmtId="1" fontId="11" fillId="2" borderId="0" xfId="0" applyNumberFormat="1" applyFont="1" applyFill="1"/>
    <xf numFmtId="1" fontId="7" fillId="3" borderId="0" xfId="1" applyNumberFormat="1" applyFont="1" applyFill="1" applyAlignment="1">
      <alignment horizontal="right" vertical="center"/>
    </xf>
    <xf numFmtId="3" fontId="10" fillId="3" borderId="0" xfId="0" applyNumberFormat="1" applyFont="1" applyFill="1" applyAlignment="1">
      <alignment horizontal="center"/>
    </xf>
    <xf numFmtId="3" fontId="11" fillId="3" borderId="0" xfId="0" applyNumberFormat="1" applyFont="1" applyFill="1" applyAlignment="1">
      <alignment horizontal="center"/>
    </xf>
    <xf numFmtId="3" fontId="22" fillId="5" borderId="0" xfId="4" applyNumberFormat="1" applyFont="1" applyFill="1" applyAlignment="1">
      <alignment horizontal="left" vertical="top" wrapText="1"/>
    </xf>
    <xf numFmtId="3" fontId="22" fillId="5" borderId="0" xfId="1" applyNumberFormat="1" applyFont="1" applyFill="1" applyAlignment="1">
      <alignment horizontal="center" vertical="center"/>
    </xf>
    <xf numFmtId="3" fontId="22" fillId="5" borderId="0" xfId="1" applyNumberFormat="1" applyFont="1" applyFill="1" applyAlignment="1">
      <alignment horizontal="right" vertical="center"/>
    </xf>
    <xf numFmtId="3" fontId="22" fillId="5" borderId="0" xfId="1" applyNumberFormat="1" applyFont="1" applyFill="1" applyAlignment="1">
      <alignment vertical="center"/>
    </xf>
    <xf numFmtId="3" fontId="22" fillId="5" borderId="0" xfId="4" applyNumberFormat="1" applyFont="1" applyFill="1" applyAlignment="1">
      <alignment horizontal="left" vertical="center" wrapText="1"/>
    </xf>
    <xf numFmtId="3" fontId="23" fillId="5" borderId="0" xfId="11" applyNumberFormat="1" applyFont="1" applyFill="1" applyAlignment="1">
      <alignment vertical="top" wrapText="1"/>
    </xf>
    <xf numFmtId="3" fontId="7" fillId="3" borderId="0" xfId="2" applyNumberFormat="1" applyFont="1" applyFill="1" applyAlignment="1">
      <alignment horizontal="left" vertical="top" wrapText="1"/>
    </xf>
    <xf numFmtId="3" fontId="7" fillId="3" borderId="0" xfId="2" applyNumberFormat="1" applyFont="1" applyFill="1" applyAlignment="1">
      <alignment horizontal="left" vertical="top"/>
    </xf>
    <xf numFmtId="3" fontId="16" fillId="0" borderId="2" xfId="6" applyNumberFormat="1" applyFont="1" applyBorder="1" applyAlignment="1">
      <alignment horizontal="center" wrapText="1"/>
    </xf>
    <xf numFmtId="3" fontId="16" fillId="3" borderId="2" xfId="6" applyNumberFormat="1" applyFont="1" applyFill="1" applyBorder="1" applyAlignment="1">
      <alignment horizontal="center"/>
    </xf>
    <xf numFmtId="3" fontId="16" fillId="0" borderId="2" xfId="6" applyNumberFormat="1" applyFont="1" applyBorder="1" applyAlignment="1">
      <alignment horizontal="center"/>
    </xf>
    <xf numFmtId="3" fontId="16" fillId="3" borderId="2" xfId="6" applyNumberFormat="1" applyFont="1" applyFill="1" applyBorder="1" applyAlignment="1">
      <alignment wrapText="1"/>
    </xf>
    <xf numFmtId="3" fontId="16" fillId="3" borderId="2" xfId="6" applyNumberFormat="1" applyFont="1" applyFill="1" applyBorder="1" applyAlignment="1">
      <alignment horizontal="center" wrapText="1"/>
    </xf>
    <xf numFmtId="3" fontId="22" fillId="5" borderId="0" xfId="1" applyNumberFormat="1" applyFont="1" applyFill="1" applyAlignment="1">
      <alignment horizontal="center" wrapText="1"/>
    </xf>
    <xf numFmtId="3" fontId="16" fillId="3" borderId="0" xfId="1" applyNumberFormat="1" applyFont="1" applyFill="1" applyAlignment="1">
      <alignment horizontal="center" wrapText="1"/>
    </xf>
    <xf numFmtId="3" fontId="18" fillId="5" borderId="0" xfId="1" applyNumberFormat="1" applyFont="1" applyFill="1" applyAlignment="1">
      <alignment horizontal="center" wrapText="1"/>
    </xf>
    <xf numFmtId="3" fontId="16" fillId="5" borderId="0" xfId="1" applyNumberFormat="1" applyFont="1" applyFill="1" applyAlignment="1">
      <alignment horizontal="center" wrapText="1"/>
    </xf>
    <xf numFmtId="3" fontId="26" fillId="3" borderId="0" xfId="34" applyNumberFormat="1" applyFont="1" applyFill="1" applyAlignment="1">
      <alignment horizontal="center" wrapText="1"/>
    </xf>
    <xf numFmtId="3" fontId="14" fillId="3" borderId="0" xfId="0" applyNumberFormat="1" applyFont="1" applyFill="1" applyAlignment="1">
      <alignment horizontal="center" wrapText="1"/>
    </xf>
    <xf numFmtId="0" fontId="14" fillId="2" borderId="0" xfId="0" applyFont="1" applyFill="1" applyAlignment="1">
      <alignment wrapText="1"/>
    </xf>
    <xf numFmtId="3" fontId="7" fillId="3" borderId="0" xfId="2" applyNumberFormat="1" applyFont="1" applyFill="1" applyAlignment="1">
      <alignment horizontal="left" vertical="top" wrapText="1" indent="1"/>
    </xf>
    <xf numFmtId="174" fontId="6" fillId="3" borderId="0" xfId="1" applyNumberFormat="1" applyFont="1" applyFill="1" applyAlignment="1">
      <alignment horizontal="center" vertical="center"/>
    </xf>
    <xf numFmtId="174" fontId="7" fillId="3" borderId="0" xfId="1" applyNumberFormat="1" applyFont="1" applyFill="1" applyAlignment="1">
      <alignment horizontal="center" vertical="center"/>
    </xf>
    <xf numFmtId="3" fontId="7" fillId="3" borderId="0" xfId="40" applyNumberFormat="1" applyFont="1" applyFill="1" applyAlignment="1">
      <alignment horizontal="center" vertical="center"/>
    </xf>
    <xf numFmtId="3" fontId="23" fillId="5" borderId="0" xfId="40" applyNumberFormat="1" applyFont="1" applyFill="1" applyAlignment="1">
      <alignment horizontal="center" vertical="center"/>
    </xf>
    <xf numFmtId="3" fontId="6" fillId="3" borderId="0" xfId="40" applyNumberFormat="1" applyFont="1" applyFill="1" applyAlignment="1">
      <alignment horizontal="center" vertical="center"/>
    </xf>
    <xf numFmtId="3" fontId="23" fillId="5" borderId="0" xfId="41" applyNumberFormat="1" applyFont="1" applyFill="1" applyAlignment="1">
      <alignment horizontal="right" vertical="center"/>
    </xf>
    <xf numFmtId="3" fontId="7" fillId="3" borderId="0" xfId="41" applyNumberFormat="1" applyFont="1" applyFill="1" applyAlignment="1">
      <alignment horizontal="right" vertical="center"/>
    </xf>
    <xf numFmtId="3" fontId="6" fillId="3" borderId="0" xfId="41" applyNumberFormat="1" applyFont="1" applyFill="1" applyAlignment="1">
      <alignment horizontal="right" vertical="center"/>
    </xf>
    <xf numFmtId="3" fontId="23" fillId="5" borderId="0" xfId="42" applyNumberFormat="1" applyFont="1" applyFill="1" applyAlignment="1">
      <alignment horizontal="center" vertical="center"/>
    </xf>
    <xf numFmtId="3" fontId="6" fillId="3" borderId="0" xfId="42" applyNumberFormat="1" applyFont="1" applyFill="1" applyAlignment="1">
      <alignment horizontal="center" vertical="center"/>
    </xf>
    <xf numFmtId="3" fontId="7" fillId="3" borderId="0" xfId="42" applyNumberFormat="1" applyFont="1" applyFill="1" applyAlignment="1">
      <alignment horizontal="center" vertical="center"/>
    </xf>
    <xf numFmtId="3" fontId="23" fillId="5" borderId="0" xfId="43" applyNumberFormat="1" applyFont="1" applyFill="1" applyAlignment="1">
      <alignment horizontal="right" vertical="center"/>
    </xf>
    <xf numFmtId="3" fontId="24" fillId="5" borderId="0" xfId="0" applyNumberFormat="1" applyFont="1" applyFill="1" applyAlignment="1">
      <alignment horizontal="center"/>
    </xf>
    <xf numFmtId="3" fontId="7" fillId="3" borderId="0" xfId="43" applyNumberFormat="1" applyFont="1" applyFill="1" applyAlignment="1">
      <alignment horizontal="right" vertical="center"/>
    </xf>
    <xf numFmtId="3" fontId="6" fillId="3" borderId="0" xfId="43" applyNumberFormat="1" applyFont="1" applyFill="1" applyAlignment="1">
      <alignment horizontal="right" vertical="center"/>
    </xf>
    <xf numFmtId="174" fontId="10" fillId="3" borderId="0" xfId="1" applyNumberFormat="1" applyFont="1" applyFill="1" applyBorder="1" applyAlignment="1">
      <alignment horizontal="right" vertical="center"/>
    </xf>
    <xf numFmtId="174" fontId="23" fillId="5" borderId="0" xfId="1" applyNumberFormat="1" applyFont="1" applyFill="1" applyBorder="1" applyAlignment="1">
      <alignment vertical="top" wrapText="1"/>
    </xf>
    <xf numFmtId="174" fontId="7" fillId="3" borderId="2" xfId="1" applyNumberFormat="1" applyFont="1" applyFill="1" applyBorder="1" applyAlignment="1">
      <alignment horizontal="right" vertical="center"/>
    </xf>
    <xf numFmtId="0" fontId="26" fillId="3" borderId="3" xfId="44" applyFont="1" applyFill="1" applyBorder="1" applyAlignment="1">
      <alignment horizontal="center" wrapText="1"/>
    </xf>
    <xf numFmtId="0" fontId="26" fillId="3" borderId="2" xfId="44" applyFont="1" applyFill="1" applyBorder="1" applyAlignment="1">
      <alignment wrapText="1"/>
    </xf>
    <xf numFmtId="0" fontId="26" fillId="3" borderId="16" xfId="44" applyFont="1" applyFill="1" applyBorder="1" applyAlignment="1">
      <alignment horizontal="center" wrapText="1"/>
    </xf>
    <xf numFmtId="0" fontId="26" fillId="3" borderId="2" xfId="44" applyFont="1" applyFill="1" applyBorder="1" applyAlignment="1">
      <alignment horizontal="center" wrapText="1"/>
    </xf>
    <xf numFmtId="167" fontId="22" fillId="5" borderId="0" xfId="44" applyNumberFormat="1" applyFont="1" applyFill="1" applyAlignment="1">
      <alignment horizontal="right" vertical="center"/>
    </xf>
    <xf numFmtId="167" fontId="15" fillId="3" borderId="0" xfId="44" applyNumberFormat="1" applyFont="1" applyFill="1" applyAlignment="1">
      <alignment horizontal="right" vertical="center"/>
    </xf>
    <xf numFmtId="167" fontId="16" fillId="3" borderId="0" xfId="44" applyNumberFormat="1" applyFont="1" applyFill="1" applyAlignment="1">
      <alignment horizontal="right" vertical="center"/>
    </xf>
    <xf numFmtId="0" fontId="22" fillId="5" borderId="0" xfId="44" applyFont="1" applyFill="1" applyAlignment="1">
      <alignment vertical="top" wrapText="1"/>
    </xf>
    <xf numFmtId="0" fontId="15" fillId="3" borderId="0" xfId="44" applyFont="1" applyFill="1" applyAlignment="1">
      <alignment vertical="top" wrapText="1"/>
    </xf>
    <xf numFmtId="0" fontId="16" fillId="3" borderId="0" xfId="44" applyFont="1" applyFill="1" applyAlignment="1">
      <alignment horizontal="left" vertical="top" wrapText="1" indent="1"/>
    </xf>
    <xf numFmtId="0" fontId="22" fillId="5" borderId="0" xfId="16" applyFont="1" applyFill="1" applyAlignment="1">
      <alignment vertical="top"/>
    </xf>
    <xf numFmtId="174" fontId="22" fillId="5" borderId="0" xfId="1" applyNumberFormat="1" applyFont="1" applyFill="1" applyAlignment="1">
      <alignment horizontal="right" vertical="center"/>
    </xf>
    <xf numFmtId="174" fontId="15" fillId="3" borderId="0" xfId="1" applyNumberFormat="1" applyFont="1" applyFill="1" applyAlignment="1">
      <alignment horizontal="right" vertical="center"/>
    </xf>
    <xf numFmtId="174" fontId="16" fillId="3" borderId="0" xfId="1" applyNumberFormat="1" applyFont="1" applyFill="1" applyAlignment="1">
      <alignment horizontal="right" vertical="center"/>
    </xf>
    <xf numFmtId="3" fontId="23" fillId="5" borderId="0" xfId="6" applyNumberFormat="1" applyFont="1" applyFill="1" applyAlignment="1">
      <alignment horizontal="center" vertical="center"/>
    </xf>
    <xf numFmtId="3" fontId="6" fillId="3" borderId="0" xfId="5" applyNumberFormat="1" applyFont="1" applyFill="1" applyAlignment="1">
      <alignment horizontal="center" vertical="center"/>
    </xf>
    <xf numFmtId="3" fontId="23" fillId="5" borderId="0" xfId="5" applyNumberFormat="1" applyFont="1" applyFill="1" applyAlignment="1">
      <alignment horizontal="center" vertical="center"/>
    </xf>
    <xf numFmtId="3" fontId="7" fillId="3" borderId="0" xfId="5" applyNumberFormat="1" applyFont="1" applyFill="1" applyAlignment="1">
      <alignment horizontal="center" vertical="center"/>
    </xf>
    <xf numFmtId="169" fontId="11" fillId="3" borderId="0" xfId="1" applyNumberFormat="1" applyFont="1" applyFill="1" applyAlignment="1">
      <alignment horizontal="center"/>
    </xf>
    <xf numFmtId="0" fontId="7" fillId="3" borderId="0" xfId="6" applyFont="1" applyFill="1" applyAlignment="1">
      <alignment horizontal="right" wrapText="1"/>
    </xf>
    <xf numFmtId="0" fontId="7" fillId="3" borderId="2" xfId="19" applyFont="1" applyFill="1" applyBorder="1" applyAlignment="1">
      <alignment horizontal="center" wrapText="1"/>
    </xf>
    <xf numFmtId="0" fontId="6" fillId="3" borderId="0" xfId="23" applyFont="1" applyFill="1" applyAlignment="1">
      <alignment horizontal="center" vertical="center" wrapText="1"/>
    </xf>
    <xf numFmtId="0" fontId="7" fillId="3" borderId="2" xfId="23" applyFont="1" applyFill="1" applyBorder="1" applyAlignment="1">
      <alignment horizontal="center" wrapText="1"/>
    </xf>
    <xf numFmtId="0" fontId="7" fillId="3" borderId="2" xfId="33" applyFont="1" applyFill="1" applyBorder="1" applyAlignment="1">
      <alignment horizontal="center" wrapText="1"/>
    </xf>
    <xf numFmtId="0" fontId="23" fillId="5" borderId="0" xfId="39" applyFont="1" applyFill="1" applyAlignment="1">
      <alignment vertical="top" wrapText="1"/>
    </xf>
    <xf numFmtId="0" fontId="23" fillId="5" borderId="0" xfId="40" applyFont="1" applyFill="1" applyAlignment="1">
      <alignment vertical="top" wrapText="1"/>
    </xf>
    <xf numFmtId="0" fontId="7" fillId="3" borderId="0" xfId="16" applyFont="1" applyFill="1" applyAlignment="1">
      <alignment horizontal="center" wrapText="1"/>
    </xf>
    <xf numFmtId="0" fontId="7" fillId="3" borderId="2" xfId="19" applyFont="1" applyFill="1" applyBorder="1" applyAlignment="1">
      <alignment horizontal="center" wrapText="1"/>
    </xf>
    <xf numFmtId="0" fontId="6" fillId="3" borderId="0" xfId="23" applyFont="1" applyFill="1" applyAlignment="1">
      <alignment horizontal="center" vertical="center" wrapText="1"/>
    </xf>
    <xf numFmtId="0" fontId="7" fillId="3" borderId="2" xfId="23" applyFont="1" applyFill="1" applyBorder="1" applyAlignment="1">
      <alignment horizontal="center" wrapText="1"/>
    </xf>
    <xf numFmtId="0" fontId="7" fillId="3" borderId="0" xfId="40" applyFont="1" applyFill="1" applyAlignment="1">
      <alignment horizontal="center" wrapText="1"/>
    </xf>
    <xf numFmtId="0" fontId="7" fillId="3" borderId="2" xfId="40" applyFont="1" applyFill="1" applyBorder="1" applyAlignment="1">
      <alignment horizontal="center" wrapText="1"/>
    </xf>
    <xf numFmtId="0" fontId="7" fillId="3" borderId="16" xfId="40" applyFont="1" applyFill="1" applyBorder="1" applyAlignment="1">
      <alignment horizontal="center" wrapText="1"/>
    </xf>
    <xf numFmtId="0" fontId="7" fillId="3" borderId="0" xfId="41" applyFont="1" applyFill="1" applyAlignment="1">
      <alignment horizontal="center" wrapText="1"/>
    </xf>
    <xf numFmtId="0" fontId="7" fillId="3" borderId="2" xfId="41" applyFont="1" applyFill="1" applyBorder="1" applyAlignment="1">
      <alignment horizontal="center" wrapText="1"/>
    </xf>
    <xf numFmtId="0" fontId="7" fillId="3" borderId="16" xfId="41" applyFont="1" applyFill="1" applyBorder="1" applyAlignment="1">
      <alignment horizontal="center" wrapText="1"/>
    </xf>
    <xf numFmtId="0" fontId="7" fillId="3" borderId="3" xfId="43" applyFont="1" applyFill="1" applyBorder="1" applyAlignment="1">
      <alignment horizontal="center" wrapText="1"/>
    </xf>
    <xf numFmtId="0" fontId="27" fillId="3" borderId="0" xfId="44" applyFont="1" applyFill="1" applyAlignment="1">
      <alignment horizontal="center" vertical="center" wrapText="1"/>
    </xf>
    <xf numFmtId="0" fontId="7" fillId="3" borderId="16" xfId="55" applyFont="1" applyFill="1" applyBorder="1" applyAlignment="1">
      <alignment horizontal="center" wrapText="1"/>
    </xf>
    <xf numFmtId="0" fontId="6" fillId="3" borderId="0" xfId="57" applyFont="1" applyFill="1" applyAlignment="1">
      <alignment horizontal="center" vertical="center" wrapText="1"/>
    </xf>
    <xf numFmtId="0" fontId="7" fillId="3" borderId="2" xfId="59" applyFont="1" applyFill="1" applyBorder="1" applyAlignment="1">
      <alignment horizontal="center" wrapText="1"/>
    </xf>
    <xf numFmtId="0" fontId="7" fillId="3" borderId="2" xfId="27" applyFont="1" applyFill="1" applyBorder="1" applyAlignment="1">
      <alignment horizontal="center" wrapText="1"/>
    </xf>
    <xf numFmtId="0" fontId="7" fillId="3" borderId="5" xfId="7" applyFont="1" applyFill="1" applyBorder="1" applyAlignment="1">
      <alignment horizontal="center" wrapText="1"/>
    </xf>
    <xf numFmtId="0" fontId="7" fillId="3" borderId="0" xfId="16" applyFont="1" applyFill="1" applyBorder="1" applyAlignment="1">
      <alignment horizontal="center" wrapText="1"/>
    </xf>
    <xf numFmtId="0" fontId="7" fillId="3" borderId="2" xfId="5" applyFont="1" applyFill="1" applyBorder="1" applyAlignment="1">
      <alignment wrapText="1"/>
    </xf>
    <xf numFmtId="0" fontId="7" fillId="3" borderId="2" xfId="5" applyFont="1" applyFill="1" applyBorder="1" applyAlignment="1">
      <alignment horizontal="center" wrapText="1"/>
    </xf>
    <xf numFmtId="0" fontId="9" fillId="3" borderId="0" xfId="20" applyFont="1" applyFill="1" applyBorder="1" applyAlignment="1">
      <alignment horizontal="center" vertical="center" wrapText="1"/>
    </xf>
    <xf numFmtId="0" fontId="7" fillId="3" borderId="0" xfId="17" applyFont="1" applyFill="1" applyBorder="1" applyAlignment="1">
      <alignment horizontal="center" wrapText="1"/>
    </xf>
    <xf numFmtId="0" fontId="7" fillId="3" borderId="0" xfId="21" applyFont="1" applyFill="1" applyBorder="1" applyAlignment="1">
      <alignment horizontal="center" wrapText="1"/>
    </xf>
    <xf numFmtId="0" fontId="7" fillId="3" borderId="0" xfId="19" applyFont="1" applyFill="1" applyBorder="1" applyAlignment="1">
      <alignment horizontal="center" wrapText="1"/>
    </xf>
    <xf numFmtId="0" fontId="7" fillId="3" borderId="2" xfId="23" applyFont="1" applyFill="1" applyBorder="1" applyAlignment="1">
      <alignment wrapText="1"/>
    </xf>
    <xf numFmtId="0" fontId="7" fillId="3" borderId="0" xfId="23" applyFont="1" applyFill="1" applyBorder="1" applyAlignment="1">
      <alignment horizontal="center" wrapText="1"/>
    </xf>
    <xf numFmtId="0" fontId="7" fillId="3" borderId="0" xfId="33" applyFont="1" applyFill="1" applyBorder="1" applyAlignment="1">
      <alignment horizontal="center" wrapText="1"/>
    </xf>
    <xf numFmtId="0" fontId="7" fillId="3" borderId="0" xfId="40" applyFont="1" applyFill="1" applyAlignment="1">
      <alignment vertical="top" wrapText="1"/>
    </xf>
    <xf numFmtId="0" fontId="23" fillId="5" borderId="0" xfId="16" applyFont="1" applyFill="1" applyAlignment="1">
      <alignment horizontal="left" vertical="top"/>
    </xf>
    <xf numFmtId="0" fontId="7" fillId="3" borderId="3" xfId="6" applyFont="1" applyFill="1" applyBorder="1" applyAlignment="1">
      <alignment horizontal="center" wrapText="1"/>
    </xf>
    <xf numFmtId="0" fontId="10" fillId="3" borderId="17" xfId="0" applyFont="1" applyFill="1" applyBorder="1" applyAlignment="1">
      <alignment horizontal="left" vertical="center"/>
    </xf>
    <xf numFmtId="0" fontId="10" fillId="3" borderId="8" xfId="0" applyFont="1" applyFill="1" applyBorder="1" applyAlignment="1">
      <alignment horizontal="left" vertical="center"/>
    </xf>
    <xf numFmtId="0" fontId="11" fillId="5" borderId="19" xfId="0" applyFont="1" applyFill="1" applyBorder="1" applyAlignment="1">
      <alignment horizontal="left"/>
    </xf>
    <xf numFmtId="0" fontId="7" fillId="3" borderId="2" xfId="11" applyFont="1" applyFill="1" applyBorder="1" applyAlignment="1">
      <alignment horizontal="center" wrapText="1"/>
    </xf>
    <xf numFmtId="2" fontId="11" fillId="2" borderId="0" xfId="0" applyNumberFormat="1" applyFont="1" applyFill="1"/>
    <xf numFmtId="169" fontId="23" fillId="5" borderId="0" xfId="1" applyNumberFormat="1" applyFont="1" applyFill="1" applyBorder="1" applyAlignment="1">
      <alignment horizontal="center" vertical="center"/>
    </xf>
    <xf numFmtId="167" fontId="23" fillId="5" borderId="0" xfId="5" applyNumberFormat="1" applyFont="1" applyFill="1" applyAlignment="1">
      <alignment horizontal="center" vertical="center"/>
    </xf>
    <xf numFmtId="173" fontId="23" fillId="5" borderId="0" xfId="5" applyNumberFormat="1" applyFont="1" applyFill="1" applyAlignment="1">
      <alignment horizontal="center" vertical="center"/>
    </xf>
    <xf numFmtId="171" fontId="23" fillId="5" borderId="0" xfId="5" applyNumberFormat="1" applyFont="1" applyFill="1" applyAlignment="1">
      <alignment horizontal="center" vertical="center"/>
    </xf>
    <xf numFmtId="169" fontId="6" fillId="3" borderId="0" xfId="1" applyNumberFormat="1" applyFont="1" applyFill="1" applyBorder="1" applyAlignment="1">
      <alignment horizontal="center" vertical="center"/>
    </xf>
    <xf numFmtId="167" fontId="6" fillId="3" borderId="0" xfId="5" applyNumberFormat="1" applyFont="1" applyFill="1" applyAlignment="1">
      <alignment horizontal="center" vertical="center"/>
    </xf>
    <xf numFmtId="173" fontId="6" fillId="3" borderId="0" xfId="5" applyNumberFormat="1" applyFont="1" applyFill="1" applyAlignment="1">
      <alignment horizontal="center" vertical="center"/>
    </xf>
    <xf numFmtId="171" fontId="6" fillId="3" borderId="0" xfId="5" applyNumberFormat="1" applyFont="1" applyFill="1" applyAlignment="1">
      <alignment horizontal="center" vertical="center"/>
    </xf>
    <xf numFmtId="169" fontId="7" fillId="3" borderId="0" xfId="1" applyNumberFormat="1" applyFont="1" applyFill="1" applyBorder="1" applyAlignment="1">
      <alignment horizontal="center" vertical="center"/>
    </xf>
    <xf numFmtId="167" fontId="7" fillId="3" borderId="0" xfId="5" applyNumberFormat="1" applyFont="1" applyFill="1" applyAlignment="1">
      <alignment horizontal="center" vertical="center"/>
    </xf>
    <xf numFmtId="173" fontId="7" fillId="3" borderId="0" xfId="5" applyNumberFormat="1" applyFont="1" applyFill="1" applyAlignment="1">
      <alignment horizontal="center" vertical="center"/>
    </xf>
    <xf numFmtId="171" fontId="7" fillId="3" borderId="0" xfId="5" applyNumberFormat="1" applyFont="1" applyFill="1" applyAlignment="1">
      <alignment horizontal="center" vertical="center"/>
    </xf>
    <xf numFmtId="174" fontId="23" fillId="5" borderId="0" xfId="1" applyNumberFormat="1" applyFont="1" applyFill="1" applyAlignment="1">
      <alignment horizontal="center" vertical="center"/>
    </xf>
    <xf numFmtId="174" fontId="24" fillId="5" borderId="0" xfId="1" applyNumberFormat="1" applyFont="1" applyFill="1" applyBorder="1" applyAlignment="1">
      <alignment horizontal="center" vertical="center"/>
    </xf>
    <xf numFmtId="174" fontId="11" fillId="3" borderId="0" xfId="1" applyNumberFormat="1" applyFont="1" applyFill="1" applyBorder="1" applyAlignment="1">
      <alignment horizontal="center" vertical="center"/>
    </xf>
    <xf numFmtId="2" fontId="23" fillId="5" borderId="0" xfId="1" applyNumberFormat="1" applyFont="1" applyFill="1" applyAlignment="1">
      <alignment horizontal="center" vertical="center"/>
    </xf>
    <xf numFmtId="2" fontId="6" fillId="3" borderId="0" xfId="1" applyNumberFormat="1" applyFont="1" applyFill="1" applyAlignment="1">
      <alignment horizontal="center" vertical="center"/>
    </xf>
    <xf numFmtId="2" fontId="24" fillId="5" borderId="0" xfId="1" applyNumberFormat="1" applyFont="1" applyFill="1" applyAlignment="1">
      <alignment horizontal="center" vertical="center"/>
    </xf>
    <xf numFmtId="2" fontId="7" fillId="3" borderId="0" xfId="1" applyNumberFormat="1" applyFont="1" applyFill="1" applyAlignment="1">
      <alignment horizontal="center" vertical="center"/>
    </xf>
    <xf numFmtId="2" fontId="11" fillId="3" borderId="0" xfId="1" applyNumberFormat="1" applyFont="1" applyFill="1" applyAlignment="1">
      <alignment horizontal="center" vertical="center"/>
    </xf>
    <xf numFmtId="172" fontId="23" fillId="5" borderId="0" xfId="1" applyNumberFormat="1" applyFont="1" applyFill="1" applyAlignment="1">
      <alignment horizontal="center" vertical="center"/>
    </xf>
    <xf numFmtId="172" fontId="6" fillId="3" borderId="0" xfId="1" applyNumberFormat="1" applyFont="1" applyFill="1" applyAlignment="1">
      <alignment horizontal="center" vertical="center"/>
    </xf>
    <xf numFmtId="172" fontId="24" fillId="5" borderId="0" xfId="1" applyNumberFormat="1" applyFont="1" applyFill="1" applyAlignment="1">
      <alignment horizontal="center" vertical="center"/>
    </xf>
    <xf numFmtId="172" fontId="7" fillId="3" borderId="0" xfId="1" applyNumberFormat="1" applyFont="1" applyFill="1" applyAlignment="1">
      <alignment horizontal="center" vertical="center"/>
    </xf>
    <xf numFmtId="172" fontId="11" fillId="3" borderId="0" xfId="1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/>
    </xf>
    <xf numFmtId="0" fontId="24" fillId="5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9" fillId="3" borderId="0" xfId="20" applyFont="1" applyFill="1" applyBorder="1" applyAlignment="1">
      <alignment horizontal="center" wrapText="1"/>
    </xf>
    <xf numFmtId="167" fontId="23" fillId="5" borderId="0" xfId="18" applyNumberFormat="1" applyFont="1" applyFill="1" applyAlignment="1">
      <alignment horizontal="center" vertical="center"/>
    </xf>
    <xf numFmtId="167" fontId="7" fillId="3" borderId="0" xfId="18" applyNumberFormat="1" applyFont="1" applyFill="1" applyAlignment="1">
      <alignment horizontal="center" vertical="center"/>
    </xf>
    <xf numFmtId="167" fontId="6" fillId="3" borderId="0" xfId="18" applyNumberFormat="1" applyFont="1" applyFill="1" applyAlignment="1">
      <alignment horizontal="center" vertical="center"/>
    </xf>
    <xf numFmtId="169" fontId="24" fillId="5" borderId="0" xfId="1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3" fontId="23" fillId="5" borderId="0" xfId="41" applyNumberFormat="1" applyFont="1" applyFill="1" applyAlignment="1">
      <alignment horizontal="center" vertical="center"/>
    </xf>
    <xf numFmtId="3" fontId="7" fillId="3" borderId="0" xfId="41" applyNumberFormat="1" applyFont="1" applyFill="1" applyAlignment="1">
      <alignment horizontal="center" vertical="center"/>
    </xf>
    <xf numFmtId="3" fontId="6" fillId="3" borderId="0" xfId="41" applyNumberFormat="1" applyFont="1" applyFill="1" applyAlignment="1">
      <alignment horizontal="center" vertical="center"/>
    </xf>
    <xf numFmtId="3" fontId="23" fillId="5" borderId="0" xfId="43" applyNumberFormat="1" applyFont="1" applyFill="1" applyAlignment="1">
      <alignment horizontal="center" vertical="center"/>
    </xf>
    <xf numFmtId="3" fontId="7" fillId="3" borderId="0" xfId="43" applyNumberFormat="1" applyFont="1" applyFill="1" applyAlignment="1">
      <alignment horizontal="center" vertical="center"/>
    </xf>
    <xf numFmtId="3" fontId="6" fillId="3" borderId="0" xfId="43" applyNumberFormat="1" applyFont="1" applyFill="1" applyAlignment="1">
      <alignment horizontal="center" vertical="center"/>
    </xf>
    <xf numFmtId="168" fontId="23" fillId="5" borderId="0" xfId="43" applyNumberFormat="1" applyFont="1" applyFill="1" applyAlignment="1">
      <alignment horizontal="center" vertical="center"/>
    </xf>
    <xf numFmtId="168" fontId="7" fillId="3" borderId="0" xfId="43" applyNumberFormat="1" applyFont="1" applyFill="1" applyAlignment="1">
      <alignment horizontal="center" vertical="center"/>
    </xf>
    <xf numFmtId="168" fontId="6" fillId="3" borderId="0" xfId="43" applyNumberFormat="1" applyFont="1" applyFill="1" applyAlignment="1">
      <alignment horizontal="center" vertical="center"/>
    </xf>
    <xf numFmtId="168" fontId="11" fillId="3" borderId="0" xfId="0" applyNumberFormat="1" applyFont="1" applyFill="1" applyAlignment="1">
      <alignment horizontal="center"/>
    </xf>
    <xf numFmtId="4" fontId="10" fillId="3" borderId="0" xfId="0" applyNumberFormat="1" applyFont="1" applyFill="1" applyAlignment="1">
      <alignment horizontal="center"/>
    </xf>
    <xf numFmtId="4" fontId="10" fillId="5" borderId="0" xfId="0" applyNumberFormat="1" applyFont="1" applyFill="1" applyAlignment="1">
      <alignment horizontal="center"/>
    </xf>
    <xf numFmtId="4" fontId="11" fillId="3" borderId="0" xfId="0" applyNumberFormat="1" applyFont="1" applyFill="1" applyAlignment="1">
      <alignment horizontal="center"/>
    </xf>
    <xf numFmtId="4" fontId="23" fillId="5" borderId="0" xfId="0" applyNumberFormat="1" applyFont="1" applyFill="1" applyAlignment="1">
      <alignment horizontal="center"/>
    </xf>
    <xf numFmtId="174" fontId="22" fillId="5" borderId="0" xfId="1" applyNumberFormat="1" applyFont="1" applyFill="1" applyAlignment="1">
      <alignment horizontal="center" vertical="center"/>
    </xf>
    <xf numFmtId="174" fontId="15" fillId="3" borderId="0" xfId="1" applyNumberFormat="1" applyFont="1" applyFill="1" applyAlignment="1">
      <alignment horizontal="center" vertical="center"/>
    </xf>
    <xf numFmtId="174" fontId="16" fillId="3" borderId="0" xfId="1" applyNumberFormat="1" applyFont="1" applyFill="1" applyAlignment="1">
      <alignment horizontal="center" vertical="center"/>
    </xf>
    <xf numFmtId="167" fontId="22" fillId="5" borderId="0" xfId="44" applyNumberFormat="1" applyFont="1" applyFill="1" applyAlignment="1">
      <alignment horizontal="center" vertical="center"/>
    </xf>
    <xf numFmtId="2" fontId="28" fillId="5" borderId="0" xfId="0" applyNumberFormat="1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9" fillId="5" borderId="0" xfId="0" applyFont="1" applyFill="1" applyAlignment="1">
      <alignment horizontal="center"/>
    </xf>
    <xf numFmtId="2" fontId="14" fillId="3" borderId="0" xfId="0" applyNumberFormat="1" applyFont="1" applyFill="1" applyAlignment="1">
      <alignment horizontal="center"/>
    </xf>
    <xf numFmtId="173" fontId="22" fillId="5" borderId="0" xfId="44" applyNumberFormat="1" applyFont="1" applyFill="1" applyAlignment="1">
      <alignment horizontal="center" vertical="center"/>
    </xf>
    <xf numFmtId="173" fontId="15" fillId="3" borderId="0" xfId="44" applyNumberFormat="1" applyFont="1" applyFill="1" applyAlignment="1">
      <alignment horizontal="center" vertical="center"/>
    </xf>
    <xf numFmtId="173" fontId="16" fillId="3" borderId="0" xfId="44" applyNumberFormat="1" applyFont="1" applyFill="1" applyAlignment="1">
      <alignment horizontal="center" vertical="center"/>
    </xf>
    <xf numFmtId="172" fontId="6" fillId="3" borderId="0" xfId="1" applyNumberFormat="1" applyFont="1" applyFill="1" applyAlignment="1">
      <alignment horizontal="right" vertical="center"/>
    </xf>
    <xf numFmtId="172" fontId="7" fillId="3" borderId="0" xfId="1" applyNumberFormat="1" applyFont="1" applyFill="1" applyAlignment="1">
      <alignment horizontal="right" vertical="center"/>
    </xf>
    <xf numFmtId="1" fontId="6" fillId="3" borderId="0" xfId="1" applyNumberFormat="1" applyFont="1" applyFill="1" applyAlignment="1">
      <alignment horizontal="right" vertical="center"/>
    </xf>
    <xf numFmtId="1" fontId="6" fillId="3" borderId="0" xfId="1" applyNumberFormat="1" applyFont="1" applyFill="1" applyAlignment="1">
      <alignment horizontal="center" vertical="center"/>
    </xf>
    <xf numFmtId="1" fontId="7" fillId="3" borderId="0" xfId="1" applyNumberFormat="1" applyFont="1" applyFill="1" applyAlignment="1">
      <alignment horizontal="center" vertical="center"/>
    </xf>
    <xf numFmtId="1" fontId="23" fillId="5" borderId="0" xfId="1" applyNumberFormat="1" applyFont="1" applyFill="1" applyBorder="1" applyAlignment="1">
      <alignment horizontal="right" vertical="center"/>
    </xf>
    <xf numFmtId="1" fontId="23" fillId="5" borderId="0" xfId="1" applyNumberFormat="1" applyFont="1" applyFill="1" applyAlignment="1">
      <alignment horizontal="right" vertical="center"/>
    </xf>
    <xf numFmtId="1" fontId="23" fillId="5" borderId="0" xfId="1" applyNumberFormat="1" applyFont="1" applyFill="1" applyBorder="1" applyAlignment="1">
      <alignment horizontal="center" vertical="center"/>
    </xf>
    <xf numFmtId="1" fontId="23" fillId="3" borderId="0" xfId="1" applyNumberFormat="1" applyFont="1" applyFill="1" applyBorder="1" applyAlignment="1">
      <alignment horizontal="center" vertical="center"/>
    </xf>
    <xf numFmtId="1" fontId="23" fillId="5" borderId="0" xfId="1" applyNumberFormat="1" applyFont="1" applyFill="1" applyAlignment="1">
      <alignment horizontal="center" vertical="center"/>
    </xf>
    <xf numFmtId="1" fontId="7" fillId="3" borderId="0" xfId="1" applyNumberFormat="1" applyFont="1" applyFill="1" applyBorder="1" applyAlignment="1">
      <alignment horizontal="right" vertical="center"/>
    </xf>
    <xf numFmtId="1" fontId="6" fillId="3" borderId="0" xfId="1" applyNumberFormat="1" applyFont="1" applyFill="1" applyBorder="1" applyAlignment="1">
      <alignment horizontal="right" vertical="center"/>
    </xf>
    <xf numFmtId="1" fontId="7" fillId="3" borderId="0" xfId="1" applyNumberFormat="1" applyFont="1" applyFill="1" applyBorder="1" applyAlignment="1">
      <alignment horizontal="center" vertical="center"/>
    </xf>
    <xf numFmtId="1" fontId="6" fillId="3" borderId="0" xfId="1" applyNumberFormat="1" applyFont="1" applyFill="1" applyBorder="1" applyAlignment="1">
      <alignment horizontal="center" vertical="center"/>
    </xf>
    <xf numFmtId="1" fontId="7" fillId="3" borderId="0" xfId="1" applyNumberFormat="1" applyFont="1" applyFill="1" applyBorder="1" applyAlignment="1">
      <alignment vertical="center"/>
    </xf>
    <xf numFmtId="1" fontId="6" fillId="3" borderId="0" xfId="1" applyNumberFormat="1" applyFont="1" applyFill="1" applyBorder="1" applyAlignment="1">
      <alignment vertical="center"/>
    </xf>
    <xf numFmtId="166" fontId="6" fillId="3" borderId="0" xfId="1" applyNumberFormat="1" applyFont="1" applyFill="1" applyBorder="1" applyAlignment="1">
      <alignment horizontal="center" vertical="center"/>
    </xf>
    <xf numFmtId="166" fontId="7" fillId="3" borderId="0" xfId="1" applyNumberFormat="1" applyFont="1" applyFill="1" applyBorder="1" applyAlignment="1">
      <alignment horizontal="center" vertical="center"/>
    </xf>
    <xf numFmtId="1" fontId="10" fillId="3" borderId="0" xfId="1" applyNumberFormat="1" applyFont="1" applyFill="1" applyAlignment="1">
      <alignment horizontal="center" vertical="center"/>
    </xf>
    <xf numFmtId="166" fontId="23" fillId="5" borderId="0" xfId="1" applyNumberFormat="1" applyFont="1" applyFill="1" applyBorder="1" applyAlignment="1">
      <alignment horizontal="right" vertical="center"/>
    </xf>
    <xf numFmtId="166" fontId="6" fillId="3" borderId="0" xfId="1" applyNumberFormat="1" applyFont="1" applyFill="1" applyBorder="1" applyAlignment="1">
      <alignment horizontal="right" vertical="center"/>
    </xf>
    <xf numFmtId="166" fontId="7" fillId="3" borderId="0" xfId="1" applyNumberFormat="1" applyFont="1" applyFill="1" applyBorder="1" applyAlignment="1">
      <alignment horizontal="right" vertical="center"/>
    </xf>
    <xf numFmtId="166" fontId="23" fillId="5" borderId="0" xfId="1" applyNumberFormat="1" applyFont="1" applyFill="1" applyBorder="1" applyAlignment="1">
      <alignment horizontal="center" vertical="center"/>
    </xf>
    <xf numFmtId="174" fontId="11" fillId="2" borderId="0" xfId="0" applyNumberFormat="1" applyFont="1" applyFill="1"/>
    <xf numFmtId="166" fontId="23" fillId="5" borderId="0" xfId="1" applyNumberFormat="1" applyFont="1" applyFill="1" applyAlignment="1">
      <alignment horizontal="right" vertical="center"/>
    </xf>
    <xf numFmtId="166" fontId="6" fillId="3" borderId="0" xfId="1" applyNumberFormat="1" applyFont="1" applyFill="1" applyAlignment="1">
      <alignment horizontal="right" vertical="center"/>
    </xf>
    <xf numFmtId="166" fontId="7" fillId="3" borderId="0" xfId="1" applyNumberFormat="1" applyFont="1" applyFill="1" applyAlignment="1">
      <alignment horizontal="right" vertical="center"/>
    </xf>
    <xf numFmtId="166" fontId="23" fillId="5" borderId="0" xfId="1" applyNumberFormat="1" applyFont="1" applyFill="1" applyAlignment="1">
      <alignment horizontal="center" vertical="center"/>
    </xf>
    <xf numFmtId="166" fontId="6" fillId="3" borderId="0" xfId="1" applyNumberFormat="1" applyFont="1" applyFill="1" applyAlignment="1">
      <alignment horizontal="center" vertical="center"/>
    </xf>
    <xf numFmtId="166" fontId="7" fillId="3" borderId="0" xfId="1" applyNumberFormat="1" applyFont="1" applyFill="1" applyAlignment="1">
      <alignment horizontal="center" vertical="center"/>
    </xf>
    <xf numFmtId="172" fontId="23" fillId="5" borderId="0" xfId="1" applyNumberFormat="1" applyFont="1" applyFill="1" applyAlignment="1">
      <alignment vertical="top" wrapText="1"/>
    </xf>
    <xf numFmtId="172" fontId="7" fillId="3" borderId="2" xfId="1" applyNumberFormat="1" applyFont="1" applyFill="1" applyBorder="1" applyAlignment="1">
      <alignment horizontal="right" vertical="center"/>
    </xf>
    <xf numFmtId="172" fontId="23" fillId="5" borderId="0" xfId="1" applyNumberFormat="1" applyFont="1" applyFill="1" applyAlignment="1">
      <alignment horizontal="center" vertical="top" wrapText="1"/>
    </xf>
    <xf numFmtId="172" fontId="7" fillId="3" borderId="2" xfId="1" applyNumberFormat="1" applyFont="1" applyFill="1" applyBorder="1" applyAlignment="1">
      <alignment horizontal="center" vertical="center"/>
    </xf>
    <xf numFmtId="172" fontId="23" fillId="5" borderId="0" xfId="1" applyNumberFormat="1" applyFont="1" applyFill="1" applyBorder="1" applyAlignment="1">
      <alignment horizontal="center" vertical="top" wrapText="1"/>
    </xf>
    <xf numFmtId="172" fontId="23" fillId="5" borderId="0" xfId="60" applyNumberFormat="1" applyFont="1" applyFill="1" applyAlignment="1">
      <alignment horizontal="center" vertical="top" wrapText="1"/>
    </xf>
    <xf numFmtId="172" fontId="6" fillId="3" borderId="0" xfId="1" applyNumberFormat="1" applyFont="1" applyFill="1" applyBorder="1" applyAlignment="1">
      <alignment horizontal="center"/>
    </xf>
    <xf numFmtId="172" fontId="7" fillId="3" borderId="0" xfId="27" applyNumberFormat="1" applyFont="1" applyFill="1" applyAlignment="1">
      <alignment horizontal="center"/>
    </xf>
    <xf numFmtId="172" fontId="11" fillId="3" borderId="2" xfId="0" applyNumberFormat="1" applyFont="1" applyFill="1" applyBorder="1" applyAlignment="1">
      <alignment horizontal="center"/>
    </xf>
    <xf numFmtId="166" fontId="23" fillId="5" borderId="0" xfId="1" applyNumberFormat="1" applyFont="1" applyFill="1" applyAlignment="1">
      <alignment horizontal="center" vertical="top" wrapText="1"/>
    </xf>
    <xf numFmtId="166" fontId="23" fillId="3" borderId="0" xfId="1" applyNumberFormat="1" applyFont="1" applyFill="1" applyAlignment="1">
      <alignment horizontal="center" vertical="top" wrapText="1"/>
    </xf>
    <xf numFmtId="166" fontId="25" fillId="5" borderId="0" xfId="1" applyNumberFormat="1" applyFont="1" applyFill="1" applyAlignment="1">
      <alignment horizontal="center" vertical="center"/>
    </xf>
    <xf numFmtId="166" fontId="24" fillId="5" borderId="0" xfId="1" applyNumberFormat="1" applyFont="1" applyFill="1" applyAlignment="1">
      <alignment horizontal="center" vertical="center"/>
    </xf>
    <xf numFmtId="0" fontId="9" fillId="3" borderId="16" xfId="4" applyFont="1" applyFill="1" applyBorder="1" applyAlignment="1">
      <alignment horizontal="right" wrapText="1"/>
    </xf>
    <xf numFmtId="0" fontId="9" fillId="3" borderId="16" xfId="4" applyFont="1" applyFill="1" applyBorder="1" applyAlignment="1">
      <alignment horizontal="center" wrapText="1"/>
    </xf>
    <xf numFmtId="166" fontId="23" fillId="5" borderId="0" xfId="1" applyNumberFormat="1" applyFont="1" applyFill="1" applyAlignment="1">
      <alignment horizontal="right" vertical="top" wrapText="1"/>
    </xf>
    <xf numFmtId="166" fontId="23" fillId="5" borderId="0" xfId="1" applyNumberFormat="1" applyFont="1" applyFill="1" applyAlignment="1">
      <alignment horizontal="right"/>
    </xf>
    <xf numFmtId="166" fontId="23" fillId="3" borderId="0" xfId="1" applyNumberFormat="1" applyFont="1" applyFill="1" applyAlignment="1">
      <alignment horizontal="right" vertical="top" wrapText="1"/>
    </xf>
    <xf numFmtId="166" fontId="23" fillId="3" borderId="0" xfId="1" applyNumberFormat="1" applyFont="1" applyFill="1" applyAlignment="1">
      <alignment horizontal="right"/>
    </xf>
    <xf numFmtId="166" fontId="9" fillId="5" borderId="0" xfId="1" applyNumberFormat="1" applyFont="1" applyFill="1" applyAlignment="1">
      <alignment horizontal="right" vertical="top" wrapText="1"/>
    </xf>
    <xf numFmtId="166" fontId="9" fillId="5" borderId="0" xfId="1" applyNumberFormat="1" applyFont="1" applyFill="1" applyAlignment="1">
      <alignment horizontal="right"/>
    </xf>
    <xf numFmtId="166" fontId="11" fillId="3" borderId="0" xfId="1" applyNumberFormat="1" applyFont="1" applyFill="1" applyAlignment="1">
      <alignment horizontal="right" vertical="top" wrapText="1"/>
    </xf>
    <xf numFmtId="166" fontId="11" fillId="3" borderId="0" xfId="1" applyNumberFormat="1" applyFont="1" applyFill="1" applyAlignment="1">
      <alignment horizontal="right"/>
    </xf>
    <xf numFmtId="166" fontId="24" fillId="5" borderId="0" xfId="1" applyNumberFormat="1" applyFont="1" applyFill="1" applyAlignment="1">
      <alignment horizontal="right" vertical="top" wrapText="1"/>
    </xf>
    <xf numFmtId="166" fontId="24" fillId="5" borderId="0" xfId="1" applyNumberFormat="1" applyFont="1" applyFill="1" applyAlignment="1">
      <alignment horizontal="right"/>
    </xf>
    <xf numFmtId="1" fontId="23" fillId="5" borderId="0" xfId="1" applyNumberFormat="1" applyFont="1" applyFill="1" applyAlignment="1">
      <alignment horizontal="center"/>
    </xf>
    <xf numFmtId="1" fontId="23" fillId="3" borderId="0" xfId="1" applyNumberFormat="1" applyFont="1" applyFill="1" applyAlignment="1">
      <alignment horizontal="center"/>
    </xf>
    <xf numFmtId="1" fontId="9" fillId="5" borderId="0" xfId="1" applyNumberFormat="1" applyFont="1" applyFill="1" applyAlignment="1">
      <alignment horizontal="center"/>
    </xf>
    <xf numFmtId="1" fontId="11" fillId="3" borderId="0" xfId="1" applyNumberFormat="1" applyFont="1" applyFill="1" applyAlignment="1">
      <alignment horizontal="center"/>
    </xf>
    <xf numFmtId="1" fontId="24" fillId="5" borderId="0" xfId="1" applyNumberFormat="1" applyFont="1" applyFill="1" applyAlignment="1">
      <alignment horizontal="center"/>
    </xf>
    <xf numFmtId="166" fontId="23" fillId="5" borderId="0" xfId="1" applyNumberFormat="1" applyFont="1" applyFill="1" applyAlignment="1">
      <alignment horizontal="center"/>
    </xf>
    <xf numFmtId="166" fontId="23" fillId="3" borderId="0" xfId="1" applyNumberFormat="1" applyFont="1" applyFill="1" applyAlignment="1">
      <alignment horizontal="center"/>
    </xf>
    <xf numFmtId="166" fontId="9" fillId="5" borderId="0" xfId="1" applyNumberFormat="1" applyFont="1" applyFill="1" applyAlignment="1">
      <alignment horizontal="center"/>
    </xf>
    <xf numFmtId="166" fontId="11" fillId="3" borderId="0" xfId="1" applyNumberFormat="1" applyFont="1" applyFill="1" applyAlignment="1">
      <alignment horizontal="center"/>
    </xf>
    <xf numFmtId="166" fontId="24" fillId="5" borderId="0" xfId="1" applyNumberFormat="1" applyFont="1" applyFill="1" applyAlignment="1">
      <alignment horizontal="center"/>
    </xf>
    <xf numFmtId="1" fontId="11" fillId="5" borderId="0" xfId="1" applyNumberFormat="1" applyFont="1" applyFill="1" applyAlignment="1">
      <alignment horizontal="center"/>
    </xf>
    <xf numFmtId="0" fontId="9" fillId="3" borderId="2" xfId="8" applyFont="1" applyFill="1" applyBorder="1" applyAlignment="1">
      <alignment horizontal="center" wrapText="1"/>
    </xf>
    <xf numFmtId="3" fontId="23" fillId="5" borderId="0" xfId="4" applyNumberFormat="1" applyFont="1" applyFill="1" applyAlignment="1">
      <alignment horizontal="center" vertical="top" wrapText="1"/>
    </xf>
    <xf numFmtId="3" fontId="23" fillId="3" borderId="0" xfId="4" applyNumberFormat="1" applyFont="1" applyFill="1" applyAlignment="1">
      <alignment horizontal="center" vertical="top" wrapText="1"/>
    </xf>
    <xf numFmtId="3" fontId="9" fillId="5" borderId="0" xfId="4" applyNumberFormat="1" applyFont="1" applyFill="1" applyAlignment="1">
      <alignment horizontal="center" vertical="top" wrapText="1"/>
    </xf>
    <xf numFmtId="3" fontId="11" fillId="3" borderId="0" xfId="4" applyNumberFormat="1" applyFont="1" applyFill="1" applyAlignment="1">
      <alignment horizontal="center" vertical="top" wrapText="1"/>
    </xf>
    <xf numFmtId="3" fontId="24" fillId="5" borderId="0" xfId="4" applyNumberFormat="1" applyFont="1" applyFill="1" applyAlignment="1">
      <alignment horizontal="center" vertical="top" wrapText="1"/>
    </xf>
    <xf numFmtId="3" fontId="8" fillId="3" borderId="0" xfId="4" applyNumberFormat="1" applyFont="1" applyFill="1" applyAlignment="1">
      <alignment horizontal="center"/>
    </xf>
    <xf numFmtId="3" fontId="9" fillId="3" borderId="0" xfId="4" applyNumberFormat="1" applyFont="1" applyFill="1" applyAlignment="1">
      <alignment horizontal="center"/>
    </xf>
    <xf numFmtId="0" fontId="9" fillId="3" borderId="3" xfId="4" applyFont="1" applyFill="1" applyBorder="1" applyAlignment="1">
      <alignment horizontal="center" vertical="center" wrapText="1"/>
    </xf>
    <xf numFmtId="3" fontId="23" fillId="5" borderId="0" xfId="4" applyNumberFormat="1" applyFont="1" applyFill="1" applyAlignment="1">
      <alignment horizontal="center"/>
    </xf>
    <xf numFmtId="3" fontId="23" fillId="5" borderId="0" xfId="4" applyNumberFormat="1" applyFont="1" applyFill="1" applyAlignment="1">
      <alignment horizontal="center" vertical="center"/>
    </xf>
    <xf numFmtId="3" fontId="9" fillId="3" borderId="0" xfId="4" applyNumberFormat="1" applyFont="1" applyFill="1" applyAlignment="1">
      <alignment horizontal="center" vertical="center"/>
    </xf>
    <xf numFmtId="3" fontId="9" fillId="5" borderId="0" xfId="4" applyNumberFormat="1" applyFont="1" applyFill="1" applyAlignment="1">
      <alignment horizontal="center"/>
    </xf>
    <xf numFmtId="3" fontId="9" fillId="5" borderId="0" xfId="4" applyNumberFormat="1" applyFont="1" applyFill="1" applyAlignment="1">
      <alignment horizontal="center" vertical="center"/>
    </xf>
    <xf numFmtId="3" fontId="8" fillId="3" borderId="0" xfId="4" applyNumberFormat="1" applyFont="1" applyFill="1" applyAlignment="1">
      <alignment horizontal="center" vertical="center"/>
    </xf>
    <xf numFmtId="3" fontId="9" fillId="3" borderId="0" xfId="4" applyNumberFormat="1" applyFont="1" applyFill="1" applyAlignment="1">
      <alignment horizontal="center" vertical="center" wrapText="1"/>
    </xf>
    <xf numFmtId="0" fontId="9" fillId="3" borderId="3" xfId="4" applyFont="1" applyFill="1" applyBorder="1" applyAlignment="1">
      <alignment horizontal="center" wrapText="1"/>
    </xf>
    <xf numFmtId="168" fontId="23" fillId="5" borderId="0" xfId="0" applyNumberFormat="1" applyFont="1" applyFill="1" applyAlignment="1">
      <alignment horizontal="center"/>
    </xf>
    <xf numFmtId="172" fontId="23" fillId="5" borderId="0" xfId="4" applyNumberFormat="1" applyFont="1" applyFill="1" applyAlignment="1">
      <alignment horizontal="center" vertical="top" wrapText="1"/>
    </xf>
    <xf numFmtId="3" fontId="23" fillId="3" borderId="0" xfId="0" applyNumberFormat="1" applyFont="1" applyFill="1" applyAlignment="1">
      <alignment horizontal="center"/>
    </xf>
    <xf numFmtId="0" fontId="23" fillId="3" borderId="0" xfId="4" applyFont="1" applyFill="1" applyAlignment="1">
      <alignment horizontal="center" vertical="top" wrapText="1"/>
    </xf>
    <xf numFmtId="3" fontId="9" fillId="5" borderId="0" xfId="0" applyNumberFormat="1" applyFont="1" applyFill="1" applyAlignment="1">
      <alignment horizontal="center"/>
    </xf>
    <xf numFmtId="0" fontId="24" fillId="5" borderId="0" xfId="4" applyFont="1" applyFill="1" applyAlignment="1">
      <alignment horizontal="center" vertical="top" wrapText="1"/>
    </xf>
    <xf numFmtId="168" fontId="9" fillId="3" borderId="0" xfId="4" applyNumberFormat="1" applyFont="1" applyFill="1" applyAlignment="1">
      <alignment horizontal="center" vertical="top" wrapText="1"/>
    </xf>
    <xf numFmtId="0" fontId="23" fillId="5" borderId="0" xfId="4" applyFont="1" applyFill="1" applyAlignment="1">
      <alignment horizontal="center" vertical="top" wrapText="1"/>
    </xf>
    <xf numFmtId="168" fontId="9" fillId="3" borderId="0" xfId="4" applyNumberFormat="1" applyFont="1" applyFill="1" applyAlignment="1">
      <alignment horizontal="center" vertical="center"/>
    </xf>
    <xf numFmtId="3" fontId="23" fillId="5" borderId="0" xfId="0" applyNumberFormat="1" applyFont="1" applyFill="1" applyAlignment="1">
      <alignment horizontal="center"/>
    </xf>
    <xf numFmtId="3" fontId="9" fillId="3" borderId="0" xfId="4" applyNumberFormat="1" applyFont="1" applyFill="1" applyAlignment="1">
      <alignment horizontal="center" vertical="top" wrapText="1"/>
    </xf>
    <xf numFmtId="167" fontId="23" fillId="5" borderId="0" xfId="6" applyNumberFormat="1" applyFont="1" applyFill="1" applyAlignment="1">
      <alignment horizontal="center" vertical="center"/>
    </xf>
    <xf numFmtId="173" fontId="23" fillId="5" borderId="0" xfId="6" applyNumberFormat="1" applyFont="1" applyFill="1" applyAlignment="1">
      <alignment horizontal="center" vertical="center"/>
    </xf>
    <xf numFmtId="2" fontId="23" fillId="5" borderId="0" xfId="6" applyNumberFormat="1" applyFont="1" applyFill="1" applyAlignment="1">
      <alignment horizontal="center"/>
    </xf>
    <xf numFmtId="167" fontId="7" fillId="3" borderId="0" xfId="6" applyNumberFormat="1" applyFont="1" applyFill="1" applyAlignment="1">
      <alignment horizontal="center" vertical="center"/>
    </xf>
    <xf numFmtId="173" fontId="7" fillId="3" borderId="0" xfId="6" applyNumberFormat="1" applyFont="1" applyFill="1" applyAlignment="1">
      <alignment horizontal="center" vertical="center"/>
    </xf>
    <xf numFmtId="2" fontId="9" fillId="3" borderId="0" xfId="6" applyNumberFormat="1" applyFont="1" applyFill="1" applyAlignment="1">
      <alignment horizontal="center"/>
    </xf>
    <xf numFmtId="167" fontId="6" fillId="3" borderId="0" xfId="6" applyNumberFormat="1" applyFont="1" applyFill="1" applyAlignment="1">
      <alignment horizontal="center" vertical="center"/>
    </xf>
    <xf numFmtId="173" fontId="6" fillId="3" borderId="0" xfId="6" applyNumberFormat="1" applyFont="1" applyFill="1" applyAlignment="1">
      <alignment horizontal="center" vertical="center"/>
    </xf>
    <xf numFmtId="2" fontId="8" fillId="3" borderId="0" xfId="6" applyNumberFormat="1" applyFont="1" applyFill="1" applyAlignment="1">
      <alignment horizontal="center"/>
    </xf>
    <xf numFmtId="0" fontId="6" fillId="3" borderId="2" xfId="3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6" fillId="3" borderId="2" xfId="25" applyFont="1" applyFill="1" applyBorder="1" applyAlignment="1">
      <alignment horizontal="center" vertical="center" wrapText="1"/>
    </xf>
    <xf numFmtId="0" fontId="7" fillId="2" borderId="0" xfId="3" applyFont="1" applyFill="1" applyBorder="1" applyAlignment="1">
      <alignment horizontal="left" vertical="top" wrapText="1"/>
    </xf>
    <xf numFmtId="0" fontId="6" fillId="3" borderId="2" xfId="9" applyFont="1" applyFill="1" applyBorder="1" applyAlignment="1">
      <alignment horizontal="center" vertical="center" wrapText="1"/>
    </xf>
    <xf numFmtId="0" fontId="7" fillId="3" borderId="3" xfId="9" applyFont="1" applyFill="1" applyBorder="1" applyAlignment="1">
      <alignment horizontal="center" vertical="center" wrapText="1"/>
    </xf>
    <xf numFmtId="0" fontId="7" fillId="3" borderId="2" xfId="9" applyFont="1" applyFill="1" applyBorder="1" applyAlignment="1">
      <alignment horizontal="center" vertical="center" wrapText="1"/>
    </xf>
    <xf numFmtId="0" fontId="7" fillId="3" borderId="3" xfId="9" applyFont="1" applyFill="1" applyBorder="1" applyAlignment="1">
      <alignment horizontal="left" wrapText="1"/>
    </xf>
    <xf numFmtId="0" fontId="7" fillId="3" borderId="2" xfId="9" applyFont="1" applyFill="1" applyBorder="1" applyAlignment="1">
      <alignment horizontal="left" wrapText="1"/>
    </xf>
    <xf numFmtId="0" fontId="6" fillId="3" borderId="2" xfId="13" applyFont="1" applyFill="1" applyBorder="1" applyAlignment="1">
      <alignment horizontal="center" vertical="center" wrapText="1"/>
    </xf>
    <xf numFmtId="0" fontId="7" fillId="3" borderId="3" xfId="13" applyFont="1" applyFill="1" applyBorder="1" applyAlignment="1">
      <alignment horizontal="left" wrapText="1"/>
    </xf>
    <xf numFmtId="0" fontId="7" fillId="3" borderId="0" xfId="13" applyFont="1" applyFill="1" applyAlignment="1">
      <alignment horizontal="left" wrapText="1"/>
    </xf>
    <xf numFmtId="0" fontId="7" fillId="3" borderId="2" xfId="13" applyFont="1" applyFill="1" applyBorder="1" applyAlignment="1">
      <alignment horizontal="left" wrapText="1"/>
    </xf>
    <xf numFmtId="0" fontId="6" fillId="3" borderId="16" xfId="13" applyFont="1" applyFill="1" applyBorder="1" applyAlignment="1">
      <alignment horizontal="center" vertical="center" wrapText="1"/>
    </xf>
    <xf numFmtId="0" fontId="7" fillId="3" borderId="2" xfId="13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center" vertical="top" wrapText="1"/>
    </xf>
    <xf numFmtId="0" fontId="6" fillId="3" borderId="2" xfId="11" applyFont="1" applyFill="1" applyBorder="1" applyAlignment="1">
      <alignment horizontal="center" vertical="center" wrapText="1"/>
    </xf>
    <xf numFmtId="0" fontId="7" fillId="3" borderId="0" xfId="9" applyFont="1" applyFill="1" applyAlignment="1">
      <alignment horizontal="left" wrapText="1"/>
    </xf>
    <xf numFmtId="0" fontId="7" fillId="3" borderId="0" xfId="11" applyFont="1" applyFill="1" applyAlignment="1">
      <alignment horizontal="center" wrapText="1"/>
    </xf>
    <xf numFmtId="0" fontId="7" fillId="3" borderId="16" xfId="11" applyFont="1" applyFill="1" applyBorder="1" applyAlignment="1">
      <alignment horizontal="center" vertical="center" wrapText="1"/>
    </xf>
    <xf numFmtId="0" fontId="6" fillId="3" borderId="2" xfId="6" applyFont="1" applyFill="1" applyBorder="1" applyAlignment="1">
      <alignment horizontal="center" vertical="center" wrapText="1"/>
    </xf>
    <xf numFmtId="0" fontId="7" fillId="3" borderId="0" xfId="6" applyFont="1" applyFill="1" applyAlignment="1">
      <alignment horizontal="left" vertical="center" wrapText="1"/>
    </xf>
    <xf numFmtId="0" fontId="7" fillId="3" borderId="0" xfId="6" applyFont="1" applyFill="1" applyAlignment="1">
      <alignment horizontal="center" wrapText="1"/>
    </xf>
    <xf numFmtId="0" fontId="7" fillId="3" borderId="16" xfId="6" applyFont="1" applyFill="1" applyBorder="1" applyAlignment="1">
      <alignment horizontal="center" vertical="center" wrapText="1"/>
    </xf>
    <xf numFmtId="0" fontId="6" fillId="3" borderId="2" xfId="14" applyFont="1" applyFill="1" applyBorder="1" applyAlignment="1">
      <alignment horizontal="center" wrapText="1"/>
    </xf>
    <xf numFmtId="0" fontId="7" fillId="3" borderId="0" xfId="6" applyFont="1" applyFill="1" applyAlignment="1">
      <alignment horizontal="center" vertical="center" wrapText="1"/>
    </xf>
    <xf numFmtId="0" fontId="6" fillId="3" borderId="2" xfId="15" applyFont="1" applyFill="1" applyBorder="1" applyAlignment="1">
      <alignment horizontal="center" vertical="center" wrapText="1"/>
    </xf>
    <xf numFmtId="0" fontId="7" fillId="3" borderId="0" xfId="6" applyFont="1" applyFill="1" applyAlignment="1">
      <alignment horizontal="left" wrapText="1"/>
    </xf>
    <xf numFmtId="0" fontId="11" fillId="3" borderId="17" xfId="0" applyFont="1" applyFill="1" applyBorder="1" applyAlignment="1">
      <alignment horizontal="left" wrapText="1"/>
    </xf>
    <xf numFmtId="0" fontId="11" fillId="3" borderId="9" xfId="0" applyFont="1" applyFill="1" applyBorder="1" applyAlignment="1">
      <alignment horizontal="left" wrapText="1"/>
    </xf>
    <xf numFmtId="0" fontId="11" fillId="3" borderId="8" xfId="0" applyFont="1" applyFill="1" applyBorder="1" applyAlignment="1">
      <alignment horizontal="left" wrapText="1"/>
    </xf>
    <xf numFmtId="0" fontId="10" fillId="3" borderId="2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left" vertical="center" wrapText="1"/>
    </xf>
    <xf numFmtId="0" fontId="11" fillId="3" borderId="9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8" fillId="3" borderId="2" xfId="18" applyFont="1" applyFill="1" applyBorder="1" applyAlignment="1">
      <alignment horizontal="center" vertical="center" wrapText="1"/>
    </xf>
    <xf numFmtId="0" fontId="9" fillId="3" borderId="2" xfId="18" applyFont="1" applyFill="1" applyBorder="1" applyAlignment="1">
      <alignment horizontal="center" vertical="center" wrapText="1"/>
    </xf>
    <xf numFmtId="0" fontId="8" fillId="3" borderId="4" xfId="18" applyFont="1" applyFill="1" applyBorder="1" applyAlignment="1">
      <alignment horizontal="center" vertical="center" wrapText="1"/>
    </xf>
    <xf numFmtId="0" fontId="7" fillId="3" borderId="5" xfId="9" applyFont="1" applyFill="1" applyBorder="1" applyAlignment="1">
      <alignment horizontal="left" wrapText="1"/>
    </xf>
    <xf numFmtId="0" fontId="7" fillId="3" borderId="0" xfId="9" applyFont="1" applyFill="1" applyBorder="1" applyAlignment="1">
      <alignment horizontal="left" wrapText="1"/>
    </xf>
    <xf numFmtId="0" fontId="9" fillId="3" borderId="5" xfId="18" applyFont="1" applyFill="1" applyBorder="1" applyAlignment="1">
      <alignment horizontal="center" wrapText="1"/>
    </xf>
    <xf numFmtId="0" fontId="9" fillId="3" borderId="2" xfId="18" applyFont="1" applyFill="1" applyBorder="1" applyAlignment="1">
      <alignment horizontal="center" wrapText="1"/>
    </xf>
    <xf numFmtId="0" fontId="6" fillId="3" borderId="2" xfId="16" applyFont="1" applyFill="1" applyBorder="1" applyAlignment="1">
      <alignment horizontal="center" vertical="center" wrapText="1"/>
    </xf>
    <xf numFmtId="0" fontId="7" fillId="3" borderId="0" xfId="16" applyFont="1" applyFill="1" applyAlignment="1">
      <alignment horizontal="center" vertical="center" wrapText="1"/>
    </xf>
    <xf numFmtId="0" fontId="7" fillId="3" borderId="0" xfId="16" applyFont="1" applyFill="1" applyBorder="1" applyAlignment="1">
      <alignment horizontal="center" wrapText="1"/>
    </xf>
    <xf numFmtId="0" fontId="7" fillId="3" borderId="2" xfId="16" applyFont="1" applyFill="1" applyBorder="1" applyAlignment="1">
      <alignment horizontal="center" wrapText="1"/>
    </xf>
    <xf numFmtId="0" fontId="7" fillId="3" borderId="0" xfId="16" applyFont="1" applyFill="1" applyAlignment="1">
      <alignment horizontal="left" wrapText="1"/>
    </xf>
    <xf numFmtId="0" fontId="6" fillId="3" borderId="2" xfId="5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10" xfId="5" applyFont="1" applyFill="1" applyBorder="1" applyAlignment="1">
      <alignment horizontal="left" wrapText="1"/>
    </xf>
    <xf numFmtId="0" fontId="11" fillId="3" borderId="11" xfId="5" applyFont="1" applyFill="1" applyBorder="1" applyAlignment="1">
      <alignment horizontal="center" vertical="center" wrapText="1"/>
    </xf>
    <xf numFmtId="0" fontId="11" fillId="3" borderId="0" xfId="5" applyFont="1" applyFill="1" applyAlignment="1">
      <alignment horizontal="center" vertical="center" wrapText="1"/>
    </xf>
    <xf numFmtId="0" fontId="11" fillId="3" borderId="3" xfId="5" applyFont="1" applyFill="1" applyBorder="1" applyAlignment="1">
      <alignment horizontal="center" vertical="center" wrapText="1"/>
    </xf>
    <xf numFmtId="0" fontId="11" fillId="3" borderId="2" xfId="5" applyFont="1" applyFill="1" applyBorder="1" applyAlignment="1">
      <alignment horizontal="center" vertical="center" wrapText="1"/>
    </xf>
    <xf numFmtId="0" fontId="6" fillId="3" borderId="0" xfId="11" applyFont="1" applyFill="1" applyAlignment="1">
      <alignment horizontal="center" vertical="center" wrapText="1"/>
    </xf>
    <xf numFmtId="0" fontId="7" fillId="3" borderId="3" xfId="11" applyFont="1" applyFill="1" applyBorder="1" applyAlignment="1">
      <alignment horizontal="center" wrapText="1"/>
    </xf>
    <xf numFmtId="0" fontId="7" fillId="3" borderId="2" xfId="11" applyFont="1" applyFill="1" applyBorder="1" applyAlignment="1">
      <alignment horizontal="center" wrapText="1"/>
    </xf>
    <xf numFmtId="0" fontId="7" fillId="3" borderId="16" xfId="11" applyFont="1" applyFill="1" applyBorder="1" applyAlignment="1">
      <alignment horizontal="center" wrapText="1"/>
    </xf>
    <xf numFmtId="0" fontId="11" fillId="3" borderId="3" xfId="2" applyFont="1" applyFill="1" applyBorder="1" applyAlignment="1">
      <alignment horizontal="center" wrapText="1"/>
    </xf>
    <xf numFmtId="0" fontId="11" fillId="3" borderId="2" xfId="2" applyFont="1" applyFill="1" applyBorder="1" applyAlignment="1">
      <alignment horizontal="center" wrapText="1"/>
    </xf>
    <xf numFmtId="0" fontId="10" fillId="3" borderId="0" xfId="2" applyFont="1" applyFill="1" applyAlignment="1">
      <alignment horizontal="center" vertical="center" wrapText="1"/>
    </xf>
    <xf numFmtId="0" fontId="11" fillId="3" borderId="16" xfId="2" applyFont="1" applyFill="1" applyBorder="1" applyAlignment="1">
      <alignment horizontal="center" wrapText="1"/>
    </xf>
    <xf numFmtId="3" fontId="18" fillId="3" borderId="4" xfId="24" applyNumberFormat="1" applyFont="1" applyFill="1" applyBorder="1" applyAlignment="1">
      <alignment horizontal="center" vertical="center"/>
    </xf>
    <xf numFmtId="0" fontId="6" fillId="3" borderId="0" xfId="6" applyFont="1" applyFill="1" applyAlignment="1">
      <alignment horizontal="center" vertical="center" wrapText="1"/>
    </xf>
    <xf numFmtId="0" fontId="7" fillId="3" borderId="3" xfId="6" applyFont="1" applyFill="1" applyBorder="1" applyAlignment="1">
      <alignment horizontal="center" wrapText="1"/>
    </xf>
    <xf numFmtId="0" fontId="9" fillId="3" borderId="3" xfId="6" applyFont="1" applyFill="1" applyBorder="1" applyAlignment="1">
      <alignment horizontal="center" wrapText="1"/>
    </xf>
    <xf numFmtId="0" fontId="9" fillId="3" borderId="2" xfId="6" applyFont="1" applyFill="1" applyBorder="1" applyAlignment="1">
      <alignment horizontal="center" wrapText="1"/>
    </xf>
    <xf numFmtId="0" fontId="7" fillId="3" borderId="3" xfId="6" applyFont="1" applyFill="1" applyBorder="1" applyAlignment="1">
      <alignment horizontal="left" wrapText="1"/>
    </xf>
    <xf numFmtId="0" fontId="7" fillId="3" borderId="2" xfId="6" applyFont="1" applyFill="1" applyBorder="1" applyAlignment="1">
      <alignment horizontal="left" wrapText="1"/>
    </xf>
    <xf numFmtId="0" fontId="7" fillId="3" borderId="0" xfId="5" applyFont="1" applyFill="1" applyBorder="1" applyAlignment="1">
      <alignment horizontal="left" wrapText="1"/>
    </xf>
    <xf numFmtId="0" fontId="7" fillId="3" borderId="2" xfId="5" applyFont="1" applyFill="1" applyBorder="1" applyAlignment="1">
      <alignment horizontal="left" wrapText="1"/>
    </xf>
    <xf numFmtId="0" fontId="7" fillId="3" borderId="16" xfId="16" applyFont="1" applyFill="1" applyBorder="1" applyAlignment="1">
      <alignment horizontal="center" wrapText="1"/>
    </xf>
    <xf numFmtId="0" fontId="7" fillId="3" borderId="16" xfId="5" applyFont="1" applyFill="1" applyBorder="1" applyAlignment="1">
      <alignment horizontal="center" wrapText="1"/>
    </xf>
    <xf numFmtId="0" fontId="11" fillId="3" borderId="20" xfId="16" applyFont="1" applyFill="1" applyBorder="1" applyAlignment="1">
      <alignment horizontal="left" wrapText="1"/>
    </xf>
    <xf numFmtId="0" fontId="11" fillId="3" borderId="13" xfId="16" applyFont="1" applyFill="1" applyBorder="1" applyAlignment="1">
      <alignment horizontal="left" wrapText="1"/>
    </xf>
    <xf numFmtId="0" fontId="6" fillId="3" borderId="2" xfId="17" applyFont="1" applyFill="1" applyBorder="1" applyAlignment="1">
      <alignment horizontal="center" vertical="center" wrapText="1"/>
    </xf>
    <xf numFmtId="0" fontId="7" fillId="3" borderId="2" xfId="5" applyFont="1" applyFill="1" applyBorder="1" applyAlignment="1">
      <alignment horizontal="center" wrapText="1"/>
    </xf>
    <xf numFmtId="0" fontId="7" fillId="3" borderId="3" xfId="16" applyFont="1" applyFill="1" applyBorder="1" applyAlignment="1">
      <alignment horizontal="left" wrapText="1"/>
    </xf>
    <xf numFmtId="0" fontId="7" fillId="3" borderId="2" xfId="16" applyFont="1" applyFill="1" applyBorder="1" applyAlignment="1">
      <alignment horizontal="left" wrapText="1"/>
    </xf>
    <xf numFmtId="0" fontId="7" fillId="3" borderId="3" xfId="16" applyFont="1" applyFill="1" applyBorder="1" applyAlignment="1">
      <alignment horizontal="center" wrapText="1"/>
    </xf>
    <xf numFmtId="0" fontId="7" fillId="3" borderId="0" xfId="16" applyFont="1" applyFill="1" applyAlignment="1">
      <alignment horizontal="center" wrapText="1"/>
    </xf>
    <xf numFmtId="0" fontId="6" fillId="3" borderId="0" xfId="16" applyFont="1" applyFill="1" applyAlignment="1">
      <alignment horizontal="center" vertical="center" wrapText="1"/>
    </xf>
    <xf numFmtId="0" fontId="26" fillId="3" borderId="16" xfId="16" applyFont="1" applyFill="1" applyBorder="1" applyAlignment="1">
      <alignment horizontal="center" wrapText="1"/>
    </xf>
    <xf numFmtId="0" fontId="26" fillId="3" borderId="2" xfId="16" applyFont="1" applyFill="1" applyBorder="1" applyAlignment="1">
      <alignment horizontal="center" wrapText="1"/>
    </xf>
    <xf numFmtId="0" fontId="7" fillId="3" borderId="0" xfId="16" applyFont="1" applyFill="1" applyBorder="1" applyAlignment="1">
      <alignment horizontal="left" wrapText="1"/>
    </xf>
    <xf numFmtId="0" fontId="9" fillId="3" borderId="2" xfId="20" applyFont="1" applyFill="1" applyBorder="1" applyAlignment="1">
      <alignment horizontal="center" wrapText="1"/>
    </xf>
    <xf numFmtId="0" fontId="7" fillId="3" borderId="2" xfId="17" applyFont="1" applyFill="1" applyBorder="1" applyAlignment="1">
      <alignment horizontal="center" wrapText="1"/>
    </xf>
    <xf numFmtId="0" fontId="6" fillId="3" borderId="2" xfId="21" applyFont="1" applyFill="1" applyBorder="1" applyAlignment="1">
      <alignment horizontal="center" vertical="center" wrapText="1"/>
    </xf>
    <xf numFmtId="0" fontId="7" fillId="3" borderId="2" xfId="21" applyFont="1" applyFill="1" applyBorder="1" applyAlignment="1">
      <alignment horizontal="center" wrapText="1"/>
    </xf>
    <xf numFmtId="0" fontId="9" fillId="3" borderId="2" xfId="20" applyFont="1" applyFill="1" applyBorder="1" applyAlignment="1">
      <alignment horizontal="center" vertical="center" wrapText="1"/>
    </xf>
    <xf numFmtId="0" fontId="6" fillId="3" borderId="16" xfId="19" applyFont="1" applyFill="1" applyBorder="1" applyAlignment="1">
      <alignment horizontal="center" vertical="center" wrapText="1"/>
    </xf>
    <xf numFmtId="0" fontId="7" fillId="3" borderId="0" xfId="19" applyFont="1" applyFill="1" applyBorder="1" applyAlignment="1">
      <alignment horizontal="center" wrapText="1"/>
    </xf>
    <xf numFmtId="0" fontId="7" fillId="3" borderId="0" xfId="19" applyFont="1" applyFill="1" applyAlignment="1">
      <alignment horizontal="center" wrapText="1"/>
    </xf>
    <xf numFmtId="0" fontId="7" fillId="3" borderId="2" xfId="19" applyFont="1" applyFill="1" applyBorder="1" applyAlignment="1">
      <alignment horizontal="center" wrapText="1"/>
    </xf>
    <xf numFmtId="0" fontId="7" fillId="3" borderId="16" xfId="19" applyFont="1" applyFill="1" applyBorder="1" applyAlignment="1">
      <alignment horizontal="center" wrapText="1"/>
    </xf>
    <xf numFmtId="0" fontId="11" fillId="3" borderId="0" xfId="16" applyFont="1" applyFill="1" applyBorder="1" applyAlignment="1">
      <alignment horizontal="left" wrapText="1"/>
    </xf>
    <xf numFmtId="0" fontId="11" fillId="3" borderId="0" xfId="16" applyFont="1" applyFill="1" applyAlignment="1">
      <alignment horizontal="left" wrapText="1"/>
    </xf>
    <xf numFmtId="0" fontId="6" fillId="3" borderId="2" xfId="22" applyFont="1" applyFill="1" applyBorder="1" applyAlignment="1">
      <alignment horizontal="center" vertical="center" wrapText="1"/>
    </xf>
    <xf numFmtId="0" fontId="7" fillId="3" borderId="2" xfId="22" applyFont="1" applyFill="1" applyBorder="1" applyAlignment="1">
      <alignment horizontal="center" wrapText="1"/>
    </xf>
    <xf numFmtId="0" fontId="7" fillId="3" borderId="3" xfId="23" applyFont="1" applyFill="1" applyBorder="1" applyAlignment="1">
      <alignment horizontal="center" wrapText="1"/>
    </xf>
    <xf numFmtId="0" fontId="7" fillId="3" borderId="0" xfId="23" applyFont="1" applyFill="1" applyAlignment="1">
      <alignment horizontal="center" wrapText="1"/>
    </xf>
    <xf numFmtId="0" fontId="7" fillId="3" borderId="2" xfId="23" applyFont="1" applyFill="1" applyBorder="1" applyAlignment="1">
      <alignment horizontal="center" wrapText="1"/>
    </xf>
    <xf numFmtId="0" fontId="7" fillId="3" borderId="3" xfId="23" applyFont="1" applyFill="1" applyBorder="1" applyAlignment="1">
      <alignment horizontal="left" wrapText="1"/>
    </xf>
    <xf numFmtId="0" fontId="7" fillId="3" borderId="0" xfId="23" applyFont="1" applyFill="1" applyAlignment="1">
      <alignment horizontal="left" wrapText="1"/>
    </xf>
    <xf numFmtId="0" fontId="7" fillId="3" borderId="2" xfId="23" applyFont="1" applyFill="1" applyBorder="1" applyAlignment="1">
      <alignment horizontal="left" wrapText="1"/>
    </xf>
    <xf numFmtId="0" fontId="6" fillId="3" borderId="0" xfId="23" applyFont="1" applyFill="1" applyAlignment="1">
      <alignment horizontal="center" vertical="center" wrapText="1"/>
    </xf>
    <xf numFmtId="0" fontId="7" fillId="3" borderId="3" xfId="33" applyFont="1" applyFill="1" applyBorder="1" applyAlignment="1">
      <alignment horizontal="center" wrapText="1"/>
    </xf>
    <xf numFmtId="0" fontId="7" fillId="3" borderId="0" xfId="33" applyFont="1" applyFill="1" applyAlignment="1">
      <alignment horizontal="center" wrapText="1"/>
    </xf>
    <xf numFmtId="0" fontId="7" fillId="3" borderId="2" xfId="33" applyFont="1" applyFill="1" applyBorder="1" applyAlignment="1">
      <alignment horizontal="center" wrapText="1"/>
    </xf>
    <xf numFmtId="0" fontId="6" fillId="3" borderId="0" xfId="33" applyFont="1" applyFill="1" applyAlignment="1">
      <alignment horizontal="center" vertical="center" wrapText="1"/>
    </xf>
    <xf numFmtId="0" fontId="7" fillId="3" borderId="0" xfId="40" applyFont="1" applyFill="1" applyAlignment="1">
      <alignment horizontal="center" wrapText="1"/>
    </xf>
    <xf numFmtId="0" fontId="6" fillId="3" borderId="0" xfId="40" applyFont="1" applyFill="1" applyAlignment="1">
      <alignment horizontal="center" vertical="center" wrapText="1"/>
    </xf>
    <xf numFmtId="0" fontId="7" fillId="3" borderId="3" xfId="40" applyFont="1" applyFill="1" applyBorder="1" applyAlignment="1">
      <alignment horizontal="center" wrapText="1"/>
    </xf>
    <xf numFmtId="0" fontId="7" fillId="3" borderId="2" xfId="40" applyFont="1" applyFill="1" applyBorder="1" applyAlignment="1">
      <alignment horizontal="center" wrapText="1"/>
    </xf>
    <xf numFmtId="0" fontId="7" fillId="3" borderId="16" xfId="40" applyFont="1" applyFill="1" applyBorder="1" applyAlignment="1">
      <alignment horizontal="center" wrapText="1"/>
    </xf>
    <xf numFmtId="0" fontId="7" fillId="3" borderId="0" xfId="41" applyFont="1" applyFill="1" applyAlignment="1">
      <alignment horizontal="center" wrapText="1"/>
    </xf>
    <xf numFmtId="0" fontId="7" fillId="3" borderId="3" xfId="41" applyFont="1" applyFill="1" applyBorder="1" applyAlignment="1">
      <alignment horizontal="center" wrapText="1"/>
    </xf>
    <xf numFmtId="0" fontId="7" fillId="3" borderId="2" xfId="41" applyFont="1" applyFill="1" applyBorder="1" applyAlignment="1">
      <alignment horizontal="center" wrapText="1"/>
    </xf>
    <xf numFmtId="0" fontId="6" fillId="3" borderId="2" xfId="41" applyFont="1" applyFill="1" applyBorder="1" applyAlignment="1">
      <alignment horizontal="center" vertical="center" wrapText="1"/>
    </xf>
    <xf numFmtId="0" fontId="7" fillId="3" borderId="16" xfId="41" applyFont="1" applyFill="1" applyBorder="1" applyAlignment="1">
      <alignment horizontal="center" wrapText="1"/>
    </xf>
    <xf numFmtId="0" fontId="6" fillId="3" borderId="0" xfId="42" applyFont="1" applyFill="1" applyAlignment="1">
      <alignment horizontal="center" vertical="center" wrapText="1"/>
    </xf>
    <xf numFmtId="0" fontId="7" fillId="3" borderId="16" xfId="42" applyFont="1" applyFill="1" applyBorder="1" applyAlignment="1">
      <alignment horizontal="center" wrapText="1"/>
    </xf>
    <xf numFmtId="0" fontId="7" fillId="3" borderId="0" xfId="42" applyFont="1" applyFill="1" applyAlignment="1">
      <alignment horizontal="center" wrapText="1"/>
    </xf>
    <xf numFmtId="0" fontId="7" fillId="3" borderId="3" xfId="42" applyFont="1" applyFill="1" applyBorder="1" applyAlignment="1">
      <alignment horizontal="center" wrapText="1"/>
    </xf>
    <xf numFmtId="0" fontId="7" fillId="3" borderId="2" xfId="42" applyFont="1" applyFill="1" applyBorder="1" applyAlignment="1">
      <alignment horizontal="center" wrapText="1"/>
    </xf>
    <xf numFmtId="0" fontId="6" fillId="3" borderId="0" xfId="43" applyFont="1" applyFill="1" applyAlignment="1">
      <alignment horizontal="center" vertical="center" wrapText="1"/>
    </xf>
    <xf numFmtId="2" fontId="11" fillId="3" borderId="3" xfId="0" applyNumberFormat="1" applyFont="1" applyFill="1" applyBorder="1" applyAlignment="1">
      <alignment horizontal="center" wrapText="1"/>
    </xf>
    <xf numFmtId="2" fontId="11" fillId="3" borderId="2" xfId="0" applyNumberFormat="1" applyFont="1" applyFill="1" applyBorder="1" applyAlignment="1">
      <alignment horizontal="center" wrapText="1"/>
    </xf>
    <xf numFmtId="0" fontId="7" fillId="3" borderId="3" xfId="43" applyFont="1" applyFill="1" applyBorder="1" applyAlignment="1">
      <alignment horizontal="left" wrapText="1"/>
    </xf>
    <xf numFmtId="0" fontId="7" fillId="3" borderId="2" xfId="43" applyFont="1" applyFill="1" applyBorder="1" applyAlignment="1">
      <alignment horizontal="left" wrapText="1"/>
    </xf>
    <xf numFmtId="0" fontId="7" fillId="3" borderId="3" xfId="43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27" fillId="3" borderId="0" xfId="44" applyFont="1" applyFill="1" applyAlignment="1">
      <alignment horizontal="center" vertical="center" wrapText="1"/>
    </xf>
    <xf numFmtId="0" fontId="26" fillId="3" borderId="3" xfId="44" applyFont="1" applyFill="1" applyBorder="1" applyAlignment="1">
      <alignment horizontal="center" wrapText="1"/>
    </xf>
    <xf numFmtId="0" fontId="6" fillId="3" borderId="0" xfId="45" applyFont="1" applyFill="1" applyAlignment="1">
      <alignment horizontal="center" vertical="center" wrapText="1"/>
    </xf>
    <xf numFmtId="0" fontId="7" fillId="3" borderId="3" xfId="45" applyFont="1" applyFill="1" applyBorder="1" applyAlignment="1">
      <alignment horizontal="center" wrapText="1"/>
    </xf>
    <xf numFmtId="0" fontId="7" fillId="3" borderId="2" xfId="45" applyFont="1" applyFill="1" applyBorder="1" applyAlignment="1">
      <alignment horizontal="center" wrapText="1"/>
    </xf>
    <xf numFmtId="0" fontId="7" fillId="3" borderId="16" xfId="45" applyFont="1" applyFill="1" applyBorder="1" applyAlignment="1">
      <alignment horizontal="center" vertical="center" wrapText="1"/>
    </xf>
    <xf numFmtId="0" fontId="7" fillId="3" borderId="3" xfId="45" applyFont="1" applyFill="1" applyBorder="1" applyAlignment="1">
      <alignment wrapText="1"/>
    </xf>
    <xf numFmtId="0" fontId="7" fillId="3" borderId="2" xfId="45" applyFont="1" applyFill="1" applyBorder="1" applyAlignment="1">
      <alignment wrapText="1"/>
    </xf>
    <xf numFmtId="0" fontId="6" fillId="3" borderId="0" xfId="46" applyFont="1" applyFill="1" applyAlignment="1">
      <alignment horizontal="center" vertical="center" wrapText="1"/>
    </xf>
    <xf numFmtId="0" fontId="7" fillId="3" borderId="3" xfId="45" applyFont="1" applyFill="1" applyBorder="1" applyAlignment="1">
      <alignment horizontal="left" wrapText="1"/>
    </xf>
    <xf numFmtId="0" fontId="7" fillId="3" borderId="2" xfId="45" applyFont="1" applyFill="1" applyBorder="1" applyAlignment="1">
      <alignment horizontal="left" wrapText="1"/>
    </xf>
    <xf numFmtId="0" fontId="7" fillId="3" borderId="3" xfId="46" applyFont="1" applyFill="1" applyBorder="1" applyAlignment="1">
      <alignment horizontal="center" wrapText="1"/>
    </xf>
    <xf numFmtId="0" fontId="7" fillId="3" borderId="2" xfId="46" applyFont="1" applyFill="1" applyBorder="1" applyAlignment="1">
      <alignment horizontal="center" wrapText="1"/>
    </xf>
    <xf numFmtId="0" fontId="7" fillId="3" borderId="16" xfId="46" applyFont="1" applyFill="1" applyBorder="1" applyAlignment="1">
      <alignment horizontal="center" wrapText="1"/>
    </xf>
    <xf numFmtId="0" fontId="6" fillId="3" borderId="4" xfId="47" applyFont="1" applyFill="1" applyBorder="1" applyAlignment="1">
      <alignment horizontal="center" vertical="center" wrapText="1"/>
    </xf>
    <xf numFmtId="0" fontId="7" fillId="3" borderId="6" xfId="47" applyFont="1" applyFill="1" applyBorder="1" applyAlignment="1">
      <alignment horizontal="center" wrapText="1"/>
    </xf>
    <xf numFmtId="0" fontId="7" fillId="3" borderId="5" xfId="47" applyFont="1" applyFill="1" applyBorder="1" applyAlignment="1">
      <alignment horizontal="center" wrapText="1"/>
    </xf>
    <xf numFmtId="0" fontId="7" fillId="3" borderId="0" xfId="47" applyFont="1" applyFill="1" applyAlignment="1">
      <alignment horizontal="center" wrapText="1"/>
    </xf>
    <xf numFmtId="0" fontId="7" fillId="3" borderId="2" xfId="47" applyFont="1" applyFill="1" applyBorder="1" applyAlignment="1">
      <alignment horizontal="center" wrapText="1"/>
    </xf>
    <xf numFmtId="0" fontId="7" fillId="3" borderId="3" xfId="47" applyFont="1" applyFill="1" applyBorder="1" applyAlignment="1">
      <alignment horizontal="center" wrapText="1"/>
    </xf>
    <xf numFmtId="0" fontId="11" fillId="3" borderId="2" xfId="0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/>
    </xf>
    <xf numFmtId="0" fontId="6" fillId="3" borderId="0" xfId="48" applyFont="1" applyFill="1" applyAlignment="1">
      <alignment horizontal="center" vertical="center" wrapText="1"/>
    </xf>
    <xf numFmtId="0" fontId="7" fillId="3" borderId="3" xfId="48" applyFont="1" applyFill="1" applyBorder="1" applyAlignment="1">
      <alignment horizontal="center" wrapText="1"/>
    </xf>
    <xf numFmtId="0" fontId="7" fillId="3" borderId="2" xfId="48" applyFont="1" applyFill="1" applyBorder="1" applyAlignment="1">
      <alignment horizontal="center" wrapText="1"/>
    </xf>
    <xf numFmtId="0" fontId="7" fillId="3" borderId="16" xfId="48" applyFont="1" applyFill="1" applyBorder="1" applyAlignment="1">
      <alignment horizontal="center" wrapText="1"/>
    </xf>
    <xf numFmtId="0" fontId="6" fillId="3" borderId="0" xfId="49" applyFont="1" applyFill="1" applyAlignment="1">
      <alignment horizontal="center" vertical="center" wrapText="1"/>
    </xf>
    <xf numFmtId="0" fontId="7" fillId="3" borderId="3" xfId="49" applyFont="1" applyFill="1" applyBorder="1" applyAlignment="1">
      <alignment horizontal="center" wrapText="1"/>
    </xf>
    <xf numFmtId="0" fontId="7" fillId="3" borderId="2" xfId="49" applyFont="1" applyFill="1" applyBorder="1" applyAlignment="1">
      <alignment horizontal="center" wrapText="1"/>
    </xf>
    <xf numFmtId="0" fontId="7" fillId="3" borderId="16" xfId="49" applyFont="1" applyFill="1" applyBorder="1" applyAlignment="1">
      <alignment horizontal="center" wrapText="1"/>
    </xf>
    <xf numFmtId="0" fontId="7" fillId="3" borderId="5" xfId="45" applyFont="1" applyFill="1" applyBorder="1" applyAlignment="1">
      <alignment horizontal="left" wrapText="1"/>
    </xf>
    <xf numFmtId="0" fontId="7" fillId="3" borderId="0" xfId="50" applyFont="1" applyFill="1" applyAlignment="1">
      <alignment horizontal="center" wrapText="1"/>
    </xf>
    <xf numFmtId="0" fontId="7" fillId="3" borderId="2" xfId="50" applyFont="1" applyFill="1" applyBorder="1" applyAlignment="1">
      <alignment horizontal="center" wrapText="1"/>
    </xf>
    <xf numFmtId="0" fontId="6" fillId="3" borderId="4" xfId="50" applyFont="1" applyFill="1" applyBorder="1" applyAlignment="1">
      <alignment horizontal="center" vertical="center" wrapText="1"/>
    </xf>
    <xf numFmtId="0" fontId="7" fillId="3" borderId="5" xfId="50" applyFont="1" applyFill="1" applyBorder="1" applyAlignment="1">
      <alignment horizontal="center" wrapText="1"/>
    </xf>
    <xf numFmtId="0" fontId="6" fillId="3" borderId="0" xfId="51" applyFont="1" applyFill="1" applyAlignment="1">
      <alignment horizontal="center" vertical="center" wrapText="1"/>
    </xf>
    <xf numFmtId="0" fontId="7" fillId="3" borderId="3" xfId="51" applyFont="1" applyFill="1" applyBorder="1" applyAlignment="1">
      <alignment horizontal="center" wrapText="1"/>
    </xf>
    <xf numFmtId="0" fontId="7" fillId="3" borderId="2" xfId="51" applyFont="1" applyFill="1" applyBorder="1" applyAlignment="1">
      <alignment horizontal="center" wrapText="1"/>
    </xf>
    <xf numFmtId="0" fontId="6" fillId="3" borderId="0" xfId="52" applyFont="1" applyFill="1" applyAlignment="1">
      <alignment horizontal="center" vertical="center" wrapText="1"/>
    </xf>
    <xf numFmtId="0" fontId="7" fillId="3" borderId="3" xfId="52" applyFont="1" applyFill="1" applyBorder="1" applyAlignment="1">
      <alignment horizontal="center" wrapText="1"/>
    </xf>
    <xf numFmtId="0" fontId="7" fillId="3" borderId="2" xfId="52" applyFont="1" applyFill="1" applyBorder="1" applyAlignment="1">
      <alignment horizontal="center" wrapText="1"/>
    </xf>
    <xf numFmtId="0" fontId="7" fillId="3" borderId="16" xfId="52" applyFont="1" applyFill="1" applyBorder="1" applyAlignment="1">
      <alignment horizontal="center" wrapText="1"/>
    </xf>
    <xf numFmtId="0" fontId="6" fillId="3" borderId="0" xfId="53" applyFont="1" applyFill="1" applyAlignment="1">
      <alignment horizontal="center" vertical="center" wrapText="1"/>
    </xf>
    <xf numFmtId="0" fontId="7" fillId="3" borderId="3" xfId="53" applyFont="1" applyFill="1" applyBorder="1" applyAlignment="1">
      <alignment horizontal="center" wrapText="1"/>
    </xf>
    <xf numFmtId="0" fontId="7" fillId="3" borderId="2" xfId="53" applyFont="1" applyFill="1" applyBorder="1" applyAlignment="1">
      <alignment horizontal="center" wrapText="1"/>
    </xf>
    <xf numFmtId="0" fontId="7" fillId="3" borderId="3" xfId="61" applyFont="1" applyFill="1" applyBorder="1" applyAlignment="1">
      <alignment horizontal="center" wrapText="1"/>
    </xf>
    <xf numFmtId="0" fontId="6" fillId="3" borderId="0" xfId="54" applyFont="1" applyFill="1" applyAlignment="1">
      <alignment horizontal="center" vertical="center" wrapText="1"/>
    </xf>
    <xf numFmtId="0" fontId="7" fillId="3" borderId="3" xfId="54" applyFont="1" applyFill="1" applyBorder="1" applyAlignment="1">
      <alignment horizontal="center" wrapText="1"/>
    </xf>
    <xf numFmtId="0" fontId="7" fillId="3" borderId="2" xfId="54" applyFont="1" applyFill="1" applyBorder="1" applyAlignment="1">
      <alignment horizontal="center" wrapText="1"/>
    </xf>
    <xf numFmtId="0" fontId="6" fillId="3" borderId="0" xfId="41" applyFont="1" applyFill="1" applyAlignment="1">
      <alignment horizontal="center" vertical="center" wrapText="1"/>
    </xf>
    <xf numFmtId="0" fontId="7" fillId="3" borderId="3" xfId="55" applyFont="1" applyFill="1" applyBorder="1" applyAlignment="1">
      <alignment horizontal="left" wrapText="1"/>
    </xf>
    <xf numFmtId="0" fontId="7" fillId="3" borderId="2" xfId="55" applyFont="1" applyFill="1" applyBorder="1" applyAlignment="1">
      <alignment horizontal="left" wrapText="1"/>
    </xf>
    <xf numFmtId="0" fontId="7" fillId="3" borderId="3" xfId="55" applyFont="1" applyFill="1" applyBorder="1" applyAlignment="1">
      <alignment horizontal="center" wrapText="1"/>
    </xf>
    <xf numFmtId="0" fontId="7" fillId="3" borderId="2" xfId="55" applyFont="1" applyFill="1" applyBorder="1" applyAlignment="1">
      <alignment horizontal="center" wrapText="1"/>
    </xf>
    <xf numFmtId="0" fontId="6" fillId="3" borderId="0" xfId="55" applyFont="1" applyFill="1" applyAlignment="1">
      <alignment horizontal="center" vertical="center" wrapText="1"/>
    </xf>
    <xf numFmtId="0" fontId="7" fillId="3" borderId="16" xfId="55" applyFont="1" applyFill="1" applyBorder="1" applyAlignment="1">
      <alignment horizontal="center" wrapText="1"/>
    </xf>
    <xf numFmtId="0" fontId="6" fillId="3" borderId="2" xfId="56" applyFont="1" applyFill="1" applyBorder="1" applyAlignment="1">
      <alignment horizontal="center" wrapText="1"/>
    </xf>
    <xf numFmtId="0" fontId="7" fillId="3" borderId="3" xfId="56" applyFont="1" applyFill="1" applyBorder="1" applyAlignment="1">
      <alignment horizontal="left" wrapText="1"/>
    </xf>
    <xf numFmtId="0" fontId="7" fillId="3" borderId="0" xfId="56" applyFont="1" applyFill="1" applyAlignment="1">
      <alignment horizontal="left" wrapText="1"/>
    </xf>
    <xf numFmtId="0" fontId="7" fillId="3" borderId="2" xfId="56" applyFont="1" applyFill="1" applyBorder="1" applyAlignment="1">
      <alignment horizontal="left" wrapText="1"/>
    </xf>
    <xf numFmtId="0" fontId="7" fillId="3" borderId="3" xfId="56" applyFont="1" applyFill="1" applyBorder="1" applyAlignment="1">
      <alignment horizontal="center" wrapText="1"/>
    </xf>
    <xf numFmtId="0" fontId="7" fillId="3" borderId="0" xfId="56" applyFont="1" applyFill="1" applyAlignment="1">
      <alignment horizontal="center" wrapText="1"/>
    </xf>
    <xf numFmtId="0" fontId="7" fillId="3" borderId="2" xfId="56" applyFont="1" applyFill="1" applyBorder="1" applyAlignment="1">
      <alignment horizontal="center" wrapText="1"/>
    </xf>
    <xf numFmtId="0" fontId="7" fillId="3" borderId="16" xfId="56" applyFont="1" applyFill="1" applyBorder="1" applyAlignment="1">
      <alignment horizontal="center" wrapText="1"/>
    </xf>
    <xf numFmtId="0" fontId="6" fillId="3" borderId="0" xfId="57" applyFont="1" applyFill="1" applyAlignment="1">
      <alignment horizontal="center" vertical="center" wrapText="1"/>
    </xf>
    <xf numFmtId="0" fontId="11" fillId="3" borderId="3" xfId="0" applyFont="1" applyFill="1" applyBorder="1" applyAlignment="1">
      <alignment horizontal="center" wrapText="1"/>
    </xf>
    <xf numFmtId="0" fontId="11" fillId="3" borderId="0" xfId="0" applyFont="1" applyFill="1" applyAlignment="1">
      <alignment horizontal="center" wrapText="1"/>
    </xf>
    <xf numFmtId="0" fontId="11" fillId="3" borderId="2" xfId="0" applyFont="1" applyFill="1" applyBorder="1" applyAlignment="1">
      <alignment horizontal="center" wrapText="1"/>
    </xf>
    <xf numFmtId="0" fontId="7" fillId="3" borderId="16" xfId="57" applyFont="1" applyFill="1" applyBorder="1" applyAlignment="1">
      <alignment horizontal="center" vertical="center" wrapText="1"/>
    </xf>
    <xf numFmtId="0" fontId="7" fillId="3" borderId="0" xfId="57" applyFont="1" applyFill="1" applyAlignment="1">
      <alignment horizontal="left" wrapText="1"/>
    </xf>
    <xf numFmtId="0" fontId="7" fillId="3" borderId="2" xfId="57" applyFont="1" applyFill="1" applyBorder="1" applyAlignment="1">
      <alignment horizontal="left" wrapText="1"/>
    </xf>
    <xf numFmtId="0" fontId="7" fillId="3" borderId="0" xfId="57" applyFont="1" applyFill="1" applyAlignment="1">
      <alignment horizontal="center" wrapText="1"/>
    </xf>
    <xf numFmtId="0" fontId="7" fillId="3" borderId="2" xfId="57" applyFont="1" applyFill="1" applyBorder="1" applyAlignment="1">
      <alignment horizontal="center" wrapText="1"/>
    </xf>
    <xf numFmtId="0" fontId="6" fillId="3" borderId="0" xfId="58" applyFont="1" applyFill="1" applyAlignment="1">
      <alignment horizontal="center" wrapText="1"/>
    </xf>
    <xf numFmtId="0" fontId="7" fillId="3" borderId="3" xfId="58" applyFont="1" applyFill="1" applyBorder="1" applyAlignment="1">
      <alignment horizontal="left" wrapText="1"/>
    </xf>
    <xf numFmtId="0" fontId="7" fillId="3" borderId="2" xfId="58" applyFont="1" applyFill="1" applyBorder="1" applyAlignment="1">
      <alignment horizontal="left" wrapText="1"/>
    </xf>
    <xf numFmtId="0" fontId="7" fillId="3" borderId="3" xfId="58" applyFont="1" applyFill="1" applyBorder="1" applyAlignment="1">
      <alignment horizontal="center" wrapText="1"/>
    </xf>
    <xf numFmtId="0" fontId="7" fillId="3" borderId="2" xfId="58" applyFont="1" applyFill="1" applyBorder="1" applyAlignment="1">
      <alignment horizontal="center" wrapText="1"/>
    </xf>
    <xf numFmtId="0" fontId="7" fillId="3" borderId="3" xfId="59" applyFont="1" applyFill="1" applyBorder="1" applyAlignment="1">
      <alignment horizontal="left" wrapText="1"/>
    </xf>
    <xf numFmtId="0" fontId="7" fillId="3" borderId="2" xfId="59" applyFont="1" applyFill="1" applyBorder="1" applyAlignment="1">
      <alignment horizontal="left" wrapText="1"/>
    </xf>
    <xf numFmtId="0" fontId="7" fillId="3" borderId="3" xfId="59" applyFont="1" applyFill="1" applyBorder="1" applyAlignment="1">
      <alignment horizontal="center" wrapText="1"/>
    </xf>
    <xf numFmtId="0" fontId="7" fillId="3" borderId="2" xfId="59" applyFont="1" applyFill="1" applyBorder="1" applyAlignment="1">
      <alignment horizontal="center" wrapText="1"/>
    </xf>
    <xf numFmtId="0" fontId="6" fillId="3" borderId="0" xfId="59" applyFont="1" applyFill="1" applyAlignment="1">
      <alignment horizontal="center" vertical="center" wrapText="1"/>
    </xf>
    <xf numFmtId="0" fontId="7" fillId="3" borderId="16" xfId="59" applyFont="1" applyFill="1" applyBorder="1" applyAlignment="1">
      <alignment horizontal="center" wrapText="1"/>
    </xf>
    <xf numFmtId="0" fontId="6" fillId="3" borderId="0" xfId="60" applyFont="1" applyFill="1" applyAlignment="1">
      <alignment horizontal="center" vertical="center" wrapText="1"/>
    </xf>
    <xf numFmtId="0" fontId="7" fillId="3" borderId="3" xfId="60" applyFont="1" applyFill="1" applyBorder="1" applyAlignment="1">
      <alignment horizontal="left" wrapText="1"/>
    </xf>
    <xf numFmtId="0" fontId="7" fillId="3" borderId="2" xfId="60" applyFont="1" applyFill="1" applyBorder="1" applyAlignment="1">
      <alignment horizontal="left" wrapText="1"/>
    </xf>
    <xf numFmtId="0" fontId="7" fillId="3" borderId="3" xfId="60" applyFont="1" applyFill="1" applyBorder="1" applyAlignment="1">
      <alignment horizontal="center" wrapText="1"/>
    </xf>
    <xf numFmtId="0" fontId="7" fillId="3" borderId="2" xfId="60" applyFont="1" applyFill="1" applyBorder="1" applyAlignment="1">
      <alignment horizontal="center" wrapText="1"/>
    </xf>
    <xf numFmtId="0" fontId="7" fillId="3" borderId="16" xfId="60" applyFont="1" applyFill="1" applyBorder="1" applyAlignment="1">
      <alignment horizontal="center" wrapText="1"/>
    </xf>
    <xf numFmtId="0" fontId="7" fillId="3" borderId="3" xfId="30" applyFont="1" applyFill="1" applyBorder="1" applyAlignment="1">
      <alignment horizontal="center" wrapText="1"/>
    </xf>
    <xf numFmtId="0" fontId="7" fillId="3" borderId="2" xfId="30" applyFont="1" applyFill="1" applyBorder="1" applyAlignment="1">
      <alignment horizontal="center" wrapText="1"/>
    </xf>
    <xf numFmtId="0" fontId="6" fillId="3" borderId="2" xfId="29" applyFont="1" applyFill="1" applyBorder="1" applyAlignment="1">
      <alignment horizontal="center" vertical="center" wrapText="1"/>
    </xf>
    <xf numFmtId="0" fontId="6" fillId="3" borderId="0" xfId="28" applyFont="1" applyFill="1" applyAlignment="1">
      <alignment horizontal="center" vertical="center" wrapText="1"/>
    </xf>
    <xf numFmtId="0" fontId="7" fillId="3" borderId="3" xfId="28" applyFont="1" applyFill="1" applyBorder="1" applyAlignment="1">
      <alignment horizontal="left" wrapText="1"/>
    </xf>
    <xf numFmtId="0" fontId="7" fillId="3" borderId="2" xfId="28" applyFont="1" applyFill="1" applyBorder="1" applyAlignment="1">
      <alignment horizontal="left" wrapText="1"/>
    </xf>
    <xf numFmtId="0" fontId="7" fillId="3" borderId="3" xfId="28" applyFont="1" applyFill="1" applyBorder="1" applyAlignment="1">
      <alignment horizontal="center" wrapText="1"/>
    </xf>
    <xf numFmtId="0" fontId="7" fillId="3" borderId="2" xfId="28" applyFont="1" applyFill="1" applyBorder="1" applyAlignment="1">
      <alignment horizontal="center" wrapText="1"/>
    </xf>
    <xf numFmtId="0" fontId="7" fillId="3" borderId="16" xfId="28" applyFont="1" applyFill="1" applyBorder="1" applyAlignment="1">
      <alignment horizontal="center" wrapText="1"/>
    </xf>
    <xf numFmtId="0" fontId="8" fillId="3" borderId="0" xfId="0" applyFont="1" applyFill="1" applyAlignment="1">
      <alignment horizontal="center" wrapText="1"/>
    </xf>
    <xf numFmtId="0" fontId="7" fillId="3" borderId="3" xfId="27" applyFont="1" applyFill="1" applyBorder="1" applyAlignment="1">
      <alignment horizontal="center" wrapText="1"/>
    </xf>
    <xf numFmtId="0" fontId="7" fillId="3" borderId="2" xfId="27" applyFont="1" applyFill="1" applyBorder="1" applyAlignment="1">
      <alignment horizontal="center" wrapText="1"/>
    </xf>
    <xf numFmtId="0" fontId="7" fillId="3" borderId="16" xfId="27" applyFont="1" applyFill="1" applyBorder="1" applyAlignment="1">
      <alignment horizontal="center" wrapText="1"/>
    </xf>
    <xf numFmtId="0" fontId="8" fillId="3" borderId="4" xfId="4" applyFont="1" applyFill="1" applyBorder="1" applyAlignment="1">
      <alignment horizontal="left" vertical="center"/>
    </xf>
    <xf numFmtId="0" fontId="11" fillId="3" borderId="14" xfId="16" applyFont="1" applyFill="1" applyBorder="1" applyAlignment="1">
      <alignment horizontal="left" wrapText="1"/>
    </xf>
    <xf numFmtId="0" fontId="9" fillId="3" borderId="5" xfId="4" applyFont="1" applyFill="1" applyBorder="1" applyAlignment="1">
      <alignment horizontal="center" vertical="center" wrapText="1"/>
    </xf>
    <xf numFmtId="0" fontId="9" fillId="3" borderId="2" xfId="4" applyFont="1" applyFill="1" applyBorder="1" applyAlignment="1">
      <alignment horizontal="center" vertical="center" wrapText="1"/>
    </xf>
    <xf numFmtId="0" fontId="9" fillId="3" borderId="6" xfId="4" applyFont="1" applyFill="1" applyBorder="1" applyAlignment="1">
      <alignment horizontal="center" vertical="center" wrapText="1"/>
    </xf>
    <xf numFmtId="0" fontId="8" fillId="3" borderId="4" xfId="4" applyFont="1" applyFill="1" applyBorder="1" applyAlignment="1">
      <alignment horizontal="center" vertical="center"/>
    </xf>
    <xf numFmtId="0" fontId="11" fillId="3" borderId="12" xfId="16" applyFont="1" applyFill="1" applyBorder="1" applyAlignment="1">
      <alignment horizontal="left" wrapText="1"/>
    </xf>
    <xf numFmtId="0" fontId="9" fillId="3" borderId="5" xfId="4" applyFont="1" applyFill="1" applyBorder="1" applyAlignment="1">
      <alignment horizontal="center" wrapText="1"/>
    </xf>
    <xf numFmtId="0" fontId="9" fillId="3" borderId="2" xfId="4" applyFont="1" applyFill="1" applyBorder="1" applyAlignment="1">
      <alignment horizontal="center" wrapText="1"/>
    </xf>
    <xf numFmtId="0" fontId="8" fillId="3" borderId="4" xfId="4" applyFont="1" applyFill="1" applyBorder="1" applyAlignment="1">
      <alignment horizontal="center" wrapText="1"/>
    </xf>
    <xf numFmtId="0" fontId="8" fillId="3" borderId="4" xfId="4" applyFont="1" applyFill="1" applyBorder="1" applyAlignment="1">
      <alignment horizontal="center" vertical="center" wrapText="1"/>
    </xf>
    <xf numFmtId="3" fontId="9" fillId="3" borderId="5" xfId="4" applyNumberFormat="1" applyFont="1" applyFill="1" applyBorder="1" applyAlignment="1">
      <alignment horizontal="center" vertical="center" wrapText="1"/>
    </xf>
    <xf numFmtId="3" fontId="9" fillId="3" borderId="2" xfId="4" applyNumberFormat="1" applyFont="1" applyFill="1" applyBorder="1" applyAlignment="1">
      <alignment horizontal="center" vertical="center" wrapText="1"/>
    </xf>
    <xf numFmtId="3" fontId="9" fillId="3" borderId="6" xfId="4" applyNumberFormat="1" applyFont="1" applyFill="1" applyBorder="1" applyAlignment="1">
      <alignment horizontal="center" vertical="center" wrapText="1"/>
    </xf>
    <xf numFmtId="0" fontId="8" fillId="3" borderId="0" xfId="4" applyFont="1" applyFill="1" applyAlignment="1">
      <alignment horizontal="center" wrapText="1"/>
    </xf>
    <xf numFmtId="0" fontId="8" fillId="3" borderId="2" xfId="4" applyFont="1" applyFill="1" applyBorder="1" applyAlignment="1">
      <alignment horizontal="center" wrapText="1"/>
    </xf>
    <xf numFmtId="0" fontId="9" fillId="3" borderId="3" xfId="4" applyFont="1" applyFill="1" applyBorder="1" applyAlignment="1">
      <alignment horizontal="center" wrapText="1"/>
    </xf>
    <xf numFmtId="0" fontId="9" fillId="3" borderId="16" xfId="4" applyFont="1" applyFill="1" applyBorder="1" applyAlignment="1">
      <alignment horizontal="center" vertical="center" wrapText="1"/>
    </xf>
    <xf numFmtId="0" fontId="9" fillId="3" borderId="0" xfId="4" applyFont="1" applyFill="1" applyAlignment="1">
      <alignment horizontal="center" wrapText="1"/>
    </xf>
    <xf numFmtId="0" fontId="8" fillId="3" borderId="4" xfId="4" applyFont="1" applyFill="1" applyBorder="1" applyAlignment="1">
      <alignment horizontal="left" vertical="center" wrapText="1"/>
    </xf>
    <xf numFmtId="0" fontId="9" fillId="3" borderId="5" xfId="4" applyFont="1" applyFill="1" applyBorder="1" applyAlignment="1">
      <alignment horizontal="left" wrapText="1"/>
    </xf>
    <xf numFmtId="0" fontId="9" fillId="3" borderId="0" xfId="4" applyFont="1" applyFill="1" applyAlignment="1">
      <alignment horizontal="left" wrapText="1"/>
    </xf>
    <xf numFmtId="0" fontId="7" fillId="3" borderId="5" xfId="7" applyFont="1" applyFill="1" applyBorder="1" applyAlignment="1">
      <alignment horizontal="center" wrapText="1"/>
    </xf>
    <xf numFmtId="0" fontId="7" fillId="3" borderId="0" xfId="7" applyFont="1" applyFill="1" applyAlignment="1">
      <alignment horizontal="center" wrapText="1"/>
    </xf>
    <xf numFmtId="0" fontId="7" fillId="3" borderId="7" xfId="7" applyFont="1" applyFill="1" applyBorder="1" applyAlignment="1">
      <alignment horizontal="center" wrapText="1"/>
    </xf>
  </cellXfs>
  <cellStyles count="62">
    <cellStyle name="Comma" xfId="1" builtinId="3"/>
    <cellStyle name="Normal" xfId="0" builtinId="0"/>
    <cellStyle name="Normal 14" xfId="4" xr:uid="{00000000-0005-0000-0000-000001000000}"/>
    <cellStyle name="Normal 2 2" xfId="8" xr:uid="{00000000-0005-0000-0000-000002000000}"/>
    <cellStyle name="Normal 2 3" xfId="29" xr:uid="{00000000-0005-0000-0000-000003000000}"/>
    <cellStyle name="Normal 2 4" xfId="20" xr:uid="{00000000-0005-0000-0000-000004000000}"/>
    <cellStyle name="Normal_9.1" xfId="45" xr:uid="{9C899B58-DCDE-4D6D-A2A6-29F26853B9DF}"/>
    <cellStyle name="Normal_9.10" xfId="54" xr:uid="{625C5B01-A758-4CF3-99FC-A6ECBC570D4F}"/>
    <cellStyle name="Normal_9.12" xfId="55" xr:uid="{E6410F1E-989A-4E6E-9D16-BD9F6BC48876}"/>
    <cellStyle name="Normal_9.13" xfId="56" xr:uid="{829D41C2-2C1C-43F1-9E05-0BBAF1B6940D}"/>
    <cellStyle name="Normal_9.14" xfId="57" xr:uid="{D78722D5-0A3E-4495-9A7E-21E95BC11F15}"/>
    <cellStyle name="Normal_9.15" xfId="58" xr:uid="{7AA9CAA7-A9BD-47DE-A8FF-A7723DCF0984}"/>
    <cellStyle name="Normal_9.16" xfId="59" xr:uid="{D848236A-5321-4416-A4B9-53A56F5339C1}"/>
    <cellStyle name="Normal_9.17" xfId="60" xr:uid="{148EA403-AA05-4C8D-91CF-5CB071E10717}"/>
    <cellStyle name="Normal_9.2" xfId="46" xr:uid="{157B517A-5A8D-479C-BC13-29B1FFCD22F7}"/>
    <cellStyle name="Normal_9.3" xfId="47" xr:uid="{E9AE8FCA-4EA1-4600-8B7F-C381DB2EE71C}"/>
    <cellStyle name="Normal_9.4" xfId="48" xr:uid="{5EC9697C-BE9E-44B5-9E66-86B66A622184}"/>
    <cellStyle name="Normal_9.5" xfId="49" xr:uid="{B45D037D-ED38-4C38-AFDF-1A38338941EB}"/>
    <cellStyle name="Normal_9.6" xfId="50" xr:uid="{26A33438-4B6E-4B97-89A0-CD68A772BFB1}"/>
    <cellStyle name="Normal_9.7" xfId="51" xr:uid="{37163C94-24A9-4C85-BF49-907529DBEAD0}"/>
    <cellStyle name="Normal_9.8" xfId="52" xr:uid="{CB9F3316-25D4-4CCC-AAC7-CB841E671B35}"/>
    <cellStyle name="Normal_9.9" xfId="53" xr:uid="{D73ED3CF-3827-4070-A1E8-765D47F8436D}"/>
    <cellStyle name="Normal_Folha1 2" xfId="6" xr:uid="{00000000-0005-0000-0000-000005000000}"/>
    <cellStyle name="Normal_Folha10" xfId="38" xr:uid="{885F6BDC-D3A0-4B0B-9702-CA63A1906FDE}"/>
    <cellStyle name="Normal_Folha11" xfId="39" xr:uid="{4E982E19-CD21-4076-8F96-60656DF67AB1}"/>
    <cellStyle name="Normal_Folha12" xfId="40" xr:uid="{5C78C18B-6CE1-4E49-A5AD-0F9271C92150}"/>
    <cellStyle name="Normal_Folha13" xfId="41" xr:uid="{1F1E3333-99E9-44AC-A868-F8B104BE3E34}"/>
    <cellStyle name="Normal_Folha14" xfId="42" xr:uid="{ABEBB5AD-64B1-4741-9D1A-617968A00949}"/>
    <cellStyle name="Normal_Folha2" xfId="2" xr:uid="{00000000-0005-0000-0000-000006000000}"/>
    <cellStyle name="Normal_Folha2 2" xfId="9" xr:uid="{00000000-0005-0000-0000-000007000000}"/>
    <cellStyle name="Normal_Folha3" xfId="11" xr:uid="{00000000-0005-0000-0000-000008000000}"/>
    <cellStyle name="Normal_Folha4" xfId="34" xr:uid="{343A9698-8721-41F9-A42E-94874E5D0B29}"/>
    <cellStyle name="Normal_Folha6" xfId="18" xr:uid="{00000000-0005-0000-0000-000009000000}"/>
    <cellStyle name="Normal_Folha7" xfId="35" xr:uid="{47FA1B88-75FE-4B1D-96D2-030F3B1DB8F8}"/>
    <cellStyle name="Normal_Folha8" xfId="36" xr:uid="{D64AD5D4-A449-4EA7-A63A-EC4CC0314F6E}"/>
    <cellStyle name="Normal_Folha9" xfId="37" xr:uid="{611A0F4A-32CC-41AB-A84E-C5AC185F9F17}"/>
    <cellStyle name="Normal_GAZA1" xfId="24" xr:uid="{00000000-0005-0000-0000-00000A000000}"/>
    <cellStyle name="Normal_gp_idade2" xfId="26" xr:uid="{00000000-0005-0000-0000-00000B000000}"/>
    <cellStyle name="Normal_Pop_Bilhete _Identidade 2" xfId="12" xr:uid="{00000000-0005-0000-0000-00000C000000}"/>
    <cellStyle name="Normal_Pop_Bilhete _Identidade1" xfId="15" xr:uid="{00000000-0005-0000-0000-00000D000000}"/>
    <cellStyle name="Normal_Pop_Bilhete_grupo etario 2" xfId="14" xr:uid="{00000000-0005-0000-0000-00000E000000}"/>
    <cellStyle name="Normal_Q.15" xfId="43" xr:uid="{1912E863-04A4-414E-A629-EB4F60540C2C}"/>
    <cellStyle name="Normal_Q.16" xfId="44" xr:uid="{3085516A-3004-4306-A3E4-9EE4E332477A}"/>
    <cellStyle name="Normal_Q1" xfId="31" xr:uid="{00000000-0005-0000-0000-00000F000000}"/>
    <cellStyle name="Normal_Q1.1" xfId="3" xr:uid="{00000000-0005-0000-0000-000010000000}"/>
    <cellStyle name="Normal_Q1.7" xfId="13" xr:uid="{00000000-0005-0000-0000-000011000000}"/>
    <cellStyle name="Normal_Q1.9" xfId="10" xr:uid="{00000000-0005-0000-0000-000012000000}"/>
    <cellStyle name="Normal_Q8.10" xfId="23" xr:uid="{00000000-0005-0000-0000-000013000000}"/>
    <cellStyle name="Normal_Q8.7" xfId="21" xr:uid="{00000000-0005-0000-0000-000017000000}"/>
    <cellStyle name="Normal_Q8.8" xfId="19" xr:uid="{00000000-0005-0000-0000-000018000000}"/>
    <cellStyle name="Normal_Q8.9" xfId="22" xr:uid="{00000000-0005-0000-0000-000019000000}"/>
    <cellStyle name="Normal_Q9.18" xfId="30" xr:uid="{00000000-0005-0000-0000-000023000000}"/>
    <cellStyle name="Normal_Q9.20" xfId="27" xr:uid="{00000000-0005-0000-0000-000025000000}"/>
    <cellStyle name="Normal_Q9.9" xfId="61" xr:uid="{06AC0C5F-8450-41FD-850B-E3334811F61A}"/>
    <cellStyle name="Normal_Q91.9" xfId="28" xr:uid="{00000000-0005-0000-0000-00002D000000}"/>
    <cellStyle name="Normal_Quadro 3" xfId="25" xr:uid="{00000000-0005-0000-0000-00002E000000}"/>
    <cellStyle name="Normal_QuadrosCD" xfId="7" xr:uid="{00000000-0005-0000-0000-00002F000000}"/>
    <cellStyle name="Normal_Sheet1" xfId="16" xr:uid="{00000000-0005-0000-0000-000030000000}"/>
    <cellStyle name="Normal_Sheet2" xfId="5" xr:uid="{00000000-0005-0000-0000-000031000000}"/>
    <cellStyle name="Normal_Sheet3" xfId="17" xr:uid="{00000000-0005-0000-0000-000032000000}"/>
    <cellStyle name="Normal_Sheet5" xfId="33" xr:uid="{00000000-0005-0000-0000-000033000000}"/>
    <cellStyle name="Vírgula 2" xfId="32" xr:uid="{00000000-0005-0000-0000-000037000000}"/>
  </cellStyles>
  <dxfs count="0"/>
  <tableStyles count="0" defaultTableStyle="TableStyleMedium2" defaultPivotStyle="PivotStyleLight16"/>
  <colors>
    <mruColors>
      <color rgb="FF821E00"/>
      <color rgb="FF820000"/>
      <color rgb="FF5F497A"/>
      <color rgb="FFEABD00"/>
      <color rgb="FF002060"/>
      <color rgb="FF4D4D4D"/>
      <color rgb="FF2158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50468</xdr:colOff>
      <xdr:row>45</xdr:row>
      <xdr:rowOff>73025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8E17BD-4F88-4914-B811-B52A212DB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46468" cy="86455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9</xdr:col>
      <xdr:colOff>561975</xdr:colOff>
      <xdr:row>33</xdr:row>
      <xdr:rowOff>134937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A11A5E2-6EB3-4AD6-AC5D-0B133E78ABD9}"/>
            </a:ext>
          </a:extLst>
        </xdr:cNvPr>
        <xdr:cNvSpPr/>
      </xdr:nvSpPr>
      <xdr:spPr>
        <a:xfrm>
          <a:off x="0" y="4762500"/>
          <a:ext cx="6048375" cy="165893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População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156011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2EF279-4EA8-40A7-BB7A-3BD5C69A2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0011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76200</xdr:rowOff>
    </xdr:from>
    <xdr:to>
      <xdr:col>10</xdr:col>
      <xdr:colOff>523875</xdr:colOff>
      <xdr:row>37</xdr:row>
      <xdr:rowOff>64861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60AB50F-159A-4E1A-A09C-4D4F57A54DE3}"/>
            </a:ext>
          </a:extLst>
        </xdr:cNvPr>
        <xdr:cNvSpPr/>
      </xdr:nvSpPr>
      <xdr:spPr>
        <a:xfrm>
          <a:off x="19050" y="5029200"/>
          <a:ext cx="6600825" cy="208416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Estado Civil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519133</xdr:colOff>
      <xdr:row>48</xdr:row>
      <xdr:rowOff>156011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24549BD5-AE53-4F7D-ADEE-3919DDC58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28576</xdr:rowOff>
    </xdr:from>
    <xdr:to>
      <xdr:col>10</xdr:col>
      <xdr:colOff>468313</xdr:colOff>
      <xdr:row>36</xdr:row>
      <xdr:rowOff>171450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3D6665A0-A1EA-40B1-BF6C-495B70B52432}"/>
            </a:ext>
          </a:extLst>
        </xdr:cNvPr>
        <xdr:cNvSpPr/>
      </xdr:nvSpPr>
      <xdr:spPr>
        <a:xfrm>
          <a:off x="0" y="5362576"/>
          <a:ext cx="6564313" cy="16668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Registo Civil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A34FF6B-1EFB-4D16-B5B8-FE8186684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104775</xdr:rowOff>
    </xdr:from>
    <xdr:to>
      <xdr:col>10</xdr:col>
      <xdr:colOff>444954</xdr:colOff>
      <xdr:row>35</xdr:row>
      <xdr:rowOff>186418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6A6AC19F-98DB-4A73-9F4C-0DC753DF5272}"/>
            </a:ext>
          </a:extLst>
        </xdr:cNvPr>
        <xdr:cNvSpPr/>
      </xdr:nvSpPr>
      <xdr:spPr>
        <a:xfrm>
          <a:off x="9525" y="5057775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 Deficiência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FCE6D4D-4978-4EB5-A64B-18AB58C16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66675</xdr:rowOff>
    </xdr:from>
    <xdr:to>
      <xdr:col>10</xdr:col>
      <xdr:colOff>485775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B924B9-BA82-488A-8215-7FA240A03C81}"/>
            </a:ext>
          </a:extLst>
        </xdr:cNvPr>
        <xdr:cNvSpPr/>
      </xdr:nvSpPr>
      <xdr:spPr>
        <a:xfrm>
          <a:off x="0" y="5019675"/>
          <a:ext cx="6581775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Orfandade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F428D8E-8663-4C28-B549-0F5A7011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76200</xdr:rowOff>
    </xdr:from>
    <xdr:to>
      <xdr:col>10</xdr:col>
      <xdr:colOff>435429</xdr:colOff>
      <xdr:row>35</xdr:row>
      <xdr:rowOff>157843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949FE767-CC65-40DA-970A-C0DE8FCD3F47}"/>
            </a:ext>
          </a:extLst>
        </xdr:cNvPr>
        <xdr:cNvSpPr/>
      </xdr:nvSpPr>
      <xdr:spPr>
        <a:xfrm>
          <a:off x="0" y="5029200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Língua e etnia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10</xdr:col>
      <xdr:colOff>471962</xdr:colOff>
      <xdr:row>48</xdr:row>
      <xdr:rowOff>116550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D52509-D0ED-48EF-A4F5-6F8F62CA2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66675</xdr:rowOff>
    </xdr:from>
    <xdr:to>
      <xdr:col>10</xdr:col>
      <xdr:colOff>457200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F50978A-7EBD-44B9-B758-A065FE410A62}"/>
            </a:ext>
          </a:extLst>
        </xdr:cNvPr>
        <xdr:cNvSpPr/>
      </xdr:nvSpPr>
      <xdr:spPr>
        <a:xfrm>
          <a:off x="0" y="5019675"/>
          <a:ext cx="6553200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Religião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161681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DBFD95-5011-4A03-902C-7E40D6CB2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568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180975</xdr:rowOff>
    </xdr:from>
    <xdr:to>
      <xdr:col>10</xdr:col>
      <xdr:colOff>485775</xdr:colOff>
      <xdr:row>36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099BC78-3906-4976-BC2D-B3C3103E326C}"/>
            </a:ext>
          </a:extLst>
        </xdr:cNvPr>
        <xdr:cNvSpPr/>
      </xdr:nvSpPr>
      <xdr:spPr>
        <a:xfrm>
          <a:off x="9525" y="5133975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Educação e FP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10</xdr:col>
      <xdr:colOff>515958</xdr:colOff>
      <xdr:row>48</xdr:row>
      <xdr:rowOff>190256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95ACAFE-1BB3-45C3-8346-0882AD488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611958" cy="93056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10</xdr:col>
      <xdr:colOff>476250</xdr:colOff>
      <xdr:row>36</xdr:row>
      <xdr:rowOff>95250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6F3DE73-D995-4C63-85BC-2E6B1F8B7A03}"/>
            </a:ext>
          </a:extLst>
        </xdr:cNvPr>
        <xdr:cNvSpPr/>
      </xdr:nvSpPr>
      <xdr:spPr>
        <a:xfrm>
          <a:off x="0" y="5143500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9.Agregado Familiar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479165</xdr:colOff>
      <xdr:row>50</xdr:row>
      <xdr:rowOff>141603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CFBF8E-2B96-460E-801D-C3FAC1A95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75165" cy="96666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123825</xdr:rowOff>
    </xdr:from>
    <xdr:to>
      <xdr:col>10</xdr:col>
      <xdr:colOff>442632</xdr:colOff>
      <xdr:row>37</xdr:row>
      <xdr:rowOff>101414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3BDC726-0D56-4B71-95BE-0A31B2381ACE}"/>
            </a:ext>
          </a:extLst>
        </xdr:cNvPr>
        <xdr:cNvSpPr/>
      </xdr:nvSpPr>
      <xdr:spPr>
        <a:xfrm>
          <a:off x="0" y="5267325"/>
          <a:ext cx="6538632" cy="18825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11. Habitação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bio.Almeida\Desktop\Quadros_educ_AF_Cuan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 8.1"/>
      <sheetName val="Q 8.2"/>
      <sheetName val="Q 8.3"/>
      <sheetName val="Q 8.4"/>
      <sheetName val="Q 8.5"/>
      <sheetName val="Q 8.6"/>
      <sheetName val="Q 8.7"/>
      <sheetName val="Q 8.8"/>
      <sheetName val="Q 8.9"/>
      <sheetName val="Q 8.10"/>
      <sheetName val="Q 8.11"/>
      <sheetName val="Q 8.12"/>
      <sheetName val="Q 8.13"/>
      <sheetName val="Q 8.14"/>
      <sheetName val="Q 8.15"/>
      <sheetName val="Q 8.16"/>
      <sheetName val="Agregado_Familiar"/>
      <sheetName val=" Q 9.1"/>
      <sheetName val="Q 9.2"/>
      <sheetName val="Q 9.3"/>
      <sheetName val="Q 9.4"/>
      <sheetName val="Q 9.5"/>
      <sheetName val="Q 9.6"/>
      <sheetName val="Q 9.7"/>
      <sheetName val="Q 9.8"/>
      <sheetName val="Q 9.9"/>
      <sheetName val="Q 9.10"/>
      <sheetName val="Q 9.11"/>
      <sheetName val="Q 9.12"/>
      <sheetName val="Q 9.13"/>
      <sheetName val="Q 9.14"/>
      <sheetName val="Q 9.15"/>
      <sheetName val="Q 9.16"/>
      <sheetName val="Q 9.17"/>
      <sheetName val="Q 9.18"/>
      <sheetName val="Q 9.19"/>
      <sheetName val="Q 9.20"/>
    </sheetNames>
    <sheetDataSet>
      <sheetData sheetId="0"/>
      <sheetData sheetId="1"/>
      <sheetData sheetId="2">
        <row r="2">
          <cell r="A2" t="str">
            <v>Área de residência, município e comuna</v>
          </cell>
        </row>
      </sheetData>
      <sheetData sheetId="3"/>
      <sheetData sheetId="4"/>
      <sheetData sheetId="5"/>
      <sheetData sheetId="6"/>
      <sheetData sheetId="7"/>
      <sheetData sheetId="8">
        <row r="2">
          <cell r="A2" t="str">
            <v>Área de residência, município e comuna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21E00"/>
  </sheetPr>
  <dimension ref="G23"/>
  <sheetViews>
    <sheetView zoomScaleNormal="100" workbookViewId="0">
      <selection activeCell="Q28" sqref="Q28"/>
    </sheetView>
  </sheetViews>
  <sheetFormatPr defaultColWidth="9.140625" defaultRowHeight="15"/>
  <cols>
    <col min="1" max="16384" width="9.140625" style="1"/>
  </cols>
  <sheetData>
    <row r="23" spans="7:7">
      <c r="G23" s="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zoomScale="120" zoomScaleNormal="120" workbookViewId="0">
      <selection activeCell="C3" sqref="C3"/>
    </sheetView>
  </sheetViews>
  <sheetFormatPr defaultColWidth="9.140625" defaultRowHeight="12"/>
  <cols>
    <col min="1" max="1" width="16.5703125" style="69" customWidth="1"/>
    <col min="2" max="16384" width="9.140625" style="69"/>
  </cols>
  <sheetData>
    <row r="1" spans="1:4" ht="20.25" customHeight="1">
      <c r="A1" s="689" t="s">
        <v>472</v>
      </c>
      <c r="B1" s="689"/>
      <c r="C1" s="689"/>
      <c r="D1" s="689"/>
    </row>
    <row r="2" spans="1:4" ht="33" customHeight="1">
      <c r="A2" s="111" t="s">
        <v>445</v>
      </c>
      <c r="B2" s="112" t="s">
        <v>1</v>
      </c>
      <c r="C2" s="112" t="s">
        <v>2</v>
      </c>
      <c r="D2" s="112" t="s">
        <v>3</v>
      </c>
    </row>
    <row r="3" spans="1:4" ht="10.5" customHeight="1">
      <c r="A3" s="143" t="s">
        <v>500</v>
      </c>
      <c r="B3" s="149">
        <v>138769.95281459979</v>
      </c>
      <c r="C3" s="149">
        <v>70751.393890127219</v>
      </c>
      <c r="D3" s="149">
        <v>68018.558924531375</v>
      </c>
    </row>
    <row r="4" spans="1:4">
      <c r="A4" s="113"/>
      <c r="B4" s="114"/>
      <c r="C4" s="114"/>
      <c r="D4" s="114"/>
    </row>
    <row r="5" spans="1:4">
      <c r="A5" s="144" t="s">
        <v>111</v>
      </c>
      <c r="B5" s="144"/>
      <c r="C5" s="144"/>
      <c r="D5" s="144"/>
    </row>
    <row r="6" spans="1:4">
      <c r="A6" s="115" t="s">
        <v>4</v>
      </c>
      <c r="B6" s="114">
        <v>51501.212629849317</v>
      </c>
      <c r="C6" s="114">
        <v>26103.990432069026</v>
      </c>
      <c r="D6" s="114">
        <v>25397.222197794388</v>
      </c>
    </row>
    <row r="7" spans="1:4">
      <c r="A7" s="115" t="s">
        <v>5</v>
      </c>
      <c r="B7" s="114">
        <v>87268.740184803784</v>
      </c>
      <c r="C7" s="114">
        <v>44647.403458081862</v>
      </c>
      <c r="D7" s="114">
        <v>42621.336726758491</v>
      </c>
    </row>
    <row r="8" spans="1:4">
      <c r="A8" s="145" t="s">
        <v>448</v>
      </c>
      <c r="B8" s="146"/>
      <c r="C8" s="146"/>
      <c r="D8" s="146"/>
    </row>
    <row r="9" spans="1:4">
      <c r="A9" s="116" t="s">
        <v>486</v>
      </c>
      <c r="B9" s="117">
        <v>24757.123945472587</v>
      </c>
      <c r="C9" s="117">
        <v>12643.809097529191</v>
      </c>
      <c r="D9" s="117">
        <v>12113.314847941843</v>
      </c>
    </row>
    <row r="10" spans="1:4" s="72" customFormat="1" ht="12.75" customHeight="1">
      <c r="A10" s="118" t="s">
        <v>486</v>
      </c>
      <c r="B10" s="119">
        <v>24757.123945472587</v>
      </c>
      <c r="C10" s="119">
        <v>12643.809097529191</v>
      </c>
      <c r="D10" s="119">
        <v>12113.314847941843</v>
      </c>
    </row>
    <row r="11" spans="1:4">
      <c r="A11" s="116" t="s">
        <v>487</v>
      </c>
      <c r="B11" s="117">
        <v>49793.527669878233</v>
      </c>
      <c r="C11" s="117">
        <v>25187.979934238279</v>
      </c>
      <c r="D11" s="117">
        <v>24605.547735647466</v>
      </c>
    </row>
    <row r="12" spans="1:4" s="72" customFormat="1">
      <c r="A12" s="118" t="s">
        <v>487</v>
      </c>
      <c r="B12" s="119">
        <v>42696.757487623705</v>
      </c>
      <c r="C12" s="119">
        <v>21478.35811419769</v>
      </c>
      <c r="D12" s="119">
        <v>21218.399373433327</v>
      </c>
    </row>
    <row r="13" spans="1:4">
      <c r="A13" s="118" t="s">
        <v>488</v>
      </c>
      <c r="B13" s="119">
        <v>7096.7701822545259</v>
      </c>
      <c r="C13" s="119">
        <v>3709.6218200405888</v>
      </c>
      <c r="D13" s="119">
        <v>3387.1483622141386</v>
      </c>
    </row>
    <row r="14" spans="1:4">
      <c r="A14" s="116" t="s">
        <v>489</v>
      </c>
      <c r="B14" s="117">
        <v>7043.3486249433035</v>
      </c>
      <c r="C14" s="117">
        <v>3693.7514620424363</v>
      </c>
      <c r="D14" s="117">
        <v>3349.5971629009218</v>
      </c>
    </row>
    <row r="15" spans="1:4" s="72" customFormat="1">
      <c r="A15" s="118" t="s">
        <v>489</v>
      </c>
      <c r="B15" s="119">
        <v>4508.0622889973547</v>
      </c>
      <c r="C15" s="119">
        <v>2383.3303662046042</v>
      </c>
      <c r="D15" s="119">
        <v>2124.7319227928101</v>
      </c>
    </row>
    <row r="16" spans="1:4">
      <c r="A16" s="118" t="s">
        <v>490</v>
      </c>
      <c r="B16" s="119">
        <v>2535.2863359459488</v>
      </c>
      <c r="C16" s="119">
        <v>1310.4210958378324</v>
      </c>
      <c r="D16" s="119">
        <v>1224.8652401081117</v>
      </c>
    </row>
    <row r="17" spans="1:4" s="72" customFormat="1">
      <c r="A17" s="116" t="s">
        <v>491</v>
      </c>
      <c r="B17" s="117">
        <v>19788.548710976385</v>
      </c>
      <c r="C17" s="117">
        <v>9856.364439845589</v>
      </c>
      <c r="D17" s="117">
        <v>9932.1842711292302</v>
      </c>
    </row>
    <row r="18" spans="1:4">
      <c r="A18" s="118" t="s">
        <v>491</v>
      </c>
      <c r="B18" s="119">
        <v>19788.548710976385</v>
      </c>
      <c r="C18" s="119">
        <v>9856.364439845589</v>
      </c>
      <c r="D18" s="119">
        <v>9932.1842711292302</v>
      </c>
    </row>
    <row r="19" spans="1:4" s="72" customFormat="1">
      <c r="A19" s="116" t="s">
        <v>499</v>
      </c>
      <c r="B19" s="117">
        <v>9330.1514324610343</v>
      </c>
      <c r="C19" s="117">
        <v>4790.2875086429713</v>
      </c>
      <c r="D19" s="117">
        <v>4539.8639238180949</v>
      </c>
    </row>
    <row r="20" spans="1:4">
      <c r="A20" s="118" t="s">
        <v>492</v>
      </c>
      <c r="B20" s="119">
        <v>9330.1514324610343</v>
      </c>
      <c r="C20" s="119">
        <v>4790.2875086429713</v>
      </c>
      <c r="D20" s="119">
        <v>4539.8639238180949</v>
      </c>
    </row>
    <row r="21" spans="1:4" s="72" customFormat="1">
      <c r="A21" s="116" t="s">
        <v>493</v>
      </c>
      <c r="B21" s="117">
        <v>5313.4927254294862</v>
      </c>
      <c r="C21" s="117">
        <v>2925.2286081462535</v>
      </c>
      <c r="D21" s="117">
        <v>2388.2641172833041</v>
      </c>
    </row>
    <row r="22" spans="1:4">
      <c r="A22" s="118" t="s">
        <v>493</v>
      </c>
      <c r="B22" s="119">
        <v>5313.4927254294862</v>
      </c>
      <c r="C22" s="119">
        <v>2925.2286081462535</v>
      </c>
      <c r="D22" s="119">
        <v>2388.2641172833041</v>
      </c>
    </row>
    <row r="23" spans="1:4">
      <c r="A23" s="116" t="s">
        <v>494</v>
      </c>
      <c r="B23" s="117">
        <v>5864.9644233145618</v>
      </c>
      <c r="C23" s="117">
        <v>3029.4496033669766</v>
      </c>
      <c r="D23" s="117">
        <v>2835.5148199475334</v>
      </c>
    </row>
    <row r="24" spans="1:4" s="72" customFormat="1">
      <c r="A24" s="118" t="s">
        <v>495</v>
      </c>
      <c r="B24" s="119">
        <v>3126.5851099153761</v>
      </c>
      <c r="C24" s="119">
        <v>1633.31780565073</v>
      </c>
      <c r="D24" s="119">
        <v>1493.2673042646202</v>
      </c>
    </row>
    <row r="25" spans="1:4">
      <c r="A25" s="118" t="s">
        <v>496</v>
      </c>
      <c r="B25" s="119">
        <v>2738.3793133991858</v>
      </c>
      <c r="C25" s="119">
        <v>1396.1317977162464</v>
      </c>
      <c r="D25" s="119">
        <v>1342.247515682913</v>
      </c>
    </row>
    <row r="26" spans="1:4" s="72" customFormat="1">
      <c r="A26" s="116" t="s">
        <v>497</v>
      </c>
      <c r="B26" s="117">
        <v>11240.128562456877</v>
      </c>
      <c r="C26" s="117">
        <v>5589.9028119771474</v>
      </c>
      <c r="D26" s="117">
        <v>5650.2257504791751</v>
      </c>
    </row>
    <row r="27" spans="1:4">
      <c r="A27" s="118" t="s">
        <v>497</v>
      </c>
      <c r="B27" s="119">
        <v>11240.128562456877</v>
      </c>
      <c r="C27" s="119">
        <v>5589.9028119771474</v>
      </c>
      <c r="D27" s="119">
        <v>5650.2257504791751</v>
      </c>
    </row>
    <row r="28" spans="1:4" s="72" customFormat="1">
      <c r="A28" s="116" t="s">
        <v>498</v>
      </c>
      <c r="B28" s="117">
        <v>5638.6667197730821</v>
      </c>
      <c r="C28" s="117">
        <v>3034.6204243662696</v>
      </c>
      <c r="D28" s="117">
        <v>2604.0462954069558</v>
      </c>
    </row>
    <row r="29" spans="1:4">
      <c r="A29" s="118" t="s">
        <v>498</v>
      </c>
      <c r="B29" s="119">
        <v>5638.6667197730821</v>
      </c>
      <c r="C29" s="119">
        <v>3034.6204243662696</v>
      </c>
      <c r="D29" s="119">
        <v>2604.0462954069558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zoomScale="120" zoomScaleNormal="120" workbookViewId="0">
      <selection activeCell="I31" sqref="I31"/>
    </sheetView>
  </sheetViews>
  <sheetFormatPr defaultColWidth="9.140625" defaultRowHeight="12"/>
  <cols>
    <col min="1" max="1" width="14.28515625" style="69" customWidth="1"/>
    <col min="2" max="16384" width="9.140625" style="69"/>
  </cols>
  <sheetData>
    <row r="1" spans="1:4" ht="15" customHeight="1">
      <c r="A1" s="690" t="s">
        <v>473</v>
      </c>
      <c r="B1" s="690"/>
      <c r="C1" s="690"/>
      <c r="D1" s="690"/>
    </row>
    <row r="2" spans="1:4" ht="15" customHeight="1">
      <c r="A2" s="106" t="s">
        <v>0</v>
      </c>
      <c r="B2" s="96" t="s">
        <v>1</v>
      </c>
      <c r="C2" s="96" t="s">
        <v>2</v>
      </c>
      <c r="D2" s="96" t="s">
        <v>3</v>
      </c>
    </row>
    <row r="3" spans="1:4" ht="12.75" customHeight="1">
      <c r="A3" s="229" t="s">
        <v>500</v>
      </c>
      <c r="B3" s="417">
        <v>138769.95281459979</v>
      </c>
      <c r="C3" s="417">
        <v>70751.393890127219</v>
      </c>
      <c r="D3" s="417">
        <v>68018.558924531375</v>
      </c>
    </row>
    <row r="4" spans="1:4" ht="10.5" customHeight="1">
      <c r="A4" s="106"/>
      <c r="B4" s="120"/>
      <c r="C4" s="120"/>
      <c r="D4" s="120"/>
    </row>
    <row r="5" spans="1:4">
      <c r="A5" s="147" t="s">
        <v>450</v>
      </c>
      <c r="B5" s="148"/>
      <c r="C5" s="148"/>
      <c r="D5" s="148"/>
    </row>
    <row r="6" spans="1:4">
      <c r="A6" s="76" t="s">
        <v>501</v>
      </c>
      <c r="B6" s="418">
        <v>4818.7739093516884</v>
      </c>
      <c r="C6" s="418">
        <v>2394.4974847311742</v>
      </c>
      <c r="D6" s="418">
        <v>2424.2764246204297</v>
      </c>
    </row>
    <row r="7" spans="1:4">
      <c r="A7" s="76" t="s">
        <v>333</v>
      </c>
      <c r="B7" s="418">
        <v>4695.5973852643547</v>
      </c>
      <c r="C7" s="418">
        <v>2386.3759556704681</v>
      </c>
      <c r="D7" s="418">
        <v>2309.2214295937606</v>
      </c>
    </row>
    <row r="8" spans="1:4">
      <c r="A8" s="76" t="s">
        <v>334</v>
      </c>
      <c r="B8" s="418">
        <v>4062.1181185294836</v>
      </c>
      <c r="C8" s="418">
        <v>2023.6143242922687</v>
      </c>
      <c r="D8" s="418">
        <v>2038.503794236894</v>
      </c>
    </row>
    <row r="9" spans="1:4">
      <c r="A9" s="76" t="s">
        <v>335</v>
      </c>
      <c r="B9" s="418">
        <v>4529.1060395199365</v>
      </c>
      <c r="C9" s="418">
        <v>2275.3817251741521</v>
      </c>
      <c r="D9" s="418">
        <v>2253.7243143456026</v>
      </c>
    </row>
    <row r="10" spans="1:4">
      <c r="A10" s="76" t="s">
        <v>336</v>
      </c>
      <c r="B10" s="418">
        <v>4617.0892710108892</v>
      </c>
      <c r="C10" s="418">
        <v>2283.5032542348581</v>
      </c>
      <c r="D10" s="418">
        <v>2333.5860167758788</v>
      </c>
    </row>
    <row r="11" spans="1:4">
      <c r="A11" s="76" t="s">
        <v>337</v>
      </c>
      <c r="B11" s="418">
        <v>4207.9831499292086</v>
      </c>
      <c r="C11" s="418">
        <v>2099.3086048454029</v>
      </c>
      <c r="D11" s="418">
        <v>2108.6745450837193</v>
      </c>
    </row>
    <row r="12" spans="1:4">
      <c r="A12" s="76" t="s">
        <v>338</v>
      </c>
      <c r="B12" s="418">
        <v>3743.700112401239</v>
      </c>
      <c r="C12" s="418">
        <v>1850.4421927987103</v>
      </c>
      <c r="D12" s="418">
        <v>1893.2579196024424</v>
      </c>
    </row>
    <row r="13" spans="1:4">
      <c r="A13" s="76" t="s">
        <v>339</v>
      </c>
      <c r="B13" s="418">
        <v>3547.0153673965947</v>
      </c>
      <c r="C13" s="418">
        <v>1847.766209873477</v>
      </c>
      <c r="D13" s="418">
        <v>1699.2491575230313</v>
      </c>
    </row>
    <row r="14" spans="1:4">
      <c r="A14" s="76" t="s">
        <v>340</v>
      </c>
      <c r="B14" s="418">
        <v>3568.4232307984607</v>
      </c>
      <c r="C14" s="418">
        <v>1849.1042013360936</v>
      </c>
      <c r="D14" s="418">
        <v>1719.3190294622807</v>
      </c>
    </row>
    <row r="15" spans="1:4">
      <c r="A15" s="76" t="s">
        <v>341</v>
      </c>
      <c r="B15" s="418">
        <v>3779.825881891888</v>
      </c>
      <c r="C15" s="418">
        <v>1890.5819366772091</v>
      </c>
      <c r="D15" s="418">
        <v>1889.2439452145925</v>
      </c>
    </row>
    <row r="16" spans="1:4">
      <c r="A16" s="76" t="s">
        <v>342</v>
      </c>
      <c r="B16" s="418">
        <v>3405.1882723592321</v>
      </c>
      <c r="C16" s="418">
        <v>1720.6570209248973</v>
      </c>
      <c r="D16" s="418">
        <v>1684.5312514342484</v>
      </c>
    </row>
    <row r="17" spans="1:4">
      <c r="A17" s="76" t="s">
        <v>343</v>
      </c>
      <c r="B17" s="418">
        <v>3314.2048529013014</v>
      </c>
      <c r="C17" s="418">
        <v>1716.6430465370474</v>
      </c>
      <c r="D17" s="418">
        <v>1597.5618063641675</v>
      </c>
    </row>
    <row r="18" spans="1:4">
      <c r="A18" s="76" t="s">
        <v>344</v>
      </c>
      <c r="B18" s="418">
        <v>3213.8554932050542</v>
      </c>
      <c r="C18" s="418">
        <v>1629.6736014669666</v>
      </c>
      <c r="D18" s="418">
        <v>1584.1818917380012</v>
      </c>
    </row>
    <row r="19" spans="1:4">
      <c r="A19" s="76" t="s">
        <v>345</v>
      </c>
      <c r="B19" s="418">
        <v>3220.5454505181374</v>
      </c>
      <c r="C19" s="418">
        <v>1635.0255673174331</v>
      </c>
      <c r="D19" s="418">
        <v>1585.5198832006179</v>
      </c>
    </row>
    <row r="20" spans="1:4">
      <c r="A20" s="76" t="s">
        <v>346</v>
      </c>
      <c r="B20" s="418">
        <v>3458.7079308638972</v>
      </c>
      <c r="C20" s="418">
        <v>1758.1207818781629</v>
      </c>
      <c r="D20" s="418">
        <v>1700.5871489856479</v>
      </c>
    </row>
    <row r="21" spans="1:4">
      <c r="A21" s="76" t="s">
        <v>347</v>
      </c>
      <c r="B21" s="418">
        <v>3252.0212912138068</v>
      </c>
      <c r="C21" s="418">
        <v>1651.9939948639076</v>
      </c>
      <c r="D21" s="418">
        <v>1600.0272963499792</v>
      </c>
    </row>
    <row r="22" spans="1:4">
      <c r="A22" s="76" t="s">
        <v>348</v>
      </c>
      <c r="B22" s="418">
        <v>3314.9283473096148</v>
      </c>
      <c r="C22" s="418">
        <v>1680.7124335163417</v>
      </c>
      <c r="D22" s="418">
        <v>1634.2159137933531</v>
      </c>
    </row>
    <row r="23" spans="1:4">
      <c r="A23" s="76" t="s">
        <v>349</v>
      </c>
      <c r="B23" s="418">
        <v>2919.7079296642123</v>
      </c>
      <c r="C23" s="418">
        <v>1431.8192985285796</v>
      </c>
      <c r="D23" s="418">
        <v>1487.8886311357128</v>
      </c>
    </row>
    <row r="24" spans="1:4">
      <c r="A24" s="76" t="s">
        <v>350</v>
      </c>
      <c r="B24" s="418">
        <v>2862.2710523593441</v>
      </c>
      <c r="C24" s="418">
        <v>1330.6209908961928</v>
      </c>
      <c r="D24" s="418">
        <v>1531.6500614632314</v>
      </c>
    </row>
    <row r="25" spans="1:4">
      <c r="A25" s="76" t="s">
        <v>351</v>
      </c>
      <c r="B25" s="418">
        <v>2880.0491334298986</v>
      </c>
      <c r="C25" s="418">
        <v>1340.1938037803375</v>
      </c>
      <c r="D25" s="418">
        <v>1539.8553296496411</v>
      </c>
    </row>
    <row r="26" spans="1:4">
      <c r="A26" s="76" t="s">
        <v>352</v>
      </c>
      <c r="B26" s="418">
        <v>3261.6078967201552</v>
      </c>
      <c r="C26" s="418">
        <v>1524.7764470735663</v>
      </c>
      <c r="D26" s="418">
        <v>1736.8314496467196</v>
      </c>
    </row>
    <row r="27" spans="1:4">
      <c r="A27" s="76" t="s">
        <v>353</v>
      </c>
      <c r="B27" s="418">
        <v>2534.5621736123153</v>
      </c>
      <c r="C27" s="418">
        <v>1221.8407291119186</v>
      </c>
      <c r="D27" s="418">
        <v>1312.7214445004129</v>
      </c>
    </row>
    <row r="28" spans="1:4">
      <c r="A28" s="76" t="s">
        <v>354</v>
      </c>
      <c r="B28" s="418">
        <v>2205.6605369682925</v>
      </c>
      <c r="C28" s="418">
        <v>1102.1089929651721</v>
      </c>
      <c r="D28" s="418">
        <v>1103.5515440030847</v>
      </c>
    </row>
    <row r="29" spans="1:4">
      <c r="A29" s="76" t="s">
        <v>355</v>
      </c>
      <c r="B29" s="418">
        <v>2958.6721787585552</v>
      </c>
      <c r="C29" s="418">
        <v>1566.6104271730319</v>
      </c>
      <c r="D29" s="418">
        <v>1392.0617515856063</v>
      </c>
    </row>
    <row r="30" spans="1:4">
      <c r="A30" s="76" t="s">
        <v>356</v>
      </c>
      <c r="B30" s="418">
        <v>3581.8542271367037</v>
      </c>
      <c r="C30" s="418">
        <v>1801.746246352787</v>
      </c>
      <c r="D30" s="418">
        <v>1780.1079807840979</v>
      </c>
    </row>
    <row r="31" spans="1:4">
      <c r="A31" s="76" t="s">
        <v>357</v>
      </c>
      <c r="B31" s="418">
        <v>2784.1235031711572</v>
      </c>
      <c r="C31" s="418">
        <v>1420.9127723438585</v>
      </c>
      <c r="D31" s="418">
        <v>1363.2107308273542</v>
      </c>
    </row>
    <row r="32" spans="1:4">
      <c r="A32" s="76" t="s">
        <v>358</v>
      </c>
      <c r="B32" s="418">
        <v>2459.5495196408715</v>
      </c>
      <c r="C32" s="418">
        <v>1175.6790958987151</v>
      </c>
      <c r="D32" s="418">
        <v>1283.8704237421607</v>
      </c>
    </row>
    <row r="33" spans="1:4">
      <c r="A33" s="76" t="s">
        <v>359</v>
      </c>
      <c r="B33" s="418">
        <v>2156.6138016792715</v>
      </c>
      <c r="C33" s="418">
        <v>1148.2706261783756</v>
      </c>
      <c r="D33" s="418">
        <v>1008.3431755008537</v>
      </c>
    </row>
    <row r="34" spans="1:4">
      <c r="A34" s="76" t="s">
        <v>360</v>
      </c>
      <c r="B34" s="418">
        <v>2032.5544124188043</v>
      </c>
      <c r="C34" s="418">
        <v>1006.9006244629412</v>
      </c>
      <c r="D34" s="418">
        <v>1025.6537879558039</v>
      </c>
    </row>
    <row r="35" spans="1:4">
      <c r="A35" s="76" t="s">
        <v>361</v>
      </c>
      <c r="B35" s="418">
        <v>2064.2905352528792</v>
      </c>
      <c r="C35" s="418">
        <v>1138.1727689129873</v>
      </c>
      <c r="D35" s="418">
        <v>926.11776633984152</v>
      </c>
    </row>
    <row r="36" spans="1:4">
      <c r="A36" s="76" t="s">
        <v>362</v>
      </c>
      <c r="B36" s="418">
        <v>2017.8147714693073</v>
      </c>
      <c r="C36" s="418">
        <v>1018.2825079752093</v>
      </c>
      <c r="D36" s="418">
        <v>999.53226349407907</v>
      </c>
    </row>
    <row r="37" spans="1:4">
      <c r="A37" s="76" t="s">
        <v>363</v>
      </c>
      <c r="B37" s="418">
        <v>2172.1437068139949</v>
      </c>
      <c r="C37" s="418">
        <v>1159.6305048329605</v>
      </c>
      <c r="D37" s="418">
        <v>1012.5132019810154</v>
      </c>
    </row>
    <row r="38" spans="1:4">
      <c r="A38" s="76" t="s">
        <v>364</v>
      </c>
      <c r="B38" s="418">
        <v>2075.5078314112466</v>
      </c>
      <c r="C38" s="418">
        <v>1087.5141799055364</v>
      </c>
      <c r="D38" s="418">
        <v>987.99365150569122</v>
      </c>
    </row>
    <row r="39" spans="1:4">
      <c r="A39" s="76" t="s">
        <v>365</v>
      </c>
      <c r="B39" s="418">
        <v>1771.1769402175169</v>
      </c>
      <c r="C39" s="418">
        <v>1019.7248344737578</v>
      </c>
      <c r="D39" s="418">
        <v>751.45210574374016</v>
      </c>
    </row>
    <row r="40" spans="1:4">
      <c r="A40" s="76" t="s">
        <v>366</v>
      </c>
      <c r="B40" s="418">
        <v>1928.3905285593014</v>
      </c>
      <c r="C40" s="418">
        <v>1037.0327524563395</v>
      </c>
      <c r="D40" s="418">
        <v>891.35777610294292</v>
      </c>
    </row>
    <row r="41" spans="1:4">
      <c r="A41" s="76" t="s">
        <v>367</v>
      </c>
      <c r="B41" s="418">
        <v>1468.2883755223356</v>
      </c>
      <c r="C41" s="418">
        <v>757.22141173793409</v>
      </c>
      <c r="D41" s="418">
        <v>711.06696378438266</v>
      </c>
    </row>
    <row r="42" spans="1:4">
      <c r="A42" s="76" t="s">
        <v>368</v>
      </c>
      <c r="B42" s="418">
        <v>1508.6735174816931</v>
      </c>
      <c r="C42" s="418">
        <v>799.04888019584007</v>
      </c>
      <c r="D42" s="418">
        <v>709.62463728583418</v>
      </c>
    </row>
    <row r="43" spans="1:4">
      <c r="A43" s="76" t="s">
        <v>369</v>
      </c>
      <c r="B43" s="418">
        <v>1228.8621767632876</v>
      </c>
      <c r="C43" s="418">
        <v>664.91251583083124</v>
      </c>
      <c r="D43" s="418">
        <v>563.9496609324375</v>
      </c>
    </row>
    <row r="44" spans="1:4">
      <c r="A44" s="76" t="s">
        <v>370</v>
      </c>
      <c r="B44" s="418">
        <v>1176.9384228155423</v>
      </c>
      <c r="C44" s="418">
        <v>630.29667986566767</v>
      </c>
      <c r="D44" s="418">
        <v>546.64174294985571</v>
      </c>
    </row>
    <row r="45" spans="1:4">
      <c r="A45" s="76" t="s">
        <v>371</v>
      </c>
      <c r="B45" s="418">
        <v>1130.7839748619908</v>
      </c>
      <c r="C45" s="418">
        <v>575.48827292082535</v>
      </c>
      <c r="D45" s="418">
        <v>555.2957019411466</v>
      </c>
    </row>
    <row r="46" spans="1:4">
      <c r="A46" s="76" t="s">
        <v>372</v>
      </c>
      <c r="B46" s="418">
        <v>1088.9565064040848</v>
      </c>
      <c r="C46" s="418">
        <v>600.00782339614955</v>
      </c>
      <c r="D46" s="418">
        <v>488.94868300791734</v>
      </c>
    </row>
    <row r="47" spans="1:4">
      <c r="A47" s="76" t="s">
        <v>373</v>
      </c>
      <c r="B47" s="418">
        <v>953.37781554052765</v>
      </c>
      <c r="C47" s="418">
        <v>497.60264199920789</v>
      </c>
      <c r="D47" s="418">
        <v>455.77517354130356</v>
      </c>
    </row>
    <row r="48" spans="1:4">
      <c r="A48" s="76" t="s">
        <v>374</v>
      </c>
      <c r="B48" s="418">
        <v>895.68475559858837</v>
      </c>
      <c r="C48" s="418">
        <v>486.06403001082049</v>
      </c>
      <c r="D48" s="418">
        <v>409.62072558775395</v>
      </c>
    </row>
    <row r="49" spans="1:4">
      <c r="A49" s="76" t="s">
        <v>375</v>
      </c>
      <c r="B49" s="418">
        <v>761.54839123357954</v>
      </c>
      <c r="C49" s="418">
        <v>416.83235808049608</v>
      </c>
      <c r="D49" s="418">
        <v>344.71603315307482</v>
      </c>
    </row>
    <row r="50" spans="1:4">
      <c r="A50" s="76" t="s">
        <v>376</v>
      </c>
      <c r="B50" s="418">
        <v>1025.4941404679516</v>
      </c>
      <c r="C50" s="418">
        <v>540.87243695566178</v>
      </c>
      <c r="D50" s="418">
        <v>484.62170351227206</v>
      </c>
    </row>
    <row r="51" spans="1:4">
      <c r="A51" s="76" t="s">
        <v>377</v>
      </c>
      <c r="B51" s="418">
        <v>831.02000312986559</v>
      </c>
      <c r="C51" s="418">
        <v>421.88068301993422</v>
      </c>
      <c r="D51" s="418">
        <v>409.13932010993636</v>
      </c>
    </row>
    <row r="52" spans="1:4">
      <c r="A52" s="76" t="s">
        <v>378</v>
      </c>
      <c r="B52" s="418">
        <v>707.85349499988627</v>
      </c>
      <c r="C52" s="418">
        <v>361.00528244994445</v>
      </c>
      <c r="D52" s="418">
        <v>346.84821254994682</v>
      </c>
    </row>
    <row r="53" spans="1:4">
      <c r="A53" s="76" t="s">
        <v>379</v>
      </c>
      <c r="B53" s="418">
        <v>713.51632295988531</v>
      </c>
      <c r="C53" s="418">
        <v>402.06078515993755</v>
      </c>
      <c r="D53" s="418">
        <v>311.45553779995276</v>
      </c>
    </row>
    <row r="54" spans="1:4">
      <c r="A54" s="76" t="s">
        <v>380</v>
      </c>
      <c r="B54" s="418">
        <v>723.42627188988365</v>
      </c>
      <c r="C54" s="418">
        <v>353.92674749994563</v>
      </c>
      <c r="D54" s="418">
        <v>369.49952438994302</v>
      </c>
    </row>
    <row r="55" spans="1:4">
      <c r="A55" s="76" t="s">
        <v>381</v>
      </c>
      <c r="B55" s="418">
        <v>961.26504620984372</v>
      </c>
      <c r="C55" s="418">
        <v>526.64300027991669</v>
      </c>
      <c r="D55" s="418">
        <v>434.62204592993209</v>
      </c>
    </row>
    <row r="56" spans="1:4">
      <c r="A56" s="76" t="s">
        <v>382</v>
      </c>
      <c r="B56" s="418">
        <v>706.4377880098865</v>
      </c>
      <c r="C56" s="418">
        <v>375.16235234994207</v>
      </c>
      <c r="D56" s="418">
        <v>331.27543565994944</v>
      </c>
    </row>
    <row r="57" spans="1:4">
      <c r="A57" s="76" t="s">
        <v>383</v>
      </c>
      <c r="B57" s="418">
        <v>658.30375034989459</v>
      </c>
      <c r="C57" s="418">
        <v>341.18538458994777</v>
      </c>
      <c r="D57" s="418">
        <v>317.11836575995181</v>
      </c>
    </row>
    <row r="58" spans="1:4">
      <c r="A58" s="76" t="s">
        <v>384</v>
      </c>
      <c r="B58" s="418">
        <v>628.57390355989958</v>
      </c>
      <c r="C58" s="418">
        <v>310.039830809953</v>
      </c>
      <c r="D58" s="418">
        <v>318.53407274995158</v>
      </c>
    </row>
    <row r="59" spans="1:4">
      <c r="A59" s="76" t="s">
        <v>385</v>
      </c>
      <c r="B59" s="418">
        <v>559.20426104991122</v>
      </c>
      <c r="C59" s="418">
        <v>281.72569100995776</v>
      </c>
      <c r="D59" s="418">
        <v>277.47857003995847</v>
      </c>
    </row>
    <row r="60" spans="1:4">
      <c r="A60" s="76" t="s">
        <v>386</v>
      </c>
      <c r="B60" s="418">
        <v>746.07758372987985</v>
      </c>
      <c r="C60" s="418">
        <v>403.47649214993731</v>
      </c>
      <c r="D60" s="418">
        <v>342.60109157994754</v>
      </c>
    </row>
    <row r="61" spans="1:4">
      <c r="A61" s="76" t="s">
        <v>387</v>
      </c>
      <c r="B61" s="418">
        <v>556.3728470699117</v>
      </c>
      <c r="C61" s="418">
        <v>273.23144906995918</v>
      </c>
      <c r="D61" s="418">
        <v>283.14139799995752</v>
      </c>
    </row>
    <row r="62" spans="1:4">
      <c r="A62" s="76" t="s">
        <v>388</v>
      </c>
      <c r="B62" s="418">
        <v>506.82310241991996</v>
      </c>
      <c r="C62" s="418">
        <v>273.23144906995918</v>
      </c>
      <c r="D62" s="418">
        <v>233.59165334996538</v>
      </c>
    </row>
    <row r="63" spans="1:4">
      <c r="A63" s="76" t="s">
        <v>389</v>
      </c>
      <c r="B63" s="418">
        <v>414.80214806993541</v>
      </c>
      <c r="C63" s="418">
        <v>205.27751354996957</v>
      </c>
      <c r="D63" s="418">
        <v>209.52463451996894</v>
      </c>
    </row>
    <row r="64" spans="1:4">
      <c r="A64" s="76" t="s">
        <v>390</v>
      </c>
      <c r="B64" s="418">
        <v>519.56446532991788</v>
      </c>
      <c r="C64" s="418">
        <v>257.6586721799618</v>
      </c>
      <c r="D64" s="418">
        <v>261.90579314996108</v>
      </c>
    </row>
    <row r="65" spans="1:4">
      <c r="A65" s="76" t="s">
        <v>391</v>
      </c>
      <c r="B65" s="418">
        <v>492.66603251992234</v>
      </c>
      <c r="C65" s="418">
        <v>244.91730926996371</v>
      </c>
      <c r="D65" s="418">
        <v>247.74872324996329</v>
      </c>
    </row>
    <row r="66" spans="1:4">
      <c r="A66" s="76" t="s">
        <v>392</v>
      </c>
      <c r="B66" s="418">
        <v>451.61052980992923</v>
      </c>
      <c r="C66" s="418">
        <v>246.3330162599635</v>
      </c>
      <c r="D66" s="418">
        <v>205.27751354996957</v>
      </c>
    </row>
    <row r="67" spans="1:4">
      <c r="A67" s="76" t="s">
        <v>393</v>
      </c>
      <c r="B67" s="418">
        <v>468.59901368992638</v>
      </c>
      <c r="C67" s="418">
        <v>268.9843280999599</v>
      </c>
      <c r="D67" s="418">
        <v>199.61468558997041</v>
      </c>
    </row>
    <row r="68" spans="1:4">
      <c r="A68" s="76" t="s">
        <v>394</v>
      </c>
      <c r="B68" s="418">
        <v>580.43986589990766</v>
      </c>
      <c r="C68" s="418">
        <v>345.43250555994706</v>
      </c>
      <c r="D68" s="418">
        <v>235.00736033996517</v>
      </c>
    </row>
    <row r="69" spans="1:4">
      <c r="A69" s="76" t="s">
        <v>395</v>
      </c>
      <c r="B69" s="418">
        <v>519.56446532991788</v>
      </c>
      <c r="C69" s="418">
        <v>297.29846789995514</v>
      </c>
      <c r="D69" s="418">
        <v>222.26599742996706</v>
      </c>
    </row>
    <row r="70" spans="1:4">
      <c r="A70" s="76" t="s">
        <v>396</v>
      </c>
      <c r="B70" s="418">
        <v>614.41683365990195</v>
      </c>
      <c r="C70" s="418">
        <v>308.62412381995324</v>
      </c>
      <c r="D70" s="418">
        <v>305.79270983995372</v>
      </c>
    </row>
    <row r="71" spans="1:4">
      <c r="A71" s="76" t="s">
        <v>397</v>
      </c>
      <c r="B71" s="418">
        <v>435.67325105401716</v>
      </c>
      <c r="C71" s="418">
        <v>229.97833908097286</v>
      </c>
      <c r="D71" s="418">
        <v>205.69491197304401</v>
      </c>
    </row>
    <row r="72" spans="1:4">
      <c r="A72" s="76" t="s">
        <v>398</v>
      </c>
      <c r="B72" s="418">
        <v>389.96327061556286</v>
      </c>
      <c r="C72" s="418">
        <v>221.40771774876268</v>
      </c>
      <c r="D72" s="418">
        <v>168.5555528667999</v>
      </c>
    </row>
    <row r="73" spans="1:4">
      <c r="A73" s="76" t="s">
        <v>399</v>
      </c>
      <c r="B73" s="418">
        <v>288.5442515177424</v>
      </c>
      <c r="C73" s="418">
        <v>147.12899953627445</v>
      </c>
      <c r="D73" s="418">
        <v>141.41525198146766</v>
      </c>
    </row>
    <row r="74" spans="1:4">
      <c r="A74" s="76" t="s">
        <v>400</v>
      </c>
      <c r="B74" s="418">
        <v>337.11110573360008</v>
      </c>
      <c r="C74" s="418">
        <v>162.84180531199311</v>
      </c>
      <c r="D74" s="418">
        <v>174.26930042160669</v>
      </c>
    </row>
    <row r="75" spans="1:4">
      <c r="A75" s="76" t="s">
        <v>401</v>
      </c>
      <c r="B75" s="418">
        <v>301.40018351605767</v>
      </c>
      <c r="C75" s="418">
        <v>158.55649464588802</v>
      </c>
      <c r="D75" s="418">
        <v>142.84368887016936</v>
      </c>
    </row>
    <row r="76" spans="1:4">
      <c r="A76" s="76" t="s">
        <v>402</v>
      </c>
      <c r="B76" s="418">
        <v>305.68549418216276</v>
      </c>
      <c r="C76" s="418">
        <v>165.69867908939651</v>
      </c>
      <c r="D76" s="418">
        <v>139.98681509276597</v>
      </c>
    </row>
    <row r="77" spans="1:4">
      <c r="A77" s="76" t="s">
        <v>403</v>
      </c>
      <c r="B77" s="418">
        <v>312.82767862567124</v>
      </c>
      <c r="C77" s="418">
        <v>177.12617419901008</v>
      </c>
      <c r="D77" s="418">
        <v>135.70150442666088</v>
      </c>
    </row>
    <row r="78" spans="1:4">
      <c r="A78" s="76" t="s">
        <v>404</v>
      </c>
      <c r="B78" s="418">
        <v>312.82767862567124</v>
      </c>
      <c r="C78" s="418">
        <v>191.41054308602705</v>
      </c>
      <c r="D78" s="418">
        <v>121.41713553964391</v>
      </c>
    </row>
    <row r="79" spans="1:4">
      <c r="A79" s="76" t="s">
        <v>405</v>
      </c>
      <c r="B79" s="418">
        <v>341.39641639970517</v>
      </c>
      <c r="C79" s="418">
        <v>211.4086595278508</v>
      </c>
      <c r="D79" s="418">
        <v>129.98775687185409</v>
      </c>
    </row>
    <row r="80" spans="1:4">
      <c r="A80" s="76" t="s">
        <v>406</v>
      </c>
      <c r="B80" s="418">
        <v>357.10922217542384</v>
      </c>
      <c r="C80" s="418">
        <v>167.1271159780982</v>
      </c>
      <c r="D80" s="418">
        <v>189.98210619732535</v>
      </c>
    </row>
    <row r="81" spans="1:4">
      <c r="A81" s="76" t="s">
        <v>407</v>
      </c>
      <c r="B81" s="418">
        <v>205.69491197304401</v>
      </c>
      <c r="C81" s="418">
        <v>109.98964043003033</v>
      </c>
      <c r="D81" s="418">
        <v>95.705271543013367</v>
      </c>
    </row>
    <row r="82" spans="1:4">
      <c r="A82" s="76" t="s">
        <v>408</v>
      </c>
      <c r="B82" s="418">
        <v>172.84086353290499</v>
      </c>
      <c r="C82" s="418">
        <v>85.70621332210149</v>
      </c>
      <c r="D82" s="418">
        <v>87.134650210803187</v>
      </c>
    </row>
    <row r="83" spans="1:4">
      <c r="A83" s="76" t="s">
        <v>409</v>
      </c>
      <c r="B83" s="418">
        <v>148.55743642497615</v>
      </c>
      <c r="C83" s="418">
        <v>81.4209026559964</v>
      </c>
      <c r="D83" s="418">
        <v>67.136533768979433</v>
      </c>
    </row>
    <row r="84" spans="1:4">
      <c r="A84" s="76" t="s">
        <v>410</v>
      </c>
      <c r="B84" s="418">
        <v>161.41336842329142</v>
      </c>
      <c r="C84" s="418">
        <v>82.849339544698097</v>
      </c>
      <c r="D84" s="418">
        <v>78.564028878593007</v>
      </c>
    </row>
    <row r="85" spans="1:4">
      <c r="A85" s="76" t="s">
        <v>411</v>
      </c>
      <c r="B85" s="418">
        <v>208.55178575044741</v>
      </c>
      <c r="C85" s="418">
        <v>119.98869865094221</v>
      </c>
      <c r="D85" s="418">
        <v>88.563087099504884</v>
      </c>
    </row>
    <row r="86" spans="1:4">
      <c r="A86" s="76" t="s">
        <v>412</v>
      </c>
      <c r="B86" s="418">
        <v>122.8455724283456</v>
      </c>
      <c r="C86" s="418">
        <v>58.565912436769281</v>
      </c>
      <c r="D86" s="418">
        <v>64.27965999157604</v>
      </c>
    </row>
    <row r="87" spans="1:4">
      <c r="A87" s="76" t="s">
        <v>413</v>
      </c>
      <c r="B87" s="418">
        <v>149.98587331367784</v>
      </c>
      <c r="C87" s="418">
        <v>85.70621332210149</v>
      </c>
      <c r="D87" s="418">
        <v>64.27965999157604</v>
      </c>
    </row>
    <row r="88" spans="1:4">
      <c r="A88" s="76" t="s">
        <v>414</v>
      </c>
      <c r="B88" s="418">
        <v>198.55272752953553</v>
      </c>
      <c r="C88" s="418">
        <v>95.705271543013367</v>
      </c>
      <c r="D88" s="418">
        <v>102.84745598652185</v>
      </c>
    </row>
    <row r="89" spans="1:4">
      <c r="A89" s="76" t="s">
        <v>415</v>
      </c>
      <c r="B89" s="418">
        <v>195.69585375213214</v>
      </c>
      <c r="C89" s="418">
        <v>105.70432976392524</v>
      </c>
      <c r="D89" s="418">
        <v>89.99152398820658</v>
      </c>
    </row>
    <row r="90" spans="1:4">
      <c r="A90" s="76" t="s">
        <v>416</v>
      </c>
      <c r="B90" s="418">
        <v>227.12146530356947</v>
      </c>
      <c r="C90" s="418">
        <v>74.278718212487917</v>
      </c>
      <c r="D90" s="418">
        <v>152.84274709108124</v>
      </c>
    </row>
    <row r="91" spans="1:4">
      <c r="A91" s="76" t="s">
        <v>417</v>
      </c>
      <c r="B91" s="418">
        <v>64.27965999157604</v>
      </c>
      <c r="C91" s="418">
        <v>37.139359106243937</v>
      </c>
      <c r="D91" s="418">
        <v>27.140300885332106</v>
      </c>
    </row>
    <row r="92" spans="1:4">
      <c r="A92" s="76" t="s">
        <v>418</v>
      </c>
      <c r="B92" s="418">
        <v>34.282485328840558</v>
      </c>
      <c r="C92" s="418">
        <v>17.141242664420279</v>
      </c>
      <c r="D92" s="418">
        <v>17.141242664420279</v>
      </c>
    </row>
    <row r="93" spans="1:4">
      <c r="A93" s="76" t="s">
        <v>419</v>
      </c>
      <c r="B93" s="418">
        <v>32.854048440138868</v>
      </c>
      <c r="C93" s="418">
        <v>14.2843688870169</v>
      </c>
      <c r="D93" s="418">
        <v>18.569679553121968</v>
      </c>
    </row>
    <row r="94" spans="1:4">
      <c r="A94" s="76" t="s">
        <v>420</v>
      </c>
      <c r="B94" s="418">
        <v>38.567795994945627</v>
      </c>
      <c r="C94" s="418">
        <v>21.426553330525348</v>
      </c>
      <c r="D94" s="418">
        <v>17.141242664420279</v>
      </c>
    </row>
    <row r="95" spans="1:4">
      <c r="A95" s="76" t="s">
        <v>421</v>
      </c>
      <c r="B95" s="418">
        <v>44.281543549752385</v>
      </c>
      <c r="C95" s="418">
        <v>24.283427107928727</v>
      </c>
      <c r="D95" s="418">
        <v>19.998116441823658</v>
      </c>
    </row>
    <row r="96" spans="1:4">
      <c r="A96" s="76" t="s">
        <v>422</v>
      </c>
      <c r="B96" s="418">
        <v>47.138417327155764</v>
      </c>
      <c r="C96" s="418">
        <v>29.997174662735485</v>
      </c>
      <c r="D96" s="418">
        <v>17.141242664420279</v>
      </c>
    </row>
    <row r="97" spans="1:4">
      <c r="A97" s="76" t="s">
        <v>423</v>
      </c>
      <c r="B97" s="418">
        <v>32.854048440138868</v>
      </c>
      <c r="C97" s="418">
        <v>18.569679553121968</v>
      </c>
      <c r="D97" s="418">
        <v>14.2843688870169</v>
      </c>
    </row>
    <row r="98" spans="1:4">
      <c r="A98" s="76" t="s">
        <v>424</v>
      </c>
      <c r="B98" s="418">
        <v>45.709980438454075</v>
      </c>
      <c r="C98" s="418">
        <v>31.425611551437175</v>
      </c>
      <c r="D98" s="418">
        <v>14.2843688870169</v>
      </c>
    </row>
    <row r="99" spans="1:4">
      <c r="A99" s="76" t="s">
        <v>425</v>
      </c>
      <c r="B99" s="418">
        <v>58.565912436769281</v>
      </c>
      <c r="C99" s="418">
        <v>29.997174662735485</v>
      </c>
      <c r="D99" s="418">
        <v>28.568737774033796</v>
      </c>
    </row>
    <row r="100" spans="1:4">
      <c r="A100" s="76" t="s">
        <v>426</v>
      </c>
      <c r="B100" s="418">
        <v>55.709038659365902</v>
      </c>
      <c r="C100" s="418">
        <v>25.711863996630417</v>
      </c>
      <c r="D100" s="418">
        <v>29.997174662735485</v>
      </c>
    </row>
    <row r="101" spans="1:4">
      <c r="A101" s="76" t="s">
        <v>211</v>
      </c>
      <c r="B101" s="418">
        <v>127.13088309445045</v>
      </c>
      <c r="C101" s="418">
        <v>77.135591989891282</v>
      </c>
      <c r="D101" s="418">
        <v>49.995291104559151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zoomScale="120" zoomScaleNormal="120" workbookViewId="0">
      <selection activeCell="G14" sqref="G14"/>
    </sheetView>
  </sheetViews>
  <sheetFormatPr defaultColWidth="9.140625" defaultRowHeight="12"/>
  <cols>
    <col min="1" max="1" width="16.7109375" style="69" customWidth="1"/>
    <col min="2" max="2" width="13" style="69" customWidth="1"/>
    <col min="3" max="3" width="11.7109375" style="69" customWidth="1"/>
    <col min="4" max="4" width="14.42578125" style="69" customWidth="1"/>
    <col min="5" max="5" width="0.42578125" style="69" hidden="1" customWidth="1"/>
    <col min="6" max="16384" width="9.140625" style="69"/>
  </cols>
  <sheetData>
    <row r="1" spans="1:7" ht="16.5" customHeight="1">
      <c r="A1" s="691" t="s">
        <v>254</v>
      </c>
      <c r="B1" s="691"/>
      <c r="C1" s="691"/>
      <c r="D1" s="691"/>
    </row>
    <row r="2" spans="1:7" ht="25.5" customHeight="1">
      <c r="A2" s="28" t="s">
        <v>446</v>
      </c>
      <c r="B2" s="29" t="s">
        <v>1</v>
      </c>
      <c r="C2" s="29" t="s">
        <v>2</v>
      </c>
      <c r="D2" s="29" t="s">
        <v>3</v>
      </c>
    </row>
    <row r="3" spans="1:7">
      <c r="A3" s="151" t="s">
        <v>500</v>
      </c>
      <c r="B3" s="153">
        <v>138769.95281459979</v>
      </c>
      <c r="C3" s="153">
        <v>70751.393890127219</v>
      </c>
      <c r="D3" s="153">
        <v>68018.558924531375</v>
      </c>
    </row>
    <row r="4" spans="1:7">
      <c r="A4" s="67"/>
      <c r="B4" s="67"/>
      <c r="C4" s="67"/>
      <c r="D4" s="67"/>
    </row>
    <row r="5" spans="1:7" ht="14.25" customHeight="1">
      <c r="A5" s="520" t="s">
        <v>111</v>
      </c>
      <c r="B5" s="520"/>
      <c r="C5" s="520"/>
      <c r="D5" s="520"/>
    </row>
    <row r="6" spans="1:7">
      <c r="A6" s="19" t="s">
        <v>4</v>
      </c>
      <c r="B6" s="150">
        <v>51501.212629849317</v>
      </c>
      <c r="C6" s="150">
        <v>26103.990432069026</v>
      </c>
      <c r="D6" s="150">
        <v>25397.222197794388</v>
      </c>
    </row>
    <row r="7" spans="1:7">
      <c r="A7" s="19" t="s">
        <v>5</v>
      </c>
      <c r="B7" s="150">
        <v>87268.740184803784</v>
      </c>
      <c r="C7" s="150">
        <v>44647.403458081862</v>
      </c>
      <c r="D7" s="150">
        <v>42621.336726758491</v>
      </c>
    </row>
    <row r="8" spans="1:7">
      <c r="A8" s="151" t="s">
        <v>255</v>
      </c>
      <c r="B8" s="152"/>
      <c r="C8" s="152"/>
      <c r="D8" s="152"/>
    </row>
    <row r="9" spans="1:7">
      <c r="A9" s="76" t="s">
        <v>8</v>
      </c>
      <c r="B9" s="419">
        <v>22722.684723680683</v>
      </c>
      <c r="C9" s="419">
        <v>11363.372744101784</v>
      </c>
      <c r="D9" s="419">
        <v>11359.311979571432</v>
      </c>
      <c r="F9" s="71"/>
      <c r="G9" s="71"/>
    </row>
    <row r="10" spans="1:7">
      <c r="A10" s="76" t="s">
        <v>127</v>
      </c>
      <c r="B10" s="419">
        <v>18846.947742417738</v>
      </c>
      <c r="C10" s="419">
        <v>9537.203145531239</v>
      </c>
      <c r="D10" s="419">
        <v>9309.7445968864122</v>
      </c>
      <c r="F10" s="71"/>
      <c r="G10" s="71"/>
    </row>
    <row r="11" spans="1:7">
      <c r="A11" s="76" t="s">
        <v>128</v>
      </c>
      <c r="B11" s="419">
        <v>16612.501999847969</v>
      </c>
      <c r="C11" s="419">
        <v>8460.1200181248532</v>
      </c>
      <c r="D11" s="419">
        <v>8152.3819817230287</v>
      </c>
      <c r="F11" s="71"/>
      <c r="G11" s="71"/>
    </row>
    <row r="12" spans="1:7">
      <c r="A12" s="76" t="s">
        <v>129</v>
      </c>
      <c r="B12" s="419">
        <v>15228.977753981237</v>
      </c>
      <c r="C12" s="419">
        <v>7435.3405215850389</v>
      </c>
      <c r="D12" s="419">
        <v>7793.6372323915975</v>
      </c>
      <c r="F12" s="71"/>
      <c r="G12" s="71"/>
    </row>
    <row r="13" spans="1:7">
      <c r="A13" s="76" t="s">
        <v>130</v>
      </c>
      <c r="B13" s="419">
        <v>14542.357013198976</v>
      </c>
      <c r="C13" s="419">
        <v>7217.0828426759035</v>
      </c>
      <c r="D13" s="419">
        <v>7325.2741705193321</v>
      </c>
      <c r="F13" s="71"/>
      <c r="G13" s="71"/>
    </row>
    <row r="14" spans="1:7">
      <c r="A14" s="76" t="s">
        <v>131</v>
      </c>
      <c r="B14" s="419">
        <v>11497.131772164021</v>
      </c>
      <c r="C14" s="419">
        <v>5889.9358877965133</v>
      </c>
      <c r="D14" s="419">
        <v>5607.1958843656867</v>
      </c>
      <c r="F14" s="71"/>
      <c r="G14" s="71"/>
    </row>
    <row r="15" spans="1:7">
      <c r="A15" s="76" t="s">
        <v>132</v>
      </c>
      <c r="B15" s="419">
        <v>9965.0337784707117</v>
      </c>
      <c r="C15" s="419">
        <v>5322.1847796434931</v>
      </c>
      <c r="D15" s="419">
        <v>4642.8489988273723</v>
      </c>
      <c r="F15" s="71"/>
      <c r="G15" s="71"/>
    </row>
    <row r="16" spans="1:7">
      <c r="A16" s="76" t="s">
        <v>133</v>
      </c>
      <c r="B16" s="419">
        <v>6513.5464674441637</v>
      </c>
      <c r="C16" s="419">
        <v>3426.9677605511743</v>
      </c>
      <c r="D16" s="419">
        <v>3086.5787068937325</v>
      </c>
      <c r="F16" s="71"/>
      <c r="G16" s="71"/>
    </row>
    <row r="17" spans="1:7">
      <c r="A17" s="76" t="s">
        <v>134</v>
      </c>
      <c r="B17" s="419">
        <v>4725.0616092446098</v>
      </c>
      <c r="C17" s="419">
        <v>2541.3792904424063</v>
      </c>
      <c r="D17" s="419">
        <v>2183.6823188023827</v>
      </c>
      <c r="F17" s="71"/>
      <c r="G17" s="71"/>
    </row>
    <row r="18" spans="1:7">
      <c r="A18" s="76" t="s">
        <v>135</v>
      </c>
      <c r="B18" s="419">
        <v>3937.0811391893444</v>
      </c>
      <c r="C18" s="419">
        <v>2065.5164984096587</v>
      </c>
      <c r="D18" s="419">
        <v>1871.564640779691</v>
      </c>
      <c r="F18" s="71"/>
      <c r="G18" s="71"/>
    </row>
    <row r="19" spans="1:7">
      <c r="A19" s="76" t="s">
        <v>136</v>
      </c>
      <c r="B19" s="419">
        <v>3298.5972866994516</v>
      </c>
      <c r="C19" s="419">
        <v>1711.5897509097178</v>
      </c>
      <c r="D19" s="419">
        <v>1587.0075357897388</v>
      </c>
      <c r="F19" s="71"/>
      <c r="G19" s="71"/>
    </row>
    <row r="20" spans="1:7">
      <c r="A20" s="76" t="s">
        <v>137</v>
      </c>
      <c r="B20" s="419">
        <v>2490.2285954095873</v>
      </c>
      <c r="C20" s="419">
        <v>1254.3163931397946</v>
      </c>
      <c r="D20" s="419">
        <v>1235.9122022697977</v>
      </c>
      <c r="F20" s="71"/>
      <c r="G20" s="71"/>
    </row>
    <row r="21" spans="1:7">
      <c r="A21" s="76" t="s">
        <v>138</v>
      </c>
      <c r="B21" s="419">
        <v>2634.6307083895631</v>
      </c>
      <c r="C21" s="419">
        <v>1466.672441639759</v>
      </c>
      <c r="D21" s="419">
        <v>1167.9582667498091</v>
      </c>
      <c r="F21" s="71"/>
      <c r="G21" s="71"/>
    </row>
    <row r="22" spans="1:7">
      <c r="A22" s="76" t="s">
        <v>205</v>
      </c>
      <c r="B22" s="419">
        <v>1752.6920624369902</v>
      </c>
      <c r="C22" s="419">
        <v>919.91335632387609</v>
      </c>
      <c r="D22" s="419">
        <v>832.77870611307605</v>
      </c>
      <c r="F22" s="71"/>
      <c r="G22" s="71"/>
    </row>
    <row r="23" spans="1:7">
      <c r="A23" s="76" t="s">
        <v>206</v>
      </c>
      <c r="B23" s="419">
        <v>1629.8464900086394</v>
      </c>
      <c r="C23" s="419">
        <v>912.77117188036789</v>
      </c>
      <c r="D23" s="419">
        <v>717.07531812824323</v>
      </c>
      <c r="F23" s="71"/>
      <c r="G23" s="71"/>
    </row>
    <row r="24" spans="1:7">
      <c r="A24" s="76" t="s">
        <v>207</v>
      </c>
      <c r="B24" s="419">
        <v>897.05836610464985</v>
      </c>
      <c r="C24" s="419">
        <v>479.95479460376976</v>
      </c>
      <c r="D24" s="419">
        <v>417.1035715008951</v>
      </c>
      <c r="F24" s="71"/>
      <c r="G24" s="71"/>
    </row>
    <row r="25" spans="1:7">
      <c r="A25" s="76" t="s">
        <v>208</v>
      </c>
      <c r="B25" s="419">
        <v>894.20149232724657</v>
      </c>
      <c r="C25" s="419">
        <v>419.96044527829849</v>
      </c>
      <c r="D25" s="419">
        <v>474.24104704896297</v>
      </c>
      <c r="F25" s="71"/>
      <c r="G25" s="71"/>
    </row>
    <row r="26" spans="1:7">
      <c r="A26" s="76" t="s">
        <v>209</v>
      </c>
      <c r="B26" s="419">
        <v>214.26553330525419</v>
      </c>
      <c r="C26" s="419">
        <v>114.27495109613542</v>
      </c>
      <c r="D26" s="419">
        <v>99.990582209118458</v>
      </c>
      <c r="F26" s="71"/>
      <c r="G26" s="71"/>
    </row>
    <row r="27" spans="1:7">
      <c r="A27" s="76" t="s">
        <v>210</v>
      </c>
      <c r="B27" s="419">
        <v>239.97739730188474</v>
      </c>
      <c r="C27" s="419">
        <v>135.70150442666088</v>
      </c>
      <c r="D27" s="419">
        <v>104.27589287522355</v>
      </c>
      <c r="F27" s="71"/>
      <c r="G27" s="71"/>
    </row>
    <row r="28" spans="1:7">
      <c r="A28" s="76" t="s">
        <v>211</v>
      </c>
      <c r="B28" s="419">
        <v>127.1308830944507</v>
      </c>
      <c r="C28" s="419">
        <v>77.13559198989131</v>
      </c>
      <c r="D28" s="419">
        <v>49.995291104559143</v>
      </c>
      <c r="F28" s="71"/>
      <c r="G28" s="71"/>
    </row>
    <row r="29" spans="1:7">
      <c r="A29" s="692"/>
      <c r="B29" s="692"/>
      <c r="C29" s="692"/>
      <c r="D29" s="692"/>
      <c r="E29" s="692"/>
    </row>
  </sheetData>
  <mergeCells count="2">
    <mergeCell ref="A1:D1"/>
    <mergeCell ref="A29:E2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E33"/>
  <sheetViews>
    <sheetView zoomScale="120" zoomScaleNormal="120" workbookViewId="0">
      <selection activeCell="H29" sqref="H29"/>
    </sheetView>
  </sheetViews>
  <sheetFormatPr defaultColWidth="9.140625" defaultRowHeight="12"/>
  <cols>
    <col min="1" max="1" width="17" style="69" customWidth="1"/>
    <col min="2" max="16384" width="9.140625" style="69"/>
  </cols>
  <sheetData>
    <row r="1" spans="1:5" ht="26.25" customHeight="1">
      <c r="A1" s="693" t="s">
        <v>474</v>
      </c>
      <c r="B1" s="693"/>
      <c r="C1" s="693"/>
      <c r="D1" s="693"/>
      <c r="E1" s="693"/>
    </row>
    <row r="2" spans="1:5">
      <c r="A2" s="696" t="s">
        <v>445</v>
      </c>
      <c r="B2" s="694" t="s">
        <v>1</v>
      </c>
      <c r="C2" s="694" t="s">
        <v>108</v>
      </c>
      <c r="D2" s="694" t="s">
        <v>109</v>
      </c>
      <c r="E2" s="694" t="s">
        <v>110</v>
      </c>
    </row>
    <row r="3" spans="1:5">
      <c r="A3" s="697"/>
      <c r="B3" s="695"/>
      <c r="C3" s="695"/>
      <c r="D3" s="695"/>
      <c r="E3" s="695"/>
    </row>
    <row r="4" spans="1:5">
      <c r="A4" s="154" t="s">
        <v>500</v>
      </c>
      <c r="B4" s="155">
        <f>+C4+D4+E4</f>
        <v>138769.95281465279</v>
      </c>
      <c r="C4" s="155">
        <v>58182.134465890311</v>
      </c>
      <c r="D4" s="155">
        <v>74832.646124183229</v>
      </c>
      <c r="E4" s="155">
        <v>5755.1722245792416</v>
      </c>
    </row>
    <row r="5" spans="1:5">
      <c r="A5" s="63"/>
      <c r="B5" s="63"/>
      <c r="C5" s="63"/>
      <c r="D5" s="63"/>
      <c r="E5" s="63"/>
    </row>
    <row r="6" spans="1:5">
      <c r="A6" s="156" t="s">
        <v>111</v>
      </c>
      <c r="B6" s="155"/>
      <c r="C6" s="155"/>
      <c r="D6" s="155"/>
      <c r="E6" s="155"/>
    </row>
    <row r="7" spans="1:5">
      <c r="A7" s="5" t="s">
        <v>4</v>
      </c>
      <c r="B7" s="46">
        <v>51501.212629849608</v>
      </c>
      <c r="C7" s="46">
        <v>20962.229801482008</v>
      </c>
      <c r="D7" s="46">
        <v>28403.469679770107</v>
      </c>
      <c r="E7" s="46">
        <v>2135.5131486090463</v>
      </c>
    </row>
    <row r="8" spans="1:5">
      <c r="A8" s="5" t="s">
        <v>5</v>
      </c>
      <c r="B8" s="46">
        <v>87268.740184803974</v>
      </c>
      <c r="C8" s="46">
        <v>37219.904664457266</v>
      </c>
      <c r="D8" s="46">
        <v>46429.176444425517</v>
      </c>
      <c r="E8" s="46">
        <v>3619.659075969932</v>
      </c>
    </row>
    <row r="9" spans="1:5">
      <c r="A9" s="156" t="s">
        <v>112</v>
      </c>
      <c r="B9" s="155"/>
      <c r="C9" s="155"/>
      <c r="D9" s="155"/>
      <c r="E9" s="155"/>
    </row>
    <row r="10" spans="1:5">
      <c r="A10" s="6" t="s">
        <v>113</v>
      </c>
      <c r="B10" s="46">
        <v>70751.393890126841</v>
      </c>
      <c r="C10" s="46">
        <v>29360.695907764268</v>
      </c>
      <c r="D10" s="46">
        <v>38330.986166799041</v>
      </c>
      <c r="E10" s="46">
        <v>3059.7118155989338</v>
      </c>
    </row>
    <row r="11" spans="1:5">
      <c r="A11" s="6" t="s">
        <v>3</v>
      </c>
      <c r="B11" s="46">
        <v>68018.558924531331</v>
      </c>
      <c r="C11" s="46">
        <v>28821.438558187172</v>
      </c>
      <c r="D11" s="46">
        <v>36501.659957394004</v>
      </c>
      <c r="E11" s="46">
        <v>2695.4604089800446</v>
      </c>
    </row>
    <row r="12" spans="1:5">
      <c r="A12" s="156" t="s">
        <v>448</v>
      </c>
      <c r="B12" s="155"/>
      <c r="C12" s="155"/>
      <c r="D12" s="155"/>
      <c r="E12" s="155"/>
    </row>
    <row r="13" spans="1:5" s="72" customFormat="1">
      <c r="A13" s="116" t="s">
        <v>486</v>
      </c>
      <c r="B13" s="47">
        <v>24757.123945472875</v>
      </c>
      <c r="C13" s="47">
        <v>11366.710314915228</v>
      </c>
      <c r="D13" s="47">
        <v>12506.211196449403</v>
      </c>
      <c r="E13" s="47">
        <v>884.20243410633509</v>
      </c>
    </row>
    <row r="14" spans="1:5">
      <c r="A14" s="118" t="s">
        <v>486</v>
      </c>
      <c r="B14" s="46">
        <v>24757.123945472875</v>
      </c>
      <c r="C14" s="46">
        <v>11366.710314915228</v>
      </c>
      <c r="D14" s="46">
        <v>12506.211196449403</v>
      </c>
      <c r="E14" s="46">
        <v>884.20243410633509</v>
      </c>
    </row>
    <row r="15" spans="1:5" s="72" customFormat="1">
      <c r="A15" s="116" t="s">
        <v>487</v>
      </c>
      <c r="B15" s="47">
        <v>49793.527669873882</v>
      </c>
      <c r="C15" s="47">
        <v>20651.699953244184</v>
      </c>
      <c r="D15" s="47">
        <v>26870.613063604742</v>
      </c>
      <c r="E15" s="47">
        <v>2271.2146530356913</v>
      </c>
    </row>
    <row r="16" spans="1:5">
      <c r="A16" s="118" t="s">
        <v>487</v>
      </c>
      <c r="B16" s="46">
        <v>42696.757487622432</v>
      </c>
      <c r="C16" s="46">
        <v>17313.315607599623</v>
      </c>
      <c r="D16" s="46">
        <v>23305.066206968277</v>
      </c>
      <c r="E16" s="46">
        <v>2078.3756730609853</v>
      </c>
    </row>
    <row r="17" spans="1:5">
      <c r="A17" s="118" t="s">
        <v>488</v>
      </c>
      <c r="B17" s="46">
        <v>7096.7701822545014</v>
      </c>
      <c r="C17" s="46">
        <v>3338.3843456430536</v>
      </c>
      <c r="D17" s="46">
        <v>3565.5468566369477</v>
      </c>
      <c r="E17" s="46">
        <v>192.83897997472874</v>
      </c>
    </row>
    <row r="18" spans="1:5" s="72" customFormat="1">
      <c r="A18" s="116" t="s">
        <v>489</v>
      </c>
      <c r="B18" s="47">
        <v>7043.3486249432135</v>
      </c>
      <c r="C18" s="47">
        <v>1914.0651961281601</v>
      </c>
      <c r="D18" s="47">
        <v>4552.1949257795868</v>
      </c>
      <c r="E18" s="47">
        <v>577.08850303548252</v>
      </c>
    </row>
    <row r="19" spans="1:5">
      <c r="A19" s="118" t="s">
        <v>489</v>
      </c>
      <c r="B19" s="46">
        <v>4508.0622889973656</v>
      </c>
      <c r="C19" s="46">
        <v>1263.5295492440571</v>
      </c>
      <c r="D19" s="46">
        <v>2867.4254011360463</v>
      </c>
      <c r="E19" s="46">
        <v>377.10733861724759</v>
      </c>
    </row>
    <row r="20" spans="1:5" s="72" customFormat="1">
      <c r="A20" s="118" t="s">
        <v>490</v>
      </c>
      <c r="B20" s="46">
        <v>2535.2863359459498</v>
      </c>
      <c r="C20" s="46">
        <v>650.5356468840763</v>
      </c>
      <c r="D20" s="46">
        <v>1684.7695246436367</v>
      </c>
      <c r="E20" s="46">
        <v>199.98116441823723</v>
      </c>
    </row>
    <row r="21" spans="1:5">
      <c r="A21" s="116" t="s">
        <v>491</v>
      </c>
      <c r="B21" s="47">
        <v>19788.548710976436</v>
      </c>
      <c r="C21" s="47">
        <v>8863.8409137976723</v>
      </c>
      <c r="D21" s="47">
        <v>10209.060915937662</v>
      </c>
      <c r="E21" s="47">
        <v>715.64688123954159</v>
      </c>
    </row>
    <row r="22" spans="1:5" s="72" customFormat="1">
      <c r="A22" s="118" t="s">
        <v>491</v>
      </c>
      <c r="B22" s="46">
        <v>19788.548710976436</v>
      </c>
      <c r="C22" s="46">
        <v>8863.8409137976723</v>
      </c>
      <c r="D22" s="46">
        <v>10209.060915937662</v>
      </c>
      <c r="E22" s="46">
        <v>715.64688123954159</v>
      </c>
    </row>
    <row r="23" spans="1:5">
      <c r="A23" s="116" t="s">
        <v>499</v>
      </c>
      <c r="B23" s="47">
        <v>9330.1514324610362</v>
      </c>
      <c r="C23" s="47">
        <v>4387.1467125542067</v>
      </c>
      <c r="D23" s="47">
        <v>4740.1666817112364</v>
      </c>
      <c r="E23" s="47">
        <v>202.83803819564062</v>
      </c>
    </row>
    <row r="24" spans="1:5" s="72" customFormat="1">
      <c r="A24" s="118" t="s">
        <v>492</v>
      </c>
      <c r="B24" s="46">
        <v>9330.1514324610362</v>
      </c>
      <c r="C24" s="46">
        <v>4387.1467125542067</v>
      </c>
      <c r="D24" s="46">
        <v>4740.1666817112364</v>
      </c>
      <c r="E24" s="46">
        <v>202.83803819564062</v>
      </c>
    </row>
    <row r="25" spans="1:5">
      <c r="A25" s="116" t="s">
        <v>493</v>
      </c>
      <c r="B25" s="47">
        <v>5313.4927254294835</v>
      </c>
      <c r="C25" s="47">
        <v>2215.023020887696</v>
      </c>
      <c r="D25" s="47">
        <v>2951.3407050055407</v>
      </c>
      <c r="E25" s="47">
        <v>147.12899953627445</v>
      </c>
    </row>
    <row r="26" spans="1:5">
      <c r="A26" s="118" t="s">
        <v>493</v>
      </c>
      <c r="B26" s="46">
        <v>5313.4927254294835</v>
      </c>
      <c r="C26" s="46">
        <v>2215.023020887696</v>
      </c>
      <c r="D26" s="46">
        <v>2951.3407050055407</v>
      </c>
      <c r="E26" s="46">
        <v>147.12899953627445</v>
      </c>
    </row>
    <row r="27" spans="1:5" s="72" customFormat="1">
      <c r="A27" s="116" t="s">
        <v>494</v>
      </c>
      <c r="B27" s="47">
        <v>5864.9644233144536</v>
      </c>
      <c r="C27" s="47">
        <v>2778.2616917042428</v>
      </c>
      <c r="D27" s="47">
        <v>2861.0097031954538</v>
      </c>
      <c r="E27" s="47">
        <v>225.69302841486777</v>
      </c>
    </row>
    <row r="28" spans="1:5">
      <c r="A28" s="118" t="s">
        <v>495</v>
      </c>
      <c r="B28" s="46">
        <v>3126.5851099153833</v>
      </c>
      <c r="C28" s="46">
        <v>1510.4374272172179</v>
      </c>
      <c r="D28" s="46">
        <v>1486.1599258262718</v>
      </c>
      <c r="E28" s="46">
        <v>129.98775687185409</v>
      </c>
    </row>
    <row r="29" spans="1:5" s="72" customFormat="1">
      <c r="A29" s="118" t="s">
        <v>496</v>
      </c>
      <c r="B29" s="46">
        <v>2738.3793133991899</v>
      </c>
      <c r="C29" s="46">
        <v>1267.8242644869229</v>
      </c>
      <c r="D29" s="46">
        <v>1374.8497773692154</v>
      </c>
      <c r="E29" s="46">
        <v>95.705271543013367</v>
      </c>
    </row>
    <row r="30" spans="1:5">
      <c r="A30" s="116" t="s">
        <v>497</v>
      </c>
      <c r="B30" s="47">
        <v>11240.128562456834</v>
      </c>
      <c r="C30" s="47">
        <v>4757.0930370781343</v>
      </c>
      <c r="D30" s="47">
        <v>6148.7812934220183</v>
      </c>
      <c r="E30" s="47">
        <v>334.25423195619669</v>
      </c>
    </row>
    <row r="31" spans="1:5" s="72" customFormat="1">
      <c r="A31" s="118" t="s">
        <v>497</v>
      </c>
      <c r="B31" s="46">
        <v>11240.128562456834</v>
      </c>
      <c r="C31" s="46">
        <v>4757.0930370781343</v>
      </c>
      <c r="D31" s="46">
        <v>6148.7812934220183</v>
      </c>
      <c r="E31" s="46">
        <v>334.25423195619669</v>
      </c>
    </row>
    <row r="32" spans="1:5">
      <c r="A32" s="116" t="s">
        <v>498</v>
      </c>
      <c r="B32" s="47">
        <v>5638.6667197730576</v>
      </c>
      <c r="C32" s="47">
        <v>1248.2936256319522</v>
      </c>
      <c r="D32" s="47">
        <v>3993.2676390820702</v>
      </c>
      <c r="E32" s="47">
        <v>397.10545505907135</v>
      </c>
    </row>
    <row r="33" spans="1:5">
      <c r="A33" s="118" t="s">
        <v>498</v>
      </c>
      <c r="B33" s="46">
        <v>5638.6667197730576</v>
      </c>
      <c r="C33" s="46">
        <v>1248.2936256319522</v>
      </c>
      <c r="D33" s="46">
        <v>3993.2676390820702</v>
      </c>
      <c r="E33" s="46">
        <v>397.10545505907135</v>
      </c>
    </row>
  </sheetData>
  <mergeCells count="6">
    <mergeCell ref="A1:E1"/>
    <mergeCell ref="B2:B3"/>
    <mergeCell ref="C2:C3"/>
    <mergeCell ref="D2:D3"/>
    <mergeCell ref="E2:E3"/>
    <mergeCell ref="A2:A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zoomScale="120" zoomScaleNormal="120" workbookViewId="0">
      <selection activeCell="Q16" sqref="Q16"/>
    </sheetView>
  </sheetViews>
  <sheetFormatPr defaultColWidth="9.140625" defaultRowHeight="12"/>
  <cols>
    <col min="1" max="1" width="19.7109375" style="69" customWidth="1"/>
    <col min="2" max="16384" width="9.140625" style="69"/>
  </cols>
  <sheetData>
    <row r="1" spans="1:8">
      <c r="A1" s="693" t="s">
        <v>475</v>
      </c>
      <c r="B1" s="693"/>
      <c r="C1" s="693"/>
      <c r="D1" s="693"/>
      <c r="E1" s="693"/>
      <c r="F1" s="693"/>
      <c r="G1" s="693"/>
      <c r="H1" s="693"/>
    </row>
    <row r="2" spans="1:8" ht="27" customHeight="1">
      <c r="A2" s="157" t="s">
        <v>445</v>
      </c>
      <c r="B2" s="158" t="s">
        <v>1</v>
      </c>
      <c r="C2" s="159" t="s">
        <v>256</v>
      </c>
      <c r="D2" s="159" t="s">
        <v>257</v>
      </c>
      <c r="E2" s="159" t="s">
        <v>258</v>
      </c>
      <c r="F2" s="159" t="s">
        <v>259</v>
      </c>
      <c r="G2" s="159" t="s">
        <v>260</v>
      </c>
      <c r="H2" s="159" t="s">
        <v>261</v>
      </c>
    </row>
    <row r="3" spans="1:8">
      <c r="A3" s="160" t="s">
        <v>500</v>
      </c>
      <c r="B3" s="161">
        <v>138769.95281459973</v>
      </c>
      <c r="C3" s="161">
        <v>73411.112219866904</v>
      </c>
      <c r="D3" s="161">
        <v>26039.488785355723</v>
      </c>
      <c r="E3" s="161">
        <v>28439.320281052653</v>
      </c>
      <c r="F3" s="161">
        <v>5124.8593037994751</v>
      </c>
      <c r="G3" s="161">
        <v>3382.5385524454787</v>
      </c>
      <c r="H3" s="161">
        <v>2372.6336721334997</v>
      </c>
    </row>
    <row r="4" spans="1:8">
      <c r="A4" s="420"/>
      <c r="B4" s="421"/>
      <c r="C4" s="421"/>
      <c r="D4" s="421"/>
      <c r="E4" s="421"/>
      <c r="F4" s="421"/>
      <c r="G4" s="421"/>
      <c r="H4" s="421"/>
    </row>
    <row r="5" spans="1:8">
      <c r="A5" s="163" t="s">
        <v>111</v>
      </c>
      <c r="B5" s="165"/>
      <c r="C5" s="165"/>
      <c r="D5" s="165"/>
      <c r="E5" s="422"/>
      <c r="F5" s="422"/>
      <c r="G5" s="422"/>
      <c r="H5" s="422"/>
    </row>
    <row r="6" spans="1:8">
      <c r="A6" s="19" t="s">
        <v>4</v>
      </c>
      <c r="B6" s="46">
        <v>51501.212629849608</v>
      </c>
      <c r="C6" s="46">
        <v>26919.254504820005</v>
      </c>
      <c r="D6" s="46">
        <v>9528.0496054123796</v>
      </c>
      <c r="E6" s="65">
        <v>11068.066335092883</v>
      </c>
      <c r="F6" s="65">
        <v>1850.3290359296946</v>
      </c>
      <c r="G6" s="65">
        <v>1208.4576078416221</v>
      </c>
      <c r="H6" s="65">
        <v>927.05554076738429</v>
      </c>
    </row>
    <row r="7" spans="1:8">
      <c r="A7" s="19" t="s">
        <v>5</v>
      </c>
      <c r="B7" s="46">
        <v>87268.740184803974</v>
      </c>
      <c r="C7" s="46">
        <v>46491.857715088707</v>
      </c>
      <c r="D7" s="46">
        <v>16511.439179950456</v>
      </c>
      <c r="E7" s="65">
        <v>17371.253945957917</v>
      </c>
      <c r="F7" s="65">
        <v>3274.5302678694557</v>
      </c>
      <c r="G7" s="65">
        <v>2174.0809446039875</v>
      </c>
      <c r="H7" s="65">
        <v>1445.5781313661132</v>
      </c>
    </row>
    <row r="8" spans="1:8">
      <c r="A8" s="145" t="s">
        <v>448</v>
      </c>
      <c r="B8" s="155"/>
      <c r="C8" s="155"/>
      <c r="D8" s="155"/>
      <c r="E8" s="155"/>
      <c r="F8" s="155"/>
      <c r="G8" s="155"/>
      <c r="H8" s="155"/>
    </row>
    <row r="9" spans="1:8" s="72" customFormat="1">
      <c r="A9" s="116" t="s">
        <v>486</v>
      </c>
      <c r="B9" s="47">
        <v>24757.123945472875</v>
      </c>
      <c r="C9" s="47">
        <v>14149.66377480663</v>
      </c>
      <c r="D9" s="47">
        <v>4004.5216812450312</v>
      </c>
      <c r="E9" s="47">
        <v>4639.9673289323373</v>
      </c>
      <c r="F9" s="47">
        <v>1078.7687263798241</v>
      </c>
      <c r="G9" s="47">
        <v>582.80225059028908</v>
      </c>
      <c r="H9" s="47">
        <v>301.40018351605767</v>
      </c>
    </row>
    <row r="10" spans="1:8">
      <c r="A10" s="118" t="s">
        <v>486</v>
      </c>
      <c r="B10" s="46">
        <v>24757.123945472875</v>
      </c>
      <c r="C10" s="46">
        <v>14149.66377480663</v>
      </c>
      <c r="D10" s="46">
        <v>4004.5216812450312</v>
      </c>
      <c r="E10" s="46">
        <v>4639.9673289323373</v>
      </c>
      <c r="F10" s="46">
        <v>1078.7687263798241</v>
      </c>
      <c r="G10" s="46">
        <v>582.80225059028908</v>
      </c>
      <c r="H10" s="46">
        <v>301.40018351605767</v>
      </c>
    </row>
    <row r="11" spans="1:8" s="72" customFormat="1" ht="15" customHeight="1">
      <c r="A11" s="116" t="s">
        <v>487</v>
      </c>
      <c r="B11" s="47">
        <v>49793.527669873882</v>
      </c>
      <c r="C11" s="47">
        <v>26424.106122387777</v>
      </c>
      <c r="D11" s="47">
        <v>8803.8889843799079</v>
      </c>
      <c r="E11" s="47">
        <v>10678.996234493667</v>
      </c>
      <c r="F11" s="47">
        <v>1615.321675589734</v>
      </c>
      <c r="G11" s="47">
        <v>1208.4576078416221</v>
      </c>
      <c r="H11" s="47">
        <v>1062.7570451940433</v>
      </c>
    </row>
    <row r="12" spans="1:8" ht="14.25" customHeight="1">
      <c r="A12" s="118" t="s">
        <v>487</v>
      </c>
      <c r="B12" s="46">
        <v>42696.757487622432</v>
      </c>
      <c r="C12" s="46">
        <v>22262.459868706424</v>
      </c>
      <c r="D12" s="46">
        <v>7646.963051973793</v>
      </c>
      <c r="E12" s="46">
        <v>9267.7691780686037</v>
      </c>
      <c r="F12" s="46">
        <v>1441.1897158197633</v>
      </c>
      <c r="G12" s="46">
        <v>1097.0395305228853</v>
      </c>
      <c r="H12" s="46">
        <v>981.3361425380466</v>
      </c>
    </row>
    <row r="13" spans="1:8">
      <c r="A13" s="118" t="s">
        <v>488</v>
      </c>
      <c r="B13" s="46">
        <v>7096.7701822545014</v>
      </c>
      <c r="C13" s="46">
        <v>4161.6462536795379</v>
      </c>
      <c r="D13" s="46">
        <v>1156.9259324058512</v>
      </c>
      <c r="E13" s="46">
        <v>1411.2270564246928</v>
      </c>
      <c r="F13" s="46">
        <v>174.13195976997417</v>
      </c>
      <c r="G13" s="46">
        <v>111.41807731873203</v>
      </c>
      <c r="H13" s="46">
        <v>81.4209026559964</v>
      </c>
    </row>
    <row r="14" spans="1:8" s="72" customFormat="1">
      <c r="A14" s="116" t="s">
        <v>489</v>
      </c>
      <c r="B14" s="47">
        <v>7043.3486249432135</v>
      </c>
      <c r="C14" s="47">
        <v>2485.6988797814283</v>
      </c>
      <c r="D14" s="47">
        <v>1514.678589808178</v>
      </c>
      <c r="E14" s="47">
        <v>1976.0480337783808</v>
      </c>
      <c r="F14" s="47">
        <v>489.83461853992281</v>
      </c>
      <c r="G14" s="47">
        <v>322.82673684658312</v>
      </c>
      <c r="H14" s="47">
        <v>254.2617661889017</v>
      </c>
    </row>
    <row r="15" spans="1:8">
      <c r="A15" s="118" t="s">
        <v>489</v>
      </c>
      <c r="B15" s="46">
        <v>4508.0622889973656</v>
      </c>
      <c r="C15" s="46">
        <v>1646.4420646098774</v>
      </c>
      <c r="D15" s="46">
        <v>924.67521530192903</v>
      </c>
      <c r="E15" s="46">
        <v>1232.8093557783802</v>
      </c>
      <c r="F15" s="46">
        <v>327.02831468995015</v>
      </c>
      <c r="G15" s="46">
        <v>207.12334886174571</v>
      </c>
      <c r="H15" s="46">
        <v>169.9839897555016</v>
      </c>
    </row>
    <row r="16" spans="1:8" s="72" customFormat="1">
      <c r="A16" s="118" t="s">
        <v>490</v>
      </c>
      <c r="B16" s="46">
        <v>2535.2863359459498</v>
      </c>
      <c r="C16" s="46">
        <v>839.25681517151293</v>
      </c>
      <c r="D16" s="46">
        <v>590.00337450623033</v>
      </c>
      <c r="E16" s="46">
        <v>743.23867799998857</v>
      </c>
      <c r="F16" s="46">
        <v>162.80630384997585</v>
      </c>
      <c r="G16" s="46">
        <v>115.70338798483712</v>
      </c>
      <c r="H16" s="46">
        <v>84.277776433399794</v>
      </c>
    </row>
    <row r="17" spans="1:8">
      <c r="A17" s="116" t="s">
        <v>491</v>
      </c>
      <c r="B17" s="47">
        <v>19788.548710976436</v>
      </c>
      <c r="C17" s="47">
        <v>11049.177340778409</v>
      </c>
      <c r="D17" s="47">
        <v>3535.6925939235075</v>
      </c>
      <c r="E17" s="47">
        <v>3849.5480425432502</v>
      </c>
      <c r="F17" s="47">
        <v>638.48385248989791</v>
      </c>
      <c r="G17" s="47">
        <v>478.52635771506806</v>
      </c>
      <c r="H17" s="47">
        <v>237.12052352448134</v>
      </c>
    </row>
    <row r="18" spans="1:8" s="72" customFormat="1">
      <c r="A18" s="118" t="s">
        <v>491</v>
      </c>
      <c r="B18" s="46">
        <v>19788.548710976436</v>
      </c>
      <c r="C18" s="46">
        <v>11049.177340778409</v>
      </c>
      <c r="D18" s="46">
        <v>3535.6925939235075</v>
      </c>
      <c r="E18" s="46">
        <v>3849.5480425432502</v>
      </c>
      <c r="F18" s="46">
        <v>638.48385248989791</v>
      </c>
      <c r="G18" s="46">
        <v>478.52635771506806</v>
      </c>
      <c r="H18" s="46">
        <v>237.12052352448134</v>
      </c>
    </row>
    <row r="19" spans="1:8">
      <c r="A19" s="116" t="s">
        <v>499</v>
      </c>
      <c r="B19" s="47">
        <v>9330.1514324610362</v>
      </c>
      <c r="C19" s="47">
        <v>5229.5542463588972</v>
      </c>
      <c r="D19" s="47">
        <v>2159.4989037550963</v>
      </c>
      <c r="E19" s="47">
        <v>1476.3544510016004</v>
      </c>
      <c r="F19" s="47">
        <v>261.90579314996108</v>
      </c>
      <c r="G19" s="47">
        <v>139.98681509276597</v>
      </c>
      <c r="H19" s="47">
        <v>62.85122310287435</v>
      </c>
    </row>
    <row r="20" spans="1:8" s="72" customFormat="1">
      <c r="A20" s="118" t="s">
        <v>492</v>
      </c>
      <c r="B20" s="46">
        <v>9330.1514324610362</v>
      </c>
      <c r="C20" s="46">
        <v>5229.5542463588972</v>
      </c>
      <c r="D20" s="46">
        <v>2159.4989037550963</v>
      </c>
      <c r="E20" s="46">
        <v>1476.3544510016004</v>
      </c>
      <c r="F20" s="46">
        <v>261.90579314996108</v>
      </c>
      <c r="G20" s="46">
        <v>139.98681509276597</v>
      </c>
      <c r="H20" s="46">
        <v>62.85122310287435</v>
      </c>
    </row>
    <row r="21" spans="1:8">
      <c r="A21" s="116" t="s">
        <v>493</v>
      </c>
      <c r="B21" s="47">
        <v>5313.4927254294835</v>
      </c>
      <c r="C21" s="47">
        <v>2796.2295174251135</v>
      </c>
      <c r="D21" s="47">
        <v>1100.6664419272595</v>
      </c>
      <c r="E21" s="47">
        <v>1047.2017691109534</v>
      </c>
      <c r="F21" s="47">
        <v>222.26599742996706</v>
      </c>
      <c r="G21" s="47">
        <v>91.419960876908277</v>
      </c>
      <c r="H21" s="47">
        <v>55.709038659365902</v>
      </c>
    </row>
    <row r="22" spans="1:8">
      <c r="A22" s="118" t="s">
        <v>493</v>
      </c>
      <c r="B22" s="46">
        <v>5313.4927254294835</v>
      </c>
      <c r="C22" s="46">
        <v>2796.2295174251135</v>
      </c>
      <c r="D22" s="46">
        <v>1100.6664419272595</v>
      </c>
      <c r="E22" s="46">
        <v>1047.2017691109534</v>
      </c>
      <c r="F22" s="46">
        <v>222.26599742996706</v>
      </c>
      <c r="G22" s="46">
        <v>91.419960876908277</v>
      </c>
      <c r="H22" s="46">
        <v>55.709038659365902</v>
      </c>
    </row>
    <row r="23" spans="1:8" s="72" customFormat="1">
      <c r="A23" s="116" t="s">
        <v>494</v>
      </c>
      <c r="B23" s="47">
        <v>5864.9644233144536</v>
      </c>
      <c r="C23" s="47">
        <v>3403.2296185691639</v>
      </c>
      <c r="D23" s="47">
        <v>869.85827586125424</v>
      </c>
      <c r="E23" s="47">
        <v>1149.580330999346</v>
      </c>
      <c r="F23" s="47">
        <v>216.6031694699679</v>
      </c>
      <c r="G23" s="47">
        <v>154.27118397978293</v>
      </c>
      <c r="H23" s="47">
        <v>71.421844435084523</v>
      </c>
    </row>
    <row r="24" spans="1:8">
      <c r="A24" s="118" t="s">
        <v>495</v>
      </c>
      <c r="B24" s="46">
        <v>3126.5851099153833</v>
      </c>
      <c r="C24" s="46">
        <v>1816.7674395098693</v>
      </c>
      <c r="D24" s="46">
        <v>463.05888316992889</v>
      </c>
      <c r="E24" s="46">
        <v>617.67154106370549</v>
      </c>
      <c r="F24" s="46">
        <v>99.099489299985279</v>
      </c>
      <c r="G24" s="46">
        <v>75.707155101189613</v>
      </c>
      <c r="H24" s="46">
        <v>54.280601770664212</v>
      </c>
    </row>
    <row r="25" spans="1:8" s="72" customFormat="1">
      <c r="A25" s="118" t="s">
        <v>496</v>
      </c>
      <c r="B25" s="46">
        <v>2738.3793133991899</v>
      </c>
      <c r="C25" s="46">
        <v>1586.4621790591946</v>
      </c>
      <c r="D25" s="46">
        <v>406.79939269133939</v>
      </c>
      <c r="E25" s="46">
        <v>531.90878993562933</v>
      </c>
      <c r="F25" s="46">
        <v>117.50368016998256</v>
      </c>
      <c r="G25" s="46">
        <v>78.564028878593007</v>
      </c>
      <c r="H25" s="46">
        <v>17.141242664420279</v>
      </c>
    </row>
    <row r="26" spans="1:8">
      <c r="A26" s="116" t="s">
        <v>497</v>
      </c>
      <c r="B26" s="47">
        <v>11240.128562456834</v>
      </c>
      <c r="C26" s="47">
        <v>6001.5587120168811</v>
      </c>
      <c r="D26" s="47">
        <v>2292.2135992430353</v>
      </c>
      <c r="E26" s="47">
        <v>2333.2077422105103</v>
      </c>
      <c r="F26" s="47">
        <v>278.89427702995823</v>
      </c>
      <c r="G26" s="47">
        <v>207.12334886174571</v>
      </c>
      <c r="H26" s="47">
        <v>127.1308830944507</v>
      </c>
    </row>
    <row r="27" spans="1:8" s="72" customFormat="1">
      <c r="A27" s="118" t="s">
        <v>497</v>
      </c>
      <c r="B27" s="46">
        <v>11240.128562456834</v>
      </c>
      <c r="C27" s="46">
        <v>6001.5587120168811</v>
      </c>
      <c r="D27" s="46">
        <v>2292.2135992430353</v>
      </c>
      <c r="E27" s="46">
        <v>2333.2077422105103</v>
      </c>
      <c r="F27" s="46">
        <v>278.89427702995823</v>
      </c>
      <c r="G27" s="46">
        <v>207.12334886174571</v>
      </c>
      <c r="H27" s="46">
        <v>127.1308830944507</v>
      </c>
    </row>
    <row r="28" spans="1:8">
      <c r="A28" s="116" t="s">
        <v>498</v>
      </c>
      <c r="B28" s="47">
        <v>5638.6667197730576</v>
      </c>
      <c r="C28" s="47">
        <v>1871.8940077991374</v>
      </c>
      <c r="D28" s="47">
        <v>1758.4697152154088</v>
      </c>
      <c r="E28" s="47">
        <v>1288.4163479796816</v>
      </c>
      <c r="F28" s="47">
        <v>322.78119371995086</v>
      </c>
      <c r="G28" s="47">
        <v>197.12429064083383</v>
      </c>
      <c r="H28" s="47">
        <v>199.98116441823723</v>
      </c>
    </row>
    <row r="29" spans="1:8">
      <c r="A29" s="118" t="s">
        <v>498</v>
      </c>
      <c r="B29" s="46">
        <v>5638.6667197730576</v>
      </c>
      <c r="C29" s="46">
        <v>1871.8940077991374</v>
      </c>
      <c r="D29" s="46">
        <v>1758.4697152154088</v>
      </c>
      <c r="E29" s="46">
        <v>1288.4163479796816</v>
      </c>
      <c r="F29" s="46">
        <v>322.78119371995086</v>
      </c>
      <c r="G29" s="46">
        <v>197.12429064083383</v>
      </c>
      <c r="H29" s="46">
        <v>199.98116441823723</v>
      </c>
    </row>
  </sheetData>
  <mergeCells count="1">
    <mergeCell ref="A1:H1"/>
  </mergeCells>
  <phoneticPr fontId="19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2"/>
  <sheetViews>
    <sheetView zoomScale="120" zoomScaleNormal="120" workbookViewId="0">
      <selection activeCell="A2" sqref="A2:A4"/>
    </sheetView>
  </sheetViews>
  <sheetFormatPr defaultColWidth="9.140625" defaultRowHeight="12"/>
  <cols>
    <col min="1" max="1" width="20.5703125" style="69" customWidth="1"/>
    <col min="2" max="4" width="9.140625" style="69"/>
    <col min="5" max="5" width="4.140625" style="69" customWidth="1"/>
    <col min="6" max="8" width="9.140625" style="69"/>
    <col min="9" max="9" width="4.42578125" style="69" customWidth="1"/>
    <col min="10" max="16384" width="9.140625" style="69"/>
  </cols>
  <sheetData>
    <row r="1" spans="1:12">
      <c r="A1" s="698" t="s">
        <v>476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</row>
    <row r="2" spans="1:12">
      <c r="A2" s="699" t="s">
        <v>445</v>
      </c>
      <c r="B2" s="702" t="s">
        <v>7</v>
      </c>
      <c r="C2" s="702"/>
      <c r="D2" s="702"/>
      <c r="E2" s="702"/>
      <c r="F2" s="702"/>
      <c r="G2" s="702"/>
      <c r="H2" s="702"/>
      <c r="I2" s="702"/>
      <c r="J2" s="702"/>
      <c r="K2" s="702"/>
      <c r="L2" s="30"/>
    </row>
    <row r="3" spans="1:12">
      <c r="A3" s="700"/>
      <c r="B3" s="703" t="s">
        <v>262</v>
      </c>
      <c r="C3" s="703"/>
      <c r="D3" s="703"/>
      <c r="E3" s="66"/>
      <c r="F3" s="703" t="s">
        <v>263</v>
      </c>
      <c r="G3" s="703"/>
      <c r="H3" s="703"/>
      <c r="I3" s="66"/>
      <c r="J3" s="703" t="s">
        <v>139</v>
      </c>
      <c r="K3" s="703"/>
      <c r="L3" s="703"/>
    </row>
    <row r="4" spans="1:12">
      <c r="A4" s="701"/>
      <c r="B4" s="138" t="s">
        <v>1</v>
      </c>
      <c r="C4" s="31" t="s">
        <v>2</v>
      </c>
      <c r="D4" s="31" t="s">
        <v>3</v>
      </c>
      <c r="E4" s="138"/>
      <c r="F4" s="138" t="s">
        <v>1</v>
      </c>
      <c r="G4" s="31" t="s">
        <v>2</v>
      </c>
      <c r="H4" s="31" t="s">
        <v>3</v>
      </c>
      <c r="I4" s="138"/>
      <c r="J4" s="138" t="s">
        <v>1</v>
      </c>
      <c r="K4" s="31" t="s">
        <v>2</v>
      </c>
      <c r="L4" s="31" t="s">
        <v>3</v>
      </c>
    </row>
    <row r="5" spans="1:12">
      <c r="A5" s="162" t="s">
        <v>500</v>
      </c>
      <c r="B5" s="155">
        <f>+C5+D5</f>
        <v>58182.134465951443</v>
      </c>
      <c r="C5" s="155">
        <v>29360.695907764268</v>
      </c>
      <c r="D5" s="155">
        <v>28821.438558187172</v>
      </c>
      <c r="E5" s="155"/>
      <c r="F5" s="155">
        <f>+G5+H5</f>
        <v>74832.646124193037</v>
      </c>
      <c r="G5" s="155">
        <v>38330.986166799041</v>
      </c>
      <c r="H5" s="155">
        <v>36501.659957394004</v>
      </c>
      <c r="I5" s="155"/>
      <c r="J5" s="155">
        <f>+K5+L5</f>
        <v>5755.1722245789788</v>
      </c>
      <c r="K5" s="155">
        <v>3059.7118155989338</v>
      </c>
      <c r="L5" s="155">
        <v>2695.4604089800446</v>
      </c>
    </row>
    <row r="6" spans="1:12">
      <c r="A6" s="11"/>
      <c r="B6" s="47"/>
      <c r="C6" s="46"/>
      <c r="D6" s="46"/>
      <c r="E6" s="46"/>
      <c r="F6" s="47"/>
      <c r="G6" s="46"/>
      <c r="H6" s="46"/>
      <c r="I6" s="46"/>
      <c r="J6" s="47"/>
      <c r="K6" s="46"/>
      <c r="L6" s="46"/>
    </row>
    <row r="7" spans="1:12">
      <c r="A7" s="163" t="s">
        <v>111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</row>
    <row r="8" spans="1:12">
      <c r="A8" s="19" t="s">
        <v>4</v>
      </c>
      <c r="B8" s="46">
        <f>+C8+D8</f>
        <v>20962.229801480051</v>
      </c>
      <c r="C8" s="46">
        <v>10538.508163205041</v>
      </c>
      <c r="D8" s="46">
        <v>10423.72163827501</v>
      </c>
      <c r="E8" s="46"/>
      <c r="F8" s="46">
        <f>+G8+H8</f>
        <v>28403.469679772148</v>
      </c>
      <c r="G8" s="46">
        <v>14605.57267965555</v>
      </c>
      <c r="H8" s="46">
        <v>13797.897000116598</v>
      </c>
      <c r="I8" s="46"/>
      <c r="J8" s="46">
        <f>+K8+L8</f>
        <v>2135.513148609004</v>
      </c>
      <c r="K8" s="46">
        <v>959.909589207522</v>
      </c>
      <c r="L8" s="46">
        <v>1175.6035594014818</v>
      </c>
    </row>
    <row r="9" spans="1:12">
      <c r="A9" s="19" t="s">
        <v>5</v>
      </c>
      <c r="B9" s="46">
        <f>+C9+D9</f>
        <v>37219.904664461188</v>
      </c>
      <c r="C9" s="46">
        <v>18822.187744554249</v>
      </c>
      <c r="D9" s="46">
        <v>18397.716919906939</v>
      </c>
      <c r="E9" s="46"/>
      <c r="F9" s="46">
        <f>+G9+H9</f>
        <v>46429.176444420038</v>
      </c>
      <c r="G9" s="46">
        <v>23725.413487142978</v>
      </c>
      <c r="H9" s="46">
        <v>22703.762957277057</v>
      </c>
      <c r="I9" s="46"/>
      <c r="J9" s="46">
        <f>+K9+L9</f>
        <v>3619.6590759701126</v>
      </c>
      <c r="K9" s="46">
        <v>2099.8022263915082</v>
      </c>
      <c r="L9" s="46">
        <v>1519.8568495786044</v>
      </c>
    </row>
    <row r="10" spans="1:12">
      <c r="A10" s="164" t="s">
        <v>477</v>
      </c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</row>
    <row r="11" spans="1:12" s="72" customFormat="1">
      <c r="A11" s="116" t="s">
        <v>486</v>
      </c>
      <c r="B11" s="47">
        <f>+C11+D11</f>
        <v>11366.710314915632</v>
      </c>
      <c r="C11" s="47">
        <v>5633.3347817734711</v>
      </c>
      <c r="D11" s="47">
        <v>5733.3755331421607</v>
      </c>
      <c r="E11" s="47"/>
      <c r="F11" s="47">
        <f>+G11+H11</f>
        <v>12506.21119644769</v>
      </c>
      <c r="G11" s="47">
        <v>6450.5270553839318</v>
      </c>
      <c r="H11" s="47">
        <v>6055.684141063758</v>
      </c>
      <c r="I11" s="47"/>
      <c r="J11" s="47">
        <f>+K11+L11</f>
        <v>884.20243410634771</v>
      </c>
      <c r="K11" s="47">
        <v>559.94726037106284</v>
      </c>
      <c r="L11" s="47">
        <v>324.25517373528481</v>
      </c>
    </row>
    <row r="12" spans="1:12">
      <c r="A12" s="118" t="s">
        <v>486</v>
      </c>
      <c r="B12" s="46">
        <f t="shared" ref="B12:B31" si="0">+C12+D12</f>
        <v>11366.710314915632</v>
      </c>
      <c r="C12" s="46">
        <v>5633.3347817734711</v>
      </c>
      <c r="D12" s="46">
        <v>5733.3755331421607</v>
      </c>
      <c r="E12" s="46"/>
      <c r="F12" s="46">
        <f>+G12+H12</f>
        <v>12506.21119644769</v>
      </c>
      <c r="G12" s="46">
        <v>6450.5270553839318</v>
      </c>
      <c r="H12" s="46">
        <v>6055.684141063758</v>
      </c>
      <c r="I12" s="46"/>
      <c r="J12" s="46">
        <f>+K12+L12</f>
        <v>884.20243410634771</v>
      </c>
      <c r="K12" s="46">
        <v>559.94726037106284</v>
      </c>
      <c r="L12" s="46">
        <v>324.25517373528481</v>
      </c>
    </row>
    <row r="13" spans="1:12" s="72" customFormat="1">
      <c r="A13" s="116" t="s">
        <v>487</v>
      </c>
      <c r="B13" s="47">
        <f t="shared" si="0"/>
        <v>20651.699953242234</v>
      </c>
      <c r="C13" s="47">
        <v>10382.845522874855</v>
      </c>
      <c r="D13" s="47">
        <v>10268.854430367381</v>
      </c>
      <c r="E13" s="47"/>
      <c r="F13" s="47">
        <f t="shared" ref="F13:F31" si="1">+G13+H13</f>
        <v>26870.61306360611</v>
      </c>
      <c r="G13" s="47">
        <v>13829.512016379491</v>
      </c>
      <c r="H13" s="47">
        <v>13041.101047226619</v>
      </c>
      <c r="I13" s="47"/>
      <c r="J13" s="47">
        <f t="shared" ref="J13:J31" si="2">+K13+L13</f>
        <v>2271.214653035669</v>
      </c>
      <c r="K13" s="47">
        <v>975.62239498324004</v>
      </c>
      <c r="L13" s="47">
        <v>1295.5922580524291</v>
      </c>
    </row>
    <row r="14" spans="1:12">
      <c r="A14" s="118" t="s">
        <v>487</v>
      </c>
      <c r="B14" s="46">
        <f t="shared" si="0"/>
        <v>17313.315607599408</v>
      </c>
      <c r="C14" s="46">
        <v>8649.010311543223</v>
      </c>
      <c r="D14" s="46">
        <v>8664.3052960561854</v>
      </c>
      <c r="E14" s="46"/>
      <c r="F14" s="46">
        <f t="shared" si="1"/>
        <v>23305.066206967887</v>
      </c>
      <c r="G14" s="46">
        <v>11962.286611211299</v>
      </c>
      <c r="H14" s="46">
        <v>11342.77959575659</v>
      </c>
      <c r="I14" s="46"/>
      <c r="J14" s="46">
        <f>+K14+L14</f>
        <v>2078.3756730609412</v>
      </c>
      <c r="K14" s="46">
        <v>867.06119144191541</v>
      </c>
      <c r="L14" s="46">
        <v>1211.3144816190256</v>
      </c>
    </row>
    <row r="15" spans="1:12">
      <c r="A15" s="118" t="s">
        <v>488</v>
      </c>
      <c r="B15" s="46">
        <f t="shared" si="0"/>
        <v>3338.3843456429308</v>
      </c>
      <c r="C15" s="46">
        <v>1733.8352113316869</v>
      </c>
      <c r="D15" s="46">
        <v>1604.549134311244</v>
      </c>
      <c r="E15" s="46"/>
      <c r="F15" s="46">
        <f t="shared" si="1"/>
        <v>3565.5468566370182</v>
      </c>
      <c r="G15" s="46">
        <v>1867.2254051675452</v>
      </c>
      <c r="H15" s="46">
        <v>1698.321451469473</v>
      </c>
      <c r="I15" s="46"/>
      <c r="J15" s="46">
        <f t="shared" si="2"/>
        <v>192.83897997472843</v>
      </c>
      <c r="K15" s="46">
        <v>108.56120354132864</v>
      </c>
      <c r="L15" s="46">
        <v>84.277776433399794</v>
      </c>
    </row>
    <row r="16" spans="1:12" s="72" customFormat="1">
      <c r="A16" s="116" t="s">
        <v>489</v>
      </c>
      <c r="B16" s="47">
        <f t="shared" si="0"/>
        <v>1914.0651961281217</v>
      </c>
      <c r="C16" s="47">
        <v>986.70236095413816</v>
      </c>
      <c r="D16" s="47">
        <v>927.36283517398351</v>
      </c>
      <c r="E16" s="47"/>
      <c r="F16" s="47">
        <f t="shared" si="1"/>
        <v>4552.194925779706</v>
      </c>
      <c r="G16" s="47">
        <v>2382.7939273529842</v>
      </c>
      <c r="H16" s="47">
        <v>2169.4009984267218</v>
      </c>
      <c r="I16" s="47"/>
      <c r="J16" s="47">
        <f>+K16+L16</f>
        <v>577.08850303548479</v>
      </c>
      <c r="K16" s="47">
        <v>324.25517373528481</v>
      </c>
      <c r="L16" s="47">
        <v>252.83332930020001</v>
      </c>
    </row>
    <row r="17" spans="1:12">
      <c r="A17" s="118" t="s">
        <v>489</v>
      </c>
      <c r="B17" s="46">
        <f t="shared" si="0"/>
        <v>1263.5295492440523</v>
      </c>
      <c r="C17" s="46">
        <v>657.30358776799687</v>
      </c>
      <c r="D17" s="46">
        <v>606.22596147605532</v>
      </c>
      <c r="E17" s="46"/>
      <c r="F17" s="46">
        <f t="shared" si="1"/>
        <v>2867.4254011360781</v>
      </c>
      <c r="G17" s="46">
        <v>1520.3318664635424</v>
      </c>
      <c r="H17" s="46">
        <v>1347.0935346725357</v>
      </c>
      <c r="I17" s="46"/>
      <c r="J17" s="46">
        <f t="shared" si="2"/>
        <v>377.10733861724731</v>
      </c>
      <c r="K17" s="46">
        <v>205.69491197304401</v>
      </c>
      <c r="L17" s="46">
        <v>171.41242664420329</v>
      </c>
    </row>
    <row r="18" spans="1:12" s="72" customFormat="1">
      <c r="A18" s="118" t="s">
        <v>490</v>
      </c>
      <c r="B18" s="46">
        <f t="shared" si="0"/>
        <v>650.53564688407721</v>
      </c>
      <c r="C18" s="46">
        <v>329.39877318614549</v>
      </c>
      <c r="D18" s="46">
        <v>321.13687369793172</v>
      </c>
      <c r="E18" s="46"/>
      <c r="F18" s="46">
        <f t="shared" si="1"/>
        <v>1684.7695246436267</v>
      </c>
      <c r="G18" s="46">
        <v>862.46206088944496</v>
      </c>
      <c r="H18" s="46">
        <v>822.30746375418175</v>
      </c>
      <c r="I18" s="46"/>
      <c r="J18" s="46">
        <f>+K18+L18</f>
        <v>199.98116441823692</v>
      </c>
      <c r="K18" s="46">
        <v>118.56026176224051</v>
      </c>
      <c r="L18" s="46">
        <v>81.4209026559964</v>
      </c>
    </row>
    <row r="19" spans="1:12">
      <c r="A19" s="116" t="s">
        <v>491</v>
      </c>
      <c r="B19" s="47">
        <f t="shared" si="0"/>
        <v>8863.8409137980416</v>
      </c>
      <c r="C19" s="47">
        <v>4498.0652523706094</v>
      </c>
      <c r="D19" s="47">
        <v>4365.7756614274322</v>
      </c>
      <c r="E19" s="47"/>
      <c r="F19" s="47">
        <f t="shared" si="1"/>
        <v>10209.060915936985</v>
      </c>
      <c r="G19" s="47">
        <v>4956.9084217496502</v>
      </c>
      <c r="H19" s="47">
        <v>5252.1524941873358</v>
      </c>
      <c r="I19" s="47"/>
      <c r="J19" s="47">
        <f t="shared" si="2"/>
        <v>715.64688123954943</v>
      </c>
      <c r="K19" s="47">
        <v>401.39076572517644</v>
      </c>
      <c r="L19" s="47">
        <v>314.25611551437294</v>
      </c>
    </row>
    <row r="20" spans="1:12" s="72" customFormat="1">
      <c r="A20" s="118" t="s">
        <v>491</v>
      </c>
      <c r="B20" s="46">
        <f t="shared" si="0"/>
        <v>8863.8409137980416</v>
      </c>
      <c r="C20" s="46">
        <v>4498.0652523706094</v>
      </c>
      <c r="D20" s="46">
        <v>4365.7756614274322</v>
      </c>
      <c r="E20" s="46"/>
      <c r="F20" s="46">
        <f t="shared" si="1"/>
        <v>10209.060915936985</v>
      </c>
      <c r="G20" s="46">
        <v>4956.9084217496502</v>
      </c>
      <c r="H20" s="46">
        <v>5252.1524941873358</v>
      </c>
      <c r="I20" s="46"/>
      <c r="J20" s="46">
        <f>+K20+L20</f>
        <v>715.64688123954943</v>
      </c>
      <c r="K20" s="46">
        <v>401.39076572517644</v>
      </c>
      <c r="L20" s="46">
        <v>314.25611551437294</v>
      </c>
    </row>
    <row r="21" spans="1:12">
      <c r="A21" s="116" t="s">
        <v>499</v>
      </c>
      <c r="B21" s="47">
        <f t="shared" si="0"/>
        <v>4387.1467125540294</v>
      </c>
      <c r="C21" s="47">
        <v>2197.0275119327275</v>
      </c>
      <c r="D21" s="47">
        <v>2190.1192006213018</v>
      </c>
      <c r="E21" s="47"/>
      <c r="F21" s="47">
        <f t="shared" si="1"/>
        <v>4740.1666817114101</v>
      </c>
      <c r="G21" s="47">
        <v>2467.5575505044999</v>
      </c>
      <c r="H21" s="47">
        <v>2272.6091312069102</v>
      </c>
      <c r="I21" s="47"/>
      <c r="J21" s="47">
        <f t="shared" si="2"/>
        <v>202.83803819564031</v>
      </c>
      <c r="K21" s="47">
        <v>125.702446205749</v>
      </c>
      <c r="L21" s="47">
        <v>77.13559198989131</v>
      </c>
    </row>
    <row r="22" spans="1:12" s="72" customFormat="1">
      <c r="A22" s="118" t="s">
        <v>492</v>
      </c>
      <c r="B22" s="46">
        <f t="shared" si="0"/>
        <v>4387.1467125540294</v>
      </c>
      <c r="C22" s="46">
        <v>2197.0275119327275</v>
      </c>
      <c r="D22" s="46">
        <v>2190.1192006213018</v>
      </c>
      <c r="E22" s="46"/>
      <c r="F22" s="46">
        <f t="shared" si="1"/>
        <v>4740.1666817114101</v>
      </c>
      <c r="G22" s="46">
        <v>2467.5575505044999</v>
      </c>
      <c r="H22" s="46">
        <v>2272.6091312069102</v>
      </c>
      <c r="I22" s="46"/>
      <c r="J22" s="46">
        <f t="shared" si="2"/>
        <v>202.83803819564031</v>
      </c>
      <c r="K22" s="46">
        <v>125.702446205749</v>
      </c>
      <c r="L22" s="46">
        <v>77.13559198989131</v>
      </c>
    </row>
    <row r="23" spans="1:12">
      <c r="A23" s="116" t="s">
        <v>493</v>
      </c>
      <c r="B23" s="47">
        <f t="shared" si="0"/>
        <v>2215.0230208876378</v>
      </c>
      <c r="C23" s="47">
        <v>1193.5640753338057</v>
      </c>
      <c r="D23" s="47">
        <v>1021.4589455538322</v>
      </c>
      <c r="E23" s="47"/>
      <c r="F23" s="47">
        <f t="shared" si="1"/>
        <v>2951.3407050055785</v>
      </c>
      <c r="G23" s="47">
        <v>1638.8161350467974</v>
      </c>
      <c r="H23" s="47">
        <v>1312.5245699587813</v>
      </c>
      <c r="I23" s="47"/>
      <c r="J23" s="47">
        <f t="shared" si="2"/>
        <v>147.12899953627419</v>
      </c>
      <c r="K23" s="47">
        <v>92.848397765609974</v>
      </c>
      <c r="L23" s="47">
        <v>54.280601770664212</v>
      </c>
    </row>
    <row r="24" spans="1:12">
      <c r="A24" s="118" t="s">
        <v>493</v>
      </c>
      <c r="B24" s="46">
        <f t="shared" si="0"/>
        <v>2215.0230208876378</v>
      </c>
      <c r="C24" s="46">
        <v>1193.5640753338057</v>
      </c>
      <c r="D24" s="46">
        <v>1021.4589455538322</v>
      </c>
      <c r="E24" s="46"/>
      <c r="F24" s="46">
        <f t="shared" si="1"/>
        <v>2951.3407050055785</v>
      </c>
      <c r="G24" s="46">
        <v>1638.8161350467974</v>
      </c>
      <c r="H24" s="46">
        <v>1312.5245699587813</v>
      </c>
      <c r="I24" s="46"/>
      <c r="J24" s="46">
        <f t="shared" si="2"/>
        <v>147.12899953627419</v>
      </c>
      <c r="K24" s="46">
        <v>92.848397765609974</v>
      </c>
      <c r="L24" s="46">
        <v>54.280601770664212</v>
      </c>
    </row>
    <row r="25" spans="1:12" s="72" customFormat="1">
      <c r="A25" s="116" t="s">
        <v>494</v>
      </c>
      <c r="B25" s="47">
        <f t="shared" si="0"/>
        <v>2778.2616917041387</v>
      </c>
      <c r="C25" s="47">
        <v>1364.2532300803218</v>
      </c>
      <c r="D25" s="47">
        <v>1414.0084616238169</v>
      </c>
      <c r="E25" s="47"/>
      <c r="F25" s="47">
        <f t="shared" si="1"/>
        <v>2861.0097031954874</v>
      </c>
      <c r="G25" s="47">
        <v>1512.3536261955637</v>
      </c>
      <c r="H25" s="47">
        <v>1348.6560769999239</v>
      </c>
      <c r="I25" s="47"/>
      <c r="J25" s="47">
        <f t="shared" si="2"/>
        <v>225.69302841486746</v>
      </c>
      <c r="K25" s="47">
        <v>152.84274709108124</v>
      </c>
      <c r="L25" s="47">
        <v>72.85028132378622</v>
      </c>
    </row>
    <row r="26" spans="1:12">
      <c r="A26" s="118" t="s">
        <v>495</v>
      </c>
      <c r="B26" s="46">
        <f t="shared" si="0"/>
        <v>1510.4374272172008</v>
      </c>
      <c r="C26" s="46">
        <v>783.37112282313353</v>
      </c>
      <c r="D26" s="46">
        <v>727.06630439406729</v>
      </c>
      <c r="E26" s="46"/>
      <c r="F26" s="46">
        <f t="shared" si="1"/>
        <v>1486.1599258262727</v>
      </c>
      <c r="G26" s="46">
        <v>772.81109083769104</v>
      </c>
      <c r="H26" s="46">
        <v>713.34883498858153</v>
      </c>
      <c r="I26" s="46"/>
      <c r="J26" s="46">
        <f t="shared" si="2"/>
        <v>129.98775687185383</v>
      </c>
      <c r="K26" s="46">
        <v>77.13559198989131</v>
      </c>
      <c r="L26" s="46">
        <v>52.852164881962523</v>
      </c>
    </row>
    <row r="27" spans="1:12" s="72" customFormat="1">
      <c r="A27" s="118" t="s">
        <v>496</v>
      </c>
      <c r="B27" s="46">
        <f t="shared" si="0"/>
        <v>1267.8242644869201</v>
      </c>
      <c r="C27" s="46">
        <v>580.88210725718011</v>
      </c>
      <c r="D27" s="46">
        <v>686.94215722974002</v>
      </c>
      <c r="E27" s="46"/>
      <c r="F27" s="46">
        <f t="shared" si="1"/>
        <v>1374.8497773692193</v>
      </c>
      <c r="G27" s="46">
        <v>739.54253535787439</v>
      </c>
      <c r="H27" s="46">
        <v>635.30724201134478</v>
      </c>
      <c r="I27" s="46"/>
      <c r="J27" s="46">
        <f t="shared" si="2"/>
        <v>95.705271543013268</v>
      </c>
      <c r="K27" s="46">
        <v>75.707155101189613</v>
      </c>
      <c r="L27" s="46">
        <v>19.998116441823658</v>
      </c>
    </row>
    <row r="28" spans="1:12">
      <c r="A28" s="116" t="s">
        <v>497</v>
      </c>
      <c r="B28" s="47">
        <f t="shared" si="0"/>
        <v>4757.0930370780725</v>
      </c>
      <c r="C28" s="47">
        <v>2474.0819990235996</v>
      </c>
      <c r="D28" s="47">
        <v>2283.0110380544729</v>
      </c>
      <c r="E28" s="47"/>
      <c r="F28" s="47">
        <f t="shared" si="1"/>
        <v>6148.7812934222857</v>
      </c>
      <c r="G28" s="47">
        <v>2928.6955805337529</v>
      </c>
      <c r="H28" s="47">
        <v>3220.0857128885323</v>
      </c>
      <c r="I28" s="47"/>
      <c r="J28" s="47">
        <f t="shared" si="2"/>
        <v>334.25423195619641</v>
      </c>
      <c r="K28" s="47">
        <v>187.12523241992196</v>
      </c>
      <c r="L28" s="47">
        <v>147.12899953627445</v>
      </c>
    </row>
    <row r="29" spans="1:12" s="72" customFormat="1">
      <c r="A29" s="118" t="s">
        <v>497</v>
      </c>
      <c r="B29" s="46">
        <f t="shared" si="0"/>
        <v>4757.0930370780725</v>
      </c>
      <c r="C29" s="46">
        <v>2474.0819990235996</v>
      </c>
      <c r="D29" s="46">
        <v>2283.0110380544729</v>
      </c>
      <c r="E29" s="46"/>
      <c r="F29" s="46">
        <f t="shared" si="1"/>
        <v>6148.7812934222857</v>
      </c>
      <c r="G29" s="46">
        <v>2928.6955805337529</v>
      </c>
      <c r="H29" s="46">
        <v>3220.0857128885323</v>
      </c>
      <c r="I29" s="46"/>
      <c r="J29" s="46">
        <f t="shared" si="2"/>
        <v>334.25423195619641</v>
      </c>
      <c r="K29" s="46">
        <v>187.12523241992196</v>
      </c>
      <c r="L29" s="46">
        <v>147.12899953627445</v>
      </c>
    </row>
    <row r="30" spans="1:12">
      <c r="A30" s="116" t="s">
        <v>498</v>
      </c>
      <c r="B30" s="47">
        <f t="shared" si="0"/>
        <v>1248.2936256319404</v>
      </c>
      <c r="C30" s="47">
        <v>630.82117341488527</v>
      </c>
      <c r="D30" s="47">
        <v>617.47245221705498</v>
      </c>
      <c r="E30" s="47"/>
      <c r="F30" s="47">
        <f t="shared" si="1"/>
        <v>3993.2676390822085</v>
      </c>
      <c r="G30" s="47">
        <v>2163.8218536495019</v>
      </c>
      <c r="H30" s="47">
        <v>1829.4457854327065</v>
      </c>
      <c r="I30" s="47"/>
      <c r="J30" s="47">
        <f t="shared" si="2"/>
        <v>397.10545505907106</v>
      </c>
      <c r="K30" s="47">
        <v>239.97739730188474</v>
      </c>
      <c r="L30" s="47">
        <v>157.12805775718633</v>
      </c>
    </row>
    <row r="31" spans="1:12">
      <c r="A31" s="118" t="s">
        <v>498</v>
      </c>
      <c r="B31" s="46">
        <f t="shared" si="0"/>
        <v>1248.2936256319404</v>
      </c>
      <c r="C31" s="46">
        <v>630.82117341488527</v>
      </c>
      <c r="D31" s="46">
        <v>617.47245221705498</v>
      </c>
      <c r="E31" s="77"/>
      <c r="F31" s="46">
        <f t="shared" si="1"/>
        <v>3993.2676390822085</v>
      </c>
      <c r="G31" s="46">
        <v>2163.8218536495019</v>
      </c>
      <c r="H31" s="46">
        <v>1829.4457854327065</v>
      </c>
      <c r="I31" s="77"/>
      <c r="J31" s="46">
        <f t="shared" si="2"/>
        <v>397.10545505907106</v>
      </c>
      <c r="K31" s="46">
        <v>239.97739730188474</v>
      </c>
      <c r="L31" s="46">
        <v>157.12805775718633</v>
      </c>
    </row>
    <row r="33" s="69" customFormat="1"/>
    <row r="34" s="69" customFormat="1"/>
    <row r="35" s="69" customFormat="1"/>
    <row r="36" s="69" customFormat="1"/>
    <row r="37" s="69" customFormat="1"/>
    <row r="38" s="69" customFormat="1"/>
    <row r="39" s="69" customFormat="1"/>
    <row r="40" s="69" customFormat="1"/>
    <row r="41" s="69" customFormat="1"/>
    <row r="42" s="69" customFormat="1"/>
  </sheetData>
  <mergeCells count="6">
    <mergeCell ref="A1:L1"/>
    <mergeCell ref="A2:A4"/>
    <mergeCell ref="B2:K2"/>
    <mergeCell ref="B3:D3"/>
    <mergeCell ref="F3:H3"/>
    <mergeCell ref="J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"/>
  <sheetViews>
    <sheetView zoomScale="120" zoomScaleNormal="120" workbookViewId="0">
      <selection activeCell="K18" sqref="K18"/>
    </sheetView>
  </sheetViews>
  <sheetFormatPr defaultColWidth="9.140625" defaultRowHeight="12"/>
  <cols>
    <col min="1" max="1" width="18.28515625" style="69" customWidth="1"/>
    <col min="2" max="16384" width="9.140625" style="69"/>
  </cols>
  <sheetData>
    <row r="1" spans="1:3" ht="26.25" customHeight="1">
      <c r="A1" s="704" t="s">
        <v>478</v>
      </c>
      <c r="B1" s="704"/>
      <c r="C1" s="704"/>
    </row>
    <row r="2" spans="1:3" ht="24" customHeight="1">
      <c r="A2" s="166" t="s">
        <v>445</v>
      </c>
      <c r="B2" s="167" t="s">
        <v>114</v>
      </c>
      <c r="C2" s="167" t="s">
        <v>115</v>
      </c>
    </row>
    <row r="3" spans="1:3">
      <c r="A3" s="160" t="s">
        <v>500</v>
      </c>
      <c r="B3" s="168">
        <v>22.425202876397524</v>
      </c>
      <c r="C3" s="168">
        <v>18</v>
      </c>
    </row>
    <row r="4" spans="1:3">
      <c r="A4" s="121"/>
      <c r="B4" s="9"/>
      <c r="C4" s="9"/>
    </row>
    <row r="5" spans="1:3">
      <c r="A5" s="169" t="s">
        <v>111</v>
      </c>
      <c r="B5" s="170"/>
      <c r="C5" s="170"/>
    </row>
    <row r="6" spans="1:3">
      <c r="A6" s="20" t="s">
        <v>4</v>
      </c>
      <c r="B6" s="48">
        <v>22.80167310773825</v>
      </c>
      <c r="C6" s="48">
        <v>18</v>
      </c>
    </row>
    <row r="7" spans="1:3">
      <c r="A7" s="20" t="s">
        <v>5</v>
      </c>
      <c r="B7" s="48">
        <v>22.203030843280512</v>
      </c>
      <c r="C7" s="48">
        <v>18</v>
      </c>
    </row>
    <row r="8" spans="1:3">
      <c r="A8" s="169" t="s">
        <v>112</v>
      </c>
      <c r="B8" s="171"/>
      <c r="C8" s="168"/>
    </row>
    <row r="9" spans="1:3">
      <c r="A9" s="20" t="s">
        <v>2</v>
      </c>
      <c r="B9" s="48">
        <v>22.815315067934101</v>
      </c>
      <c r="C9" s="48">
        <v>18</v>
      </c>
    </row>
    <row r="10" spans="1:3">
      <c r="A10" s="20" t="s">
        <v>3</v>
      </c>
      <c r="B10" s="48">
        <v>22.019416841488791</v>
      </c>
      <c r="C10" s="48">
        <v>18</v>
      </c>
    </row>
    <row r="11" spans="1:3">
      <c r="A11" s="145" t="s">
        <v>448</v>
      </c>
      <c r="B11" s="170"/>
      <c r="C11" s="170"/>
    </row>
    <row r="12" spans="1:3" s="72" customFormat="1">
      <c r="A12" s="116" t="s">
        <v>486</v>
      </c>
      <c r="B12" s="172">
        <v>21.325576267533453</v>
      </c>
      <c r="C12" s="172">
        <v>16</v>
      </c>
    </row>
    <row r="13" spans="1:3">
      <c r="A13" s="118" t="s">
        <v>486</v>
      </c>
      <c r="B13" s="48">
        <v>21.325576267533453</v>
      </c>
      <c r="C13" s="48">
        <v>16</v>
      </c>
    </row>
    <row r="14" spans="1:3" s="72" customFormat="1">
      <c r="A14" s="116" t="s">
        <v>487</v>
      </c>
      <c r="B14" s="172">
        <v>22.77951561229472</v>
      </c>
      <c r="C14" s="172">
        <v>18</v>
      </c>
    </row>
    <row r="15" spans="1:3">
      <c r="A15" s="118" t="s">
        <v>487</v>
      </c>
      <c r="B15" s="48">
        <v>23.206139861328417</v>
      </c>
      <c r="C15" s="48">
        <v>18</v>
      </c>
    </row>
    <row r="16" spans="1:3">
      <c r="A16" s="118" t="s">
        <v>488</v>
      </c>
      <c r="B16" s="48">
        <v>20.212788547502196</v>
      </c>
      <c r="C16" s="48">
        <v>16</v>
      </c>
    </row>
    <row r="17" spans="1:3" s="72" customFormat="1">
      <c r="A17" s="116" t="s">
        <v>489</v>
      </c>
      <c r="B17" s="172">
        <v>29.809703968044598</v>
      </c>
      <c r="C17" s="172">
        <v>26</v>
      </c>
    </row>
    <row r="18" spans="1:3">
      <c r="A18" s="118" t="s">
        <v>489</v>
      </c>
      <c r="B18" s="48">
        <v>29.681949404155997</v>
      </c>
      <c r="C18" s="48">
        <v>26</v>
      </c>
    </row>
    <row r="19" spans="1:3" s="72" customFormat="1">
      <c r="A19" s="118" t="s">
        <v>490</v>
      </c>
      <c r="B19" s="48">
        <v>30.036867868052369</v>
      </c>
      <c r="C19" s="48">
        <v>27</v>
      </c>
    </row>
    <row r="20" spans="1:3">
      <c r="A20" s="116" t="s">
        <v>491</v>
      </c>
      <c r="B20" s="172">
        <v>21.16771076468418</v>
      </c>
      <c r="C20" s="172">
        <v>17</v>
      </c>
    </row>
    <row r="21" spans="1:3" s="72" customFormat="1">
      <c r="A21" s="118" t="s">
        <v>491</v>
      </c>
      <c r="B21" s="48">
        <v>21.16771076468418</v>
      </c>
      <c r="C21" s="48">
        <v>17</v>
      </c>
    </row>
    <row r="22" spans="1:3">
      <c r="A22" s="116" t="s">
        <v>499</v>
      </c>
      <c r="B22" s="172">
        <v>19.294230430259681</v>
      </c>
      <c r="C22" s="172">
        <v>16</v>
      </c>
    </row>
    <row r="23" spans="1:3">
      <c r="A23" s="118" t="s">
        <v>492</v>
      </c>
      <c r="B23" s="48">
        <v>19.294230430259681</v>
      </c>
      <c r="C23" s="48">
        <v>16</v>
      </c>
    </row>
    <row r="24" spans="1:3">
      <c r="A24" s="116" t="s">
        <v>493</v>
      </c>
      <c r="B24" s="172">
        <v>21.8674828126323</v>
      </c>
      <c r="C24" s="172">
        <v>18</v>
      </c>
    </row>
    <row r="25" spans="1:3" s="72" customFormat="1">
      <c r="A25" s="118" t="s">
        <v>493</v>
      </c>
      <c r="B25" s="48">
        <v>21.8674828126323</v>
      </c>
      <c r="C25" s="48">
        <v>18</v>
      </c>
    </row>
    <row r="26" spans="1:3">
      <c r="A26" s="116" t="s">
        <v>494</v>
      </c>
      <c r="B26" s="172">
        <v>21.104041257194464</v>
      </c>
      <c r="C26" s="172">
        <v>16</v>
      </c>
    </row>
    <row r="27" spans="1:3" s="72" customFormat="1">
      <c r="A27" s="118" t="s">
        <v>495</v>
      </c>
      <c r="B27" s="48">
        <v>21.073668043584036</v>
      </c>
      <c r="C27" s="48">
        <v>15</v>
      </c>
    </row>
    <row r="28" spans="1:3">
      <c r="A28" s="118" t="s">
        <v>496</v>
      </c>
      <c r="B28" s="48">
        <v>21.138720323366364</v>
      </c>
      <c r="C28" s="48">
        <v>16</v>
      </c>
    </row>
    <row r="29" spans="1:3" s="72" customFormat="1">
      <c r="A29" s="116" t="s">
        <v>497</v>
      </c>
      <c r="B29" s="172">
        <v>21.225722417872024</v>
      </c>
      <c r="C29" s="172">
        <v>18</v>
      </c>
    </row>
    <row r="30" spans="1:3">
      <c r="A30" s="118" t="s">
        <v>497</v>
      </c>
      <c r="B30" s="48">
        <v>21.225722417872024</v>
      </c>
      <c r="C30" s="48">
        <v>18</v>
      </c>
    </row>
    <row r="31" spans="1:3">
      <c r="A31" s="116" t="s">
        <v>498</v>
      </c>
      <c r="B31" s="172">
        <v>28.784899293662022</v>
      </c>
      <c r="C31" s="172">
        <v>24</v>
      </c>
    </row>
    <row r="32" spans="1:3">
      <c r="A32" s="118" t="s">
        <v>498</v>
      </c>
      <c r="B32" s="48">
        <v>28.784899293662022</v>
      </c>
      <c r="C32" s="48">
        <v>24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21E00"/>
  </sheetPr>
  <dimension ref="A1"/>
  <sheetViews>
    <sheetView topLeftCell="A13" workbookViewId="0">
      <selection activeCell="L48" sqref="L48"/>
    </sheetView>
  </sheetViews>
  <sheetFormatPr defaultColWidth="9.140625" defaultRowHeight="15"/>
  <cols>
    <col min="1" max="16384" width="9.140625" style="1"/>
  </cols>
  <sheetData>
    <row r="1" spans="1:1">
      <c r="A1" s="10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4.9989318521683403E-2"/>
  </sheetPr>
  <dimension ref="A1:K33"/>
  <sheetViews>
    <sheetView zoomScale="120" zoomScaleNormal="120" workbookViewId="0">
      <selection activeCell="L17" sqref="L17"/>
    </sheetView>
  </sheetViews>
  <sheetFormatPr defaultColWidth="9.140625" defaultRowHeight="12"/>
  <cols>
    <col min="1" max="1" width="22.85546875" style="69" customWidth="1"/>
    <col min="2" max="5" width="9.140625" style="69"/>
    <col min="6" max="6" width="10.85546875" style="69" customWidth="1"/>
    <col min="7" max="16384" width="9.140625" style="69"/>
  </cols>
  <sheetData>
    <row r="1" spans="1:11" ht="15" customHeight="1">
      <c r="A1" s="705" t="s">
        <v>479</v>
      </c>
      <c r="B1" s="705"/>
      <c r="C1" s="705"/>
      <c r="D1" s="705"/>
      <c r="E1" s="705"/>
      <c r="F1" s="705"/>
      <c r="G1" s="705"/>
      <c r="H1" s="705"/>
    </row>
    <row r="2" spans="1:11" ht="15" customHeight="1">
      <c r="A2" s="696" t="s">
        <v>445</v>
      </c>
      <c r="B2" s="707" t="s">
        <v>116</v>
      </c>
      <c r="C2" s="708" t="s">
        <v>117</v>
      </c>
      <c r="D2" s="708"/>
      <c r="E2" s="708"/>
      <c r="F2" s="708"/>
      <c r="G2" s="708"/>
      <c r="H2" s="708"/>
    </row>
    <row r="3" spans="1:11" ht="39.75" customHeight="1">
      <c r="A3" s="706"/>
      <c r="B3" s="707"/>
      <c r="C3" s="32" t="s">
        <v>118</v>
      </c>
      <c r="D3" s="32" t="s">
        <v>119</v>
      </c>
      <c r="E3" s="32" t="s">
        <v>120</v>
      </c>
      <c r="F3" s="32" t="s">
        <v>121</v>
      </c>
      <c r="G3" s="32" t="s">
        <v>122</v>
      </c>
      <c r="H3" s="32" t="s">
        <v>107</v>
      </c>
    </row>
    <row r="4" spans="1:11">
      <c r="A4" s="173" t="s">
        <v>500</v>
      </c>
      <c r="B4" s="155">
        <v>90480.927223308521</v>
      </c>
      <c r="C4" s="155">
        <v>49311.094807904068</v>
      </c>
      <c r="D4" s="155">
        <v>35877.80568320804</v>
      </c>
      <c r="E4" s="155">
        <v>1725.1109553281276</v>
      </c>
      <c r="F4" s="155">
        <v>225.49494044058636</v>
      </c>
      <c r="G4" s="155">
        <v>1268.555575852864</v>
      </c>
      <c r="H4" s="155">
        <v>2072.8652606217488</v>
      </c>
    </row>
    <row r="5" spans="1:11">
      <c r="A5" s="7"/>
      <c r="B5" s="22"/>
      <c r="C5" s="22"/>
      <c r="D5" s="22"/>
      <c r="E5" s="22"/>
      <c r="F5" s="22"/>
      <c r="G5" s="22"/>
      <c r="H5" s="22"/>
    </row>
    <row r="6" spans="1:11">
      <c r="A6" s="173" t="s">
        <v>112</v>
      </c>
      <c r="B6" s="174"/>
      <c r="C6" s="174"/>
      <c r="D6" s="175"/>
      <c r="E6" s="175"/>
      <c r="F6" s="175"/>
      <c r="G6" s="175"/>
      <c r="H6" s="175"/>
    </row>
    <row r="7" spans="1:11">
      <c r="A7" s="8" t="s">
        <v>2</v>
      </c>
      <c r="B7" s="46">
        <v>46413.517933059542</v>
      </c>
      <c r="C7" s="46">
        <v>26599.477894868538</v>
      </c>
      <c r="D7" s="46">
        <v>17546.847628119001</v>
      </c>
      <c r="E7" s="46">
        <v>629.42379886679271</v>
      </c>
      <c r="F7" s="46">
        <v>80.05698757644106</v>
      </c>
      <c r="G7" s="46">
        <v>309.03430277989696</v>
      </c>
      <c r="H7" s="46">
        <v>1248.6773208496793</v>
      </c>
    </row>
    <row r="8" spans="1:11">
      <c r="A8" s="8" t="s">
        <v>3</v>
      </c>
      <c r="B8" s="46">
        <v>44067.409290298645</v>
      </c>
      <c r="C8" s="46">
        <v>22711.616913037029</v>
      </c>
      <c r="D8" s="46">
        <v>18330.9580550916</v>
      </c>
      <c r="E8" s="46">
        <v>1095.6871564613198</v>
      </c>
      <c r="F8" s="46">
        <v>145.43795286414556</v>
      </c>
      <c r="G8" s="46">
        <v>959.52127307296405</v>
      </c>
      <c r="H8" s="46">
        <v>824.18793977205337</v>
      </c>
    </row>
    <row r="9" spans="1:11">
      <c r="A9" s="169" t="s">
        <v>111</v>
      </c>
      <c r="B9" s="176"/>
      <c r="C9" s="176"/>
      <c r="D9" s="176"/>
      <c r="E9" s="176"/>
      <c r="F9" s="176"/>
      <c r="G9" s="176"/>
      <c r="H9" s="176"/>
    </row>
    <row r="10" spans="1:11">
      <c r="A10" s="20" t="s">
        <v>4</v>
      </c>
      <c r="B10" s="46">
        <v>34321.484693196304</v>
      </c>
      <c r="C10" s="46">
        <v>19319.651407157518</v>
      </c>
      <c r="D10" s="46">
        <v>13112.74810896668</v>
      </c>
      <c r="E10" s="46">
        <v>579.10275055371062</v>
      </c>
      <c r="F10" s="46">
        <v>58.549639537909066</v>
      </c>
      <c r="G10" s="46">
        <v>495.99009730800879</v>
      </c>
      <c r="H10" s="46">
        <v>755.44268967445078</v>
      </c>
    </row>
    <row r="11" spans="1:11">
      <c r="A11" s="20" t="s">
        <v>5</v>
      </c>
      <c r="B11" s="46">
        <v>56159.442530161155</v>
      </c>
      <c r="C11" s="46">
        <v>29991.443400748252</v>
      </c>
      <c r="D11" s="46">
        <v>22765.057574242583</v>
      </c>
      <c r="E11" s="46">
        <v>1146.0082047744029</v>
      </c>
      <c r="F11" s="46">
        <v>166.94530090267739</v>
      </c>
      <c r="G11" s="46">
        <v>772.56547854485473</v>
      </c>
      <c r="H11" s="46">
        <v>1317.4225709472803</v>
      </c>
    </row>
    <row r="12" spans="1:11">
      <c r="A12" s="145" t="s">
        <v>448</v>
      </c>
      <c r="B12" s="177"/>
      <c r="C12" s="177"/>
      <c r="D12" s="177"/>
      <c r="E12" s="177"/>
      <c r="F12" s="177"/>
      <c r="G12" s="177"/>
      <c r="H12" s="177"/>
    </row>
    <row r="13" spans="1:11" s="72" customFormat="1">
      <c r="A13" s="116" t="s">
        <v>486</v>
      </c>
      <c r="B13" s="47">
        <v>15266.277661144808</v>
      </c>
      <c r="C13" s="47">
        <v>8392.9586612178609</v>
      </c>
      <c r="D13" s="47">
        <v>6262.4443800339723</v>
      </c>
      <c r="E13" s="47">
        <v>114.39507955746802</v>
      </c>
      <c r="F13" s="47">
        <v>31.299439788180017</v>
      </c>
      <c r="G13" s="47">
        <v>257.39682770400549</v>
      </c>
      <c r="H13" s="47">
        <v>207.78327284113487</v>
      </c>
    </row>
    <row r="14" spans="1:11">
      <c r="A14" s="118" t="s">
        <v>486</v>
      </c>
      <c r="B14" s="46">
        <v>15266.277661144808</v>
      </c>
      <c r="C14" s="46">
        <v>8392.9586612178609</v>
      </c>
      <c r="D14" s="46">
        <v>6262.4443800339723</v>
      </c>
      <c r="E14" s="46">
        <v>114.39507955746802</v>
      </c>
      <c r="F14" s="46">
        <v>31.299439788180017</v>
      </c>
      <c r="G14" s="46">
        <v>257.39682770400549</v>
      </c>
      <c r="H14" s="46">
        <v>207.78327284113487</v>
      </c>
    </row>
    <row r="15" spans="1:11" s="72" customFormat="1">
      <c r="A15" s="116" t="s">
        <v>487</v>
      </c>
      <c r="B15" s="47">
        <v>32931.019538770561</v>
      </c>
      <c r="C15" s="47">
        <v>18348.586915102445</v>
      </c>
      <c r="D15" s="47">
        <v>12637.936777305153</v>
      </c>
      <c r="E15" s="47">
        <v>714.83901989457502</v>
      </c>
      <c r="F15" s="47">
        <v>86.874044139368792</v>
      </c>
      <c r="G15" s="47">
        <v>499.31441870927011</v>
      </c>
      <c r="H15" s="47">
        <v>643.46836362161412</v>
      </c>
    </row>
    <row r="16" spans="1:11">
      <c r="A16" s="118" t="s">
        <v>487</v>
      </c>
      <c r="B16" s="46">
        <v>28569.199552518847</v>
      </c>
      <c r="C16" s="46">
        <v>15848.091181771641</v>
      </c>
      <c r="D16" s="46">
        <v>10912.729277695815</v>
      </c>
      <c r="E16" s="46">
        <v>676.34007339596985</v>
      </c>
      <c r="F16" s="46">
        <v>78.369199670976727</v>
      </c>
      <c r="G16" s="46">
        <v>462.12370101992337</v>
      </c>
      <c r="H16" s="46">
        <v>591.54611896569077</v>
      </c>
      <c r="K16" s="423"/>
    </row>
    <row r="17" spans="1:8">
      <c r="A17" s="118" t="s">
        <v>488</v>
      </c>
      <c r="B17" s="46">
        <v>4361.8199862517386</v>
      </c>
      <c r="C17" s="46">
        <v>2500.4957333307016</v>
      </c>
      <c r="D17" s="46">
        <v>1725.207499608829</v>
      </c>
      <c r="E17" s="46">
        <v>38.498946498605378</v>
      </c>
      <c r="F17" s="46">
        <v>8.5048444683920685</v>
      </c>
      <c r="G17" s="46">
        <v>37.190717689346897</v>
      </c>
      <c r="H17" s="46">
        <v>51.922244655923734</v>
      </c>
    </row>
    <row r="18" spans="1:8" s="72" customFormat="1">
      <c r="A18" s="116" t="s">
        <v>489</v>
      </c>
      <c r="B18" s="47">
        <v>5471.8092432448921</v>
      </c>
      <c r="C18" s="47">
        <v>3174.7304198407542</v>
      </c>
      <c r="D18" s="47">
        <v>1968.2413619197257</v>
      </c>
      <c r="E18" s="47">
        <v>72.734728824918676</v>
      </c>
      <c r="F18" s="47">
        <v>1.4157069899997887</v>
      </c>
      <c r="G18" s="47">
        <v>71.385514992107417</v>
      </c>
      <c r="H18" s="47">
        <v>183.30151067749372</v>
      </c>
    </row>
    <row r="19" spans="1:8">
      <c r="A19" s="118" t="s">
        <v>489</v>
      </c>
      <c r="B19" s="46">
        <v>3480.0192371737808</v>
      </c>
      <c r="C19" s="46">
        <v>2039.4334210557868</v>
      </c>
      <c r="D19" s="46">
        <v>1284.1229097285398</v>
      </c>
      <c r="E19" s="46">
        <v>27.169218527262505</v>
      </c>
      <c r="F19" s="46">
        <v>1.4157069899997887</v>
      </c>
      <c r="G19" s="46">
        <v>42.796415434410271</v>
      </c>
      <c r="H19" s="46">
        <v>85.081565437848852</v>
      </c>
    </row>
    <row r="20" spans="1:8" s="72" customFormat="1">
      <c r="A20" s="118" t="s">
        <v>490</v>
      </c>
      <c r="B20" s="46">
        <v>1991.7900060712086</v>
      </c>
      <c r="C20" s="46">
        <v>1135.2969987850156</v>
      </c>
      <c r="D20" s="46">
        <v>684.11845219116935</v>
      </c>
      <c r="E20" s="46">
        <v>45.565510297656147</v>
      </c>
      <c r="F20" s="424">
        <v>0</v>
      </c>
      <c r="G20" s="46">
        <v>28.589099557697111</v>
      </c>
      <c r="H20" s="46">
        <v>98.219945239645043</v>
      </c>
    </row>
    <row r="21" spans="1:8">
      <c r="A21" s="116" t="s">
        <v>491</v>
      </c>
      <c r="B21" s="47">
        <v>12274.741182957976</v>
      </c>
      <c r="C21" s="47">
        <v>6574.0566563722814</v>
      </c>
      <c r="D21" s="47">
        <v>5194.9607159718471</v>
      </c>
      <c r="E21" s="47">
        <v>220.11384965165166</v>
      </c>
      <c r="F21" s="47">
        <v>8.613898951623451</v>
      </c>
      <c r="G21" s="47">
        <v>142.58453272576369</v>
      </c>
      <c r="H21" s="47">
        <v>134.41152928351636</v>
      </c>
    </row>
    <row r="22" spans="1:8" s="72" customFormat="1">
      <c r="A22" s="118" t="s">
        <v>491</v>
      </c>
      <c r="B22" s="46">
        <v>12274.741182957976</v>
      </c>
      <c r="C22" s="46">
        <v>6574.0566563722814</v>
      </c>
      <c r="D22" s="46">
        <v>5194.9607159718471</v>
      </c>
      <c r="E22" s="46">
        <v>220.11384965165166</v>
      </c>
      <c r="F22" s="46">
        <v>8.613898951623451</v>
      </c>
      <c r="G22" s="46">
        <v>142.58453272576369</v>
      </c>
      <c r="H22" s="46">
        <v>134.41152928351636</v>
      </c>
    </row>
    <row r="23" spans="1:8">
      <c r="A23" s="116" t="s">
        <v>499</v>
      </c>
      <c r="B23" s="47">
        <v>5537.0729293086424</v>
      </c>
      <c r="C23" s="47">
        <v>3079.0231392546211</v>
      </c>
      <c r="D23" s="47">
        <v>2302.3318900043951</v>
      </c>
      <c r="E23" s="47">
        <v>88.762561167001792</v>
      </c>
      <c r="F23" s="47">
        <v>5.7426864856450965</v>
      </c>
      <c r="G23" s="47">
        <v>55.442448245471773</v>
      </c>
      <c r="H23" s="47">
        <v>5.7702041516501996</v>
      </c>
    </row>
    <row r="24" spans="1:8" s="72" customFormat="1">
      <c r="A24" s="118" t="s">
        <v>492</v>
      </c>
      <c r="B24" s="46">
        <v>5537.0729293086424</v>
      </c>
      <c r="C24" s="46">
        <v>3079.0231392546211</v>
      </c>
      <c r="D24" s="46">
        <v>2302.3318900043951</v>
      </c>
      <c r="E24" s="46">
        <v>88.762561167001792</v>
      </c>
      <c r="F24" s="46">
        <v>5.7426864856450965</v>
      </c>
      <c r="G24" s="46">
        <v>55.442448245471773</v>
      </c>
      <c r="H24" s="46">
        <v>5.7702041516501996</v>
      </c>
    </row>
    <row r="25" spans="1:8">
      <c r="A25" s="116" t="s">
        <v>493</v>
      </c>
      <c r="B25" s="47">
        <v>3471.7693226118349</v>
      </c>
      <c r="C25" s="47">
        <v>1622.3632998780743</v>
      </c>
      <c r="D25" s="47">
        <v>1082.9430596679731</v>
      </c>
      <c r="E25" s="47">
        <v>24.34729105036946</v>
      </c>
      <c r="F25" s="47">
        <v>7.1854620629217596</v>
      </c>
      <c r="G25" s="47">
        <v>5.7558654630752271</v>
      </c>
      <c r="H25" s="47">
        <v>729.1743444894513</v>
      </c>
    </row>
    <row r="26" spans="1:8">
      <c r="A26" s="118" t="s">
        <v>493</v>
      </c>
      <c r="B26" s="46">
        <v>3471.7693226118349</v>
      </c>
      <c r="C26" s="46">
        <v>1622.3632998780743</v>
      </c>
      <c r="D26" s="46">
        <v>1082.9430596679731</v>
      </c>
      <c r="E26" s="46">
        <v>24.34729105036946</v>
      </c>
      <c r="F26" s="46">
        <v>7.1854620629217596</v>
      </c>
      <c r="G26" s="46">
        <v>5.7558654630752271</v>
      </c>
      <c r="H26" s="46">
        <v>729.1743444894513</v>
      </c>
    </row>
    <row r="27" spans="1:8" s="72" customFormat="1">
      <c r="A27" s="116" t="s">
        <v>494</v>
      </c>
      <c r="B27" s="47">
        <v>3529.5779057363884</v>
      </c>
      <c r="C27" s="47">
        <v>1894.3153343599035</v>
      </c>
      <c r="D27" s="47">
        <v>1537.0389436295666</v>
      </c>
      <c r="E27" s="47">
        <v>36.968836152669944</v>
      </c>
      <c r="F27" s="47">
        <v>2.844143878701479</v>
      </c>
      <c r="G27" s="47">
        <v>52.641117182039032</v>
      </c>
      <c r="H27" s="47">
        <v>5.7695305335578579</v>
      </c>
    </row>
    <row r="28" spans="1:8">
      <c r="A28" s="118" t="s">
        <v>495</v>
      </c>
      <c r="B28" s="46">
        <v>1862.3381118195753</v>
      </c>
      <c r="C28" s="46">
        <v>1001.0060181953901</v>
      </c>
      <c r="D28" s="46">
        <v>818.64876679689598</v>
      </c>
      <c r="E28" s="46">
        <v>14.278869909885277</v>
      </c>
      <c r="F28" s="46">
        <v>1.4157069899997887</v>
      </c>
      <c r="G28" s="46">
        <v>25.546423428842793</v>
      </c>
      <c r="H28" s="46">
        <v>1.4423264985484361</v>
      </c>
    </row>
    <row r="29" spans="1:8" s="72" customFormat="1">
      <c r="A29" s="118" t="s">
        <v>496</v>
      </c>
      <c r="B29" s="46">
        <v>1667.2397939168645</v>
      </c>
      <c r="C29" s="46">
        <v>893.30931616450641</v>
      </c>
      <c r="D29" s="46">
        <v>718.39017683265956</v>
      </c>
      <c r="E29" s="46">
        <v>22.68996624278466</v>
      </c>
      <c r="F29" s="46">
        <v>1.4284368887016903</v>
      </c>
      <c r="G29" s="46">
        <v>27.094693753196225</v>
      </c>
      <c r="H29" s="46">
        <v>4.3272040350094221</v>
      </c>
    </row>
    <row r="30" spans="1:8">
      <c r="A30" s="116" t="s">
        <v>497</v>
      </c>
      <c r="B30" s="47">
        <v>7256.3945907705956</v>
      </c>
      <c r="C30" s="47">
        <v>3624.2232687051237</v>
      </c>
      <c r="D30" s="47">
        <v>3315.5437722943097</v>
      </c>
      <c r="E30" s="47">
        <v>202.78080343389175</v>
      </c>
      <c r="F30" s="47">
        <v>17.079394012764972</v>
      </c>
      <c r="G30" s="47">
        <v>79.723390705558884</v>
      </c>
      <c r="H30" s="47">
        <v>17.043961619202133</v>
      </c>
    </row>
    <row r="31" spans="1:8" s="72" customFormat="1">
      <c r="A31" s="118" t="s">
        <v>497</v>
      </c>
      <c r="B31" s="46">
        <v>7256.3945907705956</v>
      </c>
      <c r="C31" s="46">
        <v>3624.2232687051237</v>
      </c>
      <c r="D31" s="46">
        <v>3315.5437722943097</v>
      </c>
      <c r="E31" s="46">
        <v>202.78080343389175</v>
      </c>
      <c r="F31" s="46">
        <v>17.079394012764972</v>
      </c>
      <c r="G31" s="46">
        <v>79.723390705558884</v>
      </c>
      <c r="H31" s="46">
        <v>17.043961619202133</v>
      </c>
    </row>
    <row r="32" spans="1:8">
      <c r="A32" s="116" t="s">
        <v>498</v>
      </c>
      <c r="B32" s="47">
        <v>4742.2648488092491</v>
      </c>
      <c r="C32" s="47">
        <v>2600.8371131719928</v>
      </c>
      <c r="D32" s="47">
        <v>1576.3647823807812</v>
      </c>
      <c r="E32" s="47">
        <v>250.16878559556977</v>
      </c>
      <c r="F32" s="47">
        <v>64.440164131381223</v>
      </c>
      <c r="G32" s="47">
        <v>104.3114601255774</v>
      </c>
      <c r="H32" s="47">
        <v>146.14254340410727</v>
      </c>
    </row>
    <row r="33" spans="1:8">
      <c r="A33" s="118" t="s">
        <v>498</v>
      </c>
      <c r="B33" s="46">
        <v>4742.2648488092491</v>
      </c>
      <c r="C33" s="46">
        <v>2600.8371131719928</v>
      </c>
      <c r="D33" s="46">
        <v>1576.3647823807812</v>
      </c>
      <c r="E33" s="46">
        <v>250.16878559556977</v>
      </c>
      <c r="F33" s="46">
        <v>64.440164131381223</v>
      </c>
      <c r="G33" s="46">
        <v>104.3114601255774</v>
      </c>
      <c r="H33" s="46">
        <v>146.14254340410727</v>
      </c>
    </row>
  </sheetData>
  <mergeCells count="4">
    <mergeCell ref="A1:H1"/>
    <mergeCell ref="A2:A3"/>
    <mergeCell ref="B2:B3"/>
    <mergeCell ref="C2:H2"/>
  </mergeCells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21E00"/>
  </sheetPr>
  <dimension ref="A1"/>
  <sheetViews>
    <sheetView topLeftCell="A13" workbookViewId="0">
      <selection activeCell="Q44" sqref="Q44"/>
    </sheetView>
  </sheetViews>
  <sheetFormatPr defaultColWidth="9.140625" defaultRowHeight="15"/>
  <cols>
    <col min="1" max="16384" width="9.140625" style="1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0"/>
  <sheetViews>
    <sheetView zoomScale="120" zoomScaleNormal="120" workbookViewId="0">
      <selection activeCell="B2" sqref="B2:B3"/>
    </sheetView>
  </sheetViews>
  <sheetFormatPr defaultColWidth="9.140625" defaultRowHeight="12"/>
  <cols>
    <col min="1" max="1" width="22.5703125" style="69" customWidth="1"/>
    <col min="2" max="2" width="9.140625" style="75"/>
    <col min="3" max="16384" width="9.140625" style="69"/>
  </cols>
  <sheetData>
    <row r="1" spans="1:10" ht="28.5" customHeight="1">
      <c r="A1" s="709" t="s">
        <v>480</v>
      </c>
      <c r="B1" s="709"/>
      <c r="C1" s="709"/>
      <c r="D1" s="709"/>
      <c r="E1" s="709"/>
    </row>
    <row r="2" spans="1:10" ht="15" customHeight="1">
      <c r="A2" s="710" t="s">
        <v>453</v>
      </c>
      <c r="B2" s="711" t="s">
        <v>431</v>
      </c>
      <c r="C2" s="712" t="s">
        <v>123</v>
      </c>
      <c r="D2" s="712"/>
      <c r="E2" s="712"/>
    </row>
    <row r="3" spans="1:10">
      <c r="A3" s="710"/>
      <c r="B3" s="711"/>
      <c r="C3" s="139" t="s">
        <v>1</v>
      </c>
      <c r="D3" s="139" t="s">
        <v>2</v>
      </c>
      <c r="E3" s="139" t="s">
        <v>3</v>
      </c>
    </row>
    <row r="4" spans="1:10">
      <c r="A4" s="151" t="s">
        <v>500</v>
      </c>
      <c r="B4" s="480">
        <v>138769.95281459979</v>
      </c>
      <c r="C4" s="178">
        <v>76811.93458954255</v>
      </c>
      <c r="D4" s="178">
        <v>39145.342325064841</v>
      </c>
      <c r="E4" s="178">
        <v>37666.592264504667</v>
      </c>
      <c r="F4" s="71"/>
    </row>
    <row r="5" spans="1:10">
      <c r="A5" s="13"/>
      <c r="B5" s="481"/>
      <c r="C5" s="53"/>
      <c r="D5" s="53"/>
      <c r="E5" s="53"/>
    </row>
    <row r="6" spans="1:10">
      <c r="A6" s="163" t="s">
        <v>111</v>
      </c>
      <c r="B6" s="482"/>
      <c r="C6" s="179"/>
      <c r="D6" s="179"/>
      <c r="E6" s="179"/>
    </row>
    <row r="7" spans="1:10">
      <c r="A7" s="78" t="s">
        <v>192</v>
      </c>
      <c r="B7" s="483">
        <v>51501.212629849317</v>
      </c>
      <c r="C7" s="39">
        <v>36238.450244224958</v>
      </c>
      <c r="D7" s="39">
        <v>18234.091445521157</v>
      </c>
      <c r="E7" s="39">
        <v>18004.358798705813</v>
      </c>
      <c r="F7" s="71"/>
    </row>
    <row r="8" spans="1:10">
      <c r="A8" s="78" t="s">
        <v>5</v>
      </c>
      <c r="B8" s="483">
        <v>87268.740184803784</v>
      </c>
      <c r="C8" s="39">
        <v>40573.484345343844</v>
      </c>
      <c r="D8" s="39">
        <v>20911.250879548101</v>
      </c>
      <c r="E8" s="39">
        <v>19662.233465801222</v>
      </c>
      <c r="F8" s="71"/>
    </row>
    <row r="9" spans="1:10">
      <c r="A9" s="145" t="s">
        <v>448</v>
      </c>
      <c r="B9" s="482"/>
      <c r="C9" s="179"/>
      <c r="D9" s="179"/>
      <c r="E9" s="179"/>
    </row>
    <row r="10" spans="1:10">
      <c r="A10" s="180" t="s">
        <v>486</v>
      </c>
      <c r="B10" s="263">
        <v>24757.123945472587</v>
      </c>
      <c r="C10" s="47">
        <v>17656.025420651265</v>
      </c>
      <c r="D10" s="47">
        <v>9044.8672317054225</v>
      </c>
      <c r="E10" s="47">
        <v>8611.1581889440913</v>
      </c>
    </row>
    <row r="11" spans="1:10">
      <c r="A11" s="123" t="s">
        <v>486</v>
      </c>
      <c r="B11" s="261">
        <v>24757.123945472587</v>
      </c>
      <c r="C11" s="46">
        <v>17656.025420651265</v>
      </c>
      <c r="D11" s="46">
        <v>9044.8672317054225</v>
      </c>
      <c r="E11" s="46">
        <v>8611.1581889440913</v>
      </c>
    </row>
    <row r="12" spans="1:10">
      <c r="A12" s="180" t="s">
        <v>487</v>
      </c>
      <c r="B12" s="263">
        <v>49793.527669874049</v>
      </c>
      <c r="C12" s="47">
        <v>34119.367723491312</v>
      </c>
      <c r="D12" s="47">
        <v>17139.328261825838</v>
      </c>
      <c r="E12" s="47">
        <v>16980.039461666074</v>
      </c>
    </row>
    <row r="13" spans="1:10">
      <c r="A13" s="123" t="s">
        <v>487</v>
      </c>
      <c r="B13" s="261">
        <v>42696.757487623705</v>
      </c>
      <c r="C13" s="46">
        <v>30904.775651965876</v>
      </c>
      <c r="D13" s="46">
        <v>15428.763271616721</v>
      </c>
      <c r="E13" s="46">
        <v>15476.012380348946</v>
      </c>
    </row>
    <row r="14" spans="1:10">
      <c r="A14" s="123" t="s">
        <v>488</v>
      </c>
      <c r="B14" s="261">
        <v>7096.7701822545259</v>
      </c>
      <c r="C14" s="46">
        <v>3214.5920715257548</v>
      </c>
      <c r="D14" s="46">
        <v>1710.5649902088608</v>
      </c>
      <c r="E14" s="46">
        <v>1504.0270813168909</v>
      </c>
      <c r="J14" s="182"/>
    </row>
    <row r="15" spans="1:10">
      <c r="A15" s="180" t="s">
        <v>489</v>
      </c>
      <c r="B15" s="263">
        <v>7043.3486249432026</v>
      </c>
      <c r="C15" s="47">
        <v>3072.5100910027863</v>
      </c>
      <c r="D15" s="47">
        <v>1541.4500675363608</v>
      </c>
      <c r="E15" s="47">
        <v>1531.060023466438</v>
      </c>
    </row>
    <row r="16" spans="1:10">
      <c r="A16" s="123" t="s">
        <v>489</v>
      </c>
      <c r="B16" s="261">
        <v>4508.0622889973547</v>
      </c>
      <c r="C16" s="46">
        <v>1903.8959677453597</v>
      </c>
      <c r="D16" s="46">
        <v>939.31891105366151</v>
      </c>
      <c r="E16" s="46">
        <v>964.57705669167342</v>
      </c>
    </row>
    <row r="17" spans="1:5">
      <c r="A17" s="123" t="s">
        <v>490</v>
      </c>
      <c r="B17" s="261">
        <v>2535.2863359459488</v>
      </c>
      <c r="C17" s="46">
        <v>1168.614123257438</v>
      </c>
      <c r="D17" s="46">
        <v>602.13115648268604</v>
      </c>
      <c r="E17" s="46">
        <v>566.48296677475241</v>
      </c>
    </row>
    <row r="18" spans="1:5">
      <c r="A18" s="180" t="s">
        <v>491</v>
      </c>
      <c r="B18" s="263">
        <v>19788.548710976385</v>
      </c>
      <c r="C18" s="47">
        <v>8213.6021046278547</v>
      </c>
      <c r="D18" s="47">
        <v>4194.916599388227</v>
      </c>
      <c r="E18" s="47">
        <v>4018.6855052398128</v>
      </c>
    </row>
    <row r="19" spans="1:5">
      <c r="A19" s="123" t="s">
        <v>491</v>
      </c>
      <c r="B19" s="261">
        <v>19788.548710976385</v>
      </c>
      <c r="C19" s="46">
        <v>8213.6021046278547</v>
      </c>
      <c r="D19" s="46">
        <v>4194.916599388227</v>
      </c>
      <c r="E19" s="46">
        <v>4018.6855052398128</v>
      </c>
    </row>
    <row r="20" spans="1:5">
      <c r="A20" s="180" t="s">
        <v>499</v>
      </c>
      <c r="B20" s="263">
        <v>9330.1514324610343</v>
      </c>
      <c r="C20" s="47">
        <v>3740.4670204495169</v>
      </c>
      <c r="D20" s="47">
        <v>1948.9941752367006</v>
      </c>
      <c r="E20" s="47">
        <v>1791.4728452128161</v>
      </c>
    </row>
    <row r="21" spans="1:5">
      <c r="A21" s="123" t="s">
        <v>492</v>
      </c>
      <c r="B21" s="261">
        <v>9330.1514324610343</v>
      </c>
      <c r="C21" s="46">
        <v>3740.4670204495169</v>
      </c>
      <c r="D21" s="46">
        <v>1948.9941752367006</v>
      </c>
      <c r="E21" s="46">
        <v>1791.4728452128161</v>
      </c>
    </row>
    <row r="22" spans="1:5">
      <c r="A22" s="180" t="s">
        <v>493</v>
      </c>
      <c r="B22" s="263">
        <v>5313.4927254294862</v>
      </c>
      <c r="C22" s="47">
        <v>1655.4987794849774</v>
      </c>
      <c r="D22" s="47">
        <v>931.39639646987325</v>
      </c>
      <c r="E22" s="47">
        <v>724.10238301509082</v>
      </c>
    </row>
    <row r="23" spans="1:5">
      <c r="A23" s="123" t="s">
        <v>493</v>
      </c>
      <c r="B23" s="261">
        <v>5313.4927254294862</v>
      </c>
      <c r="C23" s="46">
        <v>1655.4987794849774</v>
      </c>
      <c r="D23" s="46">
        <v>931.39639646987325</v>
      </c>
      <c r="E23" s="46">
        <v>724.10238301509082</v>
      </c>
    </row>
    <row r="24" spans="1:5">
      <c r="A24" s="180" t="s">
        <v>494</v>
      </c>
      <c r="B24" s="263">
        <v>5864.9644233144818</v>
      </c>
      <c r="C24" s="47">
        <v>3310.4737014364805</v>
      </c>
      <c r="D24" s="47">
        <v>1778.349144498987</v>
      </c>
      <c r="E24" s="47">
        <v>1532.1245569374792</v>
      </c>
    </row>
    <row r="25" spans="1:5">
      <c r="A25" s="123" t="s">
        <v>495</v>
      </c>
      <c r="B25" s="261">
        <v>3126.5851099153761</v>
      </c>
      <c r="C25" s="46">
        <v>1829.1678624681774</v>
      </c>
      <c r="D25" s="46">
        <v>980.07270864671898</v>
      </c>
      <c r="E25" s="46">
        <v>849.09515382143547</v>
      </c>
    </row>
    <row r="26" spans="1:5">
      <c r="A26" s="123" t="s">
        <v>496</v>
      </c>
      <c r="B26" s="261">
        <v>2738.3793133991858</v>
      </c>
      <c r="C26" s="46">
        <v>1481.3058389682965</v>
      </c>
      <c r="D26" s="46">
        <v>798.27643585225292</v>
      </c>
      <c r="E26" s="46">
        <v>683.02940311603516</v>
      </c>
    </row>
    <row r="27" spans="1:5">
      <c r="A27" s="180" t="s">
        <v>497</v>
      </c>
      <c r="B27" s="263">
        <v>11240.128562456877</v>
      </c>
      <c r="C27" s="47">
        <v>2964.2875716779281</v>
      </c>
      <c r="D27" s="47">
        <v>1461.5056851869904</v>
      </c>
      <c r="E27" s="47">
        <v>1502.7818864909245</v>
      </c>
    </row>
    <row r="28" spans="1:5">
      <c r="A28" s="123" t="s">
        <v>497</v>
      </c>
      <c r="B28" s="261">
        <v>11240.128562456877</v>
      </c>
      <c r="C28" s="46">
        <v>2964.2875716779281</v>
      </c>
      <c r="D28" s="46">
        <v>1461.5056851869904</v>
      </c>
      <c r="E28" s="46">
        <v>1502.7818864909245</v>
      </c>
    </row>
    <row r="29" spans="1:5">
      <c r="A29" s="180" t="s">
        <v>498</v>
      </c>
      <c r="B29" s="263">
        <v>5638.6667197730821</v>
      </c>
      <c r="C29" s="47">
        <v>2079.7021767508445</v>
      </c>
      <c r="D29" s="47">
        <v>1104.5347632185915</v>
      </c>
      <c r="E29" s="47">
        <v>975.16741353222858</v>
      </c>
    </row>
    <row r="30" spans="1:5">
      <c r="A30" s="76" t="s">
        <v>498</v>
      </c>
      <c r="B30" s="484">
        <v>5638.6667197730821</v>
      </c>
      <c r="C30" s="64">
        <v>2079.7021767508445</v>
      </c>
      <c r="D30" s="64">
        <v>1104.5347632185915</v>
      </c>
      <c r="E30" s="64">
        <v>975.16741353222858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4"/>
  <sheetViews>
    <sheetView zoomScale="120" zoomScaleNormal="120" workbookViewId="0">
      <selection activeCell="I12" sqref="I12"/>
    </sheetView>
  </sheetViews>
  <sheetFormatPr defaultColWidth="9.140625" defaultRowHeight="12"/>
  <cols>
    <col min="1" max="1" width="24.5703125" style="69" customWidth="1"/>
    <col min="2" max="16384" width="9.140625" style="69"/>
  </cols>
  <sheetData>
    <row r="1" spans="1:5" ht="37.5" customHeight="1">
      <c r="A1" s="698" t="s">
        <v>502</v>
      </c>
      <c r="B1" s="698"/>
      <c r="C1" s="698"/>
      <c r="D1" s="698"/>
      <c r="E1" s="698"/>
    </row>
    <row r="2" spans="1:5" ht="15" customHeight="1">
      <c r="A2" s="710" t="s">
        <v>481</v>
      </c>
      <c r="B2" s="711" t="s">
        <v>431</v>
      </c>
      <c r="C2" s="712" t="s">
        <v>123</v>
      </c>
      <c r="D2" s="712"/>
      <c r="E2" s="712"/>
    </row>
    <row r="3" spans="1:5" ht="21" customHeight="1">
      <c r="A3" s="710"/>
      <c r="B3" s="711"/>
      <c r="C3" s="139" t="s">
        <v>1</v>
      </c>
      <c r="D3" s="139" t="s">
        <v>2</v>
      </c>
      <c r="E3" s="139" t="s">
        <v>3</v>
      </c>
    </row>
    <row r="4" spans="1:5">
      <c r="A4" s="164" t="s">
        <v>500</v>
      </c>
      <c r="B4" s="183">
        <v>138769.95281459979</v>
      </c>
      <c r="C4" s="183">
        <v>76811.93458954255</v>
      </c>
      <c r="D4" s="183">
        <v>39145.342325064841</v>
      </c>
      <c r="E4" s="183">
        <v>37666.592264504667</v>
      </c>
    </row>
    <row r="5" spans="1:5">
      <c r="A5" s="12"/>
      <c r="B5" s="40"/>
      <c r="C5" s="40"/>
      <c r="D5" s="40"/>
      <c r="E5" s="40"/>
    </row>
    <row r="6" spans="1:5">
      <c r="A6" s="163" t="s">
        <v>111</v>
      </c>
      <c r="B6" s="184"/>
      <c r="C6" s="184"/>
      <c r="D6" s="184"/>
      <c r="E6" s="184"/>
    </row>
    <row r="7" spans="1:5">
      <c r="A7" s="124" t="s">
        <v>4</v>
      </c>
      <c r="B7" s="40">
        <v>51501.212629849317</v>
      </c>
      <c r="C7" s="40">
        <v>36238.450244224958</v>
      </c>
      <c r="D7" s="40">
        <v>18234.091445521157</v>
      </c>
      <c r="E7" s="40">
        <v>18004.358798705813</v>
      </c>
    </row>
    <row r="8" spans="1:5">
      <c r="A8" s="124" t="s">
        <v>5</v>
      </c>
      <c r="B8" s="40">
        <v>87268.740184803784</v>
      </c>
      <c r="C8" s="40">
        <v>40573.484345343844</v>
      </c>
      <c r="D8" s="40">
        <v>20911.250879548101</v>
      </c>
      <c r="E8" s="40">
        <v>19662.233465801222</v>
      </c>
    </row>
    <row r="9" spans="1:5">
      <c r="A9" s="185" t="s">
        <v>126</v>
      </c>
      <c r="B9" s="186"/>
      <c r="C9" s="186"/>
      <c r="D9" s="186"/>
      <c r="E9" s="186"/>
    </row>
    <row r="10" spans="1:5">
      <c r="A10" s="54" t="s">
        <v>8</v>
      </c>
      <c r="B10" s="41">
        <v>22722.684723680683</v>
      </c>
      <c r="C10" s="41">
        <v>8833.5164416926982</v>
      </c>
      <c r="D10" s="41">
        <v>4451.951513443255</v>
      </c>
      <c r="E10" s="41">
        <v>4381.5649282504928</v>
      </c>
    </row>
    <row r="11" spans="1:5">
      <c r="A11" s="54" t="s">
        <v>127</v>
      </c>
      <c r="B11" s="41">
        <v>18846.947742417738</v>
      </c>
      <c r="C11" s="41">
        <v>9230.8031005920311</v>
      </c>
      <c r="D11" s="41">
        <v>4654.8722984431624</v>
      </c>
      <c r="E11" s="41">
        <v>4575.9308021487814</v>
      </c>
    </row>
    <row r="12" spans="1:5">
      <c r="A12" s="54" t="s">
        <v>128</v>
      </c>
      <c r="B12" s="41">
        <v>16612.501999847969</v>
      </c>
      <c r="C12" s="41">
        <v>8647.4388228911812</v>
      </c>
      <c r="D12" s="41">
        <v>4371.2181083684372</v>
      </c>
      <c r="E12" s="41">
        <v>4276.2207145226566</v>
      </c>
    </row>
    <row r="13" spans="1:5">
      <c r="A13" s="54" t="s">
        <v>129</v>
      </c>
      <c r="B13" s="41">
        <v>15228.977753981237</v>
      </c>
      <c r="C13" s="41">
        <v>8499.2902964230398</v>
      </c>
      <c r="D13" s="41">
        <v>4102.6340932049497</v>
      </c>
      <c r="E13" s="41">
        <v>4396.6562032179654</v>
      </c>
    </row>
    <row r="14" spans="1:5">
      <c r="A14" s="54" t="s">
        <v>130</v>
      </c>
      <c r="B14" s="41">
        <v>14542.357013198976</v>
      </c>
      <c r="C14" s="41">
        <v>8293.2259169586032</v>
      </c>
      <c r="D14" s="41">
        <v>3992.9812729417322</v>
      </c>
      <c r="E14" s="41">
        <v>4300.2446440170697</v>
      </c>
    </row>
    <row r="15" spans="1:5">
      <c r="A15" s="54" t="s">
        <v>131</v>
      </c>
      <c r="B15" s="41">
        <v>11497.131772164021</v>
      </c>
      <c r="C15" s="41">
        <v>7097.3511065291759</v>
      </c>
      <c r="D15" s="41">
        <v>3590.509533364178</v>
      </c>
      <c r="E15" s="41">
        <v>3506.8415731652599</v>
      </c>
    </row>
    <row r="16" spans="1:5">
      <c r="A16" s="54" t="s">
        <v>132</v>
      </c>
      <c r="B16" s="41">
        <v>9965.0337784707117</v>
      </c>
      <c r="C16" s="41">
        <v>6529.412058928192</v>
      </c>
      <c r="D16" s="41">
        <v>3448.6026580294015</v>
      </c>
      <c r="E16" s="41">
        <v>3080.8094008995386</v>
      </c>
    </row>
    <row r="17" spans="1:5">
      <c r="A17" s="54" t="s">
        <v>133</v>
      </c>
      <c r="B17" s="41">
        <v>6513.5464674441637</v>
      </c>
      <c r="C17" s="41">
        <v>4355.8260256163148</v>
      </c>
      <c r="D17" s="41">
        <v>2332.2419481528764</v>
      </c>
      <c r="E17" s="41">
        <v>2023.5840774635012</v>
      </c>
    </row>
    <row r="18" spans="1:5">
      <c r="A18" s="54" t="s">
        <v>134</v>
      </c>
      <c r="B18" s="41">
        <v>4725.0616092446098</v>
      </c>
      <c r="C18" s="41">
        <v>3085.136380395184</v>
      </c>
      <c r="D18" s="41">
        <v>1660.1177998292837</v>
      </c>
      <c r="E18" s="41">
        <v>1425.0185805658812</v>
      </c>
    </row>
    <row r="19" spans="1:5">
      <c r="A19" s="54" t="s">
        <v>135</v>
      </c>
      <c r="B19" s="41">
        <v>3937.0811391893444</v>
      </c>
      <c r="C19" s="41">
        <v>2696.9218159495526</v>
      </c>
      <c r="D19" s="41">
        <v>1463.8410276597594</v>
      </c>
      <c r="E19" s="41">
        <v>1233.0807882897982</v>
      </c>
    </row>
    <row r="20" spans="1:5">
      <c r="A20" s="54" t="s">
        <v>136</v>
      </c>
      <c r="B20" s="41">
        <v>3298.5972866994516</v>
      </c>
      <c r="C20" s="41">
        <v>2314.6809286496168</v>
      </c>
      <c r="D20" s="41">
        <v>1220.3394253798003</v>
      </c>
      <c r="E20" s="41">
        <v>1094.3415032698215</v>
      </c>
    </row>
    <row r="21" spans="1:5">
      <c r="A21" s="54" t="s">
        <v>137</v>
      </c>
      <c r="B21" s="41">
        <v>2490.2285954095873</v>
      </c>
      <c r="C21" s="41">
        <v>1708.7583369297183</v>
      </c>
      <c r="D21" s="41">
        <v>872.07550583985869</v>
      </c>
      <c r="E21" s="41">
        <v>836.68283108986464</v>
      </c>
    </row>
    <row r="22" spans="1:5">
      <c r="A22" s="54" t="s">
        <v>138</v>
      </c>
      <c r="B22" s="41">
        <v>2634.6307083895631</v>
      </c>
      <c r="C22" s="41">
        <v>1737.0724767297136</v>
      </c>
      <c r="D22" s="41">
        <v>958.43363222984419</v>
      </c>
      <c r="E22" s="41">
        <v>778.63884449987438</v>
      </c>
    </row>
    <row r="23" spans="1:5">
      <c r="A23" s="54" t="s">
        <v>139</v>
      </c>
      <c r="B23" s="41">
        <v>5755.1722245792416</v>
      </c>
      <c r="C23" s="41">
        <v>3782.500881281906</v>
      </c>
      <c r="D23" s="41">
        <v>2025.5235081790252</v>
      </c>
      <c r="E23" s="41">
        <v>1756.9773731030955</v>
      </c>
    </row>
    <row r="24" spans="1:5" ht="15" customHeight="1"/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2"/>
  <sheetViews>
    <sheetView zoomScale="120" zoomScaleNormal="120" workbookViewId="0">
      <selection activeCell="M11" sqref="M11"/>
    </sheetView>
  </sheetViews>
  <sheetFormatPr defaultColWidth="9.140625" defaultRowHeight="12"/>
  <cols>
    <col min="1" max="1" width="15.42578125" style="69" customWidth="1"/>
    <col min="2" max="16384" width="9.140625" style="69"/>
  </cols>
  <sheetData>
    <row r="1" spans="1:6" ht="33.75" customHeight="1">
      <c r="A1" s="713" t="s">
        <v>483</v>
      </c>
      <c r="B1" s="713"/>
      <c r="C1" s="713"/>
      <c r="D1" s="713"/>
      <c r="E1" s="713"/>
    </row>
    <row r="2" spans="1:6" ht="15" customHeight="1">
      <c r="A2" s="710" t="s">
        <v>481</v>
      </c>
      <c r="B2" s="714" t="s">
        <v>431</v>
      </c>
      <c r="C2" s="712" t="s">
        <v>427</v>
      </c>
      <c r="D2" s="712"/>
      <c r="E2" s="712"/>
    </row>
    <row r="3" spans="1:6">
      <c r="A3" s="710"/>
      <c r="B3" s="714"/>
      <c r="C3" s="139" t="s">
        <v>432</v>
      </c>
      <c r="D3" s="139" t="s">
        <v>2</v>
      </c>
      <c r="E3" s="139" t="s">
        <v>3</v>
      </c>
    </row>
    <row r="4" spans="1:6">
      <c r="A4" s="163" t="s">
        <v>500</v>
      </c>
      <c r="B4" s="179">
        <v>116047.26809091635</v>
      </c>
      <c r="C4" s="179">
        <v>59108.043657967202</v>
      </c>
      <c r="D4" s="179">
        <v>30178.268341729039</v>
      </c>
      <c r="E4" s="179">
        <v>28929.775316245992</v>
      </c>
      <c r="F4" s="71"/>
    </row>
    <row r="5" spans="1:6">
      <c r="A5" s="11"/>
      <c r="B5" s="53"/>
      <c r="C5" s="53"/>
      <c r="D5" s="53"/>
      <c r="E5" s="53"/>
      <c r="F5" s="71"/>
    </row>
    <row r="6" spans="1:6">
      <c r="A6" s="163" t="s">
        <v>111</v>
      </c>
      <c r="B6" s="179"/>
      <c r="C6" s="179"/>
      <c r="D6" s="179"/>
      <c r="E6" s="179"/>
      <c r="F6" s="71"/>
    </row>
    <row r="7" spans="1:6">
      <c r="A7" s="92" t="s">
        <v>4</v>
      </c>
      <c r="B7" s="39">
        <v>43496.092152352336</v>
      </c>
      <c r="C7" s="39">
        <v>29359.563818334358</v>
      </c>
      <c r="D7" s="39">
        <v>14711.312624233778</v>
      </c>
      <c r="E7" s="39">
        <v>14648.251194102279</v>
      </c>
      <c r="F7" s="71"/>
    </row>
    <row r="8" spans="1:6">
      <c r="A8" s="92" t="s">
        <v>5</v>
      </c>
      <c r="B8" s="39">
        <v>72551.175938637782</v>
      </c>
      <c r="C8" s="39">
        <v>29748.479839640844</v>
      </c>
      <c r="D8" s="39">
        <v>15466.955717497418</v>
      </c>
      <c r="E8" s="39">
        <v>14281.524122145487</v>
      </c>
      <c r="F8" s="71"/>
    </row>
    <row r="9" spans="1:6">
      <c r="A9" s="187" t="s">
        <v>126</v>
      </c>
      <c r="B9" s="179"/>
      <c r="C9" s="179"/>
      <c r="D9" s="179"/>
      <c r="E9" s="179"/>
    </row>
    <row r="10" spans="1:6">
      <c r="A10" s="92" t="s">
        <v>127</v>
      </c>
      <c r="B10" s="39">
        <v>18846.947742417738</v>
      </c>
      <c r="C10" s="39">
        <v>5845.6847001719616</v>
      </c>
      <c r="D10" s="39">
        <v>2947.5951921443452</v>
      </c>
      <c r="E10" s="39">
        <v>2898.08950802753</v>
      </c>
    </row>
    <row r="11" spans="1:6">
      <c r="A11" s="92" t="s">
        <v>128</v>
      </c>
      <c r="B11" s="39">
        <v>16612.501999847969</v>
      </c>
      <c r="C11" s="39">
        <v>6736.787014274636</v>
      </c>
      <c r="D11" s="39">
        <v>3367.7245114059665</v>
      </c>
      <c r="E11" s="39">
        <v>3369.0625028685831</v>
      </c>
    </row>
    <row r="12" spans="1:6">
      <c r="A12" s="92" t="s">
        <v>129</v>
      </c>
      <c r="B12" s="39">
        <v>15228.977753981237</v>
      </c>
      <c r="C12" s="39">
        <v>7472.2642284238827</v>
      </c>
      <c r="D12" s="39">
        <v>3565.1890269951118</v>
      </c>
      <c r="E12" s="39">
        <v>3907.075201428851</v>
      </c>
    </row>
    <row r="13" spans="1:6">
      <c r="A13" s="92" t="s">
        <v>130</v>
      </c>
      <c r="B13" s="39">
        <v>14542.357013198976</v>
      </c>
      <c r="C13" s="39">
        <v>7560.4099896990501</v>
      </c>
      <c r="D13" s="39">
        <v>3646.7690238427608</v>
      </c>
      <c r="E13" s="39">
        <v>3913.6409658565512</v>
      </c>
    </row>
    <row r="14" spans="1:6">
      <c r="A14" s="92" t="s">
        <v>131</v>
      </c>
      <c r="B14" s="39">
        <v>11497.131772164021</v>
      </c>
      <c r="C14" s="39">
        <v>6588.1305901461055</v>
      </c>
      <c r="D14" s="39">
        <v>3330.8503465399494</v>
      </c>
      <c r="E14" s="39">
        <v>3257.280243606418</v>
      </c>
    </row>
    <row r="15" spans="1:6">
      <c r="A15" s="92" t="s">
        <v>132</v>
      </c>
      <c r="B15" s="39">
        <v>9965.0337784707117</v>
      </c>
      <c r="C15" s="39">
        <v>6131.3299453289364</v>
      </c>
      <c r="D15" s="39">
        <v>3242.3499687369685</v>
      </c>
      <c r="E15" s="39">
        <v>2888.9799765925904</v>
      </c>
    </row>
    <row r="16" spans="1:6">
      <c r="A16" s="92" t="s">
        <v>133</v>
      </c>
      <c r="B16" s="39">
        <v>6513.5464674441637</v>
      </c>
      <c r="C16" s="39">
        <v>4117.8421533558903</v>
      </c>
      <c r="D16" s="39">
        <v>2196.6632572893191</v>
      </c>
      <c r="E16" s="39">
        <v>1921.178896066559</v>
      </c>
    </row>
    <row r="17" spans="1:5">
      <c r="A17" s="92" t="s">
        <v>134</v>
      </c>
      <c r="B17" s="39">
        <v>4725.0616092446098</v>
      </c>
      <c r="C17" s="39">
        <v>2933.6920980475934</v>
      </c>
      <c r="D17" s="39">
        <v>1583.6744954062142</v>
      </c>
      <c r="E17" s="39">
        <v>1350.0176026413601</v>
      </c>
    </row>
    <row r="18" spans="1:5">
      <c r="A18" s="92" t="s">
        <v>135</v>
      </c>
      <c r="B18" s="39">
        <v>3937.0811391893444</v>
      </c>
      <c r="C18" s="39">
        <v>2590.7437916995705</v>
      </c>
      <c r="D18" s="39">
        <v>1418.5384039797671</v>
      </c>
      <c r="E18" s="39">
        <v>1172.2053877198084</v>
      </c>
    </row>
    <row r="19" spans="1:5">
      <c r="A19" s="92" t="s">
        <v>136</v>
      </c>
      <c r="B19" s="39">
        <v>3298.5972866994516</v>
      </c>
      <c r="C19" s="39">
        <v>2200.0086624596361</v>
      </c>
      <c r="D19" s="39">
        <v>1172.2053877198084</v>
      </c>
      <c r="E19" s="39">
        <v>1027.8032747398327</v>
      </c>
    </row>
    <row r="20" spans="1:5">
      <c r="A20" s="92" t="s">
        <v>137</v>
      </c>
      <c r="B20" s="42">
        <v>2490.2285954095873</v>
      </c>
      <c r="C20" s="42">
        <v>1629.4787454897316</v>
      </c>
      <c r="D20" s="42">
        <v>838.0985380798644</v>
      </c>
      <c r="E20" s="42">
        <v>791.38020740987224</v>
      </c>
    </row>
    <row r="21" spans="1:5">
      <c r="A21" s="92" t="s">
        <v>138</v>
      </c>
      <c r="B21" s="39">
        <v>2634.6307083895631</v>
      </c>
      <c r="C21" s="39">
        <v>1664.8714202397257</v>
      </c>
      <c r="D21" s="39">
        <v>918.79383650985085</v>
      </c>
      <c r="E21" s="39">
        <v>746.07758372987985</v>
      </c>
    </row>
    <row r="22" spans="1:5">
      <c r="A22" s="92" t="s">
        <v>139</v>
      </c>
      <c r="B22" s="39">
        <v>5755.1722245792416</v>
      </c>
      <c r="C22" s="39">
        <v>3636.8003186343503</v>
      </c>
      <c r="D22" s="39">
        <v>1949.8163530778322</v>
      </c>
      <c r="E22" s="39">
        <v>1686.9839655567096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"/>
  <sheetViews>
    <sheetView zoomScale="120" zoomScaleNormal="120" workbookViewId="0">
      <selection activeCell="C2" sqref="C2:E2"/>
    </sheetView>
  </sheetViews>
  <sheetFormatPr defaultColWidth="9.140625" defaultRowHeight="12"/>
  <cols>
    <col min="1" max="1" width="25" style="69" customWidth="1"/>
    <col min="2" max="16384" width="9.140625" style="69"/>
  </cols>
  <sheetData>
    <row r="1" spans="1:5" ht="24.75" customHeight="1">
      <c r="A1" s="715" t="s">
        <v>482</v>
      </c>
      <c r="B1" s="715"/>
      <c r="C1" s="715"/>
      <c r="D1" s="715"/>
      <c r="E1" s="715"/>
    </row>
    <row r="2" spans="1:5" ht="15" customHeight="1">
      <c r="A2" s="716" t="s">
        <v>453</v>
      </c>
      <c r="B2" s="711" t="s">
        <v>432</v>
      </c>
      <c r="C2" s="712" t="s">
        <v>427</v>
      </c>
      <c r="D2" s="712"/>
      <c r="E2" s="712"/>
    </row>
    <row r="3" spans="1:5">
      <c r="A3" s="716"/>
      <c r="B3" s="711"/>
      <c r="C3" s="485" t="s">
        <v>431</v>
      </c>
      <c r="D3" s="485" t="s">
        <v>2</v>
      </c>
      <c r="E3" s="485" t="s">
        <v>3</v>
      </c>
    </row>
    <row r="4" spans="1:5">
      <c r="A4" s="151" t="s">
        <v>500</v>
      </c>
      <c r="B4" s="188">
        <v>116047.26809091635</v>
      </c>
      <c r="C4" s="189">
        <v>59108.043657967202</v>
      </c>
      <c r="D4" s="189">
        <v>30178.268341729039</v>
      </c>
      <c r="E4" s="189">
        <v>28929.775316245992</v>
      </c>
    </row>
    <row r="5" spans="1:5">
      <c r="A5" s="13"/>
      <c r="B5" s="49"/>
      <c r="C5" s="44"/>
      <c r="D5" s="50"/>
      <c r="E5" s="50"/>
    </row>
    <row r="6" spans="1:5">
      <c r="A6" s="151" t="s">
        <v>485</v>
      </c>
      <c r="B6" s="188"/>
      <c r="C6" s="189"/>
      <c r="D6" s="189"/>
      <c r="E6" s="189"/>
    </row>
    <row r="7" spans="1:5">
      <c r="A7" s="78" t="s">
        <v>192</v>
      </c>
      <c r="B7" s="43">
        <v>43496.092152352336</v>
      </c>
      <c r="C7" s="44">
        <v>29359.563818334358</v>
      </c>
      <c r="D7" s="44">
        <v>14711.312624233778</v>
      </c>
      <c r="E7" s="44">
        <v>14648.251194102279</v>
      </c>
    </row>
    <row r="8" spans="1:5">
      <c r="A8" s="78" t="s">
        <v>5</v>
      </c>
      <c r="B8" s="43">
        <v>72551.175938637782</v>
      </c>
      <c r="C8" s="44">
        <v>29748.479839640844</v>
      </c>
      <c r="D8" s="44">
        <v>15466.955717497418</v>
      </c>
      <c r="E8" s="44">
        <v>14281.524122145487</v>
      </c>
    </row>
    <row r="9" spans="1:5">
      <c r="A9" s="145" t="s">
        <v>448</v>
      </c>
      <c r="B9" s="190"/>
      <c r="C9" s="189"/>
      <c r="D9" s="191"/>
      <c r="E9" s="191"/>
    </row>
    <row r="10" spans="1:5" s="72" customFormat="1">
      <c r="A10" s="122" t="s">
        <v>486</v>
      </c>
      <c r="B10" s="47">
        <v>20187.410260648456</v>
      </c>
      <c r="C10" s="47">
        <v>14183.584274555064</v>
      </c>
      <c r="D10" s="47">
        <v>7282.1136366553956</v>
      </c>
      <c r="E10" s="47">
        <v>6901.4706378981164</v>
      </c>
    </row>
    <row r="11" spans="1:5">
      <c r="A11" s="123" t="s">
        <v>486</v>
      </c>
      <c r="B11" s="46">
        <v>20187.410260648456</v>
      </c>
      <c r="C11" s="46">
        <v>14183.584274555064</v>
      </c>
      <c r="D11" s="46">
        <v>7282.1136366553956</v>
      </c>
      <c r="E11" s="46">
        <v>6901.4706378981164</v>
      </c>
    </row>
    <row r="12" spans="1:5" s="72" customFormat="1">
      <c r="A12" s="122" t="s">
        <v>487</v>
      </c>
      <c r="B12" s="47">
        <v>42030.69947602092</v>
      </c>
      <c r="C12" s="47">
        <v>27371.066617626278</v>
      </c>
      <c r="D12" s="47">
        <v>13683.132626259927</v>
      </c>
      <c r="E12" s="47">
        <v>13687.933991367408</v>
      </c>
    </row>
    <row r="13" spans="1:5">
      <c r="A13" s="123" t="s">
        <v>487</v>
      </c>
      <c r="B13" s="46">
        <v>36103.429478510749</v>
      </c>
      <c r="C13" s="46">
        <v>25304.995888310405</v>
      </c>
      <c r="D13" s="46">
        <v>12577.911584158128</v>
      </c>
      <c r="E13" s="46">
        <v>12727.084304152582</v>
      </c>
    </row>
    <row r="14" spans="1:5">
      <c r="A14" s="123" t="s">
        <v>488</v>
      </c>
      <c r="B14" s="46">
        <v>5927.2699975130745</v>
      </c>
      <c r="C14" s="46">
        <v>2066.070729316074</v>
      </c>
      <c r="D14" s="46">
        <v>1105.2210421014768</v>
      </c>
      <c r="E14" s="46">
        <v>960.84968721457324</v>
      </c>
    </row>
    <row r="15" spans="1:5" s="72" customFormat="1">
      <c r="A15" s="122" t="s">
        <v>489</v>
      </c>
      <c r="B15" s="47">
        <v>6282.6320695905524</v>
      </c>
      <c r="C15" s="47">
        <v>2331.8523646008312</v>
      </c>
      <c r="D15" s="47">
        <v>1169.4098862723288</v>
      </c>
      <c r="E15" s="47">
        <v>1162.4424783284885</v>
      </c>
    </row>
    <row r="16" spans="1:5">
      <c r="A16" s="123" t="s">
        <v>489</v>
      </c>
      <c r="B16" s="46">
        <v>4003.1738990568592</v>
      </c>
      <c r="C16" s="46">
        <v>1470.3596243063989</v>
      </c>
      <c r="D16" s="46">
        <v>726.90713424278067</v>
      </c>
      <c r="E16" s="46">
        <v>743.45249006360791</v>
      </c>
    </row>
    <row r="17" spans="1:5" s="72" customFormat="1">
      <c r="A17" s="123" t="s">
        <v>490</v>
      </c>
      <c r="B17" s="46">
        <v>2279.4581705337537</v>
      </c>
      <c r="C17" s="46">
        <v>861.49274029442256</v>
      </c>
      <c r="D17" s="46">
        <v>442.50275202954589</v>
      </c>
      <c r="E17" s="46">
        <v>418.989988264879</v>
      </c>
    </row>
    <row r="18" spans="1:5">
      <c r="A18" s="122" t="s">
        <v>491</v>
      </c>
      <c r="B18" s="47">
        <v>16335.545272000125</v>
      </c>
      <c r="C18" s="47">
        <v>5718.26174499641</v>
      </c>
      <c r="D18" s="47">
        <v>2961.158235486696</v>
      </c>
      <c r="E18" s="47">
        <v>2757.1035095097845</v>
      </c>
    </row>
    <row r="19" spans="1:5" s="72" customFormat="1">
      <c r="A19" s="123" t="s">
        <v>491</v>
      </c>
      <c r="B19" s="46">
        <v>16335.545272000125</v>
      </c>
      <c r="C19" s="46">
        <v>5718.26174499641</v>
      </c>
      <c r="D19" s="46">
        <v>2961.158235486696</v>
      </c>
      <c r="E19" s="46">
        <v>2757.1035095097845</v>
      </c>
    </row>
    <row r="20" spans="1:5">
      <c r="A20" s="122" t="s">
        <v>499</v>
      </c>
      <c r="B20" s="47">
        <v>7251.0399929204859</v>
      </c>
      <c r="C20" s="47">
        <v>2217.1127166274819</v>
      </c>
      <c r="D20" s="47">
        <v>1203.1367872206793</v>
      </c>
      <c r="E20" s="47">
        <v>1013.9759294067848</v>
      </c>
    </row>
    <row r="21" spans="1:5" s="72" customFormat="1">
      <c r="A21" s="123" t="s">
        <v>492</v>
      </c>
      <c r="B21" s="46">
        <v>7251.0399929204859</v>
      </c>
      <c r="C21" s="46">
        <v>2217.1127166274819</v>
      </c>
      <c r="D21" s="46">
        <v>1203.1367872206793</v>
      </c>
      <c r="E21" s="46">
        <v>1013.9759294067848</v>
      </c>
    </row>
    <row r="22" spans="1:5">
      <c r="A22" s="122" t="s">
        <v>493</v>
      </c>
      <c r="B22" s="47">
        <v>4444.4891159340814</v>
      </c>
      <c r="C22" s="47">
        <v>1127.0152107002857</v>
      </c>
      <c r="D22" s="47">
        <v>654.43521671347435</v>
      </c>
      <c r="E22" s="47">
        <v>472.57999398680954</v>
      </c>
    </row>
    <row r="23" spans="1:5">
      <c r="A23" s="123" t="s">
        <v>493</v>
      </c>
      <c r="B23" s="46">
        <v>4444.4891159340814</v>
      </c>
      <c r="C23" s="46">
        <v>1127.0152107002857</v>
      </c>
      <c r="D23" s="46">
        <v>654.43521671347435</v>
      </c>
      <c r="E23" s="46">
        <v>472.57999398680954</v>
      </c>
    </row>
    <row r="24" spans="1:5" s="72" customFormat="1">
      <c r="A24" s="122" t="s">
        <v>494</v>
      </c>
      <c r="B24" s="47">
        <v>4768.558000119353</v>
      </c>
      <c r="C24" s="47">
        <v>2189.9065984699037</v>
      </c>
      <c r="D24" s="47">
        <v>1188.299795682683</v>
      </c>
      <c r="E24" s="47">
        <v>1001.6068027871994</v>
      </c>
    </row>
    <row r="25" spans="1:5">
      <c r="A25" s="123" t="s">
        <v>495</v>
      </c>
      <c r="B25" s="46">
        <v>2559.4316638428054</v>
      </c>
      <c r="C25" s="46">
        <v>1071.8285898814174</v>
      </c>
      <c r="D25" s="46">
        <v>581.69863175228591</v>
      </c>
      <c r="E25" s="46">
        <v>490.12995812913044</v>
      </c>
    </row>
    <row r="26" spans="1:5" s="72" customFormat="1">
      <c r="A26" s="123" t="s">
        <v>496</v>
      </c>
      <c r="B26" s="46">
        <v>2209.126336276579</v>
      </c>
      <c r="C26" s="46">
        <v>1118.0780085884667</v>
      </c>
      <c r="D26" s="46">
        <v>606.60116393039516</v>
      </c>
      <c r="E26" s="46">
        <v>511.47684465806952</v>
      </c>
    </row>
    <row r="27" spans="1:5">
      <c r="A27" s="122" t="s">
        <v>497</v>
      </c>
      <c r="B27" s="47">
        <v>9452.0385809248019</v>
      </c>
      <c r="C27" s="47">
        <v>2135.0927234602036</v>
      </c>
      <c r="D27" s="47">
        <v>1050.7101704305678</v>
      </c>
      <c r="E27" s="47">
        <v>1084.3825530296085</v>
      </c>
    </row>
    <row r="28" spans="1:5" s="72" customFormat="1">
      <c r="A28" s="123" t="s">
        <v>497</v>
      </c>
      <c r="B28" s="46">
        <v>9452.0385809248019</v>
      </c>
      <c r="C28" s="46">
        <v>2135.0927234602036</v>
      </c>
      <c r="D28" s="46">
        <v>1050.7101704305678</v>
      </c>
      <c r="E28" s="46">
        <v>1084.3825530296085</v>
      </c>
    </row>
    <row r="29" spans="1:5">
      <c r="A29" s="122" t="s">
        <v>498</v>
      </c>
      <c r="B29" s="47">
        <v>5294.8553228699202</v>
      </c>
      <c r="C29" s="47">
        <v>1834.1514069389509</v>
      </c>
      <c r="D29" s="47">
        <v>985.87198700728402</v>
      </c>
      <c r="E29" s="47">
        <v>848.27941993164427</v>
      </c>
    </row>
    <row r="30" spans="1:5">
      <c r="A30" s="76" t="s">
        <v>498</v>
      </c>
      <c r="B30" s="64">
        <v>5294.8553228699202</v>
      </c>
      <c r="C30" s="64">
        <v>1834.1514069389509</v>
      </c>
      <c r="D30" s="64">
        <v>985.87198700728402</v>
      </c>
      <c r="E30" s="64">
        <v>848.27941993164427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21E00"/>
  </sheetPr>
  <dimension ref="A1"/>
  <sheetViews>
    <sheetView workbookViewId="0">
      <selection activeCell="M32" sqref="M32"/>
    </sheetView>
  </sheetViews>
  <sheetFormatPr defaultColWidth="9.140625" defaultRowHeight="15"/>
  <cols>
    <col min="1" max="16384" width="9.140625" style="1"/>
  </cols>
  <sheetData>
    <row r="1" spans="1:1">
      <c r="A1" s="2"/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6"/>
  <sheetViews>
    <sheetView zoomScale="120" zoomScaleNormal="120" workbookViewId="0">
      <selection activeCell="H23" sqref="H23"/>
    </sheetView>
  </sheetViews>
  <sheetFormatPr defaultColWidth="9.140625" defaultRowHeight="12"/>
  <cols>
    <col min="1" max="1" width="24.140625" style="70" customWidth="1"/>
    <col min="2" max="3" width="19" style="69" customWidth="1"/>
    <col min="4" max="4" width="22.42578125" style="69" customWidth="1"/>
    <col min="5" max="16384" width="9.140625" style="69"/>
  </cols>
  <sheetData>
    <row r="1" spans="1:4">
      <c r="A1" s="720" t="s">
        <v>451</v>
      </c>
      <c r="B1" s="720"/>
      <c r="C1" s="720"/>
      <c r="D1" s="720"/>
    </row>
    <row r="2" spans="1:4">
      <c r="A2" s="522" t="s">
        <v>165</v>
      </c>
      <c r="B2" s="192" t="s">
        <v>166</v>
      </c>
      <c r="C2" s="193">
        <v>2024</v>
      </c>
      <c r="D2" s="194"/>
    </row>
    <row r="3" spans="1:4">
      <c r="A3" s="523"/>
      <c r="B3" s="102"/>
      <c r="C3" s="195" t="s">
        <v>167</v>
      </c>
      <c r="D3" s="195" t="s">
        <v>168</v>
      </c>
    </row>
    <row r="4" spans="1:4">
      <c r="A4" s="721" t="s">
        <v>169</v>
      </c>
      <c r="B4" s="196" t="s">
        <v>170</v>
      </c>
      <c r="C4" s="197">
        <v>114281.22884020614</v>
      </c>
      <c r="D4" s="198">
        <f>C4/$C$8*100</f>
        <v>98.478172489742178</v>
      </c>
    </row>
    <row r="5" spans="1:4" ht="15" customHeight="1">
      <c r="A5" s="722"/>
      <c r="B5" s="196" t="s">
        <v>171</v>
      </c>
      <c r="C5" s="197">
        <v>1582.1035998890347</v>
      </c>
      <c r="D5" s="198">
        <f t="shared" ref="D5:D7" si="0">C5/$C$8*100</f>
        <v>1.3633268804307808</v>
      </c>
    </row>
    <row r="6" spans="1:4">
      <c r="A6" s="722"/>
      <c r="B6" s="196" t="s">
        <v>172</v>
      </c>
      <c r="C6" s="197">
        <v>146.99109346795026</v>
      </c>
      <c r="D6" s="198">
        <f t="shared" si="0"/>
        <v>0.12666484604600189</v>
      </c>
    </row>
    <row r="7" spans="1:4">
      <c r="A7" s="722"/>
      <c r="B7" s="196" t="s">
        <v>173</v>
      </c>
      <c r="C7" s="197">
        <v>36.944557355318921</v>
      </c>
      <c r="D7" s="198">
        <f t="shared" si="0"/>
        <v>3.1835783782841826E-2</v>
      </c>
    </row>
    <row r="8" spans="1:4">
      <c r="A8" s="723"/>
      <c r="B8" s="199" t="s">
        <v>174</v>
      </c>
      <c r="C8" s="200">
        <v>116047.26809091635</v>
      </c>
      <c r="D8" s="201">
        <v>99.999999999518835</v>
      </c>
    </row>
    <row r="9" spans="1:4">
      <c r="A9" s="524"/>
      <c r="B9" s="202"/>
      <c r="C9" s="203"/>
      <c r="D9" s="204"/>
    </row>
    <row r="10" spans="1:4">
      <c r="A10" s="721" t="s">
        <v>175</v>
      </c>
      <c r="B10" s="196" t="s">
        <v>170</v>
      </c>
      <c r="C10" s="197">
        <v>115012.21729189249</v>
      </c>
      <c r="D10" s="198">
        <f>C10/$C$14*100</f>
        <v>99.108078271853032</v>
      </c>
    </row>
    <row r="11" spans="1:4" ht="15" customHeight="1">
      <c r="A11" s="722"/>
      <c r="B11" s="196" t="s">
        <v>171</v>
      </c>
      <c r="C11" s="197">
        <v>886.16580677141053</v>
      </c>
      <c r="D11" s="198">
        <f t="shared" ref="D11:D13" si="1">C11/$C$14*100</f>
        <v>0.76362487575075932</v>
      </c>
    </row>
    <row r="12" spans="1:4">
      <c r="A12" s="722"/>
      <c r="B12" s="196" t="s">
        <v>172</v>
      </c>
      <c r="C12" s="197">
        <v>110.73004766244152</v>
      </c>
      <c r="D12" s="198">
        <f t="shared" si="1"/>
        <v>9.5418056352426076E-2</v>
      </c>
    </row>
    <row r="13" spans="1:4">
      <c r="A13" s="722"/>
      <c r="B13" s="196" t="s">
        <v>176</v>
      </c>
      <c r="C13" s="197">
        <v>38.154944591369997</v>
      </c>
      <c r="D13" s="198">
        <f t="shared" si="1"/>
        <v>3.2878796044968329E-2</v>
      </c>
    </row>
    <row r="14" spans="1:4">
      <c r="A14" s="723"/>
      <c r="B14" s="199" t="s">
        <v>1</v>
      </c>
      <c r="C14" s="200">
        <v>116047.26809091635</v>
      </c>
      <c r="D14" s="201">
        <v>100.00000000007928</v>
      </c>
    </row>
    <row r="15" spans="1:4">
      <c r="A15" s="524"/>
      <c r="B15" s="202"/>
      <c r="C15" s="203"/>
      <c r="D15" s="204"/>
    </row>
    <row r="16" spans="1:4">
      <c r="A16" s="721" t="s">
        <v>177</v>
      </c>
      <c r="B16" s="196" t="s">
        <v>170</v>
      </c>
      <c r="C16" s="197">
        <v>114603.94668954948</v>
      </c>
      <c r="D16" s="198">
        <f>C16/$C$20*100</f>
        <v>98.756264214478449</v>
      </c>
    </row>
    <row r="17" spans="1:4" ht="15" customHeight="1">
      <c r="A17" s="722"/>
      <c r="B17" s="196" t="s">
        <v>171</v>
      </c>
      <c r="C17" s="197">
        <v>1188.6100581230651</v>
      </c>
      <c r="D17" s="198">
        <f t="shared" ref="D17:D19" si="2">C17/$C$20*100</f>
        <v>1.0242464796257482</v>
      </c>
    </row>
    <row r="18" spans="1:4">
      <c r="A18" s="722"/>
      <c r="B18" s="196" t="s">
        <v>172</v>
      </c>
      <c r="C18" s="197">
        <v>199.35159102162126</v>
      </c>
      <c r="D18" s="198">
        <f t="shared" si="2"/>
        <v>0.17178482035909778</v>
      </c>
    </row>
    <row r="19" spans="1:4">
      <c r="A19" s="722"/>
      <c r="B19" s="196" t="s">
        <v>178</v>
      </c>
      <c r="C19" s="197">
        <v>55.359752223930144</v>
      </c>
      <c r="D19" s="198">
        <f t="shared" si="2"/>
        <v>4.770448553821962E-2</v>
      </c>
    </row>
    <row r="20" spans="1:4">
      <c r="A20" s="723"/>
      <c r="B20" s="199" t="s">
        <v>1</v>
      </c>
      <c r="C20" s="200">
        <v>116047.26809091635</v>
      </c>
      <c r="D20" s="201">
        <v>100.00000000001245</v>
      </c>
    </row>
    <row r="21" spans="1:4">
      <c r="A21" s="524"/>
      <c r="B21" s="202"/>
      <c r="C21" s="203"/>
      <c r="D21" s="204"/>
    </row>
    <row r="22" spans="1:4">
      <c r="A22" s="721" t="s">
        <v>179</v>
      </c>
      <c r="B22" s="196" t="s">
        <v>170</v>
      </c>
      <c r="C22" s="197">
        <v>115645.27391457139</v>
      </c>
      <c r="D22" s="198">
        <f>C22/$C$26*100</f>
        <v>99.653594450814637</v>
      </c>
    </row>
    <row r="23" spans="1:4" ht="15" customHeight="1">
      <c r="A23" s="722"/>
      <c r="B23" s="196" t="s">
        <v>171</v>
      </c>
      <c r="C23" s="197">
        <v>337.31058667038872</v>
      </c>
      <c r="D23" s="198">
        <f t="shared" ref="D23:D25" si="3">C23/$C$26*100</f>
        <v>0.29066654667486469</v>
      </c>
    </row>
    <row r="24" spans="1:4">
      <c r="A24" s="722"/>
      <c r="B24" s="196" t="s">
        <v>172</v>
      </c>
      <c r="C24" s="197">
        <v>43.71725880528026</v>
      </c>
      <c r="D24" s="198">
        <f t="shared" si="3"/>
        <v>3.7671941377396587E-2</v>
      </c>
    </row>
    <row r="25" spans="1:4">
      <c r="A25" s="722"/>
      <c r="B25" s="196" t="s">
        <v>180</v>
      </c>
      <c r="C25" s="197">
        <v>20.966330869821675</v>
      </c>
      <c r="D25" s="198">
        <f t="shared" si="3"/>
        <v>1.8067061133568232E-2</v>
      </c>
    </row>
    <row r="26" spans="1:4">
      <c r="A26" s="723"/>
      <c r="B26" s="199" t="s">
        <v>1</v>
      </c>
      <c r="C26" s="200">
        <v>116047.26809091635</v>
      </c>
      <c r="D26" s="201">
        <v>100.00000000003865</v>
      </c>
    </row>
    <row r="27" spans="1:4">
      <c r="A27" s="524"/>
      <c r="B27" s="202"/>
      <c r="C27" s="203"/>
      <c r="D27" s="204"/>
    </row>
    <row r="28" spans="1:4">
      <c r="A28" s="721" t="s">
        <v>181</v>
      </c>
      <c r="B28" s="196" t="s">
        <v>170</v>
      </c>
      <c r="C28" s="197">
        <v>114765.01361166299</v>
      </c>
      <c r="D28" s="198">
        <f>C28/$C$32*100</f>
        <v>98.895058453035887</v>
      </c>
    </row>
    <row r="29" spans="1:4" ht="15" customHeight="1">
      <c r="A29" s="722"/>
      <c r="B29" s="196" t="s">
        <v>171</v>
      </c>
      <c r="C29" s="197">
        <v>1096.271785428663</v>
      </c>
      <c r="D29" s="198">
        <f t="shared" ref="D29:D31" si="4">C29/$C$32*100</f>
        <v>0.94467694368280797</v>
      </c>
    </row>
    <row r="30" spans="1:4">
      <c r="A30" s="722"/>
      <c r="B30" s="196" t="s">
        <v>172</v>
      </c>
      <c r="C30" s="197">
        <v>164.75193673244522</v>
      </c>
      <c r="D30" s="198">
        <f t="shared" si="4"/>
        <v>0.14196968135723073</v>
      </c>
    </row>
    <row r="31" spans="1:4">
      <c r="A31" s="722"/>
      <c r="B31" s="196" t="s">
        <v>182</v>
      </c>
      <c r="C31" s="197">
        <v>21.230757094007448</v>
      </c>
      <c r="D31" s="198">
        <f t="shared" si="4"/>
        <v>1.8294921925584989E-2</v>
      </c>
    </row>
    <row r="32" spans="1:4">
      <c r="A32" s="723"/>
      <c r="B32" s="199" t="s">
        <v>1</v>
      </c>
      <c r="C32" s="200">
        <v>116047.26809091635</v>
      </c>
      <c r="D32" s="201">
        <v>100.00000000007384</v>
      </c>
    </row>
    <row r="33" spans="1:4">
      <c r="A33" s="524"/>
      <c r="B33" s="202"/>
      <c r="C33" s="203"/>
      <c r="D33" s="204"/>
    </row>
    <row r="34" spans="1:4">
      <c r="A34" s="721" t="s">
        <v>183</v>
      </c>
      <c r="B34" s="196" t="s">
        <v>170</v>
      </c>
      <c r="C34" s="197">
        <v>115431.50975671932</v>
      </c>
      <c r="D34" s="198">
        <f>C34/$C$38*100</f>
        <v>99.46939006464622</v>
      </c>
    </row>
    <row r="35" spans="1:4" ht="15" customHeight="1">
      <c r="A35" s="722"/>
      <c r="B35" s="196" t="s">
        <v>171</v>
      </c>
      <c r="C35" s="197">
        <v>513.60491976420121</v>
      </c>
      <c r="D35" s="198">
        <f t="shared" ref="D35:D37" si="5">C35/$C$38*100</f>
        <v>0.44258251677395916</v>
      </c>
    </row>
    <row r="36" spans="1:4">
      <c r="A36" s="722"/>
      <c r="B36" s="196" t="s">
        <v>172</v>
      </c>
      <c r="C36" s="197">
        <v>83.825683149185068</v>
      </c>
      <c r="D36" s="198">
        <f t="shared" si="5"/>
        <v>7.2234085755049804E-2</v>
      </c>
    </row>
    <row r="37" spans="1:4">
      <c r="A37" s="722"/>
      <c r="B37" s="196" t="s">
        <v>184</v>
      </c>
      <c r="C37" s="197">
        <v>18.327731284433025</v>
      </c>
      <c r="D37" s="198">
        <f t="shared" si="5"/>
        <v>1.5793332825443426E-2</v>
      </c>
    </row>
    <row r="38" spans="1:4">
      <c r="A38" s="723"/>
      <c r="B38" s="199" t="s">
        <v>1</v>
      </c>
      <c r="C38" s="200">
        <v>116047.26809091635</v>
      </c>
      <c r="D38" s="201">
        <v>100.00000000003276</v>
      </c>
    </row>
    <row r="39" spans="1:4">
      <c r="A39" s="524"/>
      <c r="B39" s="202"/>
      <c r="C39" s="203"/>
      <c r="D39" s="204"/>
    </row>
    <row r="40" spans="1:4">
      <c r="A40" s="717" t="s">
        <v>185</v>
      </c>
      <c r="B40" s="196" t="s">
        <v>170</v>
      </c>
      <c r="C40" s="197">
        <v>115632.82079124858</v>
      </c>
      <c r="D40" s="198">
        <f>C40/$C$44*100</f>
        <v>99.642863372412123</v>
      </c>
    </row>
    <row r="41" spans="1:4" ht="15" customHeight="1">
      <c r="A41" s="718"/>
      <c r="B41" s="196" t="s">
        <v>171</v>
      </c>
      <c r="C41" s="197">
        <v>331.06182438331416</v>
      </c>
      <c r="D41" s="198">
        <f t="shared" ref="D41:D43" si="6">C41/$C$44*100</f>
        <v>0.28528187679863887</v>
      </c>
    </row>
    <row r="42" spans="1:4">
      <c r="A42" s="718"/>
      <c r="B42" s="196" t="s">
        <v>172</v>
      </c>
      <c r="C42" s="197">
        <v>59.297560560457363</v>
      </c>
      <c r="D42" s="198">
        <f t="shared" si="6"/>
        <v>5.1097765191681334E-2</v>
      </c>
    </row>
    <row r="43" spans="1:4">
      <c r="A43" s="718"/>
      <c r="B43" s="196" t="s">
        <v>186</v>
      </c>
      <c r="C43" s="197">
        <v>24.087914724587083</v>
      </c>
      <c r="D43" s="198">
        <f t="shared" si="6"/>
        <v>2.0756985598071633E-2</v>
      </c>
    </row>
    <row r="44" spans="1:4">
      <c r="A44" s="719"/>
      <c r="B44" s="199" t="s">
        <v>1</v>
      </c>
      <c r="C44" s="200">
        <v>116047.26809091635</v>
      </c>
      <c r="D44" s="201">
        <v>100.00000000003834</v>
      </c>
    </row>
    <row r="45" spans="1:4">
      <c r="A45" s="100" t="s">
        <v>187</v>
      </c>
      <c r="B45" s="100"/>
      <c r="C45" s="100"/>
      <c r="D45" s="100"/>
    </row>
    <row r="46" spans="1:4" ht="108">
      <c r="A46" s="101" t="s">
        <v>188</v>
      </c>
      <c r="B46" s="101"/>
      <c r="C46" s="101"/>
      <c r="D46" s="101"/>
    </row>
  </sheetData>
  <mergeCells count="8">
    <mergeCell ref="A40:A44"/>
    <mergeCell ref="A1:D1"/>
    <mergeCell ref="A4:A8"/>
    <mergeCell ref="A10:A14"/>
    <mergeCell ref="A16:A20"/>
    <mergeCell ref="A22:A26"/>
    <mergeCell ref="A28:A32"/>
    <mergeCell ref="A34:A3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14999847407452621"/>
  </sheetPr>
  <dimension ref="A1:E29"/>
  <sheetViews>
    <sheetView zoomScale="120" zoomScaleNormal="120" workbookViewId="0">
      <selection activeCell="L16" sqref="L16"/>
    </sheetView>
  </sheetViews>
  <sheetFormatPr defaultColWidth="9.140625" defaultRowHeight="12"/>
  <cols>
    <col min="1" max="1" width="21.42578125" style="69" customWidth="1"/>
    <col min="2" max="2" width="9.28515625" style="69" customWidth="1"/>
    <col min="3" max="3" width="7" style="69" customWidth="1"/>
    <col min="4" max="4" width="9.140625" style="69"/>
    <col min="5" max="5" width="8.42578125" style="69" bestFit="1" customWidth="1"/>
    <col min="6" max="16384" width="9.140625" style="69"/>
  </cols>
  <sheetData>
    <row r="1" spans="1:5" ht="23.25" customHeight="1">
      <c r="A1" s="724" t="s">
        <v>447</v>
      </c>
      <c r="B1" s="724"/>
      <c r="C1" s="724"/>
      <c r="D1" s="724"/>
      <c r="E1" s="724"/>
    </row>
    <row r="2" spans="1:5" ht="24" customHeight="1">
      <c r="A2" s="74" t="s">
        <v>445</v>
      </c>
      <c r="B2" s="140" t="s">
        <v>6</v>
      </c>
      <c r="C2" s="140" t="s">
        <v>1</v>
      </c>
      <c r="D2" s="140" t="s">
        <v>2</v>
      </c>
      <c r="E2" s="140" t="s">
        <v>3</v>
      </c>
    </row>
    <row r="3" spans="1:5">
      <c r="A3" s="212" t="s">
        <v>500</v>
      </c>
      <c r="B3" s="213">
        <v>138769.95281459979</v>
      </c>
      <c r="C3" s="213">
        <v>3190.7333800003489</v>
      </c>
      <c r="D3" s="213">
        <v>1610.4023116773449</v>
      </c>
      <c r="E3" s="213">
        <v>1580.3310683230038</v>
      </c>
    </row>
    <row r="4" spans="1:5">
      <c r="A4" s="57"/>
      <c r="B4" s="80"/>
      <c r="C4" s="80"/>
      <c r="D4" s="80"/>
      <c r="E4" s="80"/>
    </row>
    <row r="5" spans="1:5">
      <c r="A5" s="214" t="s">
        <v>264</v>
      </c>
      <c r="B5" s="215"/>
      <c r="C5" s="215"/>
      <c r="D5" s="215"/>
      <c r="E5" s="215"/>
    </row>
    <row r="6" spans="1:5">
      <c r="A6" s="57" t="s">
        <v>4</v>
      </c>
      <c r="B6" s="91">
        <v>51501.212629849317</v>
      </c>
      <c r="C6" s="91">
        <v>1635.7892730772555</v>
      </c>
      <c r="D6" s="91">
        <v>761.5315486034558</v>
      </c>
      <c r="E6" s="91">
        <v>874.25772447379984</v>
      </c>
    </row>
    <row r="7" spans="1:5">
      <c r="A7" s="57" t="s">
        <v>5</v>
      </c>
      <c r="B7" s="91">
        <v>87268.740184803784</v>
      </c>
      <c r="C7" s="91">
        <v>1554.9441069230702</v>
      </c>
      <c r="D7" s="91">
        <v>848.87076307387633</v>
      </c>
      <c r="E7" s="91">
        <v>706.07334384919398</v>
      </c>
    </row>
    <row r="8" spans="1:5">
      <c r="A8" s="214" t="s">
        <v>448</v>
      </c>
      <c r="B8" s="216"/>
      <c r="C8" s="216"/>
      <c r="D8" s="216"/>
      <c r="E8" s="216"/>
    </row>
    <row r="9" spans="1:5" s="72" customFormat="1">
      <c r="A9" s="79" t="s">
        <v>486</v>
      </c>
      <c r="B9" s="90">
        <v>24757.123945472587</v>
      </c>
      <c r="C9" s="90">
        <v>409.24035516220908</v>
      </c>
      <c r="D9" s="90">
        <v>222.111631293041</v>
      </c>
      <c r="E9" s="90">
        <v>187.12872386916811</v>
      </c>
    </row>
    <row r="10" spans="1:5">
      <c r="A10" s="217" t="s">
        <v>486</v>
      </c>
      <c r="B10" s="91">
        <v>24757.123945472587</v>
      </c>
      <c r="C10" s="91">
        <v>409.24035516220908</v>
      </c>
      <c r="D10" s="91">
        <v>222.111631293041</v>
      </c>
      <c r="E10" s="91">
        <v>187.12872386916811</v>
      </c>
    </row>
    <row r="11" spans="1:5" s="72" customFormat="1">
      <c r="A11" s="211" t="s">
        <v>487</v>
      </c>
      <c r="B11" s="90">
        <v>49793.527669874049</v>
      </c>
      <c r="C11" s="90">
        <v>1665.50052546181</v>
      </c>
      <c r="D11" s="90">
        <v>759.71099762204835</v>
      </c>
      <c r="E11" s="90">
        <v>905.78952783976149</v>
      </c>
    </row>
    <row r="12" spans="1:5">
      <c r="A12" s="217" t="s">
        <v>487</v>
      </c>
      <c r="B12" s="425">
        <v>42696.757487623705</v>
      </c>
      <c r="C12" s="91">
        <v>1600.3325126193768</v>
      </c>
      <c r="D12" s="90">
        <v>720.93537946039646</v>
      </c>
      <c r="E12" s="90">
        <v>879.3971331589803</v>
      </c>
    </row>
    <row r="13" spans="1:5">
      <c r="A13" s="217" t="s">
        <v>488</v>
      </c>
      <c r="B13" s="426">
        <v>7096.7701822545259</v>
      </c>
      <c r="C13" s="91">
        <v>65.168012842434024</v>
      </c>
      <c r="D13" s="90">
        <v>38.775618161652162</v>
      </c>
      <c r="E13" s="90">
        <v>26.392394680781855</v>
      </c>
    </row>
    <row r="14" spans="1:5" s="72" customFormat="1">
      <c r="A14" s="79" t="s">
        <v>489</v>
      </c>
      <c r="B14" s="90">
        <v>7043.3486249432026</v>
      </c>
      <c r="C14" s="90">
        <v>76.019871929545246</v>
      </c>
      <c r="D14" s="90">
        <v>38.171896743306043</v>
      </c>
      <c r="E14" s="90">
        <v>37.847975186239196</v>
      </c>
    </row>
    <row r="15" spans="1:5">
      <c r="A15" s="217" t="s">
        <v>489</v>
      </c>
      <c r="B15" s="426">
        <v>4508.0622889973547</v>
      </c>
      <c r="C15" s="91">
        <v>49.403734448894554</v>
      </c>
      <c r="D15" s="91">
        <v>22.69578608741682</v>
      </c>
      <c r="E15" s="91">
        <v>26.707948361477737</v>
      </c>
    </row>
    <row r="16" spans="1:5" s="72" customFormat="1">
      <c r="A16" s="217" t="s">
        <v>490</v>
      </c>
      <c r="B16" s="426">
        <v>2535.2863359459488</v>
      </c>
      <c r="C16" s="91">
        <v>26.616137480650664</v>
      </c>
      <c r="D16" s="91">
        <v>15.476110655889215</v>
      </c>
      <c r="E16" s="91">
        <v>11.140026824761449</v>
      </c>
    </row>
    <row r="17" spans="1:5">
      <c r="A17" s="79" t="s">
        <v>491</v>
      </c>
      <c r="B17" s="90">
        <v>19788.548710976385</v>
      </c>
      <c r="C17" s="90">
        <v>378.89828778161325</v>
      </c>
      <c r="D17" s="90">
        <v>225.03348598755267</v>
      </c>
      <c r="E17" s="90">
        <v>153.86480179406055</v>
      </c>
    </row>
    <row r="18" spans="1:5" s="72" customFormat="1">
      <c r="A18" s="217" t="s">
        <v>491</v>
      </c>
      <c r="B18" s="426">
        <v>19788.548710976385</v>
      </c>
      <c r="C18" s="91">
        <v>378.89828778161325</v>
      </c>
      <c r="D18" s="91">
        <v>225.03348598755267</v>
      </c>
      <c r="E18" s="91">
        <v>153.86480179406055</v>
      </c>
    </row>
    <row r="19" spans="1:5">
      <c r="A19" s="79" t="s">
        <v>499</v>
      </c>
      <c r="B19" s="90">
        <v>9330.1514324610343</v>
      </c>
      <c r="C19" s="90">
        <v>175.18947453751687</v>
      </c>
      <c r="D19" s="90">
        <v>108.65070611262156</v>
      </c>
      <c r="E19" s="90">
        <v>66.538768424895309</v>
      </c>
    </row>
    <row r="20" spans="1:5" s="72" customFormat="1">
      <c r="A20" s="217" t="s">
        <v>492</v>
      </c>
      <c r="B20" s="425">
        <v>9330.1514324610343</v>
      </c>
      <c r="C20" s="91">
        <v>175.18947453751687</v>
      </c>
      <c r="D20" s="90">
        <v>108.65070611262156</v>
      </c>
      <c r="E20" s="90">
        <v>66.538768424895309</v>
      </c>
    </row>
    <row r="21" spans="1:5">
      <c r="A21" s="79" t="s">
        <v>493</v>
      </c>
      <c r="B21" s="90">
        <v>5313.4927254294862</v>
      </c>
      <c r="C21" s="90">
        <v>78.00987631373458</v>
      </c>
      <c r="D21" s="90">
        <v>44.467550278041614</v>
      </c>
      <c r="E21" s="90">
        <v>33.542326035692966</v>
      </c>
    </row>
    <row r="22" spans="1:5">
      <c r="A22" s="217" t="s">
        <v>493</v>
      </c>
      <c r="B22" s="426">
        <v>5313.4927254294862</v>
      </c>
      <c r="C22" s="91">
        <v>78.00987631373458</v>
      </c>
      <c r="D22" s="91">
        <v>44.467550278041614</v>
      </c>
      <c r="E22" s="91">
        <v>33.542326035692966</v>
      </c>
    </row>
    <row r="23" spans="1:5" s="72" customFormat="1">
      <c r="A23" s="79" t="s">
        <v>494</v>
      </c>
      <c r="B23" s="90">
        <v>5864.9644233144818</v>
      </c>
      <c r="C23" s="90">
        <v>39.930569078815722</v>
      </c>
      <c r="D23" s="90">
        <v>22.100316897516787</v>
      </c>
      <c r="E23" s="90">
        <v>17.830252181298931</v>
      </c>
    </row>
    <row r="24" spans="1:5">
      <c r="A24" s="217" t="s">
        <v>495</v>
      </c>
      <c r="B24" s="426">
        <v>3126.5851099153761</v>
      </c>
      <c r="C24" s="91">
        <v>1.3535881767841509</v>
      </c>
      <c r="D24" s="90">
        <v>0</v>
      </c>
      <c r="E24" s="90">
        <v>1.3535881767841509</v>
      </c>
    </row>
    <row r="25" spans="1:5" s="72" customFormat="1">
      <c r="A25" s="217" t="s">
        <v>496</v>
      </c>
      <c r="B25" s="426">
        <v>2738.3793133991858</v>
      </c>
      <c r="C25" s="91">
        <v>38.576980902031565</v>
      </c>
      <c r="D25" s="91">
        <v>22.100316897516787</v>
      </c>
      <c r="E25" s="91">
        <v>16.476664004514781</v>
      </c>
    </row>
    <row r="26" spans="1:5">
      <c r="A26" s="79" t="s">
        <v>497</v>
      </c>
      <c r="B26" s="90">
        <v>11240.128562456877</v>
      </c>
      <c r="C26" s="90">
        <v>267.21803679767305</v>
      </c>
      <c r="D26" s="90">
        <v>134.72631211857606</v>
      </c>
      <c r="E26" s="90">
        <v>132.49172467909699</v>
      </c>
    </row>
    <row r="27" spans="1:5" s="72" customFormat="1">
      <c r="A27" s="217" t="s">
        <v>497</v>
      </c>
      <c r="B27" s="426">
        <v>11240.128562456877</v>
      </c>
      <c r="C27" s="91">
        <v>267.21803679767305</v>
      </c>
      <c r="D27" s="91">
        <v>134.72631211857606</v>
      </c>
      <c r="E27" s="91">
        <v>132.49172467909699</v>
      </c>
    </row>
    <row r="28" spans="1:5">
      <c r="A28" s="79" t="s">
        <v>498</v>
      </c>
      <c r="B28" s="90">
        <v>5638.6667197730821</v>
      </c>
      <c r="C28" s="90">
        <v>100.7263829374145</v>
      </c>
      <c r="D28" s="90">
        <v>55.429414624632898</v>
      </c>
      <c r="E28" s="90">
        <v>45.296968312781601</v>
      </c>
    </row>
    <row r="29" spans="1:5">
      <c r="A29" s="217" t="s">
        <v>498</v>
      </c>
      <c r="B29" s="426">
        <v>5638.6667197730821</v>
      </c>
      <c r="C29" s="91">
        <v>100.7263829374145</v>
      </c>
      <c r="D29" s="91">
        <v>55.429414624632898</v>
      </c>
      <c r="E29" s="91">
        <v>45.296968312781601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4.9989318521683403E-2"/>
  </sheetPr>
  <dimension ref="A1:G55"/>
  <sheetViews>
    <sheetView zoomScale="120" zoomScaleNormal="120" workbookViewId="0">
      <selection activeCell="K17" sqref="K17"/>
    </sheetView>
  </sheetViews>
  <sheetFormatPr defaultColWidth="9.140625" defaultRowHeight="12"/>
  <cols>
    <col min="1" max="1" width="23" style="69" customWidth="1"/>
    <col min="2" max="2" width="9.140625" style="69"/>
    <col min="3" max="3" width="22.28515625" style="69" customWidth="1"/>
    <col min="4" max="6" width="9.140625" style="69"/>
    <col min="7" max="7" width="12.140625" style="69" customWidth="1"/>
    <col min="8" max="16384" width="9.140625" style="69"/>
  </cols>
  <sheetData>
    <row r="1" spans="1:7" ht="15.75" customHeight="1" thickBot="1">
      <c r="A1" s="726" t="s">
        <v>449</v>
      </c>
      <c r="B1" s="726"/>
      <c r="C1" s="726"/>
      <c r="D1" s="726"/>
      <c r="E1" s="726"/>
      <c r="F1" s="726"/>
      <c r="G1" s="726"/>
    </row>
    <row r="2" spans="1:7">
      <c r="A2" s="727" t="s">
        <v>445</v>
      </c>
      <c r="B2" s="729" t="s">
        <v>6</v>
      </c>
      <c r="C2" s="729" t="s">
        <v>428</v>
      </c>
      <c r="D2" s="725" t="s">
        <v>7</v>
      </c>
      <c r="E2" s="725"/>
      <c r="F2" s="725"/>
      <c r="G2" s="725"/>
    </row>
    <row r="3" spans="1:7" ht="13.5" customHeight="1">
      <c r="A3" s="728"/>
      <c r="B3" s="730"/>
      <c r="C3" s="730"/>
      <c r="D3" s="140" t="s">
        <v>8</v>
      </c>
      <c r="E3" s="140" t="s">
        <v>9</v>
      </c>
      <c r="F3" s="140" t="s">
        <v>10</v>
      </c>
      <c r="G3" s="60" t="s">
        <v>139</v>
      </c>
    </row>
    <row r="4" spans="1:7">
      <c r="A4" s="219" t="s">
        <v>500</v>
      </c>
      <c r="B4" s="218">
        <v>138769.95281459979</v>
      </c>
      <c r="C4" s="218">
        <v>3190.7333800003425</v>
      </c>
      <c r="D4" s="218">
        <v>614.52903226000524</v>
      </c>
      <c r="E4" s="218">
        <v>647.5878679063934</v>
      </c>
      <c r="F4" s="218">
        <v>1770.0599851880559</v>
      </c>
      <c r="G4" s="218">
        <v>158.55649464588802</v>
      </c>
    </row>
    <row r="5" spans="1:7">
      <c r="A5" s="57"/>
      <c r="B5" s="58"/>
      <c r="C5" s="58"/>
      <c r="D5" s="59"/>
      <c r="E5" s="58"/>
      <c r="F5" s="58"/>
      <c r="G5" s="58"/>
    </row>
    <row r="6" spans="1:7">
      <c r="A6" s="219" t="s">
        <v>264</v>
      </c>
      <c r="B6" s="213"/>
      <c r="C6" s="213"/>
      <c r="D6" s="213"/>
      <c r="E6" s="213"/>
      <c r="F6" s="213"/>
      <c r="G6" s="213"/>
    </row>
    <row r="7" spans="1:7">
      <c r="A7" s="57" t="s">
        <v>4</v>
      </c>
      <c r="B7" s="82">
        <v>51501.212629849317</v>
      </c>
      <c r="C7" s="82">
        <v>1635.789273077258</v>
      </c>
      <c r="D7" s="82">
        <v>304.55733977643422</v>
      </c>
      <c r="E7" s="82">
        <v>331.8218827288959</v>
      </c>
      <c r="F7" s="82">
        <v>919.41758480463307</v>
      </c>
      <c r="G7" s="82">
        <v>79.992465767294703</v>
      </c>
    </row>
    <row r="8" spans="1:7">
      <c r="A8" s="57" t="s">
        <v>5</v>
      </c>
      <c r="B8" s="82">
        <v>87268.740184803784</v>
      </c>
      <c r="C8" s="82">
        <v>1554.9441069230725</v>
      </c>
      <c r="D8" s="82">
        <v>309.97169248357091</v>
      </c>
      <c r="E8" s="82">
        <v>315.76598517749773</v>
      </c>
      <c r="F8" s="82">
        <v>850.64240038341086</v>
      </c>
      <c r="G8" s="82">
        <v>78.564028878593007</v>
      </c>
    </row>
    <row r="9" spans="1:7">
      <c r="A9" s="219" t="s">
        <v>448</v>
      </c>
      <c r="B9" s="213"/>
      <c r="C9" s="213"/>
      <c r="D9" s="213"/>
      <c r="E9" s="213"/>
      <c r="F9" s="213"/>
      <c r="G9" s="213"/>
    </row>
    <row r="10" spans="1:7" s="72" customFormat="1">
      <c r="A10" s="79" t="s">
        <v>486</v>
      </c>
      <c r="B10" s="81">
        <v>24757.123945472587</v>
      </c>
      <c r="C10" s="81">
        <v>409.2403551622096</v>
      </c>
      <c r="D10" s="81">
        <v>106.9334659659481</v>
      </c>
      <c r="E10" s="81">
        <v>101.68735115885538</v>
      </c>
      <c r="F10" s="81">
        <v>189.19204292779261</v>
      </c>
      <c r="G10" s="81">
        <v>11.42749510961352</v>
      </c>
    </row>
    <row r="11" spans="1:7">
      <c r="A11" s="217" t="s">
        <v>486</v>
      </c>
      <c r="B11" s="82">
        <v>24757.123945472587</v>
      </c>
      <c r="C11" s="82">
        <v>409.2403551622096</v>
      </c>
      <c r="D11" s="82">
        <v>106.9334659659481</v>
      </c>
      <c r="E11" s="82">
        <v>101.68735115885538</v>
      </c>
      <c r="F11" s="82">
        <v>189.19204292779261</v>
      </c>
      <c r="G11" s="82">
        <v>11.42749510961352</v>
      </c>
    </row>
    <row r="12" spans="1:7" s="72" customFormat="1">
      <c r="A12" s="211" t="s">
        <v>487</v>
      </c>
      <c r="B12" s="81">
        <v>49793.527669874049</v>
      </c>
      <c r="C12" s="81">
        <v>1665.5005254618122</v>
      </c>
      <c r="D12" s="81">
        <v>295.08222253894502</v>
      </c>
      <c r="E12" s="81">
        <v>339.84983150459499</v>
      </c>
      <c r="F12" s="81">
        <v>940.5769474300655</v>
      </c>
      <c r="G12" s="81">
        <v>89.99152398820658</v>
      </c>
    </row>
    <row r="13" spans="1:7" s="72" customFormat="1">
      <c r="A13" s="217" t="s">
        <v>487</v>
      </c>
      <c r="B13" s="82">
        <v>42696.757487623705</v>
      </c>
      <c r="C13" s="82">
        <v>1600.3325126193786</v>
      </c>
      <c r="D13" s="82">
        <v>277.48557624075079</v>
      </c>
      <c r="E13" s="82">
        <v>326.46991687842984</v>
      </c>
      <c r="F13" s="82">
        <v>910.67080617809643</v>
      </c>
      <c r="G13" s="82">
        <v>85.70621332210149</v>
      </c>
    </row>
    <row r="14" spans="1:7">
      <c r="A14" s="217" t="s">
        <v>488</v>
      </c>
      <c r="B14" s="82">
        <v>7096.7701822545259</v>
      </c>
      <c r="C14" s="82">
        <v>65.168012842434024</v>
      </c>
      <c r="D14" s="82">
        <v>17.596646298193956</v>
      </c>
      <c r="E14" s="82">
        <v>13.379914626165196</v>
      </c>
      <c r="F14" s="82">
        <v>29.906141251969796</v>
      </c>
      <c r="G14" s="82">
        <v>4.2853106661050706</v>
      </c>
    </row>
    <row r="15" spans="1:7" s="72" customFormat="1">
      <c r="A15" s="79" t="s">
        <v>489</v>
      </c>
      <c r="B15" s="81">
        <v>7043.3486249432026</v>
      </c>
      <c r="C15" s="81">
        <v>76.019871929545261</v>
      </c>
      <c r="D15" s="81">
        <v>4.0607645303524524</v>
      </c>
      <c r="E15" s="81">
        <v>12.041923163548676</v>
      </c>
      <c r="F15" s="81">
        <v>49.918126014732294</v>
      </c>
      <c r="G15" s="81">
        <v>9.9990582209118308</v>
      </c>
    </row>
    <row r="16" spans="1:7">
      <c r="A16" s="217" t="s">
        <v>489</v>
      </c>
      <c r="B16" s="82">
        <v>4508.0622889973547</v>
      </c>
      <c r="C16" s="82">
        <v>49.403734448894568</v>
      </c>
      <c r="D16" s="82">
        <v>2.7071763535683018</v>
      </c>
      <c r="E16" s="82">
        <v>6.689957313082596</v>
      </c>
      <c r="F16" s="82">
        <v>30.007542561331835</v>
      </c>
      <c r="G16" s="82">
        <v>9.9990582209118308</v>
      </c>
    </row>
    <row r="17" spans="1:7" s="72" customFormat="1">
      <c r="A17" s="217" t="s">
        <v>490</v>
      </c>
      <c r="B17" s="81">
        <v>2535.2863359459488</v>
      </c>
      <c r="C17" s="82">
        <v>26.616137480650664</v>
      </c>
      <c r="D17" s="81">
        <v>1.3535881767841509</v>
      </c>
      <c r="E17" s="81">
        <v>5.351965850466077</v>
      </c>
      <c r="F17" s="81">
        <v>19.910583453400434</v>
      </c>
      <c r="G17" s="81">
        <v>0</v>
      </c>
    </row>
    <row r="18" spans="1:7">
      <c r="A18" s="79" t="s">
        <v>491</v>
      </c>
      <c r="B18" s="81">
        <v>19788.548710976385</v>
      </c>
      <c r="C18" s="81">
        <v>378.89828778161325</v>
      </c>
      <c r="D18" s="81">
        <v>73.093761546344169</v>
      </c>
      <c r="E18" s="81">
        <v>78.94149629437463</v>
      </c>
      <c r="F18" s="81">
        <v>204.00803972166742</v>
      </c>
      <c r="G18" s="81">
        <v>22.854990219227037</v>
      </c>
    </row>
    <row r="19" spans="1:7" s="72" customFormat="1">
      <c r="A19" s="217" t="s">
        <v>491</v>
      </c>
      <c r="B19" s="82">
        <v>19788.548710976385</v>
      </c>
      <c r="C19" s="82">
        <v>378.89828778161325</v>
      </c>
      <c r="D19" s="82">
        <v>73.093761546344169</v>
      </c>
      <c r="E19" s="82">
        <v>78.94149629437463</v>
      </c>
      <c r="F19" s="82">
        <v>204.00803972166742</v>
      </c>
      <c r="G19" s="82">
        <v>22.854990219227037</v>
      </c>
    </row>
    <row r="20" spans="1:7">
      <c r="A20" s="79" t="s">
        <v>499</v>
      </c>
      <c r="B20" s="81">
        <v>9330.1514324610343</v>
      </c>
      <c r="C20" s="81">
        <v>175.18947453751684</v>
      </c>
      <c r="D20" s="81">
        <v>56.850703424934316</v>
      </c>
      <c r="E20" s="81">
        <v>26.75982925233038</v>
      </c>
      <c r="F20" s="81">
        <v>88.722068082848736</v>
      </c>
      <c r="G20" s="81">
        <v>2.8568737774033806</v>
      </c>
    </row>
    <row r="21" spans="1:7" s="72" customFormat="1">
      <c r="A21" s="217" t="s">
        <v>492</v>
      </c>
      <c r="B21" s="82">
        <v>9330.1514324610343</v>
      </c>
      <c r="C21" s="82">
        <v>175.18947453751684</v>
      </c>
      <c r="D21" s="82">
        <v>56.850703424934316</v>
      </c>
      <c r="E21" s="82">
        <v>26.75982925233038</v>
      </c>
      <c r="F21" s="82">
        <v>88.722068082848736</v>
      </c>
      <c r="G21" s="82">
        <v>2.8568737774033806</v>
      </c>
    </row>
    <row r="22" spans="1:7">
      <c r="A22" s="79" t="s">
        <v>493</v>
      </c>
      <c r="B22" s="81">
        <v>5313.4927254294862</v>
      </c>
      <c r="C22" s="81">
        <v>78.009876313734608</v>
      </c>
      <c r="D22" s="81">
        <v>16.243058121409806</v>
      </c>
      <c r="E22" s="81">
        <v>13.379914626165196</v>
      </c>
      <c r="F22" s="81">
        <v>46.958466677457906</v>
      </c>
      <c r="G22" s="81">
        <v>1.4284368887016903</v>
      </c>
    </row>
    <row r="23" spans="1:7">
      <c r="A23" s="217" t="s">
        <v>493</v>
      </c>
      <c r="B23" s="82">
        <v>5313.4927254294862</v>
      </c>
      <c r="C23" s="82">
        <v>78.009876313734608</v>
      </c>
      <c r="D23" s="82">
        <v>16.243058121409806</v>
      </c>
      <c r="E23" s="82">
        <v>13.379914626165196</v>
      </c>
      <c r="F23" s="82">
        <v>46.958466677457906</v>
      </c>
      <c r="G23" s="82">
        <v>1.4284368887016903</v>
      </c>
    </row>
    <row r="24" spans="1:7" s="72" customFormat="1">
      <c r="A24" s="79" t="s">
        <v>494</v>
      </c>
      <c r="B24" s="81">
        <v>5864.9644233144818</v>
      </c>
      <c r="C24" s="81">
        <v>39.930569078815722</v>
      </c>
      <c r="D24" s="81">
        <v>13.535881767841506</v>
      </c>
      <c r="E24" s="81">
        <v>10.703931700932156</v>
      </c>
      <c r="F24" s="81">
        <v>15.690755610042057</v>
      </c>
      <c r="G24" s="81">
        <v>0</v>
      </c>
    </row>
    <row r="25" spans="1:7">
      <c r="A25" s="217" t="s">
        <v>495</v>
      </c>
      <c r="B25" s="82">
        <v>3126.5851099153761</v>
      </c>
      <c r="C25" s="82">
        <v>1.3535881767841509</v>
      </c>
      <c r="D25" s="82">
        <v>1.3535881767841509</v>
      </c>
      <c r="E25" s="82">
        <v>0</v>
      </c>
      <c r="F25" s="82">
        <v>0</v>
      </c>
      <c r="G25" s="82">
        <v>0</v>
      </c>
    </row>
    <row r="26" spans="1:7" s="72" customFormat="1">
      <c r="A26" s="217" t="s">
        <v>496</v>
      </c>
      <c r="B26" s="82">
        <v>2738.3793133991858</v>
      </c>
      <c r="C26" s="82">
        <v>38.576980902031565</v>
      </c>
      <c r="D26" s="82">
        <v>12.182293591057356</v>
      </c>
      <c r="E26" s="82">
        <v>10.703931700932156</v>
      </c>
      <c r="F26" s="82">
        <v>15.690755610042057</v>
      </c>
      <c r="G26" s="82">
        <v>0</v>
      </c>
    </row>
    <row r="27" spans="1:7">
      <c r="A27" s="79" t="s">
        <v>497</v>
      </c>
      <c r="B27" s="81">
        <v>11240.128562456877</v>
      </c>
      <c r="C27" s="81">
        <v>267.21803679767299</v>
      </c>
      <c r="D27" s="81">
        <v>43.314821657092814</v>
      </c>
      <c r="E27" s="81">
        <v>54.857649967277325</v>
      </c>
      <c r="F27" s="81">
        <v>154.76119628628598</v>
      </c>
      <c r="G27" s="81">
        <v>14.2843688870169</v>
      </c>
    </row>
    <row r="28" spans="1:7" s="72" customFormat="1">
      <c r="A28" s="217" t="s">
        <v>497</v>
      </c>
      <c r="B28" s="82">
        <v>11240.128562456877</v>
      </c>
      <c r="C28" s="82">
        <v>267.21803679767299</v>
      </c>
      <c r="D28" s="82">
        <v>43.314821657092814</v>
      </c>
      <c r="E28" s="82">
        <v>54.857649967277325</v>
      </c>
      <c r="F28" s="82">
        <v>154.76119628628598</v>
      </c>
      <c r="G28" s="82">
        <v>14.2843688870169</v>
      </c>
    </row>
    <row r="29" spans="1:7">
      <c r="A29" s="79" t="s">
        <v>498</v>
      </c>
      <c r="B29" s="81">
        <v>5638.6667197730821</v>
      </c>
      <c r="C29" s="81">
        <v>100.72638293741451</v>
      </c>
      <c r="D29" s="81">
        <v>5.4143527071366035</v>
      </c>
      <c r="E29" s="81">
        <v>9.3659402383156358</v>
      </c>
      <c r="F29" s="81">
        <v>80.232342437155509</v>
      </c>
      <c r="G29" s="81">
        <v>5.7137475548067611</v>
      </c>
    </row>
    <row r="30" spans="1:7">
      <c r="A30" s="217" t="s">
        <v>498</v>
      </c>
      <c r="B30" s="82">
        <v>5638.6667197730821</v>
      </c>
      <c r="C30" s="82">
        <v>100.72638293741451</v>
      </c>
      <c r="D30" s="82">
        <v>5.4143527071366035</v>
      </c>
      <c r="E30" s="82">
        <v>9.3659402383156358</v>
      </c>
      <c r="F30" s="82">
        <v>80.232342437155509</v>
      </c>
      <c r="G30" s="82">
        <v>5.7137475548067611</v>
      </c>
    </row>
    <row r="31" spans="1:7" s="72" customFormat="1">
      <c r="A31" s="69"/>
      <c r="B31" s="69"/>
      <c r="C31" s="69"/>
      <c r="D31" s="69"/>
      <c r="E31" s="69"/>
      <c r="F31" s="69"/>
      <c r="G31" s="69"/>
    </row>
    <row r="33" spans="1:7">
      <c r="A33" s="72"/>
      <c r="B33" s="72"/>
      <c r="C33" s="72"/>
      <c r="D33" s="72"/>
      <c r="E33" s="72"/>
      <c r="F33" s="72"/>
      <c r="G33" s="72"/>
    </row>
    <row r="34" spans="1:7" s="72" customFormat="1">
      <c r="A34" s="69"/>
      <c r="B34" s="69"/>
      <c r="C34" s="69"/>
      <c r="D34" s="69"/>
      <c r="E34" s="69"/>
      <c r="F34" s="69"/>
      <c r="G34" s="69"/>
    </row>
    <row r="35" spans="1:7">
      <c r="A35" s="72"/>
      <c r="B35" s="72"/>
      <c r="C35" s="72"/>
      <c r="D35" s="72"/>
      <c r="E35" s="72"/>
      <c r="F35" s="72"/>
      <c r="G35" s="72"/>
    </row>
    <row r="36" spans="1:7" s="72" customFormat="1">
      <c r="A36" s="69"/>
      <c r="B36" s="69"/>
      <c r="C36" s="69"/>
      <c r="D36" s="69"/>
      <c r="E36" s="69"/>
      <c r="F36" s="69"/>
      <c r="G36" s="69"/>
    </row>
    <row r="37" spans="1:7">
      <c r="A37" s="72"/>
      <c r="B37" s="72"/>
      <c r="C37" s="72"/>
      <c r="D37" s="72"/>
      <c r="E37" s="72"/>
      <c r="F37" s="72"/>
      <c r="G37" s="72"/>
    </row>
    <row r="38" spans="1:7" s="72" customFormat="1">
      <c r="A38" s="69"/>
      <c r="B38" s="69"/>
      <c r="C38" s="69"/>
      <c r="D38" s="69"/>
      <c r="E38" s="69"/>
      <c r="F38" s="69"/>
      <c r="G38" s="69"/>
    </row>
    <row r="39" spans="1:7">
      <c r="A39" s="72"/>
      <c r="B39" s="72"/>
      <c r="C39" s="72"/>
      <c r="D39" s="72"/>
      <c r="E39" s="72"/>
      <c r="F39" s="72"/>
      <c r="G39" s="72"/>
    </row>
    <row r="41" spans="1:7">
      <c r="A41" s="72"/>
      <c r="B41" s="72"/>
      <c r="C41" s="72"/>
      <c r="D41" s="72"/>
      <c r="E41" s="72"/>
      <c r="F41" s="72"/>
      <c r="G41" s="72"/>
    </row>
    <row r="42" spans="1:7" s="72" customFormat="1">
      <c r="A42" s="69"/>
      <c r="B42" s="69"/>
      <c r="C42" s="69"/>
      <c r="D42" s="69"/>
      <c r="E42" s="69"/>
      <c r="F42" s="69"/>
      <c r="G42" s="69"/>
    </row>
    <row r="43" spans="1:7">
      <c r="A43" s="72"/>
      <c r="B43" s="72"/>
      <c r="C43" s="72"/>
      <c r="D43" s="72"/>
      <c r="E43" s="72"/>
      <c r="F43" s="72"/>
      <c r="G43" s="72"/>
    </row>
    <row r="45" spans="1:7" s="72" customFormat="1">
      <c r="A45" s="69"/>
      <c r="B45" s="69"/>
      <c r="C45" s="69"/>
      <c r="D45" s="69"/>
      <c r="E45" s="69"/>
      <c r="F45" s="69"/>
      <c r="G45" s="69"/>
    </row>
    <row r="47" spans="1:7" s="72" customFormat="1">
      <c r="A47" s="69"/>
      <c r="B47" s="69"/>
      <c r="C47" s="69"/>
      <c r="D47" s="69"/>
      <c r="E47" s="69"/>
      <c r="F47" s="69"/>
      <c r="G47" s="69"/>
    </row>
    <row r="49" spans="1:7" s="72" customFormat="1">
      <c r="A49" s="69"/>
      <c r="B49" s="69"/>
      <c r="C49" s="69"/>
      <c r="D49" s="69"/>
      <c r="E49" s="69"/>
      <c r="F49" s="69"/>
      <c r="G49" s="69"/>
    </row>
    <row r="51" spans="1:7" s="72" customFormat="1">
      <c r="A51" s="69"/>
      <c r="B51" s="69"/>
      <c r="C51" s="69"/>
      <c r="D51" s="69"/>
      <c r="E51" s="69"/>
      <c r="F51" s="69"/>
      <c r="G51" s="69"/>
    </row>
    <row r="53" spans="1:7" s="72" customFormat="1">
      <c r="A53" s="69"/>
      <c r="B53" s="69"/>
      <c r="C53" s="69"/>
      <c r="D53" s="69"/>
      <c r="E53" s="69"/>
      <c r="F53" s="69"/>
      <c r="G53" s="69"/>
    </row>
    <row r="55" spans="1:7" s="72" customFormat="1">
      <c r="A55" s="69"/>
      <c r="B55" s="69"/>
      <c r="C55" s="69"/>
      <c r="D55" s="69"/>
      <c r="E55" s="69"/>
      <c r="F55" s="69"/>
      <c r="G55" s="69"/>
    </row>
  </sheetData>
  <mergeCells count="5">
    <mergeCell ref="D2:G2"/>
    <mergeCell ref="A1:G1"/>
    <mergeCell ref="A2:A3"/>
    <mergeCell ref="B2:B3"/>
    <mergeCell ref="C2:C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821E00"/>
  </sheetPr>
  <dimension ref="A1"/>
  <sheetViews>
    <sheetView workbookViewId="0">
      <selection activeCell="M3" sqref="M3"/>
    </sheetView>
  </sheetViews>
  <sheetFormatPr defaultColWidth="9.140625" defaultRowHeight="15"/>
  <cols>
    <col min="1" max="16384" width="9.140625" style="1"/>
  </cols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31"/>
  <sheetViews>
    <sheetView zoomScale="120" zoomScaleNormal="120" workbookViewId="0">
      <selection activeCell="R39" sqref="R39"/>
    </sheetView>
  </sheetViews>
  <sheetFormatPr defaultColWidth="9.140625" defaultRowHeight="12"/>
  <cols>
    <col min="1" max="1" width="17.85546875" style="69" customWidth="1"/>
    <col min="2" max="6" width="9.140625" style="69"/>
    <col min="7" max="7" width="2.5703125" style="69" customWidth="1"/>
    <col min="8" max="10" width="9.140625" style="69"/>
    <col min="11" max="11" width="3.85546875" style="69" customWidth="1"/>
    <col min="12" max="16384" width="9.140625" style="69"/>
  </cols>
  <sheetData>
    <row r="1" spans="1:14">
      <c r="A1" s="731" t="s">
        <v>484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  <c r="N1" s="731"/>
    </row>
    <row r="2" spans="1:14">
      <c r="A2" s="735" t="s">
        <v>453</v>
      </c>
      <c r="B2" s="732" t="s">
        <v>433</v>
      </c>
      <c r="C2" s="732" t="s">
        <v>434</v>
      </c>
      <c r="D2" s="733" t="s">
        <v>189</v>
      </c>
      <c r="E2" s="733"/>
      <c r="F2" s="733"/>
      <c r="G2" s="492"/>
      <c r="H2" s="733" t="s">
        <v>190</v>
      </c>
      <c r="I2" s="733"/>
      <c r="J2" s="733"/>
      <c r="K2" s="492"/>
      <c r="L2" s="733" t="s">
        <v>191</v>
      </c>
      <c r="M2" s="733"/>
      <c r="N2" s="733"/>
    </row>
    <row r="3" spans="1:14" ht="9" customHeight="1">
      <c r="A3" s="735"/>
      <c r="B3" s="732"/>
      <c r="C3" s="732"/>
      <c r="D3" s="734"/>
      <c r="E3" s="734"/>
      <c r="F3" s="734"/>
      <c r="G3" s="492"/>
      <c r="H3" s="734"/>
      <c r="I3" s="734"/>
      <c r="J3" s="734"/>
      <c r="K3" s="492"/>
      <c r="L3" s="734"/>
      <c r="M3" s="734"/>
      <c r="N3" s="734"/>
    </row>
    <row r="4" spans="1:14" ht="24.75" customHeight="1">
      <c r="A4" s="735"/>
      <c r="B4" s="732"/>
      <c r="C4" s="732"/>
      <c r="D4" s="142" t="s">
        <v>1</v>
      </c>
      <c r="E4" s="142" t="s">
        <v>124</v>
      </c>
      <c r="F4" s="142" t="s">
        <v>125</v>
      </c>
      <c r="G4" s="142"/>
      <c r="H4" s="142" t="s">
        <v>1</v>
      </c>
      <c r="I4" s="142" t="s">
        <v>124</v>
      </c>
      <c r="J4" s="142" t="s">
        <v>125</v>
      </c>
      <c r="K4" s="142"/>
      <c r="L4" s="142" t="s">
        <v>1</v>
      </c>
      <c r="M4" s="142" t="s">
        <v>124</v>
      </c>
      <c r="N4" s="142" t="s">
        <v>125</v>
      </c>
    </row>
    <row r="5" spans="1:14">
      <c r="A5" s="151" t="s">
        <v>500</v>
      </c>
      <c r="B5" s="188">
        <v>67668.792034075173</v>
      </c>
      <c r="C5" s="188">
        <v>32596.048370109118</v>
      </c>
      <c r="D5" s="188">
        <v>5488.9968494849581</v>
      </c>
      <c r="E5" s="188">
        <v>2715.1630660266005</v>
      </c>
      <c r="F5" s="188">
        <v>2773.8337834583576</v>
      </c>
      <c r="G5" s="188"/>
      <c r="H5" s="188">
        <v>23135.385366262897</v>
      </c>
      <c r="I5" s="188">
        <v>11400.948702948752</v>
      </c>
      <c r="J5" s="188">
        <v>11734.436663314145</v>
      </c>
      <c r="K5" s="188"/>
      <c r="L5" s="188">
        <v>3971.6661543612595</v>
      </c>
      <c r="M5" s="188">
        <v>1928.2480162125587</v>
      </c>
      <c r="N5" s="188">
        <v>2043.4181381487008</v>
      </c>
    </row>
    <row r="6" spans="1:14">
      <c r="A6" s="13"/>
      <c r="B6" s="55"/>
      <c r="C6" s="56"/>
      <c r="D6" s="56"/>
      <c r="E6" s="55"/>
      <c r="F6" s="55"/>
      <c r="G6" s="55"/>
      <c r="H6" s="56"/>
      <c r="I6" s="55"/>
      <c r="J6" s="55"/>
      <c r="K6" s="55"/>
      <c r="L6" s="56"/>
      <c r="M6" s="55"/>
      <c r="N6" s="55"/>
    </row>
    <row r="7" spans="1:14">
      <c r="A7" s="151" t="s">
        <v>485</v>
      </c>
      <c r="B7" s="205"/>
      <c r="C7" s="188"/>
      <c r="D7" s="188"/>
      <c r="E7" s="205"/>
      <c r="F7" s="205"/>
      <c r="G7" s="205"/>
      <c r="H7" s="188"/>
      <c r="I7" s="205"/>
      <c r="J7" s="205"/>
      <c r="K7" s="205"/>
      <c r="L7" s="188"/>
      <c r="M7" s="205"/>
      <c r="N7" s="205"/>
    </row>
    <row r="8" spans="1:14">
      <c r="A8" s="78" t="s">
        <v>192</v>
      </c>
      <c r="B8" s="126">
        <v>24729.815443744737</v>
      </c>
      <c r="C8" s="126">
        <v>14755.53523052884</v>
      </c>
      <c r="D8" s="126">
        <v>2515.9772716106181</v>
      </c>
      <c r="E8" s="126">
        <v>1260.6383458818582</v>
      </c>
      <c r="F8" s="126">
        <v>1255.3389257287597</v>
      </c>
      <c r="G8" s="126"/>
      <c r="H8" s="126">
        <v>10262.807963925639</v>
      </c>
      <c r="I8" s="126">
        <v>5111.4120559311214</v>
      </c>
      <c r="J8" s="126">
        <v>5151.3959079945171</v>
      </c>
      <c r="K8" s="126"/>
      <c r="L8" s="126">
        <v>1976.7499949925814</v>
      </c>
      <c r="M8" s="126">
        <v>986.85065068166205</v>
      </c>
      <c r="N8" s="126">
        <v>989.89934431091933</v>
      </c>
    </row>
    <row r="9" spans="1:14">
      <c r="A9" s="78" t="s">
        <v>5</v>
      </c>
      <c r="B9" s="126">
        <v>42938.976590376922</v>
      </c>
      <c r="C9" s="126">
        <v>17840.513139580049</v>
      </c>
      <c r="D9" s="126">
        <v>2973.0195778742495</v>
      </c>
      <c r="E9" s="126">
        <v>1454.5247201446932</v>
      </c>
      <c r="F9" s="126">
        <v>1518.4948577295563</v>
      </c>
      <c r="G9" s="126"/>
      <c r="H9" s="126">
        <v>12872.577402337145</v>
      </c>
      <c r="I9" s="126">
        <v>6289.5366470176577</v>
      </c>
      <c r="J9" s="126">
        <v>6583.0407553194882</v>
      </c>
      <c r="K9" s="126"/>
      <c r="L9" s="126">
        <v>1994.9161593686531</v>
      </c>
      <c r="M9" s="126">
        <v>941.39736553088085</v>
      </c>
      <c r="N9" s="126">
        <v>1053.5187938377724</v>
      </c>
    </row>
    <row r="10" spans="1:14">
      <c r="A10" s="151" t="s">
        <v>448</v>
      </c>
      <c r="B10" s="206"/>
      <c r="C10" s="188"/>
      <c r="D10" s="188"/>
      <c r="E10" s="206"/>
      <c r="F10" s="206"/>
      <c r="G10" s="206"/>
      <c r="H10" s="188"/>
      <c r="I10" s="206"/>
      <c r="J10" s="206"/>
      <c r="K10" s="206"/>
      <c r="L10" s="188"/>
      <c r="M10" s="206"/>
      <c r="N10" s="206"/>
    </row>
    <row r="11" spans="1:14" s="72" customFormat="1">
      <c r="A11" s="122" t="s">
        <v>486</v>
      </c>
      <c r="B11" s="127">
        <v>13145.885966668844</v>
      </c>
      <c r="C11" s="127">
        <v>4635.2290444787359</v>
      </c>
      <c r="D11" s="127">
        <v>708.03841554472365</v>
      </c>
      <c r="E11" s="127">
        <v>341.06570483268956</v>
      </c>
      <c r="F11" s="127">
        <v>366.97271071203409</v>
      </c>
      <c r="G11" s="127"/>
      <c r="H11" s="127">
        <v>3469.6095497954943</v>
      </c>
      <c r="I11" s="127">
        <v>1669.4175446576216</v>
      </c>
      <c r="J11" s="127">
        <v>1800.1920051378727</v>
      </c>
      <c r="K11" s="127"/>
      <c r="L11" s="127">
        <v>457.58107913851711</v>
      </c>
      <c r="M11" s="127">
        <v>218.55816950410556</v>
      </c>
      <c r="N11" s="127">
        <v>239.02290963441155</v>
      </c>
    </row>
    <row r="12" spans="1:14">
      <c r="A12" s="123" t="s">
        <v>486</v>
      </c>
      <c r="B12" s="94">
        <v>13145.885966668844</v>
      </c>
      <c r="C12" s="94">
        <v>4635.2290444787359</v>
      </c>
      <c r="D12" s="94">
        <v>708.03841554472365</v>
      </c>
      <c r="E12" s="94">
        <v>341.06570483268956</v>
      </c>
      <c r="F12" s="94">
        <v>366.97271071203409</v>
      </c>
      <c r="G12" s="94"/>
      <c r="H12" s="94">
        <v>3469.6095497954943</v>
      </c>
      <c r="I12" s="94">
        <v>1669.4175446576216</v>
      </c>
      <c r="J12" s="94">
        <v>1800.1920051378727</v>
      </c>
      <c r="K12" s="94"/>
      <c r="L12" s="94">
        <v>457.58107913851711</v>
      </c>
      <c r="M12" s="94">
        <v>218.55816950410556</v>
      </c>
      <c r="N12" s="94">
        <v>239.02290963441155</v>
      </c>
    </row>
    <row r="13" spans="1:14" s="72" customFormat="1">
      <c r="A13" s="122" t="s">
        <v>487</v>
      </c>
      <c r="B13" s="127">
        <v>24344.070637131397</v>
      </c>
      <c r="C13" s="127">
        <v>13710.400618912046</v>
      </c>
      <c r="D13" s="127">
        <v>2381.5828402011384</v>
      </c>
      <c r="E13" s="127">
        <v>1215.8311760564686</v>
      </c>
      <c r="F13" s="127">
        <v>1165.75166414467</v>
      </c>
      <c r="G13" s="127"/>
      <c r="H13" s="127">
        <v>9470.4982576681905</v>
      </c>
      <c r="I13" s="127">
        <v>4722.8698186351176</v>
      </c>
      <c r="J13" s="127">
        <v>4747.6284390330738</v>
      </c>
      <c r="K13" s="127"/>
      <c r="L13" s="127">
        <v>1858.3195210427166</v>
      </c>
      <c r="M13" s="127">
        <v>945.92364558948361</v>
      </c>
      <c r="N13" s="127">
        <v>912.39587545323286</v>
      </c>
    </row>
    <row r="14" spans="1:14">
      <c r="A14" s="123" t="s">
        <v>487</v>
      </c>
      <c r="B14" s="94">
        <v>20466.87368057893</v>
      </c>
      <c r="C14" s="94">
        <v>12724.459722344447</v>
      </c>
      <c r="D14" s="94">
        <v>2160.5990701736964</v>
      </c>
      <c r="E14" s="94">
        <v>1102.6370352688293</v>
      </c>
      <c r="F14" s="94">
        <v>1057.9620349048673</v>
      </c>
      <c r="G14" s="94"/>
      <c r="H14" s="94">
        <v>8824.1184311944744</v>
      </c>
      <c r="I14" s="94">
        <v>4389.0432960122553</v>
      </c>
      <c r="J14" s="94">
        <v>4435.0751351822182</v>
      </c>
      <c r="K14" s="94"/>
      <c r="L14" s="94">
        <v>1739.7422209762767</v>
      </c>
      <c r="M14" s="94">
        <v>893.4152527679189</v>
      </c>
      <c r="N14" s="94">
        <v>846.32696820835793</v>
      </c>
    </row>
    <row r="15" spans="1:14">
      <c r="A15" s="123" t="s">
        <v>488</v>
      </c>
      <c r="B15" s="94">
        <v>3877.1969565506574</v>
      </c>
      <c r="C15" s="94">
        <v>985.94089656761719</v>
      </c>
      <c r="D15" s="94">
        <v>220.98377002743982</v>
      </c>
      <c r="E15" s="94">
        <v>113.19414078763801</v>
      </c>
      <c r="F15" s="94">
        <v>107.78962923980181</v>
      </c>
      <c r="G15" s="94"/>
      <c r="H15" s="94">
        <v>646.37982647373781</v>
      </c>
      <c r="I15" s="94">
        <v>333.82652262287166</v>
      </c>
      <c r="J15" s="94">
        <v>312.55330385086614</v>
      </c>
      <c r="K15" s="94"/>
      <c r="L15" s="94">
        <v>118.57730006643951</v>
      </c>
      <c r="M15" s="94">
        <v>52.508392821564826</v>
      </c>
      <c r="N15" s="94">
        <v>66.06890724487468</v>
      </c>
    </row>
    <row r="16" spans="1:14" s="72" customFormat="1">
      <c r="A16" s="122" t="s">
        <v>489</v>
      </c>
      <c r="B16" s="127">
        <v>2261.4215493528741</v>
      </c>
      <c r="C16" s="127">
        <v>1073.4423751964091</v>
      </c>
      <c r="D16" s="127">
        <v>152.51717530113328</v>
      </c>
      <c r="E16" s="127">
        <v>74.123128869258849</v>
      </c>
      <c r="F16" s="127">
        <v>78.394046431874429</v>
      </c>
      <c r="G16" s="127"/>
      <c r="H16" s="127">
        <v>791.31888254160037</v>
      </c>
      <c r="I16" s="127">
        <v>403.04178938644259</v>
      </c>
      <c r="J16" s="127">
        <v>388.27709315515779</v>
      </c>
      <c r="K16" s="127"/>
      <c r="L16" s="127">
        <v>129.60631735367548</v>
      </c>
      <c r="M16" s="127">
        <v>60.684107772856606</v>
      </c>
      <c r="N16" s="127">
        <v>68.922209580818858</v>
      </c>
    </row>
    <row r="17" spans="1:14">
      <c r="A17" s="123" t="s">
        <v>489</v>
      </c>
      <c r="B17" s="94">
        <v>1491.9095137658162</v>
      </c>
      <c r="C17" s="94">
        <v>628.71597782302342</v>
      </c>
      <c r="D17" s="94">
        <v>83.829751408045922</v>
      </c>
      <c r="E17" s="94">
        <v>43.22947209538804</v>
      </c>
      <c r="F17" s="94">
        <v>40.600279312657875</v>
      </c>
      <c r="G17" s="94"/>
      <c r="H17" s="94">
        <v>478.55462044046953</v>
      </c>
      <c r="I17" s="94">
        <v>247.98739115158466</v>
      </c>
      <c r="J17" s="94">
        <v>230.5672292888849</v>
      </c>
      <c r="K17" s="94"/>
      <c r="L17" s="94">
        <v>66.331605974507937</v>
      </c>
      <c r="M17" s="94">
        <v>31.12844246160229</v>
      </c>
      <c r="N17" s="94">
        <v>35.20316351290564</v>
      </c>
    </row>
    <row r="18" spans="1:14" s="72" customFormat="1">
      <c r="A18" s="123" t="s">
        <v>490</v>
      </c>
      <c r="B18" s="94">
        <v>769.51203558702503</v>
      </c>
      <c r="C18" s="94">
        <v>444.72639737338375</v>
      </c>
      <c r="D18" s="94">
        <v>68.687423893087356</v>
      </c>
      <c r="E18" s="94">
        <v>30.893656773870788</v>
      </c>
      <c r="F18" s="94">
        <v>37.793767119216561</v>
      </c>
      <c r="G18" s="94"/>
      <c r="H18" s="94">
        <v>312.76426210112891</v>
      </c>
      <c r="I18" s="94">
        <v>155.0543982348569</v>
      </c>
      <c r="J18" s="94">
        <v>157.709863866272</v>
      </c>
      <c r="K18" s="94"/>
      <c r="L18" s="94">
        <v>63.274711379167471</v>
      </c>
      <c r="M18" s="94">
        <v>29.55566531125427</v>
      </c>
      <c r="N18" s="94">
        <v>33.719046067913204</v>
      </c>
    </row>
    <row r="19" spans="1:14">
      <c r="A19" s="122" t="s">
        <v>491</v>
      </c>
      <c r="B19" s="127">
        <v>10171.213644832416</v>
      </c>
      <c r="C19" s="127">
        <v>4806.783503524206</v>
      </c>
      <c r="D19" s="127">
        <v>766.69343117852179</v>
      </c>
      <c r="E19" s="127">
        <v>347.88291102754687</v>
      </c>
      <c r="F19" s="127">
        <v>418.81052015097492</v>
      </c>
      <c r="G19" s="127"/>
      <c r="H19" s="127">
        <v>3498.3352791122161</v>
      </c>
      <c r="I19" s="127">
        <v>1699.7037050397407</v>
      </c>
      <c r="J19" s="127">
        <v>1798.6315740724751</v>
      </c>
      <c r="K19" s="127"/>
      <c r="L19" s="127">
        <v>541.75479323346849</v>
      </c>
      <c r="M19" s="127">
        <v>225.32118980837606</v>
      </c>
      <c r="N19" s="127">
        <v>316.43360342509237</v>
      </c>
    </row>
    <row r="20" spans="1:14" s="72" customFormat="1">
      <c r="A20" s="123" t="s">
        <v>491</v>
      </c>
      <c r="B20" s="94">
        <v>10171.213644832416</v>
      </c>
      <c r="C20" s="94">
        <v>4806.783503524206</v>
      </c>
      <c r="D20" s="94">
        <v>766.69343117852179</v>
      </c>
      <c r="E20" s="94">
        <v>347.88291102754687</v>
      </c>
      <c r="F20" s="94">
        <v>418.81052015097492</v>
      </c>
      <c r="G20" s="94"/>
      <c r="H20" s="94">
        <v>3498.3352791122161</v>
      </c>
      <c r="I20" s="94">
        <v>1699.7037050397407</v>
      </c>
      <c r="J20" s="94">
        <v>1798.6315740724751</v>
      </c>
      <c r="K20" s="94"/>
      <c r="L20" s="94">
        <v>541.75479323346849</v>
      </c>
      <c r="M20" s="94">
        <v>225.32118980837606</v>
      </c>
      <c r="N20" s="94">
        <v>316.43360342509237</v>
      </c>
    </row>
    <row r="21" spans="1:14">
      <c r="A21" s="122" t="s">
        <v>499</v>
      </c>
      <c r="B21" s="127">
        <v>4864.4198120636656</v>
      </c>
      <c r="C21" s="127">
        <v>2955.2213086123743</v>
      </c>
      <c r="D21" s="127">
        <v>534.30375828373565</v>
      </c>
      <c r="E21" s="127">
        <v>284.65740544488125</v>
      </c>
      <c r="F21" s="127">
        <v>249.64635283885443</v>
      </c>
      <c r="G21" s="127"/>
      <c r="H21" s="127">
        <v>2005.0933964646861</v>
      </c>
      <c r="I21" s="127">
        <v>1024.7910058597083</v>
      </c>
      <c r="J21" s="127">
        <v>980.30239060497775</v>
      </c>
      <c r="K21" s="127"/>
      <c r="L21" s="127">
        <v>415.8241538639528</v>
      </c>
      <c r="M21" s="127">
        <v>219.99955265381109</v>
      </c>
      <c r="N21" s="127">
        <v>195.82460121014174</v>
      </c>
    </row>
    <row r="22" spans="1:14" s="72" customFormat="1">
      <c r="A22" s="123" t="s">
        <v>492</v>
      </c>
      <c r="B22" s="94">
        <v>4864.4198120636656</v>
      </c>
      <c r="C22" s="94">
        <v>2955.2213086123743</v>
      </c>
      <c r="D22" s="94">
        <v>534.30375828373565</v>
      </c>
      <c r="E22" s="94">
        <v>284.65740544488125</v>
      </c>
      <c r="F22" s="94">
        <v>249.64635283885443</v>
      </c>
      <c r="G22" s="94"/>
      <c r="H22" s="94">
        <v>2005.0933964646861</v>
      </c>
      <c r="I22" s="94">
        <v>1024.7910058597083</v>
      </c>
      <c r="J22" s="94">
        <v>980.30239060497775</v>
      </c>
      <c r="K22" s="94"/>
      <c r="L22" s="94">
        <v>415.8241538639528</v>
      </c>
      <c r="M22" s="94">
        <v>219.99955265381109</v>
      </c>
      <c r="N22" s="94">
        <v>195.82460121014174</v>
      </c>
    </row>
    <row r="23" spans="1:14">
      <c r="A23" s="122" t="s">
        <v>493</v>
      </c>
      <c r="B23" s="127">
        <v>2555.5416506237325</v>
      </c>
      <c r="C23" s="127">
        <v>765.27984204184804</v>
      </c>
      <c r="D23" s="127">
        <v>118.90402584596004</v>
      </c>
      <c r="E23" s="127">
        <v>70.202734766415077</v>
      </c>
      <c r="F23" s="127">
        <v>48.701291079544966</v>
      </c>
      <c r="G23" s="127"/>
      <c r="H23" s="127">
        <v>555.73461414785186</v>
      </c>
      <c r="I23" s="127">
        <v>279.33254741831723</v>
      </c>
      <c r="J23" s="127">
        <v>276.40206672953462</v>
      </c>
      <c r="K23" s="127"/>
      <c r="L23" s="127">
        <v>90.641202048036092</v>
      </c>
      <c r="M23" s="127">
        <v>50.026966214427318</v>
      </c>
      <c r="N23" s="127">
        <v>40.614235833608781</v>
      </c>
    </row>
    <row r="24" spans="1:14">
      <c r="A24" s="123" t="s">
        <v>493</v>
      </c>
      <c r="B24" s="94">
        <v>2555.5416506237325</v>
      </c>
      <c r="C24" s="94">
        <v>765.27984204184804</v>
      </c>
      <c r="D24" s="94">
        <v>118.90402584596004</v>
      </c>
      <c r="E24" s="94">
        <v>70.202734766415077</v>
      </c>
      <c r="F24" s="94">
        <v>48.701291079544966</v>
      </c>
      <c r="G24" s="94"/>
      <c r="H24" s="94">
        <v>555.73461414785186</v>
      </c>
      <c r="I24" s="94">
        <v>279.33254741831723</v>
      </c>
      <c r="J24" s="94">
        <v>276.40206672953462</v>
      </c>
      <c r="K24" s="94"/>
      <c r="L24" s="94">
        <v>90.641202048036092</v>
      </c>
      <c r="M24" s="94">
        <v>50.026966214427318</v>
      </c>
      <c r="N24" s="94">
        <v>40.614235833608781</v>
      </c>
    </row>
    <row r="25" spans="1:14" s="72" customFormat="1">
      <c r="A25" s="122" t="s">
        <v>494</v>
      </c>
      <c r="B25" s="127">
        <v>3154.3364835813836</v>
      </c>
      <c r="C25" s="127">
        <v>1012.8139586663376</v>
      </c>
      <c r="D25" s="127">
        <v>176.48936946062338</v>
      </c>
      <c r="E25" s="127">
        <v>83.493989687224655</v>
      </c>
      <c r="F25" s="127">
        <v>92.995379773398739</v>
      </c>
      <c r="G25" s="127"/>
      <c r="H25" s="127">
        <v>752.80596686302124</v>
      </c>
      <c r="I25" s="127">
        <v>361.0903673082168</v>
      </c>
      <c r="J25" s="127">
        <v>391.71559955480438</v>
      </c>
      <c r="K25" s="127"/>
      <c r="L25" s="127">
        <v>83.518622342692993</v>
      </c>
      <c r="M25" s="127">
        <v>40.36221323849292</v>
      </c>
      <c r="N25" s="127">
        <v>43.156409104200073</v>
      </c>
    </row>
    <row r="26" spans="1:14">
      <c r="A26" s="123" t="s">
        <v>495</v>
      </c>
      <c r="B26" s="94">
        <v>1703.2612295978638</v>
      </c>
      <c r="C26" s="94">
        <v>635.61431313413425</v>
      </c>
      <c r="D26" s="94">
        <v>97.054504110534523</v>
      </c>
      <c r="E26" s="94">
        <v>44.51163747420096</v>
      </c>
      <c r="F26" s="94">
        <v>52.542866636333564</v>
      </c>
      <c r="G26" s="94"/>
      <c r="H26" s="94">
        <v>488.71344260631713</v>
      </c>
      <c r="I26" s="94">
        <v>242.44495458745629</v>
      </c>
      <c r="J26" s="94">
        <v>246.26848801886084</v>
      </c>
      <c r="K26" s="94"/>
      <c r="L26" s="94">
        <v>49.846366417282667</v>
      </c>
      <c r="M26" s="94">
        <v>22.879664519122578</v>
      </c>
      <c r="N26" s="94">
        <v>26.966701898160089</v>
      </c>
    </row>
    <row r="27" spans="1:14" s="72" customFormat="1">
      <c r="A27" s="123" t="s">
        <v>496</v>
      </c>
      <c r="B27" s="94">
        <v>1451.0752539834236</v>
      </c>
      <c r="C27" s="94">
        <v>377.19964553220211</v>
      </c>
      <c r="D27" s="94">
        <v>79.434865350088927</v>
      </c>
      <c r="E27" s="94">
        <v>38.982352213023695</v>
      </c>
      <c r="F27" s="94">
        <v>40.452513137065239</v>
      </c>
      <c r="G27" s="94"/>
      <c r="H27" s="94">
        <v>264.0925242567028</v>
      </c>
      <c r="I27" s="94">
        <v>118.64541272075996</v>
      </c>
      <c r="J27" s="94">
        <v>145.44711153594284</v>
      </c>
      <c r="K27" s="94"/>
      <c r="L27" s="94">
        <v>33.672255925410326</v>
      </c>
      <c r="M27" s="94">
        <v>17.482548719370342</v>
      </c>
      <c r="N27" s="94">
        <v>16.18970720603998</v>
      </c>
    </row>
    <row r="28" spans="1:14">
      <c r="A28" s="122" t="s">
        <v>497</v>
      </c>
      <c r="B28" s="127">
        <v>5547.5338723688956</v>
      </c>
      <c r="C28" s="127">
        <v>2732.2251003808537</v>
      </c>
      <c r="D28" s="127">
        <v>508.72765305999701</v>
      </c>
      <c r="E28" s="127">
        <v>229.10201870171088</v>
      </c>
      <c r="F28" s="127">
        <v>279.62563435828611</v>
      </c>
      <c r="G28" s="127"/>
      <c r="H28" s="127">
        <v>1937.0546067677133</v>
      </c>
      <c r="I28" s="127">
        <v>940.19382434266936</v>
      </c>
      <c r="J28" s="127">
        <v>996.86078242504391</v>
      </c>
      <c r="K28" s="127"/>
      <c r="L28" s="127">
        <v>286.44284055314347</v>
      </c>
      <c r="M28" s="127">
        <v>116.08191693835096</v>
      </c>
      <c r="N28" s="127">
        <v>170.36092361479254</v>
      </c>
    </row>
    <row r="29" spans="1:14" s="72" customFormat="1">
      <c r="A29" s="123" t="s">
        <v>497</v>
      </c>
      <c r="B29" s="94">
        <v>5547.5338723688956</v>
      </c>
      <c r="C29" s="94">
        <v>2732.2251003808537</v>
      </c>
      <c r="D29" s="94">
        <v>508.72765305999701</v>
      </c>
      <c r="E29" s="94">
        <v>229.10201870171088</v>
      </c>
      <c r="F29" s="94">
        <v>279.62563435828611</v>
      </c>
      <c r="G29" s="94"/>
      <c r="H29" s="94">
        <v>1937.0546067677133</v>
      </c>
      <c r="I29" s="94">
        <v>940.19382434266936</v>
      </c>
      <c r="J29" s="94">
        <v>996.86078242504391</v>
      </c>
      <c r="K29" s="94"/>
      <c r="L29" s="94">
        <v>286.44284055314347</v>
      </c>
      <c r="M29" s="94">
        <v>116.08191693835096</v>
      </c>
      <c r="N29" s="94">
        <v>170.36092361479254</v>
      </c>
    </row>
    <row r="30" spans="1:14">
      <c r="A30" s="122" t="s">
        <v>498</v>
      </c>
      <c r="B30" s="127">
        <v>1624.3684175090975</v>
      </c>
      <c r="C30" s="127">
        <v>904.65261829596363</v>
      </c>
      <c r="D30" s="127">
        <v>141.74018060901315</v>
      </c>
      <c r="E30" s="127">
        <v>68.803996640344749</v>
      </c>
      <c r="F30" s="127">
        <v>72.936183968668402</v>
      </c>
      <c r="G30" s="127"/>
      <c r="H30" s="127">
        <v>654.93481290191994</v>
      </c>
      <c r="I30" s="127">
        <v>300.50810030088377</v>
      </c>
      <c r="J30" s="127">
        <v>354.42671260103612</v>
      </c>
      <c r="K30" s="127"/>
      <c r="L30" s="127">
        <v>107.97762478503057</v>
      </c>
      <c r="M30" s="127">
        <v>51.290254492639164</v>
      </c>
      <c r="N30" s="127">
        <v>56.6873702923914</v>
      </c>
    </row>
    <row r="31" spans="1:14">
      <c r="A31" s="76" t="s">
        <v>498</v>
      </c>
      <c r="B31" s="64">
        <v>1624.3684175090975</v>
      </c>
      <c r="C31" s="64">
        <v>904.65261829596363</v>
      </c>
      <c r="D31" s="64">
        <v>141.74018060901315</v>
      </c>
      <c r="E31" s="64">
        <v>68.803996640344749</v>
      </c>
      <c r="F31" s="64">
        <v>72.936183968668402</v>
      </c>
      <c r="G31" s="64"/>
      <c r="H31" s="64">
        <v>654.93481290191994</v>
      </c>
      <c r="I31" s="64">
        <v>300.50810030088377</v>
      </c>
      <c r="J31" s="64">
        <v>354.42671260103612</v>
      </c>
      <c r="K31" s="64"/>
      <c r="L31" s="64">
        <v>107.97762478503057</v>
      </c>
      <c r="M31" s="64">
        <v>51.290254492639164</v>
      </c>
      <c r="N31" s="64">
        <v>56.6873702923914</v>
      </c>
    </row>
  </sheetData>
  <mergeCells count="7">
    <mergeCell ref="A1:N1"/>
    <mergeCell ref="B2:B4"/>
    <mergeCell ref="C2:C4"/>
    <mergeCell ref="D2:F3"/>
    <mergeCell ref="H2:J3"/>
    <mergeCell ref="L2:N3"/>
    <mergeCell ref="A2:A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O15"/>
  <sheetViews>
    <sheetView workbookViewId="0">
      <selection activeCell="A2" sqref="A2:A4"/>
    </sheetView>
  </sheetViews>
  <sheetFormatPr defaultColWidth="9.140625" defaultRowHeight="12"/>
  <cols>
    <col min="1" max="1" width="24.7109375" style="69" customWidth="1"/>
    <col min="2" max="16384" width="9.140625" style="69"/>
  </cols>
  <sheetData>
    <row r="1" spans="1:15" ht="12" customHeight="1">
      <c r="A1" s="736" t="s">
        <v>503</v>
      </c>
      <c r="B1" s="736"/>
      <c r="C1" s="736"/>
      <c r="D1" s="736"/>
      <c r="E1" s="736"/>
      <c r="F1" s="736"/>
      <c r="G1" s="736"/>
      <c r="H1" s="736"/>
      <c r="I1" s="736"/>
      <c r="J1" s="736"/>
      <c r="K1" s="736"/>
      <c r="L1" s="736"/>
      <c r="M1" s="736"/>
      <c r="N1" s="736"/>
      <c r="O1" s="106"/>
    </row>
    <row r="2" spans="1:15">
      <c r="A2" s="739" t="s">
        <v>481</v>
      </c>
      <c r="B2" s="740" t="s">
        <v>430</v>
      </c>
      <c r="C2" s="741" t="s">
        <v>193</v>
      </c>
      <c r="D2" s="742" t="s">
        <v>194</v>
      </c>
      <c r="E2" s="742"/>
      <c r="F2" s="742"/>
      <c r="G2" s="128"/>
      <c r="H2" s="742" t="s">
        <v>195</v>
      </c>
      <c r="I2" s="742"/>
      <c r="J2" s="742"/>
      <c r="K2" s="128"/>
      <c r="L2" s="742" t="s">
        <v>196</v>
      </c>
      <c r="M2" s="742"/>
      <c r="N2" s="742"/>
      <c r="O2" s="737" t="s">
        <v>197</v>
      </c>
    </row>
    <row r="3" spans="1:15">
      <c r="A3" s="739"/>
      <c r="B3" s="740"/>
      <c r="C3" s="741"/>
      <c r="D3" s="743"/>
      <c r="E3" s="743"/>
      <c r="F3" s="743"/>
      <c r="G3" s="45"/>
      <c r="H3" s="743"/>
      <c r="I3" s="743"/>
      <c r="J3" s="743"/>
      <c r="K3" s="45"/>
      <c r="L3" s="743"/>
      <c r="M3" s="743"/>
      <c r="N3" s="743"/>
      <c r="O3" s="738"/>
    </row>
    <row r="4" spans="1:15">
      <c r="A4" s="739"/>
      <c r="B4" s="740"/>
      <c r="C4" s="741"/>
      <c r="D4" s="141" t="s">
        <v>1</v>
      </c>
      <c r="E4" s="141" t="s">
        <v>124</v>
      </c>
      <c r="F4" s="141" t="s">
        <v>125</v>
      </c>
      <c r="G4" s="141"/>
      <c r="H4" s="141" t="s">
        <v>1</v>
      </c>
      <c r="I4" s="141" t="s">
        <v>124</v>
      </c>
      <c r="J4" s="141" t="s">
        <v>125</v>
      </c>
      <c r="K4" s="141"/>
      <c r="L4" s="141" t="s">
        <v>1</v>
      </c>
      <c r="M4" s="141" t="s">
        <v>124</v>
      </c>
      <c r="N4" s="141" t="s">
        <v>125</v>
      </c>
      <c r="O4" s="738"/>
    </row>
    <row r="5" spans="1:15">
      <c r="A5" s="207" t="s">
        <v>500</v>
      </c>
      <c r="B5" s="208">
        <v>67668.792034075173</v>
      </c>
      <c r="C5" s="208">
        <v>6409.6781802207579</v>
      </c>
      <c r="D5" s="208">
        <v>1351.47630973438</v>
      </c>
      <c r="E5" s="208">
        <v>666.59996951422954</v>
      </c>
      <c r="F5" s="208">
        <v>684.8763402201505</v>
      </c>
      <c r="G5" s="208"/>
      <c r="H5" s="208">
        <v>4352.850114001405</v>
      </c>
      <c r="I5" s="208">
        <v>2209.6421006806054</v>
      </c>
      <c r="J5" s="208">
        <v>2143.2080133207992</v>
      </c>
      <c r="K5" s="208"/>
      <c r="L5" s="208">
        <v>705.35175648497284</v>
      </c>
      <c r="M5" s="208">
        <v>366.52777199203916</v>
      </c>
      <c r="N5" s="208">
        <v>338.82398449293362</v>
      </c>
      <c r="O5" s="209">
        <f>C5/B5*100</f>
        <v>9.4721332944632923</v>
      </c>
    </row>
    <row r="6" spans="1:15">
      <c r="A6" s="14"/>
      <c r="B6" s="15"/>
      <c r="C6" s="15"/>
      <c r="D6" s="15">
        <f t="shared" ref="D6:D10" si="0">E6+F6</f>
        <v>0</v>
      </c>
      <c r="E6" s="15"/>
      <c r="F6" s="15"/>
      <c r="G6" s="15"/>
      <c r="H6" s="15">
        <f t="shared" ref="H6:H10" si="1">I6+J6</f>
        <v>0</v>
      </c>
      <c r="I6" s="15"/>
      <c r="J6" s="15"/>
      <c r="K6" s="15"/>
      <c r="L6" s="16">
        <f t="shared" ref="L6:L10" si="2">M6+N6</f>
        <v>0</v>
      </c>
      <c r="M6" s="15"/>
      <c r="N6" s="15"/>
      <c r="O6" s="129"/>
    </row>
    <row r="7" spans="1:15">
      <c r="A7" s="207" t="s">
        <v>485</v>
      </c>
      <c r="B7" s="208"/>
      <c r="C7" s="208"/>
      <c r="D7" s="208">
        <f t="shared" si="0"/>
        <v>0</v>
      </c>
      <c r="E7" s="208"/>
      <c r="F7" s="208"/>
      <c r="G7" s="208"/>
      <c r="H7" s="208">
        <f t="shared" si="1"/>
        <v>0</v>
      </c>
      <c r="I7" s="208"/>
      <c r="J7" s="208"/>
      <c r="K7" s="208"/>
      <c r="L7" s="208">
        <f t="shared" si="2"/>
        <v>0</v>
      </c>
      <c r="M7" s="208"/>
      <c r="N7" s="208"/>
      <c r="O7" s="209"/>
    </row>
    <row r="8" spans="1:15">
      <c r="A8" s="17" t="s">
        <v>4</v>
      </c>
      <c r="B8" s="16">
        <v>24729.815443744737</v>
      </c>
      <c r="C8" s="16">
        <v>1981.616463556941</v>
      </c>
      <c r="D8" s="16">
        <v>417.93623942515183</v>
      </c>
      <c r="E8" s="16">
        <v>221.00676248969106</v>
      </c>
      <c r="F8" s="16">
        <v>196.9294769354608</v>
      </c>
      <c r="G8" s="16"/>
      <c r="H8" s="16">
        <v>1396.1512505839057</v>
      </c>
      <c r="I8" s="16">
        <v>677.90149693318165</v>
      </c>
      <c r="J8" s="16">
        <v>718.24975365072407</v>
      </c>
      <c r="K8" s="16"/>
      <c r="L8" s="16">
        <v>167.52897354788342</v>
      </c>
      <c r="M8" s="16">
        <v>90.474558771842268</v>
      </c>
      <c r="N8" s="16">
        <v>77.054414776041156</v>
      </c>
      <c r="O8" s="130">
        <f t="shared" ref="O8:O14" si="3">C8/B8*100</f>
        <v>8.0130661228132194</v>
      </c>
    </row>
    <row r="9" spans="1:15">
      <c r="A9" s="17" t="s">
        <v>5</v>
      </c>
      <c r="B9" s="16">
        <v>42938.976590376922</v>
      </c>
      <c r="C9" s="16">
        <v>4428.0617166637612</v>
      </c>
      <c r="D9" s="16">
        <v>933.54007030922708</v>
      </c>
      <c r="E9" s="16">
        <v>445.59320702453795</v>
      </c>
      <c r="F9" s="16">
        <v>487.94686328468913</v>
      </c>
      <c r="G9" s="16"/>
      <c r="H9" s="16">
        <v>2956.698863417445</v>
      </c>
      <c r="I9" s="16">
        <v>1531.7406037473947</v>
      </c>
      <c r="J9" s="16">
        <v>1424.9582596700504</v>
      </c>
      <c r="K9" s="16"/>
      <c r="L9" s="16">
        <v>537.82278293708873</v>
      </c>
      <c r="M9" s="16">
        <v>276.0532132201966</v>
      </c>
      <c r="N9" s="16">
        <v>261.76956971689214</v>
      </c>
      <c r="O9" s="130">
        <f t="shared" si="3"/>
        <v>10.312452853513367</v>
      </c>
    </row>
    <row r="10" spans="1:15">
      <c r="A10" s="207" t="s">
        <v>198</v>
      </c>
      <c r="B10" s="208"/>
      <c r="C10" s="208"/>
      <c r="D10" s="210">
        <f t="shared" si="0"/>
        <v>0</v>
      </c>
      <c r="E10" s="208"/>
      <c r="F10" s="208"/>
      <c r="G10" s="208"/>
      <c r="H10" s="210">
        <f t="shared" si="1"/>
        <v>0</v>
      </c>
      <c r="I10" s="208"/>
      <c r="J10" s="208"/>
      <c r="K10" s="208"/>
      <c r="L10" s="208">
        <f t="shared" si="2"/>
        <v>0</v>
      </c>
      <c r="M10" s="208"/>
      <c r="N10" s="208"/>
      <c r="O10" s="209"/>
    </row>
    <row r="11" spans="1:15">
      <c r="A11" s="18" t="s">
        <v>8</v>
      </c>
      <c r="B11" s="16">
        <v>22722.684723680683</v>
      </c>
      <c r="C11" s="16">
        <v>1510.6044052911143</v>
      </c>
      <c r="D11" s="16">
        <v>193.56310928013386</v>
      </c>
      <c r="E11" s="16">
        <v>87.983231490969899</v>
      </c>
      <c r="F11" s="16">
        <v>105.57987778916394</v>
      </c>
      <c r="G11" s="16"/>
      <c r="H11" s="16">
        <v>1224.9972999896581</v>
      </c>
      <c r="I11" s="16">
        <v>630.77209038141461</v>
      </c>
      <c r="J11" s="16">
        <v>594.22520960824352</v>
      </c>
      <c r="K11" s="16"/>
      <c r="L11" s="16">
        <v>92.043996021322229</v>
      </c>
      <c r="M11" s="16">
        <v>37.900468949956213</v>
      </c>
      <c r="N11" s="16">
        <v>54.143527071366016</v>
      </c>
      <c r="O11" s="130">
        <f t="shared" si="3"/>
        <v>6.6480014296762313</v>
      </c>
    </row>
    <row r="12" spans="1:15">
      <c r="A12" s="18" t="s">
        <v>127</v>
      </c>
      <c r="B12" s="16">
        <v>18846.947742417738</v>
      </c>
      <c r="C12" s="16">
        <v>1819.6683891584617</v>
      </c>
      <c r="D12" s="16">
        <v>472.31098630363022</v>
      </c>
      <c r="E12" s="16">
        <v>242.17645473358942</v>
      </c>
      <c r="F12" s="16">
        <v>230.13453157004079</v>
      </c>
      <c r="G12" s="16"/>
      <c r="H12" s="16">
        <v>1114.5468883595572</v>
      </c>
      <c r="I12" s="16">
        <v>584.70226916341721</v>
      </c>
      <c r="J12" s="16">
        <v>529.84461919614012</v>
      </c>
      <c r="K12" s="16"/>
      <c r="L12" s="16">
        <v>232.81051449527411</v>
      </c>
      <c r="M12" s="16">
        <v>132.46115479903523</v>
      </c>
      <c r="N12" s="16">
        <v>100.34935969623886</v>
      </c>
      <c r="O12" s="130">
        <f t="shared" si="3"/>
        <v>9.6549765724825498</v>
      </c>
    </row>
    <row r="13" spans="1:15">
      <c r="A13" s="18" t="s">
        <v>128</v>
      </c>
      <c r="B13" s="16">
        <v>16612.501999847969</v>
      </c>
      <c r="C13" s="16">
        <v>1747.4168501771696</v>
      </c>
      <c r="D13" s="16">
        <v>350.55376320552739</v>
      </c>
      <c r="E13" s="16">
        <v>184.6428218410793</v>
      </c>
      <c r="F13" s="16">
        <v>165.91094136444809</v>
      </c>
      <c r="G13" s="16"/>
      <c r="H13" s="16">
        <v>1225.600179756728</v>
      </c>
      <c r="I13" s="16">
        <v>620.82803865406311</v>
      </c>
      <c r="J13" s="16">
        <v>604.77214110266493</v>
      </c>
      <c r="K13" s="16"/>
      <c r="L13" s="16">
        <v>171.26290721491441</v>
      </c>
      <c r="M13" s="16">
        <v>96.33538530838932</v>
      </c>
      <c r="N13" s="16">
        <v>74.927521906525087</v>
      </c>
      <c r="O13" s="130">
        <f t="shared" si="3"/>
        <v>10.518685567009481</v>
      </c>
    </row>
    <row r="14" spans="1:15">
      <c r="A14" s="18" t="s">
        <v>199</v>
      </c>
      <c r="B14" s="16">
        <v>9486.6575681883351</v>
      </c>
      <c r="C14" s="16">
        <v>1331.9885355939384</v>
      </c>
      <c r="D14" s="16">
        <v>335.04845094508596</v>
      </c>
      <c r="E14" s="16">
        <v>151.79746144858998</v>
      </c>
      <c r="F14" s="16">
        <v>183.25098949649595</v>
      </c>
      <c r="G14" s="16"/>
      <c r="H14" s="16">
        <v>787.70574589539046</v>
      </c>
      <c r="I14" s="16">
        <v>373.33970248166918</v>
      </c>
      <c r="J14" s="16">
        <v>414.36604341372129</v>
      </c>
      <c r="K14" s="16"/>
      <c r="L14" s="16">
        <v>209.23433875346205</v>
      </c>
      <c r="M14" s="16">
        <v>99.830762934658381</v>
      </c>
      <c r="N14" s="16">
        <v>109.40357581880367</v>
      </c>
      <c r="O14" s="130">
        <f t="shared" si="3"/>
        <v>14.040651578491707</v>
      </c>
    </row>
    <row r="15" spans="1:15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</sheetData>
  <mergeCells count="8">
    <mergeCell ref="A1:N1"/>
    <mergeCell ref="O2:O4"/>
    <mergeCell ref="A2:A4"/>
    <mergeCell ref="B2:B4"/>
    <mergeCell ref="C2:C4"/>
    <mergeCell ref="D2:F3"/>
    <mergeCell ref="H2:J3"/>
    <mergeCell ref="L2:N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821E00"/>
  </sheetPr>
  <dimension ref="A1"/>
  <sheetViews>
    <sheetView workbookViewId="0">
      <selection activeCell="P29" sqref="P29"/>
    </sheetView>
  </sheetViews>
  <sheetFormatPr defaultColWidth="9.140625" defaultRowHeight="15"/>
  <cols>
    <col min="1" max="16384" width="9.140625" style="1"/>
  </cols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55"/>
  <sheetViews>
    <sheetView zoomScale="120" zoomScaleNormal="120" workbookViewId="0">
      <selection activeCell="F3" sqref="F3"/>
    </sheetView>
  </sheetViews>
  <sheetFormatPr defaultColWidth="9.140625" defaultRowHeight="12"/>
  <cols>
    <col min="1" max="1" width="23" style="69" customWidth="1"/>
    <col min="2" max="2" width="9.140625" style="69"/>
    <col min="3" max="3" width="11.28515625" style="69" customWidth="1"/>
    <col min="4" max="5" width="9.140625" style="69"/>
    <col min="6" max="6" width="11.140625" style="69" customWidth="1"/>
    <col min="7" max="14" width="9.140625" style="69"/>
    <col min="15" max="15" width="11" style="69" customWidth="1"/>
    <col min="16" max="16384" width="9.140625" style="69"/>
  </cols>
  <sheetData>
    <row r="1" spans="1:18" ht="15" customHeight="1">
      <c r="A1" s="744" t="s">
        <v>554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4"/>
      <c r="N1" s="744"/>
      <c r="O1" s="744"/>
      <c r="P1" s="744"/>
    </row>
    <row r="2" spans="1:18" ht="21" customHeight="1">
      <c r="A2" s="696" t="s">
        <v>445</v>
      </c>
      <c r="B2" s="745" t="s">
        <v>429</v>
      </c>
      <c r="C2" s="747" t="s">
        <v>555</v>
      </c>
      <c r="D2" s="747"/>
      <c r="E2" s="747"/>
      <c r="F2" s="747"/>
      <c r="G2" s="747"/>
      <c r="H2" s="747"/>
      <c r="I2" s="747"/>
      <c r="J2" s="747"/>
      <c r="K2" s="747"/>
      <c r="L2" s="747"/>
      <c r="M2" s="747"/>
      <c r="N2" s="747"/>
      <c r="O2" s="747"/>
      <c r="P2" s="747"/>
    </row>
    <row r="3" spans="1:18" ht="51" customHeight="1">
      <c r="A3" s="697"/>
      <c r="B3" s="746"/>
      <c r="C3" s="525" t="s">
        <v>562</v>
      </c>
      <c r="D3" s="525" t="s">
        <v>140</v>
      </c>
      <c r="E3" s="525" t="s">
        <v>141</v>
      </c>
      <c r="F3" s="525" t="s">
        <v>142</v>
      </c>
      <c r="G3" s="525" t="s">
        <v>143</v>
      </c>
      <c r="H3" s="525" t="s">
        <v>144</v>
      </c>
      <c r="I3" s="525" t="s">
        <v>145</v>
      </c>
      <c r="J3" s="525" t="s">
        <v>146</v>
      </c>
      <c r="K3" s="525" t="s">
        <v>147</v>
      </c>
      <c r="L3" s="525" t="s">
        <v>148</v>
      </c>
      <c r="M3" s="525" t="s">
        <v>149</v>
      </c>
      <c r="N3" s="525" t="s">
        <v>150</v>
      </c>
      <c r="O3" s="525" t="s">
        <v>151</v>
      </c>
      <c r="P3" s="525" t="s">
        <v>152</v>
      </c>
    </row>
    <row r="4" spans="1:18">
      <c r="A4" s="173" t="s">
        <v>500</v>
      </c>
      <c r="B4" s="213">
        <v>129255.58151999002</v>
      </c>
      <c r="C4" s="213">
        <v>47091.496073762268</v>
      </c>
      <c r="D4" s="223">
        <v>1993.551429725708</v>
      </c>
      <c r="E4" s="223">
        <v>8405.7068539879419</v>
      </c>
      <c r="F4" s="223">
        <v>5333.2205611861455</v>
      </c>
      <c r="G4" s="223">
        <v>34166.019707952961</v>
      </c>
      <c r="H4" s="223">
        <v>579.437713835978</v>
      </c>
      <c r="I4" s="223">
        <v>279.63793488511249</v>
      </c>
      <c r="J4" s="223">
        <v>102.71595045141396</v>
      </c>
      <c r="K4" s="223">
        <v>4935.2175619568607</v>
      </c>
      <c r="L4" s="223">
        <v>3964.5071315103605</v>
      </c>
      <c r="M4" s="223">
        <v>6408.6676689079313</v>
      </c>
      <c r="N4" s="223">
        <v>26.785632485517347</v>
      </c>
      <c r="O4" s="223">
        <v>37.491369605218196</v>
      </c>
      <c r="P4" s="223">
        <v>15931.125929831071</v>
      </c>
      <c r="R4" s="71"/>
    </row>
    <row r="5" spans="1:18">
      <c r="A5" s="8"/>
      <c r="B5" s="91"/>
      <c r="C5" s="9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</row>
    <row r="6" spans="1:18">
      <c r="A6" s="173" t="s">
        <v>111</v>
      </c>
      <c r="B6" s="213"/>
      <c r="C6" s="21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</row>
    <row r="7" spans="1:18">
      <c r="A7" s="8" t="s">
        <v>4</v>
      </c>
      <c r="B7" s="91">
        <v>47992.712075626951</v>
      </c>
      <c r="C7" s="91">
        <v>18762.796850209874</v>
      </c>
      <c r="D7" s="51">
        <v>467.42526485525536</v>
      </c>
      <c r="E7" s="51">
        <v>3104.8141689609001</v>
      </c>
      <c r="F7" s="51">
        <v>1474.587477761253</v>
      </c>
      <c r="G7" s="51">
        <v>9138.9173842870168</v>
      </c>
      <c r="H7" s="51">
        <v>238.22530173805734</v>
      </c>
      <c r="I7" s="51">
        <v>27.938756768463659</v>
      </c>
      <c r="J7" s="51">
        <v>5.6513058877791948</v>
      </c>
      <c r="K7" s="51">
        <v>2162.3599431334569</v>
      </c>
      <c r="L7" s="51">
        <v>3586.6129812404397</v>
      </c>
      <c r="M7" s="51">
        <v>3331.9010251222076</v>
      </c>
      <c r="N7" s="51">
        <v>8.448447185360779</v>
      </c>
      <c r="O7" s="51">
        <v>9.8899961403884458</v>
      </c>
      <c r="P7" s="51">
        <v>5673.1431723445194</v>
      </c>
    </row>
    <row r="8" spans="1:18">
      <c r="A8" s="8" t="s">
        <v>5</v>
      </c>
      <c r="B8" s="91">
        <v>81262.869444412107</v>
      </c>
      <c r="C8" s="91">
        <v>28328.69922356341</v>
      </c>
      <c r="D8" s="51">
        <v>1526.1261648704447</v>
      </c>
      <c r="E8" s="51">
        <v>5300.8926850269036</v>
      </c>
      <c r="F8" s="51">
        <v>3858.6330834250039</v>
      </c>
      <c r="G8" s="51">
        <v>25027.102323666699</v>
      </c>
      <c r="H8" s="51">
        <v>341.2124120979218</v>
      </c>
      <c r="I8" s="51">
        <v>251.69917811664874</v>
      </c>
      <c r="J8" s="51">
        <v>97.064644563634758</v>
      </c>
      <c r="K8" s="51">
        <v>2772.8576188234538</v>
      </c>
      <c r="L8" s="51">
        <v>377.89415026992015</v>
      </c>
      <c r="M8" s="51">
        <v>3076.7666437858138</v>
      </c>
      <c r="N8" s="51">
        <v>18.33718530015657</v>
      </c>
      <c r="O8" s="51">
        <v>27.601373464829749</v>
      </c>
      <c r="P8" s="51">
        <v>10257.982757485423</v>
      </c>
    </row>
    <row r="9" spans="1:18">
      <c r="A9" s="173" t="s">
        <v>477</v>
      </c>
      <c r="B9" s="213"/>
      <c r="C9" s="21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</row>
    <row r="10" spans="1:18" s="72" customFormat="1">
      <c r="A10" s="79" t="s">
        <v>486</v>
      </c>
      <c r="B10" s="90">
        <v>22772.763678306437</v>
      </c>
      <c r="C10" s="90">
        <v>2619.9471048918654</v>
      </c>
      <c r="D10" s="52">
        <v>272.70399855359204</v>
      </c>
      <c r="E10" s="52">
        <v>1300.1144625679362</v>
      </c>
      <c r="F10" s="52">
        <v>528.28374750377168</v>
      </c>
      <c r="G10" s="52">
        <v>15174.430323901823</v>
      </c>
      <c r="H10" s="52">
        <v>200.77100477229038</v>
      </c>
      <c r="I10" s="52">
        <v>12.761761610523454</v>
      </c>
      <c r="J10" s="52">
        <v>8.6266288503253534</v>
      </c>
      <c r="K10" s="52">
        <v>256.68898993564477</v>
      </c>
      <c r="L10" s="52">
        <v>1389.5636451977605</v>
      </c>
      <c r="M10" s="52">
        <v>4.1480871982641183</v>
      </c>
      <c r="N10" s="52">
        <v>8.5234535255382795</v>
      </c>
      <c r="O10" s="52">
        <v>5.6062349503442999</v>
      </c>
      <c r="P10" s="52">
        <v>990.59423484589786</v>
      </c>
    </row>
    <row r="11" spans="1:18">
      <c r="A11" s="447" t="s">
        <v>486</v>
      </c>
      <c r="B11" s="91">
        <v>22772.763678306437</v>
      </c>
      <c r="C11" s="91">
        <v>2619.9471048918654</v>
      </c>
      <c r="D11" s="51">
        <v>272.70399855359204</v>
      </c>
      <c r="E11" s="51">
        <v>1300.1144625679362</v>
      </c>
      <c r="F11" s="51">
        <v>528.28374750377168</v>
      </c>
      <c r="G11" s="51">
        <v>15174.430323901823</v>
      </c>
      <c r="H11" s="51">
        <v>200.77100477229038</v>
      </c>
      <c r="I11" s="51">
        <v>12.761761610523454</v>
      </c>
      <c r="J11" s="51">
        <v>8.6266288503253534</v>
      </c>
      <c r="K11" s="51">
        <v>256.68898993564477</v>
      </c>
      <c r="L11" s="51">
        <v>1389.5636451977605</v>
      </c>
      <c r="M11" s="51">
        <v>4.1480871982641183</v>
      </c>
      <c r="N11" s="51">
        <v>8.5234535255382795</v>
      </c>
      <c r="O11" s="51">
        <v>5.6062349503442999</v>
      </c>
      <c r="P11" s="51">
        <v>990.59423484589786</v>
      </c>
    </row>
    <row r="12" spans="1:18" s="72" customFormat="1">
      <c r="A12" s="79" t="s">
        <v>487</v>
      </c>
      <c r="B12" s="91">
        <v>46419.032345152962</v>
      </c>
      <c r="C12" s="91">
        <v>22825.660801174938</v>
      </c>
      <c r="D12" s="51">
        <v>254.6464925187019</v>
      </c>
      <c r="E12" s="51">
        <v>2176.2109537804599</v>
      </c>
      <c r="F12" s="51">
        <v>1402.6963724746222</v>
      </c>
      <c r="G12" s="51">
        <v>1054.6714181651803</v>
      </c>
      <c r="H12" s="51">
        <v>73.601365666963105</v>
      </c>
      <c r="I12" s="51">
        <v>12.647405863095404</v>
      </c>
      <c r="J12" s="51">
        <v>1.4423264985484361</v>
      </c>
      <c r="K12" s="51">
        <v>1433.7969837812188</v>
      </c>
      <c r="L12" s="51">
        <v>2421.5225023316557</v>
      </c>
      <c r="M12" s="51">
        <v>6362.3533005030959</v>
      </c>
      <c r="N12" s="51">
        <v>1.3675446977350487</v>
      </c>
      <c r="O12" s="51">
        <v>4.2228689990775052</v>
      </c>
      <c r="P12" s="51">
        <v>8394.1920087051039</v>
      </c>
    </row>
    <row r="13" spans="1:18" s="72" customFormat="1">
      <c r="A13" s="447" t="s">
        <v>487</v>
      </c>
      <c r="B13" s="90">
        <v>39789.250083892861</v>
      </c>
      <c r="C13" s="90">
        <v>21503.211803454713</v>
      </c>
      <c r="D13" s="52">
        <v>236.12770573395844</v>
      </c>
      <c r="E13" s="52">
        <v>2023.5565366011099</v>
      </c>
      <c r="F13" s="52">
        <v>824.2804616895985</v>
      </c>
      <c r="G13" s="52">
        <v>1027.6114249576813</v>
      </c>
      <c r="H13" s="52">
        <v>70.791494470679609</v>
      </c>
      <c r="I13" s="52">
        <v>9.837534666811921</v>
      </c>
      <c r="J13" s="52">
        <v>1.4423264985484361</v>
      </c>
      <c r="K13" s="52">
        <v>1432.4294390834839</v>
      </c>
      <c r="L13" s="52">
        <v>2411.931846228581</v>
      </c>
      <c r="M13" s="52">
        <v>2854.1772913794298</v>
      </c>
      <c r="N13" s="52">
        <v>1.3675446977350487</v>
      </c>
      <c r="O13" s="52">
        <v>4.2228689990775052</v>
      </c>
      <c r="P13" s="52">
        <v>7388.2618054348086</v>
      </c>
    </row>
    <row r="14" spans="1:18">
      <c r="A14" s="447" t="s">
        <v>488</v>
      </c>
      <c r="B14" s="91">
        <v>6629.7822612640184</v>
      </c>
      <c r="C14" s="91">
        <v>1322.4489977201008</v>
      </c>
      <c r="D14" s="51">
        <v>18.518786784743522</v>
      </c>
      <c r="E14" s="51">
        <v>152.6544171793486</v>
      </c>
      <c r="F14" s="51">
        <v>578.41591078501176</v>
      </c>
      <c r="G14" s="51">
        <v>27.059993207498543</v>
      </c>
      <c r="H14" s="51">
        <v>2.8098711962834848</v>
      </c>
      <c r="I14" s="51">
        <v>2.8098711962834848</v>
      </c>
      <c r="J14" s="51">
        <v>0</v>
      </c>
      <c r="K14" s="51">
        <v>1.3675446977350487</v>
      </c>
      <c r="L14" s="51">
        <v>9.590656103075327</v>
      </c>
      <c r="M14" s="51">
        <v>3508.1760091237625</v>
      </c>
      <c r="N14" s="51">
        <v>0</v>
      </c>
      <c r="O14" s="51">
        <v>0</v>
      </c>
      <c r="P14" s="51">
        <v>1005.9302032702964</v>
      </c>
    </row>
    <row r="15" spans="1:18" s="72" customFormat="1">
      <c r="A15" s="79" t="s">
        <v>489</v>
      </c>
      <c r="B15" s="90">
        <v>6755.0343432881973</v>
      </c>
      <c r="C15" s="90">
        <v>3797.2629938495688</v>
      </c>
      <c r="D15" s="52">
        <v>62.023634746732014</v>
      </c>
      <c r="E15" s="52">
        <v>827.4328619677915</v>
      </c>
      <c r="F15" s="52">
        <v>178.12140097207063</v>
      </c>
      <c r="G15" s="52">
        <v>587.01837671843714</v>
      </c>
      <c r="H15" s="52">
        <v>41.504643348439053</v>
      </c>
      <c r="I15" s="52">
        <v>1.4425510379125499</v>
      </c>
      <c r="J15" s="52">
        <v>5.5765240869658079</v>
      </c>
      <c r="K15" s="52">
        <v>747.79186990398307</v>
      </c>
      <c r="L15" s="52">
        <v>4.2226444597133916</v>
      </c>
      <c r="M15" s="52">
        <v>0</v>
      </c>
      <c r="N15" s="52">
        <v>1.4425510379125499</v>
      </c>
      <c r="O15" s="52">
        <v>2.7664283513182095</v>
      </c>
      <c r="P15" s="52">
        <v>498.42786280743991</v>
      </c>
    </row>
    <row r="16" spans="1:18">
      <c r="A16" s="447" t="s">
        <v>489</v>
      </c>
      <c r="B16" s="91">
        <v>4319.9135324243571</v>
      </c>
      <c r="C16" s="91">
        <v>2372.0389674424719</v>
      </c>
      <c r="D16" s="51">
        <v>46.553694699755354</v>
      </c>
      <c r="E16" s="51">
        <v>546.64388190174509</v>
      </c>
      <c r="F16" s="51">
        <v>46.981967047356044</v>
      </c>
      <c r="G16" s="51">
        <v>474.36144911075553</v>
      </c>
      <c r="H16" s="51">
        <v>15.750458193083977</v>
      </c>
      <c r="I16" s="51">
        <v>1.4425510379125499</v>
      </c>
      <c r="J16" s="51">
        <v>2.7664283513182095</v>
      </c>
      <c r="K16" s="51">
        <v>544.73058147633674</v>
      </c>
      <c r="L16" s="51">
        <v>4.2226444597133916</v>
      </c>
      <c r="M16" s="51">
        <v>0</v>
      </c>
      <c r="N16" s="51">
        <v>0</v>
      </c>
      <c r="O16" s="51">
        <v>1.4284368887016903</v>
      </c>
      <c r="P16" s="51">
        <v>262.9924718152468</v>
      </c>
    </row>
    <row r="17" spans="1:16" s="72" customFormat="1">
      <c r="A17" s="447" t="s">
        <v>490</v>
      </c>
      <c r="B17" s="91">
        <v>2435.1208108639248</v>
      </c>
      <c r="C17" s="91">
        <v>1425.2240264071256</v>
      </c>
      <c r="D17" s="51">
        <v>15.469940046976639</v>
      </c>
      <c r="E17" s="51">
        <v>280.78898006604959</v>
      </c>
      <c r="F17" s="51">
        <v>131.13943392471478</v>
      </c>
      <c r="G17" s="51">
        <v>112.65692760768201</v>
      </c>
      <c r="H17" s="51">
        <v>25.754185155355064</v>
      </c>
      <c r="I17" s="51">
        <v>0</v>
      </c>
      <c r="J17" s="51">
        <v>2.8100957356475984</v>
      </c>
      <c r="K17" s="51">
        <v>203.06128842764772</v>
      </c>
      <c r="L17" s="51">
        <v>0</v>
      </c>
      <c r="M17" s="51">
        <v>0</v>
      </c>
      <c r="N17" s="51">
        <v>1.4425510379125499</v>
      </c>
      <c r="O17" s="51">
        <v>1.3379914626165192</v>
      </c>
      <c r="P17" s="51">
        <v>235.43539099219319</v>
      </c>
    </row>
    <row r="18" spans="1:16">
      <c r="A18" s="79" t="s">
        <v>491</v>
      </c>
      <c r="B18" s="90">
        <v>18411.949535186865</v>
      </c>
      <c r="C18" s="90">
        <v>4626.7741525151123</v>
      </c>
      <c r="D18" s="52">
        <v>155.27366168394713</v>
      </c>
      <c r="E18" s="52">
        <v>1150.7957499563374</v>
      </c>
      <c r="F18" s="52">
        <v>1242.4593325490521</v>
      </c>
      <c r="G18" s="52">
        <v>5181.7695555336049</v>
      </c>
      <c r="H18" s="52">
        <v>53.999659312487061</v>
      </c>
      <c r="I18" s="52">
        <v>99.825443786659761</v>
      </c>
      <c r="J18" s="52">
        <v>22.274859814475477</v>
      </c>
      <c r="K18" s="52">
        <v>1332.518715167537</v>
      </c>
      <c r="L18" s="52">
        <v>37.425320593528419</v>
      </c>
      <c r="M18" s="52">
        <v>26.803385382734096</v>
      </c>
      <c r="N18" s="52">
        <v>2.7805425005290694</v>
      </c>
      <c r="O18" s="52">
        <v>8.3429524382840174</v>
      </c>
      <c r="P18" s="52">
        <v>4470.9062039507426</v>
      </c>
    </row>
    <row r="19" spans="1:16" s="72" customFormat="1">
      <c r="A19" s="447" t="s">
        <v>491</v>
      </c>
      <c r="B19" s="131">
        <v>18411.949535186865</v>
      </c>
      <c r="C19" s="131">
        <v>4626.7741525151123</v>
      </c>
      <c r="D19" s="132">
        <v>155.27366168394713</v>
      </c>
      <c r="E19" s="132">
        <v>1150.7957499563374</v>
      </c>
      <c r="F19" s="132">
        <v>1242.4593325490521</v>
      </c>
      <c r="G19" s="132">
        <v>5181.7695555336049</v>
      </c>
      <c r="H19" s="132">
        <v>53.999659312487061</v>
      </c>
      <c r="I19" s="132">
        <v>99.825443786659761</v>
      </c>
      <c r="J19" s="132">
        <v>22.274859814475477</v>
      </c>
      <c r="K19" s="132">
        <v>1332.518715167537</v>
      </c>
      <c r="L19" s="132">
        <v>37.425320593528419</v>
      </c>
      <c r="M19" s="132">
        <v>26.803385382734096</v>
      </c>
      <c r="N19" s="132">
        <v>2.7805425005290694</v>
      </c>
      <c r="O19" s="132">
        <v>8.3429524382840174</v>
      </c>
      <c r="P19" s="132">
        <v>4470.9062039507426</v>
      </c>
    </row>
    <row r="20" spans="1:16">
      <c r="A20" s="79" t="s">
        <v>499</v>
      </c>
      <c r="B20" s="90">
        <v>8555.8989953403889</v>
      </c>
      <c r="C20" s="90">
        <v>3072.7522495697172</v>
      </c>
      <c r="D20" s="52">
        <v>664.71099778580685</v>
      </c>
      <c r="E20" s="52">
        <v>705.56123758968647</v>
      </c>
      <c r="F20" s="52">
        <v>377.36877935763277</v>
      </c>
      <c r="G20" s="52">
        <v>3038.5758938126728</v>
      </c>
      <c r="H20" s="52">
        <v>15.106063459710381</v>
      </c>
      <c r="I20" s="52">
        <v>7.1979674222595484</v>
      </c>
      <c r="J20" s="52">
        <v>2.6759829252330385</v>
      </c>
      <c r="K20" s="52">
        <v>79.397151282358806</v>
      </c>
      <c r="L20" s="52">
        <v>45.119356363967121</v>
      </c>
      <c r="M20" s="52">
        <v>0</v>
      </c>
      <c r="N20" s="52">
        <v>0</v>
      </c>
      <c r="O20" s="52">
        <v>1.4423264985484361</v>
      </c>
      <c r="P20" s="52">
        <v>545.99098927295131</v>
      </c>
    </row>
    <row r="21" spans="1:16" s="72" customFormat="1">
      <c r="A21" s="447" t="s">
        <v>492</v>
      </c>
      <c r="B21" s="91">
        <v>8555.8989953403889</v>
      </c>
      <c r="C21" s="91">
        <v>3072.7522495697172</v>
      </c>
      <c r="D21" s="51">
        <v>664.71099778580685</v>
      </c>
      <c r="E21" s="51">
        <v>705.56123758968647</v>
      </c>
      <c r="F21" s="51">
        <v>377.36877935763277</v>
      </c>
      <c r="G21" s="51">
        <v>3038.5758938126728</v>
      </c>
      <c r="H21" s="51">
        <v>15.106063459710381</v>
      </c>
      <c r="I21" s="51">
        <v>7.1979674222595484</v>
      </c>
      <c r="J21" s="51">
        <v>2.6759829252330385</v>
      </c>
      <c r="K21" s="51">
        <v>79.397151282358806</v>
      </c>
      <c r="L21" s="51">
        <v>45.119356363967121</v>
      </c>
      <c r="M21" s="51">
        <v>0</v>
      </c>
      <c r="N21" s="51">
        <v>0</v>
      </c>
      <c r="O21" s="51">
        <v>1.4423264985484361</v>
      </c>
      <c r="P21" s="51">
        <v>545.99098927295131</v>
      </c>
    </row>
    <row r="22" spans="1:16">
      <c r="A22" s="79" t="s">
        <v>493</v>
      </c>
      <c r="B22" s="90">
        <v>4939.9023886370778</v>
      </c>
      <c r="C22" s="90">
        <v>1027.2570779012585</v>
      </c>
      <c r="D22" s="52">
        <v>66.443392793213761</v>
      </c>
      <c r="E22" s="52">
        <v>1126.5406761050851</v>
      </c>
      <c r="F22" s="52">
        <v>127.69212777059414</v>
      </c>
      <c r="G22" s="52">
        <v>1814.2234521784872</v>
      </c>
      <c r="H22" s="52">
        <v>37.893318271545809</v>
      </c>
      <c r="I22" s="52">
        <v>33.163472649519889</v>
      </c>
      <c r="J22" s="52">
        <v>0</v>
      </c>
      <c r="K22" s="52">
        <v>172.88579138378836</v>
      </c>
      <c r="L22" s="52">
        <v>53.979637192091346</v>
      </c>
      <c r="M22" s="52">
        <v>0</v>
      </c>
      <c r="N22" s="52">
        <v>0</v>
      </c>
      <c r="O22" s="52">
        <v>2.753698452616308</v>
      </c>
      <c r="P22" s="52">
        <v>477.0697439388864</v>
      </c>
    </row>
    <row r="23" spans="1:16">
      <c r="A23" s="447" t="s">
        <v>493</v>
      </c>
      <c r="B23" s="91">
        <v>4939.9023886370778</v>
      </c>
      <c r="C23" s="91">
        <v>1027.2570779012585</v>
      </c>
      <c r="D23" s="51">
        <v>66.443392793213761</v>
      </c>
      <c r="E23" s="51">
        <v>1126.5406761050851</v>
      </c>
      <c r="F23" s="51">
        <v>127.69212777059414</v>
      </c>
      <c r="G23" s="51">
        <v>1814.2234521784872</v>
      </c>
      <c r="H23" s="51">
        <v>37.893318271545809</v>
      </c>
      <c r="I23" s="51">
        <v>33.163472649519889</v>
      </c>
      <c r="J23" s="51">
        <v>0</v>
      </c>
      <c r="K23" s="51">
        <v>172.88579138378836</v>
      </c>
      <c r="L23" s="51">
        <v>53.979637192091346</v>
      </c>
      <c r="M23" s="51">
        <v>0</v>
      </c>
      <c r="N23" s="51">
        <v>0</v>
      </c>
      <c r="O23" s="51">
        <v>2.753698452616308</v>
      </c>
      <c r="P23" s="51">
        <v>477.0697439388864</v>
      </c>
    </row>
    <row r="24" spans="1:16" s="72" customFormat="1">
      <c r="A24" s="79" t="s">
        <v>494</v>
      </c>
      <c r="B24" s="90">
        <v>5410.1587959150183</v>
      </c>
      <c r="C24" s="90">
        <v>2681.1515438151805</v>
      </c>
      <c r="D24" s="52">
        <v>32.898550822137608</v>
      </c>
      <c r="E24" s="52">
        <v>24.242829789521249</v>
      </c>
      <c r="F24" s="52">
        <v>199.56989678918507</v>
      </c>
      <c r="G24" s="52">
        <v>2219.272351515518</v>
      </c>
      <c r="H24" s="52">
        <v>6.9497234037810527</v>
      </c>
      <c r="I24" s="52">
        <v>5.5513202322697808</v>
      </c>
      <c r="J24" s="52">
        <v>0</v>
      </c>
      <c r="K24" s="52">
        <v>80.212530914053119</v>
      </c>
      <c r="L24" s="52">
        <v>1.3379914626165192</v>
      </c>
      <c r="M24" s="52">
        <v>1.3379914626165192</v>
      </c>
      <c r="N24" s="52">
        <v>0</v>
      </c>
      <c r="O24" s="52">
        <v>0</v>
      </c>
      <c r="P24" s="52">
        <v>157.63406570818486</v>
      </c>
    </row>
    <row r="25" spans="1:16">
      <c r="A25" s="447" t="s">
        <v>495</v>
      </c>
      <c r="B25" s="90">
        <v>2896.475119862062</v>
      </c>
      <c r="C25" s="90">
        <v>2215.0076469005421</v>
      </c>
      <c r="D25" s="52">
        <v>2.6915796394006701</v>
      </c>
      <c r="E25" s="52">
        <v>15.629155377261911</v>
      </c>
      <c r="F25" s="52">
        <v>80.771727759220525</v>
      </c>
      <c r="G25" s="52">
        <v>569.69118864184861</v>
      </c>
      <c r="H25" s="52">
        <v>1.4423264985484361</v>
      </c>
      <c r="I25" s="52">
        <v>1.4284368887016903</v>
      </c>
      <c r="J25" s="52">
        <v>0</v>
      </c>
      <c r="K25" s="52">
        <v>2.8848775364609862</v>
      </c>
      <c r="L25" s="52">
        <v>0</v>
      </c>
      <c r="M25" s="52">
        <v>1.3379914626165192</v>
      </c>
      <c r="N25" s="52">
        <v>0</v>
      </c>
      <c r="O25" s="52">
        <v>0</v>
      </c>
      <c r="P25" s="52">
        <v>5.5901891574484397</v>
      </c>
    </row>
    <row r="26" spans="1:16" s="72" customFormat="1">
      <c r="A26" s="447" t="s">
        <v>496</v>
      </c>
      <c r="B26" s="91">
        <v>2513.6836760530159</v>
      </c>
      <c r="C26" s="91">
        <v>466.1438969146289</v>
      </c>
      <c r="D26" s="51">
        <v>30.206971182736932</v>
      </c>
      <c r="E26" s="51">
        <v>8.6136744122593374</v>
      </c>
      <c r="F26" s="51">
        <v>118.79816902996478</v>
      </c>
      <c r="G26" s="51">
        <v>1649.5811628736594</v>
      </c>
      <c r="H26" s="51">
        <v>5.5073969052326159</v>
      </c>
      <c r="I26" s="51">
        <v>4.1228833435680903</v>
      </c>
      <c r="J26" s="51">
        <v>0</v>
      </c>
      <c r="K26" s="51">
        <v>77.327653377592142</v>
      </c>
      <c r="L26" s="51">
        <v>1.3379914626165192</v>
      </c>
      <c r="M26" s="51">
        <v>0</v>
      </c>
      <c r="N26" s="51">
        <v>0</v>
      </c>
      <c r="O26" s="51">
        <v>0</v>
      </c>
      <c r="P26" s="51">
        <v>152.04387655073643</v>
      </c>
    </row>
    <row r="27" spans="1:16">
      <c r="A27" s="79" t="s">
        <v>497</v>
      </c>
      <c r="B27" s="90">
        <v>10461.815360805873</v>
      </c>
      <c r="C27" s="90">
        <v>4513.9201079469685</v>
      </c>
      <c r="D27" s="52">
        <v>60.826000138645092</v>
      </c>
      <c r="E27" s="52">
        <v>657.10897055905991</v>
      </c>
      <c r="F27" s="52">
        <v>1053.224631379265</v>
      </c>
      <c r="G27" s="52">
        <v>3159.4309611256399</v>
      </c>
      <c r="H27" s="52">
        <v>114.55106220484186</v>
      </c>
      <c r="I27" s="52">
        <v>98.393379673489477</v>
      </c>
      <c r="J27" s="52">
        <v>59.234526200040719</v>
      </c>
      <c r="K27" s="52">
        <v>367.39982490026802</v>
      </c>
      <c r="L27" s="52">
        <v>8.4511563725665475</v>
      </c>
      <c r="M27" s="52">
        <v>12.657359663487386</v>
      </c>
      <c r="N27" s="52">
        <v>12.671540723802398</v>
      </c>
      <c r="O27" s="52">
        <v>10.914308877116873</v>
      </c>
      <c r="P27" s="52">
        <v>333.03153104042616</v>
      </c>
    </row>
    <row r="28" spans="1:16" s="72" customFormat="1">
      <c r="A28" s="447" t="s">
        <v>497</v>
      </c>
      <c r="B28" s="90">
        <v>10461.815360805873</v>
      </c>
      <c r="C28" s="90">
        <v>4513.9201079469685</v>
      </c>
      <c r="D28" s="52">
        <v>60.826000138645092</v>
      </c>
      <c r="E28" s="52">
        <v>657.10897055905991</v>
      </c>
      <c r="F28" s="52">
        <v>1053.224631379265</v>
      </c>
      <c r="G28" s="52">
        <v>3159.4309611256399</v>
      </c>
      <c r="H28" s="52">
        <v>114.55106220484186</v>
      </c>
      <c r="I28" s="52">
        <v>98.393379673489477</v>
      </c>
      <c r="J28" s="52">
        <v>59.234526200040719</v>
      </c>
      <c r="K28" s="52">
        <v>367.39982490026802</v>
      </c>
      <c r="L28" s="52">
        <v>8.4511563725665475</v>
      </c>
      <c r="M28" s="52">
        <v>12.657359663487386</v>
      </c>
      <c r="N28" s="52">
        <v>12.671540723802398</v>
      </c>
      <c r="O28" s="52">
        <v>10.914308877116873</v>
      </c>
      <c r="P28" s="52">
        <v>333.03153104042616</v>
      </c>
    </row>
    <row r="29" spans="1:16">
      <c r="A29" s="79" t="s">
        <v>498</v>
      </c>
      <c r="B29" s="90">
        <v>5529.0260774535691</v>
      </c>
      <c r="C29" s="90">
        <v>1926.7700421063728</v>
      </c>
      <c r="D29" s="52">
        <v>424.02470068292018</v>
      </c>
      <c r="E29" s="52">
        <v>437.69911167204009</v>
      </c>
      <c r="F29" s="52">
        <v>223.80427239002441</v>
      </c>
      <c r="G29" s="52">
        <v>1936.6273750011594</v>
      </c>
      <c r="H29" s="52">
        <v>35.060873395920787</v>
      </c>
      <c r="I29" s="52">
        <v>8.6546326093829578</v>
      </c>
      <c r="J29" s="52">
        <v>2.8851020758250998</v>
      </c>
      <c r="K29" s="52">
        <v>464.52570468801798</v>
      </c>
      <c r="L29" s="52">
        <v>2.8848775364609862</v>
      </c>
      <c r="M29" s="52">
        <v>1.3675446977350487</v>
      </c>
      <c r="N29" s="52">
        <v>0</v>
      </c>
      <c r="O29" s="52">
        <v>1.4425510379125499</v>
      </c>
      <c r="P29" s="52">
        <v>63.27928955995926</v>
      </c>
    </row>
    <row r="30" spans="1:16">
      <c r="A30" s="447" t="s">
        <v>498</v>
      </c>
      <c r="B30" s="91">
        <v>5529.0260774535691</v>
      </c>
      <c r="C30" s="91">
        <v>1926.7700421063728</v>
      </c>
      <c r="D30" s="51">
        <v>424.02470068292018</v>
      </c>
      <c r="E30" s="51">
        <v>437.69911167204009</v>
      </c>
      <c r="F30" s="51">
        <v>223.80427239002441</v>
      </c>
      <c r="G30" s="51">
        <v>1936.6273750011594</v>
      </c>
      <c r="H30" s="51">
        <v>35.060873395920787</v>
      </c>
      <c r="I30" s="51">
        <v>8.6546326093829578</v>
      </c>
      <c r="J30" s="51">
        <v>2.8851020758250998</v>
      </c>
      <c r="K30" s="51">
        <v>464.52570468801798</v>
      </c>
      <c r="L30" s="51">
        <v>2.8848775364609862</v>
      </c>
      <c r="M30" s="51">
        <v>1.3675446977350487</v>
      </c>
      <c r="N30" s="51">
        <v>0</v>
      </c>
      <c r="O30" s="51">
        <v>1.4425510379125499</v>
      </c>
      <c r="P30" s="51">
        <v>63.27928955995926</v>
      </c>
    </row>
    <row r="31" spans="1:16" s="72" customFormat="1"/>
    <row r="34" s="72" customFormat="1"/>
    <row r="36" s="72" customFormat="1"/>
    <row r="38" s="72" customFormat="1"/>
    <row r="42" s="72" customFormat="1"/>
    <row r="45" s="72" customFormat="1"/>
    <row r="47" s="72" customFormat="1"/>
    <row r="49" s="72" customFormat="1"/>
    <row r="51" s="72" customFormat="1"/>
    <row r="53" s="72" customFormat="1"/>
    <row r="55" s="72" customFormat="1"/>
  </sheetData>
  <mergeCells count="4">
    <mergeCell ref="A1:P1"/>
    <mergeCell ref="A2:A3"/>
    <mergeCell ref="B2:B3"/>
    <mergeCell ref="C2:P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30"/>
  <sheetViews>
    <sheetView zoomScale="120" zoomScaleNormal="120" workbookViewId="0">
      <selection activeCell="Y21" sqref="Y21"/>
    </sheetView>
  </sheetViews>
  <sheetFormatPr defaultColWidth="9.140625" defaultRowHeight="12"/>
  <cols>
    <col min="1" max="1" width="20" style="69" customWidth="1"/>
    <col min="2" max="16384" width="9.140625" style="69"/>
  </cols>
  <sheetData>
    <row r="1" spans="1:17" ht="18" customHeight="1">
      <c r="A1" s="750" t="s">
        <v>504</v>
      </c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0"/>
      <c r="N1" s="750"/>
      <c r="O1" s="750"/>
      <c r="P1" s="750"/>
      <c r="Q1" s="750"/>
    </row>
    <row r="2" spans="1:17" ht="15" customHeight="1">
      <c r="A2" s="735" t="s">
        <v>445</v>
      </c>
      <c r="B2" s="748" t="s">
        <v>429</v>
      </c>
      <c r="C2" s="751" t="s">
        <v>563</v>
      </c>
      <c r="D2" s="751"/>
      <c r="E2" s="751"/>
      <c r="F2" s="751"/>
      <c r="G2" s="751"/>
      <c r="H2" s="751"/>
      <c r="I2" s="751"/>
      <c r="J2" s="751"/>
      <c r="K2" s="751"/>
      <c r="L2" s="751"/>
      <c r="M2" s="751"/>
      <c r="N2" s="751"/>
      <c r="O2" s="751"/>
      <c r="P2" s="751"/>
      <c r="Q2" s="751"/>
    </row>
    <row r="3" spans="1:17" ht="43.5" customHeight="1">
      <c r="A3" s="735"/>
      <c r="B3" s="749"/>
      <c r="C3" s="220" t="s">
        <v>153</v>
      </c>
      <c r="D3" s="220" t="s">
        <v>154</v>
      </c>
      <c r="E3" s="220" t="s">
        <v>155</v>
      </c>
      <c r="F3" s="220" t="s">
        <v>156</v>
      </c>
      <c r="G3" s="220" t="s">
        <v>157</v>
      </c>
      <c r="H3" s="220" t="s">
        <v>158</v>
      </c>
      <c r="I3" s="220" t="s">
        <v>159</v>
      </c>
      <c r="J3" s="220" t="s">
        <v>160</v>
      </c>
      <c r="K3" s="221" t="s">
        <v>161</v>
      </c>
      <c r="L3" s="220" t="s">
        <v>162</v>
      </c>
      <c r="M3" s="221" t="s">
        <v>163</v>
      </c>
      <c r="N3" s="221" t="s">
        <v>148</v>
      </c>
      <c r="O3" s="220" t="s">
        <v>505</v>
      </c>
      <c r="P3" s="221" t="s">
        <v>164</v>
      </c>
      <c r="Q3" s="221" t="s">
        <v>152</v>
      </c>
    </row>
    <row r="4" spans="1:17">
      <c r="A4" s="222" t="s">
        <v>500</v>
      </c>
      <c r="B4" s="223">
        <v>129255.58151999002</v>
      </c>
      <c r="C4" s="223">
        <v>27282.405811481749</v>
      </c>
      <c r="D4" s="223">
        <v>1792.7975394218336</v>
      </c>
      <c r="E4" s="223">
        <v>23164.509470931633</v>
      </c>
      <c r="F4" s="223">
        <v>3011.8218313646203</v>
      </c>
      <c r="G4" s="223">
        <v>282.93936566421809</v>
      </c>
      <c r="H4" s="223">
        <v>470.54217813893871</v>
      </c>
      <c r="I4" s="223">
        <v>61062.140306949637</v>
      </c>
      <c r="J4" s="223">
        <v>154.4525655052712</v>
      </c>
      <c r="K4" s="223">
        <v>101.29633205870709</v>
      </c>
      <c r="L4" s="223">
        <v>57.131703969423228</v>
      </c>
      <c r="M4" s="223">
        <v>78.036348392764083</v>
      </c>
      <c r="N4" s="223">
        <v>189.33443769517959</v>
      </c>
      <c r="O4" s="223">
        <v>95.0432338327455</v>
      </c>
      <c r="P4" s="223">
        <v>9460.058572029986</v>
      </c>
      <c r="Q4" s="223">
        <v>2053.071822640235</v>
      </c>
    </row>
    <row r="5" spans="1:17">
      <c r="A5" s="224"/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</row>
    <row r="6" spans="1:17">
      <c r="A6" s="226" t="s">
        <v>111</v>
      </c>
      <c r="B6" s="227"/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</row>
    <row r="7" spans="1:17">
      <c r="A7" s="228" t="s">
        <v>4</v>
      </c>
      <c r="B7" s="225">
        <v>47992.712075626951</v>
      </c>
      <c r="C7" s="225">
        <v>10365.85330932623</v>
      </c>
      <c r="D7" s="225">
        <v>546.48459177171685</v>
      </c>
      <c r="E7" s="225">
        <v>6674.2610579090842</v>
      </c>
      <c r="F7" s="225">
        <v>1184.514773781231</v>
      </c>
      <c r="G7" s="225">
        <v>216.28297161378913</v>
      </c>
      <c r="H7" s="225">
        <v>127.7358454019039</v>
      </c>
      <c r="I7" s="225">
        <v>27606.48901477367</v>
      </c>
      <c r="J7" s="225">
        <v>32.688166317455632</v>
      </c>
      <c r="K7" s="225">
        <v>64.298818528887182</v>
      </c>
      <c r="L7" s="225">
        <v>26.734033661636786</v>
      </c>
      <c r="M7" s="225">
        <v>11.281568269681241</v>
      </c>
      <c r="N7" s="225">
        <v>59.074052844162793</v>
      </c>
      <c r="O7" s="225">
        <v>62.558649157016582</v>
      </c>
      <c r="P7" s="225">
        <v>673.14032499675102</v>
      </c>
      <c r="Q7" s="225">
        <v>341.3148972829548</v>
      </c>
    </row>
    <row r="8" spans="1:17">
      <c r="A8" s="228" t="s">
        <v>5</v>
      </c>
      <c r="B8" s="225">
        <v>81262.869444412107</v>
      </c>
      <c r="C8" s="225">
        <v>16916.552502155275</v>
      </c>
      <c r="D8" s="225">
        <v>1246.3129476501024</v>
      </c>
      <c r="E8" s="225">
        <v>16490.248413021814</v>
      </c>
      <c r="F8" s="225">
        <v>1827.3070575833826</v>
      </c>
      <c r="G8" s="225">
        <v>66.656394050429043</v>
      </c>
      <c r="H8" s="225">
        <v>342.8063327370354</v>
      </c>
      <c r="I8" s="225">
        <v>33455.651292197574</v>
      </c>
      <c r="J8" s="225">
        <v>121.76439918781563</v>
      </c>
      <c r="K8" s="225">
        <v>36.997513529819891</v>
      </c>
      <c r="L8" s="225">
        <v>30.397670307786413</v>
      </c>
      <c r="M8" s="225">
        <v>66.754780123082824</v>
      </c>
      <c r="N8" s="225">
        <v>130.26038485101697</v>
      </c>
      <c r="O8" s="225">
        <v>32.484584675728897</v>
      </c>
      <c r="P8" s="225">
        <v>8786.9182470331034</v>
      </c>
      <c r="Q8" s="225">
        <v>1711.756925357269</v>
      </c>
    </row>
    <row r="9" spans="1:17">
      <c r="A9" s="173" t="s">
        <v>477</v>
      </c>
      <c r="B9" s="227"/>
      <c r="C9" s="22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</row>
    <row r="10" spans="1:17" s="72" customFormat="1">
      <c r="A10" s="122" t="s">
        <v>486</v>
      </c>
      <c r="B10" s="230">
        <v>22772.763678306437</v>
      </c>
      <c r="C10" s="230">
        <v>6658.8771559515353</v>
      </c>
      <c r="D10" s="230">
        <v>179.5390104076869</v>
      </c>
      <c r="E10" s="230">
        <v>10318.284969087183</v>
      </c>
      <c r="F10" s="231">
        <v>495.30431076408394</v>
      </c>
      <c r="G10" s="231">
        <v>53.647064630122536</v>
      </c>
      <c r="H10" s="231">
        <v>52.481893170422452</v>
      </c>
      <c r="I10" s="231">
        <v>4771.0629540543987</v>
      </c>
      <c r="J10" s="231">
        <v>12.817934354190632</v>
      </c>
      <c r="K10" s="231">
        <v>35.957127216374936</v>
      </c>
      <c r="L10" s="231">
        <v>15.423854925909749</v>
      </c>
      <c r="M10" s="231">
        <v>8.574325005008788</v>
      </c>
      <c r="N10" s="231">
        <v>18.027855954690981</v>
      </c>
      <c r="O10" s="231">
        <v>15.813026085027843</v>
      </c>
      <c r="P10" s="231">
        <v>85.849685427344369</v>
      </c>
      <c r="Q10" s="231">
        <v>51.102511270595329</v>
      </c>
    </row>
    <row r="11" spans="1:17">
      <c r="A11" s="123" t="s">
        <v>486</v>
      </c>
      <c r="B11" s="232">
        <v>22772.763678306437</v>
      </c>
      <c r="C11" s="232">
        <v>6658.8771559515353</v>
      </c>
      <c r="D11" s="232">
        <v>179.5390104076869</v>
      </c>
      <c r="E11" s="232">
        <v>10318.284969087183</v>
      </c>
      <c r="F11" s="225">
        <v>495.30431076408394</v>
      </c>
      <c r="G11" s="225">
        <v>53.647064630122536</v>
      </c>
      <c r="H11" s="225">
        <v>52.481893170422452</v>
      </c>
      <c r="I11" s="225">
        <v>4771.0629540543987</v>
      </c>
      <c r="J11" s="225">
        <v>12.817934354190632</v>
      </c>
      <c r="K11" s="225">
        <v>35.957127216374936</v>
      </c>
      <c r="L11" s="225">
        <v>15.423854925909749</v>
      </c>
      <c r="M11" s="225">
        <v>8.574325005008788</v>
      </c>
      <c r="N11" s="225">
        <v>18.027855954690981</v>
      </c>
      <c r="O11" s="225">
        <v>15.813026085027843</v>
      </c>
      <c r="P11" s="225">
        <v>85.849685427344369</v>
      </c>
      <c r="Q11" s="225">
        <v>51.102511270595329</v>
      </c>
    </row>
    <row r="12" spans="1:17" s="72" customFormat="1">
      <c r="A12" s="122" t="s">
        <v>487</v>
      </c>
      <c r="B12" s="230">
        <v>46419.032345152962</v>
      </c>
      <c r="C12" s="230">
        <v>8305.7043954214751</v>
      </c>
      <c r="D12" s="230">
        <v>192.81651200995967</v>
      </c>
      <c r="E12" s="230">
        <v>954.13949562204471</v>
      </c>
      <c r="F12" s="231">
        <v>423.31280174960926</v>
      </c>
      <c r="G12" s="231">
        <v>169.71974319786236</v>
      </c>
      <c r="H12" s="231">
        <v>79.128433928311011</v>
      </c>
      <c r="I12" s="231">
        <v>35688.163171648222</v>
      </c>
      <c r="J12" s="231">
        <v>15.733167559381901</v>
      </c>
      <c r="K12" s="231">
        <v>28.3416913125122</v>
      </c>
      <c r="L12" s="231">
        <v>30.763604763653973</v>
      </c>
      <c r="M12" s="231">
        <v>2.8568737774033806</v>
      </c>
      <c r="N12" s="231">
        <v>31.071957335254414</v>
      </c>
      <c r="O12" s="231">
        <v>38.423278245640084</v>
      </c>
      <c r="P12" s="231">
        <v>131.90306931722199</v>
      </c>
      <c r="Q12" s="231">
        <v>326.95414927097062</v>
      </c>
    </row>
    <row r="13" spans="1:17">
      <c r="A13" s="123" t="s">
        <v>487</v>
      </c>
      <c r="B13" s="232">
        <v>39789.250083892861</v>
      </c>
      <c r="C13" s="232">
        <v>6852.3090346405743</v>
      </c>
      <c r="D13" s="232">
        <v>181.87390792331698</v>
      </c>
      <c r="E13" s="232">
        <v>925.53693431778083</v>
      </c>
      <c r="F13" s="225">
        <v>414.73340001976811</v>
      </c>
      <c r="G13" s="225">
        <v>158.26054065639261</v>
      </c>
      <c r="H13" s="225">
        <v>77.686107429762572</v>
      </c>
      <c r="I13" s="225">
        <v>30624.12763280941</v>
      </c>
      <c r="J13" s="225">
        <v>15.733167559381901</v>
      </c>
      <c r="K13" s="225">
        <v>28.3416913125122</v>
      </c>
      <c r="L13" s="225">
        <v>30.763604763653973</v>
      </c>
      <c r="M13" s="225">
        <v>2.8568737774033806</v>
      </c>
      <c r="N13" s="225">
        <v>31.071957335254414</v>
      </c>
      <c r="O13" s="225">
        <v>38.423278245640084</v>
      </c>
      <c r="P13" s="225">
        <v>129.19753315687046</v>
      </c>
      <c r="Q13" s="225">
        <v>278.33441994936948</v>
      </c>
    </row>
    <row r="14" spans="1:17">
      <c r="A14" s="123" t="s">
        <v>488</v>
      </c>
      <c r="B14" s="232">
        <v>6629.7822612640184</v>
      </c>
      <c r="C14" s="232">
        <v>1453.3953607809181</v>
      </c>
      <c r="D14" s="232">
        <v>10.942604086642746</v>
      </c>
      <c r="E14" s="232">
        <v>28.602561304264174</v>
      </c>
      <c r="F14" s="225">
        <v>8.5794017298413436</v>
      </c>
      <c r="G14" s="225">
        <v>11.459202541469775</v>
      </c>
      <c r="H14" s="225">
        <v>1.4423264985484361</v>
      </c>
      <c r="I14" s="225">
        <v>5064.0355388404751</v>
      </c>
      <c r="J14" s="225">
        <v>0</v>
      </c>
      <c r="K14" s="225">
        <v>0</v>
      </c>
      <c r="L14" s="225">
        <v>0</v>
      </c>
      <c r="M14" s="225">
        <v>0</v>
      </c>
      <c r="N14" s="225">
        <v>0</v>
      </c>
      <c r="O14" s="225">
        <v>0</v>
      </c>
      <c r="P14" s="225">
        <v>2.705536160351568</v>
      </c>
      <c r="Q14" s="225">
        <v>48.619729321601113</v>
      </c>
    </row>
    <row r="15" spans="1:17" s="72" customFormat="1">
      <c r="A15" s="122" t="s">
        <v>489</v>
      </c>
      <c r="B15" s="230">
        <v>6755.0343432881973</v>
      </c>
      <c r="C15" s="230">
        <v>941.63715761087019</v>
      </c>
      <c r="D15" s="230">
        <v>185.30030279195455</v>
      </c>
      <c r="E15" s="230">
        <v>621.44839685148588</v>
      </c>
      <c r="F15" s="231">
        <v>134.77041986310593</v>
      </c>
      <c r="G15" s="231">
        <v>2.8846529970968722</v>
      </c>
      <c r="H15" s="231">
        <v>15.649056883721943</v>
      </c>
      <c r="I15" s="231">
        <v>4294.0672494073797</v>
      </c>
      <c r="J15" s="231">
        <v>0</v>
      </c>
      <c r="K15" s="231">
        <v>0</v>
      </c>
      <c r="L15" s="231">
        <v>1.3535881767841509</v>
      </c>
      <c r="M15" s="231">
        <v>0</v>
      </c>
      <c r="N15" s="231">
        <v>17.832693325049814</v>
      </c>
      <c r="O15" s="231">
        <v>2.8846529970968722</v>
      </c>
      <c r="P15" s="231">
        <v>472.24101884891849</v>
      </c>
      <c r="Q15" s="231">
        <v>64.965153534832766</v>
      </c>
    </row>
    <row r="16" spans="1:17">
      <c r="A16" s="123" t="s">
        <v>489</v>
      </c>
      <c r="B16" s="232">
        <v>4319.9135324243571</v>
      </c>
      <c r="C16" s="232">
        <v>604.34424281194072</v>
      </c>
      <c r="D16" s="232">
        <v>9.8880644967034463</v>
      </c>
      <c r="E16" s="232">
        <v>527.21513574329288</v>
      </c>
      <c r="F16" s="225">
        <v>28.954560171393279</v>
      </c>
      <c r="G16" s="225">
        <v>1.4423264985484361</v>
      </c>
      <c r="H16" s="225">
        <v>14.206730385173508</v>
      </c>
      <c r="I16" s="225">
        <v>2697.2615271127479</v>
      </c>
      <c r="J16" s="225">
        <v>0</v>
      </c>
      <c r="K16" s="225">
        <v>0</v>
      </c>
      <c r="L16" s="225">
        <v>1.3535881767841509</v>
      </c>
      <c r="M16" s="225">
        <v>0</v>
      </c>
      <c r="N16" s="225">
        <v>17.832693325049814</v>
      </c>
      <c r="O16" s="225">
        <v>0</v>
      </c>
      <c r="P16" s="225">
        <v>366.48566186289742</v>
      </c>
      <c r="Q16" s="225">
        <v>50.92900183986518</v>
      </c>
    </row>
    <row r="17" spans="1:19" s="72" customFormat="1">
      <c r="A17" s="123" t="s">
        <v>490</v>
      </c>
      <c r="B17" s="232">
        <v>2435.1208108639248</v>
      </c>
      <c r="C17" s="232">
        <v>337.29291479893266</v>
      </c>
      <c r="D17" s="232">
        <v>175.41223829525109</v>
      </c>
      <c r="E17" s="232">
        <v>94.233261108192991</v>
      </c>
      <c r="F17" s="225">
        <v>105.81585969171265</v>
      </c>
      <c r="G17" s="225">
        <v>1.4423264985484361</v>
      </c>
      <c r="H17" s="225">
        <v>1.4423264985484361</v>
      </c>
      <c r="I17" s="225">
        <v>1596.8057222946541</v>
      </c>
      <c r="J17" s="225">
        <v>0</v>
      </c>
      <c r="K17" s="225">
        <v>0</v>
      </c>
      <c r="L17" s="225">
        <v>0</v>
      </c>
      <c r="M17" s="225">
        <v>0</v>
      </c>
      <c r="N17" s="225">
        <v>0</v>
      </c>
      <c r="O17" s="225">
        <v>2.8846529970968722</v>
      </c>
      <c r="P17" s="225">
        <v>105.7553569860217</v>
      </c>
      <c r="Q17" s="225">
        <v>14.036151694967565</v>
      </c>
    </row>
    <row r="18" spans="1:19">
      <c r="A18" s="122" t="s">
        <v>491</v>
      </c>
      <c r="B18" s="230">
        <v>18411.949535186865</v>
      </c>
      <c r="C18" s="230">
        <v>3112.9297136878231</v>
      </c>
      <c r="D18" s="230">
        <v>569.60985163487578</v>
      </c>
      <c r="E18" s="230">
        <v>3771.2057492534359</v>
      </c>
      <c r="F18" s="231">
        <v>766.45904296963909</v>
      </c>
      <c r="G18" s="231">
        <v>24.143697703338191</v>
      </c>
      <c r="H18" s="231">
        <v>97.26118495401839</v>
      </c>
      <c r="I18" s="231">
        <v>6150.3343897815412</v>
      </c>
      <c r="J18" s="231">
        <v>35.30021939972373</v>
      </c>
      <c r="K18" s="231">
        <v>24.218479504151574</v>
      </c>
      <c r="L18" s="231">
        <v>5.3675625646337082</v>
      </c>
      <c r="M18" s="231">
        <v>24.853790810768981</v>
      </c>
      <c r="N18" s="231">
        <v>36.299315096969686</v>
      </c>
      <c r="O18" s="231">
        <v>14.065031311993753</v>
      </c>
      <c r="P18" s="231">
        <v>3032.2624636887344</v>
      </c>
      <c r="Q18" s="231">
        <v>747.63904282343037</v>
      </c>
    </row>
    <row r="19" spans="1:19" s="72" customFormat="1">
      <c r="A19" s="123" t="s">
        <v>491</v>
      </c>
      <c r="B19" s="232">
        <v>18411.949535186865</v>
      </c>
      <c r="C19" s="232">
        <v>3112.9297136878231</v>
      </c>
      <c r="D19" s="232">
        <v>569.60985163487578</v>
      </c>
      <c r="E19" s="232">
        <v>3771.2057492534359</v>
      </c>
      <c r="F19" s="225">
        <v>766.45904296963909</v>
      </c>
      <c r="G19" s="225">
        <v>24.143697703338191</v>
      </c>
      <c r="H19" s="225">
        <v>97.26118495401839</v>
      </c>
      <c r="I19" s="225">
        <v>6150.3343897815412</v>
      </c>
      <c r="J19" s="225">
        <v>35.30021939972373</v>
      </c>
      <c r="K19" s="225">
        <v>24.218479504151574</v>
      </c>
      <c r="L19" s="225">
        <v>5.3675625646337082</v>
      </c>
      <c r="M19" s="225">
        <v>24.853790810768981</v>
      </c>
      <c r="N19" s="225">
        <v>36.299315096969686</v>
      </c>
      <c r="O19" s="225">
        <v>14.065031311993753</v>
      </c>
      <c r="P19" s="225">
        <v>3032.2624636887344</v>
      </c>
      <c r="Q19" s="225">
        <v>747.63904282343037</v>
      </c>
    </row>
    <row r="20" spans="1:19">
      <c r="A20" s="122" t="s">
        <v>499</v>
      </c>
      <c r="B20" s="230">
        <v>8555.8989953403889</v>
      </c>
      <c r="C20" s="230">
        <v>1571.6766350298649</v>
      </c>
      <c r="D20" s="230">
        <v>76.331991986065361</v>
      </c>
      <c r="E20" s="230">
        <v>2374.8367048279397</v>
      </c>
      <c r="F20" s="231">
        <v>907.25325744529971</v>
      </c>
      <c r="G20" s="231">
        <v>0</v>
      </c>
      <c r="H20" s="231">
        <v>16.88502712171562</v>
      </c>
      <c r="I20" s="231">
        <v>352.16591174966516</v>
      </c>
      <c r="J20" s="231">
        <v>18.258571615316839</v>
      </c>
      <c r="K20" s="231">
        <v>8.5050690077561821</v>
      </c>
      <c r="L20" s="231">
        <v>0</v>
      </c>
      <c r="M20" s="231">
        <v>4.2386902526092509</v>
      </c>
      <c r="N20" s="231">
        <v>29.791115390170219</v>
      </c>
      <c r="O20" s="231">
        <v>8.6280131008343108</v>
      </c>
      <c r="P20" s="231">
        <v>2622.9740630807473</v>
      </c>
      <c r="Q20" s="231">
        <v>564.35394473254883</v>
      </c>
    </row>
    <row r="21" spans="1:19">
      <c r="A21" s="123" t="s">
        <v>492</v>
      </c>
      <c r="B21" s="232">
        <v>8555.8989953403889</v>
      </c>
      <c r="C21" s="232">
        <v>1571.6766350298649</v>
      </c>
      <c r="D21" s="232">
        <v>76.331991986065361</v>
      </c>
      <c r="E21" s="232">
        <v>2374.8367048279397</v>
      </c>
      <c r="F21" s="225">
        <v>907.25325744529971</v>
      </c>
      <c r="G21" s="225">
        <v>0</v>
      </c>
      <c r="H21" s="225">
        <v>16.88502712171562</v>
      </c>
      <c r="I21" s="225">
        <v>352.16591174966516</v>
      </c>
      <c r="J21" s="225">
        <v>18.258571615316839</v>
      </c>
      <c r="K21" s="225">
        <v>8.5050690077561821</v>
      </c>
      <c r="L21" s="225">
        <v>0</v>
      </c>
      <c r="M21" s="225">
        <v>4.2386902526092509</v>
      </c>
      <c r="N21" s="225">
        <v>29.791115390170219</v>
      </c>
      <c r="O21" s="225">
        <v>8.6280131008343108</v>
      </c>
      <c r="P21" s="225">
        <v>2622.9740630807473</v>
      </c>
      <c r="Q21" s="225">
        <v>564.35394473254883</v>
      </c>
    </row>
    <row r="22" spans="1:19">
      <c r="A22" s="122" t="s">
        <v>493</v>
      </c>
      <c r="B22" s="230">
        <v>4939.9023886370778</v>
      </c>
      <c r="C22" s="230">
        <v>2695.8578189101477</v>
      </c>
      <c r="D22" s="230">
        <v>41.133351311454</v>
      </c>
      <c r="E22" s="230">
        <v>229.03945963580128</v>
      </c>
      <c r="F22" s="231">
        <v>64.487912968480416</v>
      </c>
      <c r="G22" s="231">
        <v>0</v>
      </c>
      <c r="H22" s="231">
        <v>6.9281806200649587</v>
      </c>
      <c r="I22" s="231">
        <v>1779.8027822960603</v>
      </c>
      <c r="J22" s="231">
        <v>34.543747245956837</v>
      </c>
      <c r="K22" s="231">
        <v>0</v>
      </c>
      <c r="L22" s="231">
        <v>0</v>
      </c>
      <c r="M22" s="231">
        <v>0</v>
      </c>
      <c r="N22" s="231">
        <v>38.194839405485212</v>
      </c>
      <c r="O22" s="231">
        <v>1.3379914626165192</v>
      </c>
      <c r="P22" s="231">
        <v>22.172930809976517</v>
      </c>
      <c r="Q22" s="231">
        <v>26.403373971072099</v>
      </c>
    </row>
    <row r="23" spans="1:19">
      <c r="A23" s="123" t="s">
        <v>493</v>
      </c>
      <c r="B23" s="232">
        <v>4939.9023886370778</v>
      </c>
      <c r="C23" s="232">
        <v>2695.8578189101477</v>
      </c>
      <c r="D23" s="232">
        <v>41.133351311454</v>
      </c>
      <c r="E23" s="232">
        <v>229.03945963580128</v>
      </c>
      <c r="F23" s="225">
        <v>64.487912968480416</v>
      </c>
      <c r="G23" s="225">
        <v>0</v>
      </c>
      <c r="H23" s="225">
        <v>6.9281806200649587</v>
      </c>
      <c r="I23" s="225">
        <v>1779.8027822960603</v>
      </c>
      <c r="J23" s="225">
        <v>34.543747245956837</v>
      </c>
      <c r="K23" s="225">
        <v>0</v>
      </c>
      <c r="L23" s="225">
        <v>0</v>
      </c>
      <c r="M23" s="225">
        <v>0</v>
      </c>
      <c r="N23" s="225">
        <v>38.194839405485212</v>
      </c>
      <c r="O23" s="225">
        <v>1.3379914626165192</v>
      </c>
      <c r="P23" s="225">
        <v>22.172930809976517</v>
      </c>
      <c r="Q23" s="225">
        <v>26.403373971072099</v>
      </c>
    </row>
    <row r="24" spans="1:19">
      <c r="A24" s="122" t="s">
        <v>494</v>
      </c>
      <c r="B24" s="230">
        <v>5410.1587959150183</v>
      </c>
      <c r="C24" s="230">
        <v>1562.6295175691107</v>
      </c>
      <c r="D24" s="230">
        <v>11.174524046543556</v>
      </c>
      <c r="E24" s="230">
        <v>886.10835748538761</v>
      </c>
      <c r="F24" s="231">
        <v>110.62517496758758</v>
      </c>
      <c r="G24" s="231">
        <v>2.8707633872501264</v>
      </c>
      <c r="H24" s="231">
        <v>0</v>
      </c>
      <c r="I24" s="231">
        <v>2805.8644493983275</v>
      </c>
      <c r="J24" s="231">
        <v>1.4284368887016903</v>
      </c>
      <c r="K24" s="231">
        <v>0</v>
      </c>
      <c r="L24" s="231">
        <v>0</v>
      </c>
      <c r="M24" s="231">
        <v>1.3379914626165192</v>
      </c>
      <c r="N24" s="231">
        <v>1.4157069899997887</v>
      </c>
      <c r="O24" s="231">
        <v>5.4563008863979938</v>
      </c>
      <c r="P24" s="231">
        <v>9.9389359761739549</v>
      </c>
      <c r="Q24" s="231">
        <v>11.308636856958117</v>
      </c>
    </row>
    <row r="25" spans="1:19">
      <c r="A25" s="123" t="s">
        <v>495</v>
      </c>
      <c r="B25" s="232">
        <v>2896.475119862062</v>
      </c>
      <c r="C25" s="232">
        <v>186.86063019202712</v>
      </c>
      <c r="D25" s="232">
        <v>1.4157069899997887</v>
      </c>
      <c r="E25" s="232">
        <v>361.61210147838455</v>
      </c>
      <c r="F25" s="225">
        <v>4.3276531137376502</v>
      </c>
      <c r="G25" s="225">
        <v>0</v>
      </c>
      <c r="H25" s="225">
        <v>0</v>
      </c>
      <c r="I25" s="225">
        <v>2325.5130698640146</v>
      </c>
      <c r="J25" s="225">
        <v>1.4284368887016903</v>
      </c>
      <c r="K25" s="225">
        <v>0</v>
      </c>
      <c r="L25" s="225">
        <v>0</v>
      </c>
      <c r="M25" s="225">
        <v>1.3379914626165192</v>
      </c>
      <c r="N25" s="225">
        <v>0</v>
      </c>
      <c r="O25" s="225">
        <v>5.4563008863979938</v>
      </c>
      <c r="P25" s="225">
        <v>8.5232289861741659</v>
      </c>
      <c r="Q25" s="225">
        <v>0</v>
      </c>
    </row>
    <row r="26" spans="1:19">
      <c r="A26" s="123" t="s">
        <v>496</v>
      </c>
      <c r="B26" s="232">
        <v>2513.6836760530159</v>
      </c>
      <c r="C26" s="232">
        <v>1375.7688873770796</v>
      </c>
      <c r="D26" s="232">
        <v>9.7588170565437675</v>
      </c>
      <c r="E26" s="232">
        <v>524.49625600700585</v>
      </c>
      <c r="F26" s="225">
        <v>106.29752185384993</v>
      </c>
      <c r="G26" s="225">
        <v>2.8707633872501264</v>
      </c>
      <c r="H26" s="225">
        <v>0</v>
      </c>
      <c r="I26" s="225">
        <v>480.35137953430353</v>
      </c>
      <c r="J26" s="225">
        <v>0</v>
      </c>
      <c r="K26" s="225">
        <v>0</v>
      </c>
      <c r="L26" s="225">
        <v>0</v>
      </c>
      <c r="M26" s="225">
        <v>0</v>
      </c>
      <c r="N26" s="225">
        <v>1.4157069899997887</v>
      </c>
      <c r="O26" s="225">
        <v>0</v>
      </c>
      <c r="P26" s="225">
        <v>1.4157069899997887</v>
      </c>
      <c r="Q26" s="225">
        <v>11.308636856958117</v>
      </c>
      <c r="S26" s="69" t="s">
        <v>506</v>
      </c>
    </row>
    <row r="27" spans="1:19">
      <c r="A27" s="122" t="s">
        <v>497</v>
      </c>
      <c r="B27" s="230">
        <v>10461.815360805873</v>
      </c>
      <c r="C27" s="230">
        <v>1303.6952106483595</v>
      </c>
      <c r="D27" s="230">
        <v>481.49718434645951</v>
      </c>
      <c r="E27" s="230">
        <v>2219.6344328455052</v>
      </c>
      <c r="F27" s="231">
        <v>85.574267416678694</v>
      </c>
      <c r="G27" s="231">
        <v>19.576035561888592</v>
      </c>
      <c r="H27" s="231">
        <v>165.65982707756561</v>
      </c>
      <c r="I27" s="231">
        <v>3899.2549865206515</v>
      </c>
      <c r="J27" s="231">
        <v>26.48197486656796</v>
      </c>
      <c r="K27" s="231">
        <v>2.8582580279123384</v>
      </c>
      <c r="L27" s="231">
        <v>0</v>
      </c>
      <c r="M27" s="231">
        <v>34.73212604644457</v>
      </c>
      <c r="N27" s="231">
        <v>13.815852121734526</v>
      </c>
      <c r="O27" s="231">
        <v>1.3535881767841509</v>
      </c>
      <c r="P27" s="231">
        <v>2044.4185776744487</v>
      </c>
      <c r="Q27" s="231">
        <v>163.2630394747024</v>
      </c>
    </row>
    <row r="28" spans="1:19">
      <c r="A28" s="123" t="s">
        <v>497</v>
      </c>
      <c r="B28" s="232">
        <v>10461.815360805873</v>
      </c>
      <c r="C28" s="232">
        <v>1303.6952106483595</v>
      </c>
      <c r="D28" s="232">
        <v>481.49718434645951</v>
      </c>
      <c r="E28" s="232">
        <v>2219.6344328455052</v>
      </c>
      <c r="F28" s="225">
        <v>85.574267416678694</v>
      </c>
      <c r="G28" s="225">
        <v>19.576035561888592</v>
      </c>
      <c r="H28" s="225">
        <v>165.65982707756561</v>
      </c>
      <c r="I28" s="225">
        <v>3899.2549865206515</v>
      </c>
      <c r="J28" s="225">
        <v>26.48197486656796</v>
      </c>
      <c r="K28" s="225">
        <v>2.8582580279123384</v>
      </c>
      <c r="L28" s="225">
        <v>0</v>
      </c>
      <c r="M28" s="225">
        <v>34.73212604644457</v>
      </c>
      <c r="N28" s="225">
        <v>13.815852121734526</v>
      </c>
      <c r="O28" s="225">
        <v>1.3535881767841509</v>
      </c>
      <c r="P28" s="225">
        <v>2044.4185776744487</v>
      </c>
      <c r="Q28" s="225">
        <v>163.2630394747024</v>
      </c>
    </row>
    <row r="29" spans="1:19">
      <c r="A29" s="122" t="s">
        <v>498</v>
      </c>
      <c r="B29" s="230">
        <v>5529.0260774535691</v>
      </c>
      <c r="C29" s="230">
        <v>1129.3982066500255</v>
      </c>
      <c r="D29" s="230">
        <v>55.394810886819251</v>
      </c>
      <c r="E29" s="230">
        <v>1789.8119053207599</v>
      </c>
      <c r="F29" s="231">
        <v>24.034643220106801</v>
      </c>
      <c r="G29" s="231">
        <v>10.097408186659621</v>
      </c>
      <c r="H29" s="231">
        <v>36.548574383119508</v>
      </c>
      <c r="I29" s="231">
        <v>1321.424412110749</v>
      </c>
      <c r="J29" s="231">
        <v>9.8885135754316735</v>
      </c>
      <c r="K29" s="231">
        <v>1.4157069899997887</v>
      </c>
      <c r="L29" s="231">
        <v>4.2230935384416188</v>
      </c>
      <c r="M29" s="231">
        <v>1.4425510379125499</v>
      </c>
      <c r="N29" s="231">
        <v>2.8851020758250998</v>
      </c>
      <c r="O29" s="231">
        <v>7.0813515663539572</v>
      </c>
      <c r="P29" s="231">
        <v>1038.2978272063979</v>
      </c>
      <c r="Q29" s="231">
        <v>97.081970705097291</v>
      </c>
    </row>
    <row r="30" spans="1:19">
      <c r="A30" s="76" t="s">
        <v>498</v>
      </c>
      <c r="B30" s="232">
        <v>5529.0260774535691</v>
      </c>
      <c r="C30" s="232">
        <v>1129.3982066500255</v>
      </c>
      <c r="D30" s="232">
        <v>55.394810886819251</v>
      </c>
      <c r="E30" s="232">
        <v>1789.8119053207599</v>
      </c>
      <c r="F30" s="225">
        <v>24.034643220106801</v>
      </c>
      <c r="G30" s="225">
        <v>10.097408186659621</v>
      </c>
      <c r="H30" s="225">
        <v>36.548574383119508</v>
      </c>
      <c r="I30" s="225">
        <v>1321.424412110749</v>
      </c>
      <c r="J30" s="225">
        <v>9.8885135754316735</v>
      </c>
      <c r="K30" s="225">
        <v>1.4157069899997887</v>
      </c>
      <c r="L30" s="225">
        <v>4.2230935384416188</v>
      </c>
      <c r="M30" s="225">
        <v>1.4425510379125499</v>
      </c>
      <c r="N30" s="225">
        <v>2.8851020758250998</v>
      </c>
      <c r="O30" s="225">
        <v>7.0813515663539572</v>
      </c>
      <c r="P30" s="225">
        <v>1038.2978272063979</v>
      </c>
      <c r="Q30" s="225">
        <v>97.081970705097291</v>
      </c>
    </row>
  </sheetData>
  <mergeCells count="4">
    <mergeCell ref="A2:A3"/>
    <mergeCell ref="B2:B3"/>
    <mergeCell ref="A1:Q1"/>
    <mergeCell ref="C2:Q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821E00"/>
  </sheetPr>
  <dimension ref="A1"/>
  <sheetViews>
    <sheetView workbookViewId="0">
      <selection activeCell="N30" sqref="N30"/>
    </sheetView>
  </sheetViews>
  <sheetFormatPr defaultColWidth="9.140625" defaultRowHeight="15"/>
  <cols>
    <col min="1" max="16384" width="9.140625" style="1"/>
  </cols>
  <sheetData>
    <row r="1" spans="1:1">
      <c r="A1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17"/>
  <sheetViews>
    <sheetView workbookViewId="0">
      <selection activeCell="A9" sqref="A9"/>
    </sheetView>
  </sheetViews>
  <sheetFormatPr defaultColWidth="9.140625" defaultRowHeight="12"/>
  <cols>
    <col min="1" max="1" width="24.140625" style="68" customWidth="1"/>
    <col min="2" max="4" width="9.140625" style="68"/>
    <col min="5" max="5" width="16.28515625" style="446" customWidth="1"/>
    <col min="6" max="7" width="9.140625" style="68"/>
    <col min="8" max="8" width="9.85546875" style="68" customWidth="1"/>
    <col min="9" max="13" width="9.140625" style="68"/>
    <col min="14" max="14" width="10.140625" style="68" customWidth="1"/>
    <col min="15" max="15" width="10.85546875" style="68" customWidth="1"/>
    <col min="16" max="16384" width="9.140625" style="68"/>
  </cols>
  <sheetData>
    <row r="1" spans="1:23" ht="23.25" customHeight="1" thickBot="1">
      <c r="A1" s="752" t="s">
        <v>507</v>
      </c>
      <c r="B1" s="752"/>
      <c r="C1" s="752"/>
      <c r="D1" s="752"/>
      <c r="E1" s="752"/>
      <c r="F1" s="752"/>
      <c r="G1" s="752"/>
      <c r="H1" s="752"/>
      <c r="I1" s="752"/>
      <c r="J1" s="752"/>
      <c r="K1" s="752"/>
      <c r="L1" s="752"/>
      <c r="M1" s="752"/>
      <c r="N1" s="752"/>
      <c r="O1" s="752"/>
      <c r="P1" s="752"/>
      <c r="Q1" s="752"/>
      <c r="R1" s="752"/>
      <c r="S1" s="752"/>
      <c r="T1" s="752"/>
      <c r="U1" s="752"/>
      <c r="V1" s="752"/>
      <c r="W1" s="752"/>
    </row>
    <row r="2" spans="1:23" ht="59.25" customHeight="1">
      <c r="A2" s="233" t="s">
        <v>551</v>
      </c>
      <c r="B2" s="435" t="s">
        <v>429</v>
      </c>
      <c r="C2" s="436" t="s">
        <v>233</v>
      </c>
      <c r="D2" s="436" t="s">
        <v>234</v>
      </c>
      <c r="E2" s="439" t="s">
        <v>235</v>
      </c>
      <c r="F2" s="436" t="s">
        <v>236</v>
      </c>
      <c r="G2" s="437" t="s">
        <v>237</v>
      </c>
      <c r="H2" s="438" t="s">
        <v>238</v>
      </c>
      <c r="I2" s="439" t="s">
        <v>239</v>
      </c>
      <c r="J2" s="439" t="s">
        <v>240</v>
      </c>
      <c r="K2" s="439" t="s">
        <v>241</v>
      </c>
      <c r="L2" s="439" t="s">
        <v>242</v>
      </c>
      <c r="M2" s="435" t="s">
        <v>243</v>
      </c>
      <c r="N2" s="439" t="s">
        <v>244</v>
      </c>
      <c r="O2" s="439" t="s">
        <v>245</v>
      </c>
      <c r="P2" s="439" t="s">
        <v>246</v>
      </c>
      <c r="Q2" s="439" t="s">
        <v>247</v>
      </c>
      <c r="R2" s="439" t="s">
        <v>248</v>
      </c>
      <c r="S2" s="439" t="s">
        <v>249</v>
      </c>
      <c r="T2" s="439" t="s">
        <v>250</v>
      </c>
      <c r="U2" s="439" t="s">
        <v>251</v>
      </c>
      <c r="V2" s="439" t="s">
        <v>252</v>
      </c>
      <c r="W2" s="439" t="s">
        <v>253</v>
      </c>
    </row>
    <row r="3" spans="1:23">
      <c r="A3" s="427" t="s">
        <v>500</v>
      </c>
      <c r="B3" s="428">
        <v>129255.58152003404</v>
      </c>
      <c r="C3" s="429">
        <v>61134.326456621682</v>
      </c>
      <c r="D3" s="429">
        <v>858.85245487660779</v>
      </c>
      <c r="E3" s="440">
        <v>244.27105354239364</v>
      </c>
      <c r="F3" s="428">
        <v>179.84080858398048</v>
      </c>
      <c r="G3" s="429">
        <v>234.41934875399184</v>
      </c>
      <c r="H3" s="430">
        <v>27460.44912186361</v>
      </c>
      <c r="I3" s="429">
        <v>404.19742528456345</v>
      </c>
      <c r="J3" s="429">
        <v>6374.5446768633819</v>
      </c>
      <c r="K3" s="429">
        <v>357.49300709386529</v>
      </c>
      <c r="L3" s="429">
        <v>108.73601302239635</v>
      </c>
      <c r="M3" s="429">
        <v>58.144185383834959</v>
      </c>
      <c r="N3" s="429">
        <v>4638.1729156035572</v>
      </c>
      <c r="O3" s="429">
        <v>325.55924718829664</v>
      </c>
      <c r="P3" s="429">
        <v>137.12590563865464</v>
      </c>
      <c r="Q3" s="429">
        <v>10890.107851776138</v>
      </c>
      <c r="R3" s="429">
        <v>3737.7446914995976</v>
      </c>
      <c r="S3" s="429">
        <v>339.62819758176028</v>
      </c>
      <c r="T3" s="429">
        <v>2.8707633872501264</v>
      </c>
      <c r="U3" s="429">
        <v>6155.885462047223</v>
      </c>
      <c r="V3" s="429">
        <v>3020.3734040675336</v>
      </c>
      <c r="W3" s="429">
        <v>2592.8385293827068</v>
      </c>
    </row>
    <row r="4" spans="1:23">
      <c r="A4" s="236"/>
      <c r="B4" s="62"/>
      <c r="C4" s="61"/>
      <c r="D4" s="61"/>
      <c r="E4" s="441"/>
      <c r="F4" s="62"/>
      <c r="G4" s="61"/>
      <c r="H4" s="84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</row>
    <row r="5" spans="1:23">
      <c r="A5" s="431" t="s">
        <v>111</v>
      </c>
      <c r="B5" s="237"/>
      <c r="C5" s="238"/>
      <c r="D5" s="239"/>
      <c r="E5" s="442"/>
      <c r="F5" s="237"/>
      <c r="G5" s="238"/>
      <c r="H5" s="240"/>
      <c r="I5" s="238"/>
      <c r="J5" s="238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</row>
    <row r="6" spans="1:23" ht="15" customHeight="1">
      <c r="A6" s="241" t="s">
        <v>4</v>
      </c>
      <c r="B6" s="62">
        <v>47992.712075611656</v>
      </c>
      <c r="C6" s="84">
        <v>15896.725642575684</v>
      </c>
      <c r="D6" s="84">
        <v>738.69049363005684</v>
      </c>
      <c r="E6" s="441">
        <v>59.855661661881165</v>
      </c>
      <c r="F6" s="62">
        <v>55.676568955764175</v>
      </c>
      <c r="G6" s="84">
        <v>53.76982723376959</v>
      </c>
      <c r="H6" s="84">
        <v>12880.182854255234</v>
      </c>
      <c r="I6" s="84">
        <v>87.028154058728745</v>
      </c>
      <c r="J6" s="84">
        <v>2257.486189504998</v>
      </c>
      <c r="K6" s="84">
        <v>224.80026602801814</v>
      </c>
      <c r="L6" s="84">
        <v>12.812857629358076</v>
      </c>
      <c r="M6" s="84">
        <v>26.181803582902532</v>
      </c>
      <c r="N6" s="84">
        <v>2950.0272540862552</v>
      </c>
      <c r="O6" s="84">
        <v>230.55372045662574</v>
      </c>
      <c r="P6" s="84">
        <v>68.16296915218318</v>
      </c>
      <c r="Q6" s="85">
        <v>5641.1852796085341</v>
      </c>
      <c r="R6" s="84">
        <v>1109.2787360252362</v>
      </c>
      <c r="S6" s="84">
        <v>253.14077092600834</v>
      </c>
      <c r="T6" s="84">
        <v>2.8707633872501264</v>
      </c>
      <c r="U6" s="84">
        <v>2848.092770055192</v>
      </c>
      <c r="V6" s="84">
        <v>1802.2060244495042</v>
      </c>
      <c r="W6" s="84">
        <v>793.98346837039855</v>
      </c>
    </row>
    <row r="7" spans="1:23">
      <c r="A7" s="241" t="s">
        <v>5</v>
      </c>
      <c r="B7" s="62">
        <v>81262.86944443587</v>
      </c>
      <c r="C7" s="84">
        <v>45237.600814056015</v>
      </c>
      <c r="D7" s="84">
        <v>120.1619612465521</v>
      </c>
      <c r="E7" s="441">
        <v>184.41539188051266</v>
      </c>
      <c r="F7" s="62">
        <v>124.16423962821649</v>
      </c>
      <c r="G7" s="84">
        <v>180.64952152022238</v>
      </c>
      <c r="H7" s="84">
        <v>14580.266267602989</v>
      </c>
      <c r="I7" s="84">
        <v>317.16927122583485</v>
      </c>
      <c r="J7" s="84">
        <v>4117.0584873585976</v>
      </c>
      <c r="K7" s="84">
        <v>132.69274106584675</v>
      </c>
      <c r="L7" s="84">
        <v>95.923155393038272</v>
      </c>
      <c r="M7" s="84">
        <v>31.962381800932388</v>
      </c>
      <c r="N7" s="84">
        <v>1688.145661517284</v>
      </c>
      <c r="O7" s="84">
        <v>95.005526731670898</v>
      </c>
      <c r="P7" s="84">
        <v>68.96293648647142</v>
      </c>
      <c r="Q7" s="85">
        <v>5248.9225721679295</v>
      </c>
      <c r="R7" s="84">
        <v>2628.4659554743184</v>
      </c>
      <c r="S7" s="84">
        <v>86.487426655751406</v>
      </c>
      <c r="T7" s="84">
        <v>0</v>
      </c>
      <c r="U7" s="84">
        <v>3307.7926919921806</v>
      </c>
      <c r="V7" s="84">
        <v>1218.1673796181381</v>
      </c>
      <c r="W7" s="84">
        <v>1798.8550610122488</v>
      </c>
    </row>
    <row r="8" spans="1:23">
      <c r="A8" s="432" t="s">
        <v>559</v>
      </c>
      <c r="B8" s="234"/>
      <c r="C8" s="235"/>
      <c r="D8" s="240"/>
      <c r="E8" s="443"/>
      <c r="F8" s="242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3"/>
      <c r="R8" s="240"/>
      <c r="S8" s="240"/>
      <c r="T8" s="240"/>
      <c r="U8" s="240"/>
      <c r="V8" s="240"/>
      <c r="W8" s="240"/>
    </row>
    <row r="9" spans="1:23" ht="15.75" customHeight="1">
      <c r="A9" s="433" t="s">
        <v>486</v>
      </c>
      <c r="B9" s="133">
        <v>22772.763678308733</v>
      </c>
      <c r="C9" s="134">
        <v>11009.565521341412</v>
      </c>
      <c r="D9" s="134">
        <v>53.378273215792881</v>
      </c>
      <c r="E9" s="444">
        <v>44.213995314300831</v>
      </c>
      <c r="F9" s="133">
        <v>26.476783622123637</v>
      </c>
      <c r="G9" s="134">
        <v>41.453119159602466</v>
      </c>
      <c r="H9" s="134">
        <v>4226.4522675913176</v>
      </c>
      <c r="I9" s="134">
        <v>85.298195458877842</v>
      </c>
      <c r="J9" s="134">
        <v>616.81361001852304</v>
      </c>
      <c r="K9" s="134">
        <v>23.912744318561764</v>
      </c>
      <c r="L9" s="134">
        <v>2.795914675332587</v>
      </c>
      <c r="M9" s="134">
        <v>0</v>
      </c>
      <c r="N9" s="134">
        <v>859.13090316805813</v>
      </c>
      <c r="O9" s="134">
        <v>35.038658078151677</v>
      </c>
      <c r="P9" s="134">
        <v>39.437719697548623</v>
      </c>
      <c r="Q9" s="134">
        <v>3582.818398828505</v>
      </c>
      <c r="R9" s="83">
        <v>1055.7954166371278</v>
      </c>
      <c r="S9" s="83">
        <v>0</v>
      </c>
      <c r="T9" s="83">
        <v>0</v>
      </c>
      <c r="U9" s="83">
        <v>448.36325016210287</v>
      </c>
      <c r="V9" s="83">
        <v>493.12149204239131</v>
      </c>
      <c r="W9" s="83">
        <v>128.69741497463335</v>
      </c>
    </row>
    <row r="10" spans="1:23">
      <c r="A10" s="433" t="s">
        <v>487</v>
      </c>
      <c r="B10" s="133">
        <v>46419.032345137173</v>
      </c>
      <c r="C10" s="134">
        <v>12616.648168042933</v>
      </c>
      <c r="D10" s="134">
        <v>667.23334081268979</v>
      </c>
      <c r="E10" s="444">
        <v>22.301147354510761</v>
      </c>
      <c r="F10" s="133">
        <v>36.0279012863448</v>
      </c>
      <c r="G10" s="134">
        <v>63.34102333530732</v>
      </c>
      <c r="H10" s="134">
        <v>16706.980621110888</v>
      </c>
      <c r="I10" s="134">
        <v>66.731543443318458</v>
      </c>
      <c r="J10" s="134">
        <v>2395.3852714892751</v>
      </c>
      <c r="K10" s="134">
        <v>213.44032179764773</v>
      </c>
      <c r="L10" s="134">
        <v>12.812633089993962</v>
      </c>
      <c r="M10" s="134">
        <v>26.181803582902532</v>
      </c>
      <c r="N10" s="134">
        <v>3141.2700151528707</v>
      </c>
      <c r="O10" s="134">
        <v>160.78510422038337</v>
      </c>
      <c r="P10" s="134">
        <v>40.946435377883937</v>
      </c>
      <c r="Q10" s="134">
        <v>3672.5535860440359</v>
      </c>
      <c r="R10" s="83">
        <v>313.20701898945646</v>
      </c>
      <c r="S10" s="83">
        <v>335.30121808611494</v>
      </c>
      <c r="T10" s="83">
        <v>2.8707633872501264</v>
      </c>
      <c r="U10" s="83">
        <v>3333.1326392268875</v>
      </c>
      <c r="V10" s="83">
        <v>1692.5953914678785</v>
      </c>
      <c r="W10" s="83">
        <v>899.28639786022222</v>
      </c>
    </row>
    <row r="11" spans="1:23">
      <c r="A11" s="433" t="s">
        <v>489</v>
      </c>
      <c r="B11" s="133">
        <v>6755.03434328819</v>
      </c>
      <c r="C11" s="134">
        <v>3709.6183376089916</v>
      </c>
      <c r="D11" s="134">
        <v>8.4472205631117827</v>
      </c>
      <c r="E11" s="444">
        <v>7.171123374346787</v>
      </c>
      <c r="F11" s="133">
        <v>18.444229523294251</v>
      </c>
      <c r="G11" s="134">
        <v>28.306825107892454</v>
      </c>
      <c r="H11" s="134">
        <v>1802.6285438405585</v>
      </c>
      <c r="I11" s="134">
        <v>18.4308103785459</v>
      </c>
      <c r="J11" s="134">
        <v>171.81077896151362</v>
      </c>
      <c r="K11" s="134">
        <v>4.2471209699993659</v>
      </c>
      <c r="L11" s="134">
        <v>2.7961392146967006</v>
      </c>
      <c r="M11" s="134">
        <v>2.8846529970968722</v>
      </c>
      <c r="N11" s="134">
        <v>106.35265333222935</v>
      </c>
      <c r="O11" s="134">
        <v>4.3005845264607752</v>
      </c>
      <c r="P11" s="134">
        <v>12.721185581023908</v>
      </c>
      <c r="Q11" s="134">
        <v>300.74135361436282</v>
      </c>
      <c r="R11" s="83">
        <v>64.456392581916361</v>
      </c>
      <c r="S11" s="83">
        <v>1.4423264985484361</v>
      </c>
      <c r="T11" s="83">
        <v>0</v>
      </c>
      <c r="U11" s="83">
        <v>266.21083226934246</v>
      </c>
      <c r="V11" s="83">
        <v>120.59947879079573</v>
      </c>
      <c r="W11" s="83">
        <v>103.42375355358736</v>
      </c>
    </row>
    <row r="12" spans="1:23">
      <c r="A12" s="433" t="s">
        <v>491</v>
      </c>
      <c r="B12" s="133">
        <v>18411.949535187025</v>
      </c>
      <c r="C12" s="134">
        <v>11958.1818075956</v>
      </c>
      <c r="D12" s="134">
        <v>128.35129378646667</v>
      </c>
      <c r="E12" s="444">
        <v>12.370524985512057</v>
      </c>
      <c r="F12" s="133">
        <v>13.979675795527577</v>
      </c>
      <c r="G12" s="134">
        <v>12.671316184438284</v>
      </c>
      <c r="H12" s="134">
        <v>1735.8295042612785</v>
      </c>
      <c r="I12" s="134">
        <v>48.236457016101731</v>
      </c>
      <c r="J12" s="134">
        <v>1712.4047859839304</v>
      </c>
      <c r="K12" s="134">
        <v>10.0437200908341</v>
      </c>
      <c r="L12" s="134">
        <v>14.305489418433925</v>
      </c>
      <c r="M12" s="134">
        <v>8.448896264089008</v>
      </c>
      <c r="N12" s="134">
        <v>131.23786974232146</v>
      </c>
      <c r="O12" s="134">
        <v>80.88852504584203</v>
      </c>
      <c r="P12" s="134">
        <v>18.6208617121979</v>
      </c>
      <c r="Q12" s="134">
        <v>992.84124611168136</v>
      </c>
      <c r="R12" s="83">
        <v>372.70631973024462</v>
      </c>
      <c r="S12" s="83">
        <v>1.4423264985484361</v>
      </c>
      <c r="T12" s="83">
        <v>0</v>
      </c>
      <c r="U12" s="83">
        <v>485.79948187070357</v>
      </c>
      <c r="V12" s="83">
        <v>256.90701741545604</v>
      </c>
      <c r="W12" s="83">
        <v>416.68241567561176</v>
      </c>
    </row>
    <row r="13" spans="1:23">
      <c r="A13" s="433" t="s">
        <v>499</v>
      </c>
      <c r="B13" s="133">
        <v>8555.898995340247</v>
      </c>
      <c r="C13" s="134">
        <v>6138.9093445365015</v>
      </c>
      <c r="D13" s="134">
        <v>0</v>
      </c>
      <c r="E13" s="444">
        <v>48.827560034980195</v>
      </c>
      <c r="F13" s="133">
        <v>8.303311580565202</v>
      </c>
      <c r="G13" s="134">
        <v>13.85845051207488</v>
      </c>
      <c r="H13" s="134">
        <v>485.83943934496801</v>
      </c>
      <c r="I13" s="134">
        <v>12.714206025246902</v>
      </c>
      <c r="J13" s="134">
        <v>65.937707228817544</v>
      </c>
      <c r="K13" s="134">
        <v>18.265526257516683</v>
      </c>
      <c r="L13" s="134">
        <v>15.049890716043206</v>
      </c>
      <c r="M13" s="134">
        <v>9.5933652902810955</v>
      </c>
      <c r="N13" s="134">
        <v>26.751811472430692</v>
      </c>
      <c r="O13" s="134">
        <v>4.1774158940185337</v>
      </c>
      <c r="P13" s="134">
        <v>7.1372997706570196</v>
      </c>
      <c r="Q13" s="134">
        <v>455.76981953972347</v>
      </c>
      <c r="R13" s="83">
        <v>991.08725685455909</v>
      </c>
      <c r="S13" s="83">
        <v>0</v>
      </c>
      <c r="T13" s="83">
        <v>0</v>
      </c>
      <c r="U13" s="83">
        <v>61.481696024397529</v>
      </c>
      <c r="V13" s="83">
        <v>12.122761449105461</v>
      </c>
      <c r="W13" s="83">
        <v>180.07213280839946</v>
      </c>
    </row>
    <row r="14" spans="1:23">
      <c r="A14" s="433" t="s">
        <v>493</v>
      </c>
      <c r="B14" s="135">
        <v>4939.9023886371051</v>
      </c>
      <c r="C14" s="83">
        <v>2409.8246142900925</v>
      </c>
      <c r="D14" s="83">
        <v>0</v>
      </c>
      <c r="E14" s="445">
        <v>12.361020263848303</v>
      </c>
      <c r="F14" s="135">
        <v>12.761919238783415</v>
      </c>
      <c r="G14" s="136">
        <v>12.475309100172199</v>
      </c>
      <c r="H14" s="83">
        <v>771.77578854113585</v>
      </c>
      <c r="I14" s="83">
        <v>43.535782461570271</v>
      </c>
      <c r="J14" s="83">
        <v>79.781523982326192</v>
      </c>
      <c r="K14" s="83">
        <v>4.3008090658248879</v>
      </c>
      <c r="L14" s="83">
        <v>1.4425510379125499</v>
      </c>
      <c r="M14" s="83">
        <v>1.4157069899997887</v>
      </c>
      <c r="N14" s="83">
        <v>100.2395192642241</v>
      </c>
      <c r="O14" s="83">
        <v>2.8582580279123384</v>
      </c>
      <c r="P14" s="83">
        <v>4.3276531137376502</v>
      </c>
      <c r="Q14" s="83">
        <v>278.78687907585527</v>
      </c>
      <c r="R14" s="83">
        <v>93.526451077364669</v>
      </c>
      <c r="S14" s="83">
        <v>0</v>
      </c>
      <c r="T14" s="83">
        <v>0</v>
      </c>
      <c r="U14" s="83">
        <v>1027.5599852727487</v>
      </c>
      <c r="V14" s="83">
        <v>27.956285126316061</v>
      </c>
      <c r="W14" s="83">
        <v>54.97233270728983</v>
      </c>
    </row>
    <row r="15" spans="1:23">
      <c r="A15" s="434" t="s">
        <v>494</v>
      </c>
      <c r="B15" s="135">
        <v>5410.1587959149765</v>
      </c>
      <c r="C15" s="83">
        <v>2639.4341184788414</v>
      </c>
      <c r="D15" s="83">
        <v>1.4423264985484361</v>
      </c>
      <c r="E15" s="445">
        <v>2.8098711962834848</v>
      </c>
      <c r="F15" s="135">
        <v>2.6759829252330385</v>
      </c>
      <c r="G15" s="83">
        <v>1.3379914626165192</v>
      </c>
      <c r="H15" s="83">
        <v>556.63938663345778</v>
      </c>
      <c r="I15" s="83">
        <v>4.3003599870966607</v>
      </c>
      <c r="J15" s="83">
        <v>326.25479235828436</v>
      </c>
      <c r="K15" s="83">
        <v>1.4425510379125499</v>
      </c>
      <c r="L15" s="83">
        <v>0</v>
      </c>
      <c r="M15" s="83">
        <v>0</v>
      </c>
      <c r="N15" s="83">
        <v>9.8204867910311773</v>
      </c>
      <c r="O15" s="83">
        <v>9.7456380791136397</v>
      </c>
      <c r="P15" s="83">
        <v>0</v>
      </c>
      <c r="Q15" s="83">
        <v>1418.8060444824894</v>
      </c>
      <c r="R15" s="83">
        <v>41.881336174755731</v>
      </c>
      <c r="S15" s="83">
        <v>0</v>
      </c>
      <c r="T15" s="83">
        <v>0</v>
      </c>
      <c r="U15" s="83">
        <v>8.4767068871261593</v>
      </c>
      <c r="V15" s="83">
        <v>367.01819701831585</v>
      </c>
      <c r="W15" s="83">
        <v>18.073005903977137</v>
      </c>
    </row>
    <row r="16" spans="1:23">
      <c r="A16" s="433" t="s">
        <v>497</v>
      </c>
      <c r="B16" s="135">
        <v>10461.815360805278</v>
      </c>
      <c r="C16" s="83">
        <v>7312.3074628567674</v>
      </c>
      <c r="D16" s="83">
        <v>0</v>
      </c>
      <c r="E16" s="445">
        <v>16.940075661998442</v>
      </c>
      <c r="F16" s="135">
        <v>24.124401819827014</v>
      </c>
      <c r="G16" s="83">
        <v>33.788041902239044</v>
      </c>
      <c r="H16" s="83">
        <v>652.0135585240298</v>
      </c>
      <c r="I16" s="83">
        <v>106.32582599631</v>
      </c>
      <c r="J16" s="83">
        <v>851.74902994560523</v>
      </c>
      <c r="K16" s="83">
        <v>63.266840517542299</v>
      </c>
      <c r="L16" s="83">
        <v>49.435537604595531</v>
      </c>
      <c r="M16" s="83">
        <v>9.6197602594656288</v>
      </c>
      <c r="N16" s="83">
        <v>52.99938432185931</v>
      </c>
      <c r="O16" s="83">
        <v>26.322512278501943</v>
      </c>
      <c r="P16" s="83">
        <v>1.4157069899997887</v>
      </c>
      <c r="Q16" s="83">
        <v>90.056782498914345</v>
      </c>
      <c r="R16" s="83">
        <v>72.002015585206465</v>
      </c>
      <c r="S16" s="83">
        <v>0</v>
      </c>
      <c r="T16" s="83">
        <v>0</v>
      </c>
      <c r="U16" s="83">
        <v>315.40965525103064</v>
      </c>
      <c r="V16" s="83">
        <v>10.912972235115525</v>
      </c>
      <c r="W16" s="83">
        <v>773.1257965563824</v>
      </c>
    </row>
    <row r="17" spans="1:23">
      <c r="A17" s="433" t="s">
        <v>498</v>
      </c>
      <c r="B17" s="135">
        <v>5529.02607745357</v>
      </c>
      <c r="C17" s="83">
        <v>3339.8370818995841</v>
      </c>
      <c r="D17" s="83">
        <v>0</v>
      </c>
      <c r="E17" s="445">
        <v>77.275735356613069</v>
      </c>
      <c r="F17" s="135">
        <v>37.046602792281639</v>
      </c>
      <c r="G17" s="83">
        <v>27.187271989648959</v>
      </c>
      <c r="H17" s="83">
        <v>522.29001201126516</v>
      </c>
      <c r="I17" s="83">
        <v>18.624244517496006</v>
      </c>
      <c r="J17" s="83">
        <v>154.40717689523058</v>
      </c>
      <c r="K17" s="83">
        <v>18.573373038025501</v>
      </c>
      <c r="L17" s="83">
        <v>10.097857265387848</v>
      </c>
      <c r="M17" s="83">
        <v>0</v>
      </c>
      <c r="N17" s="83">
        <v>210.37027235849749</v>
      </c>
      <c r="O17" s="83">
        <v>1.4425510379125499</v>
      </c>
      <c r="P17" s="83">
        <v>12.519043395605742</v>
      </c>
      <c r="Q17" s="83">
        <v>97.733741580831776</v>
      </c>
      <c r="R17" s="83">
        <v>733.08248386887897</v>
      </c>
      <c r="S17" s="83">
        <v>1.4423264985484361</v>
      </c>
      <c r="T17" s="83">
        <v>0</v>
      </c>
      <c r="U17" s="83">
        <v>209.45121508301196</v>
      </c>
      <c r="V17" s="83">
        <v>39.139808522360426</v>
      </c>
      <c r="W17" s="83">
        <v>18.505279342520854</v>
      </c>
    </row>
  </sheetData>
  <mergeCells count="1">
    <mergeCell ref="A1:W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821E00"/>
  </sheetPr>
  <dimension ref="A1"/>
  <sheetViews>
    <sheetView workbookViewId="0">
      <selection activeCell="N27" sqref="N27"/>
    </sheetView>
  </sheetViews>
  <sheetFormatPr defaultColWidth="9.140625" defaultRowHeight="15"/>
  <cols>
    <col min="1" max="16384" width="9.140625" style="1"/>
  </cols>
  <sheetData>
    <row r="1" spans="1:1">
      <c r="A1" s="2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30"/>
  <sheetViews>
    <sheetView zoomScale="120" zoomScaleNormal="120" workbookViewId="0">
      <selection activeCell="J7" sqref="J7:J8"/>
    </sheetView>
  </sheetViews>
  <sheetFormatPr defaultColWidth="9.140625" defaultRowHeight="12"/>
  <cols>
    <col min="1" max="1" width="22.85546875" style="69" customWidth="1"/>
    <col min="2" max="4" width="9.140625" style="75"/>
    <col min="5" max="5" width="3.5703125" style="75" customWidth="1"/>
    <col min="6" max="8" width="9.140625" style="75"/>
    <col min="9" max="9" width="2.42578125" style="75" customWidth="1"/>
    <col min="10" max="13" width="9.140625" style="75"/>
    <col min="14" max="16384" width="9.140625" style="69"/>
  </cols>
  <sheetData>
    <row r="1" spans="1:15" ht="17.25" customHeight="1">
      <c r="A1" s="753" t="s">
        <v>508</v>
      </c>
      <c r="B1" s="753"/>
      <c r="C1" s="753"/>
      <c r="D1" s="753"/>
      <c r="E1" s="753"/>
      <c r="F1" s="753"/>
      <c r="G1" s="753"/>
      <c r="H1" s="753"/>
      <c r="I1" s="753"/>
      <c r="J1" s="753"/>
      <c r="K1" s="753"/>
      <c r="L1" s="753"/>
      <c r="M1" s="753"/>
    </row>
    <row r="2" spans="1:15" ht="21" customHeight="1">
      <c r="A2" s="757" t="s">
        <v>445</v>
      </c>
      <c r="B2" s="754" t="s">
        <v>509</v>
      </c>
      <c r="C2" s="754"/>
      <c r="D2" s="754"/>
      <c r="E2" s="521"/>
      <c r="F2" s="754" t="s">
        <v>201</v>
      </c>
      <c r="G2" s="754"/>
      <c r="H2" s="754"/>
      <c r="I2" s="521"/>
      <c r="J2" s="754" t="s">
        <v>202</v>
      </c>
      <c r="K2" s="754"/>
      <c r="L2" s="754"/>
      <c r="M2" s="755" t="s">
        <v>203</v>
      </c>
    </row>
    <row r="3" spans="1:15" ht="14.25" customHeight="1">
      <c r="A3" s="758"/>
      <c r="B3" s="244" t="s">
        <v>1</v>
      </c>
      <c r="C3" s="244" t="s">
        <v>2</v>
      </c>
      <c r="D3" s="244" t="s">
        <v>3</v>
      </c>
      <c r="E3" s="245"/>
      <c r="F3" s="244" t="s">
        <v>1</v>
      </c>
      <c r="G3" s="244" t="s">
        <v>2</v>
      </c>
      <c r="H3" s="244" t="s">
        <v>3</v>
      </c>
      <c r="I3" s="245"/>
      <c r="J3" s="244" t="s">
        <v>1</v>
      </c>
      <c r="K3" s="244" t="s">
        <v>2</v>
      </c>
      <c r="L3" s="244" t="s">
        <v>3</v>
      </c>
      <c r="M3" s="756"/>
    </row>
    <row r="4" spans="1:15" ht="11.25" customHeight="1">
      <c r="A4" s="145" t="s">
        <v>500</v>
      </c>
      <c r="B4" s="527">
        <v>80587.818348752553</v>
      </c>
      <c r="C4" s="527">
        <v>41390.697982399863</v>
      </c>
      <c r="D4" s="527">
        <v>39197.120366375784</v>
      </c>
      <c r="E4" s="527"/>
      <c r="F4" s="527">
        <v>34748.154608783421</v>
      </c>
      <c r="G4" s="527">
        <v>21120.331600056303</v>
      </c>
      <c r="H4" s="527">
        <v>13627.82300872831</v>
      </c>
      <c r="I4" s="680"/>
      <c r="J4" s="681">
        <v>43.118371139428227</v>
      </c>
      <c r="K4" s="681">
        <v>51.026758739459687</v>
      </c>
      <c r="L4" s="681">
        <v>34.767408629379865</v>
      </c>
      <c r="M4" s="682">
        <v>0.68135639982348628</v>
      </c>
      <c r="N4" s="526"/>
    </row>
    <row r="5" spans="1:15">
      <c r="A5" s="97"/>
      <c r="B5" s="535"/>
      <c r="C5" s="535"/>
      <c r="D5" s="535"/>
      <c r="E5" s="535"/>
      <c r="F5" s="535"/>
      <c r="G5" s="535"/>
      <c r="H5" s="535"/>
      <c r="I5" s="683"/>
      <c r="J5" s="684"/>
      <c r="K5" s="684"/>
      <c r="L5" s="684"/>
      <c r="M5" s="685"/>
      <c r="N5" s="526"/>
    </row>
    <row r="6" spans="1:15">
      <c r="A6" s="246" t="s">
        <v>111</v>
      </c>
      <c r="B6" s="527"/>
      <c r="C6" s="527"/>
      <c r="D6" s="527"/>
      <c r="E6" s="527"/>
      <c r="F6" s="527"/>
      <c r="G6" s="527"/>
      <c r="H6" s="527"/>
      <c r="I6" s="680"/>
      <c r="J6" s="681"/>
      <c r="K6" s="681"/>
      <c r="L6" s="681"/>
      <c r="M6" s="682"/>
      <c r="N6" s="526"/>
    </row>
    <row r="7" spans="1:15">
      <c r="A7" s="97" t="s">
        <v>4</v>
      </c>
      <c r="B7" s="535">
        <v>30538.982828379219</v>
      </c>
      <c r="C7" s="535">
        <v>15565.482268863392</v>
      </c>
      <c r="D7" s="535">
        <v>14973.500559518501</v>
      </c>
      <c r="E7" s="535"/>
      <c r="F7" s="535">
        <v>17649.560728141339</v>
      </c>
      <c r="G7" s="535">
        <v>10844.4034636508</v>
      </c>
      <c r="H7" s="535">
        <v>6805.1572644882335</v>
      </c>
      <c r="I7" s="683"/>
      <c r="J7" s="684">
        <v>57.79354481885273</v>
      </c>
      <c r="K7" s="684">
        <v>69.669562923490744</v>
      </c>
      <c r="L7" s="684">
        <v>45.448004876606014</v>
      </c>
      <c r="M7" s="685">
        <v>0.65233658673179562</v>
      </c>
      <c r="N7" s="526"/>
    </row>
    <row r="8" spans="1:15">
      <c r="A8" s="97" t="s">
        <v>5</v>
      </c>
      <c r="B8" s="535">
        <v>50048.835520396766</v>
      </c>
      <c r="C8" s="535">
        <v>25825.215713534424</v>
      </c>
      <c r="D8" s="535">
        <v>24223.61980685564</v>
      </c>
      <c r="E8" s="535"/>
      <c r="F8" s="535">
        <v>17098.593880644708</v>
      </c>
      <c r="G8" s="535">
        <v>10275.928136404416</v>
      </c>
      <c r="H8" s="535">
        <v>6822.6657442377254</v>
      </c>
      <c r="I8" s="683"/>
      <c r="J8" s="684">
        <v>34.163819603107726</v>
      </c>
      <c r="K8" s="684">
        <v>39.790289654847392</v>
      </c>
      <c r="L8" s="684">
        <v>28.165343572256571</v>
      </c>
      <c r="M8" s="685">
        <v>0.70784464794227431</v>
      </c>
      <c r="N8" s="526"/>
    </row>
    <row r="9" spans="1:15" s="72" customFormat="1">
      <c r="A9" s="246" t="s">
        <v>448</v>
      </c>
      <c r="B9" s="527"/>
      <c r="C9" s="527"/>
      <c r="D9" s="527"/>
      <c r="E9" s="527"/>
      <c r="F9" s="527"/>
      <c r="G9" s="527"/>
      <c r="H9" s="527"/>
      <c r="I9" s="680"/>
      <c r="J9" s="681"/>
      <c r="K9" s="681"/>
      <c r="L9" s="681"/>
      <c r="M9" s="682"/>
      <c r="N9" s="526"/>
    </row>
    <row r="10" spans="1:15">
      <c r="A10" s="86" t="s">
        <v>486</v>
      </c>
      <c r="B10" s="531">
        <v>13390.413630555935</v>
      </c>
      <c r="C10" s="531">
        <v>7010.4743157550147</v>
      </c>
      <c r="D10" s="531">
        <v>6379.9393147990413</v>
      </c>
      <c r="E10" s="531"/>
      <c r="F10" s="531">
        <v>7766.0261127230815</v>
      </c>
      <c r="G10" s="531">
        <v>4466.3816543024332</v>
      </c>
      <c r="H10" s="531">
        <v>3299.644458420843</v>
      </c>
      <c r="I10" s="686"/>
      <c r="J10" s="687">
        <v>57.996909781801371</v>
      </c>
      <c r="K10" s="687">
        <v>63.710120786905669</v>
      </c>
      <c r="L10" s="687">
        <v>51.719057119664839</v>
      </c>
      <c r="M10" s="688">
        <v>0.81178714591755485</v>
      </c>
      <c r="N10" s="526"/>
    </row>
    <row r="11" spans="1:15" s="72" customFormat="1">
      <c r="A11" s="87" t="s">
        <v>486</v>
      </c>
      <c r="B11" s="535">
        <v>13390.413630555935</v>
      </c>
      <c r="C11" s="535">
        <v>7010.4743157550147</v>
      </c>
      <c r="D11" s="535">
        <v>6379.9393147990413</v>
      </c>
      <c r="E11" s="535"/>
      <c r="F11" s="535">
        <v>7766.0261127230815</v>
      </c>
      <c r="G11" s="535">
        <v>4466.3816543024332</v>
      </c>
      <c r="H11" s="535">
        <v>3299.644458420843</v>
      </c>
      <c r="I11" s="683"/>
      <c r="J11" s="684">
        <v>57.996909781801371</v>
      </c>
      <c r="K11" s="684">
        <v>63.710120786905669</v>
      </c>
      <c r="L11" s="684">
        <v>51.719057119664839</v>
      </c>
      <c r="M11" s="685">
        <v>0.81178714591755485</v>
      </c>
      <c r="N11" s="526"/>
    </row>
    <row r="12" spans="1:15">
      <c r="A12" s="86" t="s">
        <v>487</v>
      </c>
      <c r="B12" s="531">
        <v>29141.82771664055</v>
      </c>
      <c r="C12" s="531">
        <v>14805.134411363046</v>
      </c>
      <c r="D12" s="531">
        <v>14336.69330527949</v>
      </c>
      <c r="E12" s="531"/>
      <c r="F12" s="531">
        <v>14221.598430552795</v>
      </c>
      <c r="G12" s="531">
        <v>9397.9050517272044</v>
      </c>
      <c r="H12" s="531">
        <v>4823.6933788235956</v>
      </c>
      <c r="I12" s="686"/>
      <c r="J12" s="687">
        <v>48.801326288918283</v>
      </c>
      <c r="K12" s="687">
        <v>63.477336919781379</v>
      </c>
      <c r="L12" s="687">
        <v>33.645787603250099</v>
      </c>
      <c r="M12" s="688">
        <v>0.53004409504087269</v>
      </c>
      <c r="N12" s="526"/>
    </row>
    <row r="13" spans="1:15">
      <c r="A13" s="87" t="s">
        <v>487</v>
      </c>
      <c r="B13" s="535">
        <v>25383.44188002911</v>
      </c>
      <c r="C13" s="535">
        <v>12829.347802653529</v>
      </c>
      <c r="D13" s="535">
        <v>12554.094077376047</v>
      </c>
      <c r="E13" s="535"/>
      <c r="F13" s="535">
        <v>12959.895066491768</v>
      </c>
      <c r="G13" s="535">
        <v>8532.0692840067586</v>
      </c>
      <c r="H13" s="535">
        <v>4427.8257824832654</v>
      </c>
      <c r="I13" s="683"/>
      <c r="J13" s="684">
        <v>51.0564923690971</v>
      </c>
      <c r="K13" s="684">
        <v>66.504310392477421</v>
      </c>
      <c r="L13" s="684">
        <v>35.269974521402034</v>
      </c>
      <c r="M13" s="685">
        <v>0.53034118109420414</v>
      </c>
      <c r="N13" s="526"/>
    </row>
    <row r="14" spans="1:15" s="72" customFormat="1">
      <c r="A14" s="87" t="s">
        <v>488</v>
      </c>
      <c r="B14" s="535">
        <v>3758.3858366116651</v>
      </c>
      <c r="C14" s="535">
        <v>1975.7866087088764</v>
      </c>
      <c r="D14" s="535">
        <v>1782.5992279028751</v>
      </c>
      <c r="E14" s="535"/>
      <c r="F14" s="535">
        <v>1261.7033640605198</v>
      </c>
      <c r="G14" s="535">
        <v>865.83576772017443</v>
      </c>
      <c r="H14" s="535">
        <v>395.86759634034371</v>
      </c>
      <c r="I14" s="683"/>
      <c r="J14" s="684">
        <v>33.570352244568653</v>
      </c>
      <c r="K14" s="684">
        <v>43.822332022281302</v>
      </c>
      <c r="L14" s="684">
        <v>22.207324570989538</v>
      </c>
      <c r="M14" s="685">
        <v>0.50675816521353334</v>
      </c>
      <c r="N14" s="526"/>
    </row>
    <row r="15" spans="1:15">
      <c r="A15" s="86" t="s">
        <v>489</v>
      </c>
      <c r="B15" s="531">
        <v>5129.2834288150552</v>
      </c>
      <c r="C15" s="531">
        <v>2707.0491010882506</v>
      </c>
      <c r="D15" s="531">
        <v>2422.2343277269083</v>
      </c>
      <c r="E15" s="531"/>
      <c r="F15" s="531">
        <v>2046.7202792476448</v>
      </c>
      <c r="G15" s="531">
        <v>1044.3963629590544</v>
      </c>
      <c r="H15" s="531">
        <v>1002.3239162885747</v>
      </c>
      <c r="I15" s="686"/>
      <c r="J15" s="687">
        <v>39.902655169134341</v>
      </c>
      <c r="K15" s="687">
        <v>38.580621331885062</v>
      </c>
      <c r="L15" s="687">
        <v>41.380138362962811</v>
      </c>
      <c r="M15" s="688">
        <v>1.0725627772294086</v>
      </c>
      <c r="N15" s="526"/>
      <c r="O15" s="72"/>
    </row>
    <row r="16" spans="1:15" s="72" customFormat="1">
      <c r="A16" s="87" t="s">
        <v>489</v>
      </c>
      <c r="B16" s="535">
        <v>3244.5327397532719</v>
      </c>
      <c r="C16" s="535">
        <v>1726.0267784365919</v>
      </c>
      <c r="D16" s="535">
        <v>1518.5059613167396</v>
      </c>
      <c r="E16" s="535"/>
      <c r="F16" s="535">
        <v>1487.5087576509356</v>
      </c>
      <c r="G16" s="535">
        <v>754.53661940155405</v>
      </c>
      <c r="H16" s="535">
        <v>732.97213824937648</v>
      </c>
      <c r="I16" s="683"/>
      <c r="J16" s="684">
        <v>45.846624983172198</v>
      </c>
      <c r="K16" s="684">
        <v>43.715232511340538</v>
      </c>
      <c r="L16" s="684">
        <v>48.269296066101624</v>
      </c>
      <c r="M16" s="685">
        <v>1.1041756681399253</v>
      </c>
      <c r="N16" s="526"/>
    </row>
    <row r="17" spans="1:14">
      <c r="A17" s="87" t="s">
        <v>490</v>
      </c>
      <c r="B17" s="535">
        <v>1884.750689061882</v>
      </c>
      <c r="C17" s="535">
        <v>981.02232265168209</v>
      </c>
      <c r="D17" s="535">
        <v>903.72836641017557</v>
      </c>
      <c r="E17" s="535"/>
      <c r="F17" s="535">
        <v>559.21152159669941</v>
      </c>
      <c r="G17" s="535">
        <v>289.85974355750039</v>
      </c>
      <c r="H17" s="535">
        <v>269.35177803920021</v>
      </c>
      <c r="I17" s="683"/>
      <c r="J17" s="684">
        <v>29.670317928099276</v>
      </c>
      <c r="K17" s="684">
        <v>29.546702135586049</v>
      </c>
      <c r="L17" s="684">
        <v>29.804506315224955</v>
      </c>
      <c r="M17" s="685">
        <v>1.0087253114901242</v>
      </c>
      <c r="N17" s="526"/>
    </row>
    <row r="18" spans="1:14" s="72" customFormat="1">
      <c r="A18" s="86" t="s">
        <v>491</v>
      </c>
      <c r="B18" s="531">
        <v>10924.707797177487</v>
      </c>
      <c r="C18" s="531">
        <v>5358.2991874748141</v>
      </c>
      <c r="D18" s="531">
        <v>5566.4086097016889</v>
      </c>
      <c r="E18" s="531"/>
      <c r="F18" s="531">
        <v>4001.6107427871034</v>
      </c>
      <c r="G18" s="531">
        <v>2243.2081781772445</v>
      </c>
      <c r="H18" s="531">
        <v>1758.4025646099624</v>
      </c>
      <c r="I18" s="686"/>
      <c r="J18" s="687">
        <v>36.628995640698413</v>
      </c>
      <c r="K18" s="687">
        <v>41.86418301204224</v>
      </c>
      <c r="L18" s="687">
        <v>31.589534435995642</v>
      </c>
      <c r="M18" s="688">
        <v>0.75457185983801256</v>
      </c>
      <c r="N18" s="526"/>
    </row>
    <row r="19" spans="1:14">
      <c r="A19" s="87" t="s">
        <v>491</v>
      </c>
      <c r="B19" s="535">
        <v>10924.707797177487</v>
      </c>
      <c r="C19" s="535">
        <v>5358.2991874748141</v>
      </c>
      <c r="D19" s="535">
        <v>5566.4086097016889</v>
      </c>
      <c r="E19" s="535"/>
      <c r="F19" s="535">
        <v>4001.6107427871034</v>
      </c>
      <c r="G19" s="535">
        <v>2243.2081781772445</v>
      </c>
      <c r="H19" s="535">
        <v>1758.4025646099624</v>
      </c>
      <c r="I19" s="683"/>
      <c r="J19" s="684">
        <v>36.628995640698413</v>
      </c>
      <c r="K19" s="684">
        <v>41.86418301204224</v>
      </c>
      <c r="L19" s="684">
        <v>31.589534435995642</v>
      </c>
      <c r="M19" s="685">
        <v>0.75457185983801256</v>
      </c>
      <c r="N19" s="526"/>
    </row>
    <row r="20" spans="1:14" s="72" customFormat="1">
      <c r="A20" s="86" t="s">
        <v>499</v>
      </c>
      <c r="B20" s="531">
        <v>4943.0047199068777</v>
      </c>
      <c r="C20" s="531">
        <v>2593.2599967102428</v>
      </c>
      <c r="D20" s="531">
        <v>2349.7447231967963</v>
      </c>
      <c r="E20" s="531"/>
      <c r="F20" s="531">
        <v>1560.5282433264417</v>
      </c>
      <c r="G20" s="531">
        <v>888.45016137934067</v>
      </c>
      <c r="H20" s="531">
        <v>672.0780819471014</v>
      </c>
      <c r="I20" s="686"/>
      <c r="J20" s="687">
        <v>31.570438058489934</v>
      </c>
      <c r="K20" s="687">
        <v>34.259972486615816</v>
      </c>
      <c r="L20" s="687">
        <v>28.60217432610094</v>
      </c>
      <c r="M20" s="688">
        <v>0.83485689713483624</v>
      </c>
      <c r="N20" s="526"/>
    </row>
    <row r="21" spans="1:14">
      <c r="A21" s="87" t="s">
        <v>492</v>
      </c>
      <c r="B21" s="535">
        <v>4943.0047199068777</v>
      </c>
      <c r="C21" s="535">
        <v>2593.2599967102428</v>
      </c>
      <c r="D21" s="535">
        <v>2349.7447231967963</v>
      </c>
      <c r="E21" s="535"/>
      <c r="F21" s="535">
        <v>1560.5282433264417</v>
      </c>
      <c r="G21" s="535">
        <v>888.45016137934067</v>
      </c>
      <c r="H21" s="535">
        <v>672.0780819471014</v>
      </c>
      <c r="I21" s="683"/>
      <c r="J21" s="684">
        <v>31.570438058489934</v>
      </c>
      <c r="K21" s="684">
        <v>34.259972486615816</v>
      </c>
      <c r="L21" s="684">
        <v>28.60217432610094</v>
      </c>
      <c r="M21" s="685">
        <v>0.83485689713483624</v>
      </c>
      <c r="N21" s="526"/>
    </row>
    <row r="22" spans="1:14">
      <c r="A22" s="86" t="s">
        <v>493</v>
      </c>
      <c r="B22" s="531">
        <v>3098.469704541807</v>
      </c>
      <c r="C22" s="531">
        <v>1731.6645328124105</v>
      </c>
      <c r="D22" s="531">
        <v>1366.8051717294468</v>
      </c>
      <c r="E22" s="531"/>
      <c r="F22" s="531">
        <v>1459.1017921046723</v>
      </c>
      <c r="G22" s="531">
        <v>863.87868210877753</v>
      </c>
      <c r="H22" s="531">
        <v>595.22310999589058</v>
      </c>
      <c r="I22" s="686"/>
      <c r="J22" s="687">
        <v>47.091045943288641</v>
      </c>
      <c r="K22" s="687">
        <v>49.887184598378809</v>
      </c>
      <c r="L22" s="687">
        <v>43.548497057758865</v>
      </c>
      <c r="M22" s="688">
        <v>0.87293956170006171</v>
      </c>
    </row>
    <row r="23" spans="1:14" s="72" customFormat="1">
      <c r="A23" s="87" t="s">
        <v>493</v>
      </c>
      <c r="B23" s="535">
        <v>3098.469704541807</v>
      </c>
      <c r="C23" s="535">
        <v>1731.6645328124105</v>
      </c>
      <c r="D23" s="535">
        <v>1366.8051717294468</v>
      </c>
      <c r="E23" s="535"/>
      <c r="F23" s="535">
        <v>1459.1017921046723</v>
      </c>
      <c r="G23" s="535">
        <v>863.87868210877753</v>
      </c>
      <c r="H23" s="535">
        <v>595.22310999589058</v>
      </c>
      <c r="I23" s="683"/>
      <c r="J23" s="684">
        <v>47.091045943288641</v>
      </c>
      <c r="K23" s="684">
        <v>49.887184598378809</v>
      </c>
      <c r="L23" s="684">
        <v>43.548497057758865</v>
      </c>
      <c r="M23" s="685">
        <v>0.87293956170006171</v>
      </c>
    </row>
    <row r="24" spans="1:14">
      <c r="A24" s="88" t="s">
        <v>494</v>
      </c>
      <c r="B24" s="531">
        <v>3086.7027316103135</v>
      </c>
      <c r="C24" s="531">
        <v>1665.1963732866477</v>
      </c>
      <c r="D24" s="531">
        <v>1421.506358323709</v>
      </c>
      <c r="E24" s="531"/>
      <c r="F24" s="531">
        <v>1114.1604982359042</v>
      </c>
      <c r="G24" s="531">
        <v>717.06929331562708</v>
      </c>
      <c r="H24" s="531">
        <v>397.09120492027682</v>
      </c>
      <c r="I24" s="686"/>
      <c r="J24" s="687">
        <v>36.095490726269297</v>
      </c>
      <c r="K24" s="687">
        <v>43.062145991846521</v>
      </c>
      <c r="L24" s="687">
        <v>27.934535965673916</v>
      </c>
      <c r="M24" s="688">
        <v>0.64870282988133243</v>
      </c>
    </row>
    <row r="25" spans="1:14" s="72" customFormat="1">
      <c r="A25" s="87" t="s">
        <v>495</v>
      </c>
      <c r="B25" s="535">
        <v>1616.1476826981291</v>
      </c>
      <c r="C25" s="535">
        <v>849.94668282758028</v>
      </c>
      <c r="D25" s="535">
        <v>766.20099987054243</v>
      </c>
      <c r="E25" s="535"/>
      <c r="F25" s="535">
        <v>625.74093184350454</v>
      </c>
      <c r="G25" s="535">
        <v>401.66057843331635</v>
      </c>
      <c r="H25" s="535">
        <v>224.08035341018794</v>
      </c>
      <c r="I25" s="683"/>
      <c r="J25" s="684">
        <v>38.718053958957753</v>
      </c>
      <c r="K25" s="684">
        <v>47.257149954051606</v>
      </c>
      <c r="L25" s="684">
        <v>29.245635733710724</v>
      </c>
      <c r="M25" s="685">
        <v>0.61886160638435495</v>
      </c>
    </row>
    <row r="26" spans="1:14">
      <c r="A26" s="87" t="s">
        <v>496</v>
      </c>
      <c r="B26" s="535">
        <v>1470.5550489122331</v>
      </c>
      <c r="C26" s="535">
        <v>815.24969045906175</v>
      </c>
      <c r="D26" s="535">
        <v>655.30535845316729</v>
      </c>
      <c r="E26" s="535"/>
      <c r="F26" s="535">
        <v>488.4195663924005</v>
      </c>
      <c r="G26" s="535">
        <v>315.40871488231193</v>
      </c>
      <c r="H26" s="535">
        <v>173.01085151008886</v>
      </c>
      <c r="I26" s="683"/>
      <c r="J26" s="684">
        <v>33.21328003012777</v>
      </c>
      <c r="K26" s="684">
        <v>38.688602838316619</v>
      </c>
      <c r="L26" s="684">
        <v>26.40156215393641</v>
      </c>
      <c r="M26" s="685">
        <v>0.68241187887479604</v>
      </c>
    </row>
    <row r="27" spans="1:14" s="72" customFormat="1">
      <c r="A27" s="86" t="s">
        <v>497</v>
      </c>
      <c r="B27" s="531">
        <v>6483.0355253782091</v>
      </c>
      <c r="C27" s="531">
        <v>3115.8208129536633</v>
      </c>
      <c r="D27" s="531">
        <v>3367.2147124247963</v>
      </c>
      <c r="E27" s="531"/>
      <c r="F27" s="531">
        <v>449.2421363628107</v>
      </c>
      <c r="G27" s="531">
        <v>303.73323317558993</v>
      </c>
      <c r="H27" s="531">
        <v>145.5089031872208</v>
      </c>
      <c r="I27" s="686"/>
      <c r="J27" s="687">
        <v>6.9295029250453473</v>
      </c>
      <c r="K27" s="687">
        <v>9.7480969352555391</v>
      </c>
      <c r="L27" s="687">
        <v>4.3213431757203509</v>
      </c>
      <c r="M27" s="688">
        <v>0.44330121093600616</v>
      </c>
    </row>
    <row r="28" spans="1:14">
      <c r="A28" s="87" t="s">
        <v>497</v>
      </c>
      <c r="B28" s="535">
        <v>6483.0355253782091</v>
      </c>
      <c r="C28" s="535">
        <v>3115.8208129536633</v>
      </c>
      <c r="D28" s="535">
        <v>3367.2147124247963</v>
      </c>
      <c r="E28" s="535"/>
      <c r="F28" s="535">
        <v>449.2421363628107</v>
      </c>
      <c r="G28" s="535">
        <v>303.73323317558993</v>
      </c>
      <c r="H28" s="535">
        <v>145.5089031872208</v>
      </c>
      <c r="I28" s="683"/>
      <c r="J28" s="684">
        <v>6.9295029250453473</v>
      </c>
      <c r="K28" s="684">
        <v>9.7480969352555391</v>
      </c>
      <c r="L28" s="684">
        <v>4.3213431757203509</v>
      </c>
      <c r="M28" s="685">
        <v>0.44330121093600616</v>
      </c>
    </row>
    <row r="29" spans="1:14">
      <c r="A29" s="86" t="s">
        <v>498</v>
      </c>
      <c r="B29" s="531">
        <v>4390.373094141135</v>
      </c>
      <c r="C29" s="531">
        <v>2403.7992509513747</v>
      </c>
      <c r="D29" s="531">
        <v>1986.5738431898933</v>
      </c>
      <c r="E29" s="531"/>
      <c r="F29" s="531">
        <v>2129.1663734419444</v>
      </c>
      <c r="G29" s="531">
        <v>1195.3089829089979</v>
      </c>
      <c r="H29" s="531">
        <v>933.85739053293491</v>
      </c>
      <c r="I29" s="686"/>
      <c r="J29" s="687">
        <v>48.496251407044383</v>
      </c>
      <c r="K29" s="687">
        <v>49.725823919610484</v>
      </c>
      <c r="L29" s="687">
        <v>47.008440875946398</v>
      </c>
      <c r="M29" s="688">
        <v>0.94535267936319856</v>
      </c>
    </row>
    <row r="30" spans="1:14">
      <c r="A30" s="87" t="s">
        <v>498</v>
      </c>
      <c r="B30" s="535">
        <v>4390.373094141135</v>
      </c>
      <c r="C30" s="535">
        <v>2403.7992509513747</v>
      </c>
      <c r="D30" s="535">
        <v>1986.5738431898933</v>
      </c>
      <c r="E30" s="535"/>
      <c r="F30" s="535">
        <v>2129.1663734419444</v>
      </c>
      <c r="G30" s="535">
        <v>1195.3089829089979</v>
      </c>
      <c r="H30" s="535">
        <v>933.85739053293491</v>
      </c>
      <c r="I30" s="683"/>
      <c r="J30" s="684">
        <v>48.496251407044383</v>
      </c>
      <c r="K30" s="684">
        <v>49.725823919610484</v>
      </c>
      <c r="L30" s="684">
        <v>47.008440875946398</v>
      </c>
      <c r="M30" s="685">
        <v>0.94535267936319856</v>
      </c>
    </row>
  </sheetData>
  <mergeCells count="6">
    <mergeCell ref="A1:M1"/>
    <mergeCell ref="B2:D2"/>
    <mergeCell ref="F2:H2"/>
    <mergeCell ref="J2:L2"/>
    <mergeCell ref="M2:M3"/>
    <mergeCell ref="A2:A3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59"/>
  <sheetViews>
    <sheetView zoomScale="120" zoomScaleNormal="120" workbookViewId="0">
      <selection activeCell="B3" sqref="B3"/>
    </sheetView>
  </sheetViews>
  <sheetFormatPr defaultColWidth="9.140625" defaultRowHeight="12"/>
  <cols>
    <col min="1" max="1" width="20.28515625" style="69" customWidth="1"/>
    <col min="2" max="2" width="7.7109375" style="75" customWidth="1"/>
    <col min="3" max="4" width="9.140625" style="75"/>
    <col min="5" max="5" width="3.7109375" style="75" customWidth="1"/>
    <col min="6" max="8" width="9.140625" style="75"/>
    <col min="9" max="9" width="3.140625" style="75" customWidth="1"/>
    <col min="10" max="13" width="9.140625" style="75"/>
    <col min="14" max="16384" width="9.140625" style="69"/>
  </cols>
  <sheetData>
    <row r="1" spans="1:13" ht="15" customHeight="1">
      <c r="A1" s="736" t="s">
        <v>510</v>
      </c>
      <c r="B1" s="736"/>
      <c r="C1" s="736"/>
      <c r="D1" s="736"/>
      <c r="E1" s="736"/>
      <c r="F1" s="736"/>
      <c r="G1" s="736"/>
      <c r="H1" s="736"/>
      <c r="I1" s="736"/>
      <c r="J1" s="736"/>
      <c r="K1" s="736"/>
      <c r="L1" s="736"/>
      <c r="M1" s="736"/>
    </row>
    <row r="2" spans="1:13" ht="28.5" customHeight="1">
      <c r="A2" s="759" t="s">
        <v>204</v>
      </c>
      <c r="B2" s="761" t="s">
        <v>200</v>
      </c>
      <c r="C2" s="761"/>
      <c r="D2" s="761"/>
      <c r="E2" s="509"/>
      <c r="F2" s="761" t="s">
        <v>201</v>
      </c>
      <c r="G2" s="761"/>
      <c r="H2" s="761"/>
      <c r="I2" s="509"/>
      <c r="J2" s="762" t="s">
        <v>202</v>
      </c>
      <c r="K2" s="762"/>
      <c r="L2" s="762"/>
      <c r="M2" s="733" t="s">
        <v>203</v>
      </c>
    </row>
    <row r="3" spans="1:13">
      <c r="A3" s="760"/>
      <c r="B3" s="511" t="s">
        <v>1</v>
      </c>
      <c r="C3" s="511" t="s">
        <v>2</v>
      </c>
      <c r="D3" s="511" t="s">
        <v>3</v>
      </c>
      <c r="E3" s="511"/>
      <c r="F3" s="511" t="s">
        <v>1</v>
      </c>
      <c r="G3" s="511" t="s">
        <v>2</v>
      </c>
      <c r="H3" s="511" t="s">
        <v>3</v>
      </c>
      <c r="I3" s="511"/>
      <c r="J3" s="511" t="s">
        <v>1</v>
      </c>
      <c r="K3" s="511" t="s">
        <v>2</v>
      </c>
      <c r="L3" s="511" t="s">
        <v>3</v>
      </c>
      <c r="M3" s="734"/>
    </row>
    <row r="4" spans="1:13">
      <c r="A4" s="247" t="s">
        <v>500</v>
      </c>
      <c r="B4" s="527">
        <v>80587.818348752553</v>
      </c>
      <c r="C4" s="527">
        <v>41390.697982399863</v>
      </c>
      <c r="D4" s="527">
        <v>39197.120366375784</v>
      </c>
      <c r="E4" s="527"/>
      <c r="F4" s="527">
        <v>34748.154608783421</v>
      </c>
      <c r="G4" s="527">
        <v>21120.331600056303</v>
      </c>
      <c r="H4" s="528">
        <v>13627.82300872831</v>
      </c>
      <c r="I4" s="528"/>
      <c r="J4" s="529">
        <v>43.118371139428227</v>
      </c>
      <c r="K4" s="529">
        <v>51.026758739459687</v>
      </c>
      <c r="L4" s="529">
        <v>34.767408629379865</v>
      </c>
      <c r="M4" s="530">
        <v>0.68135639982348628</v>
      </c>
    </row>
    <row r="5" spans="1:13">
      <c r="A5" s="14"/>
      <c r="B5" s="531"/>
      <c r="C5" s="531"/>
      <c r="D5" s="531"/>
      <c r="E5" s="531"/>
      <c r="F5" s="531"/>
      <c r="G5" s="531"/>
      <c r="H5" s="532"/>
      <c r="I5" s="532"/>
      <c r="J5" s="533"/>
      <c r="K5" s="533"/>
      <c r="L5" s="533"/>
      <c r="M5" s="534"/>
    </row>
    <row r="6" spans="1:13">
      <c r="A6" s="207" t="s">
        <v>198</v>
      </c>
      <c r="B6" s="527"/>
      <c r="C6" s="527"/>
      <c r="D6" s="527"/>
      <c r="E6" s="527"/>
      <c r="F6" s="527"/>
      <c r="G6" s="527"/>
      <c r="H6" s="528"/>
      <c r="I6" s="528"/>
      <c r="J6" s="529"/>
      <c r="K6" s="529"/>
      <c r="L6" s="529"/>
      <c r="M6" s="530"/>
    </row>
    <row r="7" spans="1:13">
      <c r="A7" s="17" t="s">
        <v>129</v>
      </c>
      <c r="B7" s="535">
        <v>15228.977753981237</v>
      </c>
      <c r="C7" s="535">
        <v>7435.3405215850389</v>
      </c>
      <c r="D7" s="535">
        <v>7793.6372323915975</v>
      </c>
      <c r="E7" s="535"/>
      <c r="F7" s="535">
        <v>6674.9856696444031</v>
      </c>
      <c r="G7" s="535">
        <v>3561.0863929019069</v>
      </c>
      <c r="H7" s="536">
        <v>3113.8992767425761</v>
      </c>
      <c r="I7" s="536"/>
      <c r="J7" s="537">
        <v>43.830818965504932</v>
      </c>
      <c r="K7" s="537">
        <v>47.894059223837878</v>
      </c>
      <c r="L7" s="537">
        <v>39.954377961046873</v>
      </c>
      <c r="M7" s="538">
        <v>0.83422408976269735</v>
      </c>
    </row>
    <row r="8" spans="1:13">
      <c r="A8" s="17" t="s">
        <v>130</v>
      </c>
      <c r="B8" s="535">
        <v>14542.357013198976</v>
      </c>
      <c r="C8" s="535">
        <v>7217.0828426759035</v>
      </c>
      <c r="D8" s="535">
        <v>7325.2741705193321</v>
      </c>
      <c r="E8" s="535"/>
      <c r="F8" s="535">
        <v>6292.4076273740675</v>
      </c>
      <c r="G8" s="535">
        <v>3535.6925939235075</v>
      </c>
      <c r="H8" s="536">
        <v>2756.7150334508219</v>
      </c>
      <c r="I8" s="536"/>
      <c r="J8" s="537">
        <v>43.269516912995456</v>
      </c>
      <c r="K8" s="537">
        <v>48.990605636620387</v>
      </c>
      <c r="L8" s="537">
        <v>37.632926348958208</v>
      </c>
      <c r="M8" s="538">
        <v>0.76816617920778807</v>
      </c>
    </row>
    <row r="9" spans="1:13">
      <c r="A9" s="17" t="s">
        <v>131</v>
      </c>
      <c r="B9" s="535">
        <v>11497.131772164021</v>
      </c>
      <c r="C9" s="535">
        <v>5889.9358877965133</v>
      </c>
      <c r="D9" s="535">
        <v>5607.1958843656867</v>
      </c>
      <c r="E9" s="535"/>
      <c r="F9" s="535">
        <v>5260.9836352667153</v>
      </c>
      <c r="G9" s="535">
        <v>3085.6166700948447</v>
      </c>
      <c r="H9" s="536">
        <v>2175.3669651721325</v>
      </c>
      <c r="I9" s="536"/>
      <c r="J9" s="537">
        <v>45.759096612290506</v>
      </c>
      <c r="K9" s="537">
        <v>52.387950036739852</v>
      </c>
      <c r="L9" s="537">
        <v>38.795986622075255</v>
      </c>
      <c r="M9" s="538">
        <v>0.74055172219694598</v>
      </c>
    </row>
    <row r="10" spans="1:13">
      <c r="A10" s="17" t="s">
        <v>132</v>
      </c>
      <c r="B10" s="535">
        <v>9965.0337784707117</v>
      </c>
      <c r="C10" s="535">
        <v>5322.1847796434931</v>
      </c>
      <c r="D10" s="535">
        <v>4642.8489988273723</v>
      </c>
      <c r="E10" s="535"/>
      <c r="F10" s="535">
        <v>4508.7126344624057</v>
      </c>
      <c r="G10" s="535">
        <v>2819.7483046622633</v>
      </c>
      <c r="H10" s="536">
        <v>1688.9643298002534</v>
      </c>
      <c r="I10" s="536"/>
      <c r="J10" s="537">
        <v>45.245332175427016</v>
      </c>
      <c r="K10" s="537">
        <v>52.981029810302196</v>
      </c>
      <c r="L10" s="537">
        <v>36.377757067413498</v>
      </c>
      <c r="M10" s="538">
        <v>0.6866185349296442</v>
      </c>
    </row>
    <row r="11" spans="1:13">
      <c r="A11" s="17" t="s">
        <v>133</v>
      </c>
      <c r="B11" s="535">
        <v>6513.5464674441637</v>
      </c>
      <c r="C11" s="535">
        <v>3426.9677605511743</v>
      </c>
      <c r="D11" s="535">
        <v>3086.5787068937325</v>
      </c>
      <c r="E11" s="535"/>
      <c r="F11" s="535">
        <v>2900.5185885809783</v>
      </c>
      <c r="G11" s="535">
        <v>1885.1207336028469</v>
      </c>
      <c r="H11" s="536">
        <v>1015.3978549781124</v>
      </c>
      <c r="I11" s="536"/>
      <c r="J11" s="537">
        <v>44.530558015948714</v>
      </c>
      <c r="K11" s="537">
        <v>55.008417508417558</v>
      </c>
      <c r="L11" s="537">
        <v>32.897196261681806</v>
      </c>
      <c r="M11" s="538">
        <v>0.59803931383133813</v>
      </c>
    </row>
    <row r="12" spans="1:13">
      <c r="A12" s="17" t="s">
        <v>134</v>
      </c>
      <c r="B12" s="535">
        <v>4725.0616092446098</v>
      </c>
      <c r="C12" s="535">
        <v>2541.3792904424063</v>
      </c>
      <c r="D12" s="535">
        <v>2183.6823188023827</v>
      </c>
      <c r="E12" s="535"/>
      <c r="F12" s="535">
        <v>1898.1016720897833</v>
      </c>
      <c r="G12" s="535">
        <v>1339.9213171515207</v>
      </c>
      <c r="H12" s="536">
        <v>558.18035493824357</v>
      </c>
      <c r="I12" s="536"/>
      <c r="J12" s="537">
        <v>40.170940170941833</v>
      </c>
      <c r="K12" s="537">
        <v>52.724177071509423</v>
      </c>
      <c r="L12" s="537">
        <v>25.561426684279333</v>
      </c>
      <c r="M12" s="538">
        <v>0.48481414227879843</v>
      </c>
    </row>
    <row r="13" spans="1:13">
      <c r="A13" s="17" t="s">
        <v>135</v>
      </c>
      <c r="B13" s="535">
        <v>3937.0811391893444</v>
      </c>
      <c r="C13" s="535">
        <v>2065.5164984096587</v>
      </c>
      <c r="D13" s="535">
        <v>1871.564640779691</v>
      </c>
      <c r="E13" s="535"/>
      <c r="F13" s="535">
        <v>1749.8138396397114</v>
      </c>
      <c r="G13" s="535">
        <v>1190.6095785898053</v>
      </c>
      <c r="H13" s="536">
        <v>559.20426104991122</v>
      </c>
      <c r="I13" s="536"/>
      <c r="J13" s="537">
        <v>44.444444444444471</v>
      </c>
      <c r="K13" s="537">
        <v>57.64222069910933</v>
      </c>
      <c r="L13" s="537">
        <v>29.878971255673868</v>
      </c>
      <c r="M13" s="538">
        <v>0.5183521886091309</v>
      </c>
    </row>
    <row r="14" spans="1:13">
      <c r="A14" s="17" t="s">
        <v>136</v>
      </c>
      <c r="B14" s="535">
        <v>3298.5972866994516</v>
      </c>
      <c r="C14" s="535">
        <v>1711.5897509097178</v>
      </c>
      <c r="D14" s="535">
        <v>1587.0075357897388</v>
      </c>
      <c r="E14" s="535"/>
      <c r="F14" s="535">
        <v>1439.7740088297635</v>
      </c>
      <c r="G14" s="535">
        <v>971.17499513984205</v>
      </c>
      <c r="H14" s="536">
        <v>468.59901368992638</v>
      </c>
      <c r="I14" s="536"/>
      <c r="J14" s="537">
        <v>43.648068669528051</v>
      </c>
      <c r="K14" s="537">
        <v>56.741108354012184</v>
      </c>
      <c r="L14" s="537">
        <v>29.527207850134349</v>
      </c>
      <c r="M14" s="538">
        <v>0.5203847564258316</v>
      </c>
    </row>
    <row r="15" spans="1:13">
      <c r="A15" s="17" t="s">
        <v>137</v>
      </c>
      <c r="B15" s="535">
        <v>2490.2285954095873</v>
      </c>
      <c r="C15" s="535">
        <v>1254.3163931397946</v>
      </c>
      <c r="D15" s="535">
        <v>1235.9122022697977</v>
      </c>
      <c r="E15" s="535"/>
      <c r="F15" s="535">
        <v>995.24201396983801</v>
      </c>
      <c r="G15" s="535">
        <v>696.52783907988817</v>
      </c>
      <c r="H15" s="536">
        <v>298.7141748899549</v>
      </c>
      <c r="I15" s="536"/>
      <c r="J15" s="537">
        <v>39.965889710062967</v>
      </c>
      <c r="K15" s="537">
        <v>55.530474040633166</v>
      </c>
      <c r="L15" s="537">
        <v>24.169530355097613</v>
      </c>
      <c r="M15" s="538">
        <v>0.43524804663853772</v>
      </c>
    </row>
    <row r="16" spans="1:13">
      <c r="A16" s="17" t="s">
        <v>138</v>
      </c>
      <c r="B16" s="535">
        <v>2634.6307083895631</v>
      </c>
      <c r="C16" s="535">
        <v>1466.672441639759</v>
      </c>
      <c r="D16" s="535">
        <v>1167.9582667498091</v>
      </c>
      <c r="E16" s="535"/>
      <c r="F16" s="535">
        <v>1027.8032747398327</v>
      </c>
      <c r="G16" s="535">
        <v>712.10061596988555</v>
      </c>
      <c r="H16" s="536">
        <v>315.70265876995205</v>
      </c>
      <c r="I16" s="536"/>
      <c r="J16" s="537">
        <v>39.011284255776857</v>
      </c>
      <c r="K16" s="537">
        <v>48.552123552124513</v>
      </c>
      <c r="L16" s="537">
        <v>27.030303030303301</v>
      </c>
      <c r="M16" s="538">
        <v>0.55672751370563944</v>
      </c>
    </row>
    <row r="17" spans="1:13">
      <c r="A17" s="17" t="s">
        <v>205</v>
      </c>
      <c r="B17" s="535">
        <v>1752.6920624369902</v>
      </c>
      <c r="C17" s="535">
        <v>919.91335632387609</v>
      </c>
      <c r="D17" s="535">
        <v>832.77870611307605</v>
      </c>
      <c r="E17" s="535"/>
      <c r="F17" s="535">
        <v>665.65159013498419</v>
      </c>
      <c r="G17" s="535">
        <v>454.24293060713921</v>
      </c>
      <c r="H17" s="536">
        <v>211.4086595278508</v>
      </c>
      <c r="I17" s="536"/>
      <c r="J17" s="537">
        <v>37.978810105949115</v>
      </c>
      <c r="K17" s="537">
        <v>49.378881987578303</v>
      </c>
      <c r="L17" s="537">
        <v>25.385934819897368</v>
      </c>
      <c r="M17" s="538">
        <v>0.51410509509476998</v>
      </c>
    </row>
    <row r="18" spans="1:13">
      <c r="A18" s="17" t="s">
        <v>206</v>
      </c>
      <c r="B18" s="535">
        <v>1629.8464900086394</v>
      </c>
      <c r="C18" s="535">
        <v>912.77117188036789</v>
      </c>
      <c r="D18" s="535">
        <v>717.07531812824323</v>
      </c>
      <c r="E18" s="535"/>
      <c r="F18" s="535">
        <v>525.66477504222348</v>
      </c>
      <c r="G18" s="535">
        <v>382.82108617205438</v>
      </c>
      <c r="H18" s="536">
        <v>142.84368887016936</v>
      </c>
      <c r="I18" s="536"/>
      <c r="J18" s="537">
        <v>32.252410166520377</v>
      </c>
      <c r="K18" s="537">
        <v>41.940532081377711</v>
      </c>
      <c r="L18" s="537">
        <v>19.920318725099747</v>
      </c>
      <c r="M18" s="538">
        <v>0.47496580840815555</v>
      </c>
    </row>
    <row r="19" spans="1:13">
      <c r="A19" s="17" t="s">
        <v>207</v>
      </c>
      <c r="B19" s="535">
        <v>897.05836610464985</v>
      </c>
      <c r="C19" s="535">
        <v>479.95479460376976</v>
      </c>
      <c r="D19" s="535">
        <v>417.1035715008951</v>
      </c>
      <c r="E19" s="535"/>
      <c r="F19" s="535">
        <v>417.1035715008951</v>
      </c>
      <c r="G19" s="535">
        <v>257.11863996630507</v>
      </c>
      <c r="H19" s="536">
        <v>159.98493153458972</v>
      </c>
      <c r="I19" s="536"/>
      <c r="J19" s="537">
        <v>46.496815286624802</v>
      </c>
      <c r="K19" s="537">
        <v>53.571428571428363</v>
      </c>
      <c r="L19" s="537">
        <v>38.356164383561499</v>
      </c>
      <c r="M19" s="538">
        <v>0.71598173515981745</v>
      </c>
    </row>
    <row r="20" spans="1:13">
      <c r="A20" s="17" t="s">
        <v>208</v>
      </c>
      <c r="B20" s="535">
        <v>894.20149232724657</v>
      </c>
      <c r="C20" s="535">
        <v>419.96044527829849</v>
      </c>
      <c r="D20" s="535">
        <v>474.24104704896297</v>
      </c>
      <c r="E20" s="535"/>
      <c r="F20" s="535">
        <v>305.68549418216276</v>
      </c>
      <c r="G20" s="535">
        <v>165.69867908939651</v>
      </c>
      <c r="H20" s="536">
        <v>139.98681509276597</v>
      </c>
      <c r="I20" s="536"/>
      <c r="J20" s="537">
        <v>34.185303514377431</v>
      </c>
      <c r="K20" s="537">
        <v>39.455782312925024</v>
      </c>
      <c r="L20" s="537">
        <v>29.51807228915651</v>
      </c>
      <c r="M20" s="538">
        <v>0.7481304528458661</v>
      </c>
    </row>
    <row r="21" spans="1:13">
      <c r="A21" s="17" t="s">
        <v>209</v>
      </c>
      <c r="B21" s="535">
        <v>214.26553330525419</v>
      </c>
      <c r="C21" s="535">
        <v>114.27495109613542</v>
      </c>
      <c r="D21" s="535">
        <v>99.990582209118458</v>
      </c>
      <c r="E21" s="535"/>
      <c r="F21" s="535">
        <v>39.996232883647316</v>
      </c>
      <c r="G21" s="535">
        <v>24.283427107928727</v>
      </c>
      <c r="H21" s="536">
        <v>15.712805775718589</v>
      </c>
      <c r="I21" s="536"/>
      <c r="J21" s="537">
        <v>18.666666666666607</v>
      </c>
      <c r="K21" s="537">
        <v>21.249999999999961</v>
      </c>
      <c r="L21" s="537">
        <v>15.71428571428569</v>
      </c>
      <c r="M21" s="538">
        <v>0.73949579831932799</v>
      </c>
    </row>
    <row r="22" spans="1:13">
      <c r="A22" s="17" t="s">
        <v>210</v>
      </c>
      <c r="B22" s="535">
        <v>239.97739730188474</v>
      </c>
      <c r="C22" s="535">
        <v>135.70150442666088</v>
      </c>
      <c r="D22" s="535">
        <v>104.27589287522355</v>
      </c>
      <c r="E22" s="535"/>
      <c r="F22" s="535">
        <v>29.997174662735485</v>
      </c>
      <c r="G22" s="535">
        <v>25.711863996630417</v>
      </c>
      <c r="H22" s="536">
        <v>4.2853106661050706</v>
      </c>
      <c r="I22" s="536"/>
      <c r="J22" s="537">
        <v>12.5</v>
      </c>
      <c r="K22" s="537">
        <v>18.947368421052587</v>
      </c>
      <c r="L22" s="537">
        <v>4.1095890410958846</v>
      </c>
      <c r="M22" s="538">
        <v>0.21689497716894998</v>
      </c>
    </row>
    <row r="23" spans="1:13">
      <c r="A23" s="17" t="s">
        <v>211</v>
      </c>
      <c r="B23" s="535">
        <v>127.1308830944507</v>
      </c>
      <c r="C23" s="535">
        <v>77.13559198989131</v>
      </c>
      <c r="D23" s="535">
        <v>49.995291104559143</v>
      </c>
      <c r="E23" s="535"/>
      <c r="F23" s="535">
        <v>15.712805775718589</v>
      </c>
      <c r="G23" s="535">
        <v>12.85593199831521</v>
      </c>
      <c r="H23" s="536">
        <v>2.8568737774033806</v>
      </c>
      <c r="I23" s="536"/>
      <c r="J23" s="537">
        <v>12.359550561797725</v>
      </c>
      <c r="K23" s="537">
        <v>16.666666666666657</v>
      </c>
      <c r="L23" s="537">
        <v>5.7142857142857162</v>
      </c>
      <c r="M23" s="538">
        <v>0.34285714285714319</v>
      </c>
    </row>
    <row r="24" spans="1:13">
      <c r="A24" s="207" t="s">
        <v>4</v>
      </c>
      <c r="B24" s="527">
        <v>30538.982828379219</v>
      </c>
      <c r="C24" s="527">
        <v>15565.482268863392</v>
      </c>
      <c r="D24" s="527">
        <v>14973.500559518501</v>
      </c>
      <c r="E24" s="527"/>
      <c r="F24" s="527">
        <v>17649.560728141339</v>
      </c>
      <c r="G24" s="527">
        <v>10844.4034636508</v>
      </c>
      <c r="H24" s="528">
        <v>6805.1572644882335</v>
      </c>
      <c r="I24" s="528"/>
      <c r="J24" s="529">
        <v>57.79354481885273</v>
      </c>
      <c r="K24" s="529">
        <v>69.669562923490744</v>
      </c>
      <c r="L24" s="529">
        <v>45.448004876606014</v>
      </c>
      <c r="M24" s="530">
        <v>0.65233658673179562</v>
      </c>
    </row>
    <row r="25" spans="1:13">
      <c r="A25" s="248" t="s">
        <v>129</v>
      </c>
      <c r="B25" s="535">
        <v>5957.0247033335509</v>
      </c>
      <c r="C25" s="535">
        <v>2999.0255221328398</v>
      </c>
      <c r="D25" s="535">
        <v>2957.9991812007911</v>
      </c>
      <c r="E25" s="535"/>
      <c r="F25" s="535">
        <v>3596.6425550430158</v>
      </c>
      <c r="G25" s="535">
        <v>2015.760884461406</v>
      </c>
      <c r="H25" s="536">
        <v>1580.8816705816898</v>
      </c>
      <c r="I25" s="536"/>
      <c r="J25" s="537">
        <v>60.376492194675365</v>
      </c>
      <c r="K25" s="537">
        <v>67.213862289102778</v>
      </c>
      <c r="L25" s="537">
        <v>53.44429033749531</v>
      </c>
      <c r="M25" s="538">
        <v>0.79513791526543631</v>
      </c>
    </row>
    <row r="26" spans="1:13">
      <c r="A26" s="248" t="s">
        <v>130</v>
      </c>
      <c r="B26" s="535">
        <v>5279.7367987595762</v>
      </c>
      <c r="C26" s="535">
        <v>2572.0685005980372</v>
      </c>
      <c r="D26" s="535">
        <v>2707.668298161801</v>
      </c>
      <c r="E26" s="535"/>
      <c r="F26" s="535">
        <v>3159.1867730283761</v>
      </c>
      <c r="G26" s="535">
        <v>1798.8611442769618</v>
      </c>
      <c r="H26" s="536">
        <v>1360.3256287515289</v>
      </c>
      <c r="I26" s="536"/>
      <c r="J26" s="537">
        <v>59.836065573772636</v>
      </c>
      <c r="K26" s="537">
        <v>69.938306225462085</v>
      </c>
      <c r="L26" s="537">
        <v>50.239744272775802</v>
      </c>
      <c r="M26" s="538">
        <v>0.7183437372763436</v>
      </c>
    </row>
    <row r="27" spans="1:13">
      <c r="A27" s="248" t="s">
        <v>131</v>
      </c>
      <c r="B27" s="535">
        <v>4248.312806652224</v>
      </c>
      <c r="C27" s="535">
        <v>2088.8139028973897</v>
      </c>
      <c r="D27" s="535">
        <v>2159.4989037550963</v>
      </c>
      <c r="E27" s="535"/>
      <c r="F27" s="535">
        <v>2642.7535014557438</v>
      </c>
      <c r="G27" s="535">
        <v>1536.3168553768671</v>
      </c>
      <c r="H27" s="536">
        <v>1106.4366460789099</v>
      </c>
      <c r="I27" s="536"/>
      <c r="J27" s="537">
        <v>62.207130730052533</v>
      </c>
      <c r="K27" s="537">
        <v>73.549723756903902</v>
      </c>
      <c r="L27" s="537">
        <v>51.235804943218881</v>
      </c>
      <c r="M27" s="538">
        <v>0.69661451227965387</v>
      </c>
    </row>
    <row r="28" spans="1:13">
      <c r="A28" s="248" t="s">
        <v>132</v>
      </c>
      <c r="B28" s="535">
        <v>3747.1642432289373</v>
      </c>
      <c r="C28" s="535">
        <v>1928.3905285593014</v>
      </c>
      <c r="D28" s="535">
        <v>1818.7737146696168</v>
      </c>
      <c r="E28" s="535"/>
      <c r="F28" s="535">
        <v>2138.9701973473798</v>
      </c>
      <c r="G28" s="535">
        <v>1316.844093174745</v>
      </c>
      <c r="H28" s="536">
        <v>822.12610417261578</v>
      </c>
      <c r="I28" s="536"/>
      <c r="J28" s="537">
        <v>57.082371054657571</v>
      </c>
      <c r="K28" s="537">
        <v>68.287210172026775</v>
      </c>
      <c r="L28" s="537">
        <v>45.202220459951668</v>
      </c>
      <c r="M28" s="538">
        <v>0.66194270268297384</v>
      </c>
    </row>
    <row r="29" spans="1:13">
      <c r="A29" s="248" t="s">
        <v>133</v>
      </c>
      <c r="B29" s="535">
        <v>2512.5327604714366</v>
      </c>
      <c r="C29" s="535">
        <v>1325.4980521660359</v>
      </c>
      <c r="D29" s="535">
        <v>1187.0347083053816</v>
      </c>
      <c r="E29" s="535"/>
      <c r="F29" s="535">
        <v>1504.3465379860477</v>
      </c>
      <c r="G29" s="535">
        <v>973.5703865202064</v>
      </c>
      <c r="H29" s="536">
        <v>530.77615146582241</v>
      </c>
      <c r="I29" s="536"/>
      <c r="J29" s="537">
        <v>59.873708381170978</v>
      </c>
      <c r="K29" s="537">
        <v>73.449401523394513</v>
      </c>
      <c r="L29" s="537">
        <v>44.714459295260312</v>
      </c>
      <c r="M29" s="538">
        <v>0.60877908284954807</v>
      </c>
    </row>
    <row r="30" spans="1:13">
      <c r="A30" s="248" t="s">
        <v>134</v>
      </c>
      <c r="B30" s="535">
        <v>1875.0244481130076</v>
      </c>
      <c r="C30" s="535">
        <v>1052.8983439403728</v>
      </c>
      <c r="D30" s="535">
        <v>822.12610417261578</v>
      </c>
      <c r="E30" s="535"/>
      <c r="F30" s="535">
        <v>1071.6485884215031</v>
      </c>
      <c r="G30" s="535">
        <v>765.87537072922498</v>
      </c>
      <c r="H30" s="536">
        <v>305.77321769226734</v>
      </c>
      <c r="I30" s="536"/>
      <c r="J30" s="537">
        <v>57.15384615384572</v>
      </c>
      <c r="K30" s="537">
        <v>72.739726027396401</v>
      </c>
      <c r="L30" s="537">
        <v>37.192982456139866</v>
      </c>
      <c r="M30" s="538">
        <v>0.51131595467010216</v>
      </c>
    </row>
    <row r="31" spans="1:13">
      <c r="A31" s="248" t="s">
        <v>135</v>
      </c>
      <c r="B31" s="535">
        <v>1645.051522379729</v>
      </c>
      <c r="C31" s="535">
        <v>937.19802737984776</v>
      </c>
      <c r="D31" s="535">
        <v>707.85349499988627</v>
      </c>
      <c r="E31" s="535"/>
      <c r="F31" s="535">
        <v>954.18651125984491</v>
      </c>
      <c r="G31" s="535">
        <v>688.03359713988959</v>
      </c>
      <c r="H31" s="536">
        <v>266.15291411996037</v>
      </c>
      <c r="I31" s="536"/>
      <c r="J31" s="537">
        <v>58.003442340792375</v>
      </c>
      <c r="K31" s="537">
        <v>73.413897280968172</v>
      </c>
      <c r="L31" s="537">
        <v>37.600000000000286</v>
      </c>
      <c r="M31" s="538">
        <v>0.51216460905349204</v>
      </c>
    </row>
    <row r="32" spans="1:13">
      <c r="A32" s="248" t="s">
        <v>136</v>
      </c>
      <c r="B32" s="535">
        <v>1288.2933608997889</v>
      </c>
      <c r="C32" s="535">
        <v>720.59485790988413</v>
      </c>
      <c r="D32" s="535">
        <v>567.6985029899098</v>
      </c>
      <c r="E32" s="535"/>
      <c r="F32" s="535">
        <v>755.98753265987818</v>
      </c>
      <c r="G32" s="535">
        <v>535.13724221991527</v>
      </c>
      <c r="H32" s="536">
        <v>220.85029043996727</v>
      </c>
      <c r="I32" s="536"/>
      <c r="J32" s="537">
        <v>58.681318681319688</v>
      </c>
      <c r="K32" s="537">
        <v>74.263261296661355</v>
      </c>
      <c r="L32" s="537">
        <v>38.902743142144878</v>
      </c>
      <c r="M32" s="538">
        <v>0.52384910739024904</v>
      </c>
    </row>
    <row r="33" spans="1:13">
      <c r="A33" s="248" t="s">
        <v>137</v>
      </c>
      <c r="B33" s="535">
        <v>913.1310085498518</v>
      </c>
      <c r="C33" s="535">
        <v>491.25032552992258</v>
      </c>
      <c r="D33" s="535">
        <v>421.88068301993422</v>
      </c>
      <c r="E33" s="535"/>
      <c r="F33" s="535">
        <v>474.26184164992543</v>
      </c>
      <c r="G33" s="535">
        <v>345.43250555994706</v>
      </c>
      <c r="H33" s="536">
        <v>128.82933608998087</v>
      </c>
      <c r="I33" s="536"/>
      <c r="J33" s="537">
        <v>51.937984496124876</v>
      </c>
      <c r="K33" s="537">
        <v>70.317002881844758</v>
      </c>
      <c r="L33" s="537">
        <v>30.536912751677999</v>
      </c>
      <c r="M33" s="538">
        <v>0.43427494773902497</v>
      </c>
    </row>
    <row r="34" spans="1:13">
      <c r="A34" s="248" t="s">
        <v>138</v>
      </c>
      <c r="B34" s="535">
        <v>937.19802737984776</v>
      </c>
      <c r="C34" s="535">
        <v>489.83461853992281</v>
      </c>
      <c r="D34" s="535">
        <v>447.36340883992995</v>
      </c>
      <c r="E34" s="535"/>
      <c r="F34" s="535">
        <v>445.94770184993018</v>
      </c>
      <c r="G34" s="535">
        <v>308.62412381995324</v>
      </c>
      <c r="H34" s="536">
        <v>137.32357802997961</v>
      </c>
      <c r="I34" s="536"/>
      <c r="J34" s="537">
        <v>47.583081570997706</v>
      </c>
      <c r="K34" s="537">
        <v>63.005780346821069</v>
      </c>
      <c r="L34" s="537">
        <v>30.696202531645731</v>
      </c>
      <c r="M34" s="538">
        <v>0.48719660898850364</v>
      </c>
    </row>
    <row r="35" spans="1:13">
      <c r="A35" s="248" t="s">
        <v>205</v>
      </c>
      <c r="B35" s="535">
        <v>615.65629903042679</v>
      </c>
      <c r="C35" s="535">
        <v>274.25988263072543</v>
      </c>
      <c r="D35" s="535">
        <v>341.39641639970517</v>
      </c>
      <c r="E35" s="535"/>
      <c r="F35" s="535">
        <v>292.82956218384749</v>
      </c>
      <c r="G35" s="535">
        <v>184.26835864251856</v>
      </c>
      <c r="H35" s="536">
        <v>108.56120354132864</v>
      </c>
      <c r="I35" s="536"/>
      <c r="J35" s="537">
        <v>47.56380510440848</v>
      </c>
      <c r="K35" s="537">
        <v>67.187499999999773</v>
      </c>
      <c r="L35" s="537">
        <v>31.799163179916203</v>
      </c>
      <c r="M35" s="538">
        <v>0.47328987058480088</v>
      </c>
    </row>
    <row r="36" spans="1:13">
      <c r="A36" s="248" t="s">
        <v>206</v>
      </c>
      <c r="B36" s="535">
        <v>592.80130881120056</v>
      </c>
      <c r="C36" s="535">
        <v>281.40206707423391</v>
      </c>
      <c r="D36" s="535">
        <v>311.39924173696954</v>
      </c>
      <c r="E36" s="535"/>
      <c r="F36" s="535">
        <v>231.40677596967456</v>
      </c>
      <c r="G36" s="535">
        <v>161.41336842329142</v>
      </c>
      <c r="H36" s="536">
        <v>69.993407546382826</v>
      </c>
      <c r="I36" s="536"/>
      <c r="J36" s="537">
        <v>39.036144578313312</v>
      </c>
      <c r="K36" s="537">
        <v>57.360406091370358</v>
      </c>
      <c r="L36" s="537">
        <v>22.477064220183408</v>
      </c>
      <c r="M36" s="538">
        <v>0.39185678330762364</v>
      </c>
    </row>
    <row r="37" spans="1:13">
      <c r="A37" s="248" t="s">
        <v>207</v>
      </c>
      <c r="B37" s="535">
        <v>361.39453284152893</v>
      </c>
      <c r="C37" s="535">
        <v>175.69773731030838</v>
      </c>
      <c r="D37" s="535">
        <v>185.69679553122026</v>
      </c>
      <c r="E37" s="535"/>
      <c r="F37" s="535">
        <v>191.41054308602705</v>
      </c>
      <c r="G37" s="535">
        <v>112.84651420743373</v>
      </c>
      <c r="H37" s="536">
        <v>78.564028878593007</v>
      </c>
      <c r="I37" s="536"/>
      <c r="J37" s="537">
        <v>52.96442687747016</v>
      </c>
      <c r="K37" s="537">
        <v>64.227642276422586</v>
      </c>
      <c r="L37" s="537">
        <v>42.307692307692179</v>
      </c>
      <c r="M37" s="538">
        <v>0.65871470301850032</v>
      </c>
    </row>
    <row r="38" spans="1:13">
      <c r="A38" s="248" t="s">
        <v>208</v>
      </c>
      <c r="B38" s="535">
        <v>335.68266884489839</v>
      </c>
      <c r="C38" s="535">
        <v>128.55931998315239</v>
      </c>
      <c r="D38" s="535">
        <v>207.12334886174571</v>
      </c>
      <c r="E38" s="535"/>
      <c r="F38" s="535">
        <v>151.41431020237954</v>
      </c>
      <c r="G38" s="535">
        <v>77.13559198989131</v>
      </c>
      <c r="H38" s="536">
        <v>74.278718212487917</v>
      </c>
      <c r="I38" s="536"/>
      <c r="J38" s="537">
        <v>45.106382978723239</v>
      </c>
      <c r="K38" s="537">
        <v>59.999999999999865</v>
      </c>
      <c r="L38" s="537">
        <v>35.862068965517132</v>
      </c>
      <c r="M38" s="538">
        <v>0.59770114942528685</v>
      </c>
    </row>
    <row r="39" spans="1:13">
      <c r="A39" s="248" t="s">
        <v>209</v>
      </c>
      <c r="B39" s="535">
        <v>98.562145320416761</v>
      </c>
      <c r="C39" s="535">
        <v>41.424669772349006</v>
      </c>
      <c r="D39" s="535">
        <v>57.137475548067592</v>
      </c>
      <c r="E39" s="535"/>
      <c r="F39" s="535">
        <v>18.569679553121968</v>
      </c>
      <c r="G39" s="535">
        <v>9.9990582209118308</v>
      </c>
      <c r="H39" s="536">
        <v>8.5706213322101412</v>
      </c>
      <c r="I39" s="536"/>
      <c r="J39" s="537">
        <v>18.840579710144901</v>
      </c>
      <c r="K39" s="537">
        <v>24.137931034482762</v>
      </c>
      <c r="L39" s="537">
        <v>15.000000000000004</v>
      </c>
      <c r="M39" s="538">
        <v>0.62142857142857155</v>
      </c>
    </row>
    <row r="40" spans="1:13">
      <c r="A40" s="248" t="s">
        <v>210</v>
      </c>
      <c r="B40" s="535">
        <v>98.562145320416761</v>
      </c>
      <c r="C40" s="535">
        <v>41.424669772349006</v>
      </c>
      <c r="D40" s="535">
        <v>57.137475548067592</v>
      </c>
      <c r="E40" s="535"/>
      <c r="F40" s="535">
        <v>14.2843688870169</v>
      </c>
      <c r="G40" s="535">
        <v>11.42749510961352</v>
      </c>
      <c r="H40" s="536">
        <v>2.8568737774033806</v>
      </c>
      <c r="I40" s="536"/>
      <c r="J40" s="537">
        <v>14.492753623188385</v>
      </c>
      <c r="K40" s="537">
        <v>27.58620689655173</v>
      </c>
      <c r="L40" s="537">
        <v>5.0000000000000018</v>
      </c>
      <c r="M40" s="538">
        <v>0.18125000000000002</v>
      </c>
    </row>
    <row r="41" spans="1:13">
      <c r="A41" s="248" t="s">
        <v>211</v>
      </c>
      <c r="B41" s="535">
        <v>32.854048440138868</v>
      </c>
      <c r="C41" s="535">
        <v>17.141242664420279</v>
      </c>
      <c r="D41" s="535">
        <v>15.712805775718589</v>
      </c>
      <c r="E41" s="535"/>
      <c r="F41" s="535">
        <v>5.7137475548067611</v>
      </c>
      <c r="G41" s="535">
        <v>2.8568737774033806</v>
      </c>
      <c r="H41" s="536">
        <v>2.8568737774033806</v>
      </c>
      <c r="I41" s="536"/>
      <c r="J41" s="537">
        <v>17.39130434782609</v>
      </c>
      <c r="K41" s="537">
        <v>16.666666666666671</v>
      </c>
      <c r="L41" s="537">
        <v>18.181818181818183</v>
      </c>
      <c r="M41" s="538">
        <v>1.0909090909090906</v>
      </c>
    </row>
    <row r="42" spans="1:13">
      <c r="A42" s="207" t="s">
        <v>5</v>
      </c>
      <c r="B42" s="527">
        <v>50048.835520396766</v>
      </c>
      <c r="C42" s="527">
        <v>25825.215713534424</v>
      </c>
      <c r="D42" s="527">
        <v>24223.61980685564</v>
      </c>
      <c r="E42" s="527"/>
      <c r="F42" s="527">
        <v>17098.593880644708</v>
      </c>
      <c r="G42" s="527">
        <v>10275.928136404416</v>
      </c>
      <c r="H42" s="528">
        <v>6822.6657442377254</v>
      </c>
      <c r="I42" s="528"/>
      <c r="J42" s="529">
        <v>34.163819603107726</v>
      </c>
      <c r="K42" s="529">
        <v>39.790289654847392</v>
      </c>
      <c r="L42" s="529">
        <v>28.165343572256571</v>
      </c>
      <c r="M42" s="530">
        <v>0.70784464794227431</v>
      </c>
    </row>
    <row r="43" spans="1:13">
      <c r="A43" s="248" t="s">
        <v>129</v>
      </c>
      <c r="B43" s="535">
        <v>9271.9530506438041</v>
      </c>
      <c r="C43" s="535">
        <v>4436.3149994522792</v>
      </c>
      <c r="D43" s="535">
        <v>4835.6380511908865</v>
      </c>
      <c r="E43" s="535"/>
      <c r="F43" s="535">
        <v>3078.3431146014673</v>
      </c>
      <c r="G43" s="535">
        <v>1545.325508440581</v>
      </c>
      <c r="H43" s="536">
        <v>1533.0176061609664</v>
      </c>
      <c r="I43" s="536"/>
      <c r="J43" s="537">
        <v>33.200589970499855</v>
      </c>
      <c r="K43" s="537">
        <v>34.833538840938154</v>
      </c>
      <c r="L43" s="537">
        <v>31.702488687783806</v>
      </c>
      <c r="M43" s="538">
        <v>0.91011392303688143</v>
      </c>
    </row>
    <row r="44" spans="1:13">
      <c r="A44" s="248" t="s">
        <v>130</v>
      </c>
      <c r="B44" s="535">
        <v>9262.6202144363342</v>
      </c>
      <c r="C44" s="535">
        <v>4645.0143420781287</v>
      </c>
      <c r="D44" s="535">
        <v>4617.6058723577935</v>
      </c>
      <c r="E44" s="535"/>
      <c r="F44" s="535">
        <v>3133.2208543459533</v>
      </c>
      <c r="G44" s="535">
        <v>1736.8314496467196</v>
      </c>
      <c r="H44" s="536">
        <v>1396.3894046993441</v>
      </c>
      <c r="I44" s="536"/>
      <c r="J44" s="537">
        <v>33.826506774645168</v>
      </c>
      <c r="K44" s="537">
        <v>37.391304347827479</v>
      </c>
      <c r="L44" s="537">
        <v>30.24054982817994</v>
      </c>
      <c r="M44" s="538">
        <v>0.80875889075361951</v>
      </c>
    </row>
    <row r="45" spans="1:13">
      <c r="A45" s="248" t="s">
        <v>131</v>
      </c>
      <c r="B45" s="535">
        <v>7248.8189655099759</v>
      </c>
      <c r="C45" s="535">
        <v>3801.1219848993856</v>
      </c>
      <c r="D45" s="535">
        <v>3447.6969806108523</v>
      </c>
      <c r="E45" s="535"/>
      <c r="F45" s="535">
        <v>2618.2301338112334</v>
      </c>
      <c r="G45" s="535">
        <v>1549.2998147180806</v>
      </c>
      <c r="H45" s="536">
        <v>1068.9303190931821</v>
      </c>
      <c r="I45" s="536"/>
      <c r="J45" s="537">
        <v>36.119402985076484</v>
      </c>
      <c r="K45" s="537">
        <v>40.759013282733548</v>
      </c>
      <c r="L45" s="537">
        <v>31.004184100419309</v>
      </c>
      <c r="M45" s="538">
        <v>0.76067062481008074</v>
      </c>
    </row>
    <row r="46" spans="1:13">
      <c r="A46" s="248" t="s">
        <v>132</v>
      </c>
      <c r="B46" s="535">
        <v>6217.8695352418181</v>
      </c>
      <c r="C46" s="535">
        <v>3393.7942510845592</v>
      </c>
      <c r="D46" s="535">
        <v>2824.0752841579088</v>
      </c>
      <c r="E46" s="535"/>
      <c r="F46" s="535">
        <v>2369.7424371151369</v>
      </c>
      <c r="G46" s="535">
        <v>1502.9042114874992</v>
      </c>
      <c r="H46" s="536">
        <v>866.83822562761873</v>
      </c>
      <c r="I46" s="536"/>
      <c r="J46" s="537">
        <v>38.111807005339365</v>
      </c>
      <c r="K46" s="537">
        <v>44.28389290267728</v>
      </c>
      <c r="L46" s="537">
        <v>30.694586312563281</v>
      </c>
      <c r="M46" s="538">
        <v>0.69313206903514057</v>
      </c>
    </row>
    <row r="47" spans="1:13">
      <c r="A47" s="248" t="s">
        <v>133</v>
      </c>
      <c r="B47" s="535">
        <v>4001.0137069734701</v>
      </c>
      <c r="C47" s="535">
        <v>2101.4697083851192</v>
      </c>
      <c r="D47" s="535">
        <v>1899.5439985883318</v>
      </c>
      <c r="E47" s="535"/>
      <c r="F47" s="535">
        <v>1396.1720505949115</v>
      </c>
      <c r="G47" s="535">
        <v>911.55034708262167</v>
      </c>
      <c r="H47" s="536">
        <v>484.62170351227206</v>
      </c>
      <c r="I47" s="536"/>
      <c r="J47" s="537">
        <v>34.895457822638583</v>
      </c>
      <c r="K47" s="537">
        <v>43.376801647219708</v>
      </c>
      <c r="L47" s="537">
        <v>25.512528473803417</v>
      </c>
      <c r="M47" s="538">
        <v>0.5881606643406978</v>
      </c>
    </row>
    <row r="48" spans="1:13">
      <c r="A48" s="248" t="s">
        <v>134</v>
      </c>
      <c r="B48" s="535">
        <v>2850.0371611317814</v>
      </c>
      <c r="C48" s="535">
        <v>1488.4809465020144</v>
      </c>
      <c r="D48" s="535">
        <v>1361.556214629748</v>
      </c>
      <c r="E48" s="535"/>
      <c r="F48" s="535">
        <v>826.45308366826123</v>
      </c>
      <c r="G48" s="535">
        <v>574.04594642227687</v>
      </c>
      <c r="H48" s="536">
        <v>252.40713724597558</v>
      </c>
      <c r="I48" s="536"/>
      <c r="J48" s="537">
        <v>28.997975708501439</v>
      </c>
      <c r="K48" s="537">
        <v>38.565891472867285</v>
      </c>
      <c r="L48" s="537">
        <v>18.538135593219934</v>
      </c>
      <c r="M48" s="538">
        <v>0.48068733497998578</v>
      </c>
    </row>
    <row r="49" spans="1:13">
      <c r="A49" s="248" t="s">
        <v>135</v>
      </c>
      <c r="B49" s="535">
        <v>2292.0296168096206</v>
      </c>
      <c r="C49" s="535">
        <v>1128.3184710298158</v>
      </c>
      <c r="D49" s="535">
        <v>1163.7111457798098</v>
      </c>
      <c r="E49" s="535"/>
      <c r="F49" s="535">
        <v>795.62732837987153</v>
      </c>
      <c r="G49" s="535">
        <v>502.57598144992068</v>
      </c>
      <c r="H49" s="536">
        <v>293.05134692995586</v>
      </c>
      <c r="I49" s="536"/>
      <c r="J49" s="537">
        <v>34.712785670167364</v>
      </c>
      <c r="K49" s="537">
        <v>44.54203262233456</v>
      </c>
      <c r="L49" s="537">
        <v>25.182481751825073</v>
      </c>
      <c r="M49" s="538">
        <v>0.56536444947054132</v>
      </c>
    </row>
    <row r="50" spans="1:13">
      <c r="A50" s="248" t="s">
        <v>136</v>
      </c>
      <c r="B50" s="535">
        <v>2010.3039257996677</v>
      </c>
      <c r="C50" s="535">
        <v>990.99489299983873</v>
      </c>
      <c r="D50" s="535">
        <v>1019.309032799834</v>
      </c>
      <c r="E50" s="535"/>
      <c r="F50" s="535">
        <v>683.78647616989031</v>
      </c>
      <c r="G50" s="535">
        <v>436.03775291993185</v>
      </c>
      <c r="H50" s="536">
        <v>247.74872324996329</v>
      </c>
      <c r="I50" s="536"/>
      <c r="J50" s="537">
        <v>34.014084507043009</v>
      </c>
      <c r="K50" s="537">
        <v>44.000000000000668</v>
      </c>
      <c r="L50" s="537">
        <v>24.305555555555795</v>
      </c>
      <c r="M50" s="538">
        <v>0.55239898989898695</v>
      </c>
    </row>
    <row r="51" spans="1:13">
      <c r="A51" s="248" t="s">
        <v>137</v>
      </c>
      <c r="B51" s="535">
        <v>1577.0975868597404</v>
      </c>
      <c r="C51" s="535">
        <v>763.066067609877</v>
      </c>
      <c r="D51" s="535">
        <v>814.03151924986844</v>
      </c>
      <c r="E51" s="535"/>
      <c r="F51" s="535">
        <v>520.98017231991764</v>
      </c>
      <c r="G51" s="535">
        <v>351.09533351994611</v>
      </c>
      <c r="H51" s="536">
        <v>169.8848387999748</v>
      </c>
      <c r="I51" s="536"/>
      <c r="J51" s="537">
        <v>33.034111310593119</v>
      </c>
      <c r="K51" s="537">
        <v>46.011131725417869</v>
      </c>
      <c r="L51" s="537">
        <v>20.869565217391504</v>
      </c>
      <c r="M51" s="538">
        <v>0.45357643758765787</v>
      </c>
    </row>
    <row r="52" spans="1:13">
      <c r="A52" s="248" t="s">
        <v>138</v>
      </c>
      <c r="B52" s="535">
        <v>1697.4326810097202</v>
      </c>
      <c r="C52" s="535">
        <v>976.8378230998411</v>
      </c>
      <c r="D52" s="535">
        <v>720.59485790988413</v>
      </c>
      <c r="E52" s="535"/>
      <c r="F52" s="535">
        <v>581.85557288990742</v>
      </c>
      <c r="G52" s="535">
        <v>403.47649214993731</v>
      </c>
      <c r="H52" s="536">
        <v>178.37908073997355</v>
      </c>
      <c r="I52" s="536"/>
      <c r="J52" s="537">
        <v>34.27856547122677</v>
      </c>
      <c r="K52" s="537">
        <v>41.304347826087522</v>
      </c>
      <c r="L52" s="537">
        <v>24.754420432220254</v>
      </c>
      <c r="M52" s="538">
        <v>0.59931754730637687</v>
      </c>
    </row>
    <row r="53" spans="1:13">
      <c r="A53" s="248" t="s">
        <v>205</v>
      </c>
      <c r="B53" s="535">
        <v>1137.0357634065344</v>
      </c>
      <c r="C53" s="535">
        <v>645.65347369316123</v>
      </c>
      <c r="D53" s="535">
        <v>491.38228971338333</v>
      </c>
      <c r="E53" s="535"/>
      <c r="F53" s="535">
        <v>372.8220279511425</v>
      </c>
      <c r="G53" s="535">
        <v>269.97457196462034</v>
      </c>
      <c r="H53" s="536">
        <v>102.84745598652185</v>
      </c>
      <c r="I53" s="536"/>
      <c r="J53" s="537">
        <v>32.788944723618407</v>
      </c>
      <c r="K53" s="537">
        <v>41.814159292035569</v>
      </c>
      <c r="L53" s="537">
        <v>20.930232558139455</v>
      </c>
      <c r="M53" s="538">
        <v>0.50055370985603143</v>
      </c>
    </row>
    <row r="54" spans="1:13">
      <c r="A54" s="248" t="s">
        <v>206</v>
      </c>
      <c r="B54" s="535">
        <v>1037.0451811974117</v>
      </c>
      <c r="C54" s="535">
        <v>631.36910480614483</v>
      </c>
      <c r="D54" s="535">
        <v>405.67607639128153</v>
      </c>
      <c r="E54" s="535"/>
      <c r="F54" s="535">
        <v>294.25799907254918</v>
      </c>
      <c r="G54" s="535">
        <v>221.40771774876268</v>
      </c>
      <c r="H54" s="536">
        <v>72.85028132378622</v>
      </c>
      <c r="I54" s="536"/>
      <c r="J54" s="537">
        <v>28.374655647383339</v>
      </c>
      <c r="K54" s="537">
        <v>35.067873303167545</v>
      </c>
      <c r="L54" s="537">
        <v>17.957746478873172</v>
      </c>
      <c r="M54" s="538">
        <v>0.51208541572012345</v>
      </c>
    </row>
    <row r="55" spans="1:13">
      <c r="A55" s="248" t="s">
        <v>207</v>
      </c>
      <c r="B55" s="535">
        <v>535.66383326313496</v>
      </c>
      <c r="C55" s="535">
        <v>304.25705729346106</v>
      </c>
      <c r="D55" s="535">
        <v>231.40677596967456</v>
      </c>
      <c r="E55" s="535"/>
      <c r="F55" s="535">
        <v>225.69302841486777</v>
      </c>
      <c r="G55" s="535">
        <v>144.27212575887106</v>
      </c>
      <c r="H55" s="536">
        <v>81.4209026559964</v>
      </c>
      <c r="I55" s="536"/>
      <c r="J55" s="537">
        <v>42.13333333333324</v>
      </c>
      <c r="K55" s="537">
        <v>47.417840375586685</v>
      </c>
      <c r="L55" s="537">
        <v>35.18518518518507</v>
      </c>
      <c r="M55" s="538">
        <v>0.74202420242024225</v>
      </c>
    </row>
    <row r="56" spans="1:13">
      <c r="A56" s="248" t="s">
        <v>208</v>
      </c>
      <c r="B56" s="535">
        <v>558.5188234823612</v>
      </c>
      <c r="C56" s="535">
        <v>291.40112529514579</v>
      </c>
      <c r="D56" s="535">
        <v>267.11769818721694</v>
      </c>
      <c r="E56" s="535"/>
      <c r="F56" s="535">
        <v>154.27118397978293</v>
      </c>
      <c r="G56" s="535">
        <v>88.563087099504884</v>
      </c>
      <c r="H56" s="536">
        <v>65.708096880277736</v>
      </c>
      <c r="I56" s="536"/>
      <c r="J56" s="537">
        <v>27.621483375959059</v>
      </c>
      <c r="K56" s="537">
        <v>30.392156862744994</v>
      </c>
      <c r="L56" s="537">
        <v>24.59893048128334</v>
      </c>
      <c r="M56" s="538">
        <v>0.80938416422287396</v>
      </c>
    </row>
    <row r="57" spans="1:13">
      <c r="A57" s="248" t="s">
        <v>209</v>
      </c>
      <c r="B57" s="535">
        <v>115.70338798483712</v>
      </c>
      <c r="C57" s="535">
        <v>72.85028132378622</v>
      </c>
      <c r="D57" s="535">
        <v>42.853106661050695</v>
      </c>
      <c r="E57" s="535"/>
      <c r="F57" s="535">
        <v>21.426553330525348</v>
      </c>
      <c r="G57" s="535">
        <v>14.2843688870169</v>
      </c>
      <c r="H57" s="536">
        <v>7.1421844435084516</v>
      </c>
      <c r="I57" s="536"/>
      <c r="J57" s="537">
        <v>18.518518518518484</v>
      </c>
      <c r="K57" s="537">
        <v>19.607843137254896</v>
      </c>
      <c r="L57" s="537">
        <v>16.666666666666671</v>
      </c>
      <c r="M57" s="538">
        <v>0.85000000000000053</v>
      </c>
    </row>
    <row r="58" spans="1:13">
      <c r="A58" s="248" t="s">
        <v>210</v>
      </c>
      <c r="B58" s="535">
        <v>141.41525198146766</v>
      </c>
      <c r="C58" s="535">
        <v>94.276834654311671</v>
      </c>
      <c r="D58" s="535">
        <v>47.138417327155764</v>
      </c>
      <c r="E58" s="535"/>
      <c r="F58" s="535">
        <v>15.712805775718589</v>
      </c>
      <c r="G58" s="535">
        <v>14.2843688870169</v>
      </c>
      <c r="H58" s="536">
        <v>1.4284368887016903</v>
      </c>
      <c r="I58" s="536"/>
      <c r="J58" s="537">
        <v>11.111111111111084</v>
      </c>
      <c r="K58" s="537">
        <v>15.151515151515131</v>
      </c>
      <c r="L58" s="537">
        <v>3.0303030303030312</v>
      </c>
      <c r="M58" s="538">
        <v>0.20000000000000032</v>
      </c>
    </row>
    <row r="59" spans="1:13">
      <c r="A59" s="248" t="s">
        <v>211</v>
      </c>
      <c r="B59" s="535">
        <v>94.276834654311671</v>
      </c>
      <c r="C59" s="535">
        <v>59.994349325470971</v>
      </c>
      <c r="D59" s="535">
        <v>34.282485328840558</v>
      </c>
      <c r="E59" s="535"/>
      <c r="F59" s="535">
        <v>9.9990582209118308</v>
      </c>
      <c r="G59" s="535">
        <v>9.9990582209118308</v>
      </c>
      <c r="H59" s="536">
        <v>0</v>
      </c>
      <c r="I59" s="536"/>
      <c r="J59" s="537">
        <v>10.606060606060591</v>
      </c>
      <c r="K59" s="537">
        <v>16.666666666666671</v>
      </c>
      <c r="L59" s="537">
        <v>0</v>
      </c>
      <c r="M59" s="538">
        <v>0</v>
      </c>
    </row>
  </sheetData>
  <mergeCells count="6">
    <mergeCell ref="A1:M1"/>
    <mergeCell ref="A2:A3"/>
    <mergeCell ref="B2:D2"/>
    <mergeCell ref="F2:H2"/>
    <mergeCell ref="J2:L2"/>
    <mergeCell ref="M2:M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30"/>
  <sheetViews>
    <sheetView zoomScale="120" zoomScaleNormal="120" workbookViewId="0">
      <selection activeCell="O12" sqref="O12"/>
    </sheetView>
  </sheetViews>
  <sheetFormatPr defaultColWidth="9.140625" defaultRowHeight="12"/>
  <cols>
    <col min="1" max="1" width="21.42578125" style="70" customWidth="1"/>
    <col min="2" max="4" width="9" style="75" bestFit="1" customWidth="1"/>
    <col min="5" max="5" width="2" style="75" customWidth="1"/>
    <col min="6" max="6" width="9" style="75" bestFit="1" customWidth="1"/>
    <col min="7" max="7" width="8.140625" style="75" bestFit="1" customWidth="1"/>
    <col min="8" max="8" width="8.42578125" style="75" bestFit="1" customWidth="1"/>
    <col min="9" max="9" width="3.7109375" style="75" customWidth="1"/>
    <col min="10" max="10" width="5" style="75" bestFit="1" customWidth="1"/>
    <col min="11" max="11" width="7.42578125" style="75" bestFit="1" customWidth="1"/>
    <col min="12" max="12" width="8.42578125" style="75" bestFit="1" customWidth="1"/>
    <col min="13" max="13" width="9.28515625" style="75" bestFit="1" customWidth="1"/>
    <col min="14" max="16384" width="9.140625" style="69"/>
  </cols>
  <sheetData>
    <row r="1" spans="1:13" ht="12.75" customHeight="1">
      <c r="A1" s="765" t="s">
        <v>511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</row>
    <row r="2" spans="1:13" ht="36.75" customHeight="1">
      <c r="A2" s="763" t="s">
        <v>445</v>
      </c>
      <c r="B2" s="734" t="s">
        <v>567</v>
      </c>
      <c r="C2" s="734"/>
      <c r="D2" s="734"/>
      <c r="E2" s="509"/>
      <c r="F2" s="734" t="s">
        <v>566</v>
      </c>
      <c r="G2" s="734"/>
      <c r="H2" s="734"/>
      <c r="I2" s="509"/>
      <c r="J2" s="766" t="s">
        <v>202</v>
      </c>
      <c r="K2" s="766"/>
      <c r="L2" s="766"/>
      <c r="M2" s="733" t="s">
        <v>203</v>
      </c>
    </row>
    <row r="3" spans="1:13">
      <c r="A3" s="764"/>
      <c r="B3" s="511" t="s">
        <v>1</v>
      </c>
      <c r="C3" s="511" t="s">
        <v>2</v>
      </c>
      <c r="D3" s="511" t="s">
        <v>3</v>
      </c>
      <c r="E3" s="511"/>
      <c r="F3" s="511" t="s">
        <v>1</v>
      </c>
      <c r="G3" s="511" t="s">
        <v>2</v>
      </c>
      <c r="H3" s="511" t="s">
        <v>3</v>
      </c>
      <c r="I3" s="511"/>
      <c r="J3" s="511" t="s">
        <v>1</v>
      </c>
      <c r="K3" s="511" t="s">
        <v>2</v>
      </c>
      <c r="L3" s="511" t="s">
        <v>3</v>
      </c>
      <c r="M3" s="734"/>
    </row>
    <row r="4" spans="1:13">
      <c r="A4" s="247" t="s">
        <v>500</v>
      </c>
      <c r="B4" s="256">
        <v>29771.33476717681</v>
      </c>
      <c r="C4" s="256">
        <v>14652.42336426494</v>
      </c>
      <c r="D4" s="256">
        <v>15118.911402915239</v>
      </c>
      <c r="E4" s="256"/>
      <c r="F4" s="256">
        <v>12967.393297021386</v>
      </c>
      <c r="G4" s="256">
        <v>7096.778986825243</v>
      </c>
      <c r="H4" s="256">
        <v>5870.614310193223</v>
      </c>
      <c r="I4" s="256"/>
      <c r="J4" s="547">
        <v>43.556640635798907</v>
      </c>
      <c r="K4" s="547">
        <v>48.434165532873187</v>
      </c>
      <c r="L4" s="547">
        <v>38.8296098425539</v>
      </c>
      <c r="M4" s="542">
        <v>0.80169874747195768</v>
      </c>
    </row>
    <row r="5" spans="1:13">
      <c r="A5" s="250"/>
      <c r="B5" s="26"/>
      <c r="C5" s="26"/>
      <c r="D5" s="26"/>
      <c r="E5" s="26"/>
      <c r="F5" s="26"/>
      <c r="G5" s="26"/>
      <c r="H5" s="26"/>
      <c r="I5" s="26"/>
      <c r="J5" s="548"/>
      <c r="K5" s="548"/>
      <c r="L5" s="548"/>
      <c r="M5" s="543"/>
    </row>
    <row r="6" spans="1:13">
      <c r="A6" s="251" t="s">
        <v>512</v>
      </c>
      <c r="B6" s="540"/>
      <c r="C6" s="540"/>
      <c r="D6" s="540"/>
      <c r="E6" s="540"/>
      <c r="F6" s="540"/>
      <c r="G6" s="540"/>
      <c r="H6" s="540"/>
      <c r="I6" s="540"/>
      <c r="J6" s="549"/>
      <c r="K6" s="549"/>
      <c r="L6" s="549"/>
      <c r="M6" s="544"/>
    </row>
    <row r="7" spans="1:13">
      <c r="A7" s="180" t="s">
        <v>4</v>
      </c>
      <c r="B7" s="25">
        <v>11236.761502094925</v>
      </c>
      <c r="C7" s="25">
        <v>5571.0940227307019</v>
      </c>
      <c r="D7" s="25">
        <v>5665.6674793624234</v>
      </c>
      <c r="E7" s="25"/>
      <c r="F7" s="25">
        <v>6755.8293280712114</v>
      </c>
      <c r="G7" s="25">
        <v>3814.6220287382366</v>
      </c>
      <c r="H7" s="25">
        <v>2941.2072993331449</v>
      </c>
      <c r="I7" s="25"/>
      <c r="J7" s="550">
        <v>60.122565801649294</v>
      </c>
      <c r="K7" s="550">
        <v>68.471686407987235</v>
      </c>
      <c r="L7" s="550">
        <v>51.912811862798307</v>
      </c>
      <c r="M7" s="545">
        <v>0.75816464565334074</v>
      </c>
    </row>
    <row r="8" spans="1:13">
      <c r="A8" s="253" t="s">
        <v>5</v>
      </c>
      <c r="B8" s="541">
        <v>18534.573265083563</v>
      </c>
      <c r="C8" s="541">
        <v>9081.3293415308017</v>
      </c>
      <c r="D8" s="541">
        <v>9453.2439235493093</v>
      </c>
      <c r="E8" s="541"/>
      <c r="F8" s="541">
        <v>6211.56396894725</v>
      </c>
      <c r="G8" s="541">
        <v>3282.1569580871837</v>
      </c>
      <c r="H8" s="541">
        <v>2929.4070108602368</v>
      </c>
      <c r="I8" s="541"/>
      <c r="J8" s="551">
        <v>33.513390786552996</v>
      </c>
      <c r="K8" s="551">
        <v>36.141811783845647</v>
      </c>
      <c r="L8" s="551">
        <v>30.988378534935514</v>
      </c>
      <c r="M8" s="546">
        <v>0.8574107662412882</v>
      </c>
    </row>
    <row r="9" spans="1:13" s="72" customFormat="1">
      <c r="A9" s="246" t="s">
        <v>448</v>
      </c>
      <c r="B9" s="256"/>
      <c r="C9" s="256"/>
      <c r="D9" s="256"/>
      <c r="E9" s="256"/>
      <c r="F9" s="256"/>
      <c r="G9" s="256"/>
      <c r="H9" s="256"/>
      <c r="I9" s="256"/>
      <c r="J9" s="547"/>
      <c r="K9" s="547"/>
      <c r="L9" s="547"/>
      <c r="M9" s="542"/>
    </row>
    <row r="10" spans="1:13" s="72" customFormat="1">
      <c r="A10" s="86" t="s">
        <v>486</v>
      </c>
      <c r="B10" s="26">
        <v>4893.4056283566051</v>
      </c>
      <c r="C10" s="26">
        <v>2398.1261895259731</v>
      </c>
      <c r="D10" s="26">
        <v>2495.2794388307975</v>
      </c>
      <c r="E10" s="26"/>
      <c r="F10" s="26">
        <v>2917.0013876238886</v>
      </c>
      <c r="G10" s="26">
        <v>1501.935952916984</v>
      </c>
      <c r="H10" s="26">
        <v>1415.0654347069824</v>
      </c>
      <c r="I10" s="26"/>
      <c r="J10" s="548">
        <v>59.610864276615096</v>
      </c>
      <c r="K10" s="548">
        <v>62.629563009519799</v>
      </c>
      <c r="L10" s="548">
        <v>56.70969802764926</v>
      </c>
      <c r="M10" s="543">
        <v>0.90547810494908432</v>
      </c>
    </row>
    <row r="11" spans="1:13" s="72" customFormat="1">
      <c r="A11" s="87" t="s">
        <v>486</v>
      </c>
      <c r="B11" s="25">
        <v>4893.4056283566051</v>
      </c>
      <c r="C11" s="25">
        <v>2398.1261895259731</v>
      </c>
      <c r="D11" s="25">
        <v>2495.2794388307975</v>
      </c>
      <c r="E11" s="25"/>
      <c r="F11" s="25">
        <v>2917.0013876238886</v>
      </c>
      <c r="G11" s="25">
        <v>1501.935952916984</v>
      </c>
      <c r="H11" s="25">
        <v>1415.0654347069824</v>
      </c>
      <c r="I11" s="25"/>
      <c r="J11" s="550">
        <v>59.610864276615096</v>
      </c>
      <c r="K11" s="550">
        <v>62.629563009519799</v>
      </c>
      <c r="L11" s="550">
        <v>56.70969802764926</v>
      </c>
      <c r="M11" s="545">
        <v>0.90547810494908432</v>
      </c>
    </row>
    <row r="12" spans="1:13" s="72" customFormat="1">
      <c r="A12" s="86" t="s">
        <v>487</v>
      </c>
      <c r="B12" s="26">
        <v>10726.126433332172</v>
      </c>
      <c r="C12" s="26">
        <v>5379.6324810057931</v>
      </c>
      <c r="D12" s="26">
        <v>5346.4939523249031</v>
      </c>
      <c r="E12" s="26"/>
      <c r="F12" s="26">
        <v>5589.6047366284929</v>
      </c>
      <c r="G12" s="26">
        <v>3330.9332451225619</v>
      </c>
      <c r="H12" s="26">
        <v>2258.6714915060916</v>
      </c>
      <c r="I12" s="26"/>
      <c r="J12" s="548">
        <v>52.112053418077863</v>
      </c>
      <c r="K12" s="548">
        <v>61.917487056659084</v>
      </c>
      <c r="L12" s="548">
        <v>42.245843942718736</v>
      </c>
      <c r="M12" s="543">
        <v>0.68229261152121146</v>
      </c>
    </row>
    <row r="13" spans="1:13">
      <c r="A13" s="87" t="s">
        <v>487</v>
      </c>
      <c r="B13" s="25">
        <v>9239.2910478550712</v>
      </c>
      <c r="C13" s="25">
        <v>4595.488472696391</v>
      </c>
      <c r="D13" s="25">
        <v>4643.8025751581699</v>
      </c>
      <c r="E13" s="25"/>
      <c r="F13" s="25">
        <v>5073.972241732753</v>
      </c>
      <c r="G13" s="25">
        <v>3019.6876755272974</v>
      </c>
      <c r="H13" s="25">
        <v>2054.2845662056102</v>
      </c>
      <c r="I13" s="25"/>
      <c r="J13" s="550">
        <v>54.917333109782319</v>
      </c>
      <c r="K13" s="550">
        <v>65.7098302708944</v>
      </c>
      <c r="L13" s="550">
        <v>44.237121043751785</v>
      </c>
      <c r="M13" s="545">
        <v>0.67321922551588498</v>
      </c>
    </row>
    <row r="14" spans="1:13" s="72" customFormat="1">
      <c r="A14" s="87" t="s">
        <v>488</v>
      </c>
      <c r="B14" s="25">
        <v>1486.8353854762602</v>
      </c>
      <c r="C14" s="25">
        <v>784.14400830947829</v>
      </c>
      <c r="D14" s="25">
        <v>702.69137716679472</v>
      </c>
      <c r="E14" s="25"/>
      <c r="F14" s="25">
        <v>515.63249489578743</v>
      </c>
      <c r="G14" s="25">
        <v>311.2455695952861</v>
      </c>
      <c r="H14" s="25">
        <v>204.3869253004994</v>
      </c>
      <c r="I14" s="25"/>
      <c r="J14" s="550">
        <v>34.679864357050043</v>
      </c>
      <c r="K14" s="550">
        <v>39.692399138048124</v>
      </c>
      <c r="L14" s="550">
        <v>29.086300464447781</v>
      </c>
      <c r="M14" s="545">
        <v>0.73279270329029811</v>
      </c>
    </row>
    <row r="15" spans="1:13" s="72" customFormat="1">
      <c r="A15" s="86" t="s">
        <v>489</v>
      </c>
      <c r="B15" s="26">
        <v>1314.5474681782096</v>
      </c>
      <c r="C15" s="26">
        <v>655.10990753223712</v>
      </c>
      <c r="D15" s="26">
        <v>659.43756064597403</v>
      </c>
      <c r="E15" s="26"/>
      <c r="F15" s="26">
        <v>518.12513469618477</v>
      </c>
      <c r="G15" s="26">
        <v>234.3054653957754</v>
      </c>
      <c r="H15" s="26">
        <v>283.81966930040727</v>
      </c>
      <c r="I15" s="26"/>
      <c r="J15" s="548">
        <v>39.414714739380251</v>
      </c>
      <c r="K15" s="548">
        <v>35.765825352633129</v>
      </c>
      <c r="L15" s="548">
        <v>43.039657768717866</v>
      </c>
      <c r="M15" s="543">
        <v>1.203373816887165</v>
      </c>
    </row>
    <row r="16" spans="1:13" s="72" customFormat="1">
      <c r="A16" s="87" t="s">
        <v>489</v>
      </c>
      <c r="B16" s="25">
        <v>851.74160268738854</v>
      </c>
      <c r="C16" s="25">
        <v>436.76494046821875</v>
      </c>
      <c r="D16" s="25">
        <v>414.97666221917558</v>
      </c>
      <c r="E16" s="25"/>
      <c r="F16" s="25">
        <v>386.05063512074668</v>
      </c>
      <c r="G16" s="25">
        <v>175.29345494717595</v>
      </c>
      <c r="H16" s="25">
        <v>210.75718017356962</v>
      </c>
      <c r="I16" s="25"/>
      <c r="J16" s="550">
        <v>45.324853676595495</v>
      </c>
      <c r="K16" s="550">
        <v>40.134506849212492</v>
      </c>
      <c r="L16" s="550">
        <v>50.787718771099456</v>
      </c>
      <c r="M16" s="545">
        <v>1.2654377182685128</v>
      </c>
    </row>
    <row r="17" spans="1:13">
      <c r="A17" s="87" t="s">
        <v>490</v>
      </c>
      <c r="B17" s="25">
        <v>462.80586549082204</v>
      </c>
      <c r="C17" s="25">
        <v>218.34496706401993</v>
      </c>
      <c r="D17" s="25">
        <v>244.4608984268009</v>
      </c>
      <c r="E17" s="25"/>
      <c r="F17" s="25">
        <v>132.07449957543704</v>
      </c>
      <c r="G17" s="25">
        <v>59.01201044859959</v>
      </c>
      <c r="H17" s="25">
        <v>73.062489126837576</v>
      </c>
      <c r="I17" s="25"/>
      <c r="J17" s="550">
        <v>28.537775647110116</v>
      </c>
      <c r="K17" s="550">
        <v>27.026961620460405</v>
      </c>
      <c r="L17" s="550">
        <v>29.887188338512441</v>
      </c>
      <c r="M17" s="545">
        <v>1.1058286446777923</v>
      </c>
    </row>
    <row r="18" spans="1:13" s="72" customFormat="1">
      <c r="A18" s="86" t="s">
        <v>491</v>
      </c>
      <c r="B18" s="26">
        <v>4155.8611447689373</v>
      </c>
      <c r="C18" s="26">
        <v>1933.3807272746158</v>
      </c>
      <c r="D18" s="26">
        <v>2222.4804174944838</v>
      </c>
      <c r="E18" s="26"/>
      <c r="F18" s="26">
        <v>1388.8047747058688</v>
      </c>
      <c r="G18" s="26">
        <v>696.67872342007092</v>
      </c>
      <c r="H18" s="26">
        <v>692.12605128580083</v>
      </c>
      <c r="I18" s="26"/>
      <c r="J18" s="548">
        <v>33.417978280000135</v>
      </c>
      <c r="K18" s="548">
        <v>36.034223036977629</v>
      </c>
      <c r="L18" s="548">
        <v>31.142053978863601</v>
      </c>
      <c r="M18" s="543">
        <v>0.86423547822596924</v>
      </c>
    </row>
    <row r="19" spans="1:13">
      <c r="A19" s="87" t="s">
        <v>491</v>
      </c>
      <c r="B19" s="25">
        <v>4155.8611447689373</v>
      </c>
      <c r="C19" s="25">
        <v>1933.3807272746158</v>
      </c>
      <c r="D19" s="25">
        <v>2222.4804174944838</v>
      </c>
      <c r="E19" s="25"/>
      <c r="F19" s="25">
        <v>1388.8047747058688</v>
      </c>
      <c r="G19" s="25">
        <v>696.67872342007092</v>
      </c>
      <c r="H19" s="25">
        <v>692.12605128580083</v>
      </c>
      <c r="I19" s="25"/>
      <c r="J19" s="550">
        <v>33.417978280000135</v>
      </c>
      <c r="K19" s="550">
        <v>36.034223036977629</v>
      </c>
      <c r="L19" s="550">
        <v>31.142053978863601</v>
      </c>
      <c r="M19" s="545">
        <v>0.86423547822596924</v>
      </c>
    </row>
    <row r="20" spans="1:13" s="72" customFormat="1">
      <c r="A20" s="86" t="s">
        <v>499</v>
      </c>
      <c r="B20" s="26">
        <v>2235.9118364282926</v>
      </c>
      <c r="C20" s="26">
        <v>1072.8443737634323</v>
      </c>
      <c r="D20" s="26">
        <v>1163.0674626648636</v>
      </c>
      <c r="E20" s="26"/>
      <c r="F20" s="26">
        <v>655.25992021259287</v>
      </c>
      <c r="G20" s="26">
        <v>297.62769838357298</v>
      </c>
      <c r="H20" s="26">
        <v>357.63222182902081</v>
      </c>
      <c r="I20" s="26"/>
      <c r="J20" s="548">
        <v>29.306160893147204</v>
      </c>
      <c r="K20" s="548">
        <v>27.741926570349204</v>
      </c>
      <c r="L20" s="548">
        <v>30.74905225270437</v>
      </c>
      <c r="M20" s="543">
        <v>1.1083964257035128</v>
      </c>
    </row>
    <row r="21" spans="1:13">
      <c r="A21" s="87" t="s">
        <v>492</v>
      </c>
      <c r="B21" s="25">
        <v>2235.9118364282926</v>
      </c>
      <c r="C21" s="25">
        <v>1072.8443737634323</v>
      </c>
      <c r="D21" s="25">
        <v>1163.0674626648636</v>
      </c>
      <c r="E21" s="25"/>
      <c r="F21" s="25">
        <v>655.25992021259287</v>
      </c>
      <c r="G21" s="25">
        <v>297.62769838357298</v>
      </c>
      <c r="H21" s="25">
        <v>357.63222182902081</v>
      </c>
      <c r="I21" s="25"/>
      <c r="J21" s="550">
        <v>29.306160893147204</v>
      </c>
      <c r="K21" s="550">
        <v>27.741926570349204</v>
      </c>
      <c r="L21" s="550">
        <v>30.74905225270437</v>
      </c>
      <c r="M21" s="545">
        <v>1.1083964257035128</v>
      </c>
    </row>
    <row r="22" spans="1:13" s="72" customFormat="1">
      <c r="A22" s="86" t="s">
        <v>493</v>
      </c>
      <c r="B22" s="26">
        <v>1181.3077283090113</v>
      </c>
      <c r="C22" s="26">
        <v>624.60874729008299</v>
      </c>
      <c r="D22" s="26">
        <v>556.69898101893557</v>
      </c>
      <c r="E22" s="26"/>
      <c r="F22" s="26">
        <v>544.37364816478055</v>
      </c>
      <c r="G22" s="26">
        <v>304.84045357313579</v>
      </c>
      <c r="H22" s="26">
        <v>239.53319459164311</v>
      </c>
      <c r="I22" s="26"/>
      <c r="J22" s="548">
        <v>46.082289577841763</v>
      </c>
      <c r="K22" s="548">
        <v>48.805024728794244</v>
      </c>
      <c r="L22" s="548">
        <v>43.027417465938655</v>
      </c>
      <c r="M22" s="543">
        <v>0.88161859777837825</v>
      </c>
    </row>
    <row r="23" spans="1:13" s="72" customFormat="1">
      <c r="A23" s="87" t="s">
        <v>493</v>
      </c>
      <c r="B23" s="25">
        <v>1181.3077283090113</v>
      </c>
      <c r="C23" s="25">
        <v>624.60874729008299</v>
      </c>
      <c r="D23" s="25">
        <v>556.69898101893557</v>
      </c>
      <c r="E23" s="25"/>
      <c r="F23" s="25">
        <v>544.37364816478055</v>
      </c>
      <c r="G23" s="25">
        <v>304.84045357313579</v>
      </c>
      <c r="H23" s="25">
        <v>239.53319459164311</v>
      </c>
      <c r="I23" s="25"/>
      <c r="J23" s="550">
        <v>46.082289577841763</v>
      </c>
      <c r="K23" s="550">
        <v>48.805024728794244</v>
      </c>
      <c r="L23" s="550">
        <v>43.027417465938655</v>
      </c>
      <c r="M23" s="545">
        <v>0.88161859777837825</v>
      </c>
    </row>
    <row r="24" spans="1:13" s="72" customFormat="1">
      <c r="A24" s="88" t="s">
        <v>494</v>
      </c>
      <c r="B24" s="26">
        <v>1105.337422489793</v>
      </c>
      <c r="C24" s="26">
        <v>582.69976085044209</v>
      </c>
      <c r="D24" s="26">
        <v>522.6376616393577</v>
      </c>
      <c r="E24" s="26"/>
      <c r="F24" s="26">
        <v>424.11686763679614</v>
      </c>
      <c r="G24" s="26">
        <v>242.43572724200811</v>
      </c>
      <c r="H24" s="26">
        <v>181.6811403947861</v>
      </c>
      <c r="I24" s="26"/>
      <c r="J24" s="548">
        <v>38.369900358703731</v>
      </c>
      <c r="K24" s="548">
        <v>41.605599234874873</v>
      </c>
      <c r="L24" s="548">
        <v>34.762351382199881</v>
      </c>
      <c r="M24" s="543">
        <v>0.83552098807559516</v>
      </c>
    </row>
    <row r="25" spans="1:13" s="72" customFormat="1">
      <c r="A25" s="87" t="s">
        <v>495</v>
      </c>
      <c r="B25" s="25">
        <v>548.67858666196128</v>
      </c>
      <c r="C25" s="25">
        <v>284.58716327672232</v>
      </c>
      <c r="D25" s="25">
        <v>264.09142338523634</v>
      </c>
      <c r="E25" s="25"/>
      <c r="F25" s="25">
        <v>238.10807412827046</v>
      </c>
      <c r="G25" s="25">
        <v>133.29203159281704</v>
      </c>
      <c r="H25" s="25">
        <v>104.81604253545359</v>
      </c>
      <c r="I25" s="25"/>
      <c r="J25" s="550">
        <v>43.396640568181859</v>
      </c>
      <c r="K25" s="550">
        <v>46.836979594616757</v>
      </c>
      <c r="L25" s="550">
        <v>39.689301981820151</v>
      </c>
      <c r="M25" s="545">
        <v>0.8473924306250924</v>
      </c>
    </row>
    <row r="26" spans="1:13">
      <c r="A26" s="87" t="s">
        <v>496</v>
      </c>
      <c r="B26" s="25">
        <v>556.65883582783863</v>
      </c>
      <c r="C26" s="25">
        <v>298.11259757371801</v>
      </c>
      <c r="D26" s="25">
        <v>258.54623825411863</v>
      </c>
      <c r="E26" s="25"/>
      <c r="F26" s="25">
        <v>186.00879350852372</v>
      </c>
      <c r="G26" s="25">
        <v>109.14369564919123</v>
      </c>
      <c r="H26" s="25">
        <v>76.865097859332693</v>
      </c>
      <c r="I26" s="25"/>
      <c r="J26" s="550">
        <v>33.415223389367384</v>
      </c>
      <c r="K26" s="550">
        <v>36.611567755771205</v>
      </c>
      <c r="L26" s="550">
        <v>29.729729729729783</v>
      </c>
      <c r="M26" s="545">
        <v>0.8120310478931454</v>
      </c>
    </row>
    <row r="27" spans="1:13" s="72" customFormat="1">
      <c r="A27" s="86" t="s">
        <v>497</v>
      </c>
      <c r="B27" s="26">
        <v>2558.6296704771621</v>
      </c>
      <c r="C27" s="26">
        <v>1141.1814634590903</v>
      </c>
      <c r="D27" s="26">
        <v>1417.4482070181232</v>
      </c>
      <c r="E27" s="26"/>
      <c r="F27" s="26">
        <v>162.44307771177807</v>
      </c>
      <c r="G27" s="26">
        <v>93.033184637080737</v>
      </c>
      <c r="H27" s="26">
        <v>69.40989307469745</v>
      </c>
      <c r="I27" s="26"/>
      <c r="J27" s="548">
        <v>6.3488311570108467</v>
      </c>
      <c r="K27" s="548">
        <v>8.1523568000380404</v>
      </c>
      <c r="L27" s="548">
        <v>4.896820408042605</v>
      </c>
      <c r="M27" s="543">
        <v>0.6006631613596396</v>
      </c>
    </row>
    <row r="28" spans="1:13">
      <c r="A28" s="87" t="s">
        <v>497</v>
      </c>
      <c r="B28" s="25">
        <v>2558.6296704771621</v>
      </c>
      <c r="C28" s="25">
        <v>1141.1814634590903</v>
      </c>
      <c r="D28" s="25">
        <v>1417.4482070181232</v>
      </c>
      <c r="E28" s="25"/>
      <c r="F28" s="25">
        <v>162.44307771177807</v>
      </c>
      <c r="G28" s="25">
        <v>93.033184637080737</v>
      </c>
      <c r="H28" s="25">
        <v>69.40989307469745</v>
      </c>
      <c r="I28" s="25"/>
      <c r="J28" s="550">
        <v>6.3488311570108467</v>
      </c>
      <c r="K28" s="550">
        <v>8.1523568000380404</v>
      </c>
      <c r="L28" s="550">
        <v>4.896820408042605</v>
      </c>
      <c r="M28" s="545">
        <v>0.6006631613596396</v>
      </c>
    </row>
    <row r="29" spans="1:13" s="72" customFormat="1">
      <c r="A29" s="86" t="s">
        <v>498</v>
      </c>
      <c r="B29" s="26">
        <v>1600.2074348339609</v>
      </c>
      <c r="C29" s="26">
        <v>864.83971355987569</v>
      </c>
      <c r="D29" s="26">
        <v>735.36772127409688</v>
      </c>
      <c r="E29" s="26"/>
      <c r="F29" s="26">
        <v>767.66374963849466</v>
      </c>
      <c r="G29" s="26">
        <v>394.98853613439212</v>
      </c>
      <c r="H29" s="26">
        <v>372.67521350410601</v>
      </c>
      <c r="I29" s="26"/>
      <c r="J29" s="548">
        <v>47.972764838338023</v>
      </c>
      <c r="K29" s="548">
        <v>45.671877683383833</v>
      </c>
      <c r="L29" s="548">
        <v>50.678756045806729</v>
      </c>
      <c r="M29" s="543">
        <v>1.1096271626301994</v>
      </c>
    </row>
    <row r="30" spans="1:13">
      <c r="A30" s="87" t="s">
        <v>498</v>
      </c>
      <c r="B30" s="25">
        <v>1600.2074348339609</v>
      </c>
      <c r="C30" s="25">
        <v>864.83971355987569</v>
      </c>
      <c r="D30" s="25">
        <v>735.36772127409688</v>
      </c>
      <c r="E30" s="25"/>
      <c r="F30" s="25">
        <v>767.66374963849466</v>
      </c>
      <c r="G30" s="25">
        <v>394.98853613439212</v>
      </c>
      <c r="H30" s="25">
        <v>372.67521350410601</v>
      </c>
      <c r="I30" s="25"/>
      <c r="J30" s="550">
        <v>47.972764838338023</v>
      </c>
      <c r="K30" s="550">
        <v>45.671877683383833</v>
      </c>
      <c r="L30" s="550">
        <v>50.678756045806729</v>
      </c>
      <c r="M30" s="545">
        <v>1.1096271626301994</v>
      </c>
    </row>
  </sheetData>
  <mergeCells count="6">
    <mergeCell ref="A2:A3"/>
    <mergeCell ref="A1:M1"/>
    <mergeCell ref="B2:D2"/>
    <mergeCell ref="F2:H2"/>
    <mergeCell ref="J2:L2"/>
    <mergeCell ref="M2:M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31"/>
  <sheetViews>
    <sheetView zoomScale="120" zoomScaleNormal="120" workbookViewId="0">
      <selection activeCell="B2" sqref="B2:B4"/>
    </sheetView>
  </sheetViews>
  <sheetFormatPr defaultColWidth="9.140625" defaultRowHeight="12"/>
  <cols>
    <col min="1" max="1" width="22.85546875" style="69" customWidth="1"/>
    <col min="2" max="2" width="13.42578125" style="75" bestFit="1" customWidth="1"/>
    <col min="3" max="5" width="9" style="75" bestFit="1" customWidth="1"/>
    <col min="6" max="6" width="4" style="75" customWidth="1"/>
    <col min="7" max="7" width="9.140625" style="75"/>
    <col min="8" max="9" width="12" style="75" bestFit="1" customWidth="1"/>
    <col min="10" max="10" width="3.7109375" style="75" customWidth="1"/>
    <col min="11" max="13" width="9" style="75" bestFit="1" customWidth="1"/>
    <col min="14" max="14" width="12" style="69" bestFit="1" customWidth="1"/>
    <col min="15" max="16384" width="9.140625" style="69"/>
  </cols>
  <sheetData>
    <row r="1" spans="1:14" ht="12" customHeight="1">
      <c r="A1" s="771" t="s">
        <v>513</v>
      </c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</row>
    <row r="2" spans="1:14" ht="15" customHeight="1">
      <c r="A2" s="767" t="str">
        <f>'[1]Q 8.3'!$A$2</f>
        <v>Área de residência, município e comuna</v>
      </c>
      <c r="B2" s="769" t="s">
        <v>212</v>
      </c>
      <c r="C2" s="772" t="s">
        <v>560</v>
      </c>
      <c r="D2" s="772"/>
      <c r="E2" s="772"/>
      <c r="F2" s="772"/>
      <c r="G2" s="772"/>
      <c r="H2" s="772"/>
      <c r="I2" s="772"/>
      <c r="J2" s="772"/>
      <c r="K2" s="772"/>
      <c r="L2" s="772"/>
      <c r="M2" s="772"/>
    </row>
    <row r="3" spans="1:14" ht="12" customHeight="1">
      <c r="A3" s="735"/>
      <c r="B3" s="770"/>
      <c r="C3" s="773" t="s">
        <v>213</v>
      </c>
      <c r="D3" s="773"/>
      <c r="E3" s="773"/>
      <c r="F3" s="509"/>
      <c r="G3" s="734" t="s">
        <v>214</v>
      </c>
      <c r="H3" s="734"/>
      <c r="I3" s="734"/>
      <c r="J3" s="509"/>
      <c r="K3" s="734" t="s">
        <v>215</v>
      </c>
      <c r="L3" s="734"/>
      <c r="M3" s="734"/>
      <c r="N3" s="72"/>
    </row>
    <row r="4" spans="1:14">
      <c r="A4" s="768"/>
      <c r="B4" s="734"/>
      <c r="C4" s="493" t="s">
        <v>1</v>
      </c>
      <c r="D4" s="493" t="s">
        <v>2</v>
      </c>
      <c r="E4" s="493" t="s">
        <v>3</v>
      </c>
      <c r="F4" s="493"/>
      <c r="G4" s="493" t="s">
        <v>1</v>
      </c>
      <c r="H4" s="493" t="s">
        <v>2</v>
      </c>
      <c r="I4" s="493" t="s">
        <v>3</v>
      </c>
      <c r="J4" s="493"/>
      <c r="K4" s="493" t="s">
        <v>1</v>
      </c>
      <c r="L4" s="493" t="s">
        <v>2</v>
      </c>
      <c r="M4" s="493" t="s">
        <v>3</v>
      </c>
    </row>
    <row r="5" spans="1:14">
      <c r="A5" s="247" t="s">
        <v>500</v>
      </c>
      <c r="B5" s="256">
        <v>116047.26809091635</v>
      </c>
      <c r="C5" s="256">
        <v>30523.783923590985</v>
      </c>
      <c r="D5" s="256">
        <v>16316.726672827626</v>
      </c>
      <c r="E5" s="256">
        <v>14207.057250764215</v>
      </c>
      <c r="F5" s="256"/>
      <c r="G5" s="256">
        <v>24002.946096604373</v>
      </c>
      <c r="H5" s="256">
        <v>14165.641636887103</v>
      </c>
      <c r="I5" s="256">
        <v>9837.3044597177723</v>
      </c>
      <c r="J5" s="552"/>
      <c r="K5" s="256">
        <v>61520.538070822164</v>
      </c>
      <c r="L5" s="256">
        <v>28905.652836339232</v>
      </c>
      <c r="M5" s="256">
        <v>32614.885234499932</v>
      </c>
      <c r="N5" s="72"/>
    </row>
    <row r="6" spans="1:14">
      <c r="A6" s="250"/>
      <c r="B6" s="26"/>
      <c r="C6" s="26"/>
      <c r="D6" s="26"/>
      <c r="E6" s="26"/>
      <c r="F6" s="26"/>
      <c r="G6" s="26"/>
      <c r="H6" s="26"/>
      <c r="I6" s="26"/>
      <c r="J6" s="96"/>
      <c r="K6" s="26"/>
      <c r="L6" s="26"/>
      <c r="M6" s="26"/>
    </row>
    <row r="7" spans="1:14">
      <c r="A7" s="251" t="s">
        <v>512</v>
      </c>
      <c r="B7" s="256"/>
      <c r="C7" s="256"/>
      <c r="D7" s="256"/>
      <c r="E7" s="256"/>
      <c r="F7" s="256"/>
      <c r="G7" s="256"/>
      <c r="H7" s="256"/>
      <c r="I7" s="256"/>
      <c r="J7" s="553"/>
      <c r="K7" s="256"/>
      <c r="L7" s="256"/>
      <c r="M7" s="256"/>
      <c r="N7" s="72"/>
    </row>
    <row r="8" spans="1:14">
      <c r="A8" s="181" t="s">
        <v>4</v>
      </c>
      <c r="B8" s="25">
        <v>43496.092152352336</v>
      </c>
      <c r="C8" s="25">
        <v>16085.782845875328</v>
      </c>
      <c r="D8" s="25">
        <v>8800.9709970248587</v>
      </c>
      <c r="E8" s="25">
        <v>7284.8118488485916</v>
      </c>
      <c r="F8" s="25"/>
      <c r="G8" s="25">
        <v>11743.080418369724</v>
      </c>
      <c r="H8" s="25">
        <v>6798.9283527415628</v>
      </c>
      <c r="I8" s="25">
        <v>4944.1520656269977</v>
      </c>
      <c r="J8" s="96"/>
      <c r="K8" s="25">
        <v>15667.228888115591</v>
      </c>
      <c r="L8" s="25">
        <v>6513.713137139951</v>
      </c>
      <c r="M8" s="25">
        <v>9153.515750974253</v>
      </c>
    </row>
    <row r="9" spans="1:14">
      <c r="A9" s="253" t="s">
        <v>5</v>
      </c>
      <c r="B9" s="541">
        <v>72551.175938637782</v>
      </c>
      <c r="C9" s="541">
        <v>14438.001077716468</v>
      </c>
      <c r="D9" s="541">
        <v>7515.7556758007095</v>
      </c>
      <c r="E9" s="541">
        <v>6922.2454019142015</v>
      </c>
      <c r="F9" s="541"/>
      <c r="G9" s="541">
        <v>12259.865678235295</v>
      </c>
      <c r="H9" s="541">
        <v>7366.7132841436132</v>
      </c>
      <c r="I9" s="541">
        <v>4893.152394090389</v>
      </c>
      <c r="J9" s="96"/>
      <c r="K9" s="541">
        <v>45853.309182718425</v>
      </c>
      <c r="L9" s="541">
        <v>22391.939699199433</v>
      </c>
      <c r="M9" s="541">
        <v>23461.36948352605</v>
      </c>
      <c r="N9" s="72"/>
    </row>
    <row r="10" spans="1:14" s="72" customFormat="1">
      <c r="A10" s="246" t="s">
        <v>448</v>
      </c>
      <c r="B10" s="256"/>
      <c r="C10" s="256"/>
      <c r="D10" s="256"/>
      <c r="E10" s="256"/>
      <c r="F10" s="256"/>
      <c r="G10" s="256"/>
      <c r="H10" s="256"/>
      <c r="I10" s="256"/>
      <c r="J10" s="553"/>
      <c r="K10" s="256"/>
      <c r="L10" s="256"/>
      <c r="M10" s="256"/>
      <c r="N10" s="69"/>
    </row>
    <row r="11" spans="1:14">
      <c r="A11" s="86" t="s">
        <v>486</v>
      </c>
      <c r="B11" s="26">
        <v>20187.410260648456</v>
      </c>
      <c r="C11" s="26">
        <v>6483.831497141623</v>
      </c>
      <c r="D11" s="26">
        <v>3271.0678651885828</v>
      </c>
      <c r="E11" s="26">
        <v>3212.7636319530361</v>
      </c>
      <c r="F11" s="26"/>
      <c r="G11" s="26">
        <v>6083.3646104788668</v>
      </c>
      <c r="H11" s="26">
        <v>3437.5078167217453</v>
      </c>
      <c r="I11" s="26">
        <v>2645.8567937572807</v>
      </c>
      <c r="J11" s="554"/>
      <c r="K11" s="26">
        <v>7620.2141530260024</v>
      </c>
      <c r="L11" s="26">
        <v>3695.04498304048</v>
      </c>
      <c r="M11" s="26">
        <v>3925.1691699854887</v>
      </c>
      <c r="N11" s="72"/>
    </row>
    <row r="12" spans="1:14" s="72" customFormat="1">
      <c r="A12" s="87" t="s">
        <v>486</v>
      </c>
      <c r="B12" s="25">
        <v>20187.410260648456</v>
      </c>
      <c r="C12" s="25">
        <v>6483.831497141623</v>
      </c>
      <c r="D12" s="25">
        <v>3271.0678651885828</v>
      </c>
      <c r="E12" s="25">
        <v>3212.7636319530361</v>
      </c>
      <c r="F12" s="25"/>
      <c r="G12" s="25">
        <v>6083.3646104788668</v>
      </c>
      <c r="H12" s="25">
        <v>3437.5078167217453</v>
      </c>
      <c r="I12" s="25">
        <v>2645.8567937572807</v>
      </c>
      <c r="J12" s="96"/>
      <c r="K12" s="25">
        <v>7620.2141530260024</v>
      </c>
      <c r="L12" s="25">
        <v>3695.04498304048</v>
      </c>
      <c r="M12" s="25">
        <v>3925.1691699854887</v>
      </c>
      <c r="N12" s="69"/>
    </row>
    <row r="13" spans="1:14">
      <c r="A13" s="86" t="s">
        <v>487</v>
      </c>
      <c r="B13" s="25">
        <v>42030.69947602092</v>
      </c>
      <c r="C13" s="25">
        <v>14368.987084089276</v>
      </c>
      <c r="D13" s="25">
        <v>8113.1572270342385</v>
      </c>
      <c r="E13" s="25">
        <v>6255.8298570535144</v>
      </c>
      <c r="F13" s="25"/>
      <c r="G13" s="25">
        <v>9340.8304508496039</v>
      </c>
      <c r="H13" s="25">
        <v>5753.3258375931482</v>
      </c>
      <c r="I13" s="25">
        <v>3587.5046132562288</v>
      </c>
      <c r="J13" s="96"/>
      <c r="K13" s="25">
        <v>18320.881941088384</v>
      </c>
      <c r="L13" s="25">
        <v>7486.7815647788448</v>
      </c>
      <c r="M13" s="25">
        <v>10834.100376308403</v>
      </c>
      <c r="N13" s="72"/>
    </row>
    <row r="14" spans="1:14">
      <c r="A14" s="87" t="s">
        <v>487</v>
      </c>
      <c r="B14" s="26">
        <v>36103.429478510749</v>
      </c>
      <c r="C14" s="26">
        <v>12890.809614847614</v>
      </c>
      <c r="D14" s="26">
        <v>7261.3529491344589</v>
      </c>
      <c r="E14" s="26">
        <v>5629.4566657119803</v>
      </c>
      <c r="F14" s="26"/>
      <c r="G14" s="26">
        <v>8186.0205966259755</v>
      </c>
      <c r="H14" s="26">
        <v>5024.3272441171048</v>
      </c>
      <c r="I14" s="26">
        <v>3161.693352509109</v>
      </c>
      <c r="J14" s="96"/>
      <c r="K14" s="26">
        <v>15026.599267039537</v>
      </c>
      <c r="L14" s="26">
        <v>5921.0552976563931</v>
      </c>
      <c r="M14" s="26">
        <v>9105.5439693818644</v>
      </c>
    </row>
    <row r="15" spans="1:14" s="72" customFormat="1">
      <c r="A15" s="87" t="s">
        <v>488</v>
      </c>
      <c r="B15" s="25">
        <v>5927.2699975130745</v>
      </c>
      <c r="C15" s="25">
        <v>1478.1774692413273</v>
      </c>
      <c r="D15" s="25">
        <v>851.80427789978319</v>
      </c>
      <c r="E15" s="25">
        <v>626.3731913415254</v>
      </c>
      <c r="F15" s="25"/>
      <c r="G15" s="25">
        <v>1154.8098542232296</v>
      </c>
      <c r="H15" s="25">
        <v>728.9985934760889</v>
      </c>
      <c r="I15" s="25">
        <v>425.81126074713848</v>
      </c>
      <c r="J15" s="96"/>
      <c r="K15" s="25">
        <v>3294.2826740486162</v>
      </c>
      <c r="L15" s="25">
        <v>1565.7262671224701</v>
      </c>
      <c r="M15" s="25">
        <v>1728.5564069261495</v>
      </c>
      <c r="N15" s="69"/>
    </row>
    <row r="16" spans="1:14">
      <c r="A16" s="86" t="s">
        <v>489</v>
      </c>
      <c r="B16" s="25">
        <v>6282.6320695905524</v>
      </c>
      <c r="C16" s="25">
        <v>1676.2239033201213</v>
      </c>
      <c r="D16" s="25">
        <v>803.23122739802375</v>
      </c>
      <c r="E16" s="25">
        <v>872.99267592207616</v>
      </c>
      <c r="F16" s="25"/>
      <c r="G16" s="25">
        <v>1002.9559677756803</v>
      </c>
      <c r="H16" s="25">
        <v>535.93214702703403</v>
      </c>
      <c r="I16" s="25">
        <v>467.0238207486467</v>
      </c>
      <c r="J16" s="96"/>
      <c r="K16" s="25">
        <v>3603.4521984948201</v>
      </c>
      <c r="L16" s="25">
        <v>1953.9259872892662</v>
      </c>
      <c r="M16" s="25">
        <v>1649.5262112056109</v>
      </c>
    </row>
    <row r="17" spans="1:14" s="72" customFormat="1">
      <c r="A17" s="87" t="s">
        <v>489</v>
      </c>
      <c r="B17" s="26">
        <v>4003.1738990568592</v>
      </c>
      <c r="C17" s="26">
        <v>1180.0459073421491</v>
      </c>
      <c r="D17" s="26">
        <v>568.29979253015688</v>
      </c>
      <c r="E17" s="26">
        <v>611.74611481198963</v>
      </c>
      <c r="F17" s="26"/>
      <c r="G17" s="26">
        <v>743.83161982143326</v>
      </c>
      <c r="H17" s="26">
        <v>390.74130984648457</v>
      </c>
      <c r="I17" s="26">
        <v>353.09030997494989</v>
      </c>
      <c r="J17" s="96"/>
      <c r="K17" s="26">
        <v>2079.2963718933293</v>
      </c>
      <c r="L17" s="26">
        <v>1161.6931575318135</v>
      </c>
      <c r="M17" s="26">
        <v>917.60321436148809</v>
      </c>
      <c r="N17" s="69"/>
    </row>
    <row r="18" spans="1:14">
      <c r="A18" s="87" t="s">
        <v>490</v>
      </c>
      <c r="B18" s="25">
        <v>2279.4581705337537</v>
      </c>
      <c r="C18" s="25">
        <v>496.17799597795613</v>
      </c>
      <c r="D18" s="25">
        <v>234.9314348678688</v>
      </c>
      <c r="E18" s="25">
        <v>261.24656111008835</v>
      </c>
      <c r="F18" s="25"/>
      <c r="G18" s="25">
        <v>259.12434795424696</v>
      </c>
      <c r="H18" s="25">
        <v>145.19083718055012</v>
      </c>
      <c r="I18" s="25">
        <v>113.93351077369731</v>
      </c>
      <c r="J18" s="96"/>
      <c r="K18" s="25">
        <v>1524.1558266015434</v>
      </c>
      <c r="L18" s="25">
        <v>792.2328297574287</v>
      </c>
      <c r="M18" s="25">
        <v>731.92299684410318</v>
      </c>
    </row>
    <row r="19" spans="1:14" s="72" customFormat="1">
      <c r="A19" s="86" t="s">
        <v>491</v>
      </c>
      <c r="B19" s="25">
        <v>16335.545272000125</v>
      </c>
      <c r="C19" s="25">
        <v>2956.3955018425704</v>
      </c>
      <c r="D19" s="25">
        <v>1500.0141976554785</v>
      </c>
      <c r="E19" s="25">
        <v>1456.3813041870883</v>
      </c>
      <c r="F19" s="25"/>
      <c r="G19" s="25">
        <v>2905.1472551442203</v>
      </c>
      <c r="H19" s="25">
        <v>1649.9652522673452</v>
      </c>
      <c r="I19" s="25">
        <v>1255.1820028769016</v>
      </c>
      <c r="J19" s="96"/>
      <c r="K19" s="25">
        <v>10474.002515011916</v>
      </c>
      <c r="L19" s="25">
        <v>4987.3280054067545</v>
      </c>
      <c r="M19" s="25">
        <v>5486.6745096046079</v>
      </c>
      <c r="N19" s="69"/>
    </row>
    <row r="20" spans="1:14">
      <c r="A20" s="87" t="s">
        <v>491</v>
      </c>
      <c r="B20" s="26">
        <v>16335.545272000125</v>
      </c>
      <c r="C20" s="26">
        <v>2956.3955018425704</v>
      </c>
      <c r="D20" s="26">
        <v>1500.0141976554785</v>
      </c>
      <c r="E20" s="26">
        <v>1456.3813041870883</v>
      </c>
      <c r="F20" s="26"/>
      <c r="G20" s="26">
        <v>2905.1472551442203</v>
      </c>
      <c r="H20" s="26">
        <v>1649.9652522673452</v>
      </c>
      <c r="I20" s="26">
        <v>1255.1820028769016</v>
      </c>
      <c r="J20" s="96"/>
      <c r="K20" s="26">
        <v>10474.002515011916</v>
      </c>
      <c r="L20" s="26">
        <v>4987.3280054067545</v>
      </c>
      <c r="M20" s="26">
        <v>5486.6745096046079</v>
      </c>
    </row>
    <row r="21" spans="1:14" s="72" customFormat="1">
      <c r="A21" s="86" t="s">
        <v>499</v>
      </c>
      <c r="B21" s="25">
        <v>7251.0399929204859</v>
      </c>
      <c r="C21" s="25">
        <v>1148.3752392011797</v>
      </c>
      <c r="D21" s="25">
        <v>559.80692324126392</v>
      </c>
      <c r="E21" s="25">
        <v>588.56831595991196</v>
      </c>
      <c r="F21" s="25"/>
      <c r="G21" s="25">
        <v>1364.7900631637801</v>
      </c>
      <c r="H21" s="25">
        <v>770.99722601982489</v>
      </c>
      <c r="I21" s="25">
        <v>593.79283714394842</v>
      </c>
      <c r="J21" s="96"/>
      <c r="K21" s="25">
        <v>4737.8746905556109</v>
      </c>
      <c r="L21" s="25">
        <v>2410.4525223741748</v>
      </c>
      <c r="M21" s="25">
        <v>2327.4221681814988</v>
      </c>
      <c r="N21" s="69"/>
    </row>
    <row r="22" spans="1:14">
      <c r="A22" s="87" t="s">
        <v>492</v>
      </c>
      <c r="B22" s="26">
        <v>7251.0399929204859</v>
      </c>
      <c r="C22" s="26">
        <v>1148.3752392011797</v>
      </c>
      <c r="D22" s="26">
        <v>559.80692324126392</v>
      </c>
      <c r="E22" s="26">
        <v>588.56831595991196</v>
      </c>
      <c r="F22" s="26"/>
      <c r="G22" s="26">
        <v>1364.7900631637801</v>
      </c>
      <c r="H22" s="26">
        <v>770.99722601982489</v>
      </c>
      <c r="I22" s="26">
        <v>593.79283714394842</v>
      </c>
      <c r="J22" s="96"/>
      <c r="K22" s="26">
        <v>4737.8746905556109</v>
      </c>
      <c r="L22" s="26">
        <v>2410.4525223741748</v>
      </c>
      <c r="M22" s="26">
        <v>2327.4221681814988</v>
      </c>
    </row>
    <row r="23" spans="1:14">
      <c r="A23" s="86" t="s">
        <v>493</v>
      </c>
      <c r="B23" s="25">
        <v>4444.4891159340814</v>
      </c>
      <c r="C23" s="25">
        <v>1477.4550104655125</v>
      </c>
      <c r="D23" s="25">
        <v>782.85044590703421</v>
      </c>
      <c r="E23" s="25">
        <v>694.6045645584602</v>
      </c>
      <c r="F23" s="25"/>
      <c r="G23" s="25">
        <v>616.84869174936671</v>
      </c>
      <c r="H23" s="25">
        <v>398.63215481543824</v>
      </c>
      <c r="I23" s="25">
        <v>218.2165369339302</v>
      </c>
      <c r="J23" s="96"/>
      <c r="K23" s="25">
        <v>2350.1854137192349</v>
      </c>
      <c r="L23" s="25">
        <v>1272.6973219028603</v>
      </c>
      <c r="M23" s="25">
        <v>1077.4880918163528</v>
      </c>
    </row>
    <row r="24" spans="1:14" s="72" customFormat="1">
      <c r="A24" s="87" t="s">
        <v>493</v>
      </c>
      <c r="B24" s="25">
        <v>4444.4891159340814</v>
      </c>
      <c r="C24" s="25">
        <v>1477.4550104655125</v>
      </c>
      <c r="D24" s="25">
        <v>782.85044590703421</v>
      </c>
      <c r="E24" s="25">
        <v>694.6045645584602</v>
      </c>
      <c r="F24" s="25"/>
      <c r="G24" s="25">
        <v>616.84869174936671</v>
      </c>
      <c r="H24" s="25">
        <v>398.63215481543824</v>
      </c>
      <c r="I24" s="25">
        <v>218.2165369339302</v>
      </c>
      <c r="J24" s="96"/>
      <c r="K24" s="25">
        <v>2350.1854137192349</v>
      </c>
      <c r="L24" s="25">
        <v>1272.6973219028603</v>
      </c>
      <c r="M24" s="25">
        <v>1077.4880918163528</v>
      </c>
      <c r="N24" s="69"/>
    </row>
    <row r="25" spans="1:14">
      <c r="A25" s="88" t="s">
        <v>494</v>
      </c>
      <c r="B25" s="26">
        <v>4768.558000119353</v>
      </c>
      <c r="C25" s="26">
        <v>788.26917115738001</v>
      </c>
      <c r="D25" s="26">
        <v>431.14384379009152</v>
      </c>
      <c r="E25" s="26">
        <v>357.12532736728883</v>
      </c>
      <c r="F25" s="26"/>
      <c r="G25" s="26">
        <v>1199.1288287869118</v>
      </c>
      <c r="H25" s="26">
        <v>718.9915319649964</v>
      </c>
      <c r="I25" s="26">
        <v>480.13729682191155</v>
      </c>
      <c r="J25" s="96"/>
      <c r="K25" s="26">
        <v>2781.160000175063</v>
      </c>
      <c r="L25" s="26">
        <v>1341.9397214285718</v>
      </c>
      <c r="M25" s="26">
        <v>1439.2202787464769</v>
      </c>
    </row>
    <row r="26" spans="1:14" s="72" customFormat="1">
      <c r="A26" s="87" t="s">
        <v>495</v>
      </c>
      <c r="B26" s="25">
        <v>2559.4316638428054</v>
      </c>
      <c r="C26" s="25">
        <v>482.93458728199721</v>
      </c>
      <c r="D26" s="25">
        <v>265.27743914103752</v>
      </c>
      <c r="E26" s="25">
        <v>217.65714814095915</v>
      </c>
      <c r="F26" s="25"/>
      <c r="G26" s="25">
        <v>607.71330086868409</v>
      </c>
      <c r="H26" s="25">
        <v>377.23375432967111</v>
      </c>
      <c r="I26" s="25">
        <v>230.47954653901357</v>
      </c>
      <c r="J26" s="96"/>
      <c r="K26" s="25">
        <v>1468.783775692101</v>
      </c>
      <c r="L26" s="25">
        <v>702.49233052498198</v>
      </c>
      <c r="M26" s="25">
        <v>766.29144516710244</v>
      </c>
      <c r="N26" s="69"/>
    </row>
    <row r="27" spans="1:14">
      <c r="A27" s="87" t="s">
        <v>496</v>
      </c>
      <c r="B27" s="25">
        <v>2209.126336276579</v>
      </c>
      <c r="C27" s="25">
        <v>305.3345838753828</v>
      </c>
      <c r="D27" s="25">
        <v>165.86640464905335</v>
      </c>
      <c r="E27" s="25">
        <v>139.46817922632945</v>
      </c>
      <c r="F27" s="25"/>
      <c r="G27" s="25">
        <v>591.41552791822392</v>
      </c>
      <c r="H27" s="25">
        <v>341.75777763532659</v>
      </c>
      <c r="I27" s="25">
        <v>249.65775028289832</v>
      </c>
      <c r="J27" s="96"/>
      <c r="K27" s="25">
        <v>1312.3762244829497</v>
      </c>
      <c r="L27" s="25">
        <v>639.44739090358007</v>
      </c>
      <c r="M27" s="25">
        <v>672.92883357936034</v>
      </c>
    </row>
    <row r="28" spans="1:14" s="72" customFormat="1">
      <c r="A28" s="86" t="s">
        <v>497</v>
      </c>
      <c r="B28" s="26">
        <v>9452.0385809248019</v>
      </c>
      <c r="C28" s="26">
        <v>282.10275432615578</v>
      </c>
      <c r="D28" s="26">
        <v>162.07375628891819</v>
      </c>
      <c r="E28" s="26">
        <v>120.02899803723783</v>
      </c>
      <c r="F28" s="26"/>
      <c r="G28" s="26">
        <v>310.01361357649409</v>
      </c>
      <c r="H28" s="26">
        <v>208.79392666041983</v>
      </c>
      <c r="I28" s="26">
        <v>101.21968691607445</v>
      </c>
      <c r="J28" s="96"/>
      <c r="K28" s="26">
        <v>8859.9222130220023</v>
      </c>
      <c r="L28" s="26">
        <v>4278.2913461629087</v>
      </c>
      <c r="M28" s="26">
        <v>4581.6308668590564</v>
      </c>
      <c r="N28" s="69"/>
    </row>
    <row r="29" spans="1:14">
      <c r="A29" s="87" t="s">
        <v>497</v>
      </c>
      <c r="B29" s="25">
        <v>9452.0385809248019</v>
      </c>
      <c r="C29" s="25">
        <v>282.10275432615578</v>
      </c>
      <c r="D29" s="25">
        <v>162.07375628891819</v>
      </c>
      <c r="E29" s="25">
        <v>120.02899803723783</v>
      </c>
      <c r="F29" s="25"/>
      <c r="G29" s="25">
        <v>310.01361357649409</v>
      </c>
      <c r="H29" s="25">
        <v>208.79392666041983</v>
      </c>
      <c r="I29" s="25">
        <v>101.21968691607445</v>
      </c>
      <c r="J29" s="96"/>
      <c r="K29" s="25">
        <v>8859.9222130220023</v>
      </c>
      <c r="L29" s="25">
        <v>4278.2913461629087</v>
      </c>
      <c r="M29" s="25">
        <v>4581.6308668590564</v>
      </c>
    </row>
    <row r="30" spans="1:14">
      <c r="A30" s="86" t="s">
        <v>498</v>
      </c>
      <c r="B30" s="25">
        <v>5294.8553228699202</v>
      </c>
      <c r="C30" s="25">
        <v>1342.1437620459858</v>
      </c>
      <c r="D30" s="25">
        <v>693.38118632181158</v>
      </c>
      <c r="E30" s="25">
        <v>648.7625757241633</v>
      </c>
      <c r="F30" s="25"/>
      <c r="G30" s="25">
        <v>1179.8666150782185</v>
      </c>
      <c r="H30" s="25">
        <v>691.49574381554908</v>
      </c>
      <c r="I30" s="25">
        <v>488.37087126267039</v>
      </c>
      <c r="J30" s="96"/>
      <c r="K30" s="25">
        <v>2772.8449457458396</v>
      </c>
      <c r="L30" s="25">
        <v>1479.1913839541014</v>
      </c>
      <c r="M30" s="25">
        <v>1293.6535617917364</v>
      </c>
    </row>
    <row r="31" spans="1:14">
      <c r="A31" s="87" t="s">
        <v>498</v>
      </c>
      <c r="B31" s="26">
        <v>5294.8553228699202</v>
      </c>
      <c r="C31" s="26">
        <v>1342.1437620459858</v>
      </c>
      <c r="D31" s="26">
        <v>693.38118632181158</v>
      </c>
      <c r="E31" s="26">
        <v>648.7625757241633</v>
      </c>
      <c r="F31" s="26"/>
      <c r="G31" s="26">
        <v>1179.8666150782185</v>
      </c>
      <c r="H31" s="26">
        <v>691.49574381554908</v>
      </c>
      <c r="I31" s="26">
        <v>488.37087126267039</v>
      </c>
      <c r="J31" s="96"/>
      <c r="K31" s="26">
        <v>2772.8449457458396</v>
      </c>
      <c r="L31" s="26">
        <v>1479.1913839541014</v>
      </c>
      <c r="M31" s="26">
        <v>1293.6535617917364</v>
      </c>
    </row>
  </sheetData>
  <mergeCells count="7">
    <mergeCell ref="A2:A4"/>
    <mergeCell ref="B2:B4"/>
    <mergeCell ref="A1:M1"/>
    <mergeCell ref="C2:M2"/>
    <mergeCell ref="C3:E3"/>
    <mergeCell ref="G3:I3"/>
    <mergeCell ref="K3:M3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30"/>
  <sheetViews>
    <sheetView zoomScale="120" zoomScaleNormal="120" workbookViewId="0">
      <selection activeCell="J9" sqref="J9"/>
    </sheetView>
  </sheetViews>
  <sheetFormatPr defaultColWidth="9.140625" defaultRowHeight="12"/>
  <cols>
    <col min="1" max="1" width="22.7109375" style="69" customWidth="1"/>
    <col min="2" max="4" width="9.140625" style="69"/>
    <col min="5" max="5" width="3" style="69" customWidth="1"/>
    <col min="6" max="16384" width="9.140625" style="69"/>
  </cols>
  <sheetData>
    <row r="1" spans="1:8" ht="21" customHeight="1">
      <c r="A1" s="736" t="s">
        <v>514</v>
      </c>
      <c r="B1" s="736"/>
      <c r="C1" s="736"/>
      <c r="D1" s="736"/>
      <c r="E1" s="736"/>
      <c r="F1" s="736"/>
      <c r="G1" s="736"/>
      <c r="H1" s="736"/>
    </row>
    <row r="2" spans="1:8" ht="23.25" customHeight="1">
      <c r="A2" s="774" t="str">
        <f>'[1]Q 8.3'!$A$2</f>
        <v>Área de residência, município e comuna</v>
      </c>
      <c r="B2" s="775" t="s">
        <v>564</v>
      </c>
      <c r="C2" s="775"/>
      <c r="D2" s="775"/>
      <c r="E2" s="555"/>
      <c r="F2" s="775" t="s">
        <v>216</v>
      </c>
      <c r="G2" s="775"/>
      <c r="H2" s="775"/>
    </row>
    <row r="3" spans="1:8">
      <c r="A3" s="768"/>
      <c r="B3" s="511" t="s">
        <v>1</v>
      </c>
      <c r="C3" s="486" t="s">
        <v>2</v>
      </c>
      <c r="D3" s="486" t="s">
        <v>3</v>
      </c>
      <c r="E3" s="510"/>
      <c r="F3" s="486" t="s">
        <v>1</v>
      </c>
      <c r="G3" s="486" t="s">
        <v>2</v>
      </c>
      <c r="H3" s="486" t="s">
        <v>3</v>
      </c>
    </row>
    <row r="4" spans="1:8">
      <c r="A4" s="247" t="s">
        <v>500</v>
      </c>
      <c r="B4" s="249">
        <v>25566.340867678446</v>
      </c>
      <c r="C4" s="249">
        <v>12974.503212993357</v>
      </c>
      <c r="D4" s="249">
        <v>12591.837654685001</v>
      </c>
      <c r="E4" s="249"/>
      <c r="F4" s="249">
        <v>16141.529005006916</v>
      </c>
      <c r="G4" s="249">
        <v>8292.8710852977747</v>
      </c>
      <c r="H4" s="249">
        <v>7848.6579197090541</v>
      </c>
    </row>
    <row r="5" spans="1:8">
      <c r="A5" s="254"/>
      <c r="B5" s="93"/>
      <c r="C5" s="93"/>
      <c r="D5" s="93"/>
      <c r="E5" s="93"/>
      <c r="F5" s="93"/>
      <c r="G5" s="93"/>
      <c r="H5" s="93"/>
    </row>
    <row r="6" spans="1:8">
      <c r="A6" s="255" t="s">
        <v>111</v>
      </c>
      <c r="B6" s="256"/>
      <c r="C6" s="256"/>
      <c r="D6" s="256"/>
      <c r="E6" s="256"/>
      <c r="F6" s="256"/>
      <c r="G6" s="256"/>
      <c r="H6" s="256"/>
    </row>
    <row r="7" spans="1:8">
      <c r="A7" s="257" t="s">
        <v>4</v>
      </c>
      <c r="B7" s="25">
        <v>9174.6074591621327</v>
      </c>
      <c r="C7" s="25">
        <v>4630.7884521160631</v>
      </c>
      <c r="D7" s="25">
        <v>4543.8190070459823</v>
      </c>
      <c r="E7" s="25"/>
      <c r="F7" s="25">
        <v>4371.2181083684372</v>
      </c>
      <c r="G7" s="25">
        <v>2195.6439901538001</v>
      </c>
      <c r="H7" s="25">
        <v>2175.5741182145507</v>
      </c>
    </row>
    <row r="8" spans="1:8">
      <c r="A8" s="180" t="s">
        <v>5</v>
      </c>
      <c r="B8" s="25">
        <v>16391.733408516226</v>
      </c>
      <c r="C8" s="25">
        <v>8343.7147608772066</v>
      </c>
      <c r="D8" s="25">
        <v>8048.0186476389317</v>
      </c>
      <c r="E8" s="25"/>
      <c r="F8" s="25">
        <v>11770.310896638392</v>
      </c>
      <c r="G8" s="25">
        <v>6097.2270951438877</v>
      </c>
      <c r="H8" s="25">
        <v>5673.0838014944165</v>
      </c>
    </row>
    <row r="9" spans="1:8" s="72" customFormat="1">
      <c r="A9" s="247" t="s">
        <v>448</v>
      </c>
      <c r="B9" s="258"/>
      <c r="C9" s="258"/>
      <c r="D9" s="258"/>
      <c r="E9" s="258"/>
      <c r="F9" s="258"/>
      <c r="G9" s="258"/>
      <c r="H9" s="258"/>
    </row>
    <row r="10" spans="1:8" s="72" customFormat="1">
      <c r="A10" s="86" t="s">
        <v>486</v>
      </c>
      <c r="B10" s="26">
        <v>4921.1325995038715</v>
      </c>
      <c r="C10" s="26">
        <v>2480.636171691142</v>
      </c>
      <c r="D10" s="26">
        <v>2440.4964278126431</v>
      </c>
      <c r="E10" s="26"/>
      <c r="F10" s="26">
        <v>2595.703437476172</v>
      </c>
      <c r="G10" s="26">
        <v>1336.653471153925</v>
      </c>
      <c r="H10" s="26">
        <v>1259.0499663221606</v>
      </c>
    </row>
    <row r="11" spans="1:8" s="72" customFormat="1">
      <c r="A11" s="87" t="s">
        <v>486</v>
      </c>
      <c r="B11" s="25">
        <v>4921.1325995038715</v>
      </c>
      <c r="C11" s="25">
        <v>2480.636171691142</v>
      </c>
      <c r="D11" s="25">
        <v>2440.4964278126431</v>
      </c>
      <c r="E11" s="25"/>
      <c r="F11" s="25">
        <v>2595.703437476172</v>
      </c>
      <c r="G11" s="25">
        <v>1336.653471153925</v>
      </c>
      <c r="H11" s="25">
        <v>1259.0499663221606</v>
      </c>
    </row>
    <row r="12" spans="1:8" s="72" customFormat="1">
      <c r="A12" s="86" t="s">
        <v>487</v>
      </c>
      <c r="B12" s="26">
        <v>9099.6799372556015</v>
      </c>
      <c r="C12" s="26">
        <v>4597.3386655506474</v>
      </c>
      <c r="D12" s="26">
        <v>4502.3412717048668</v>
      </c>
      <c r="E12" s="26"/>
      <c r="F12" s="26">
        <v>4876.9788812375227</v>
      </c>
      <c r="G12" s="26">
        <v>2440.4964278126431</v>
      </c>
      <c r="H12" s="26">
        <v>2436.4824534247932</v>
      </c>
    </row>
    <row r="13" spans="1:8">
      <c r="A13" s="87" t="s">
        <v>487</v>
      </c>
      <c r="B13" s="25">
        <v>7534.2299259941465</v>
      </c>
      <c r="C13" s="25">
        <v>3753.0660526395554</v>
      </c>
      <c r="D13" s="25">
        <v>3781.1638733545046</v>
      </c>
      <c r="E13" s="25"/>
      <c r="F13" s="25">
        <v>3834.6835318591698</v>
      </c>
      <c r="G13" s="25">
        <v>1878.5400135136595</v>
      </c>
      <c r="H13" s="25">
        <v>1956.1435183454239</v>
      </c>
    </row>
    <row r="14" spans="1:8" s="72" customFormat="1">
      <c r="A14" s="87" t="s">
        <v>488</v>
      </c>
      <c r="B14" s="25">
        <v>1565.4500112613684</v>
      </c>
      <c r="C14" s="25">
        <v>844.27261291102104</v>
      </c>
      <c r="D14" s="25">
        <v>721.1773983503017</v>
      </c>
      <c r="E14" s="25"/>
      <c r="F14" s="25">
        <v>1042.2953493782668</v>
      </c>
      <c r="G14" s="25">
        <v>561.95641429893647</v>
      </c>
      <c r="H14" s="25">
        <v>480.33893507932902</v>
      </c>
    </row>
    <row r="15" spans="1:8" s="72" customFormat="1">
      <c r="A15" s="86" t="s">
        <v>489</v>
      </c>
      <c r="B15" s="26">
        <v>810.82282634560818</v>
      </c>
      <c r="C15" s="26">
        <v>421.46731072420238</v>
      </c>
      <c r="D15" s="26">
        <v>389.35551562140603</v>
      </c>
      <c r="E15" s="26"/>
      <c r="F15" s="26">
        <v>469.6350033783969</v>
      </c>
      <c r="G15" s="26">
        <v>250.20440350928851</v>
      </c>
      <c r="H15" s="26">
        <v>219.43059986910868</v>
      </c>
    </row>
    <row r="16" spans="1:8" s="72" customFormat="1">
      <c r="A16" s="87" t="s">
        <v>489</v>
      </c>
      <c r="B16" s="25">
        <v>523.15466188305754</v>
      </c>
      <c r="C16" s="25">
        <v>279.64021568685183</v>
      </c>
      <c r="D16" s="25">
        <v>243.51444619620594</v>
      </c>
      <c r="E16" s="25"/>
      <c r="F16" s="25">
        <v>283.65419007470138</v>
      </c>
      <c r="G16" s="25">
        <v>156.54500112613249</v>
      </c>
      <c r="H16" s="25">
        <v>127.10918894856916</v>
      </c>
    </row>
    <row r="17" spans="1:8">
      <c r="A17" s="87" t="s">
        <v>490</v>
      </c>
      <c r="B17" s="25">
        <v>287.66816446255092</v>
      </c>
      <c r="C17" s="25">
        <v>141.82709503735083</v>
      </c>
      <c r="D17" s="25">
        <v>145.84106942520037</v>
      </c>
      <c r="E17" s="25"/>
      <c r="F17" s="25">
        <v>185.98081330369581</v>
      </c>
      <c r="G17" s="25">
        <v>93.659402383156291</v>
      </c>
      <c r="H17" s="25">
        <v>92.321410920539776</v>
      </c>
    </row>
    <row r="18" spans="1:8" s="72" customFormat="1">
      <c r="A18" s="86" t="s">
        <v>491</v>
      </c>
      <c r="B18" s="26">
        <v>4060.8040890413799</v>
      </c>
      <c r="C18" s="26">
        <v>2069.8727926678371</v>
      </c>
      <c r="D18" s="26">
        <v>1990.9312963734562</v>
      </c>
      <c r="E18" s="26"/>
      <c r="F18" s="26">
        <v>3108.1541676583406</v>
      </c>
      <c r="G18" s="26">
        <v>1609.6037295277172</v>
      </c>
      <c r="H18" s="26">
        <v>1498.550438130537</v>
      </c>
    </row>
    <row r="19" spans="1:8">
      <c r="A19" s="87" t="s">
        <v>491</v>
      </c>
      <c r="B19" s="25">
        <v>4060.8040890413799</v>
      </c>
      <c r="C19" s="25">
        <v>2069.8727926678371</v>
      </c>
      <c r="D19" s="25">
        <v>1990.9312963734562</v>
      </c>
      <c r="E19" s="25"/>
      <c r="F19" s="25">
        <v>3108.1541676583406</v>
      </c>
      <c r="G19" s="25">
        <v>1609.6037295277172</v>
      </c>
      <c r="H19" s="25">
        <v>1498.550438130537</v>
      </c>
    </row>
    <row r="20" spans="1:8" s="72" customFormat="1">
      <c r="A20" s="86" t="s">
        <v>499</v>
      </c>
      <c r="B20" s="26">
        <v>1713.9670636118142</v>
      </c>
      <c r="C20" s="26">
        <v>845.61060437363756</v>
      </c>
      <c r="D20" s="26">
        <v>868.3564592381183</v>
      </c>
      <c r="E20" s="26"/>
      <c r="F20" s="26">
        <v>1222.9241968315116</v>
      </c>
      <c r="G20" s="26">
        <v>618.15205572883008</v>
      </c>
      <c r="H20" s="26">
        <v>604.77214110266493</v>
      </c>
    </row>
    <row r="21" spans="1:8">
      <c r="A21" s="87" t="s">
        <v>492</v>
      </c>
      <c r="B21" s="25">
        <v>1713.9670636118142</v>
      </c>
      <c r="C21" s="25">
        <v>845.61060437363756</v>
      </c>
      <c r="D21" s="25">
        <v>868.3564592381183</v>
      </c>
      <c r="E21" s="25"/>
      <c r="F21" s="25">
        <v>1222.9241968315116</v>
      </c>
      <c r="G21" s="25">
        <v>618.15205572883008</v>
      </c>
      <c r="H21" s="25">
        <v>604.77214110266493</v>
      </c>
    </row>
    <row r="22" spans="1:8" s="72" customFormat="1">
      <c r="A22" s="86" t="s">
        <v>493</v>
      </c>
      <c r="B22" s="26">
        <v>972.71979332220644</v>
      </c>
      <c r="C22" s="26">
        <v>516.46470456997497</v>
      </c>
      <c r="D22" s="26">
        <v>456.25508875223176</v>
      </c>
      <c r="E22" s="26"/>
      <c r="F22" s="26">
        <v>596.74419232696584</v>
      </c>
      <c r="G22" s="26">
        <v>331.8218827288959</v>
      </c>
      <c r="H22" s="26">
        <v>264.92230959807017</v>
      </c>
    </row>
    <row r="23" spans="1:8" s="72" customFormat="1">
      <c r="A23" s="87" t="s">
        <v>493</v>
      </c>
      <c r="B23" s="25">
        <v>972.71979332220644</v>
      </c>
      <c r="C23" s="25">
        <v>516.46470456997497</v>
      </c>
      <c r="D23" s="25">
        <v>456.25508875223176</v>
      </c>
      <c r="E23" s="25"/>
      <c r="F23" s="25">
        <v>596.74419232696584</v>
      </c>
      <c r="G23" s="25">
        <v>331.8218827288959</v>
      </c>
      <c r="H23" s="25">
        <v>264.92230959807017</v>
      </c>
    </row>
    <row r="24" spans="1:8" s="72" customFormat="1">
      <c r="A24" s="88" t="s">
        <v>494</v>
      </c>
      <c r="B24" s="26">
        <v>1238.9800943829111</v>
      </c>
      <c r="C24" s="26">
        <v>612.80008987836402</v>
      </c>
      <c r="D24" s="26">
        <v>626.18000450452917</v>
      </c>
      <c r="E24" s="26"/>
      <c r="F24" s="26">
        <v>901.80624580353117</v>
      </c>
      <c r="G24" s="26">
        <v>454.91709728961524</v>
      </c>
      <c r="H24" s="26">
        <v>446.88914851391615</v>
      </c>
    </row>
    <row r="25" spans="1:8" s="72" customFormat="1">
      <c r="A25" s="87" t="s">
        <v>495</v>
      </c>
      <c r="B25" s="25">
        <v>697.09355202320444</v>
      </c>
      <c r="C25" s="25">
        <v>365.27166929430877</v>
      </c>
      <c r="D25" s="25">
        <v>331.8218827288959</v>
      </c>
      <c r="E25" s="25"/>
      <c r="F25" s="25">
        <v>458.93107167746479</v>
      </c>
      <c r="G25" s="25">
        <v>248.866412046672</v>
      </c>
      <c r="H25" s="25">
        <v>210.06465963079307</v>
      </c>
    </row>
    <row r="26" spans="1:8">
      <c r="A26" s="87" t="s">
        <v>496</v>
      </c>
      <c r="B26" s="25">
        <v>541.88654235968875</v>
      </c>
      <c r="C26" s="25">
        <v>247.52842058405548</v>
      </c>
      <c r="D26" s="25">
        <v>294.35812177563349</v>
      </c>
      <c r="E26" s="25"/>
      <c r="F26" s="25">
        <v>442.87517412606661</v>
      </c>
      <c r="G26" s="25">
        <v>206.05068524294353</v>
      </c>
      <c r="H26" s="25">
        <v>236.82448888312337</v>
      </c>
    </row>
    <row r="27" spans="1:8" s="72" customFormat="1">
      <c r="A27" s="86" t="s">
        <v>497</v>
      </c>
      <c r="B27" s="26">
        <v>2195.6439901538001</v>
      </c>
      <c r="C27" s="26">
        <v>1154.6866322380636</v>
      </c>
      <c r="D27" s="26">
        <v>1040.9573579156502</v>
      </c>
      <c r="E27" s="26"/>
      <c r="F27" s="26">
        <v>2089.9426646070865</v>
      </c>
      <c r="G27" s="26">
        <v>1105.1809481212483</v>
      </c>
      <c r="H27" s="26">
        <v>984.76171648575507</v>
      </c>
    </row>
    <row r="28" spans="1:8">
      <c r="A28" s="87" t="s">
        <v>497</v>
      </c>
      <c r="B28" s="25">
        <v>2195.6439901538001</v>
      </c>
      <c r="C28" s="25">
        <v>1154.6866322380636</v>
      </c>
      <c r="D28" s="25">
        <v>1040.9573579156502</v>
      </c>
      <c r="E28" s="25"/>
      <c r="F28" s="25">
        <v>2089.9426646070865</v>
      </c>
      <c r="G28" s="25">
        <v>1105.1809481212483</v>
      </c>
      <c r="H28" s="25">
        <v>984.76171648575507</v>
      </c>
    </row>
    <row r="29" spans="1:8" s="72" customFormat="1">
      <c r="A29" s="86" t="s">
        <v>498</v>
      </c>
      <c r="B29" s="26">
        <v>552.59047406062086</v>
      </c>
      <c r="C29" s="26">
        <v>275.62624129900229</v>
      </c>
      <c r="D29" s="26">
        <v>276.9642327616188</v>
      </c>
      <c r="E29" s="26"/>
      <c r="F29" s="26">
        <v>279.64021568685183</v>
      </c>
      <c r="G29" s="26">
        <v>145.84106942520037</v>
      </c>
      <c r="H29" s="26">
        <v>133.79914626165174</v>
      </c>
    </row>
    <row r="30" spans="1:8">
      <c r="A30" s="87" t="s">
        <v>498</v>
      </c>
      <c r="B30" s="25">
        <v>552.59047406062086</v>
      </c>
      <c r="C30" s="25">
        <v>275.62624129900229</v>
      </c>
      <c r="D30" s="25">
        <v>276.9642327616188</v>
      </c>
      <c r="E30" s="25"/>
      <c r="F30" s="25">
        <v>279.64021568685183</v>
      </c>
      <c r="G30" s="25">
        <v>145.84106942520037</v>
      </c>
      <c r="H30" s="25">
        <v>133.79914626165174</v>
      </c>
    </row>
  </sheetData>
  <mergeCells count="4">
    <mergeCell ref="A1:H1"/>
    <mergeCell ref="A2:A3"/>
    <mergeCell ref="B2:D2"/>
    <mergeCell ref="F2:H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30"/>
  <sheetViews>
    <sheetView zoomScale="120" zoomScaleNormal="120" workbookViewId="0">
      <selection activeCell="D9" sqref="D9"/>
    </sheetView>
  </sheetViews>
  <sheetFormatPr defaultColWidth="9.140625" defaultRowHeight="12"/>
  <cols>
    <col min="1" max="1" width="20.42578125" style="69" customWidth="1"/>
    <col min="2" max="2" width="6" style="75" bestFit="1" customWidth="1"/>
    <col min="3" max="3" width="7.42578125" style="75" bestFit="1" customWidth="1"/>
    <col min="4" max="4" width="8.42578125" style="75" bestFit="1" customWidth="1"/>
    <col min="5" max="5" width="3" style="75" customWidth="1"/>
    <col min="6" max="6" width="6" style="75" bestFit="1" customWidth="1"/>
    <col min="7" max="7" width="7.42578125" style="75" bestFit="1" customWidth="1"/>
    <col min="8" max="8" width="10.28515625" style="75" customWidth="1"/>
    <col min="9" max="16384" width="9.140625" style="69"/>
  </cols>
  <sheetData>
    <row r="1" spans="1:8" ht="21.75" customHeight="1">
      <c r="A1" s="765" t="s">
        <v>515</v>
      </c>
      <c r="B1" s="765"/>
      <c r="C1" s="765"/>
      <c r="D1" s="765"/>
      <c r="E1" s="765"/>
      <c r="F1" s="765"/>
      <c r="G1" s="765"/>
      <c r="H1" s="765"/>
    </row>
    <row r="2" spans="1:8" ht="21.75" customHeight="1">
      <c r="A2" s="763" t="s">
        <v>445</v>
      </c>
      <c r="B2" s="776" t="s">
        <v>217</v>
      </c>
      <c r="C2" s="776"/>
      <c r="D2" s="776"/>
      <c r="E2" s="513"/>
      <c r="F2" s="775" t="s">
        <v>218</v>
      </c>
      <c r="G2" s="775"/>
      <c r="H2" s="775"/>
    </row>
    <row r="3" spans="1:8">
      <c r="A3" s="764"/>
      <c r="B3" s="493" t="s">
        <v>1</v>
      </c>
      <c r="C3" s="493" t="s">
        <v>2</v>
      </c>
      <c r="D3" s="493" t="s">
        <v>3</v>
      </c>
      <c r="E3" s="493"/>
      <c r="F3" s="493" t="s">
        <v>1</v>
      </c>
      <c r="G3" s="493" t="s">
        <v>2</v>
      </c>
      <c r="H3" s="493" t="s">
        <v>3</v>
      </c>
    </row>
    <row r="4" spans="1:8">
      <c r="A4" s="219" t="s">
        <v>500</v>
      </c>
      <c r="B4" s="527">
        <v>9893.1088745872621</v>
      </c>
      <c r="C4" s="259">
        <v>5022.8199506627352</v>
      </c>
      <c r="D4" s="259">
        <v>4870.2889239244396</v>
      </c>
      <c r="E4" s="556"/>
      <c r="F4" s="259">
        <v>5290.4182431860609</v>
      </c>
      <c r="G4" s="259">
        <v>2641.1951472051373</v>
      </c>
      <c r="H4" s="259">
        <v>2649.2230959808371</v>
      </c>
    </row>
    <row r="5" spans="1:8">
      <c r="A5" s="260"/>
      <c r="B5" s="535"/>
      <c r="C5" s="261"/>
      <c r="D5" s="261"/>
      <c r="E5" s="557"/>
      <c r="F5" s="261"/>
      <c r="G5" s="261"/>
      <c r="H5" s="261"/>
    </row>
    <row r="6" spans="1:8">
      <c r="A6" s="255" t="s">
        <v>111</v>
      </c>
      <c r="B6" s="527"/>
      <c r="C6" s="259"/>
      <c r="D6" s="259"/>
      <c r="E6" s="556"/>
      <c r="F6" s="259"/>
      <c r="G6" s="259"/>
      <c r="H6" s="259"/>
    </row>
    <row r="7" spans="1:8">
      <c r="A7" s="260" t="s">
        <v>4</v>
      </c>
      <c r="B7" s="535">
        <v>3782.5018648171213</v>
      </c>
      <c r="C7" s="261">
        <v>1917.3417659295417</v>
      </c>
      <c r="D7" s="261">
        <v>1865.1600988874932</v>
      </c>
      <c r="E7" s="557"/>
      <c r="F7" s="261">
        <v>1351.3713772427079</v>
      </c>
      <c r="G7" s="261">
        <v>663.64376545779157</v>
      </c>
      <c r="H7" s="261">
        <v>687.72761178488884</v>
      </c>
    </row>
    <row r="8" spans="1:8">
      <c r="A8" s="260" t="s">
        <v>5</v>
      </c>
      <c r="B8" s="535">
        <v>6110.607009770054</v>
      </c>
      <c r="C8" s="261">
        <v>3105.4781847331074</v>
      </c>
      <c r="D8" s="261">
        <v>3005.1288250368602</v>
      </c>
      <c r="E8" s="557"/>
      <c r="F8" s="261">
        <v>3939.0468659432668</v>
      </c>
      <c r="G8" s="261">
        <v>1977.55138174729</v>
      </c>
      <c r="H8" s="261">
        <v>1961.4954841958904</v>
      </c>
    </row>
    <row r="9" spans="1:8" s="72" customFormat="1">
      <c r="A9" s="246" t="s">
        <v>448</v>
      </c>
      <c r="B9" s="527"/>
      <c r="C9" s="259"/>
      <c r="D9" s="259"/>
      <c r="E9" s="556"/>
      <c r="F9" s="259"/>
      <c r="G9" s="259"/>
      <c r="H9" s="259"/>
    </row>
    <row r="10" spans="1:8">
      <c r="A10" s="264" t="s">
        <v>486</v>
      </c>
      <c r="B10" s="531">
        <v>1875.8640305884262</v>
      </c>
      <c r="C10" s="263">
        <v>912.51017750446329</v>
      </c>
      <c r="D10" s="263">
        <v>963.35385308389084</v>
      </c>
      <c r="E10" s="558"/>
      <c r="F10" s="263">
        <v>788.07697148112743</v>
      </c>
      <c r="G10" s="263">
        <v>414.7773534111198</v>
      </c>
      <c r="H10" s="263">
        <v>373.29961807000785</v>
      </c>
    </row>
    <row r="11" spans="1:8" s="72" customFormat="1">
      <c r="A11" s="262" t="s">
        <v>486</v>
      </c>
      <c r="B11" s="535">
        <v>1875.8640305884262</v>
      </c>
      <c r="C11" s="261">
        <v>912.51017750446329</v>
      </c>
      <c r="D11" s="261">
        <v>963.35385308389084</v>
      </c>
      <c r="E11" s="557"/>
      <c r="F11" s="261">
        <v>788.07697148112743</v>
      </c>
      <c r="G11" s="261">
        <v>414.7773534111198</v>
      </c>
      <c r="H11" s="261">
        <v>373.29961807000785</v>
      </c>
    </row>
    <row r="12" spans="1:8">
      <c r="A12" s="264" t="s">
        <v>487</v>
      </c>
      <c r="B12" s="531">
        <v>3789.1918221302044</v>
      </c>
      <c r="C12" s="263">
        <v>1950.7915524949574</v>
      </c>
      <c r="D12" s="263">
        <v>1838.4002696351606</v>
      </c>
      <c r="E12" s="558"/>
      <c r="F12" s="263">
        <v>1584.1818917380012</v>
      </c>
      <c r="G12" s="263">
        <v>766.6691080792632</v>
      </c>
      <c r="H12" s="263">
        <v>817.51278365869075</v>
      </c>
    </row>
    <row r="13" spans="1:8">
      <c r="A13" s="262" t="s">
        <v>487</v>
      </c>
      <c r="B13" s="535">
        <v>3185.7576724901051</v>
      </c>
      <c r="C13" s="261">
        <v>1624.3216356165001</v>
      </c>
      <c r="D13" s="261">
        <v>1561.4360368735186</v>
      </c>
      <c r="E13" s="557"/>
      <c r="F13" s="261">
        <v>1241.6560773081444</v>
      </c>
      <c r="G13" s="261">
        <v>582.02628623818418</v>
      </c>
      <c r="H13" s="261">
        <v>659.62979106994203</v>
      </c>
    </row>
    <row r="14" spans="1:8" s="72" customFormat="1">
      <c r="A14" s="262" t="s">
        <v>488</v>
      </c>
      <c r="B14" s="535">
        <v>603.43414964004842</v>
      </c>
      <c r="C14" s="261">
        <v>326.46991687842984</v>
      </c>
      <c r="D14" s="261">
        <v>276.9642327616188</v>
      </c>
      <c r="E14" s="557"/>
      <c r="F14" s="261">
        <v>342.52581442982802</v>
      </c>
      <c r="G14" s="261">
        <v>184.6428218410793</v>
      </c>
      <c r="H14" s="261">
        <v>157.882992588749</v>
      </c>
    </row>
    <row r="15" spans="1:8">
      <c r="A15" s="264" t="s">
        <v>489</v>
      </c>
      <c r="B15" s="531">
        <v>342.52581442982802</v>
      </c>
      <c r="C15" s="263">
        <v>164.57294990183158</v>
      </c>
      <c r="D15" s="263">
        <v>177.95286452799672</v>
      </c>
      <c r="E15" s="558"/>
      <c r="F15" s="263">
        <v>172.60089867753067</v>
      </c>
      <c r="G15" s="263">
        <v>84.293462144840689</v>
      </c>
      <c r="H15" s="263">
        <v>88.307436532690232</v>
      </c>
    </row>
    <row r="16" spans="1:8" s="72" customFormat="1">
      <c r="A16" s="262" t="s">
        <v>489</v>
      </c>
      <c r="B16" s="535">
        <v>235.48649742050685</v>
      </c>
      <c r="C16" s="261">
        <v>115.06726578502052</v>
      </c>
      <c r="D16" s="261">
        <v>120.41923163548658</v>
      </c>
      <c r="E16" s="557"/>
      <c r="F16" s="261">
        <v>101.68735115885538</v>
      </c>
      <c r="G16" s="261">
        <v>53.519658504660804</v>
      </c>
      <c r="H16" s="261">
        <v>48.167692654194717</v>
      </c>
    </row>
    <row r="17" spans="1:8">
      <c r="A17" s="262" t="s">
        <v>490</v>
      </c>
      <c r="B17" s="535">
        <v>107.03931700932144</v>
      </c>
      <c r="C17" s="261">
        <v>49.505684116811238</v>
      </c>
      <c r="D17" s="261">
        <v>57.533632892510369</v>
      </c>
      <c r="E17" s="557"/>
      <c r="F17" s="261">
        <v>70.913547518675543</v>
      </c>
      <c r="G17" s="261">
        <v>30.773803640179935</v>
      </c>
      <c r="H17" s="261">
        <v>40.139743878495587</v>
      </c>
    </row>
    <row r="18" spans="1:8" s="72" customFormat="1">
      <c r="A18" s="264" t="s">
        <v>491</v>
      </c>
      <c r="B18" s="531">
        <v>1350.0333857800913</v>
      </c>
      <c r="C18" s="263">
        <v>709.13547518675307</v>
      </c>
      <c r="D18" s="263">
        <v>640.89791059331083</v>
      </c>
      <c r="E18" s="558"/>
      <c r="F18" s="263">
        <v>956.66389577080827</v>
      </c>
      <c r="G18" s="263">
        <v>497.73282409334371</v>
      </c>
      <c r="H18" s="263">
        <v>458.93107167746479</v>
      </c>
    </row>
    <row r="19" spans="1:8">
      <c r="A19" s="262" t="s">
        <v>491</v>
      </c>
      <c r="B19" s="535">
        <v>1350.0333857800913</v>
      </c>
      <c r="C19" s="261">
        <v>709.13547518675307</v>
      </c>
      <c r="D19" s="261">
        <v>640.89791059331083</v>
      </c>
      <c r="E19" s="557"/>
      <c r="F19" s="261">
        <v>956.66389577080827</v>
      </c>
      <c r="G19" s="261">
        <v>497.73282409334371</v>
      </c>
      <c r="H19" s="261">
        <v>458.93107167746479</v>
      </c>
    </row>
    <row r="20" spans="1:8" s="72" customFormat="1">
      <c r="A20" s="264" t="s">
        <v>499</v>
      </c>
      <c r="B20" s="531">
        <v>594.06820940173282</v>
      </c>
      <c r="C20" s="263">
        <v>302.38607055133258</v>
      </c>
      <c r="D20" s="263">
        <v>291.68213885040046</v>
      </c>
      <c r="E20" s="558"/>
      <c r="F20" s="263">
        <v>386.679532696173</v>
      </c>
      <c r="G20" s="263">
        <v>195.34675354201141</v>
      </c>
      <c r="H20" s="263">
        <v>191.33277915416187</v>
      </c>
    </row>
    <row r="21" spans="1:8">
      <c r="A21" s="262" t="s">
        <v>492</v>
      </c>
      <c r="B21" s="535">
        <v>594.06820940173282</v>
      </c>
      <c r="C21" s="261">
        <v>302.38607055133258</v>
      </c>
      <c r="D21" s="261">
        <v>291.68213885040046</v>
      </c>
      <c r="E21" s="557"/>
      <c r="F21" s="261">
        <v>386.679532696173</v>
      </c>
      <c r="G21" s="261">
        <v>195.34675354201141</v>
      </c>
      <c r="H21" s="261">
        <v>191.33277915416187</v>
      </c>
    </row>
    <row r="22" spans="1:8">
      <c r="A22" s="264" t="s">
        <v>493</v>
      </c>
      <c r="B22" s="531">
        <v>373.29961807000785</v>
      </c>
      <c r="C22" s="263">
        <v>206.05068524294353</v>
      </c>
      <c r="D22" s="263">
        <v>167.24893282706461</v>
      </c>
      <c r="E22" s="558"/>
      <c r="F22" s="263">
        <v>191.33277915416187</v>
      </c>
      <c r="G22" s="263">
        <v>94.997393845772805</v>
      </c>
      <c r="H22" s="263">
        <v>96.33538530838932</v>
      </c>
    </row>
    <row r="23" spans="1:8" s="72" customFormat="1">
      <c r="A23" s="262" t="s">
        <v>493</v>
      </c>
      <c r="B23" s="535">
        <v>373.29961807000785</v>
      </c>
      <c r="C23" s="261">
        <v>206.05068524294353</v>
      </c>
      <c r="D23" s="261">
        <v>167.24893282706461</v>
      </c>
      <c r="E23" s="557"/>
      <c r="F23" s="261">
        <v>191.33277915416187</v>
      </c>
      <c r="G23" s="261">
        <v>94.997393845772805</v>
      </c>
      <c r="H23" s="261">
        <v>96.33538530838932</v>
      </c>
    </row>
    <row r="24" spans="1:8">
      <c r="A24" s="264" t="s">
        <v>494</v>
      </c>
      <c r="B24" s="531">
        <v>442.87517412606661</v>
      </c>
      <c r="C24" s="263">
        <v>214.07863401864262</v>
      </c>
      <c r="D24" s="263">
        <v>228.79654010742428</v>
      </c>
      <c r="E24" s="558"/>
      <c r="F24" s="263">
        <v>283.65419007470138</v>
      </c>
      <c r="G24" s="263">
        <v>127.10918894856916</v>
      </c>
      <c r="H24" s="263">
        <v>156.54500112613249</v>
      </c>
    </row>
    <row r="25" spans="1:8" s="72" customFormat="1">
      <c r="A25" s="262" t="s">
        <v>495</v>
      </c>
      <c r="B25" s="535">
        <v>246.19042912143897</v>
      </c>
      <c r="C25" s="261">
        <v>129.7851718738022</v>
      </c>
      <c r="D25" s="261">
        <v>116.40525724763704</v>
      </c>
      <c r="E25" s="557"/>
      <c r="F25" s="261">
        <v>155.20700966351598</v>
      </c>
      <c r="G25" s="261">
        <v>77.603504831758116</v>
      </c>
      <c r="H25" s="261">
        <v>77.603504831758116</v>
      </c>
    </row>
    <row r="26" spans="1:8">
      <c r="A26" s="262" t="s">
        <v>496</v>
      </c>
      <c r="B26" s="535">
        <v>196.68474500462793</v>
      </c>
      <c r="C26" s="261">
        <v>84.293462144840689</v>
      </c>
      <c r="D26" s="261">
        <v>112.39128285978749</v>
      </c>
      <c r="E26" s="557"/>
      <c r="F26" s="261">
        <v>128.44718041118568</v>
      </c>
      <c r="G26" s="261">
        <v>49.505684116811238</v>
      </c>
      <c r="H26" s="261">
        <v>78.94149629437463</v>
      </c>
    </row>
    <row r="27" spans="1:8" s="72" customFormat="1">
      <c r="A27" s="264" t="s">
        <v>497</v>
      </c>
      <c r="B27" s="531">
        <v>773.35906539234577</v>
      </c>
      <c r="C27" s="263">
        <v>378.65158392047391</v>
      </c>
      <c r="D27" s="263">
        <v>394.70748147187209</v>
      </c>
      <c r="E27" s="558"/>
      <c r="F27" s="263">
        <v>735.89530443908336</v>
      </c>
      <c r="G27" s="263">
        <v>361.25769490645922</v>
      </c>
      <c r="H27" s="263">
        <v>374.63760953262437</v>
      </c>
    </row>
    <row r="28" spans="1:8">
      <c r="A28" s="262" t="s">
        <v>497</v>
      </c>
      <c r="B28" s="535">
        <v>773.35906539234577</v>
      </c>
      <c r="C28" s="261">
        <v>378.65158392047391</v>
      </c>
      <c r="D28" s="261">
        <v>394.70748147187209</v>
      </c>
      <c r="E28" s="557"/>
      <c r="F28" s="261">
        <v>735.89530443908336</v>
      </c>
      <c r="G28" s="261">
        <v>361.25769490645922</v>
      </c>
      <c r="H28" s="261">
        <v>374.63760953262437</v>
      </c>
    </row>
    <row r="29" spans="1:8">
      <c r="A29" s="264" t="s">
        <v>498</v>
      </c>
      <c r="B29" s="531">
        <v>351.89175466814362</v>
      </c>
      <c r="C29" s="263">
        <v>184.6428218410793</v>
      </c>
      <c r="D29" s="263">
        <v>167.24893282706461</v>
      </c>
      <c r="E29" s="558"/>
      <c r="F29" s="263">
        <v>191.33277915416187</v>
      </c>
      <c r="G29" s="263">
        <v>99.011368233622349</v>
      </c>
      <c r="H29" s="263">
        <v>92.321410920539776</v>
      </c>
    </row>
    <row r="30" spans="1:8">
      <c r="A30" s="262" t="s">
        <v>498</v>
      </c>
      <c r="B30" s="535">
        <v>351.89175466814362</v>
      </c>
      <c r="C30" s="261">
        <v>184.6428218410793</v>
      </c>
      <c r="D30" s="261">
        <v>167.24893282706461</v>
      </c>
      <c r="E30" s="557"/>
      <c r="F30" s="261">
        <v>191.33277915416187</v>
      </c>
      <c r="G30" s="261">
        <v>99.011368233622349</v>
      </c>
      <c r="H30" s="261">
        <v>92.321410920539776</v>
      </c>
    </row>
  </sheetData>
  <mergeCells count="4">
    <mergeCell ref="A1:H1"/>
    <mergeCell ref="A2:A3"/>
    <mergeCell ref="B2:D2"/>
    <mergeCell ref="F2:H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59"/>
  <sheetViews>
    <sheetView tabSelected="1" zoomScale="120" zoomScaleNormal="120" workbookViewId="0">
      <selection activeCell="A2" sqref="A2:A3"/>
    </sheetView>
  </sheetViews>
  <sheetFormatPr defaultColWidth="9.140625" defaultRowHeight="12"/>
  <cols>
    <col min="1" max="1" width="18.140625" style="69" customWidth="1"/>
    <col min="2" max="4" width="9.140625" style="75"/>
    <col min="5" max="5" width="3" style="69" customWidth="1"/>
    <col min="6" max="8" width="8.7109375" style="75" customWidth="1"/>
    <col min="9" max="16384" width="9.140625" style="69"/>
  </cols>
  <sheetData>
    <row r="1" spans="1:8" ht="21" customHeight="1">
      <c r="A1" s="777" t="s">
        <v>516</v>
      </c>
      <c r="B1" s="777"/>
      <c r="C1" s="777"/>
      <c r="D1" s="777"/>
      <c r="E1" s="777"/>
      <c r="F1" s="777"/>
      <c r="G1" s="777"/>
      <c r="H1" s="777"/>
    </row>
    <row r="2" spans="1:8" ht="24" customHeight="1">
      <c r="A2" s="763" t="s">
        <v>445</v>
      </c>
      <c r="B2" s="778" t="s">
        <v>219</v>
      </c>
      <c r="C2" s="778"/>
      <c r="D2" s="778"/>
      <c r="E2" s="514"/>
      <c r="F2" s="779" t="s">
        <v>220</v>
      </c>
      <c r="G2" s="779"/>
      <c r="H2" s="779"/>
    </row>
    <row r="3" spans="1:8">
      <c r="A3" s="764"/>
      <c r="B3" s="493" t="s">
        <v>1</v>
      </c>
      <c r="C3" s="493" t="s">
        <v>2</v>
      </c>
      <c r="D3" s="493" t="s">
        <v>3</v>
      </c>
      <c r="E3" s="486"/>
      <c r="F3" s="493" t="s">
        <v>1</v>
      </c>
      <c r="G3" s="493" t="s">
        <v>2</v>
      </c>
      <c r="H3" s="493" t="s">
        <v>3</v>
      </c>
    </row>
    <row r="4" spans="1:8" ht="12.75" customHeight="1">
      <c r="A4" s="265" t="s">
        <v>500</v>
      </c>
      <c r="B4" s="259">
        <v>12348.928620549503</v>
      </c>
      <c r="C4" s="259">
        <v>6095.1467178047815</v>
      </c>
      <c r="D4" s="259">
        <v>6253.7819027420364</v>
      </c>
      <c r="E4" s="155"/>
      <c r="F4" s="259">
        <v>7368.330831396026</v>
      </c>
      <c r="G4" s="259">
        <v>3366.8950458235431</v>
      </c>
      <c r="H4" s="259">
        <v>4001.435785572563</v>
      </c>
    </row>
    <row r="5" spans="1:8">
      <c r="A5" s="266"/>
      <c r="B5" s="261"/>
      <c r="C5" s="261"/>
      <c r="D5" s="261"/>
      <c r="E5" s="46"/>
      <c r="F5" s="261"/>
      <c r="G5" s="261"/>
      <c r="H5" s="261"/>
    </row>
    <row r="6" spans="1:8">
      <c r="A6" s="255" t="s">
        <v>111</v>
      </c>
      <c r="B6" s="259"/>
      <c r="C6" s="259"/>
      <c r="D6" s="259"/>
      <c r="E6" s="155"/>
      <c r="F6" s="259"/>
      <c r="G6" s="259"/>
      <c r="H6" s="259"/>
    </row>
    <row r="7" spans="1:8">
      <c r="A7" s="412" t="s">
        <v>4</v>
      </c>
      <c r="B7" s="261">
        <v>4850.681042865971</v>
      </c>
      <c r="C7" s="261">
        <v>2453.3751877365921</v>
      </c>
      <c r="D7" s="261">
        <v>2397.3058551294589</v>
      </c>
      <c r="E7" s="46"/>
      <c r="F7" s="261">
        <v>2082.7705746504189</v>
      </c>
      <c r="G7" s="261">
        <v>894.37423231873095</v>
      </c>
      <c r="H7" s="261">
        <v>1188.3963423317573</v>
      </c>
    </row>
    <row r="8" spans="1:8" ht="12.75" customHeight="1">
      <c r="A8" s="412" t="s">
        <v>5</v>
      </c>
      <c r="B8" s="261">
        <v>7498.2475776808469</v>
      </c>
      <c r="C8" s="261">
        <v>3641.7715300682694</v>
      </c>
      <c r="D8" s="261">
        <v>3856.4760476126576</v>
      </c>
      <c r="E8" s="46"/>
      <c r="F8" s="261">
        <v>5285.5602567456872</v>
      </c>
      <c r="G8" s="261">
        <v>2472.5208135048815</v>
      </c>
      <c r="H8" s="261">
        <v>2813.0394432408857</v>
      </c>
    </row>
    <row r="9" spans="1:8" s="72" customFormat="1">
      <c r="A9" s="246" t="s">
        <v>448</v>
      </c>
      <c r="B9" s="259"/>
      <c r="C9" s="259"/>
      <c r="D9" s="259"/>
      <c r="E9" s="155"/>
      <c r="F9" s="259"/>
      <c r="G9" s="259"/>
      <c r="H9" s="259"/>
    </row>
    <row r="10" spans="1:8">
      <c r="A10" s="268" t="s">
        <v>486</v>
      </c>
      <c r="B10" s="263">
        <v>2276.9619217287827</v>
      </c>
      <c r="C10" s="263">
        <v>1124.1217415382143</v>
      </c>
      <c r="D10" s="263">
        <v>1152.8401801906484</v>
      </c>
      <c r="E10" s="47"/>
      <c r="F10" s="263">
        <v>1121.3866521427444</v>
      </c>
      <c r="G10" s="263">
        <v>519.6669851393217</v>
      </c>
      <c r="H10" s="263">
        <v>601.71966700342591</v>
      </c>
    </row>
    <row r="11" spans="1:8" s="72" customFormat="1">
      <c r="A11" s="267" t="s">
        <v>486</v>
      </c>
      <c r="B11" s="261">
        <v>2276.9619217287827</v>
      </c>
      <c r="C11" s="261">
        <v>1124.1217415382143</v>
      </c>
      <c r="D11" s="261">
        <v>1152.8401801906484</v>
      </c>
      <c r="E11" s="46"/>
      <c r="F11" s="261">
        <v>1121.3866521427444</v>
      </c>
      <c r="G11" s="261">
        <v>519.6669851393217</v>
      </c>
      <c r="H11" s="261">
        <v>601.71966700342591</v>
      </c>
    </row>
    <row r="12" spans="1:8">
      <c r="A12" s="268" t="s">
        <v>487</v>
      </c>
      <c r="B12" s="263">
        <v>4744.0125564426444</v>
      </c>
      <c r="C12" s="263">
        <v>2409.6137574090735</v>
      </c>
      <c r="D12" s="263">
        <v>2334.3987990336509</v>
      </c>
      <c r="E12" s="47"/>
      <c r="F12" s="263">
        <v>2289.2698240083973</v>
      </c>
      <c r="G12" s="263">
        <v>991.46990585792093</v>
      </c>
      <c r="H12" s="263">
        <v>1297.7999181505538</v>
      </c>
    </row>
    <row r="13" spans="1:8">
      <c r="A13" s="267" t="s">
        <v>487</v>
      </c>
      <c r="B13" s="261">
        <v>4052.0349393887564</v>
      </c>
      <c r="C13" s="261">
        <v>2022.5986079500808</v>
      </c>
      <c r="D13" s="261">
        <v>2029.4363314387556</v>
      </c>
      <c r="E13" s="46"/>
      <c r="F13" s="261">
        <v>1835.2449843603918</v>
      </c>
      <c r="G13" s="261">
        <v>746.67940496334336</v>
      </c>
      <c r="H13" s="261">
        <v>1088.5655793971055</v>
      </c>
    </row>
    <row r="14" spans="1:8" s="72" customFormat="1">
      <c r="A14" s="267" t="s">
        <v>488</v>
      </c>
      <c r="B14" s="261">
        <v>691.97761705394055</v>
      </c>
      <c r="C14" s="261">
        <v>387.01514945901988</v>
      </c>
      <c r="D14" s="261">
        <v>304.96246759491567</v>
      </c>
      <c r="E14" s="46"/>
      <c r="F14" s="261">
        <v>454.02483964803832</v>
      </c>
      <c r="G14" s="261">
        <v>244.79050089457283</v>
      </c>
      <c r="H14" s="261">
        <v>209.23433875346174</v>
      </c>
    </row>
    <row r="15" spans="1:8">
      <c r="A15" s="268" t="s">
        <v>489</v>
      </c>
      <c r="B15" s="263">
        <v>448.55466085709804</v>
      </c>
      <c r="C15" s="263">
        <v>221.54224103307712</v>
      </c>
      <c r="D15" s="263">
        <v>227.01241982401729</v>
      </c>
      <c r="E15" s="47"/>
      <c r="F15" s="263">
        <v>262.56858196512849</v>
      </c>
      <c r="G15" s="263">
        <v>139.48955916897461</v>
      </c>
      <c r="H15" s="263">
        <v>123.07902279615409</v>
      </c>
    </row>
    <row r="16" spans="1:8" s="72" customFormat="1">
      <c r="A16" s="267" t="s">
        <v>489</v>
      </c>
      <c r="B16" s="261">
        <v>302.22737819944552</v>
      </c>
      <c r="C16" s="261">
        <v>146.32728265764982</v>
      </c>
      <c r="D16" s="261">
        <v>155.90009554179511</v>
      </c>
      <c r="E16" s="46"/>
      <c r="F16" s="261">
        <v>170.94308721688057</v>
      </c>
      <c r="G16" s="261">
        <v>86.155315957307963</v>
      </c>
      <c r="H16" s="261">
        <v>84.787771259572921</v>
      </c>
    </row>
    <row r="17" spans="1:8">
      <c r="A17" s="267" t="s">
        <v>490</v>
      </c>
      <c r="B17" s="261">
        <v>146.32728265764982</v>
      </c>
      <c r="C17" s="261">
        <v>75.214958375427628</v>
      </c>
      <c r="D17" s="261">
        <v>71.112324282222502</v>
      </c>
      <c r="E17" s="46"/>
      <c r="F17" s="261">
        <v>91.62549474824813</v>
      </c>
      <c r="G17" s="261">
        <v>53.334243211666902</v>
      </c>
      <c r="H17" s="261">
        <v>38.291251536581363</v>
      </c>
    </row>
    <row r="18" spans="1:8" s="72" customFormat="1">
      <c r="A18" s="268" t="s">
        <v>491</v>
      </c>
      <c r="B18" s="263">
        <v>1731.3115873325351</v>
      </c>
      <c r="C18" s="263">
        <v>809.58646105915659</v>
      </c>
      <c r="D18" s="263">
        <v>921.72512627343235</v>
      </c>
      <c r="E18" s="47"/>
      <c r="F18" s="263">
        <v>1274.5516582890596</v>
      </c>
      <c r="G18" s="263">
        <v>568.89859425778423</v>
      </c>
      <c r="H18" s="263">
        <v>705.65306403129125</v>
      </c>
    </row>
    <row r="19" spans="1:8">
      <c r="A19" s="267" t="s">
        <v>491</v>
      </c>
      <c r="B19" s="261">
        <v>1731.3115873325351</v>
      </c>
      <c r="C19" s="261">
        <v>809.58646105915659</v>
      </c>
      <c r="D19" s="261">
        <v>921.72512627343235</v>
      </c>
      <c r="E19" s="46"/>
      <c r="F19" s="261">
        <v>1274.5516582890596</v>
      </c>
      <c r="G19" s="261">
        <v>568.89859425778423</v>
      </c>
      <c r="H19" s="261">
        <v>705.65306403129125</v>
      </c>
    </row>
    <row r="20" spans="1:8" s="72" customFormat="1">
      <c r="A20" s="268" t="s">
        <v>499</v>
      </c>
      <c r="B20" s="263">
        <v>624.96792686492211</v>
      </c>
      <c r="C20" s="263">
        <v>307.69755699038581</v>
      </c>
      <c r="D20" s="263">
        <v>317.2703698745313</v>
      </c>
      <c r="E20" s="47"/>
      <c r="F20" s="263">
        <v>432.1441244842772</v>
      </c>
      <c r="G20" s="263">
        <v>211.96942814893183</v>
      </c>
      <c r="H20" s="263">
        <v>220.17469633534208</v>
      </c>
    </row>
    <row r="21" spans="1:8">
      <c r="A21" s="267" t="s">
        <v>492</v>
      </c>
      <c r="B21" s="261">
        <v>624.96792686492211</v>
      </c>
      <c r="C21" s="261">
        <v>307.69755699038581</v>
      </c>
      <c r="D21" s="261">
        <v>317.2703698745313</v>
      </c>
      <c r="E21" s="46"/>
      <c r="F21" s="261">
        <v>432.1441244842772</v>
      </c>
      <c r="G21" s="261">
        <v>211.96942814893183</v>
      </c>
      <c r="H21" s="261">
        <v>220.17469633534208</v>
      </c>
    </row>
    <row r="22" spans="1:8">
      <c r="A22" s="268" t="s">
        <v>493</v>
      </c>
      <c r="B22" s="263">
        <v>471.80292071859424</v>
      </c>
      <c r="C22" s="263">
        <v>269.40630545380384</v>
      </c>
      <c r="D22" s="263">
        <v>202.39661526478653</v>
      </c>
      <c r="E22" s="47"/>
      <c r="F22" s="263">
        <v>317.2703698745313</v>
      </c>
      <c r="G22" s="263">
        <v>176.41326600782074</v>
      </c>
      <c r="H22" s="263">
        <v>140.85710386670965</v>
      </c>
    </row>
    <row r="23" spans="1:8" s="72" customFormat="1">
      <c r="A23" s="267" t="s">
        <v>493</v>
      </c>
      <c r="B23" s="261">
        <v>471.80292071859424</v>
      </c>
      <c r="C23" s="261">
        <v>269.40630545380384</v>
      </c>
      <c r="D23" s="261">
        <v>202.39661526478653</v>
      </c>
      <c r="E23" s="46"/>
      <c r="F23" s="261">
        <v>317.2703698745313</v>
      </c>
      <c r="G23" s="261">
        <v>176.41326600782074</v>
      </c>
      <c r="H23" s="261">
        <v>140.85710386670965</v>
      </c>
    </row>
    <row r="24" spans="1:8">
      <c r="A24" s="268" t="s">
        <v>494</v>
      </c>
      <c r="B24" s="263">
        <v>493.68363588235536</v>
      </c>
      <c r="C24" s="263">
        <v>247.52559029004291</v>
      </c>
      <c r="D24" s="263">
        <v>246.15804559230787</v>
      </c>
      <c r="E24" s="47"/>
      <c r="F24" s="263">
        <v>344.6212638292327</v>
      </c>
      <c r="G24" s="263">
        <v>164.10536372820536</v>
      </c>
      <c r="H24" s="263">
        <v>180.51590010102586</v>
      </c>
    </row>
    <row r="25" spans="1:8" s="72" customFormat="1">
      <c r="A25" s="267" t="s">
        <v>495</v>
      </c>
      <c r="B25" s="261">
        <v>246.15804559230787</v>
      </c>
      <c r="C25" s="261">
        <v>117.60884400521392</v>
      </c>
      <c r="D25" s="261">
        <v>128.54920158709427</v>
      </c>
      <c r="E25" s="46"/>
      <c r="F25" s="261">
        <v>165.4729084259404</v>
      </c>
      <c r="G25" s="261">
        <v>71.112324282222502</v>
      </c>
      <c r="H25" s="261">
        <v>94.360584143718214</v>
      </c>
    </row>
    <row r="26" spans="1:8">
      <c r="A26" s="267" t="s">
        <v>496</v>
      </c>
      <c r="B26" s="261">
        <v>247.52559029004291</v>
      </c>
      <c r="C26" s="261">
        <v>129.91674628482932</v>
      </c>
      <c r="D26" s="261">
        <v>117.60884400521392</v>
      </c>
      <c r="E26" s="46"/>
      <c r="F26" s="261">
        <v>179.14835540329082</v>
      </c>
      <c r="G26" s="261">
        <v>92.993039445983172</v>
      </c>
      <c r="H26" s="261">
        <v>86.155315957307963</v>
      </c>
    </row>
    <row r="27" spans="1:8" s="72" customFormat="1">
      <c r="A27" s="268" t="s">
        <v>497</v>
      </c>
      <c r="B27" s="263">
        <v>1050.2743278605267</v>
      </c>
      <c r="C27" s="263">
        <v>443.08448206615776</v>
      </c>
      <c r="D27" s="263">
        <v>607.18984579436619</v>
      </c>
      <c r="E27" s="47"/>
      <c r="F27" s="263">
        <v>1018.8207998126223</v>
      </c>
      <c r="G27" s="263">
        <v>426.67394569333692</v>
      </c>
      <c r="H27" s="263">
        <v>592.14685411928042</v>
      </c>
    </row>
    <row r="28" spans="1:8">
      <c r="A28" s="267" t="s">
        <v>497</v>
      </c>
      <c r="B28" s="261">
        <v>1050.2743278605267</v>
      </c>
      <c r="C28" s="261">
        <v>443.08448206615776</v>
      </c>
      <c r="D28" s="261">
        <v>607.18984579436619</v>
      </c>
      <c r="E28" s="46"/>
      <c r="F28" s="261">
        <v>1018.8207998126223</v>
      </c>
      <c r="G28" s="261">
        <v>426.67394569333692</v>
      </c>
      <c r="H28" s="261">
        <v>592.14685411928042</v>
      </c>
    </row>
    <row r="29" spans="1:8">
      <c r="A29" s="268" t="s">
        <v>498</v>
      </c>
      <c r="B29" s="263">
        <v>507.35908285970606</v>
      </c>
      <c r="C29" s="263">
        <v>262.56858196512849</v>
      </c>
      <c r="D29" s="263">
        <v>244.79050089457283</v>
      </c>
      <c r="E29" s="47"/>
      <c r="F29" s="263">
        <v>307.69755699038581</v>
      </c>
      <c r="G29" s="263">
        <v>168.20799782141049</v>
      </c>
      <c r="H29" s="263">
        <v>139.48955916897461</v>
      </c>
    </row>
    <row r="30" spans="1:8">
      <c r="A30" s="267" t="s">
        <v>498</v>
      </c>
      <c r="B30" s="261">
        <v>507.35908285970606</v>
      </c>
      <c r="C30" s="261">
        <v>262.56858196512849</v>
      </c>
      <c r="D30" s="261">
        <v>244.79050089457283</v>
      </c>
      <c r="E30" s="46"/>
      <c r="F30" s="261">
        <v>307.69755699038581</v>
      </c>
      <c r="G30" s="261">
        <v>168.20799782141049</v>
      </c>
      <c r="H30" s="261">
        <v>139.48955916897461</v>
      </c>
    </row>
    <row r="43" spans="1:8" s="72" customFormat="1">
      <c r="A43" s="69"/>
      <c r="B43" s="75"/>
      <c r="C43" s="75"/>
      <c r="D43" s="75"/>
      <c r="E43" s="69"/>
      <c r="F43" s="75"/>
      <c r="G43" s="75"/>
      <c r="H43" s="75"/>
    </row>
    <row r="46" spans="1:8" s="72" customFormat="1">
      <c r="A46" s="69"/>
      <c r="B46" s="75"/>
      <c r="C46" s="75"/>
      <c r="D46" s="75"/>
      <c r="E46" s="69"/>
      <c r="F46" s="75"/>
      <c r="G46" s="75"/>
      <c r="H46" s="75"/>
    </row>
    <row r="49" spans="1:8" s="72" customFormat="1">
      <c r="A49" s="69"/>
      <c r="B49" s="75"/>
      <c r="C49" s="75"/>
      <c r="D49" s="75"/>
      <c r="E49" s="69"/>
      <c r="F49" s="75"/>
      <c r="G49" s="75"/>
      <c r="H49" s="75"/>
    </row>
    <row r="52" spans="1:8" s="72" customFormat="1">
      <c r="A52" s="69"/>
      <c r="B52" s="75"/>
      <c r="C52" s="75"/>
      <c r="D52" s="75"/>
      <c r="E52" s="69"/>
      <c r="F52" s="75"/>
      <c r="G52" s="75"/>
      <c r="H52" s="75"/>
    </row>
    <row r="55" spans="1:8" s="72" customFormat="1">
      <c r="A55" s="69"/>
      <c r="B55" s="75"/>
      <c r="C55" s="75"/>
      <c r="D55" s="75"/>
      <c r="E55" s="69"/>
      <c r="F55" s="75"/>
      <c r="G55" s="75"/>
      <c r="H55" s="75"/>
    </row>
    <row r="57" spans="1:8" s="72" customFormat="1">
      <c r="A57" s="69"/>
      <c r="B57" s="75"/>
      <c r="C57" s="75"/>
      <c r="D57" s="75"/>
      <c r="E57" s="69"/>
      <c r="F57" s="75"/>
      <c r="G57" s="75"/>
      <c r="H57" s="75"/>
    </row>
    <row r="59" spans="1:8" s="72" customFormat="1">
      <c r="A59" s="69"/>
      <c r="B59" s="75"/>
      <c r="C59" s="75"/>
      <c r="D59" s="75"/>
      <c r="E59" s="69"/>
      <c r="F59" s="75"/>
      <c r="G59" s="75"/>
      <c r="H59" s="75"/>
    </row>
  </sheetData>
  <mergeCells count="4">
    <mergeCell ref="A1:H1"/>
    <mergeCell ref="A2:A3"/>
    <mergeCell ref="B2:D2"/>
    <mergeCell ref="F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48"/>
  <sheetViews>
    <sheetView zoomScale="120" zoomScaleNormal="120" workbookViewId="0">
      <selection activeCell="O8" sqref="O8"/>
    </sheetView>
  </sheetViews>
  <sheetFormatPr defaultColWidth="9.140625" defaultRowHeight="12"/>
  <cols>
    <col min="1" max="1" width="15" style="69" customWidth="1"/>
    <col min="2" max="5" width="9.140625" style="69"/>
    <col min="6" max="6" width="3.5703125" style="69" customWidth="1"/>
    <col min="7" max="9" width="9.140625" style="69"/>
    <col min="10" max="10" width="3.7109375" style="69" customWidth="1"/>
    <col min="11" max="16384" width="9.140625" style="69"/>
  </cols>
  <sheetData>
    <row r="1" spans="1:13" ht="18.75" customHeight="1">
      <c r="A1" s="780" t="s">
        <v>517</v>
      </c>
      <c r="B1" s="780"/>
      <c r="C1" s="780"/>
      <c r="D1" s="780"/>
      <c r="E1" s="780"/>
      <c r="F1" s="780"/>
      <c r="G1" s="780"/>
      <c r="H1" s="780"/>
      <c r="I1" s="780"/>
      <c r="J1" s="780"/>
      <c r="K1" s="780"/>
      <c r="L1" s="780"/>
      <c r="M1" s="780"/>
    </row>
    <row r="2" spans="1:13" ht="21.75" customHeight="1">
      <c r="A2" s="785" t="s">
        <v>556</v>
      </c>
      <c r="B2" s="781" t="s">
        <v>212</v>
      </c>
      <c r="C2" s="784" t="s">
        <v>560</v>
      </c>
      <c r="D2" s="784"/>
      <c r="E2" s="784"/>
      <c r="F2" s="784"/>
      <c r="G2" s="784"/>
      <c r="H2" s="784"/>
      <c r="I2" s="784"/>
      <c r="J2" s="784"/>
      <c r="K2" s="784"/>
      <c r="L2" s="784"/>
      <c r="M2" s="784"/>
    </row>
    <row r="3" spans="1:13">
      <c r="A3" s="786"/>
      <c r="B3" s="782"/>
      <c r="C3" s="783" t="s">
        <v>213</v>
      </c>
      <c r="D3" s="783"/>
      <c r="E3" s="783"/>
      <c r="F3" s="515"/>
      <c r="G3" s="783" t="s">
        <v>214</v>
      </c>
      <c r="H3" s="783"/>
      <c r="I3" s="783"/>
      <c r="J3" s="515"/>
      <c r="K3" s="783" t="s">
        <v>215</v>
      </c>
      <c r="L3" s="783"/>
      <c r="M3" s="783"/>
    </row>
    <row r="4" spans="1:13">
      <c r="A4" s="786"/>
      <c r="B4" s="783"/>
      <c r="C4" s="486" t="s">
        <v>1</v>
      </c>
      <c r="D4" s="486" t="s">
        <v>2</v>
      </c>
      <c r="E4" s="486" t="s">
        <v>3</v>
      </c>
      <c r="F4" s="486"/>
      <c r="G4" s="486" t="s">
        <v>1</v>
      </c>
      <c r="H4" s="486" t="s">
        <v>2</v>
      </c>
      <c r="I4" s="486" t="s">
        <v>3</v>
      </c>
      <c r="J4" s="486"/>
      <c r="K4" s="486" t="s">
        <v>1</v>
      </c>
      <c r="L4" s="486" t="s">
        <v>2</v>
      </c>
      <c r="M4" s="486" t="s">
        <v>3</v>
      </c>
    </row>
    <row r="5" spans="1:13" s="72" customFormat="1">
      <c r="A5" s="269" t="s">
        <v>500</v>
      </c>
      <c r="B5" s="155">
        <v>116047.26809091635</v>
      </c>
      <c r="C5" s="155">
        <v>30523.783923590985</v>
      </c>
      <c r="D5" s="155">
        <v>16316.726672827626</v>
      </c>
      <c r="E5" s="155">
        <v>14207.057250764215</v>
      </c>
      <c r="F5" s="155"/>
      <c r="G5" s="155">
        <v>24002.946096604373</v>
      </c>
      <c r="H5" s="155">
        <v>14165.641636887103</v>
      </c>
      <c r="I5" s="155">
        <v>9837.3044597177723</v>
      </c>
      <c r="J5" s="155"/>
      <c r="K5" s="155">
        <v>61520.538070822164</v>
      </c>
      <c r="L5" s="155">
        <v>28905.652836339232</v>
      </c>
      <c r="M5" s="155">
        <v>32614.885234499932</v>
      </c>
    </row>
    <row r="6" spans="1:13">
      <c r="A6" s="270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3">
      <c r="A7" s="269" t="s">
        <v>7</v>
      </c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</row>
    <row r="8" spans="1:13">
      <c r="A8" s="271" t="s">
        <v>127</v>
      </c>
      <c r="B8" s="46">
        <v>18846.947742417738</v>
      </c>
      <c r="C8" s="46">
        <v>6379.5432937559963</v>
      </c>
      <c r="D8" s="46">
        <v>3108.1541676583406</v>
      </c>
      <c r="E8" s="46">
        <v>3271.3891260975693</v>
      </c>
      <c r="F8" s="46"/>
      <c r="G8" s="46">
        <v>976.73376771005599</v>
      </c>
      <c r="H8" s="46">
        <v>512.45073018212543</v>
      </c>
      <c r="I8" s="46">
        <v>464.28303752793084</v>
      </c>
      <c r="J8" s="46"/>
      <c r="K8" s="46">
        <v>11490.670680951516</v>
      </c>
      <c r="L8" s="46">
        <v>5916.5982476906429</v>
      </c>
      <c r="M8" s="46">
        <v>5574.0724332607861</v>
      </c>
    </row>
    <row r="9" spans="1:13">
      <c r="A9" s="272" t="s">
        <v>128</v>
      </c>
      <c r="B9" s="46">
        <v>16612.501999847969</v>
      </c>
      <c r="C9" s="46">
        <v>7647.9592003165599</v>
      </c>
      <c r="D9" s="46">
        <v>3955.1027634946663</v>
      </c>
      <c r="E9" s="46">
        <v>3692.8564368218072</v>
      </c>
      <c r="F9" s="46"/>
      <c r="G9" s="46">
        <v>1071.7311615558326</v>
      </c>
      <c r="H9" s="46">
        <v>548.57649967277132</v>
      </c>
      <c r="I9" s="46">
        <v>523.15466188305754</v>
      </c>
      <c r="J9" s="46"/>
      <c r="K9" s="46">
        <v>7892.8116379754028</v>
      </c>
      <c r="L9" s="46">
        <v>3956.4407549572829</v>
      </c>
      <c r="M9" s="46">
        <v>3936.3708830180335</v>
      </c>
    </row>
    <row r="10" spans="1:13">
      <c r="A10" s="272" t="s">
        <v>129</v>
      </c>
      <c r="B10" s="46">
        <v>15228.977753981237</v>
      </c>
      <c r="C10" s="46">
        <v>5853.0913063056942</v>
      </c>
      <c r="D10" s="46">
        <v>3219.2002184681678</v>
      </c>
      <c r="E10" s="46">
        <v>2633.8910878376064</v>
      </c>
      <c r="F10" s="46"/>
      <c r="G10" s="46">
        <v>2220.8925891216495</v>
      </c>
      <c r="H10" s="46">
        <v>966.85410129868967</v>
      </c>
      <c r="I10" s="46">
        <v>1254.0384878230352</v>
      </c>
      <c r="J10" s="46"/>
      <c r="K10" s="46">
        <v>7154.9938585493728</v>
      </c>
      <c r="L10" s="46">
        <v>3249.2862018183368</v>
      </c>
      <c r="M10" s="46">
        <v>3905.707656731116</v>
      </c>
    </row>
    <row r="11" spans="1:13">
      <c r="A11" s="272" t="s">
        <v>130</v>
      </c>
      <c r="B11" s="46">
        <v>14542.357013198976</v>
      </c>
      <c r="C11" s="46">
        <v>3265.9355498338923</v>
      </c>
      <c r="D11" s="46">
        <v>1891.1844107033687</v>
      </c>
      <c r="E11" s="46">
        <v>1374.751139130655</v>
      </c>
      <c r="F11" s="46"/>
      <c r="G11" s="46">
        <v>3677.0625956389208</v>
      </c>
      <c r="H11" s="46">
        <v>1820.4994098456509</v>
      </c>
      <c r="I11" s="46">
        <v>1856.5631857934661</v>
      </c>
      <c r="J11" s="46"/>
      <c r="K11" s="46">
        <v>7599.3588677226844</v>
      </c>
      <c r="L11" s="46">
        <v>3505.3990221273475</v>
      </c>
      <c r="M11" s="46">
        <v>4093.9598455955988</v>
      </c>
    </row>
    <row r="12" spans="1:13">
      <c r="A12" s="272" t="s">
        <v>131</v>
      </c>
      <c r="B12" s="46">
        <v>11497.131772164021</v>
      </c>
      <c r="C12" s="46">
        <v>1772.8952255945348</v>
      </c>
      <c r="D12" s="46">
        <v>988.14746097007878</v>
      </c>
      <c r="E12" s="46">
        <v>784.74776462441707</v>
      </c>
      <c r="F12" s="46"/>
      <c r="G12" s="46">
        <v>3932.3941293494122</v>
      </c>
      <c r="H12" s="46">
        <v>2192.6775776270811</v>
      </c>
      <c r="I12" s="46">
        <v>1739.7165517225449</v>
      </c>
      <c r="J12" s="46"/>
      <c r="K12" s="46">
        <v>5791.8424172184714</v>
      </c>
      <c r="L12" s="46">
        <v>2709.1108491997134</v>
      </c>
      <c r="M12" s="46">
        <v>3082.73156801902</v>
      </c>
    </row>
    <row r="13" spans="1:13">
      <c r="A13" s="272" t="s">
        <v>132</v>
      </c>
      <c r="B13" s="46">
        <v>9965.0337784707117</v>
      </c>
      <c r="C13" s="46">
        <v>1267.8049922240966</v>
      </c>
      <c r="D13" s="46">
        <v>735.58651425970686</v>
      </c>
      <c r="E13" s="46">
        <v>532.21847796437089</v>
      </c>
      <c r="F13" s="46"/>
      <c r="G13" s="46">
        <v>3595.7199608813467</v>
      </c>
      <c r="H13" s="46">
        <v>2182.2399923038342</v>
      </c>
      <c r="I13" s="46">
        <v>1413.4799685774933</v>
      </c>
      <c r="J13" s="46"/>
      <c r="K13" s="46">
        <v>5101.508825365645</v>
      </c>
      <c r="L13" s="46">
        <v>2404.3582730803005</v>
      </c>
      <c r="M13" s="46">
        <v>2697.1505522856423</v>
      </c>
    </row>
    <row r="14" spans="1:13">
      <c r="A14" s="272" t="s">
        <v>133</v>
      </c>
      <c r="B14" s="46">
        <v>6513.5464674441637</v>
      </c>
      <c r="C14" s="46">
        <v>827.89541016680971</v>
      </c>
      <c r="D14" s="46">
        <v>483.17937701372364</v>
      </c>
      <c r="E14" s="46">
        <v>344.71603315307482</v>
      </c>
      <c r="F14" s="46"/>
      <c r="G14" s="46">
        <v>2329.3572951557794</v>
      </c>
      <c r="H14" s="46">
        <v>1484.1539670063689</v>
      </c>
      <c r="I14" s="46">
        <v>845.2033281493915</v>
      </c>
      <c r="J14" s="46"/>
      <c r="K14" s="46">
        <v>3356.2937621222986</v>
      </c>
      <c r="L14" s="46">
        <v>1459.6344165310447</v>
      </c>
      <c r="M14" s="46">
        <v>1896.6593455912348</v>
      </c>
    </row>
    <row r="15" spans="1:13">
      <c r="A15" s="272" t="s">
        <v>134</v>
      </c>
      <c r="B15" s="46">
        <v>4725.0616092446098</v>
      </c>
      <c r="C15" s="46">
        <v>607.21945588889196</v>
      </c>
      <c r="D15" s="46">
        <v>370.67791012694647</v>
      </c>
      <c r="E15" s="46">
        <v>236.5415457619429</v>
      </c>
      <c r="F15" s="46"/>
      <c r="G15" s="46">
        <v>1435.1148660557205</v>
      </c>
      <c r="H15" s="46">
        <v>995.20528399843363</v>
      </c>
      <c r="I15" s="46">
        <v>439.90958205727088</v>
      </c>
      <c r="J15" s="46"/>
      <c r="K15" s="46">
        <v>2682.7272873001575</v>
      </c>
      <c r="L15" s="46">
        <v>1175.4960963169938</v>
      </c>
      <c r="M15" s="46">
        <v>1507.2311909831446</v>
      </c>
    </row>
    <row r="16" spans="1:13">
      <c r="A16" s="272" t="s">
        <v>135</v>
      </c>
      <c r="B16" s="46">
        <v>3937.0811391893444</v>
      </c>
      <c r="C16" s="46">
        <v>542.21577716991408</v>
      </c>
      <c r="D16" s="46">
        <v>319.94977973995134</v>
      </c>
      <c r="E16" s="46">
        <v>222.26599742996706</v>
      </c>
      <c r="F16" s="46"/>
      <c r="G16" s="46">
        <v>1336.4273985597808</v>
      </c>
      <c r="H16" s="46">
        <v>900.38964563985394</v>
      </c>
      <c r="I16" s="46">
        <v>436.03775291993185</v>
      </c>
      <c r="J16" s="46"/>
      <c r="K16" s="46">
        <v>2058.4379634596598</v>
      </c>
      <c r="L16" s="46">
        <v>845.17707302986321</v>
      </c>
      <c r="M16" s="46">
        <v>1213.2608904298015</v>
      </c>
    </row>
    <row r="17" spans="1:13">
      <c r="A17" s="272" t="s">
        <v>136</v>
      </c>
      <c r="B17" s="46">
        <v>3298.5972866994516</v>
      </c>
      <c r="C17" s="46">
        <v>448.77911582992971</v>
      </c>
      <c r="D17" s="46">
        <v>239.25448130996455</v>
      </c>
      <c r="E17" s="46">
        <v>209.52463451996894</v>
      </c>
      <c r="F17" s="46"/>
      <c r="G17" s="46">
        <v>1073.1058984198251</v>
      </c>
      <c r="H17" s="46">
        <v>747.49329071987961</v>
      </c>
      <c r="I17" s="46">
        <v>325.61260769995039</v>
      </c>
      <c r="J17" s="46"/>
      <c r="K17" s="46">
        <v>1776.7122724497069</v>
      </c>
      <c r="L17" s="46">
        <v>724.84197887988341</v>
      </c>
      <c r="M17" s="46">
        <v>1051.8702935698286</v>
      </c>
    </row>
    <row r="18" spans="1:13">
      <c r="A18" s="272" t="s">
        <v>137</v>
      </c>
      <c r="B18" s="46">
        <v>2490.2285954095873</v>
      </c>
      <c r="C18" s="46">
        <v>335.52255662994872</v>
      </c>
      <c r="D18" s="46">
        <v>188.28902966997208</v>
      </c>
      <c r="E18" s="46">
        <v>147.23352695997815</v>
      </c>
      <c r="F18" s="46"/>
      <c r="G18" s="46">
        <v>724.84197887988341</v>
      </c>
      <c r="H18" s="46">
        <v>511.07022338991925</v>
      </c>
      <c r="I18" s="46">
        <v>213.77175548996831</v>
      </c>
      <c r="J18" s="46"/>
      <c r="K18" s="46">
        <v>1429.8640598997652</v>
      </c>
      <c r="L18" s="46">
        <v>554.95714007991194</v>
      </c>
      <c r="M18" s="46">
        <v>874.90691981985822</v>
      </c>
    </row>
    <row r="19" spans="1:13">
      <c r="A19" s="272" t="s">
        <v>138</v>
      </c>
      <c r="B19" s="46">
        <v>2634.6307083895631</v>
      </c>
      <c r="C19" s="46">
        <v>389.31942224993969</v>
      </c>
      <c r="D19" s="46">
        <v>213.77175548996831</v>
      </c>
      <c r="E19" s="46">
        <v>175.54766675997396</v>
      </c>
      <c r="F19" s="46"/>
      <c r="G19" s="46">
        <v>666.79799228989316</v>
      </c>
      <c r="H19" s="46">
        <v>491.25032552992258</v>
      </c>
      <c r="I19" s="46">
        <v>175.54766675997396</v>
      </c>
      <c r="J19" s="46"/>
      <c r="K19" s="46">
        <v>1578.5132938497402</v>
      </c>
      <c r="L19" s="46">
        <v>761.65036061987723</v>
      </c>
      <c r="M19" s="46">
        <v>816.86293322986796</v>
      </c>
    </row>
    <row r="20" spans="1:13">
      <c r="A20" s="272" t="s">
        <v>139</v>
      </c>
      <c r="B20" s="46">
        <v>5755.1722245792416</v>
      </c>
      <c r="C20" s="46">
        <v>1185.6026176223941</v>
      </c>
      <c r="D20" s="46">
        <v>604.22880392081368</v>
      </c>
      <c r="E20" s="46">
        <v>581.37381370158744</v>
      </c>
      <c r="F20" s="46"/>
      <c r="G20" s="46">
        <v>962.76646298492528</v>
      </c>
      <c r="H20" s="46">
        <v>812.7805896712531</v>
      </c>
      <c r="I20" s="46">
        <v>149.98587331367784</v>
      </c>
      <c r="J20" s="46"/>
      <c r="K20" s="46">
        <v>3606.8031439716183</v>
      </c>
      <c r="L20" s="46">
        <v>1642.7024220069552</v>
      </c>
      <c r="M20" s="46">
        <v>1964.1007219648498</v>
      </c>
    </row>
    <row r="21" spans="1:13">
      <c r="A21" s="269" t="s">
        <v>4</v>
      </c>
      <c r="B21" s="155">
        <v>43496.092152352336</v>
      </c>
      <c r="C21" s="155">
        <v>16085.782845875328</v>
      </c>
      <c r="D21" s="155">
        <v>8800.9709970248587</v>
      </c>
      <c r="E21" s="155">
        <v>7284.8118488485916</v>
      </c>
      <c r="F21" s="155"/>
      <c r="G21" s="155">
        <v>11743.080418369724</v>
      </c>
      <c r="H21" s="155">
        <v>6798.9283527415628</v>
      </c>
      <c r="I21" s="155">
        <v>4944.1520656269977</v>
      </c>
      <c r="J21" s="155"/>
      <c r="K21" s="155">
        <v>15667.228888115591</v>
      </c>
      <c r="L21" s="155">
        <v>6513.713137139951</v>
      </c>
      <c r="M21" s="155">
        <v>9153.515750974253</v>
      </c>
    </row>
    <row r="22" spans="1:13">
      <c r="A22" s="272" t="s">
        <v>127</v>
      </c>
      <c r="B22" s="46">
        <v>6616.3677826391395</v>
      </c>
      <c r="C22" s="46">
        <v>3219.2074590555208</v>
      </c>
      <c r="D22" s="46">
        <v>1598.8997978267842</v>
      </c>
      <c r="E22" s="46">
        <v>1620.3076612286502</v>
      </c>
      <c r="F22" s="46"/>
      <c r="G22" s="46">
        <v>432.17124242513449</v>
      </c>
      <c r="H22" s="46">
        <v>218.09260840649216</v>
      </c>
      <c r="I22" s="46">
        <v>214.07863401864262</v>
      </c>
      <c r="J22" s="46"/>
      <c r="K22" s="46">
        <v>2964.9890811583614</v>
      </c>
      <c r="L22" s="46">
        <v>1491.8604808174539</v>
      </c>
      <c r="M22" s="46">
        <v>1473.1286003408211</v>
      </c>
    </row>
    <row r="23" spans="1:13">
      <c r="A23" s="272" t="s">
        <v>128</v>
      </c>
      <c r="B23" s="46">
        <v>6340.7415413401141</v>
      </c>
      <c r="C23" s="46">
        <v>4015.3123793124146</v>
      </c>
      <c r="D23" s="46">
        <v>2089.9426646070865</v>
      </c>
      <c r="E23" s="46">
        <v>1925.3697147052414</v>
      </c>
      <c r="F23" s="46"/>
      <c r="G23" s="46">
        <v>468.29701191578039</v>
      </c>
      <c r="H23" s="46">
        <v>238.16248034573988</v>
      </c>
      <c r="I23" s="46">
        <v>230.13453157004079</v>
      </c>
      <c r="J23" s="46"/>
      <c r="K23" s="46">
        <v>1857.1321501117934</v>
      </c>
      <c r="L23" s="46">
        <v>911.17218604184677</v>
      </c>
      <c r="M23" s="46">
        <v>945.95996406987615</v>
      </c>
    </row>
    <row r="24" spans="1:13">
      <c r="A24" s="272" t="s">
        <v>129</v>
      </c>
      <c r="B24" s="46">
        <v>5957.0247033335509</v>
      </c>
      <c r="C24" s="46">
        <v>3261.5941040979515</v>
      </c>
      <c r="D24" s="46">
        <v>1842.0827078490665</v>
      </c>
      <c r="E24" s="46">
        <v>1419.511396248965</v>
      </c>
      <c r="F24" s="46"/>
      <c r="G24" s="46">
        <v>995.57253995112615</v>
      </c>
      <c r="H24" s="46">
        <v>421.20376690239664</v>
      </c>
      <c r="I24" s="46">
        <v>574.36877304872451</v>
      </c>
      <c r="J24" s="46"/>
      <c r="K24" s="46">
        <v>1699.8580592846311</v>
      </c>
      <c r="L24" s="46">
        <v>735.7390473814628</v>
      </c>
      <c r="M24" s="46">
        <v>964.11901190321953</v>
      </c>
    </row>
    <row r="25" spans="1:13">
      <c r="A25" s="272" t="s">
        <v>130</v>
      </c>
      <c r="B25" s="46">
        <v>5279.7367987595762</v>
      </c>
      <c r="C25" s="46">
        <v>1780.1079807840979</v>
      </c>
      <c r="D25" s="46">
        <v>1041.5218493728426</v>
      </c>
      <c r="E25" s="46">
        <v>738.58613141121725</v>
      </c>
      <c r="F25" s="46"/>
      <c r="G25" s="46">
        <v>1813.2866546560879</v>
      </c>
      <c r="H25" s="46">
        <v>879.9561331266417</v>
      </c>
      <c r="I25" s="46">
        <v>933.330521529404</v>
      </c>
      <c r="J25" s="46"/>
      <c r="K25" s="46">
        <v>1686.3421633197784</v>
      </c>
      <c r="L25" s="46">
        <v>650.59051809855509</v>
      </c>
      <c r="M25" s="46">
        <v>1035.7516452211921</v>
      </c>
    </row>
    <row r="26" spans="1:13">
      <c r="A26" s="272" t="s">
        <v>131</v>
      </c>
      <c r="B26" s="46">
        <v>4248.312806652224</v>
      </c>
      <c r="C26" s="46">
        <v>895.82419454367914</v>
      </c>
      <c r="D26" s="46">
        <v>522.20347572434309</v>
      </c>
      <c r="E26" s="46">
        <v>373.62071881935071</v>
      </c>
      <c r="F26" s="46"/>
      <c r="G26" s="46">
        <v>2042.6522696841926</v>
      </c>
      <c r="H26" s="46">
        <v>1086.2409315481334</v>
      </c>
      <c r="I26" s="46">
        <v>956.41133813600391</v>
      </c>
      <c r="J26" s="46"/>
      <c r="K26" s="46">
        <v>1309.8363424245877</v>
      </c>
      <c r="L26" s="46">
        <v>480.36949562487951</v>
      </c>
      <c r="M26" s="46">
        <v>829.4668467997044</v>
      </c>
    </row>
    <row r="27" spans="1:13">
      <c r="A27" s="272" t="s">
        <v>132</v>
      </c>
      <c r="B27" s="46">
        <v>3747.1642432289373</v>
      </c>
      <c r="C27" s="46">
        <v>624.52737387147374</v>
      </c>
      <c r="D27" s="46">
        <v>380.77419561678545</v>
      </c>
      <c r="E27" s="46">
        <v>243.75317825468503</v>
      </c>
      <c r="F27" s="46"/>
      <c r="G27" s="46">
        <v>1763.9653077247744</v>
      </c>
      <c r="H27" s="46">
        <v>1032.705772960694</v>
      </c>
      <c r="I27" s="46">
        <v>731.25953476406141</v>
      </c>
      <c r="J27" s="46"/>
      <c r="K27" s="46">
        <v>1358.671561632651</v>
      </c>
      <c r="L27" s="46">
        <v>514.91055998178911</v>
      </c>
      <c r="M27" s="46">
        <v>843.76100165084301</v>
      </c>
    </row>
    <row r="28" spans="1:13">
      <c r="A28" s="272" t="s">
        <v>133</v>
      </c>
      <c r="B28" s="46">
        <v>2512.5327604714366</v>
      </c>
      <c r="C28" s="46">
        <v>444.23656155291616</v>
      </c>
      <c r="D28" s="46">
        <v>285.58064671258938</v>
      </c>
      <c r="E28" s="46">
        <v>158.65591484032794</v>
      </c>
      <c r="F28" s="46"/>
      <c r="G28" s="46">
        <v>1169.7267903227998</v>
      </c>
      <c r="H28" s="46">
        <v>709.62463728583418</v>
      </c>
      <c r="I28" s="46">
        <v>460.10215303694883</v>
      </c>
      <c r="J28" s="46"/>
      <c r="K28" s="46">
        <v>898.56940859568533</v>
      </c>
      <c r="L28" s="46">
        <v>330.29276816759057</v>
      </c>
      <c r="M28" s="46">
        <v>568.27664042808294</v>
      </c>
    </row>
    <row r="29" spans="1:13">
      <c r="A29" s="272" t="s">
        <v>134</v>
      </c>
      <c r="B29" s="46">
        <v>1875.0244481130076</v>
      </c>
      <c r="C29" s="46">
        <v>344.71603315307482</v>
      </c>
      <c r="D29" s="46">
        <v>214.90664828371652</v>
      </c>
      <c r="E29" s="46">
        <v>129.80938486935943</v>
      </c>
      <c r="F29" s="46"/>
      <c r="G29" s="46">
        <v>791.83724770309766</v>
      </c>
      <c r="H29" s="46">
        <v>553.85337544259812</v>
      </c>
      <c r="I29" s="46">
        <v>237.98387226049132</v>
      </c>
      <c r="J29" s="46"/>
      <c r="K29" s="46">
        <v>738.47116725680382</v>
      </c>
      <c r="L29" s="46">
        <v>284.13832021404096</v>
      </c>
      <c r="M29" s="46">
        <v>454.33284704275513</v>
      </c>
    </row>
    <row r="30" spans="1:13">
      <c r="A30" s="272" t="s">
        <v>135</v>
      </c>
      <c r="B30" s="46">
        <v>1645.051522379729</v>
      </c>
      <c r="C30" s="46">
        <v>311.45553779995276</v>
      </c>
      <c r="D30" s="46">
        <v>206.69322053996936</v>
      </c>
      <c r="E30" s="46">
        <v>104.76231725998444</v>
      </c>
      <c r="F30" s="46"/>
      <c r="G30" s="46">
        <v>730.50480683988246</v>
      </c>
      <c r="H30" s="46">
        <v>505.4073954299202</v>
      </c>
      <c r="I30" s="46">
        <v>225.09741140996664</v>
      </c>
      <c r="J30" s="46"/>
      <c r="K30" s="46">
        <v>603.09117773990386</v>
      </c>
      <c r="L30" s="46">
        <v>225.09741140996664</v>
      </c>
      <c r="M30" s="46">
        <v>377.99376632994159</v>
      </c>
    </row>
    <row r="31" spans="1:13">
      <c r="A31" s="272" t="s">
        <v>136</v>
      </c>
      <c r="B31" s="46">
        <v>1288.2933608997889</v>
      </c>
      <c r="C31" s="46">
        <v>261.90579314996108</v>
      </c>
      <c r="D31" s="46">
        <v>148.64923394997794</v>
      </c>
      <c r="E31" s="46">
        <v>113.25655919998319</v>
      </c>
      <c r="F31" s="46"/>
      <c r="G31" s="46">
        <v>537.96865619991479</v>
      </c>
      <c r="H31" s="46">
        <v>387.90371525993993</v>
      </c>
      <c r="I31" s="46">
        <v>150.06494093997773</v>
      </c>
      <c r="J31" s="46"/>
      <c r="K31" s="46">
        <v>488.41891154992305</v>
      </c>
      <c r="L31" s="46">
        <v>184.04190869997271</v>
      </c>
      <c r="M31" s="46">
        <v>304.37700284995395</v>
      </c>
    </row>
    <row r="32" spans="1:13">
      <c r="A32" s="272" t="s">
        <v>137</v>
      </c>
      <c r="B32" s="46">
        <v>913.1310085498518</v>
      </c>
      <c r="C32" s="46">
        <v>150.06494093997773</v>
      </c>
      <c r="D32" s="46">
        <v>86.358126389987163</v>
      </c>
      <c r="E32" s="46">
        <v>63.706814549990519</v>
      </c>
      <c r="F32" s="46"/>
      <c r="G32" s="46">
        <v>345.43250555994706</v>
      </c>
      <c r="H32" s="46">
        <v>244.91730926996371</v>
      </c>
      <c r="I32" s="46">
        <v>100.51519628998507</v>
      </c>
      <c r="J32" s="46"/>
      <c r="K32" s="46">
        <v>417.63356204993494</v>
      </c>
      <c r="L32" s="46">
        <v>159.97488986997627</v>
      </c>
      <c r="M32" s="46">
        <v>257.6586721799618</v>
      </c>
    </row>
    <row r="33" spans="1:13">
      <c r="A33" s="272" t="s">
        <v>138</v>
      </c>
      <c r="B33" s="46">
        <v>937.19802737984776</v>
      </c>
      <c r="C33" s="46">
        <v>185.4576156899725</v>
      </c>
      <c r="D33" s="46">
        <v>99.099489299985279</v>
      </c>
      <c r="E33" s="46">
        <v>86.358126389987163</v>
      </c>
      <c r="F33" s="46"/>
      <c r="G33" s="46">
        <v>284.55710498995728</v>
      </c>
      <c r="H33" s="46">
        <v>216.6031694699679</v>
      </c>
      <c r="I33" s="46">
        <v>67.953935519989884</v>
      </c>
      <c r="J33" s="46"/>
      <c r="K33" s="46">
        <v>467.18330669992662</v>
      </c>
      <c r="L33" s="46">
        <v>174.13195976997417</v>
      </c>
      <c r="M33" s="46">
        <v>293.05134692995586</v>
      </c>
    </row>
    <row r="34" spans="1:13">
      <c r="A34" s="272" t="s">
        <v>139</v>
      </c>
      <c r="B34" s="46">
        <v>2135.5131486090463</v>
      </c>
      <c r="C34" s="46">
        <v>591.37287192249892</v>
      </c>
      <c r="D34" s="46">
        <v>284.25894085163731</v>
      </c>
      <c r="E34" s="46">
        <v>307.11393107086445</v>
      </c>
      <c r="F34" s="46"/>
      <c r="G34" s="46">
        <v>367.10828039633572</v>
      </c>
      <c r="H34" s="46">
        <v>304.25705729346106</v>
      </c>
      <c r="I34" s="46">
        <v>62.85122310287435</v>
      </c>
      <c r="J34" s="46"/>
      <c r="K34" s="46">
        <v>1177.0319962901835</v>
      </c>
      <c r="L34" s="46">
        <v>371.39359106244081</v>
      </c>
      <c r="M34" s="46">
        <v>805.6384052277449</v>
      </c>
    </row>
    <row r="35" spans="1:13">
      <c r="A35" s="269" t="s">
        <v>5</v>
      </c>
      <c r="B35" s="155">
        <v>72551.175938637782</v>
      </c>
      <c r="C35" s="155">
        <v>14438.001077716468</v>
      </c>
      <c r="D35" s="155">
        <v>7515.7556758007095</v>
      </c>
      <c r="E35" s="155">
        <v>6922.2454019142015</v>
      </c>
      <c r="F35" s="155"/>
      <c r="G35" s="155">
        <v>12259.865678235295</v>
      </c>
      <c r="H35" s="155">
        <v>7366.7132841436132</v>
      </c>
      <c r="I35" s="155">
        <v>4893.152394090389</v>
      </c>
      <c r="J35" s="155"/>
      <c r="K35" s="155">
        <v>45853.309182718425</v>
      </c>
      <c r="L35" s="155">
        <v>22391.939699199433</v>
      </c>
      <c r="M35" s="155">
        <v>23461.36948352605</v>
      </c>
    </row>
    <row r="36" spans="1:13">
      <c r="A36" s="272" t="s">
        <v>127</v>
      </c>
      <c r="B36" s="46">
        <v>12230.579959778512</v>
      </c>
      <c r="C36" s="46">
        <v>3160.3358347003891</v>
      </c>
      <c r="D36" s="46">
        <v>1509.2543698314701</v>
      </c>
      <c r="E36" s="46">
        <v>1651.0814648688327</v>
      </c>
      <c r="F36" s="46"/>
      <c r="G36" s="46">
        <v>544.56252528492178</v>
      </c>
      <c r="H36" s="46">
        <v>294.35812177563349</v>
      </c>
      <c r="I36" s="46">
        <v>250.20440350928851</v>
      </c>
      <c r="J36" s="46"/>
      <c r="K36" s="46">
        <v>8525.681599793068</v>
      </c>
      <c r="L36" s="46">
        <v>4424.7377668731024</v>
      </c>
      <c r="M36" s="46">
        <v>4100.9438329198783</v>
      </c>
    </row>
    <row r="37" spans="1:13">
      <c r="A37" s="272" t="s">
        <v>128</v>
      </c>
      <c r="B37" s="46">
        <v>10271.760458507768</v>
      </c>
      <c r="C37" s="46">
        <v>3632.6468210040589</v>
      </c>
      <c r="D37" s="46">
        <v>1865.1600988874932</v>
      </c>
      <c r="E37" s="46">
        <v>1767.4867221164793</v>
      </c>
      <c r="F37" s="46"/>
      <c r="G37" s="46">
        <v>603.43414964004842</v>
      </c>
      <c r="H37" s="46">
        <v>310.41401932703167</v>
      </c>
      <c r="I37" s="46">
        <v>293.02013031301698</v>
      </c>
      <c r="J37" s="46"/>
      <c r="K37" s="46">
        <v>6035.6794878635228</v>
      </c>
      <c r="L37" s="46">
        <v>3045.2685689153591</v>
      </c>
      <c r="M37" s="46">
        <v>2990.4109189480773</v>
      </c>
    </row>
    <row r="38" spans="1:13">
      <c r="A38" s="272" t="s">
        <v>129</v>
      </c>
      <c r="B38" s="46">
        <v>9271.9530506438041</v>
      </c>
      <c r="C38" s="46">
        <v>2591.4972022078227</v>
      </c>
      <c r="D38" s="46">
        <v>1377.1175106191813</v>
      </c>
      <c r="E38" s="46">
        <v>1214.3796915887215</v>
      </c>
      <c r="F38" s="46"/>
      <c r="G38" s="46">
        <v>1225.3200491706011</v>
      </c>
      <c r="H38" s="46">
        <v>545.65033439628803</v>
      </c>
      <c r="I38" s="46">
        <v>679.66971477432492</v>
      </c>
      <c r="J38" s="46"/>
      <c r="K38" s="46">
        <v>5455.1357992648218</v>
      </c>
      <c r="L38" s="46">
        <v>2513.5471544369302</v>
      </c>
      <c r="M38" s="46">
        <v>2941.5886448279716</v>
      </c>
    </row>
    <row r="39" spans="1:13">
      <c r="A39" s="272" t="s">
        <v>130</v>
      </c>
      <c r="B39" s="46">
        <v>9262.6202144363342</v>
      </c>
      <c r="C39" s="46">
        <v>1485.8275690499258</v>
      </c>
      <c r="D39" s="46">
        <v>849.66256133047932</v>
      </c>
      <c r="E39" s="46">
        <v>636.16500771943015</v>
      </c>
      <c r="F39" s="46"/>
      <c r="G39" s="46">
        <v>1863.7759409830292</v>
      </c>
      <c r="H39" s="46">
        <v>940.54327671896647</v>
      </c>
      <c r="I39" s="46">
        <v>923.23266426401653</v>
      </c>
      <c r="J39" s="46"/>
      <c r="K39" s="46">
        <v>5913.0167044031114</v>
      </c>
      <c r="L39" s="46">
        <v>2854.8085040288638</v>
      </c>
      <c r="M39" s="46">
        <v>3058.2082003745095</v>
      </c>
    </row>
    <row r="40" spans="1:13">
      <c r="A40" s="272" t="s">
        <v>131</v>
      </c>
      <c r="B40" s="46">
        <v>7248.8189655099759</v>
      </c>
      <c r="C40" s="46">
        <v>877.07103105081671</v>
      </c>
      <c r="D40" s="46">
        <v>465.94398524575399</v>
      </c>
      <c r="E40" s="46">
        <v>411.12704580507705</v>
      </c>
      <c r="F40" s="46"/>
      <c r="G40" s="46">
        <v>1889.7418596654561</v>
      </c>
      <c r="H40" s="46">
        <v>1106.4366460789099</v>
      </c>
      <c r="I40" s="46">
        <v>783.30521358650458</v>
      </c>
      <c r="J40" s="46"/>
      <c r="K40" s="46">
        <v>4482.0060747940297</v>
      </c>
      <c r="L40" s="46">
        <v>2228.7413535748906</v>
      </c>
      <c r="M40" s="46">
        <v>2253.2647212194011</v>
      </c>
    </row>
    <row r="41" spans="1:13">
      <c r="A41" s="272" t="s">
        <v>132</v>
      </c>
      <c r="B41" s="46">
        <v>6217.8695352418181</v>
      </c>
      <c r="C41" s="46">
        <v>643.27761835260401</v>
      </c>
      <c r="D41" s="46">
        <v>354.81231864291379</v>
      </c>
      <c r="E41" s="46">
        <v>288.46529970968624</v>
      </c>
      <c r="F41" s="46"/>
      <c r="G41" s="46">
        <v>1831.7546531565531</v>
      </c>
      <c r="H41" s="46">
        <v>1149.5342193431211</v>
      </c>
      <c r="I41" s="46">
        <v>682.22043381341302</v>
      </c>
      <c r="J41" s="46"/>
      <c r="K41" s="46">
        <v>3742.8372637332918</v>
      </c>
      <c r="L41" s="46">
        <v>1889.4477130984924</v>
      </c>
      <c r="M41" s="46">
        <v>1853.3895506347803</v>
      </c>
    </row>
    <row r="42" spans="1:13">
      <c r="A42" s="272" t="s">
        <v>133</v>
      </c>
      <c r="B42" s="46">
        <v>4001.0137069734701</v>
      </c>
      <c r="C42" s="46">
        <v>383.6588486138823</v>
      </c>
      <c r="D42" s="46">
        <v>197.59873030113542</v>
      </c>
      <c r="E42" s="46">
        <v>186.06011831274802</v>
      </c>
      <c r="F42" s="46"/>
      <c r="G42" s="46">
        <v>1159.6305048329605</v>
      </c>
      <c r="H42" s="46">
        <v>774.52932972051588</v>
      </c>
      <c r="I42" s="46">
        <v>385.10117511243072</v>
      </c>
      <c r="J42" s="46"/>
      <c r="K42" s="46">
        <v>2457.7243535265943</v>
      </c>
      <c r="L42" s="46">
        <v>1129.3416483634423</v>
      </c>
      <c r="M42" s="46">
        <v>1328.3827051631329</v>
      </c>
    </row>
    <row r="43" spans="1:13">
      <c r="A43" s="272" t="s">
        <v>134</v>
      </c>
      <c r="B43" s="46">
        <v>2850.0371611317814</v>
      </c>
      <c r="C43" s="46">
        <v>262.50342273581458</v>
      </c>
      <c r="D43" s="46">
        <v>155.77126184323109</v>
      </c>
      <c r="E43" s="46">
        <v>106.73216089258443</v>
      </c>
      <c r="F43" s="46"/>
      <c r="G43" s="46">
        <v>643.27761835260401</v>
      </c>
      <c r="H43" s="46">
        <v>441.35190855581931</v>
      </c>
      <c r="I43" s="46">
        <v>201.92570979678069</v>
      </c>
      <c r="J43" s="46"/>
      <c r="K43" s="46">
        <v>1944.2561200433347</v>
      </c>
      <c r="L43" s="46">
        <v>891.35777610294292</v>
      </c>
      <c r="M43" s="46">
        <v>1052.8983439403728</v>
      </c>
    </row>
    <row r="44" spans="1:13">
      <c r="A44" s="272" t="s">
        <v>135</v>
      </c>
      <c r="B44" s="46">
        <v>2292.0296168096206</v>
      </c>
      <c r="C44" s="46">
        <v>230.7602393699658</v>
      </c>
      <c r="D44" s="46">
        <v>113.25655919998319</v>
      </c>
      <c r="E44" s="46">
        <v>117.50368016998256</v>
      </c>
      <c r="F44" s="46"/>
      <c r="G44" s="46">
        <v>605.92259171990338</v>
      </c>
      <c r="H44" s="46">
        <v>394.98225020993874</v>
      </c>
      <c r="I44" s="46">
        <v>210.94034150996873</v>
      </c>
      <c r="J44" s="46"/>
      <c r="K44" s="46">
        <v>1455.3467857197609</v>
      </c>
      <c r="L44" s="46">
        <v>620.079661619901</v>
      </c>
      <c r="M44" s="46">
        <v>835.26712409986487</v>
      </c>
    </row>
    <row r="45" spans="1:13">
      <c r="A45" s="272" t="s">
        <v>136</v>
      </c>
      <c r="B45" s="46">
        <v>2010.3039257996677</v>
      </c>
      <c r="C45" s="46">
        <v>186.87332267997229</v>
      </c>
      <c r="D45" s="46">
        <v>90.605247359986535</v>
      </c>
      <c r="E45" s="46">
        <v>96.268075319985698</v>
      </c>
      <c r="F45" s="46"/>
      <c r="G45" s="46">
        <v>535.13724221991527</v>
      </c>
      <c r="H45" s="46">
        <v>359.58957545994468</v>
      </c>
      <c r="I45" s="46">
        <v>175.54766675997396</v>
      </c>
      <c r="J45" s="46"/>
      <c r="K45" s="46">
        <v>1288.2933608997889</v>
      </c>
      <c r="L45" s="46">
        <v>540.80007017991431</v>
      </c>
      <c r="M45" s="46">
        <v>747.49329071987961</v>
      </c>
    </row>
    <row r="46" spans="1:13">
      <c r="A46" s="272" t="s">
        <v>137</v>
      </c>
      <c r="B46" s="46">
        <v>1577.0975868597404</v>
      </c>
      <c r="C46" s="46">
        <v>185.4576156899725</v>
      </c>
      <c r="D46" s="46">
        <v>101.93090327998486</v>
      </c>
      <c r="E46" s="46">
        <v>83.526712409987582</v>
      </c>
      <c r="F46" s="46"/>
      <c r="G46" s="46">
        <v>379.40947331994136</v>
      </c>
      <c r="H46" s="46">
        <v>266.15291411996037</v>
      </c>
      <c r="I46" s="46">
        <v>113.25655919998319</v>
      </c>
      <c r="J46" s="46"/>
      <c r="K46" s="46">
        <v>1012.2304978498352</v>
      </c>
      <c r="L46" s="46">
        <v>394.98225020993874</v>
      </c>
      <c r="M46" s="46">
        <v>617.24824763990148</v>
      </c>
    </row>
    <row r="47" spans="1:13">
      <c r="A47" s="272" t="s">
        <v>138</v>
      </c>
      <c r="B47" s="46">
        <v>1697.4326810097202</v>
      </c>
      <c r="C47" s="46">
        <v>203.86180655996978</v>
      </c>
      <c r="D47" s="46">
        <v>114.67226618998298</v>
      </c>
      <c r="E47" s="46">
        <v>89.189540369986744</v>
      </c>
      <c r="F47" s="46"/>
      <c r="G47" s="46">
        <v>382.24088729994088</v>
      </c>
      <c r="H47" s="46">
        <v>274.64715605995895</v>
      </c>
      <c r="I47" s="46">
        <v>107.59373123998402</v>
      </c>
      <c r="J47" s="46"/>
      <c r="K47" s="46">
        <v>1111.3299871498186</v>
      </c>
      <c r="L47" s="46">
        <v>587.51840084990647</v>
      </c>
      <c r="M47" s="46">
        <v>523.81158629991717</v>
      </c>
    </row>
    <row r="48" spans="1:13">
      <c r="A48" s="272" t="s">
        <v>139</v>
      </c>
      <c r="B48" s="46">
        <v>3619.659075969932</v>
      </c>
      <c r="C48" s="46">
        <v>594.2297456999022</v>
      </c>
      <c r="D48" s="46">
        <v>319.96986306917972</v>
      </c>
      <c r="E48" s="46">
        <v>274.25988263072543</v>
      </c>
      <c r="F48" s="46"/>
      <c r="G48" s="46">
        <v>595.65818258860384</v>
      </c>
      <c r="H48" s="46">
        <v>508.52353237780369</v>
      </c>
      <c r="I48" s="46">
        <v>87.134650210803187</v>
      </c>
      <c r="J48" s="46"/>
      <c r="K48" s="46">
        <v>2429.7711476815607</v>
      </c>
      <c r="L48" s="46">
        <v>1271.3088309444993</v>
      </c>
      <c r="M48" s="46">
        <v>1158.4623167370607</v>
      </c>
    </row>
  </sheetData>
  <mergeCells count="7">
    <mergeCell ref="A1:M1"/>
    <mergeCell ref="B2:B4"/>
    <mergeCell ref="C2:M2"/>
    <mergeCell ref="C3:E3"/>
    <mergeCell ref="G3:I3"/>
    <mergeCell ref="K3:M3"/>
    <mergeCell ref="A2:A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0" tint="-0.14999847407452621"/>
  </sheetPr>
  <dimension ref="A1:H30"/>
  <sheetViews>
    <sheetView zoomScale="120" zoomScaleNormal="120" workbookViewId="0">
      <selection activeCell="B2" sqref="B2:D2"/>
    </sheetView>
  </sheetViews>
  <sheetFormatPr defaultColWidth="9.140625" defaultRowHeight="12"/>
  <cols>
    <col min="1" max="1" width="21.7109375" style="69" customWidth="1"/>
    <col min="2" max="4" width="9.140625" style="75"/>
    <col min="5" max="5" width="2.7109375" style="75" customWidth="1"/>
    <col min="6" max="8" width="9.140625" style="75"/>
    <col min="9" max="16384" width="9.140625" style="69"/>
  </cols>
  <sheetData>
    <row r="1" spans="1:8" ht="13.5" customHeight="1">
      <c r="A1" s="787" t="s">
        <v>518</v>
      </c>
      <c r="B1" s="787"/>
      <c r="C1" s="787"/>
      <c r="D1" s="787"/>
      <c r="E1" s="787"/>
      <c r="F1" s="787"/>
      <c r="G1" s="787"/>
      <c r="H1" s="787"/>
    </row>
    <row r="2" spans="1:8" ht="26.25" customHeight="1">
      <c r="A2" s="763" t="s">
        <v>445</v>
      </c>
      <c r="B2" s="775" t="s">
        <v>221</v>
      </c>
      <c r="C2" s="775"/>
      <c r="D2" s="775"/>
      <c r="E2" s="512"/>
      <c r="F2" s="788" t="s">
        <v>222</v>
      </c>
      <c r="G2" s="788"/>
      <c r="H2" s="788"/>
    </row>
    <row r="3" spans="1:8">
      <c r="A3" s="764"/>
      <c r="B3" s="493" t="s">
        <v>1</v>
      </c>
      <c r="C3" s="493" t="s">
        <v>2</v>
      </c>
      <c r="D3" s="493" t="s">
        <v>3</v>
      </c>
      <c r="E3" s="493"/>
      <c r="F3" s="493" t="s">
        <v>1</v>
      </c>
      <c r="G3" s="493" t="s">
        <v>2</v>
      </c>
      <c r="H3" s="493" t="s">
        <v>3</v>
      </c>
    </row>
    <row r="4" spans="1:8" s="72" customFormat="1">
      <c r="A4" s="413" t="s">
        <v>500</v>
      </c>
      <c r="B4" s="259">
        <v>47808.378362788353</v>
      </c>
      <c r="C4" s="259">
        <v>24092.469881463545</v>
      </c>
      <c r="D4" s="259">
        <v>23715.908481354261</v>
      </c>
      <c r="E4" s="259"/>
      <c r="F4" s="259">
        <v>28800.27807959251</v>
      </c>
      <c r="G4" s="259">
        <v>14300.961278327388</v>
      </c>
      <c r="H4" s="259">
        <v>14499.31680126366</v>
      </c>
    </row>
    <row r="5" spans="1:8">
      <c r="A5" s="273"/>
      <c r="B5" s="261"/>
      <c r="C5" s="261"/>
      <c r="D5" s="261"/>
      <c r="E5" s="261"/>
      <c r="F5" s="261"/>
      <c r="G5" s="261"/>
      <c r="H5" s="261"/>
    </row>
    <row r="6" spans="1:8">
      <c r="A6" s="413" t="s">
        <v>111</v>
      </c>
      <c r="B6" s="559"/>
      <c r="C6" s="559"/>
      <c r="D6" s="559"/>
      <c r="E6" s="559"/>
      <c r="F6" s="559"/>
      <c r="G6" s="559"/>
      <c r="H6" s="559"/>
    </row>
    <row r="7" spans="1:8">
      <c r="A7" s="273" t="s">
        <v>4</v>
      </c>
      <c r="B7" s="261">
        <v>17807.790366847035</v>
      </c>
      <c r="C7" s="261">
        <v>9001.5054057823745</v>
      </c>
      <c r="D7" s="261">
        <v>8806.2849610630983</v>
      </c>
      <c r="E7" s="261"/>
      <c r="F7" s="261">
        <v>7805.3600602616107</v>
      </c>
      <c r="G7" s="261">
        <v>3753.6619879303535</v>
      </c>
      <c r="H7" s="261">
        <v>4051.6980723312199</v>
      </c>
    </row>
    <row r="8" spans="1:8">
      <c r="A8" s="273" t="s">
        <v>5</v>
      </c>
      <c r="B8" s="261">
        <v>30000.587995970822</v>
      </c>
      <c r="C8" s="261">
        <v>15090.964475679661</v>
      </c>
      <c r="D8" s="261">
        <v>14909.623520289653</v>
      </c>
      <c r="E8" s="261"/>
      <c r="F8" s="261">
        <v>20994.918019329463</v>
      </c>
      <c r="G8" s="261">
        <v>10547.299290396453</v>
      </c>
      <c r="H8" s="261">
        <v>10447.618728931639</v>
      </c>
    </row>
    <row r="9" spans="1:8" s="72" customFormat="1">
      <c r="A9" s="246" t="s">
        <v>448</v>
      </c>
      <c r="B9" s="559"/>
      <c r="C9" s="559"/>
      <c r="D9" s="559"/>
      <c r="E9" s="559"/>
      <c r="F9" s="559"/>
      <c r="G9" s="559"/>
      <c r="H9" s="559"/>
    </row>
    <row r="10" spans="1:8">
      <c r="A10" s="274" t="s">
        <v>486</v>
      </c>
      <c r="B10" s="263">
        <v>9073.958551821288</v>
      </c>
      <c r="C10" s="263">
        <v>4517.2680907338536</v>
      </c>
      <c r="D10" s="263">
        <v>4556.690461087227</v>
      </c>
      <c r="E10" s="263"/>
      <c r="F10" s="263">
        <v>4505.16706110007</v>
      </c>
      <c r="G10" s="263">
        <v>2271.097809704399</v>
      </c>
      <c r="H10" s="263">
        <v>2234.0692513956278</v>
      </c>
    </row>
    <row r="11" spans="1:8" s="72" customFormat="1">
      <c r="A11" s="275" t="s">
        <v>486</v>
      </c>
      <c r="B11" s="261">
        <v>9073.958551821288</v>
      </c>
      <c r="C11" s="261">
        <v>4517.2680907338536</v>
      </c>
      <c r="D11" s="261">
        <v>4556.690461087227</v>
      </c>
      <c r="E11" s="261"/>
      <c r="F11" s="261">
        <v>4505.16706110007</v>
      </c>
      <c r="G11" s="261">
        <v>2271.097809704399</v>
      </c>
      <c r="H11" s="261">
        <v>2234.0692513956278</v>
      </c>
    </row>
    <row r="12" spans="1:8">
      <c r="A12" s="274" t="s">
        <v>487</v>
      </c>
      <c r="B12" s="263">
        <v>17632.884315830222</v>
      </c>
      <c r="C12" s="263">
        <v>8957.7439754548595</v>
      </c>
      <c r="D12" s="263">
        <v>8675.1403403738022</v>
      </c>
      <c r="E12" s="263"/>
      <c r="F12" s="263">
        <v>8750.4305969840607</v>
      </c>
      <c r="G12" s="263">
        <v>4198.635441749856</v>
      </c>
      <c r="H12" s="263">
        <v>4551.7951552340701</v>
      </c>
    </row>
    <row r="13" spans="1:8">
      <c r="A13" s="275" t="s">
        <v>487</v>
      </c>
      <c r="B13" s="261">
        <v>14772.022537874271</v>
      </c>
      <c r="C13" s="261">
        <v>7399.9862962061934</v>
      </c>
      <c r="D13" s="261">
        <v>7372.0362416668304</v>
      </c>
      <c r="E13" s="261"/>
      <c r="F13" s="261">
        <v>6911.5845935277639</v>
      </c>
      <c r="G13" s="261">
        <v>3207.2457047152166</v>
      </c>
      <c r="H13" s="261">
        <v>3704.3388888124955</v>
      </c>
    </row>
    <row r="14" spans="1:8" s="72" customFormat="1">
      <c r="A14" s="275" t="s">
        <v>488</v>
      </c>
      <c r="B14" s="261">
        <v>2860.8617779553956</v>
      </c>
      <c r="C14" s="261">
        <v>1557.757679248497</v>
      </c>
      <c r="D14" s="261">
        <v>1303.1040987068536</v>
      </c>
      <c r="E14" s="261"/>
      <c r="F14" s="261">
        <v>1838.8460034561706</v>
      </c>
      <c r="G14" s="261">
        <v>991.3897370345918</v>
      </c>
      <c r="H14" s="261">
        <v>847.45626642154207</v>
      </c>
    </row>
    <row r="15" spans="1:8">
      <c r="A15" s="274" t="s">
        <v>489</v>
      </c>
      <c r="B15" s="263">
        <v>1601.9033016325609</v>
      </c>
      <c r="C15" s="263">
        <v>807.58250165911363</v>
      </c>
      <c r="D15" s="263">
        <v>794.3207999734226</v>
      </c>
      <c r="E15" s="263"/>
      <c r="F15" s="263">
        <v>904.80448402105924</v>
      </c>
      <c r="G15" s="263">
        <v>473.98742482310456</v>
      </c>
      <c r="H15" s="263">
        <v>430.81705919795326</v>
      </c>
    </row>
    <row r="16" spans="1:8" s="72" customFormat="1">
      <c r="A16" s="275" t="s">
        <v>489</v>
      </c>
      <c r="B16" s="261">
        <v>1060.8685375030152</v>
      </c>
      <c r="C16" s="261">
        <v>541.03476412952318</v>
      </c>
      <c r="D16" s="261">
        <v>519.83377337348873</v>
      </c>
      <c r="E16" s="261"/>
      <c r="F16" s="261">
        <v>556.28462845043873</v>
      </c>
      <c r="G16" s="261">
        <v>296.21997558810097</v>
      </c>
      <c r="H16" s="261">
        <v>260.06465286233635</v>
      </c>
    </row>
    <row r="17" spans="1:8">
      <c r="A17" s="275" t="s">
        <v>490</v>
      </c>
      <c r="B17" s="261">
        <v>541.03476412952318</v>
      </c>
      <c r="C17" s="261">
        <v>266.54773752958931</v>
      </c>
      <c r="D17" s="261">
        <v>274.4870265999329</v>
      </c>
      <c r="E17" s="261"/>
      <c r="F17" s="261">
        <v>348.51985557061954</v>
      </c>
      <c r="G17" s="261">
        <v>177.76744923500277</v>
      </c>
      <c r="H17" s="261">
        <v>170.7524063356164</v>
      </c>
    </row>
    <row r="18" spans="1:8" s="72" customFormat="1">
      <c r="A18" s="274" t="s">
        <v>491</v>
      </c>
      <c r="B18" s="263">
        <v>7142.1490621540552</v>
      </c>
      <c r="C18" s="263">
        <v>3588.5947289137835</v>
      </c>
      <c r="D18" s="263">
        <v>3553.5543332402212</v>
      </c>
      <c r="E18" s="263"/>
      <c r="F18" s="263">
        <v>5339.3697217182516</v>
      </c>
      <c r="G18" s="263">
        <v>2676.235147878881</v>
      </c>
      <c r="H18" s="263">
        <v>2663.134573839322</v>
      </c>
    </row>
    <row r="19" spans="1:8">
      <c r="A19" s="275" t="s">
        <v>491</v>
      </c>
      <c r="B19" s="261">
        <v>7142.1490621540552</v>
      </c>
      <c r="C19" s="261">
        <v>3588.5947289137835</v>
      </c>
      <c r="D19" s="261">
        <v>3553.5543332402212</v>
      </c>
      <c r="E19" s="261"/>
      <c r="F19" s="261">
        <v>5339.3697217182516</v>
      </c>
      <c r="G19" s="261">
        <v>2676.235147878881</v>
      </c>
      <c r="H19" s="261">
        <v>2663.134573839322</v>
      </c>
    </row>
    <row r="20" spans="1:8" s="72" customFormat="1">
      <c r="A20" s="274" t="s">
        <v>499</v>
      </c>
      <c r="B20" s="263">
        <v>2933.0031998785139</v>
      </c>
      <c r="C20" s="263">
        <v>1455.6942319153795</v>
      </c>
      <c r="D20" s="263">
        <v>1477.3089679630743</v>
      </c>
      <c r="E20" s="263"/>
      <c r="F20" s="263">
        <v>2041.7478540120032</v>
      </c>
      <c r="G20" s="263">
        <v>1025.468237419776</v>
      </c>
      <c r="H20" s="263">
        <v>1016.2796165921712</v>
      </c>
    </row>
    <row r="21" spans="1:8">
      <c r="A21" s="275" t="s">
        <v>492</v>
      </c>
      <c r="B21" s="261">
        <v>2933.0031998785139</v>
      </c>
      <c r="C21" s="261">
        <v>1455.6942319153795</v>
      </c>
      <c r="D21" s="261">
        <v>1477.3089679630743</v>
      </c>
      <c r="E21" s="261"/>
      <c r="F21" s="261">
        <v>2041.7478540120032</v>
      </c>
      <c r="G21" s="261">
        <v>1025.468237419776</v>
      </c>
      <c r="H21" s="261">
        <v>1016.2796165921712</v>
      </c>
    </row>
    <row r="22" spans="1:8">
      <c r="A22" s="274" t="s">
        <v>493</v>
      </c>
      <c r="B22" s="263">
        <v>1817.8223321108471</v>
      </c>
      <c r="C22" s="263">
        <v>991.92169526672546</v>
      </c>
      <c r="D22" s="263">
        <v>825.90063684408494</v>
      </c>
      <c r="E22" s="263"/>
      <c r="F22" s="263">
        <v>1105.3473413556669</v>
      </c>
      <c r="G22" s="263">
        <v>603.23254258249085</v>
      </c>
      <c r="H22" s="263">
        <v>502.11479877316981</v>
      </c>
    </row>
    <row r="23" spans="1:8" s="72" customFormat="1">
      <c r="A23" s="275" t="s">
        <v>493</v>
      </c>
      <c r="B23" s="261">
        <v>1817.8223321108471</v>
      </c>
      <c r="C23" s="261">
        <v>991.92169526672546</v>
      </c>
      <c r="D23" s="261">
        <v>825.90063684408494</v>
      </c>
      <c r="E23" s="261"/>
      <c r="F23" s="261">
        <v>1105.3473413556669</v>
      </c>
      <c r="G23" s="261">
        <v>603.23254258249085</v>
      </c>
      <c r="H23" s="261">
        <v>502.11479877316981</v>
      </c>
    </row>
    <row r="24" spans="1:8">
      <c r="A24" s="274" t="s">
        <v>494</v>
      </c>
      <c r="B24" s="263">
        <v>2175.5389043913679</v>
      </c>
      <c r="C24" s="263">
        <v>1074.4043141870554</v>
      </c>
      <c r="D24" s="263">
        <v>1101.134590204269</v>
      </c>
      <c r="E24" s="263"/>
      <c r="F24" s="263">
        <v>1530.0816997074924</v>
      </c>
      <c r="G24" s="263">
        <v>746.13164996639159</v>
      </c>
      <c r="H24" s="263">
        <v>783.95004974107621</v>
      </c>
    </row>
    <row r="25" spans="1:8" s="72" customFormat="1">
      <c r="A25" s="275" t="s">
        <v>495</v>
      </c>
      <c r="B25" s="261">
        <v>1189.4420267369619</v>
      </c>
      <c r="C25" s="261">
        <v>612.66568517332576</v>
      </c>
      <c r="D25" s="261">
        <v>576.77634156362797</v>
      </c>
      <c r="E25" s="261"/>
      <c r="F25" s="261">
        <v>779.6109897669229</v>
      </c>
      <c r="G25" s="261">
        <v>397.58224116065253</v>
      </c>
      <c r="H25" s="261">
        <v>382.02874860626935</v>
      </c>
    </row>
    <row r="26" spans="1:8">
      <c r="A26" s="275" t="s">
        <v>496</v>
      </c>
      <c r="B26" s="261">
        <v>986.09687765436263</v>
      </c>
      <c r="C26" s="261">
        <v>461.73862901372604</v>
      </c>
      <c r="D26" s="261">
        <v>524.35824864063545</v>
      </c>
      <c r="E26" s="261"/>
      <c r="F26" s="261">
        <v>750.47070994054491</v>
      </c>
      <c r="G26" s="261">
        <v>348.54940880573798</v>
      </c>
      <c r="H26" s="261">
        <v>401.92130113480601</v>
      </c>
    </row>
    <row r="27" spans="1:8" s="72" customFormat="1">
      <c r="A27" s="274" t="s">
        <v>497</v>
      </c>
      <c r="B27" s="263">
        <v>4019.2773834067016</v>
      </c>
      <c r="C27" s="263">
        <v>1976.4226982247351</v>
      </c>
      <c r="D27" s="263">
        <v>2042.8546851819283</v>
      </c>
      <c r="E27" s="263"/>
      <c r="F27" s="263">
        <v>3844.6587688588193</v>
      </c>
      <c r="G27" s="263">
        <v>1893.1125887210824</v>
      </c>
      <c r="H27" s="263">
        <v>1951.5461801376971</v>
      </c>
    </row>
    <row r="28" spans="1:8">
      <c r="A28" s="275" t="s">
        <v>497</v>
      </c>
      <c r="B28" s="261">
        <v>4019.2773834067016</v>
      </c>
      <c r="C28" s="261">
        <v>1976.4226982247351</v>
      </c>
      <c r="D28" s="261">
        <v>2042.8546851819283</v>
      </c>
      <c r="E28" s="261"/>
      <c r="F28" s="261">
        <v>3844.6587688588193</v>
      </c>
      <c r="G28" s="261">
        <v>1893.1125887210824</v>
      </c>
      <c r="H28" s="261">
        <v>1951.5461801376971</v>
      </c>
    </row>
    <row r="29" spans="1:8">
      <c r="A29" s="274" t="s">
        <v>498</v>
      </c>
      <c r="B29" s="263">
        <v>1411.8413115884873</v>
      </c>
      <c r="C29" s="263">
        <v>722.83764510521291</v>
      </c>
      <c r="D29" s="263">
        <v>689.00366648325894</v>
      </c>
      <c r="E29" s="263"/>
      <c r="F29" s="263">
        <v>778.67055183140246</v>
      </c>
      <c r="G29" s="263">
        <v>413.06043548023371</v>
      </c>
      <c r="H29" s="263">
        <v>365.61011635116648</v>
      </c>
    </row>
    <row r="30" spans="1:8">
      <c r="A30" s="275" t="s">
        <v>498</v>
      </c>
      <c r="B30" s="261">
        <v>1411.8413115884873</v>
      </c>
      <c r="C30" s="261">
        <v>722.83764510521291</v>
      </c>
      <c r="D30" s="261">
        <v>689.00366648325894</v>
      </c>
      <c r="E30" s="261"/>
      <c r="F30" s="261">
        <v>778.67055183140246</v>
      </c>
      <c r="G30" s="261">
        <v>413.06043548023371</v>
      </c>
      <c r="H30" s="261">
        <v>365.61011635116648</v>
      </c>
    </row>
  </sheetData>
  <mergeCells count="4">
    <mergeCell ref="A2:A3"/>
    <mergeCell ref="B2:D2"/>
    <mergeCell ref="A1:H1"/>
    <mergeCell ref="F2:H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32"/>
  <sheetViews>
    <sheetView zoomScale="120" zoomScaleNormal="120" workbookViewId="0">
      <selection activeCell="R44" sqref="R44"/>
    </sheetView>
  </sheetViews>
  <sheetFormatPr defaultColWidth="9.140625" defaultRowHeight="12"/>
  <cols>
    <col min="1" max="1" width="20.5703125" style="69" customWidth="1"/>
    <col min="2" max="2" width="11.28515625" style="69" bestFit="1" customWidth="1"/>
    <col min="3" max="3" width="8.7109375" style="69" customWidth="1"/>
    <col min="4" max="5" width="11.28515625" style="69" bestFit="1" customWidth="1"/>
    <col min="6" max="6" width="3.42578125" style="75" customWidth="1"/>
    <col min="7" max="7" width="8.140625" style="75" customWidth="1"/>
    <col min="8" max="9" width="10.42578125" style="75" bestFit="1" customWidth="1"/>
    <col min="10" max="10" width="2.85546875" style="75" customWidth="1"/>
    <col min="11" max="11" width="8.42578125" style="75" customWidth="1"/>
    <col min="12" max="13" width="11.140625" style="75" bestFit="1" customWidth="1"/>
    <col min="14" max="14" width="10.28515625" style="69" bestFit="1" customWidth="1"/>
    <col min="15" max="16384" width="9.140625" style="69"/>
  </cols>
  <sheetData>
    <row r="1" spans="1:14" ht="14.25" customHeight="1">
      <c r="A1" s="795" t="s">
        <v>519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</row>
    <row r="2" spans="1:14" ht="14.25" customHeight="1">
      <c r="A2" s="487"/>
      <c r="B2" s="487"/>
      <c r="C2" s="487"/>
      <c r="D2" s="487"/>
      <c r="E2" s="487"/>
      <c r="F2" s="494"/>
      <c r="G2" s="494"/>
      <c r="H2" s="494"/>
      <c r="I2" s="494"/>
      <c r="J2" s="494"/>
      <c r="K2" s="494"/>
      <c r="L2" s="494"/>
      <c r="M2" s="494"/>
    </row>
    <row r="3" spans="1:14" ht="12" customHeight="1">
      <c r="A3" s="792" t="str">
        <f>'[1]Q 8.9'!$A$2</f>
        <v>Área de residência, município e comuna</v>
      </c>
      <c r="B3" s="789" t="s">
        <v>565</v>
      </c>
      <c r="C3" s="784" t="s">
        <v>560</v>
      </c>
      <c r="D3" s="784"/>
      <c r="E3" s="784"/>
      <c r="F3" s="784"/>
      <c r="G3" s="784"/>
      <c r="H3" s="784"/>
      <c r="I3" s="784"/>
      <c r="J3" s="784"/>
      <c r="K3" s="784"/>
      <c r="L3" s="784"/>
      <c r="M3" s="784"/>
    </row>
    <row r="4" spans="1:14">
      <c r="A4" s="793"/>
      <c r="B4" s="790"/>
      <c r="C4" s="791" t="s">
        <v>213</v>
      </c>
      <c r="D4" s="791"/>
      <c r="E4" s="791"/>
      <c r="F4" s="517"/>
      <c r="G4" s="791" t="s">
        <v>214</v>
      </c>
      <c r="H4" s="791"/>
      <c r="I4" s="791"/>
      <c r="J4" s="517"/>
      <c r="K4" s="791" t="s">
        <v>215</v>
      </c>
      <c r="L4" s="791"/>
      <c r="M4" s="791"/>
      <c r="N4" s="72"/>
    </row>
    <row r="5" spans="1:14" ht="17.25" customHeight="1">
      <c r="A5" s="794"/>
      <c r="B5" s="791"/>
      <c r="C5" s="516" t="s">
        <v>1</v>
      </c>
      <c r="D5" s="488" t="s">
        <v>2</v>
      </c>
      <c r="E5" s="488" t="s">
        <v>3</v>
      </c>
      <c r="F5" s="495"/>
      <c r="G5" s="516" t="s">
        <v>1</v>
      </c>
      <c r="H5" s="495" t="s">
        <v>2</v>
      </c>
      <c r="I5" s="495" t="s">
        <v>3</v>
      </c>
      <c r="J5" s="495"/>
      <c r="K5" s="516" t="s">
        <v>1</v>
      </c>
      <c r="L5" s="495" t="s">
        <v>2</v>
      </c>
      <c r="M5" s="495" t="s">
        <v>3</v>
      </c>
    </row>
    <row r="6" spans="1:14">
      <c r="A6" s="276" t="s">
        <v>500</v>
      </c>
      <c r="B6" s="539">
        <v>47808.378362788353</v>
      </c>
      <c r="C6" s="539">
        <v>19008.10028322534</v>
      </c>
      <c r="D6" s="539">
        <v>9791.50860313464</v>
      </c>
      <c r="E6" s="539">
        <v>9216.5916800891337</v>
      </c>
      <c r="F6" s="539"/>
      <c r="G6" s="539">
        <v>3647.1246809182066</v>
      </c>
      <c r="H6" s="539">
        <v>1761.2101150952628</v>
      </c>
      <c r="I6" s="539">
        <v>1885.9145658229268</v>
      </c>
      <c r="J6" s="539"/>
      <c r="K6" s="539">
        <v>25153.153398673385</v>
      </c>
      <c r="L6" s="539">
        <v>12539.7511632318</v>
      </c>
      <c r="M6" s="539">
        <v>12613.402235440315</v>
      </c>
      <c r="N6" s="72"/>
    </row>
    <row r="7" spans="1:14">
      <c r="A7" s="277"/>
      <c r="B7" s="448"/>
      <c r="C7" s="448"/>
      <c r="D7" s="448"/>
      <c r="E7" s="448"/>
      <c r="F7" s="448"/>
      <c r="G7" s="448"/>
      <c r="H7" s="448"/>
      <c r="I7" s="448"/>
      <c r="J7" s="448"/>
      <c r="K7" s="448"/>
      <c r="L7" s="448"/>
      <c r="M7" s="448"/>
    </row>
    <row r="8" spans="1:14">
      <c r="A8" s="255" t="s">
        <v>111</v>
      </c>
      <c r="B8" s="539"/>
      <c r="C8" s="539"/>
      <c r="D8" s="539"/>
      <c r="E8" s="539"/>
      <c r="F8" s="539"/>
      <c r="G8" s="539"/>
      <c r="H8" s="539"/>
      <c r="I8" s="539"/>
      <c r="J8" s="539"/>
      <c r="K8" s="539"/>
      <c r="L8" s="539"/>
      <c r="M8" s="539"/>
      <c r="N8" s="72"/>
    </row>
    <row r="9" spans="1:14">
      <c r="A9" s="414" t="s">
        <v>4</v>
      </c>
      <c r="B9" s="449">
        <v>17807.790366847035</v>
      </c>
      <c r="C9" s="449">
        <v>10002.430306583934</v>
      </c>
      <c r="D9" s="449">
        <v>5247.8434178518564</v>
      </c>
      <c r="E9" s="449">
        <v>4754.5868887317156</v>
      </c>
      <c r="F9" s="449"/>
      <c r="G9" s="449">
        <v>1600.6511395812772</v>
      </c>
      <c r="H9" s="449">
        <v>743.43947527659464</v>
      </c>
      <c r="I9" s="449">
        <v>857.21166430467213</v>
      </c>
      <c r="J9" s="449"/>
      <c r="K9" s="449">
        <v>6204.7089206803157</v>
      </c>
      <c r="L9" s="449">
        <v>3010.2225126537364</v>
      </c>
      <c r="M9" s="449">
        <v>3194.4864080265374</v>
      </c>
    </row>
    <row r="10" spans="1:14">
      <c r="A10" s="414" t="s">
        <v>5</v>
      </c>
      <c r="B10" s="449">
        <v>30000.587995970822</v>
      </c>
      <c r="C10" s="449">
        <v>9005.6699766398506</v>
      </c>
      <c r="D10" s="449">
        <v>4543.6651852824752</v>
      </c>
      <c r="E10" s="449">
        <v>4462.0047913572116</v>
      </c>
      <c r="F10" s="449"/>
      <c r="G10" s="449">
        <v>2046.4735413369215</v>
      </c>
      <c r="H10" s="449">
        <v>1017.7706398186539</v>
      </c>
      <c r="I10" s="449">
        <v>1028.7029015182525</v>
      </c>
      <c r="J10" s="449"/>
      <c r="K10" s="449">
        <v>18948.444477992096</v>
      </c>
      <c r="L10" s="449">
        <v>9529.5286505775894</v>
      </c>
      <c r="M10" s="449">
        <v>9418.9158274131496</v>
      </c>
      <c r="N10" s="72"/>
    </row>
    <row r="11" spans="1:14" s="72" customFormat="1">
      <c r="A11" s="246" t="s">
        <v>448</v>
      </c>
      <c r="B11" s="539"/>
      <c r="C11" s="539"/>
      <c r="D11" s="539"/>
      <c r="E11" s="539"/>
      <c r="F11" s="539"/>
      <c r="G11" s="539"/>
      <c r="H11" s="539"/>
      <c r="I11" s="539"/>
      <c r="J11" s="539"/>
      <c r="K11" s="539"/>
      <c r="L11" s="539"/>
      <c r="M11" s="539"/>
      <c r="N11" s="69"/>
    </row>
    <row r="12" spans="1:14">
      <c r="A12" s="277" t="s">
        <v>486</v>
      </c>
      <c r="B12" s="448">
        <v>9073.958551821288</v>
      </c>
      <c r="C12" s="448">
        <v>4568.7914907210088</v>
      </c>
      <c r="D12" s="448">
        <v>2246.1702810294087</v>
      </c>
      <c r="E12" s="448">
        <v>2322.6212096915583</v>
      </c>
      <c r="F12" s="448"/>
      <c r="G12" s="448">
        <v>922.41860715145867</v>
      </c>
      <c r="H12" s="448">
        <v>434.46829888209822</v>
      </c>
      <c r="I12" s="448">
        <v>487.95030826935806</v>
      </c>
      <c r="J12" s="448"/>
      <c r="K12" s="448">
        <v>3582.7484539485904</v>
      </c>
      <c r="L12" s="448">
        <v>1836.6295108222841</v>
      </c>
      <c r="M12" s="448">
        <v>1746.1189431262508</v>
      </c>
      <c r="N12" s="72"/>
    </row>
    <row r="13" spans="1:14" s="72" customFormat="1">
      <c r="A13" s="278" t="s">
        <v>486</v>
      </c>
      <c r="B13" s="449">
        <v>9073.958551821288</v>
      </c>
      <c r="C13" s="449">
        <v>4568.7914907210088</v>
      </c>
      <c r="D13" s="449">
        <v>2246.1702810294087</v>
      </c>
      <c r="E13" s="449">
        <v>2322.6212096915583</v>
      </c>
      <c r="F13" s="449"/>
      <c r="G13" s="449">
        <v>922.41860715145867</v>
      </c>
      <c r="H13" s="449">
        <v>434.46829888209822</v>
      </c>
      <c r="I13" s="449">
        <v>487.95030826935806</v>
      </c>
      <c r="J13" s="449"/>
      <c r="K13" s="449">
        <v>3582.7484539485904</v>
      </c>
      <c r="L13" s="449">
        <v>1836.6295108222841</v>
      </c>
      <c r="M13" s="449">
        <v>1746.1189431262508</v>
      </c>
      <c r="N13" s="69"/>
    </row>
    <row r="14" spans="1:14">
      <c r="A14" s="277" t="s">
        <v>487</v>
      </c>
      <c r="B14" s="448">
        <v>17632.884315830222</v>
      </c>
      <c r="C14" s="448">
        <v>8882.4537188445975</v>
      </c>
      <c r="D14" s="448">
        <v>4759.1085337048307</v>
      </c>
      <c r="E14" s="448">
        <v>4123.3451851396076</v>
      </c>
      <c r="F14" s="448"/>
      <c r="G14" s="448">
        <v>1436.6182437938528</v>
      </c>
      <c r="H14" s="448">
        <v>658.90958725080554</v>
      </c>
      <c r="I14" s="448">
        <v>777.70865654304498</v>
      </c>
      <c r="J14" s="448"/>
      <c r="K14" s="448">
        <v>7313.812353190101</v>
      </c>
      <c r="L14" s="448">
        <v>3539.7258544990368</v>
      </c>
      <c r="M14" s="448">
        <v>3774.0864986910196</v>
      </c>
      <c r="N14" s="72"/>
    </row>
    <row r="15" spans="1:14">
      <c r="A15" s="278" t="s">
        <v>487</v>
      </c>
      <c r="B15" s="449">
        <v>14772.022537874271</v>
      </c>
      <c r="C15" s="449">
        <v>7860.4379443452599</v>
      </c>
      <c r="D15" s="449">
        <v>4192.7405914909259</v>
      </c>
      <c r="E15" s="449">
        <v>3667.6973528542917</v>
      </c>
      <c r="F15" s="449"/>
      <c r="G15" s="449">
        <v>1137.0130076376729</v>
      </c>
      <c r="H15" s="449">
        <v>505.1373246375436</v>
      </c>
      <c r="I15" s="449">
        <v>631.87568300012651</v>
      </c>
      <c r="J15" s="449"/>
      <c r="K15" s="449">
        <v>5774.5715858900767</v>
      </c>
      <c r="L15" s="449">
        <v>2702.108380077661</v>
      </c>
      <c r="M15" s="449">
        <v>3072.4632058123634</v>
      </c>
    </row>
    <row r="16" spans="1:14" s="72" customFormat="1">
      <c r="A16" s="278" t="s">
        <v>488</v>
      </c>
      <c r="B16" s="449">
        <v>2860.8617779553956</v>
      </c>
      <c r="C16" s="449">
        <v>1022.015774499179</v>
      </c>
      <c r="D16" s="449">
        <v>566.36794221388163</v>
      </c>
      <c r="E16" s="449">
        <v>455.64783228529649</v>
      </c>
      <c r="F16" s="449"/>
      <c r="G16" s="449">
        <v>299.60523615617899</v>
      </c>
      <c r="H16" s="449">
        <v>153.77226261326112</v>
      </c>
      <c r="I16" s="449">
        <v>145.83297354291759</v>
      </c>
      <c r="J16" s="449"/>
      <c r="K16" s="449">
        <v>1539.2407672999809</v>
      </c>
      <c r="L16" s="449">
        <v>837.61747442133003</v>
      </c>
      <c r="M16" s="449">
        <v>701.6232928786236</v>
      </c>
      <c r="N16" s="69"/>
    </row>
    <row r="17" spans="1:14">
      <c r="A17" s="277" t="s">
        <v>489</v>
      </c>
      <c r="B17" s="448">
        <v>1601.9033016325609</v>
      </c>
      <c r="C17" s="448">
        <v>697.09881761147699</v>
      </c>
      <c r="D17" s="448">
        <v>333.59507683600799</v>
      </c>
      <c r="E17" s="448">
        <v>363.50374077546797</v>
      </c>
      <c r="F17" s="448"/>
      <c r="G17" s="448">
        <v>108.1623399438255</v>
      </c>
      <c r="H17" s="448">
        <v>55.389608199410837</v>
      </c>
      <c r="I17" s="448">
        <v>52.772731744414862</v>
      </c>
      <c r="J17" s="448"/>
      <c r="K17" s="448">
        <v>796.64214407723307</v>
      </c>
      <c r="L17" s="448">
        <v>418.59781662369357</v>
      </c>
      <c r="M17" s="448">
        <v>378.04432745353836</v>
      </c>
    </row>
    <row r="18" spans="1:14" s="72" customFormat="1">
      <c r="A18" s="278" t="s">
        <v>489</v>
      </c>
      <c r="B18" s="449">
        <v>1060.8685375030152</v>
      </c>
      <c r="C18" s="449">
        <v>504.58390905257318</v>
      </c>
      <c r="D18" s="449">
        <v>244.81478854142117</v>
      </c>
      <c r="E18" s="449">
        <v>259.76912051115102</v>
      </c>
      <c r="F18" s="449"/>
      <c r="G18" s="449">
        <v>74.387467792108836</v>
      </c>
      <c r="H18" s="449">
        <v>36.450855076949843</v>
      </c>
      <c r="I18" s="449">
        <v>37.936612715159015</v>
      </c>
      <c r="J18" s="449"/>
      <c r="K18" s="449">
        <v>481.89716065832954</v>
      </c>
      <c r="L18" s="449">
        <v>259.76912051115107</v>
      </c>
      <c r="M18" s="449">
        <v>222.12804014717744</v>
      </c>
      <c r="N18" s="69"/>
    </row>
    <row r="19" spans="1:14">
      <c r="A19" s="278" t="s">
        <v>490</v>
      </c>
      <c r="B19" s="449">
        <v>541.03476412952318</v>
      </c>
      <c r="C19" s="449">
        <v>192.51490855890299</v>
      </c>
      <c r="D19" s="449">
        <v>88.780288294586683</v>
      </c>
      <c r="E19" s="449">
        <v>103.73462026431658</v>
      </c>
      <c r="F19" s="449"/>
      <c r="G19" s="449">
        <v>33.774872151716799</v>
      </c>
      <c r="H19" s="449">
        <v>18.938753122460977</v>
      </c>
      <c r="I19" s="449">
        <v>14.836119029255833</v>
      </c>
      <c r="J19" s="449"/>
      <c r="K19" s="449">
        <v>314.74498341890273</v>
      </c>
      <c r="L19" s="449">
        <v>158.82869611254188</v>
      </c>
      <c r="M19" s="449">
        <v>155.91628730636063</v>
      </c>
    </row>
    <row r="20" spans="1:14" s="72" customFormat="1">
      <c r="A20" s="277" t="s">
        <v>491</v>
      </c>
      <c r="B20" s="448">
        <v>7142.1490621540552</v>
      </c>
      <c r="C20" s="448">
        <v>1802.7793404357542</v>
      </c>
      <c r="D20" s="448">
        <v>912.35958103486166</v>
      </c>
      <c r="E20" s="448">
        <v>890.41975940086365</v>
      </c>
      <c r="F20" s="448"/>
      <c r="G20" s="448">
        <v>484.80147358222871</v>
      </c>
      <c r="H20" s="448">
        <v>253.61112143020196</v>
      </c>
      <c r="I20" s="448">
        <v>231.19035215202501</v>
      </c>
      <c r="J20" s="448"/>
      <c r="K20" s="448">
        <v>4854.5682481360127</v>
      </c>
      <c r="L20" s="448">
        <v>2422.6240264486692</v>
      </c>
      <c r="M20" s="448">
        <v>2431.9442216872903</v>
      </c>
      <c r="N20" s="69"/>
    </row>
    <row r="21" spans="1:14">
      <c r="A21" s="278" t="s">
        <v>491</v>
      </c>
      <c r="B21" s="449">
        <v>7142.1490621540552</v>
      </c>
      <c r="C21" s="449">
        <v>1802.7793404357542</v>
      </c>
      <c r="D21" s="449">
        <v>912.35958103486166</v>
      </c>
      <c r="E21" s="449">
        <v>890.41975940086365</v>
      </c>
      <c r="F21" s="449"/>
      <c r="G21" s="449">
        <v>484.80147358222871</v>
      </c>
      <c r="H21" s="449">
        <v>253.61112143020196</v>
      </c>
      <c r="I21" s="449">
        <v>231.19035215202501</v>
      </c>
      <c r="J21" s="449"/>
      <c r="K21" s="449">
        <v>4854.5682481360127</v>
      </c>
      <c r="L21" s="449">
        <v>2422.6240264486692</v>
      </c>
      <c r="M21" s="449">
        <v>2431.9442216872903</v>
      </c>
    </row>
    <row r="22" spans="1:14" s="72" customFormat="1">
      <c r="A22" s="277" t="s">
        <v>499</v>
      </c>
      <c r="B22" s="448">
        <v>2933.0031998785139</v>
      </c>
      <c r="C22" s="448">
        <v>891.25534586646472</v>
      </c>
      <c r="D22" s="448">
        <v>430.22599449558288</v>
      </c>
      <c r="E22" s="448">
        <v>461.02935137088122</v>
      </c>
      <c r="F22" s="448"/>
      <c r="G22" s="448">
        <v>184.93025830998181</v>
      </c>
      <c r="H22" s="448">
        <v>76.767918366156579</v>
      </c>
      <c r="I22" s="448">
        <v>108.1623399438255</v>
      </c>
      <c r="J22" s="448"/>
      <c r="K22" s="448">
        <v>1856.8175957020146</v>
      </c>
      <c r="L22" s="448">
        <v>948.70031905361918</v>
      </c>
      <c r="M22" s="448">
        <v>908.11727664834507</v>
      </c>
      <c r="N22" s="69"/>
    </row>
    <row r="23" spans="1:14">
      <c r="A23" s="278" t="s">
        <v>492</v>
      </c>
      <c r="B23" s="449">
        <v>2933.0031998785139</v>
      </c>
      <c r="C23" s="449">
        <v>891.25534586646472</v>
      </c>
      <c r="D23" s="449">
        <v>430.22599449558288</v>
      </c>
      <c r="E23" s="449">
        <v>461.02935137088122</v>
      </c>
      <c r="F23" s="449"/>
      <c r="G23" s="449">
        <v>184.93025830998181</v>
      </c>
      <c r="H23" s="449">
        <v>76.767918366156579</v>
      </c>
      <c r="I23" s="449">
        <v>108.1623399438255</v>
      </c>
      <c r="J23" s="449"/>
      <c r="K23" s="449">
        <v>1856.8175957020146</v>
      </c>
      <c r="L23" s="449">
        <v>948.70031905361918</v>
      </c>
      <c r="M23" s="449">
        <v>908.11727664834507</v>
      </c>
    </row>
    <row r="24" spans="1:14">
      <c r="A24" s="277" t="s">
        <v>493</v>
      </c>
      <c r="B24" s="448">
        <v>1817.8223321108471</v>
      </c>
      <c r="C24" s="448">
        <v>712.4749907551485</v>
      </c>
      <c r="D24" s="448">
        <v>388.68915268423342</v>
      </c>
      <c r="E24" s="448">
        <v>323.78583807091428</v>
      </c>
      <c r="F24" s="448"/>
      <c r="G24" s="448">
        <v>87.708275948036928</v>
      </c>
      <c r="H24" s="448">
        <v>48.640544416091167</v>
      </c>
      <c r="I24" s="448">
        <v>39.067731531945832</v>
      </c>
      <c r="J24" s="448"/>
      <c r="K24" s="448">
        <v>1017.6390654076246</v>
      </c>
      <c r="L24" s="448">
        <v>554.59199816639955</v>
      </c>
      <c r="M24" s="448">
        <v>463.04706724122394</v>
      </c>
    </row>
    <row r="25" spans="1:14" s="72" customFormat="1">
      <c r="A25" s="278" t="s">
        <v>493</v>
      </c>
      <c r="B25" s="449">
        <v>1817.8223321108471</v>
      </c>
      <c r="C25" s="449">
        <v>712.4749907551485</v>
      </c>
      <c r="D25" s="449">
        <v>388.68915268423342</v>
      </c>
      <c r="E25" s="449">
        <v>323.78583807091428</v>
      </c>
      <c r="F25" s="449"/>
      <c r="G25" s="449">
        <v>87.708275948036928</v>
      </c>
      <c r="H25" s="449">
        <v>48.640544416091167</v>
      </c>
      <c r="I25" s="449">
        <v>39.067731531945832</v>
      </c>
      <c r="J25" s="449"/>
      <c r="K25" s="449">
        <v>1017.6390654076246</v>
      </c>
      <c r="L25" s="449">
        <v>554.59199816639955</v>
      </c>
      <c r="M25" s="449">
        <v>463.04706724122394</v>
      </c>
      <c r="N25" s="69"/>
    </row>
    <row r="26" spans="1:14">
      <c r="A26" s="277" t="s">
        <v>494</v>
      </c>
      <c r="B26" s="448">
        <v>2175.5389043913679</v>
      </c>
      <c r="C26" s="448">
        <v>645.45720468384877</v>
      </c>
      <c r="D26" s="448">
        <v>328.27266422066049</v>
      </c>
      <c r="E26" s="448">
        <v>317.18454046318749</v>
      </c>
      <c r="F26" s="448"/>
      <c r="G26" s="448">
        <v>234.90879418868928</v>
      </c>
      <c r="H26" s="448">
        <v>114.70453108131544</v>
      </c>
      <c r="I26" s="448">
        <v>120.20426310737415</v>
      </c>
      <c r="J26" s="448"/>
      <c r="K26" s="448">
        <v>1295.1729055187914</v>
      </c>
      <c r="L26" s="448">
        <v>631.42711888507574</v>
      </c>
      <c r="M26" s="448">
        <v>663.74578663370175</v>
      </c>
    </row>
    <row r="27" spans="1:14" s="72" customFormat="1">
      <c r="A27" s="278" t="s">
        <v>495</v>
      </c>
      <c r="B27" s="449">
        <v>1189.4420267369619</v>
      </c>
      <c r="C27" s="449">
        <v>409.83103697003094</v>
      </c>
      <c r="D27" s="449">
        <v>215.08344401267254</v>
      </c>
      <c r="E27" s="449">
        <v>194.74759295735808</v>
      </c>
      <c r="F27" s="449"/>
      <c r="G27" s="449">
        <v>114.73408431643398</v>
      </c>
      <c r="H27" s="449">
        <v>61.961352572019337</v>
      </c>
      <c r="I27" s="449">
        <v>52.77273174441487</v>
      </c>
      <c r="J27" s="449"/>
      <c r="K27" s="449">
        <v>664.87690545048838</v>
      </c>
      <c r="L27" s="449">
        <v>335.62088858863331</v>
      </c>
      <c r="M27" s="449">
        <v>329.25601686185456</v>
      </c>
      <c r="N27" s="69"/>
    </row>
    <row r="28" spans="1:14">
      <c r="A28" s="278" t="s">
        <v>496</v>
      </c>
      <c r="B28" s="449">
        <v>986.09687765436263</v>
      </c>
      <c r="C28" s="449">
        <v>235.6261677138167</v>
      </c>
      <c r="D28" s="449">
        <v>113.18922020798776</v>
      </c>
      <c r="E28" s="449">
        <v>122.43694750582924</v>
      </c>
      <c r="F28" s="449"/>
      <c r="G28" s="449">
        <v>120.17470987225562</v>
      </c>
      <c r="H28" s="449">
        <v>52.743178509296328</v>
      </c>
      <c r="I28" s="449">
        <v>67.431531362959518</v>
      </c>
      <c r="J28" s="449"/>
      <c r="K28" s="449">
        <v>630.29600006828889</v>
      </c>
      <c r="L28" s="449">
        <v>295.80623029644147</v>
      </c>
      <c r="M28" s="449">
        <v>334.48976977184634</v>
      </c>
    </row>
    <row r="29" spans="1:14" s="72" customFormat="1">
      <c r="A29" s="277" t="s">
        <v>497</v>
      </c>
      <c r="B29" s="448">
        <v>4019.2773834067016</v>
      </c>
      <c r="C29" s="448">
        <v>174.61861454787331</v>
      </c>
      <c r="D29" s="448">
        <v>83.310109503646515</v>
      </c>
      <c r="E29" s="448">
        <v>91.308505044227061</v>
      </c>
      <c r="F29" s="448"/>
      <c r="G29" s="448">
        <v>44.537910322886034</v>
      </c>
      <c r="H29" s="448">
        <v>33.774872151716799</v>
      </c>
      <c r="I29" s="448">
        <v>10.763038171169214</v>
      </c>
      <c r="J29" s="448"/>
      <c r="K29" s="448">
        <v>3800.1208585359318</v>
      </c>
      <c r="L29" s="448">
        <v>1859.3377165693639</v>
      </c>
      <c r="M29" s="448">
        <v>1940.7831419665272</v>
      </c>
      <c r="N29" s="69"/>
    </row>
    <row r="30" spans="1:14">
      <c r="A30" s="278" t="s">
        <v>497</v>
      </c>
      <c r="B30" s="449">
        <v>4019.2773834067016</v>
      </c>
      <c r="C30" s="449">
        <v>174.61861454787331</v>
      </c>
      <c r="D30" s="449">
        <v>83.310109503646515</v>
      </c>
      <c r="E30" s="449">
        <v>91.308505044227061</v>
      </c>
      <c r="F30" s="449"/>
      <c r="G30" s="449">
        <v>44.537910322886034</v>
      </c>
      <c r="H30" s="449">
        <v>33.774872151716799</v>
      </c>
      <c r="I30" s="449">
        <v>10.763038171169214</v>
      </c>
      <c r="J30" s="449"/>
      <c r="K30" s="449">
        <v>3800.1208585359318</v>
      </c>
      <c r="L30" s="449">
        <v>1859.3377165693639</v>
      </c>
      <c r="M30" s="449">
        <v>1940.7831419665272</v>
      </c>
    </row>
    <row r="31" spans="1:14">
      <c r="A31" s="277" t="s">
        <v>498</v>
      </c>
      <c r="B31" s="448">
        <v>1411.8413115884873</v>
      </c>
      <c r="C31" s="448">
        <v>633.17075975706928</v>
      </c>
      <c r="D31" s="448">
        <v>309.77720962497722</v>
      </c>
      <c r="E31" s="448">
        <v>323.3935501320907</v>
      </c>
      <c r="F31" s="448"/>
      <c r="G31" s="448">
        <v>143.03877767721045</v>
      </c>
      <c r="H31" s="448">
        <v>84.943633317448317</v>
      </c>
      <c r="I31" s="448">
        <v>58.095144359762408</v>
      </c>
      <c r="J31" s="448"/>
      <c r="K31" s="448">
        <v>635.63177415419113</v>
      </c>
      <c r="L31" s="448">
        <v>328.11680216278501</v>
      </c>
      <c r="M31" s="448">
        <v>307.51497199140385</v>
      </c>
    </row>
    <row r="32" spans="1:14">
      <c r="A32" s="278" t="s">
        <v>498</v>
      </c>
      <c r="B32" s="449">
        <v>1411.8413115884873</v>
      </c>
      <c r="C32" s="449">
        <v>633.17075975706928</v>
      </c>
      <c r="D32" s="449">
        <v>309.77720962497722</v>
      </c>
      <c r="E32" s="449">
        <v>323.3935501320907</v>
      </c>
      <c r="F32" s="449"/>
      <c r="G32" s="449">
        <v>143.03877767721045</v>
      </c>
      <c r="H32" s="449">
        <v>84.943633317448317</v>
      </c>
      <c r="I32" s="449">
        <v>58.095144359762408</v>
      </c>
      <c r="J32" s="449"/>
      <c r="K32" s="449">
        <v>635.63177415419113</v>
      </c>
      <c r="L32" s="449">
        <v>328.11680216278501</v>
      </c>
      <c r="M32" s="449">
        <v>307.51497199140385</v>
      </c>
    </row>
  </sheetData>
  <mergeCells count="7">
    <mergeCell ref="B3:B5"/>
    <mergeCell ref="A3:A5"/>
    <mergeCell ref="A1:M1"/>
    <mergeCell ref="C3:M3"/>
    <mergeCell ref="C4:E4"/>
    <mergeCell ref="G4:I4"/>
    <mergeCell ref="K4:M4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31"/>
  <sheetViews>
    <sheetView zoomScale="120" zoomScaleNormal="120" workbookViewId="0">
      <selection activeCell="R12" sqref="R12"/>
    </sheetView>
  </sheetViews>
  <sheetFormatPr defaultColWidth="9.140625" defaultRowHeight="12"/>
  <cols>
    <col min="1" max="1" width="21.85546875" style="69" customWidth="1"/>
    <col min="2" max="5" width="11.28515625" style="69" bestFit="1" customWidth="1"/>
    <col min="6" max="6" width="2.85546875" style="69" customWidth="1"/>
    <col min="7" max="7" width="7.7109375" style="69" customWidth="1"/>
    <col min="8" max="9" width="10.42578125" style="69" bestFit="1" customWidth="1"/>
    <col min="10" max="10" width="2.5703125" style="69" customWidth="1"/>
    <col min="11" max="11" width="11" style="69" bestFit="1" customWidth="1"/>
    <col min="12" max="13" width="10.42578125" style="69" bestFit="1" customWidth="1"/>
    <col min="14" max="16384" width="9.140625" style="69"/>
  </cols>
  <sheetData>
    <row r="1" spans="1:13" ht="13.5" customHeight="1">
      <c r="A1" s="799" t="s">
        <v>520</v>
      </c>
      <c r="B1" s="799"/>
      <c r="C1" s="799"/>
      <c r="D1" s="799"/>
      <c r="E1" s="799"/>
      <c r="F1" s="799"/>
      <c r="G1" s="799"/>
      <c r="H1" s="799"/>
      <c r="I1" s="799"/>
      <c r="J1" s="799"/>
      <c r="K1" s="799"/>
      <c r="L1" s="799"/>
      <c r="M1" s="799"/>
    </row>
    <row r="2" spans="1:13" ht="12" customHeight="1">
      <c r="A2" s="792" t="str">
        <f>'[1]Q 8.9'!$A$2</f>
        <v>Área de residência, município e comuna</v>
      </c>
      <c r="B2" s="796" t="s">
        <v>454</v>
      </c>
      <c r="C2" s="784" t="s">
        <v>560</v>
      </c>
      <c r="D2" s="784"/>
      <c r="E2" s="784"/>
      <c r="F2" s="784"/>
      <c r="G2" s="784"/>
      <c r="H2" s="784"/>
      <c r="I2" s="784"/>
      <c r="J2" s="784"/>
      <c r="K2" s="784"/>
      <c r="L2" s="784"/>
      <c r="M2" s="784"/>
    </row>
    <row r="3" spans="1:13">
      <c r="A3" s="793"/>
      <c r="B3" s="797"/>
      <c r="C3" s="798" t="s">
        <v>213</v>
      </c>
      <c r="D3" s="798"/>
      <c r="E3" s="798"/>
      <c r="F3" s="518"/>
      <c r="G3" s="798" t="s">
        <v>214</v>
      </c>
      <c r="H3" s="798"/>
      <c r="I3" s="798"/>
      <c r="J3" s="518"/>
      <c r="K3" s="798" t="s">
        <v>215</v>
      </c>
      <c r="L3" s="798"/>
      <c r="M3" s="798"/>
    </row>
    <row r="4" spans="1:13">
      <c r="A4" s="794"/>
      <c r="B4" s="798"/>
      <c r="C4" s="489" t="s">
        <v>1</v>
      </c>
      <c r="D4" s="489" t="s">
        <v>2</v>
      </c>
      <c r="E4" s="489" t="s">
        <v>3</v>
      </c>
      <c r="F4" s="489"/>
      <c r="G4" s="489" t="s">
        <v>1</v>
      </c>
      <c r="H4" s="489" t="s">
        <v>2</v>
      </c>
      <c r="I4" s="489" t="s">
        <v>3</v>
      </c>
      <c r="J4" s="489"/>
      <c r="K4" s="489" t="s">
        <v>1</v>
      </c>
      <c r="L4" s="489" t="s">
        <v>2</v>
      </c>
      <c r="M4" s="489" t="s">
        <v>3</v>
      </c>
    </row>
    <row r="5" spans="1:13">
      <c r="A5" s="490" t="s">
        <v>500</v>
      </c>
      <c r="B5" s="539">
        <v>25566.340867678446</v>
      </c>
      <c r="C5" s="539">
        <v>9424.8118626714422</v>
      </c>
      <c r="D5" s="539">
        <v>4681.632127695495</v>
      </c>
      <c r="E5" s="539">
        <v>4743.1797349758599</v>
      </c>
      <c r="F5" s="539"/>
      <c r="G5" s="539">
        <v>1358.0613345557911</v>
      </c>
      <c r="H5" s="539">
        <v>722.51538981291822</v>
      </c>
      <c r="I5" s="539">
        <v>635.54594474284477</v>
      </c>
      <c r="J5" s="539"/>
      <c r="K5" s="539">
        <v>14783.467670451038</v>
      </c>
      <c r="L5" s="539">
        <v>7570.3556954847954</v>
      </c>
      <c r="M5" s="539">
        <v>7213.1119749661557</v>
      </c>
    </row>
    <row r="6" spans="1:13">
      <c r="A6" s="279"/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</row>
    <row r="7" spans="1:13">
      <c r="A7" s="280" t="s">
        <v>111</v>
      </c>
      <c r="B7" s="539"/>
      <c r="C7" s="539"/>
      <c r="D7" s="539"/>
      <c r="E7" s="539"/>
      <c r="F7" s="539"/>
      <c r="G7" s="539"/>
      <c r="H7" s="539"/>
      <c r="I7" s="539"/>
      <c r="J7" s="539"/>
      <c r="K7" s="539"/>
      <c r="L7" s="539"/>
      <c r="M7" s="539"/>
    </row>
    <row r="8" spans="1:13">
      <c r="A8" s="415" t="s">
        <v>4</v>
      </c>
      <c r="B8" s="449">
        <v>9174.6074591621327</v>
      </c>
      <c r="C8" s="449">
        <v>4803.3893507936082</v>
      </c>
      <c r="D8" s="449">
        <v>2435.1444619621766</v>
      </c>
      <c r="E8" s="449">
        <v>2368.2448888313452</v>
      </c>
      <c r="F8" s="449"/>
      <c r="G8" s="449">
        <v>590.05423501388327</v>
      </c>
      <c r="H8" s="449">
        <v>302.38607055133258</v>
      </c>
      <c r="I8" s="449">
        <v>287.66816446255092</v>
      </c>
      <c r="J8" s="449"/>
      <c r="K8" s="449">
        <v>3781.1638733545046</v>
      </c>
      <c r="L8" s="449">
        <v>1893.2579196024424</v>
      </c>
      <c r="M8" s="449">
        <v>1887.9059537519759</v>
      </c>
    </row>
    <row r="9" spans="1:13">
      <c r="A9" s="415" t="s">
        <v>5</v>
      </c>
      <c r="B9" s="449">
        <v>16391.733408516226</v>
      </c>
      <c r="C9" s="449">
        <v>4621.4225118777467</v>
      </c>
      <c r="D9" s="449">
        <v>2246.487665733232</v>
      </c>
      <c r="E9" s="449">
        <v>2374.9348461444283</v>
      </c>
      <c r="F9" s="449"/>
      <c r="G9" s="449">
        <v>768.00709954187971</v>
      </c>
      <c r="H9" s="449">
        <v>420.12931926158586</v>
      </c>
      <c r="I9" s="449">
        <v>347.87778028029408</v>
      </c>
      <c r="J9" s="449"/>
      <c r="K9" s="449">
        <v>11002.303797096447</v>
      </c>
      <c r="L9" s="449">
        <v>5677.0977758822664</v>
      </c>
      <c r="M9" s="449">
        <v>5325.2060212140932</v>
      </c>
    </row>
    <row r="10" spans="1:13">
      <c r="A10" s="246" t="s">
        <v>448</v>
      </c>
      <c r="B10" s="539"/>
      <c r="C10" s="539"/>
      <c r="D10" s="539"/>
      <c r="E10" s="539"/>
      <c r="F10" s="539"/>
      <c r="G10" s="539"/>
      <c r="H10" s="539"/>
      <c r="I10" s="539"/>
      <c r="J10" s="539"/>
      <c r="K10" s="539"/>
      <c r="L10" s="539"/>
      <c r="M10" s="539"/>
    </row>
    <row r="11" spans="1:13">
      <c r="A11" s="282" t="s">
        <v>486</v>
      </c>
      <c r="B11" s="448">
        <v>4921.1325995038715</v>
      </c>
      <c r="C11" s="448">
        <v>2325.4291620276131</v>
      </c>
      <c r="D11" s="448">
        <v>1143.9827005371305</v>
      </c>
      <c r="E11" s="448">
        <v>1181.4464614903961</v>
      </c>
      <c r="F11" s="448"/>
      <c r="G11" s="448">
        <v>357.24372051860968</v>
      </c>
      <c r="H11" s="448">
        <v>179.29085599061324</v>
      </c>
      <c r="I11" s="448">
        <v>177.95286452799672</v>
      </c>
      <c r="J11" s="448"/>
      <c r="K11" s="448">
        <v>2238.4597169575322</v>
      </c>
      <c r="L11" s="448">
        <v>1157.3626151632968</v>
      </c>
      <c r="M11" s="448">
        <v>1081.097101794149</v>
      </c>
    </row>
    <row r="12" spans="1:13">
      <c r="A12" s="281" t="s">
        <v>486</v>
      </c>
      <c r="B12" s="449">
        <v>4921.1325995038715</v>
      </c>
      <c r="C12" s="449">
        <v>2325.4291620276131</v>
      </c>
      <c r="D12" s="449">
        <v>1143.9827005371305</v>
      </c>
      <c r="E12" s="449">
        <v>1181.4464614903961</v>
      </c>
      <c r="F12" s="449"/>
      <c r="G12" s="449">
        <v>357.24372051860968</v>
      </c>
      <c r="H12" s="449">
        <v>179.29085599061324</v>
      </c>
      <c r="I12" s="449">
        <v>177.95286452799672</v>
      </c>
      <c r="J12" s="449"/>
      <c r="K12" s="449">
        <v>2238.4597169575322</v>
      </c>
      <c r="L12" s="449">
        <v>1157.3626151632968</v>
      </c>
      <c r="M12" s="449">
        <v>1081.097101794149</v>
      </c>
    </row>
    <row r="13" spans="1:13">
      <c r="A13" s="282" t="s">
        <v>487</v>
      </c>
      <c r="B13" s="448">
        <v>9099.6799372556015</v>
      </c>
      <c r="C13" s="448">
        <v>4222.7010560179915</v>
      </c>
      <c r="D13" s="448">
        <v>2156.8422377379179</v>
      </c>
      <c r="E13" s="448">
        <v>2065.8588182799872</v>
      </c>
      <c r="F13" s="448"/>
      <c r="G13" s="448">
        <v>480.33893507932902</v>
      </c>
      <c r="H13" s="448">
        <v>247.52842058405548</v>
      </c>
      <c r="I13" s="448">
        <v>232.81051449527382</v>
      </c>
      <c r="J13" s="448"/>
      <c r="K13" s="448">
        <v>4396.6399461581532</v>
      </c>
      <c r="L13" s="448">
        <v>2192.9680072285669</v>
      </c>
      <c r="M13" s="448">
        <v>2203.6719389294999</v>
      </c>
    </row>
    <row r="14" spans="1:13" ht="15.75" customHeight="1">
      <c r="A14" s="281" t="s">
        <v>487</v>
      </c>
      <c r="B14" s="449">
        <v>7534.2299259941465</v>
      </c>
      <c r="C14" s="449">
        <v>3699.5463941348903</v>
      </c>
      <c r="D14" s="449">
        <v>1874.5260391258096</v>
      </c>
      <c r="E14" s="449">
        <v>1825.0203550089943</v>
      </c>
      <c r="F14" s="449"/>
      <c r="G14" s="449">
        <v>375.97560099524088</v>
      </c>
      <c r="H14" s="449">
        <v>187.31880476631233</v>
      </c>
      <c r="I14" s="449">
        <v>188.65679622892884</v>
      </c>
      <c r="J14" s="449"/>
      <c r="K14" s="449">
        <v>3458.7079308638972</v>
      </c>
      <c r="L14" s="449">
        <v>1691.2212087473315</v>
      </c>
      <c r="M14" s="449">
        <v>1767.4867221164793</v>
      </c>
    </row>
    <row r="15" spans="1:13">
      <c r="A15" s="281" t="s">
        <v>488</v>
      </c>
      <c r="B15" s="449">
        <v>1565.4500112613684</v>
      </c>
      <c r="C15" s="449">
        <v>523.15466188305754</v>
      </c>
      <c r="D15" s="449">
        <v>282.31619861208486</v>
      </c>
      <c r="E15" s="449">
        <v>240.83846327097291</v>
      </c>
      <c r="F15" s="449"/>
      <c r="G15" s="449">
        <v>104.36333408408841</v>
      </c>
      <c r="H15" s="449">
        <v>60.209615817743412</v>
      </c>
      <c r="I15" s="449">
        <v>44.153718266345152</v>
      </c>
      <c r="J15" s="449"/>
      <c r="K15" s="449">
        <v>937.93201529417706</v>
      </c>
      <c r="L15" s="449">
        <v>501.74679848119325</v>
      </c>
      <c r="M15" s="449">
        <v>436.18521681298404</v>
      </c>
    </row>
    <row r="16" spans="1:13">
      <c r="A16" s="282" t="s">
        <v>489</v>
      </c>
      <c r="B16" s="448">
        <v>810.82282634560818</v>
      </c>
      <c r="C16" s="448">
        <v>341.1878229672115</v>
      </c>
      <c r="D16" s="448">
        <v>171.26290721491415</v>
      </c>
      <c r="E16" s="448">
        <v>169.92491575229764</v>
      </c>
      <c r="F16" s="448"/>
      <c r="G16" s="448">
        <v>38.801752415879065</v>
      </c>
      <c r="H16" s="448">
        <v>22.745854864480826</v>
      </c>
      <c r="I16" s="448">
        <v>16.055897551398235</v>
      </c>
      <c r="J16" s="448"/>
      <c r="K16" s="448">
        <v>430.83325096251798</v>
      </c>
      <c r="L16" s="448">
        <v>227.45854864480776</v>
      </c>
      <c r="M16" s="448">
        <v>203.3747023177105</v>
      </c>
    </row>
    <row r="17" spans="1:13">
      <c r="A17" s="281" t="s">
        <v>489</v>
      </c>
      <c r="B17" s="449">
        <v>523.15466188305754</v>
      </c>
      <c r="C17" s="449">
        <v>239.50047180835639</v>
      </c>
      <c r="D17" s="449">
        <v>123.09521456071961</v>
      </c>
      <c r="E17" s="449">
        <v>116.40525724763704</v>
      </c>
      <c r="F17" s="449"/>
      <c r="G17" s="449">
        <v>28.097820714946899</v>
      </c>
      <c r="H17" s="449">
        <v>16.055897551398235</v>
      </c>
      <c r="I17" s="449">
        <v>12.041923163548676</v>
      </c>
      <c r="J17" s="449"/>
      <c r="K17" s="449">
        <v>255.55636935975457</v>
      </c>
      <c r="L17" s="449">
        <v>140.48910357473432</v>
      </c>
      <c r="M17" s="449">
        <v>115.06726578502052</v>
      </c>
    </row>
    <row r="18" spans="1:13">
      <c r="A18" s="281" t="s">
        <v>490</v>
      </c>
      <c r="B18" s="449">
        <v>287.66816446255092</v>
      </c>
      <c r="C18" s="449">
        <v>101.68735115885538</v>
      </c>
      <c r="D18" s="449">
        <v>48.167692654194717</v>
      </c>
      <c r="E18" s="449">
        <v>53.519658504660804</v>
      </c>
      <c r="F18" s="449"/>
      <c r="G18" s="449">
        <v>10.703931700932156</v>
      </c>
      <c r="H18" s="449">
        <v>6.689957313082596</v>
      </c>
      <c r="I18" s="449">
        <v>4.013974387849558</v>
      </c>
      <c r="J18" s="449"/>
      <c r="K18" s="449">
        <v>175.27688160276369</v>
      </c>
      <c r="L18" s="449">
        <v>86.969445070073718</v>
      </c>
      <c r="M18" s="449">
        <v>88.307436532690232</v>
      </c>
    </row>
    <row r="19" spans="1:13">
      <c r="A19" s="282" t="s">
        <v>491</v>
      </c>
      <c r="B19" s="448">
        <v>4060.8040890413799</v>
      </c>
      <c r="C19" s="448">
        <v>952.64992138295872</v>
      </c>
      <c r="D19" s="448">
        <v>460.2690631400813</v>
      </c>
      <c r="E19" s="448">
        <v>492.38085824287765</v>
      </c>
      <c r="F19" s="448"/>
      <c r="G19" s="448">
        <v>194.0087620793949</v>
      </c>
      <c r="H19" s="448">
        <v>116.40525724763704</v>
      </c>
      <c r="I19" s="448">
        <v>77.603504831758116</v>
      </c>
      <c r="J19" s="448"/>
      <c r="K19" s="448">
        <v>2914.1454055789295</v>
      </c>
      <c r="L19" s="448">
        <v>1493.1984722800705</v>
      </c>
      <c r="M19" s="448">
        <v>1420.9469332987726</v>
      </c>
    </row>
    <row r="20" spans="1:13">
      <c r="A20" s="281" t="s">
        <v>491</v>
      </c>
      <c r="B20" s="449">
        <v>4060.8040890413799</v>
      </c>
      <c r="C20" s="449">
        <v>952.64992138295872</v>
      </c>
      <c r="D20" s="449">
        <v>460.2690631400813</v>
      </c>
      <c r="E20" s="449">
        <v>492.38085824287765</v>
      </c>
      <c r="F20" s="449"/>
      <c r="G20" s="449">
        <v>194.0087620793949</v>
      </c>
      <c r="H20" s="449">
        <v>116.40525724763704</v>
      </c>
      <c r="I20" s="449">
        <v>77.603504831758116</v>
      </c>
      <c r="J20" s="449"/>
      <c r="K20" s="449">
        <v>2914.1454055789295</v>
      </c>
      <c r="L20" s="449">
        <v>1493.1984722800705</v>
      </c>
      <c r="M20" s="449">
        <v>1420.9469332987726</v>
      </c>
    </row>
    <row r="21" spans="1:13">
      <c r="A21" s="282" t="s">
        <v>499</v>
      </c>
      <c r="B21" s="448">
        <v>1713.9670636118142</v>
      </c>
      <c r="C21" s="448">
        <v>491.04286678026114</v>
      </c>
      <c r="D21" s="448">
        <v>227.45854864480776</v>
      </c>
      <c r="E21" s="448">
        <v>263.58431813545366</v>
      </c>
      <c r="F21" s="448"/>
      <c r="G21" s="448">
        <v>72.251538981292057</v>
      </c>
      <c r="H21" s="448">
        <v>30.773803640179935</v>
      </c>
      <c r="I21" s="448">
        <v>41.477735341112108</v>
      </c>
      <c r="J21" s="448"/>
      <c r="K21" s="448">
        <v>1150.6726578502137</v>
      </c>
      <c r="L21" s="448">
        <v>587.37825208865024</v>
      </c>
      <c r="M21" s="448">
        <v>563.29440576155298</v>
      </c>
    </row>
    <row r="22" spans="1:13">
      <c r="A22" s="281" t="s">
        <v>492</v>
      </c>
      <c r="B22" s="449">
        <v>1713.9670636118142</v>
      </c>
      <c r="C22" s="449">
        <v>491.04286678026114</v>
      </c>
      <c r="D22" s="449">
        <v>227.45854864480776</v>
      </c>
      <c r="E22" s="449">
        <v>263.58431813545366</v>
      </c>
      <c r="F22" s="449"/>
      <c r="G22" s="449">
        <v>72.251538981292057</v>
      </c>
      <c r="H22" s="449">
        <v>30.773803640179935</v>
      </c>
      <c r="I22" s="449">
        <v>41.477735341112108</v>
      </c>
      <c r="J22" s="449"/>
      <c r="K22" s="449">
        <v>1150.6726578502137</v>
      </c>
      <c r="L22" s="449">
        <v>587.37825208865024</v>
      </c>
      <c r="M22" s="449">
        <v>563.29440576155298</v>
      </c>
    </row>
    <row r="23" spans="1:13">
      <c r="A23" s="282" t="s">
        <v>493</v>
      </c>
      <c r="B23" s="448">
        <v>972.71979332220644</v>
      </c>
      <c r="C23" s="448">
        <v>375.97560099524088</v>
      </c>
      <c r="D23" s="448">
        <v>184.6428218410793</v>
      </c>
      <c r="E23" s="448">
        <v>191.33277915416187</v>
      </c>
      <c r="F23" s="448"/>
      <c r="G23" s="448">
        <v>37.463760953262543</v>
      </c>
      <c r="H23" s="448">
        <v>21.407863401864308</v>
      </c>
      <c r="I23" s="448">
        <v>16.055897551398235</v>
      </c>
      <c r="J23" s="448"/>
      <c r="K23" s="448">
        <v>559.28043137370344</v>
      </c>
      <c r="L23" s="448">
        <v>310.41401932703167</v>
      </c>
      <c r="M23" s="448">
        <v>248.866412046672</v>
      </c>
    </row>
    <row r="24" spans="1:13" ht="15" customHeight="1">
      <c r="A24" s="281" t="s">
        <v>493</v>
      </c>
      <c r="B24" s="449">
        <v>972.71979332220644</v>
      </c>
      <c r="C24" s="449">
        <v>375.97560099524088</v>
      </c>
      <c r="D24" s="449">
        <v>184.6428218410793</v>
      </c>
      <c r="E24" s="449">
        <v>191.33277915416187</v>
      </c>
      <c r="F24" s="449"/>
      <c r="G24" s="449">
        <v>37.463760953262543</v>
      </c>
      <c r="H24" s="449">
        <v>21.407863401864308</v>
      </c>
      <c r="I24" s="449">
        <v>16.055897551398235</v>
      </c>
      <c r="J24" s="449"/>
      <c r="K24" s="449">
        <v>559.28043137370344</v>
      </c>
      <c r="L24" s="449">
        <v>310.41401932703167</v>
      </c>
      <c r="M24" s="449">
        <v>248.866412046672</v>
      </c>
    </row>
    <row r="25" spans="1:13">
      <c r="A25" s="282" t="s">
        <v>494</v>
      </c>
      <c r="B25" s="448">
        <v>1238.9800943829111</v>
      </c>
      <c r="C25" s="448">
        <v>337.17384857936196</v>
      </c>
      <c r="D25" s="448">
        <v>157.882992588749</v>
      </c>
      <c r="E25" s="448">
        <v>179.29085599061324</v>
      </c>
      <c r="F25" s="448"/>
      <c r="G25" s="448">
        <v>97.673376771005834</v>
      </c>
      <c r="H25" s="448">
        <v>49.505684116811238</v>
      </c>
      <c r="I25" s="448">
        <v>48.167692654194717</v>
      </c>
      <c r="J25" s="448"/>
      <c r="K25" s="448">
        <v>804.1328690325256</v>
      </c>
      <c r="L25" s="448">
        <v>405.4114131728042</v>
      </c>
      <c r="M25" s="448">
        <v>398.72145585972163</v>
      </c>
    </row>
    <row r="26" spans="1:13" s="72" customFormat="1">
      <c r="A26" s="281" t="s">
        <v>495</v>
      </c>
      <c r="B26" s="449">
        <v>697.09355202320444</v>
      </c>
      <c r="C26" s="449">
        <v>238.16248034573988</v>
      </c>
      <c r="D26" s="449">
        <v>116.40525724763704</v>
      </c>
      <c r="E26" s="449">
        <v>121.7572230981031</v>
      </c>
      <c r="F26" s="449"/>
      <c r="G26" s="449">
        <v>42.81572680372863</v>
      </c>
      <c r="H26" s="449">
        <v>26.75982925233038</v>
      </c>
      <c r="I26" s="449">
        <v>16.055897551398235</v>
      </c>
      <c r="J26" s="449"/>
      <c r="K26" s="449">
        <v>416.11534487373632</v>
      </c>
      <c r="L26" s="449">
        <v>222.1065827943417</v>
      </c>
      <c r="M26" s="449">
        <v>194.0087620793949</v>
      </c>
    </row>
    <row r="27" spans="1:13">
      <c r="A27" s="281" t="s">
        <v>496</v>
      </c>
      <c r="B27" s="449">
        <v>541.88654235968875</v>
      </c>
      <c r="C27" s="449">
        <v>99.011368233622349</v>
      </c>
      <c r="D27" s="449">
        <v>41.477735341112108</v>
      </c>
      <c r="E27" s="449">
        <v>57.533632892510369</v>
      </c>
      <c r="F27" s="449"/>
      <c r="G27" s="449">
        <v>54.857649967277325</v>
      </c>
      <c r="H27" s="449">
        <v>22.745854864480826</v>
      </c>
      <c r="I27" s="449">
        <v>32.111795102796457</v>
      </c>
      <c r="J27" s="449"/>
      <c r="K27" s="449">
        <v>388.01752415878951</v>
      </c>
      <c r="L27" s="449">
        <v>183.30483037846278</v>
      </c>
      <c r="M27" s="449">
        <v>204.71269378032702</v>
      </c>
    </row>
    <row r="28" spans="1:13">
      <c r="A28" s="282" t="s">
        <v>497</v>
      </c>
      <c r="B28" s="448">
        <v>2195.6439901538001</v>
      </c>
      <c r="C28" s="448">
        <v>105.70132554670492</v>
      </c>
      <c r="D28" s="448">
        <v>49.505684116811238</v>
      </c>
      <c r="E28" s="448">
        <v>56.195641429893847</v>
      </c>
      <c r="F28" s="448"/>
      <c r="G28" s="448">
        <v>24.083846327097344</v>
      </c>
      <c r="H28" s="448">
        <v>17.393889014014754</v>
      </c>
      <c r="I28" s="448">
        <v>6.689957313082596</v>
      </c>
      <c r="J28" s="448"/>
      <c r="K28" s="448">
        <v>2065.8588182799872</v>
      </c>
      <c r="L28" s="448">
        <v>1087.7870591072322</v>
      </c>
      <c r="M28" s="448">
        <v>978.0717591726725</v>
      </c>
    </row>
    <row r="29" spans="1:13">
      <c r="A29" s="281" t="s">
        <v>497</v>
      </c>
      <c r="B29" s="449">
        <v>2195.6439901538001</v>
      </c>
      <c r="C29" s="449">
        <v>105.70132554670492</v>
      </c>
      <c r="D29" s="449">
        <v>49.505684116811238</v>
      </c>
      <c r="E29" s="449">
        <v>56.195641429893847</v>
      </c>
      <c r="F29" s="449"/>
      <c r="G29" s="449">
        <v>24.083846327097344</v>
      </c>
      <c r="H29" s="449">
        <v>17.393889014014754</v>
      </c>
      <c r="I29" s="449">
        <v>6.689957313082596</v>
      </c>
      <c r="J29" s="449"/>
      <c r="K29" s="449">
        <v>2065.8588182799872</v>
      </c>
      <c r="L29" s="449">
        <v>1087.7870591072322</v>
      </c>
      <c r="M29" s="449">
        <v>978.0717591726725</v>
      </c>
    </row>
    <row r="30" spans="1:13">
      <c r="A30" s="282" t="s">
        <v>498</v>
      </c>
      <c r="B30" s="448">
        <v>552.59047406062086</v>
      </c>
      <c r="C30" s="448">
        <v>272.95025837376926</v>
      </c>
      <c r="D30" s="448">
        <v>129.7851718738022</v>
      </c>
      <c r="E30" s="448">
        <v>143.16508649996734</v>
      </c>
      <c r="F30" s="448"/>
      <c r="G30" s="448">
        <v>56.195641429893847</v>
      </c>
      <c r="H30" s="448">
        <v>37.463760953262543</v>
      </c>
      <c r="I30" s="448">
        <v>18.731880476631272</v>
      </c>
      <c r="J30" s="448"/>
      <c r="K30" s="448">
        <v>223.44457425695822</v>
      </c>
      <c r="L30" s="448">
        <v>108.37730847193795</v>
      </c>
      <c r="M30" s="448">
        <v>115.06726578502052</v>
      </c>
    </row>
    <row r="31" spans="1:13">
      <c r="A31" s="281" t="s">
        <v>498</v>
      </c>
      <c r="B31" s="449">
        <v>552.59047406062086</v>
      </c>
      <c r="C31" s="449">
        <v>272.95025837376926</v>
      </c>
      <c r="D31" s="449">
        <v>129.7851718738022</v>
      </c>
      <c r="E31" s="449">
        <v>143.16508649996734</v>
      </c>
      <c r="F31" s="449"/>
      <c r="G31" s="449">
        <v>56.195641429893847</v>
      </c>
      <c r="H31" s="449">
        <v>37.463760953262543</v>
      </c>
      <c r="I31" s="449">
        <v>18.731880476631272</v>
      </c>
      <c r="J31" s="449"/>
      <c r="K31" s="449">
        <v>223.44457425695822</v>
      </c>
      <c r="L31" s="449">
        <v>108.37730847193795</v>
      </c>
      <c r="M31" s="449">
        <v>115.06726578502052</v>
      </c>
    </row>
  </sheetData>
  <mergeCells count="7">
    <mergeCell ref="A2:A4"/>
    <mergeCell ref="B2:B4"/>
    <mergeCell ref="C3:E3"/>
    <mergeCell ref="A1:M1"/>
    <mergeCell ref="G3:I3"/>
    <mergeCell ref="K3:M3"/>
    <mergeCell ref="C2:M2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V56"/>
  <sheetViews>
    <sheetView zoomScale="120" zoomScaleNormal="120" workbookViewId="0">
      <selection activeCell="A2" sqref="A2:A4"/>
    </sheetView>
  </sheetViews>
  <sheetFormatPr defaultColWidth="9.140625" defaultRowHeight="12"/>
  <cols>
    <col min="1" max="1" width="16.5703125" style="69" customWidth="1"/>
    <col min="2" max="2" width="15.28515625" style="69" customWidth="1"/>
    <col min="3" max="3" width="8.42578125" style="75" customWidth="1"/>
    <col min="4" max="4" width="8.28515625" style="75" customWidth="1"/>
    <col min="5" max="5" width="7.7109375" style="75" customWidth="1"/>
    <col min="6" max="6" width="3.42578125" style="75" customWidth="1"/>
    <col min="7" max="9" width="11.140625" style="75" bestFit="1" customWidth="1"/>
    <col min="10" max="10" width="2.85546875" style="75" customWidth="1"/>
    <col min="11" max="11" width="5" style="75" bestFit="1" customWidth="1"/>
    <col min="12" max="12" width="7.42578125" style="75" bestFit="1" customWidth="1"/>
    <col min="13" max="13" width="8.42578125" style="75" bestFit="1" customWidth="1"/>
    <col min="14" max="14" width="3.5703125" style="75" customWidth="1"/>
    <col min="15" max="16" width="11.140625" style="75" bestFit="1" customWidth="1"/>
    <col min="17" max="17" width="10.28515625" style="75" bestFit="1" customWidth="1"/>
    <col min="18" max="18" width="3.140625" style="75" customWidth="1"/>
    <col min="19" max="21" width="10.28515625" style="75" bestFit="1" customWidth="1"/>
    <col min="22" max="16384" width="9.140625" style="69"/>
  </cols>
  <sheetData>
    <row r="1" spans="1:21" ht="11.25" customHeight="1">
      <c r="A1" s="801" t="s">
        <v>561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801"/>
    </row>
    <row r="2" spans="1:21" ht="12" customHeight="1">
      <c r="A2" s="792" t="str">
        <f>'[1]Q 8.9'!$A$2</f>
        <v>Área de residência, município e comuna</v>
      </c>
      <c r="B2" s="802" t="s">
        <v>436</v>
      </c>
      <c r="C2" s="804" t="s">
        <v>437</v>
      </c>
      <c r="D2" s="804"/>
      <c r="E2" s="804"/>
      <c r="F2" s="804"/>
      <c r="G2" s="804"/>
      <c r="H2" s="804"/>
      <c r="I2" s="804"/>
      <c r="J2" s="804"/>
      <c r="K2" s="804"/>
      <c r="L2" s="804"/>
      <c r="M2" s="804"/>
      <c r="N2" s="804"/>
      <c r="O2" s="804"/>
      <c r="P2" s="804"/>
      <c r="Q2" s="804"/>
      <c r="R2" s="804"/>
      <c r="S2" s="804"/>
      <c r="T2" s="804"/>
      <c r="U2" s="804"/>
    </row>
    <row r="3" spans="1:21" ht="12" customHeight="1">
      <c r="A3" s="793"/>
      <c r="B3" s="800"/>
      <c r="C3" s="800" t="s">
        <v>438</v>
      </c>
      <c r="D3" s="800"/>
      <c r="E3" s="800"/>
      <c r="F3" s="496"/>
      <c r="G3" s="800" t="s">
        <v>439</v>
      </c>
      <c r="H3" s="800"/>
      <c r="I3" s="800"/>
      <c r="J3" s="496"/>
      <c r="K3" s="800" t="s">
        <v>223</v>
      </c>
      <c r="L3" s="800"/>
      <c r="M3" s="800"/>
      <c r="N3" s="496"/>
      <c r="O3" s="800" t="s">
        <v>224</v>
      </c>
      <c r="P3" s="800"/>
      <c r="Q3" s="800"/>
      <c r="R3" s="496"/>
      <c r="S3" s="800" t="s">
        <v>440</v>
      </c>
      <c r="T3" s="800"/>
      <c r="U3" s="800"/>
    </row>
    <row r="4" spans="1:21" ht="14.25" customHeight="1">
      <c r="A4" s="794"/>
      <c r="B4" s="803"/>
      <c r="C4" s="498" t="s">
        <v>1</v>
      </c>
      <c r="D4" s="498" t="s">
        <v>2</v>
      </c>
      <c r="E4" s="498" t="s">
        <v>3</v>
      </c>
      <c r="F4" s="497"/>
      <c r="G4" s="498" t="s">
        <v>1</v>
      </c>
      <c r="H4" s="498" t="s">
        <v>2</v>
      </c>
      <c r="I4" s="498" t="s">
        <v>3</v>
      </c>
      <c r="J4" s="497"/>
      <c r="K4" s="498" t="s">
        <v>1</v>
      </c>
      <c r="L4" s="498" t="s">
        <v>2</v>
      </c>
      <c r="M4" s="498" t="s">
        <v>3</v>
      </c>
      <c r="N4" s="497"/>
      <c r="O4" s="498" t="s">
        <v>1</v>
      </c>
      <c r="P4" s="498" t="s">
        <v>2</v>
      </c>
      <c r="Q4" s="498" t="s">
        <v>3</v>
      </c>
      <c r="R4" s="497"/>
      <c r="S4" s="498" t="s">
        <v>1</v>
      </c>
      <c r="T4" s="498" t="s">
        <v>2</v>
      </c>
      <c r="U4" s="498" t="s">
        <v>3</v>
      </c>
    </row>
    <row r="5" spans="1:21">
      <c r="A5" s="491" t="s">
        <v>500</v>
      </c>
      <c r="B5" s="451">
        <v>30523.783923590985</v>
      </c>
      <c r="C5" s="451">
        <v>1732.8725766829975</v>
      </c>
      <c r="D5" s="451">
        <v>802.53505371356789</v>
      </c>
      <c r="E5" s="451">
        <v>930.33752296937428</v>
      </c>
      <c r="F5" s="451"/>
      <c r="G5" s="451">
        <v>16107.839573571457</v>
      </c>
      <c r="H5" s="451">
        <v>8202.5371679630844</v>
      </c>
      <c r="I5" s="451">
        <v>7905.3024056069671</v>
      </c>
      <c r="J5" s="451"/>
      <c r="K5" s="451">
        <v>9697.4809904851772</v>
      </c>
      <c r="L5" s="451">
        <v>5384.1650611475579</v>
      </c>
      <c r="M5" s="451">
        <v>4313.3159293371509</v>
      </c>
      <c r="N5" s="451"/>
      <c r="O5" s="451">
        <v>2710.6906784205889</v>
      </c>
      <c r="P5" s="451">
        <v>1733.2628835073112</v>
      </c>
      <c r="Q5" s="451">
        <v>977.42779491331612</v>
      </c>
      <c r="R5" s="451"/>
      <c r="S5" s="451">
        <v>274.90010443005986</v>
      </c>
      <c r="T5" s="451">
        <v>194.22650649406341</v>
      </c>
      <c r="U5" s="451">
        <v>80.673597935996852</v>
      </c>
    </row>
    <row r="6" spans="1:21">
      <c r="A6" s="283"/>
      <c r="B6" s="450"/>
      <c r="C6" s="450"/>
      <c r="D6" s="450"/>
      <c r="E6" s="450"/>
      <c r="F6" s="450"/>
      <c r="G6" s="450"/>
      <c r="H6" s="450"/>
      <c r="I6" s="450"/>
      <c r="J6" s="450"/>
      <c r="K6" s="450"/>
      <c r="L6" s="450"/>
      <c r="M6" s="450"/>
      <c r="N6" s="450"/>
      <c r="O6" s="450"/>
      <c r="P6" s="450"/>
      <c r="Q6" s="450"/>
      <c r="R6" s="450"/>
      <c r="S6" s="450"/>
      <c r="T6" s="450"/>
      <c r="U6" s="450"/>
    </row>
    <row r="7" spans="1:21">
      <c r="A7" s="280" t="s">
        <v>111</v>
      </c>
      <c r="B7" s="451"/>
      <c r="C7" s="451"/>
      <c r="D7" s="451"/>
      <c r="E7" s="451"/>
      <c r="F7" s="451"/>
      <c r="G7" s="451"/>
      <c r="H7" s="451"/>
      <c r="I7" s="451"/>
      <c r="J7" s="451"/>
      <c r="K7" s="451"/>
      <c r="L7" s="451"/>
      <c r="M7" s="451"/>
      <c r="N7" s="451"/>
      <c r="O7" s="451"/>
      <c r="P7" s="451"/>
      <c r="Q7" s="451"/>
      <c r="R7" s="451"/>
      <c r="S7" s="451"/>
      <c r="T7" s="451"/>
      <c r="U7" s="451"/>
    </row>
    <row r="8" spans="1:21">
      <c r="A8" s="519" t="s">
        <v>4</v>
      </c>
      <c r="B8" s="450">
        <v>16085.782845875328</v>
      </c>
      <c r="C8" s="450">
        <v>853.97687908188186</v>
      </c>
      <c r="D8" s="450">
        <v>406.44336916430166</v>
      </c>
      <c r="E8" s="450">
        <v>447.53350991758043</v>
      </c>
      <c r="F8" s="450"/>
      <c r="G8" s="450">
        <v>8037.3915463204585</v>
      </c>
      <c r="H8" s="450">
        <v>4097.1378535053136</v>
      </c>
      <c r="I8" s="450">
        <v>3940.253692815108</v>
      </c>
      <c r="J8" s="450"/>
      <c r="K8" s="450">
        <v>5097.7286847777341</v>
      </c>
      <c r="L8" s="450">
        <v>2901.905339383336</v>
      </c>
      <c r="M8" s="450">
        <v>2195.8233453944426</v>
      </c>
      <c r="N8" s="450"/>
      <c r="O8" s="450">
        <v>1908.1477414960639</v>
      </c>
      <c r="P8" s="450">
        <v>1261.6834340090379</v>
      </c>
      <c r="Q8" s="450">
        <v>646.46430748701152</v>
      </c>
      <c r="R8" s="450"/>
      <c r="S8" s="450">
        <v>188.53799419729629</v>
      </c>
      <c r="T8" s="450">
        <v>133.80100096280768</v>
      </c>
      <c r="U8" s="450">
        <v>54.736993234488942</v>
      </c>
    </row>
    <row r="9" spans="1:21">
      <c r="A9" s="519" t="s">
        <v>5</v>
      </c>
      <c r="B9" s="450">
        <v>14438.001077716468</v>
      </c>
      <c r="C9" s="450">
        <v>878.89569760105996</v>
      </c>
      <c r="D9" s="450">
        <v>396.09168454926657</v>
      </c>
      <c r="E9" s="450">
        <v>482.80401305179396</v>
      </c>
      <c r="F9" s="450"/>
      <c r="G9" s="450">
        <v>8070.448027249593</v>
      </c>
      <c r="H9" s="450">
        <v>4105.3993144577498</v>
      </c>
      <c r="I9" s="450">
        <v>3965.0487127918432</v>
      </c>
      <c r="J9" s="450"/>
      <c r="K9" s="450">
        <v>4599.752305706972</v>
      </c>
      <c r="L9" s="450">
        <v>2482.2597217642578</v>
      </c>
      <c r="M9" s="450">
        <v>2117.4925839427951</v>
      </c>
      <c r="N9" s="450"/>
      <c r="O9" s="450">
        <v>802.54293692456724</v>
      </c>
      <c r="P9" s="450">
        <v>471.57944949826117</v>
      </c>
      <c r="Q9" s="450">
        <v>330.96348742630892</v>
      </c>
      <c r="R9" s="450"/>
      <c r="S9" s="450">
        <v>86.362110232763939</v>
      </c>
      <c r="T9" s="450">
        <v>60.425505531256007</v>
      </c>
      <c r="U9" s="450">
        <v>25.936604701507882</v>
      </c>
    </row>
    <row r="10" spans="1:21" ht="15" customHeight="1">
      <c r="A10" s="246" t="s">
        <v>448</v>
      </c>
      <c r="B10" s="451"/>
      <c r="C10" s="451"/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51"/>
      <c r="O10" s="451"/>
      <c r="P10" s="451"/>
      <c r="Q10" s="451"/>
      <c r="R10" s="451"/>
      <c r="S10" s="451"/>
      <c r="T10" s="451"/>
      <c r="U10" s="451"/>
    </row>
    <row r="11" spans="1:21" s="72" customFormat="1">
      <c r="A11" s="285" t="s">
        <v>486</v>
      </c>
      <c r="B11" s="452">
        <v>6483.831497141623</v>
      </c>
      <c r="C11" s="452">
        <v>501.25296210383414</v>
      </c>
      <c r="D11" s="452">
        <v>229.11270348115403</v>
      </c>
      <c r="E11" s="452">
        <v>272.14025862268034</v>
      </c>
      <c r="F11" s="452"/>
      <c r="G11" s="452">
        <v>3644.434677940962</v>
      </c>
      <c r="H11" s="452">
        <v>1757.1813568978055</v>
      </c>
      <c r="I11" s="452">
        <v>1887.2533210431093</v>
      </c>
      <c r="J11" s="452"/>
      <c r="K11" s="452">
        <v>1847.4696635834769</v>
      </c>
      <c r="L11" s="452">
        <v>972.78307705939017</v>
      </c>
      <c r="M11" s="452">
        <v>874.68658652408749</v>
      </c>
      <c r="N11" s="452"/>
      <c r="O11" s="452">
        <v>441.78748749556092</v>
      </c>
      <c r="P11" s="452">
        <v>273.200980840341</v>
      </c>
      <c r="Q11" s="452">
        <v>168.58650665521958</v>
      </c>
      <c r="R11" s="452"/>
      <c r="S11" s="452">
        <v>48.886706017828665</v>
      </c>
      <c r="T11" s="452">
        <v>38.789746909897254</v>
      </c>
      <c r="U11" s="452">
        <v>10.096959107931394</v>
      </c>
    </row>
    <row r="12" spans="1:21">
      <c r="A12" s="284" t="s">
        <v>486</v>
      </c>
      <c r="B12" s="450">
        <v>6483.831497141623</v>
      </c>
      <c r="C12" s="450">
        <v>501.25296210383414</v>
      </c>
      <c r="D12" s="450">
        <v>229.11270348115403</v>
      </c>
      <c r="E12" s="450">
        <v>272.14025862268034</v>
      </c>
      <c r="F12" s="450"/>
      <c r="G12" s="450">
        <v>3644.434677940962</v>
      </c>
      <c r="H12" s="450">
        <v>1757.1813568978055</v>
      </c>
      <c r="I12" s="450">
        <v>1887.2533210431093</v>
      </c>
      <c r="J12" s="450"/>
      <c r="K12" s="450">
        <v>1847.4696635834769</v>
      </c>
      <c r="L12" s="450">
        <v>972.78307705939017</v>
      </c>
      <c r="M12" s="450">
        <v>874.68658652408749</v>
      </c>
      <c r="N12" s="450"/>
      <c r="O12" s="450">
        <v>441.78748749556092</v>
      </c>
      <c r="P12" s="450">
        <v>273.200980840341</v>
      </c>
      <c r="Q12" s="450">
        <v>168.58650665521958</v>
      </c>
      <c r="R12" s="450"/>
      <c r="S12" s="450">
        <v>48.886706017828665</v>
      </c>
      <c r="T12" s="450">
        <v>38.789746909897254</v>
      </c>
      <c r="U12" s="450">
        <v>10.096959107931394</v>
      </c>
    </row>
    <row r="13" spans="1:21" s="72" customFormat="1">
      <c r="A13" s="285" t="s">
        <v>487</v>
      </c>
      <c r="B13" s="452">
        <v>14368.987084089276</v>
      </c>
      <c r="C13" s="452">
        <v>750.71234362661357</v>
      </c>
      <c r="D13" s="452">
        <v>344.06848971770825</v>
      </c>
      <c r="E13" s="452">
        <v>406.64385390890567</v>
      </c>
      <c r="F13" s="452"/>
      <c r="G13" s="452">
        <v>7866.3967456728433</v>
      </c>
      <c r="H13" s="452">
        <v>4119.6473232007493</v>
      </c>
      <c r="I13" s="452">
        <v>3746.7494224720931</v>
      </c>
      <c r="J13" s="452"/>
      <c r="K13" s="452">
        <v>3957.2380647999939</v>
      </c>
      <c r="L13" s="452">
        <v>2410.9177377657297</v>
      </c>
      <c r="M13" s="452">
        <v>1546.3203270343338</v>
      </c>
      <c r="N13" s="452"/>
      <c r="O13" s="452">
        <v>1659.2894508747461</v>
      </c>
      <c r="P13" s="452">
        <v>1146.3709048645233</v>
      </c>
      <c r="Q13" s="452">
        <v>512.91854601021646</v>
      </c>
      <c r="R13" s="452"/>
      <c r="S13" s="452">
        <v>135.35047911364302</v>
      </c>
      <c r="T13" s="452">
        <v>92.152771485633949</v>
      </c>
      <c r="U13" s="452">
        <v>43.197707628009084</v>
      </c>
    </row>
    <row r="14" spans="1:21">
      <c r="A14" s="284" t="s">
        <v>487</v>
      </c>
      <c r="B14" s="450">
        <v>12890.809614847614</v>
      </c>
      <c r="C14" s="450">
        <v>648.71153828123443</v>
      </c>
      <c r="D14" s="450">
        <v>302.59075437659624</v>
      </c>
      <c r="E14" s="450">
        <v>346.1207839046383</v>
      </c>
      <c r="F14" s="450"/>
      <c r="G14" s="450">
        <v>6733.265923424512</v>
      </c>
      <c r="H14" s="450">
        <v>3480.2851705848539</v>
      </c>
      <c r="I14" s="450">
        <v>3252.9807528396359</v>
      </c>
      <c r="J14" s="450"/>
      <c r="K14" s="450">
        <v>3758.4693959593387</v>
      </c>
      <c r="L14" s="450">
        <v>2277.1977804345329</v>
      </c>
      <c r="M14" s="450">
        <v>1481.2716155248702</v>
      </c>
      <c r="N14" s="450"/>
      <c r="O14" s="450">
        <v>1620.7818086013406</v>
      </c>
      <c r="P14" s="450">
        <v>1112.0113497893815</v>
      </c>
      <c r="Q14" s="450">
        <v>508.77045881195238</v>
      </c>
      <c r="R14" s="450"/>
      <c r="S14" s="450">
        <v>129.58094858008519</v>
      </c>
      <c r="T14" s="450">
        <v>89.267893949172958</v>
      </c>
      <c r="U14" s="450">
        <v>40.313054630912205</v>
      </c>
    </row>
    <row r="15" spans="1:21">
      <c r="A15" s="284" t="s">
        <v>488</v>
      </c>
      <c r="B15" s="450">
        <v>1478.1774692413273</v>
      </c>
      <c r="C15" s="450">
        <v>102.00080534537936</v>
      </c>
      <c r="D15" s="450">
        <v>41.477735341112108</v>
      </c>
      <c r="E15" s="450">
        <v>60.523070004267389</v>
      </c>
      <c r="F15" s="450"/>
      <c r="G15" s="450">
        <v>1133.1308222483083</v>
      </c>
      <c r="H15" s="450">
        <v>639.36215261587074</v>
      </c>
      <c r="I15" s="450">
        <v>493.768669632436</v>
      </c>
      <c r="J15" s="450"/>
      <c r="K15" s="450">
        <v>198.76866884066246</v>
      </c>
      <c r="L15" s="450">
        <v>133.71995733120008</v>
      </c>
      <c r="M15" s="450">
        <v>65.048711509462649</v>
      </c>
      <c r="N15" s="450"/>
      <c r="O15" s="450">
        <v>38.50764227340472</v>
      </c>
      <c r="P15" s="450">
        <v>34.359555075140598</v>
      </c>
      <c r="Q15" s="450">
        <v>4.1480871982641174</v>
      </c>
      <c r="R15" s="450"/>
      <c r="S15" s="450">
        <v>5.7695305335578579</v>
      </c>
      <c r="T15" s="450">
        <v>2.8848775364609862</v>
      </c>
      <c r="U15" s="450">
        <v>2.8846529970968722</v>
      </c>
    </row>
    <row r="16" spans="1:21" s="72" customFormat="1">
      <c r="A16" s="285" t="s">
        <v>489</v>
      </c>
      <c r="B16" s="452">
        <v>1676.2239033201213</v>
      </c>
      <c r="C16" s="452">
        <v>36.818763889708038</v>
      </c>
      <c r="D16" s="452">
        <v>10.703931700932156</v>
      </c>
      <c r="E16" s="452">
        <v>26.114832188775878</v>
      </c>
      <c r="F16" s="452"/>
      <c r="G16" s="452">
        <v>513.82576935508143</v>
      </c>
      <c r="H16" s="452">
        <v>253.215599923436</v>
      </c>
      <c r="I16" s="452">
        <v>260.61016943164532</v>
      </c>
      <c r="J16" s="452"/>
      <c r="K16" s="452">
        <v>945.9136030798735</v>
      </c>
      <c r="L16" s="452">
        <v>456.41658248037322</v>
      </c>
      <c r="M16" s="452">
        <v>489.49702059950386</v>
      </c>
      <c r="N16" s="452"/>
      <c r="O16" s="452">
        <v>140.82165837162103</v>
      </c>
      <c r="P16" s="452">
        <v>57.032616774496844</v>
      </c>
      <c r="Q16" s="452">
        <v>83.789041597124211</v>
      </c>
      <c r="R16" s="452"/>
      <c r="S16" s="452">
        <v>38.844108623815124</v>
      </c>
      <c r="T16" s="452">
        <v>25.862496518786841</v>
      </c>
      <c r="U16" s="452">
        <v>12.981612105028265</v>
      </c>
    </row>
    <row r="17" spans="1:21">
      <c r="A17" s="284" t="s">
        <v>489</v>
      </c>
      <c r="B17" s="450">
        <v>1180.0459073421491</v>
      </c>
      <c r="C17" s="450">
        <v>25.932781625460695</v>
      </c>
      <c r="D17" s="450">
        <v>8.0279487756991159</v>
      </c>
      <c r="E17" s="450">
        <v>17.904832849761583</v>
      </c>
      <c r="F17" s="450"/>
      <c r="G17" s="450">
        <v>370.73029244528493</v>
      </c>
      <c r="H17" s="450">
        <v>182.99654840258131</v>
      </c>
      <c r="I17" s="450">
        <v>187.73374404270379</v>
      </c>
      <c r="J17" s="450"/>
      <c r="K17" s="450">
        <v>643.75182585492132</v>
      </c>
      <c r="L17" s="450">
        <v>307.32195866331801</v>
      </c>
      <c r="M17" s="450">
        <v>336.42986719160479</v>
      </c>
      <c r="N17" s="450"/>
      <c r="O17" s="450">
        <v>107.99875582476922</v>
      </c>
      <c r="P17" s="450">
        <v>45.533166668320057</v>
      </c>
      <c r="Q17" s="450">
        <v>62.46558915644917</v>
      </c>
      <c r="R17" s="450"/>
      <c r="S17" s="450">
        <v>31.632251591708815</v>
      </c>
      <c r="T17" s="450">
        <v>24.420170020238405</v>
      </c>
      <c r="U17" s="450">
        <v>7.2120815714704083</v>
      </c>
    </row>
    <row r="18" spans="1:21" s="72" customFormat="1">
      <c r="A18" s="284" t="s">
        <v>490</v>
      </c>
      <c r="B18" s="450">
        <v>496.17799597795613</v>
      </c>
      <c r="C18" s="450">
        <v>10.885982264247341</v>
      </c>
      <c r="D18" s="450">
        <v>2.6759829252330385</v>
      </c>
      <c r="E18" s="450">
        <v>8.2099993390143009</v>
      </c>
      <c r="F18" s="450"/>
      <c r="G18" s="450">
        <v>143.09547690979647</v>
      </c>
      <c r="H18" s="450">
        <v>70.219051520854961</v>
      </c>
      <c r="I18" s="450">
        <v>72.876425388941769</v>
      </c>
      <c r="J18" s="450"/>
      <c r="K18" s="450">
        <v>302.16177722495496</v>
      </c>
      <c r="L18" s="450">
        <v>149.09462381705583</v>
      </c>
      <c r="M18" s="450">
        <v>153.06715340789972</v>
      </c>
      <c r="N18" s="450"/>
      <c r="O18" s="450">
        <v>32.822902546851829</v>
      </c>
      <c r="P18" s="450">
        <v>11.499450106176777</v>
      </c>
      <c r="Q18" s="450">
        <v>21.323452440675045</v>
      </c>
      <c r="R18" s="450"/>
      <c r="S18" s="450">
        <v>7.2118570321062947</v>
      </c>
      <c r="T18" s="450">
        <v>1.4423264985484361</v>
      </c>
      <c r="U18" s="450">
        <v>5.7695305335578588</v>
      </c>
    </row>
    <row r="19" spans="1:21">
      <c r="A19" s="285" t="s">
        <v>491</v>
      </c>
      <c r="B19" s="452">
        <v>2956.3955018425704</v>
      </c>
      <c r="C19" s="452">
        <v>185.06332025074099</v>
      </c>
      <c r="D19" s="452">
        <v>91.165694560602574</v>
      </c>
      <c r="E19" s="452">
        <v>93.897625690138653</v>
      </c>
      <c r="F19" s="452"/>
      <c r="G19" s="452">
        <v>1551.3803680900032</v>
      </c>
      <c r="H19" s="452">
        <v>780.41109560076154</v>
      </c>
      <c r="I19" s="452">
        <v>770.96927248921736</v>
      </c>
      <c r="J19" s="452"/>
      <c r="K19" s="452">
        <v>1044.5987830372969</v>
      </c>
      <c r="L19" s="452">
        <v>527.58993677368062</v>
      </c>
      <c r="M19" s="452">
        <v>517.00884626361892</v>
      </c>
      <c r="N19" s="452"/>
      <c r="O19" s="452">
        <v>158.12429738949345</v>
      </c>
      <c r="P19" s="452">
        <v>89.361424131038206</v>
      </c>
      <c r="Q19" s="452">
        <v>68.762873258455286</v>
      </c>
      <c r="R19" s="452"/>
      <c r="S19" s="452">
        <v>17.22873307502763</v>
      </c>
      <c r="T19" s="452">
        <v>11.486046589382534</v>
      </c>
      <c r="U19" s="452">
        <v>5.7426864856450974</v>
      </c>
    </row>
    <row r="20" spans="1:21" s="72" customFormat="1">
      <c r="A20" s="284" t="s">
        <v>491</v>
      </c>
      <c r="B20" s="450">
        <v>2956.3955018425704</v>
      </c>
      <c r="C20" s="450">
        <v>185.06332025074099</v>
      </c>
      <c r="D20" s="450">
        <v>91.165694560602574</v>
      </c>
      <c r="E20" s="450">
        <v>93.897625690138653</v>
      </c>
      <c r="F20" s="450"/>
      <c r="G20" s="450">
        <v>1551.3803680900032</v>
      </c>
      <c r="H20" s="450">
        <v>780.41109560076154</v>
      </c>
      <c r="I20" s="450">
        <v>770.96927248921736</v>
      </c>
      <c r="J20" s="450"/>
      <c r="K20" s="450">
        <v>1044.5987830372969</v>
      </c>
      <c r="L20" s="450">
        <v>527.58993677368062</v>
      </c>
      <c r="M20" s="450">
        <v>517.00884626361892</v>
      </c>
      <c r="N20" s="450"/>
      <c r="O20" s="450">
        <v>158.12429738949345</v>
      </c>
      <c r="P20" s="450">
        <v>89.361424131038206</v>
      </c>
      <c r="Q20" s="450">
        <v>68.762873258455286</v>
      </c>
      <c r="R20" s="450"/>
      <c r="S20" s="450">
        <v>17.22873307502763</v>
      </c>
      <c r="T20" s="450">
        <v>11.486046589382534</v>
      </c>
      <c r="U20" s="450">
        <v>5.7426864856450974</v>
      </c>
    </row>
    <row r="21" spans="1:21">
      <c r="A21" s="285" t="s">
        <v>499</v>
      </c>
      <c r="B21" s="452">
        <v>1148.3752392011797</v>
      </c>
      <c r="C21" s="452">
        <v>72.356098556588094</v>
      </c>
      <c r="D21" s="452">
        <v>36.125769490646022</v>
      </c>
      <c r="E21" s="452">
        <v>36.230329065942051</v>
      </c>
      <c r="F21" s="452"/>
      <c r="G21" s="452">
        <v>752.86649722688969</v>
      </c>
      <c r="H21" s="452">
        <v>368.30904061018151</v>
      </c>
      <c r="I21" s="452">
        <v>384.55745661670852</v>
      </c>
      <c r="J21" s="452"/>
      <c r="K21" s="452">
        <v>264.59816188221504</v>
      </c>
      <c r="L21" s="452">
        <v>133.83659611729442</v>
      </c>
      <c r="M21" s="452">
        <v>130.76156576492073</v>
      </c>
      <c r="N21" s="452"/>
      <c r="O21" s="452">
        <v>45.572420351725896</v>
      </c>
      <c r="P21" s="452">
        <v>12.880659874394459</v>
      </c>
      <c r="Q21" s="452">
        <v>32.691760477331421</v>
      </c>
      <c r="R21" s="452"/>
      <c r="S21" s="452">
        <v>12.982061183756493</v>
      </c>
      <c r="T21" s="452">
        <v>8.6548571487470713</v>
      </c>
      <c r="U21" s="452">
        <v>4.3272040350094221</v>
      </c>
    </row>
    <row r="22" spans="1:21" s="72" customFormat="1">
      <c r="A22" s="284" t="s">
        <v>492</v>
      </c>
      <c r="B22" s="450">
        <v>1148.3752392011797</v>
      </c>
      <c r="C22" s="450">
        <v>72.356098556588094</v>
      </c>
      <c r="D22" s="450">
        <v>36.125769490646022</v>
      </c>
      <c r="E22" s="450">
        <v>36.230329065942051</v>
      </c>
      <c r="F22" s="450"/>
      <c r="G22" s="450">
        <v>752.86649722688969</v>
      </c>
      <c r="H22" s="450">
        <v>368.30904061018151</v>
      </c>
      <c r="I22" s="450">
        <v>384.55745661670852</v>
      </c>
      <c r="J22" s="450"/>
      <c r="K22" s="450">
        <v>264.59816188221504</v>
      </c>
      <c r="L22" s="450">
        <v>133.83659611729442</v>
      </c>
      <c r="M22" s="450">
        <v>130.76156576492073</v>
      </c>
      <c r="N22" s="450"/>
      <c r="O22" s="450">
        <v>45.572420351725896</v>
      </c>
      <c r="P22" s="450">
        <v>12.880659874394459</v>
      </c>
      <c r="Q22" s="450">
        <v>32.691760477331421</v>
      </c>
      <c r="R22" s="450"/>
      <c r="S22" s="450">
        <v>12.982061183756493</v>
      </c>
      <c r="T22" s="450">
        <v>8.6548571487470713</v>
      </c>
      <c r="U22" s="450">
        <v>4.3272040350094221</v>
      </c>
    </row>
    <row r="23" spans="1:21">
      <c r="A23" s="285" t="s">
        <v>493</v>
      </c>
      <c r="B23" s="452">
        <v>1477.4550104655125</v>
      </c>
      <c r="C23" s="452">
        <v>61.651942316291851</v>
      </c>
      <c r="D23" s="452">
        <v>37.463760953262543</v>
      </c>
      <c r="E23" s="452">
        <v>24.188181363029258</v>
      </c>
      <c r="F23" s="452"/>
      <c r="G23" s="452">
        <v>530.0524916618989</v>
      </c>
      <c r="H23" s="452">
        <v>284.60837534666649</v>
      </c>
      <c r="I23" s="452">
        <v>245.44411631523209</v>
      </c>
      <c r="J23" s="452"/>
      <c r="K23" s="452">
        <v>880.13060955537287</v>
      </c>
      <c r="L23" s="452">
        <v>459.41076490937087</v>
      </c>
      <c r="M23" s="452">
        <v>420.71984464600331</v>
      </c>
      <c r="N23" s="452"/>
      <c r="O23" s="452">
        <v>5.6199669319310841</v>
      </c>
      <c r="P23" s="452">
        <v>1.3675446977350487</v>
      </c>
      <c r="Q23" s="452">
        <v>4.2524222341960352</v>
      </c>
      <c r="R23" s="452"/>
      <c r="S23" s="452">
        <v>0</v>
      </c>
      <c r="T23" s="452">
        <v>0</v>
      </c>
      <c r="U23" s="452">
        <v>0</v>
      </c>
    </row>
    <row r="24" spans="1:21">
      <c r="A24" s="284" t="s">
        <v>493</v>
      </c>
      <c r="B24" s="450">
        <v>1477.4550104655125</v>
      </c>
      <c r="C24" s="450">
        <v>61.651942316291851</v>
      </c>
      <c r="D24" s="450">
        <v>37.463760953262543</v>
      </c>
      <c r="E24" s="450">
        <v>24.188181363029258</v>
      </c>
      <c r="F24" s="450"/>
      <c r="G24" s="450">
        <v>530.0524916618989</v>
      </c>
      <c r="H24" s="450">
        <v>284.60837534666649</v>
      </c>
      <c r="I24" s="450">
        <v>245.44411631523209</v>
      </c>
      <c r="J24" s="450"/>
      <c r="K24" s="450">
        <v>880.13060955537287</v>
      </c>
      <c r="L24" s="450">
        <v>459.41076490937087</v>
      </c>
      <c r="M24" s="450">
        <v>420.71984464600331</v>
      </c>
      <c r="N24" s="450"/>
      <c r="O24" s="450">
        <v>5.6199669319310841</v>
      </c>
      <c r="P24" s="450">
        <v>1.3675446977350487</v>
      </c>
      <c r="Q24" s="450">
        <v>4.2524222341960352</v>
      </c>
      <c r="R24" s="450"/>
      <c r="S24" s="450">
        <v>0</v>
      </c>
      <c r="T24" s="450">
        <v>0</v>
      </c>
      <c r="U24" s="450">
        <v>0</v>
      </c>
    </row>
    <row r="25" spans="1:21" s="72" customFormat="1">
      <c r="A25" s="285" t="s">
        <v>494</v>
      </c>
      <c r="B25" s="452">
        <v>788.26917115738001</v>
      </c>
      <c r="C25" s="452">
        <v>76.399401640192053</v>
      </c>
      <c r="D25" s="452">
        <v>32.141348337914984</v>
      </c>
      <c r="E25" s="452">
        <v>44.258053302277069</v>
      </c>
      <c r="F25" s="452"/>
      <c r="G25" s="452">
        <v>594.86393465458855</v>
      </c>
      <c r="H25" s="452">
        <v>312.918739066684</v>
      </c>
      <c r="I25" s="452">
        <v>281.94519558790398</v>
      </c>
      <c r="J25" s="452"/>
      <c r="K25" s="452">
        <v>91.191500636077933</v>
      </c>
      <c r="L25" s="452">
        <v>61.711748657518662</v>
      </c>
      <c r="M25" s="452">
        <v>29.479751978559282</v>
      </c>
      <c r="N25" s="452"/>
      <c r="O25" s="452">
        <v>18.60270173377992</v>
      </c>
      <c r="P25" s="452">
        <v>18.60270173377992</v>
      </c>
      <c r="Q25" s="452">
        <v>0</v>
      </c>
      <c r="R25" s="452"/>
      <c r="S25" s="452">
        <v>7.2116324927421802</v>
      </c>
      <c r="T25" s="452">
        <v>5.7693059941937443</v>
      </c>
      <c r="U25" s="452">
        <v>1.4423264985484361</v>
      </c>
    </row>
    <row r="26" spans="1:21">
      <c r="A26" s="284" t="s">
        <v>495</v>
      </c>
      <c r="B26" s="450">
        <v>482.93458728199721</v>
      </c>
      <c r="C26" s="450">
        <v>45.521262964080201</v>
      </c>
      <c r="D26" s="450">
        <v>21.437416636982835</v>
      </c>
      <c r="E26" s="450">
        <v>24.083846327097344</v>
      </c>
      <c r="F26" s="450"/>
      <c r="G26" s="450">
        <v>374.11769601162553</v>
      </c>
      <c r="H26" s="450">
        <v>198.81083182100923</v>
      </c>
      <c r="I26" s="450">
        <v>175.30686419061618</v>
      </c>
      <c r="J26" s="450"/>
      <c r="K26" s="450">
        <v>47.503471386887341</v>
      </c>
      <c r="L26" s="450">
        <v>29.237033763641566</v>
      </c>
      <c r="M26" s="450">
        <v>18.266437623245761</v>
      </c>
      <c r="N26" s="450"/>
      <c r="O26" s="450">
        <v>12.907503922307219</v>
      </c>
      <c r="P26" s="450">
        <v>12.907503922307219</v>
      </c>
      <c r="Q26" s="450">
        <v>0</v>
      </c>
      <c r="R26" s="450"/>
      <c r="S26" s="450">
        <v>2.8846529970968722</v>
      </c>
      <c r="T26" s="450">
        <v>2.8846529970968722</v>
      </c>
      <c r="U26" s="450">
        <v>0</v>
      </c>
    </row>
    <row r="27" spans="1:21" s="72" customFormat="1">
      <c r="A27" s="284" t="s">
        <v>496</v>
      </c>
      <c r="B27" s="450">
        <v>305.3345838753828</v>
      </c>
      <c r="C27" s="450">
        <v>30.878138676111853</v>
      </c>
      <c r="D27" s="450">
        <v>10.703931700932156</v>
      </c>
      <c r="E27" s="450">
        <v>20.174206975179708</v>
      </c>
      <c r="F27" s="450"/>
      <c r="G27" s="450">
        <v>220.74623864296228</v>
      </c>
      <c r="H27" s="450">
        <v>114.10790724567465</v>
      </c>
      <c r="I27" s="450">
        <v>106.63833139728787</v>
      </c>
      <c r="J27" s="450"/>
      <c r="K27" s="450">
        <v>43.688029249190613</v>
      </c>
      <c r="L27" s="450">
        <v>32.474714893877078</v>
      </c>
      <c r="M27" s="450">
        <v>11.213314355313519</v>
      </c>
      <c r="N27" s="450"/>
      <c r="O27" s="450">
        <v>5.6951978114726973</v>
      </c>
      <c r="P27" s="450">
        <v>5.6951978114726973</v>
      </c>
      <c r="Q27" s="450">
        <v>0</v>
      </c>
      <c r="R27" s="450"/>
      <c r="S27" s="450">
        <v>4.3269794956453085</v>
      </c>
      <c r="T27" s="450">
        <v>2.8846529970968722</v>
      </c>
      <c r="U27" s="450">
        <v>1.4423264985484361</v>
      </c>
    </row>
    <row r="28" spans="1:21">
      <c r="A28" s="285" t="s">
        <v>497</v>
      </c>
      <c r="B28" s="452">
        <v>282.10275432615578</v>
      </c>
      <c r="C28" s="452">
        <v>25.45139102483239</v>
      </c>
      <c r="D28" s="452">
        <v>8.0575020108176449</v>
      </c>
      <c r="E28" s="452">
        <v>17.393889014014754</v>
      </c>
      <c r="F28" s="452"/>
      <c r="G28" s="452">
        <v>173.97652768807325</v>
      </c>
      <c r="H28" s="452">
        <v>91.01814490368433</v>
      </c>
      <c r="I28" s="452">
        <v>82.95838278438913</v>
      </c>
      <c r="J28" s="452"/>
      <c r="K28" s="452">
        <v>65.364672237027932</v>
      </c>
      <c r="L28" s="452">
        <v>50.015599111931557</v>
      </c>
      <c r="M28" s="452">
        <v>15.349073125096359</v>
      </c>
      <c r="N28" s="452"/>
      <c r="O28" s="452">
        <v>12.982959341212947</v>
      </c>
      <c r="P28" s="452">
        <v>8.6553062274752985</v>
      </c>
      <c r="Q28" s="452">
        <v>4.3276531137376502</v>
      </c>
      <c r="R28" s="452"/>
      <c r="S28" s="452">
        <v>4.3272040350094221</v>
      </c>
      <c r="T28" s="452">
        <v>4.3272040350094221</v>
      </c>
      <c r="U28" s="452">
        <v>0</v>
      </c>
    </row>
    <row r="29" spans="1:21" s="72" customFormat="1">
      <c r="A29" s="284" t="s">
        <v>497</v>
      </c>
      <c r="B29" s="450">
        <v>282.10275432615578</v>
      </c>
      <c r="C29" s="450">
        <v>25.45139102483239</v>
      </c>
      <c r="D29" s="450">
        <v>8.0575020108176449</v>
      </c>
      <c r="E29" s="450">
        <v>17.393889014014754</v>
      </c>
      <c r="F29" s="450"/>
      <c r="G29" s="450">
        <v>173.97652768807325</v>
      </c>
      <c r="H29" s="450">
        <v>91.01814490368433</v>
      </c>
      <c r="I29" s="450">
        <v>82.95838278438913</v>
      </c>
      <c r="J29" s="450"/>
      <c r="K29" s="450">
        <v>65.364672237027932</v>
      </c>
      <c r="L29" s="450">
        <v>50.015599111931557</v>
      </c>
      <c r="M29" s="450">
        <v>15.349073125096359</v>
      </c>
      <c r="N29" s="450"/>
      <c r="O29" s="450">
        <v>12.982959341212947</v>
      </c>
      <c r="P29" s="450">
        <v>8.6553062274752985</v>
      </c>
      <c r="Q29" s="450">
        <v>4.3276531137376502</v>
      </c>
      <c r="R29" s="450"/>
      <c r="S29" s="450">
        <v>4.3272040350094221</v>
      </c>
      <c r="T29" s="450">
        <v>4.3272040350094221</v>
      </c>
      <c r="U29" s="450">
        <v>0</v>
      </c>
    </row>
    <row r="30" spans="1:21">
      <c r="A30" s="285" t="s">
        <v>498</v>
      </c>
      <c r="B30" s="452">
        <v>1342.1437620459858</v>
      </c>
      <c r="C30" s="452">
        <v>23.166353274142487</v>
      </c>
      <c r="D30" s="452">
        <v>13.695853460530829</v>
      </c>
      <c r="E30" s="452">
        <v>9.4704998136116654</v>
      </c>
      <c r="F30" s="452"/>
      <c r="G30" s="452">
        <v>480.04256127959229</v>
      </c>
      <c r="H30" s="452">
        <v>235.22749241302097</v>
      </c>
      <c r="I30" s="452">
        <v>244.81506886657098</v>
      </c>
      <c r="J30" s="452"/>
      <c r="K30" s="452">
        <v>600.97593167344519</v>
      </c>
      <c r="L30" s="452">
        <v>311.48301827233234</v>
      </c>
      <c r="M30" s="452">
        <v>289.49291340111296</v>
      </c>
      <c r="N30" s="452"/>
      <c r="O30" s="452">
        <v>227.88973593055749</v>
      </c>
      <c r="P30" s="452">
        <v>125.79074436351524</v>
      </c>
      <c r="Q30" s="452">
        <v>102.09899156704249</v>
      </c>
      <c r="R30" s="452"/>
      <c r="S30" s="452">
        <v>10.069179888237903</v>
      </c>
      <c r="T30" s="452">
        <v>7.1840778124128031</v>
      </c>
      <c r="U30" s="452">
        <v>2.8851020758250998</v>
      </c>
    </row>
    <row r="31" spans="1:21">
      <c r="A31" s="284" t="s">
        <v>498</v>
      </c>
      <c r="B31" s="450">
        <v>1342.1437620459858</v>
      </c>
      <c r="C31" s="450">
        <v>23.166353274142487</v>
      </c>
      <c r="D31" s="450">
        <v>13.695853460530829</v>
      </c>
      <c r="E31" s="450">
        <v>9.4704998136116654</v>
      </c>
      <c r="F31" s="450"/>
      <c r="G31" s="450">
        <v>480.04256127959229</v>
      </c>
      <c r="H31" s="450">
        <v>235.22749241302097</v>
      </c>
      <c r="I31" s="450">
        <v>244.81506886657098</v>
      </c>
      <c r="J31" s="450"/>
      <c r="K31" s="450">
        <v>600.97593167344519</v>
      </c>
      <c r="L31" s="450">
        <v>311.48301827233234</v>
      </c>
      <c r="M31" s="450">
        <v>289.49291340111296</v>
      </c>
      <c r="N31" s="450"/>
      <c r="O31" s="450">
        <v>227.88973593055749</v>
      </c>
      <c r="P31" s="450">
        <v>125.79074436351524</v>
      </c>
      <c r="Q31" s="450">
        <v>102.09899156704249</v>
      </c>
      <c r="R31" s="450"/>
      <c r="S31" s="450">
        <v>10.069179888237903</v>
      </c>
      <c r="T31" s="450">
        <v>7.1840778124128031</v>
      </c>
      <c r="U31" s="450">
        <v>2.8851020758250998</v>
      </c>
    </row>
    <row r="32" spans="1:21">
      <c r="A32" s="72"/>
    </row>
    <row r="35" spans="1:22">
      <c r="A35" s="72"/>
    </row>
    <row r="37" spans="1:22">
      <c r="A37" s="72"/>
    </row>
    <row r="39" spans="1:22">
      <c r="A39" s="72"/>
    </row>
    <row r="42" spans="1:22">
      <c r="A42" s="72"/>
    </row>
    <row r="43" spans="1:22">
      <c r="A43" s="72"/>
    </row>
    <row r="46" spans="1:22">
      <c r="A46" s="72"/>
      <c r="B46" s="72"/>
      <c r="C46" s="560"/>
      <c r="D46" s="560"/>
      <c r="E46" s="560"/>
      <c r="F46" s="560"/>
      <c r="G46" s="560"/>
      <c r="H46" s="560"/>
      <c r="I46" s="560"/>
      <c r="J46" s="560"/>
      <c r="K46" s="560"/>
      <c r="L46" s="560"/>
      <c r="M46" s="560"/>
      <c r="N46" s="560"/>
      <c r="O46" s="560"/>
      <c r="P46" s="560"/>
      <c r="Q46" s="560"/>
      <c r="R46" s="560"/>
      <c r="S46" s="560"/>
      <c r="T46" s="560"/>
      <c r="U46" s="560"/>
      <c r="V46" s="72"/>
    </row>
    <row r="48" spans="1:22">
      <c r="A48" s="72"/>
      <c r="B48" s="72"/>
      <c r="C48" s="560"/>
      <c r="D48" s="560"/>
      <c r="E48" s="560"/>
      <c r="F48" s="560"/>
      <c r="G48" s="560"/>
      <c r="H48" s="560"/>
      <c r="I48" s="560"/>
      <c r="J48" s="560"/>
      <c r="K48" s="560"/>
      <c r="L48" s="560"/>
      <c r="M48" s="560"/>
      <c r="N48" s="560"/>
      <c r="O48" s="560"/>
      <c r="P48" s="560"/>
      <c r="Q48" s="560"/>
      <c r="R48" s="560"/>
      <c r="S48" s="560"/>
      <c r="T48" s="560"/>
      <c r="U48" s="560"/>
      <c r="V48" s="72"/>
    </row>
    <row r="50" spans="1:22">
      <c r="A50" s="72"/>
      <c r="B50" s="72"/>
      <c r="C50" s="560"/>
      <c r="D50" s="560"/>
      <c r="E50" s="560"/>
      <c r="F50" s="560"/>
      <c r="G50" s="560"/>
      <c r="H50" s="560"/>
      <c r="I50" s="560"/>
      <c r="J50" s="560"/>
      <c r="K50" s="560"/>
      <c r="L50" s="560"/>
      <c r="M50" s="560"/>
      <c r="N50" s="560"/>
      <c r="O50" s="560"/>
      <c r="P50" s="560"/>
      <c r="Q50" s="560"/>
      <c r="R50" s="560"/>
      <c r="S50" s="560"/>
      <c r="T50" s="560"/>
      <c r="U50" s="560"/>
      <c r="V50" s="72"/>
    </row>
    <row r="52" spans="1:22">
      <c r="A52" s="72"/>
      <c r="B52" s="72"/>
      <c r="C52" s="560"/>
      <c r="D52" s="560"/>
      <c r="E52" s="560"/>
      <c r="F52" s="560"/>
      <c r="G52" s="560"/>
      <c r="H52" s="560"/>
      <c r="I52" s="560"/>
      <c r="J52" s="560"/>
      <c r="K52" s="560"/>
      <c r="L52" s="560"/>
      <c r="M52" s="560"/>
      <c r="N52" s="560"/>
      <c r="O52" s="560"/>
      <c r="P52" s="560"/>
      <c r="Q52" s="560"/>
      <c r="R52" s="560"/>
      <c r="S52" s="560"/>
      <c r="T52" s="560"/>
      <c r="U52" s="560"/>
      <c r="V52" s="72"/>
    </row>
    <row r="54" spans="1:22">
      <c r="A54" s="72"/>
      <c r="B54" s="72"/>
      <c r="C54" s="560"/>
      <c r="D54" s="560"/>
      <c r="E54" s="560"/>
      <c r="F54" s="560"/>
      <c r="G54" s="560"/>
      <c r="H54" s="560"/>
      <c r="I54" s="560"/>
      <c r="J54" s="560"/>
      <c r="K54" s="560"/>
      <c r="L54" s="560"/>
      <c r="M54" s="560"/>
      <c r="N54" s="560"/>
      <c r="O54" s="560"/>
      <c r="P54" s="560"/>
      <c r="Q54" s="560"/>
      <c r="R54" s="560"/>
      <c r="S54" s="560"/>
      <c r="T54" s="560"/>
      <c r="U54" s="560"/>
      <c r="V54" s="72"/>
    </row>
    <row r="56" spans="1:22">
      <c r="A56" s="72"/>
      <c r="B56" s="72"/>
      <c r="C56" s="560"/>
      <c r="D56" s="560"/>
      <c r="E56" s="560"/>
      <c r="F56" s="560"/>
      <c r="G56" s="560"/>
      <c r="H56" s="560"/>
      <c r="I56" s="560"/>
      <c r="J56" s="560"/>
      <c r="K56" s="560"/>
      <c r="L56" s="560"/>
      <c r="M56" s="560"/>
      <c r="N56" s="560"/>
      <c r="O56" s="560"/>
      <c r="P56" s="560"/>
      <c r="Q56" s="560"/>
      <c r="R56" s="560"/>
      <c r="S56" s="560"/>
      <c r="T56" s="560"/>
      <c r="U56" s="560"/>
      <c r="V56" s="72"/>
    </row>
  </sheetData>
  <mergeCells count="9">
    <mergeCell ref="O3:Q3"/>
    <mergeCell ref="S3:U3"/>
    <mergeCell ref="A1:U1"/>
    <mergeCell ref="A2:A4"/>
    <mergeCell ref="B2:B4"/>
    <mergeCell ref="C2:U2"/>
    <mergeCell ref="C3:E3"/>
    <mergeCell ref="G3:I3"/>
    <mergeCell ref="K3:M3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31"/>
  <sheetViews>
    <sheetView zoomScale="120" zoomScaleNormal="120" workbookViewId="0">
      <selection activeCell="Q16" sqref="Q16"/>
    </sheetView>
  </sheetViews>
  <sheetFormatPr defaultColWidth="9.140625" defaultRowHeight="12"/>
  <cols>
    <col min="1" max="1" width="18" style="69" customWidth="1"/>
    <col min="2" max="2" width="10.7109375" style="69" customWidth="1"/>
    <col min="3" max="3" width="9" style="75" customWidth="1"/>
    <col min="4" max="4" width="8.7109375" style="75" customWidth="1"/>
    <col min="5" max="5" width="7.42578125" style="75" customWidth="1"/>
    <col min="6" max="6" width="2.140625" style="75" customWidth="1"/>
    <col min="7" max="7" width="8.7109375" style="75" customWidth="1"/>
    <col min="8" max="8" width="8.28515625" style="75" customWidth="1"/>
    <col min="9" max="9" width="9.28515625" style="75" bestFit="1" customWidth="1"/>
    <col min="10" max="10" width="2.85546875" style="75" customWidth="1"/>
    <col min="11" max="13" width="9.28515625" style="75" bestFit="1" customWidth="1"/>
    <col min="14" max="16384" width="9.140625" style="69"/>
  </cols>
  <sheetData>
    <row r="1" spans="1:13" ht="18" customHeight="1">
      <c r="A1" s="808" t="s">
        <v>521</v>
      </c>
      <c r="B1" s="808"/>
      <c r="C1" s="808"/>
      <c r="D1" s="808"/>
      <c r="E1" s="808"/>
      <c r="F1" s="808"/>
      <c r="G1" s="808"/>
      <c r="H1" s="808"/>
      <c r="I1" s="808"/>
      <c r="J1" s="808"/>
      <c r="K1" s="808"/>
      <c r="L1" s="808"/>
      <c r="M1" s="808"/>
    </row>
    <row r="2" spans="1:13" ht="12" customHeight="1">
      <c r="A2" s="792" t="str">
        <f>'[1]Q 8.9'!$A$2</f>
        <v>Área de residência, município e comuna</v>
      </c>
      <c r="B2" s="806" t="s">
        <v>217</v>
      </c>
      <c r="C2" s="809" t="s">
        <v>560</v>
      </c>
      <c r="D2" s="809"/>
      <c r="E2" s="809"/>
      <c r="F2" s="809"/>
      <c r="G2" s="809"/>
      <c r="H2" s="809"/>
      <c r="I2" s="809"/>
      <c r="J2" s="809"/>
      <c r="K2" s="809"/>
      <c r="L2" s="809"/>
      <c r="M2" s="809"/>
    </row>
    <row r="3" spans="1:13" ht="12" customHeight="1">
      <c r="A3" s="793"/>
      <c r="B3" s="805"/>
      <c r="C3" s="805" t="s">
        <v>213</v>
      </c>
      <c r="D3" s="805"/>
      <c r="E3" s="805"/>
      <c r="F3" s="499"/>
      <c r="G3" s="805" t="s">
        <v>214</v>
      </c>
      <c r="H3" s="805"/>
      <c r="I3" s="805"/>
      <c r="J3" s="499"/>
      <c r="K3" s="805" t="s">
        <v>215</v>
      </c>
      <c r="L3" s="805"/>
      <c r="M3" s="805"/>
    </row>
    <row r="4" spans="1:13" ht="11.25" customHeight="1">
      <c r="A4" s="794"/>
      <c r="B4" s="807"/>
      <c r="C4" s="501" t="s">
        <v>1</v>
      </c>
      <c r="D4" s="501" t="s">
        <v>2</v>
      </c>
      <c r="E4" s="501" t="s">
        <v>3</v>
      </c>
      <c r="F4" s="500"/>
      <c r="G4" s="501" t="s">
        <v>1</v>
      </c>
      <c r="H4" s="501" t="s">
        <v>2</v>
      </c>
      <c r="I4" s="501" t="s">
        <v>3</v>
      </c>
      <c r="J4" s="500"/>
      <c r="K4" s="501" t="s">
        <v>1</v>
      </c>
      <c r="L4" s="501" t="s">
        <v>2</v>
      </c>
      <c r="M4" s="501" t="s">
        <v>3</v>
      </c>
    </row>
    <row r="5" spans="1:13">
      <c r="A5" s="287" t="s">
        <v>500</v>
      </c>
      <c r="B5" s="453">
        <v>9893.1088745872621</v>
      </c>
      <c r="C5" s="561">
        <v>4602.6906314011139</v>
      </c>
      <c r="D5" s="561">
        <v>2381.6248034575115</v>
      </c>
      <c r="E5" s="561">
        <v>2221.0658279435161</v>
      </c>
      <c r="F5" s="561"/>
      <c r="G5" s="561">
        <v>690.40359471012187</v>
      </c>
      <c r="H5" s="561">
        <v>338.51184004197847</v>
      </c>
      <c r="I5" s="561">
        <v>351.89175466814362</v>
      </c>
      <c r="J5" s="561"/>
      <c r="K5" s="561">
        <v>4600.0146484758807</v>
      </c>
      <c r="L5" s="561">
        <v>2302.6833071631304</v>
      </c>
      <c r="M5" s="561">
        <v>2297.3313413126639</v>
      </c>
    </row>
    <row r="6" spans="1:13">
      <c r="A6" s="288"/>
      <c r="B6" s="454"/>
      <c r="C6" s="562"/>
      <c r="D6" s="562"/>
      <c r="E6" s="562"/>
      <c r="F6" s="562"/>
      <c r="G6" s="562"/>
      <c r="H6" s="562"/>
      <c r="I6" s="562"/>
      <c r="J6" s="562"/>
      <c r="K6" s="562"/>
      <c r="L6" s="562"/>
      <c r="M6" s="562"/>
    </row>
    <row r="7" spans="1:13" ht="14.25" customHeight="1">
      <c r="A7" s="280" t="s">
        <v>111</v>
      </c>
      <c r="B7" s="453"/>
      <c r="C7" s="561"/>
      <c r="D7" s="561"/>
      <c r="E7" s="561"/>
      <c r="F7" s="561"/>
      <c r="G7" s="561"/>
      <c r="H7" s="561"/>
      <c r="I7" s="561"/>
      <c r="J7" s="561"/>
      <c r="K7" s="561"/>
      <c r="L7" s="561"/>
      <c r="M7" s="561"/>
    </row>
    <row r="8" spans="1:13">
      <c r="A8" s="288" t="s">
        <v>4</v>
      </c>
      <c r="B8" s="454">
        <v>3782.5018648171213</v>
      </c>
      <c r="C8" s="562">
        <v>2431.1304875743267</v>
      </c>
      <c r="D8" s="562">
        <v>1253.6980004716941</v>
      </c>
      <c r="E8" s="562">
        <v>1177.4324871025462</v>
      </c>
      <c r="F8" s="562"/>
      <c r="G8" s="562">
        <v>310.41401932703167</v>
      </c>
      <c r="H8" s="562">
        <v>153.86901820089946</v>
      </c>
      <c r="I8" s="562">
        <v>156.54500112613249</v>
      </c>
      <c r="J8" s="562"/>
      <c r="K8" s="562">
        <v>1040.9573579156502</v>
      </c>
      <c r="L8" s="562">
        <v>509.77474725689234</v>
      </c>
      <c r="M8" s="562">
        <v>531.18261065875663</v>
      </c>
    </row>
    <row r="9" spans="1:13" ht="14.25" customHeight="1">
      <c r="A9" s="288" t="s">
        <v>5</v>
      </c>
      <c r="B9" s="454">
        <v>6110.607009770054</v>
      </c>
      <c r="C9" s="562">
        <v>2171.5601438267008</v>
      </c>
      <c r="D9" s="562">
        <v>1127.926802985731</v>
      </c>
      <c r="E9" s="562">
        <v>1043.6333408408834</v>
      </c>
      <c r="F9" s="562"/>
      <c r="G9" s="562">
        <v>379.98957538309043</v>
      </c>
      <c r="H9" s="562">
        <v>184.6428218410793</v>
      </c>
      <c r="I9" s="562">
        <v>195.34675354201141</v>
      </c>
      <c r="J9" s="562"/>
      <c r="K9" s="562">
        <v>3559.0572905601443</v>
      </c>
      <c r="L9" s="562">
        <v>1792.9085599061953</v>
      </c>
      <c r="M9" s="562">
        <v>1766.1487306538627</v>
      </c>
    </row>
    <row r="10" spans="1:13" s="72" customFormat="1">
      <c r="A10" s="246" t="s">
        <v>448</v>
      </c>
      <c r="B10" s="453"/>
      <c r="C10" s="561"/>
      <c r="D10" s="561"/>
      <c r="E10" s="561"/>
      <c r="F10" s="561"/>
      <c r="G10" s="561"/>
      <c r="H10" s="561"/>
      <c r="I10" s="561"/>
      <c r="J10" s="561"/>
      <c r="K10" s="561"/>
      <c r="L10" s="561"/>
      <c r="M10" s="561"/>
    </row>
    <row r="11" spans="1:13">
      <c r="A11" s="290" t="s">
        <v>486</v>
      </c>
      <c r="B11" s="455">
        <v>1875.8640305884262</v>
      </c>
      <c r="C11" s="563">
        <v>1087.7870591072322</v>
      </c>
      <c r="D11" s="563">
        <v>497.73282409334371</v>
      </c>
      <c r="E11" s="563">
        <v>590.05423501388327</v>
      </c>
      <c r="F11" s="563"/>
      <c r="G11" s="563">
        <v>168.58692428968112</v>
      </c>
      <c r="H11" s="563">
        <v>86.969445070073718</v>
      </c>
      <c r="I11" s="563">
        <v>81.61747921960766</v>
      </c>
      <c r="J11" s="563"/>
      <c r="K11" s="563">
        <v>619.49004719144659</v>
      </c>
      <c r="L11" s="563">
        <v>327.80790834104636</v>
      </c>
      <c r="M11" s="563">
        <v>291.68213885040046</v>
      </c>
    </row>
    <row r="12" spans="1:13" s="72" customFormat="1">
      <c r="A12" s="289" t="s">
        <v>486</v>
      </c>
      <c r="B12" s="454">
        <v>1875.8640305884262</v>
      </c>
      <c r="C12" s="562">
        <v>1087.7870591072322</v>
      </c>
      <c r="D12" s="562">
        <v>497.73282409334371</v>
      </c>
      <c r="E12" s="562">
        <v>590.05423501388327</v>
      </c>
      <c r="F12" s="562"/>
      <c r="G12" s="562">
        <v>168.58692428968112</v>
      </c>
      <c r="H12" s="562">
        <v>86.969445070073718</v>
      </c>
      <c r="I12" s="562">
        <v>81.61747921960766</v>
      </c>
      <c r="J12" s="562"/>
      <c r="K12" s="562">
        <v>619.49004719144659</v>
      </c>
      <c r="L12" s="562">
        <v>327.80790834104636</v>
      </c>
      <c r="M12" s="562">
        <v>291.68213885040046</v>
      </c>
    </row>
    <row r="13" spans="1:13">
      <c r="A13" s="290" t="s">
        <v>487</v>
      </c>
      <c r="B13" s="455">
        <v>3789.1918221302044</v>
      </c>
      <c r="C13" s="563">
        <v>2205.0099303921165</v>
      </c>
      <c r="D13" s="563">
        <v>1184.1224444156294</v>
      </c>
      <c r="E13" s="563">
        <v>1020.887485976401</v>
      </c>
      <c r="F13" s="563"/>
      <c r="G13" s="563">
        <v>293.02013031301698</v>
      </c>
      <c r="H13" s="563">
        <v>135.13713772426826</v>
      </c>
      <c r="I13" s="563">
        <v>157.882992588749</v>
      </c>
      <c r="J13" s="563"/>
      <c r="K13" s="563">
        <v>1291.1617614249596</v>
      </c>
      <c r="L13" s="563">
        <v>631.53197035499522</v>
      </c>
      <c r="M13" s="563">
        <v>659.62979106994203</v>
      </c>
    </row>
    <row r="14" spans="1:13">
      <c r="A14" s="289" t="s">
        <v>487</v>
      </c>
      <c r="B14" s="454">
        <v>3185.7576724901051</v>
      </c>
      <c r="C14" s="562">
        <v>1944.1015951818742</v>
      </c>
      <c r="D14" s="562">
        <v>1042.2953493782668</v>
      </c>
      <c r="E14" s="562">
        <v>901.80624580353117</v>
      </c>
      <c r="F14" s="562"/>
      <c r="G14" s="562">
        <v>216.75461694387565</v>
      </c>
      <c r="H14" s="562">
        <v>99.011368233622349</v>
      </c>
      <c r="I14" s="562">
        <v>117.74324871025355</v>
      </c>
      <c r="J14" s="562"/>
      <c r="K14" s="562">
        <v>1024.9014603642506</v>
      </c>
      <c r="L14" s="562">
        <v>483.01491800456205</v>
      </c>
      <c r="M14" s="562">
        <v>541.88654235968875</v>
      </c>
    </row>
    <row r="15" spans="1:13" s="72" customFormat="1">
      <c r="A15" s="289" t="s">
        <v>488</v>
      </c>
      <c r="B15" s="454">
        <v>603.43414964004842</v>
      </c>
      <c r="C15" s="562">
        <v>260.90833521022063</v>
      </c>
      <c r="D15" s="562">
        <v>141.82709503735083</v>
      </c>
      <c r="E15" s="562">
        <v>119.08124017287007</v>
      </c>
      <c r="F15" s="562"/>
      <c r="G15" s="562">
        <v>76.265513369141601</v>
      </c>
      <c r="H15" s="562">
        <v>36.125769490646022</v>
      </c>
      <c r="I15" s="562">
        <v>40.139743878495587</v>
      </c>
      <c r="J15" s="562"/>
      <c r="K15" s="562">
        <v>266.26030106068669</v>
      </c>
      <c r="L15" s="562">
        <v>148.5170523504334</v>
      </c>
      <c r="M15" s="562">
        <v>117.74324871025355</v>
      </c>
    </row>
    <row r="16" spans="1:13">
      <c r="A16" s="290" t="s">
        <v>489</v>
      </c>
      <c r="B16" s="455">
        <v>342.52581442982802</v>
      </c>
      <c r="C16" s="563">
        <v>169.92491575229764</v>
      </c>
      <c r="D16" s="563">
        <v>80.279487756991145</v>
      </c>
      <c r="E16" s="563">
        <v>89.645427995306747</v>
      </c>
      <c r="F16" s="563"/>
      <c r="G16" s="563">
        <v>17.393889014014754</v>
      </c>
      <c r="H16" s="563">
        <v>8.0279487756991159</v>
      </c>
      <c r="I16" s="563">
        <v>9.3659402383156358</v>
      </c>
      <c r="J16" s="563"/>
      <c r="K16" s="563">
        <v>155.20700966351598</v>
      </c>
      <c r="L16" s="563">
        <v>76.265513369141601</v>
      </c>
      <c r="M16" s="563">
        <v>78.94149629437463</v>
      </c>
    </row>
    <row r="17" spans="1:13" s="72" customFormat="1">
      <c r="A17" s="289" t="s">
        <v>489</v>
      </c>
      <c r="B17" s="454">
        <v>235.48649742050685</v>
      </c>
      <c r="C17" s="562">
        <v>133.79914626165174</v>
      </c>
      <c r="D17" s="562">
        <v>61.547607280359934</v>
      </c>
      <c r="E17" s="562">
        <v>72.251538981292057</v>
      </c>
      <c r="F17" s="562"/>
      <c r="G17" s="562">
        <v>9.3659402383156358</v>
      </c>
      <c r="H17" s="562">
        <v>5.351965850466077</v>
      </c>
      <c r="I17" s="562">
        <v>4.013974387849558</v>
      </c>
      <c r="J17" s="562"/>
      <c r="K17" s="562">
        <v>92.321410920539776</v>
      </c>
      <c r="L17" s="562">
        <v>48.167692654194717</v>
      </c>
      <c r="M17" s="562">
        <v>44.153718266345152</v>
      </c>
    </row>
    <row r="18" spans="1:13">
      <c r="A18" s="289" t="s">
        <v>490</v>
      </c>
      <c r="B18" s="454">
        <v>107.03931700932144</v>
      </c>
      <c r="C18" s="562">
        <v>36.125769490646022</v>
      </c>
      <c r="D18" s="562">
        <v>18.731880476631272</v>
      </c>
      <c r="E18" s="562">
        <v>17.393889014014754</v>
      </c>
      <c r="F18" s="562"/>
      <c r="G18" s="562">
        <v>8.0279487756991159</v>
      </c>
      <c r="H18" s="562">
        <v>2.6759829252330385</v>
      </c>
      <c r="I18" s="562">
        <v>5.351965850466077</v>
      </c>
      <c r="J18" s="562"/>
      <c r="K18" s="562">
        <v>62.885598742976455</v>
      </c>
      <c r="L18" s="562">
        <v>28.097820714946899</v>
      </c>
      <c r="M18" s="562">
        <v>34.7877780280295</v>
      </c>
    </row>
    <row r="19" spans="1:13" s="72" customFormat="1">
      <c r="A19" s="290" t="s">
        <v>491</v>
      </c>
      <c r="B19" s="455">
        <v>1350.0333857800913</v>
      </c>
      <c r="C19" s="563">
        <v>393.36949000925557</v>
      </c>
      <c r="D19" s="563">
        <v>211.40265109340959</v>
      </c>
      <c r="E19" s="563">
        <v>181.96683891584627</v>
      </c>
      <c r="F19" s="563"/>
      <c r="G19" s="563">
        <v>84.293462144840689</v>
      </c>
      <c r="H19" s="563">
        <v>41.477735341112108</v>
      </c>
      <c r="I19" s="563">
        <v>42.81572680372863</v>
      </c>
      <c r="J19" s="563"/>
      <c r="K19" s="563">
        <v>872.37043362596785</v>
      </c>
      <c r="L19" s="563">
        <v>456.25508875223176</v>
      </c>
      <c r="M19" s="563">
        <v>416.11534487373632</v>
      </c>
    </row>
    <row r="20" spans="1:13">
      <c r="A20" s="289" t="s">
        <v>491</v>
      </c>
      <c r="B20" s="454">
        <v>1350.0333857800913</v>
      </c>
      <c r="C20" s="562">
        <v>393.36949000925557</v>
      </c>
      <c r="D20" s="562">
        <v>211.40265109340959</v>
      </c>
      <c r="E20" s="562">
        <v>181.96683891584627</v>
      </c>
      <c r="F20" s="562"/>
      <c r="G20" s="562">
        <v>84.293462144840689</v>
      </c>
      <c r="H20" s="562">
        <v>41.477735341112108</v>
      </c>
      <c r="I20" s="562">
        <v>42.81572680372863</v>
      </c>
      <c r="J20" s="562"/>
      <c r="K20" s="562">
        <v>872.37043362596785</v>
      </c>
      <c r="L20" s="562">
        <v>456.25508875223176</v>
      </c>
      <c r="M20" s="562">
        <v>416.11534487373632</v>
      </c>
    </row>
    <row r="21" spans="1:13" s="72" customFormat="1">
      <c r="A21" s="290" t="s">
        <v>499</v>
      </c>
      <c r="B21" s="455">
        <v>594.06820940173282</v>
      </c>
      <c r="C21" s="563">
        <v>207.38867670556004</v>
      </c>
      <c r="D21" s="563">
        <v>107.03931700932144</v>
      </c>
      <c r="E21" s="563">
        <v>100.34935969623886</v>
      </c>
      <c r="F21" s="563"/>
      <c r="G21" s="563">
        <v>37.463760953262543</v>
      </c>
      <c r="H21" s="563">
        <v>22.745854864480826</v>
      </c>
      <c r="I21" s="563">
        <v>14.717906088781715</v>
      </c>
      <c r="J21" s="563"/>
      <c r="K21" s="563">
        <v>349.21577174291059</v>
      </c>
      <c r="L21" s="563">
        <v>172.60089867753067</v>
      </c>
      <c r="M21" s="563">
        <v>176.61487306538021</v>
      </c>
    </row>
    <row r="22" spans="1:13">
      <c r="A22" s="289" t="s">
        <v>492</v>
      </c>
      <c r="B22" s="454">
        <v>594.06820940173282</v>
      </c>
      <c r="C22" s="562">
        <v>207.38867670556004</v>
      </c>
      <c r="D22" s="562">
        <v>107.03931700932144</v>
      </c>
      <c r="E22" s="562">
        <v>100.34935969623886</v>
      </c>
      <c r="F22" s="562"/>
      <c r="G22" s="562">
        <v>37.463760953262543</v>
      </c>
      <c r="H22" s="562">
        <v>22.745854864480826</v>
      </c>
      <c r="I22" s="562">
        <v>14.717906088781715</v>
      </c>
      <c r="J22" s="562"/>
      <c r="K22" s="562">
        <v>349.21577174291059</v>
      </c>
      <c r="L22" s="562">
        <v>172.60089867753067</v>
      </c>
      <c r="M22" s="562">
        <v>176.61487306538021</v>
      </c>
    </row>
    <row r="23" spans="1:13">
      <c r="A23" s="290" t="s">
        <v>493</v>
      </c>
      <c r="B23" s="455">
        <v>373.29961807000785</v>
      </c>
      <c r="C23" s="563">
        <v>181.96683891584627</v>
      </c>
      <c r="D23" s="563">
        <v>111.05329139717098</v>
      </c>
      <c r="E23" s="563">
        <v>70.913547518675543</v>
      </c>
      <c r="F23" s="563"/>
      <c r="G23" s="563">
        <v>16.055897551398235</v>
      </c>
      <c r="H23" s="563">
        <v>5.351965850466077</v>
      </c>
      <c r="I23" s="563">
        <v>10.703931700932156</v>
      </c>
      <c r="J23" s="563"/>
      <c r="K23" s="563">
        <v>175.27688160276369</v>
      </c>
      <c r="L23" s="563">
        <v>89.645427995306747</v>
      </c>
      <c r="M23" s="563">
        <v>85.631453607457203</v>
      </c>
    </row>
    <row r="24" spans="1:13" s="72" customFormat="1">
      <c r="A24" s="289" t="s">
        <v>493</v>
      </c>
      <c r="B24" s="454">
        <v>373.29961807000785</v>
      </c>
      <c r="C24" s="562">
        <v>181.96683891584627</v>
      </c>
      <c r="D24" s="562">
        <v>111.05329139717098</v>
      </c>
      <c r="E24" s="562">
        <v>70.913547518675543</v>
      </c>
      <c r="F24" s="562"/>
      <c r="G24" s="562">
        <v>16.055897551398235</v>
      </c>
      <c r="H24" s="562">
        <v>5.351965850466077</v>
      </c>
      <c r="I24" s="562">
        <v>10.703931700932156</v>
      </c>
      <c r="J24" s="562"/>
      <c r="K24" s="562">
        <v>175.27688160276369</v>
      </c>
      <c r="L24" s="562">
        <v>89.645427995306747</v>
      </c>
      <c r="M24" s="562">
        <v>85.631453607457203</v>
      </c>
    </row>
    <row r="25" spans="1:13">
      <c r="A25" s="290" t="s">
        <v>494</v>
      </c>
      <c r="B25" s="455">
        <v>442.87517412606661</v>
      </c>
      <c r="C25" s="563">
        <v>159.22098405136552</v>
      </c>
      <c r="D25" s="563">
        <v>86.969445070073718</v>
      </c>
      <c r="E25" s="563">
        <v>72.251538981292057</v>
      </c>
      <c r="F25" s="563"/>
      <c r="G25" s="563">
        <v>40.139743878495587</v>
      </c>
      <c r="H25" s="563">
        <v>20.06987193924779</v>
      </c>
      <c r="I25" s="563">
        <v>20.06987193924779</v>
      </c>
      <c r="J25" s="563"/>
      <c r="K25" s="563">
        <v>243.51444619620594</v>
      </c>
      <c r="L25" s="563">
        <v>107.03931700932144</v>
      </c>
      <c r="M25" s="563">
        <v>136.47512918688477</v>
      </c>
    </row>
    <row r="26" spans="1:13" s="72" customFormat="1">
      <c r="A26" s="289" t="s">
        <v>495</v>
      </c>
      <c r="B26" s="454">
        <v>246.19042912143897</v>
      </c>
      <c r="C26" s="562">
        <v>90.983419457923262</v>
      </c>
      <c r="D26" s="562">
        <v>52.181667042044282</v>
      </c>
      <c r="E26" s="562">
        <v>38.801752415879065</v>
      </c>
      <c r="F26" s="562"/>
      <c r="G26" s="562">
        <v>25.421837789713862</v>
      </c>
      <c r="H26" s="562">
        <v>16.055897551398235</v>
      </c>
      <c r="I26" s="562">
        <v>9.3659402383156358</v>
      </c>
      <c r="J26" s="562"/>
      <c r="K26" s="562">
        <v>129.7851718738022</v>
      </c>
      <c r="L26" s="562">
        <v>61.547607280359934</v>
      </c>
      <c r="M26" s="562">
        <v>68.237564593442514</v>
      </c>
    </row>
    <row r="27" spans="1:13">
      <c r="A27" s="289" t="s">
        <v>496</v>
      </c>
      <c r="B27" s="454">
        <v>196.68474500462793</v>
      </c>
      <c r="C27" s="562">
        <v>68.237564593442514</v>
      </c>
      <c r="D27" s="562">
        <v>34.7877780280295</v>
      </c>
      <c r="E27" s="562">
        <v>33.449786565412978</v>
      </c>
      <c r="F27" s="562"/>
      <c r="G27" s="562">
        <v>14.717906088781715</v>
      </c>
      <c r="H27" s="562">
        <v>4.013974387849558</v>
      </c>
      <c r="I27" s="562">
        <v>10.703931700932156</v>
      </c>
      <c r="J27" s="562"/>
      <c r="K27" s="562">
        <v>113.72927432240401</v>
      </c>
      <c r="L27" s="562">
        <v>45.491709728961673</v>
      </c>
      <c r="M27" s="562">
        <v>68.237564593442514</v>
      </c>
    </row>
    <row r="28" spans="1:13" s="72" customFormat="1">
      <c r="A28" s="290" t="s">
        <v>497</v>
      </c>
      <c r="B28" s="455">
        <v>773.35906539234577</v>
      </c>
      <c r="C28" s="563">
        <v>37.463760953262543</v>
      </c>
      <c r="D28" s="563">
        <v>17.393889014014754</v>
      </c>
      <c r="E28" s="563">
        <v>20.06987193924779</v>
      </c>
      <c r="F28" s="563"/>
      <c r="G28" s="563">
        <v>2.6759829252330385</v>
      </c>
      <c r="H28" s="563">
        <v>1.3379914626165192</v>
      </c>
      <c r="I28" s="563">
        <v>1.3379914626165192</v>
      </c>
      <c r="J28" s="563"/>
      <c r="K28" s="563">
        <v>733.21932151385033</v>
      </c>
      <c r="L28" s="563">
        <v>359.91970344384271</v>
      </c>
      <c r="M28" s="563">
        <v>373.29961807000785</v>
      </c>
    </row>
    <row r="29" spans="1:13">
      <c r="A29" s="289" t="s">
        <v>497</v>
      </c>
      <c r="B29" s="454">
        <v>773.35906539234577</v>
      </c>
      <c r="C29" s="562">
        <v>37.463760953262543</v>
      </c>
      <c r="D29" s="562">
        <v>17.393889014014754</v>
      </c>
      <c r="E29" s="562">
        <v>20.06987193924779</v>
      </c>
      <c r="F29" s="562"/>
      <c r="G29" s="562">
        <v>2.6759829252330385</v>
      </c>
      <c r="H29" s="562">
        <v>1.3379914626165192</v>
      </c>
      <c r="I29" s="562">
        <v>1.3379914626165192</v>
      </c>
      <c r="J29" s="562"/>
      <c r="K29" s="562">
        <v>733.21932151385033</v>
      </c>
      <c r="L29" s="562">
        <v>359.91970344384271</v>
      </c>
      <c r="M29" s="562">
        <v>373.29961807000785</v>
      </c>
    </row>
    <row r="30" spans="1:13">
      <c r="A30" s="290" t="s">
        <v>498</v>
      </c>
      <c r="B30" s="455">
        <v>351.89175466814362</v>
      </c>
      <c r="C30" s="563">
        <v>160.55897551398203</v>
      </c>
      <c r="D30" s="563">
        <v>85.631453607457203</v>
      </c>
      <c r="E30" s="563">
        <v>74.927521906525087</v>
      </c>
      <c r="F30" s="563"/>
      <c r="G30" s="563">
        <v>30.773803640179935</v>
      </c>
      <c r="H30" s="563">
        <v>17.393889014014754</v>
      </c>
      <c r="I30" s="563">
        <v>13.379914626165196</v>
      </c>
      <c r="J30" s="563"/>
      <c r="K30" s="563">
        <v>160.55897551398203</v>
      </c>
      <c r="L30" s="563">
        <v>81.61747921960766</v>
      </c>
      <c r="M30" s="563">
        <v>78.94149629437463</v>
      </c>
    </row>
    <row r="31" spans="1:13">
      <c r="A31" s="289" t="s">
        <v>498</v>
      </c>
      <c r="B31" s="454">
        <v>351.89175466814362</v>
      </c>
      <c r="C31" s="562">
        <v>160.55897551398203</v>
      </c>
      <c r="D31" s="562">
        <v>85.631453607457203</v>
      </c>
      <c r="E31" s="562">
        <v>74.927521906525087</v>
      </c>
      <c r="F31" s="562"/>
      <c r="G31" s="562">
        <v>30.773803640179935</v>
      </c>
      <c r="H31" s="562">
        <v>17.393889014014754</v>
      </c>
      <c r="I31" s="562">
        <v>13.379914626165196</v>
      </c>
      <c r="J31" s="562"/>
      <c r="K31" s="562">
        <v>160.55897551398203</v>
      </c>
      <c r="L31" s="562">
        <v>81.61747921960766</v>
      </c>
      <c r="M31" s="562">
        <v>78.94149629437463</v>
      </c>
    </row>
  </sheetData>
  <mergeCells count="7">
    <mergeCell ref="C3:E3"/>
    <mergeCell ref="A2:A4"/>
    <mergeCell ref="B2:B4"/>
    <mergeCell ref="A1:M1"/>
    <mergeCell ref="C2:M2"/>
    <mergeCell ref="G3:I3"/>
    <mergeCell ref="K3:M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A56"/>
  <sheetViews>
    <sheetView zoomScaleNormal="100" workbookViewId="0">
      <selection activeCell="M12" sqref="M12"/>
    </sheetView>
  </sheetViews>
  <sheetFormatPr defaultColWidth="9.140625" defaultRowHeight="12"/>
  <cols>
    <col min="1" max="1" width="23.28515625" style="69" customWidth="1"/>
    <col min="2" max="2" width="12.85546875" style="69" customWidth="1"/>
    <col min="3" max="3" width="16.42578125" style="69" customWidth="1"/>
    <col min="4" max="6" width="11.140625" style="69" bestFit="1" customWidth="1"/>
    <col min="7" max="7" width="2.7109375" style="69" customWidth="1"/>
    <col min="8" max="10" width="11.140625" style="69" bestFit="1" customWidth="1"/>
    <col min="11" max="11" width="4.42578125" style="69" customWidth="1"/>
    <col min="12" max="14" width="11.140625" style="69" bestFit="1" customWidth="1"/>
    <col min="15" max="15" width="3" style="69" customWidth="1"/>
    <col min="16" max="18" width="10.28515625" style="69" bestFit="1" customWidth="1"/>
    <col min="19" max="19" width="2.28515625" style="69" customWidth="1"/>
    <col min="20" max="20" width="11.140625" style="69" bestFit="1" customWidth="1"/>
    <col min="21" max="21" width="10.28515625" style="69" bestFit="1" customWidth="1"/>
    <col min="22" max="22" width="11.140625" style="69" bestFit="1" customWidth="1"/>
    <col min="23" max="23" width="3.28515625" style="69" customWidth="1"/>
    <col min="24" max="26" width="9.28515625" style="69" bestFit="1" customWidth="1"/>
    <col min="27" max="16384" width="9.140625" style="69"/>
  </cols>
  <sheetData>
    <row r="1" spans="1:26">
      <c r="A1" s="810" t="s">
        <v>522</v>
      </c>
      <c r="B1" s="810"/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810"/>
      <c r="N1" s="810"/>
      <c r="O1" s="810"/>
      <c r="P1" s="810"/>
      <c r="Q1" s="810"/>
      <c r="R1" s="810"/>
      <c r="S1" s="810"/>
      <c r="T1" s="810"/>
      <c r="U1" s="810"/>
      <c r="V1" s="810"/>
      <c r="W1" s="810"/>
      <c r="X1" s="810"/>
      <c r="Y1" s="810"/>
      <c r="Z1" s="810"/>
    </row>
    <row r="2" spans="1:26" ht="12" customHeight="1">
      <c r="A2" s="792" t="str">
        <f>'[1]Q 8.9'!$A$2</f>
        <v>Área de residência, município e comuna</v>
      </c>
      <c r="B2" s="813" t="s">
        <v>225</v>
      </c>
      <c r="C2" s="813" t="s">
        <v>226</v>
      </c>
      <c r="D2" s="811" t="s">
        <v>227</v>
      </c>
      <c r="E2" s="811"/>
      <c r="F2" s="811"/>
      <c r="G2" s="811"/>
      <c r="H2" s="811"/>
      <c r="I2" s="811"/>
      <c r="J2" s="811"/>
      <c r="K2" s="811"/>
      <c r="L2" s="811"/>
      <c r="M2" s="811"/>
      <c r="N2" s="811"/>
      <c r="O2" s="811"/>
      <c r="P2" s="811"/>
      <c r="Q2" s="811"/>
      <c r="R2" s="811"/>
      <c r="S2" s="811"/>
      <c r="T2" s="811"/>
      <c r="U2" s="811"/>
      <c r="V2" s="811"/>
      <c r="W2" s="811"/>
      <c r="X2" s="811"/>
      <c r="Y2" s="811"/>
      <c r="Z2" s="811"/>
    </row>
    <row r="3" spans="1:26">
      <c r="A3" s="793"/>
      <c r="B3" s="812"/>
      <c r="C3" s="812"/>
      <c r="D3" s="812" t="s">
        <v>228</v>
      </c>
      <c r="E3" s="812"/>
      <c r="F3" s="812"/>
      <c r="G3" s="291"/>
      <c r="H3" s="812" t="s">
        <v>223</v>
      </c>
      <c r="I3" s="812"/>
      <c r="J3" s="812"/>
      <c r="K3" s="291"/>
      <c r="L3" s="812" t="s">
        <v>224</v>
      </c>
      <c r="M3" s="812"/>
      <c r="N3" s="812"/>
      <c r="O3" s="291"/>
      <c r="P3" s="812" t="s">
        <v>229</v>
      </c>
      <c r="Q3" s="812"/>
      <c r="R3" s="812"/>
      <c r="S3" s="291"/>
      <c r="T3" s="812" t="s">
        <v>230</v>
      </c>
      <c r="U3" s="812"/>
      <c r="V3" s="812"/>
      <c r="W3" s="291"/>
      <c r="X3" s="812" t="s">
        <v>107</v>
      </c>
      <c r="Y3" s="812"/>
      <c r="Z3" s="812"/>
    </row>
    <row r="4" spans="1:26">
      <c r="A4" s="794"/>
      <c r="B4" s="814"/>
      <c r="C4" s="814"/>
      <c r="D4" s="292" t="s">
        <v>1</v>
      </c>
      <c r="E4" s="292" t="s">
        <v>2</v>
      </c>
      <c r="F4" s="292" t="s">
        <v>3</v>
      </c>
      <c r="G4" s="293"/>
      <c r="H4" s="292" t="s">
        <v>1</v>
      </c>
      <c r="I4" s="292" t="s">
        <v>2</v>
      </c>
      <c r="J4" s="292" t="s">
        <v>3</v>
      </c>
      <c r="K4" s="293"/>
      <c r="L4" s="292" t="s">
        <v>1</v>
      </c>
      <c r="M4" s="292" t="s">
        <v>2</v>
      </c>
      <c r="N4" s="292" t="s">
        <v>3</v>
      </c>
      <c r="O4" s="293"/>
      <c r="P4" s="292" t="s">
        <v>1</v>
      </c>
      <c r="Q4" s="292" t="s">
        <v>2</v>
      </c>
      <c r="R4" s="292" t="s">
        <v>3</v>
      </c>
      <c r="S4" s="293"/>
      <c r="T4" s="292" t="s">
        <v>1</v>
      </c>
      <c r="U4" s="292" t="s">
        <v>2</v>
      </c>
      <c r="V4" s="292" t="s">
        <v>3</v>
      </c>
      <c r="W4" s="293"/>
      <c r="X4" s="292" t="s">
        <v>1</v>
      </c>
      <c r="Y4" s="292" t="s">
        <v>2</v>
      </c>
      <c r="Z4" s="292" t="s">
        <v>3</v>
      </c>
    </row>
    <row r="5" spans="1:26">
      <c r="A5" s="294" t="s">
        <v>500</v>
      </c>
      <c r="B5" s="456">
        <v>71101.160780580729</v>
      </c>
      <c r="C5" s="456">
        <v>33345.718240208531</v>
      </c>
      <c r="D5" s="456">
        <v>8156.558251760438</v>
      </c>
      <c r="E5" s="456">
        <v>4873.2719154648776</v>
      </c>
      <c r="F5" s="456">
        <v>3283.2863362958565</v>
      </c>
      <c r="G5" s="456"/>
      <c r="H5" s="456">
        <v>10753.351667555273</v>
      </c>
      <c r="I5" s="456">
        <v>6571.7660565770775</v>
      </c>
      <c r="J5" s="456">
        <v>4181.5856109774704</v>
      </c>
      <c r="K5" s="456"/>
      <c r="L5" s="456">
        <v>4316.3666772994175</v>
      </c>
      <c r="M5" s="456">
        <v>2979.7847985617286</v>
      </c>
      <c r="N5" s="456">
        <v>1336.5818787377677</v>
      </c>
      <c r="O5" s="456"/>
      <c r="P5" s="456">
        <v>299.24223774658822</v>
      </c>
      <c r="Q5" s="456">
        <v>228.61766116562271</v>
      </c>
      <c r="R5" s="456">
        <v>70.624576580966064</v>
      </c>
      <c r="S5" s="456"/>
      <c r="T5" s="456">
        <v>9782.6930788614263</v>
      </c>
      <c r="U5" s="456">
        <v>4999.6577353884077</v>
      </c>
      <c r="V5" s="456">
        <v>4783.035343472643</v>
      </c>
      <c r="W5" s="456"/>
      <c r="X5" s="456">
        <v>37.506326985726311</v>
      </c>
      <c r="Y5" s="456">
        <v>25.965918682425905</v>
      </c>
      <c r="Z5" s="456">
        <v>11.540408303300397</v>
      </c>
    </row>
    <row r="6" spans="1:26">
      <c r="A6" s="295"/>
      <c r="B6" s="457"/>
      <c r="C6" s="457"/>
      <c r="D6" s="457"/>
      <c r="E6" s="457"/>
      <c r="F6" s="457"/>
      <c r="G6" s="457"/>
      <c r="H6" s="457"/>
      <c r="I6" s="457"/>
      <c r="J6" s="457"/>
      <c r="K6" s="457"/>
      <c r="L6" s="457"/>
      <c r="M6" s="457"/>
      <c r="N6" s="457"/>
      <c r="O6" s="457"/>
      <c r="P6" s="457"/>
      <c r="Q6" s="457"/>
      <c r="R6" s="457"/>
      <c r="S6" s="457"/>
      <c r="T6" s="457"/>
      <c r="U6" s="457"/>
      <c r="V6" s="457"/>
      <c r="W6" s="457"/>
      <c r="X6" s="457"/>
      <c r="Y6" s="457"/>
      <c r="Z6" s="457"/>
    </row>
    <row r="7" spans="1:26">
      <c r="A7" s="280" t="s">
        <v>111</v>
      </c>
      <c r="B7" s="456"/>
      <c r="C7" s="456"/>
      <c r="D7" s="456"/>
      <c r="E7" s="456"/>
      <c r="F7" s="456"/>
      <c r="G7" s="456"/>
      <c r="H7" s="456"/>
      <c r="I7" s="456"/>
      <c r="J7" s="456"/>
      <c r="K7" s="456"/>
      <c r="L7" s="456"/>
      <c r="M7" s="456"/>
      <c r="N7" s="456"/>
      <c r="O7" s="456"/>
      <c r="P7" s="456"/>
      <c r="Q7" s="456"/>
      <c r="R7" s="456"/>
      <c r="S7" s="456"/>
      <c r="T7" s="456"/>
      <c r="U7" s="456"/>
      <c r="V7" s="456"/>
      <c r="W7" s="456"/>
      <c r="X7" s="456"/>
      <c r="Y7" s="456"/>
      <c r="Z7" s="456"/>
    </row>
    <row r="8" spans="1:26">
      <c r="A8" s="296" t="s">
        <v>4</v>
      </c>
      <c r="B8" s="458">
        <v>26771.397186118123</v>
      </c>
      <c r="C8" s="458">
        <v>16994.341938207031</v>
      </c>
      <c r="D8" s="458">
        <v>4084.5021625740824</v>
      </c>
      <c r="E8" s="458">
        <v>2314.0065744462627</v>
      </c>
      <c r="F8" s="458">
        <v>1770.4955881279354</v>
      </c>
      <c r="G8" s="458"/>
      <c r="H8" s="458">
        <v>5761.094161037523</v>
      </c>
      <c r="I8" s="458">
        <v>3604.442930468545</v>
      </c>
      <c r="J8" s="458">
        <v>2156.6512305690944</v>
      </c>
      <c r="K8" s="458"/>
      <c r="L8" s="458">
        <v>2986.4635890220779</v>
      </c>
      <c r="M8" s="458">
        <v>2056.17094835641</v>
      </c>
      <c r="N8" s="458">
        <v>930.29264066570352</v>
      </c>
      <c r="O8" s="458"/>
      <c r="P8" s="458">
        <v>248.93239610425493</v>
      </c>
      <c r="Q8" s="458">
        <v>191.26281211976874</v>
      </c>
      <c r="R8" s="458">
        <v>57.66958398448643</v>
      </c>
      <c r="S8" s="458"/>
      <c r="T8" s="458">
        <v>3900.3666701251809</v>
      </c>
      <c r="U8" s="458">
        <v>1849.7364667909821</v>
      </c>
      <c r="V8" s="458">
        <v>2050.6302033343022</v>
      </c>
      <c r="W8" s="458"/>
      <c r="X8" s="458">
        <v>12.982959341212947</v>
      </c>
      <c r="Y8" s="458">
        <v>10.097857265387848</v>
      </c>
      <c r="Z8" s="458">
        <v>2.8851020758250998</v>
      </c>
    </row>
    <row r="9" spans="1:26">
      <c r="A9" s="296" t="s">
        <v>5</v>
      </c>
      <c r="B9" s="458">
        <v>44329.763594465119</v>
      </c>
      <c r="C9" s="458">
        <v>16351.376302006523</v>
      </c>
      <c r="D9" s="458">
        <v>4072.0560891866608</v>
      </c>
      <c r="E9" s="458">
        <v>2559.2653410187513</v>
      </c>
      <c r="F9" s="458">
        <v>1512.7907481679965</v>
      </c>
      <c r="G9" s="458"/>
      <c r="H9" s="458">
        <v>4992.2575065170477</v>
      </c>
      <c r="I9" s="458">
        <v>2967.323126108653</v>
      </c>
      <c r="J9" s="458">
        <v>2024.9343804085092</v>
      </c>
      <c r="K9" s="458"/>
      <c r="L9" s="458">
        <v>1329.9030882774186</v>
      </c>
      <c r="M9" s="458">
        <v>923.61385020535579</v>
      </c>
      <c r="N9" s="458">
        <v>406.28923807205808</v>
      </c>
      <c r="O9" s="458"/>
      <c r="P9" s="458">
        <v>50.309841642333687</v>
      </c>
      <c r="Q9" s="458">
        <v>37.354849045854039</v>
      </c>
      <c r="R9" s="458">
        <v>12.954992596479617</v>
      </c>
      <c r="S9" s="458"/>
      <c r="T9" s="458">
        <v>5882.326408735843</v>
      </c>
      <c r="U9" s="458">
        <v>3149.9212685975008</v>
      </c>
      <c r="V9" s="458">
        <v>2732.4051401384718</v>
      </c>
      <c r="W9" s="458"/>
      <c r="X9" s="458">
        <v>24.523367644513353</v>
      </c>
      <c r="Y9" s="458">
        <v>15.868061417038046</v>
      </c>
      <c r="Z9" s="458">
        <v>8.6553062274752985</v>
      </c>
    </row>
    <row r="10" spans="1:26">
      <c r="A10" s="246" t="s">
        <v>448</v>
      </c>
      <c r="B10" s="456"/>
      <c r="C10" s="456"/>
      <c r="D10" s="456"/>
      <c r="E10" s="456"/>
      <c r="F10" s="456"/>
      <c r="G10" s="456"/>
      <c r="H10" s="456"/>
      <c r="I10" s="456"/>
      <c r="J10" s="456"/>
      <c r="K10" s="456"/>
      <c r="L10" s="456"/>
      <c r="M10" s="456"/>
      <c r="N10" s="456"/>
      <c r="O10" s="456"/>
      <c r="P10" s="456"/>
      <c r="Q10" s="456"/>
      <c r="R10" s="456"/>
      <c r="S10" s="456"/>
      <c r="T10" s="456"/>
      <c r="U10" s="456"/>
      <c r="V10" s="456"/>
      <c r="W10" s="456"/>
      <c r="X10" s="456"/>
      <c r="Y10" s="456"/>
      <c r="Z10" s="456"/>
    </row>
    <row r="11" spans="1:26">
      <c r="A11" s="295" t="s">
        <v>486</v>
      </c>
      <c r="B11" s="457">
        <v>11611.237978801968</v>
      </c>
      <c r="C11" s="457">
        <v>7426.077452368103</v>
      </c>
      <c r="D11" s="457">
        <v>1943.5551101124129</v>
      </c>
      <c r="E11" s="457">
        <v>1082.5764559613203</v>
      </c>
      <c r="F11" s="457">
        <v>860.97865415107651</v>
      </c>
      <c r="G11" s="457"/>
      <c r="H11" s="457">
        <v>2097.0633916913343</v>
      </c>
      <c r="I11" s="457">
        <v>1236.3842257218346</v>
      </c>
      <c r="J11" s="457">
        <v>860.67916596948055</v>
      </c>
      <c r="K11" s="457"/>
      <c r="L11" s="457">
        <v>1017.2547117761968</v>
      </c>
      <c r="M11" s="457">
        <v>690.61168299016367</v>
      </c>
      <c r="N11" s="457">
        <v>326.64302878603422</v>
      </c>
      <c r="O11" s="457"/>
      <c r="P11" s="457">
        <v>80.5602468620568</v>
      </c>
      <c r="Q11" s="457">
        <v>57.481900188461218</v>
      </c>
      <c r="R11" s="457">
        <v>23.078346673595544</v>
      </c>
      <c r="S11" s="457"/>
      <c r="T11" s="457">
        <v>2281.8737877748044</v>
      </c>
      <c r="U11" s="457">
        <v>1127.4982712402154</v>
      </c>
      <c r="V11" s="457">
        <v>1154.3755165345849</v>
      </c>
      <c r="W11" s="457"/>
      <c r="X11" s="457">
        <v>5.7702041516501996</v>
      </c>
      <c r="Y11" s="457">
        <v>4.3276531137376502</v>
      </c>
      <c r="Z11" s="457">
        <v>1.4425510379125499</v>
      </c>
    </row>
    <row r="12" spans="1:26">
      <c r="A12" s="416" t="s">
        <v>486</v>
      </c>
      <c r="B12" s="458">
        <v>11611.237978801968</v>
      </c>
      <c r="C12" s="458">
        <v>7426.077452368103</v>
      </c>
      <c r="D12" s="458">
        <v>1943.5551101124129</v>
      </c>
      <c r="E12" s="458">
        <v>1082.5764559613203</v>
      </c>
      <c r="F12" s="458">
        <v>860.97865415107651</v>
      </c>
      <c r="G12" s="458"/>
      <c r="H12" s="458">
        <v>2097.0633916913343</v>
      </c>
      <c r="I12" s="458">
        <v>1236.3842257218346</v>
      </c>
      <c r="J12" s="458">
        <v>860.67916596948055</v>
      </c>
      <c r="K12" s="458"/>
      <c r="L12" s="458">
        <v>1017.2547117761968</v>
      </c>
      <c r="M12" s="458">
        <v>690.61168299016367</v>
      </c>
      <c r="N12" s="458">
        <v>326.64302878603422</v>
      </c>
      <c r="O12" s="458"/>
      <c r="P12" s="458">
        <v>80.5602468620568</v>
      </c>
      <c r="Q12" s="458">
        <v>57.481900188461218</v>
      </c>
      <c r="R12" s="458">
        <v>23.078346673595544</v>
      </c>
      <c r="S12" s="458"/>
      <c r="T12" s="458">
        <v>2281.8737877748044</v>
      </c>
      <c r="U12" s="458">
        <v>1127.4982712402154</v>
      </c>
      <c r="V12" s="458">
        <v>1154.3755165345849</v>
      </c>
      <c r="W12" s="458"/>
      <c r="X12" s="458">
        <v>5.7702041516501996</v>
      </c>
      <c r="Y12" s="458">
        <v>4.3276531137376502</v>
      </c>
      <c r="Z12" s="458">
        <v>1.4425510379125499</v>
      </c>
    </row>
    <row r="13" spans="1:26">
      <c r="A13" s="295" t="s">
        <v>487</v>
      </c>
      <c r="B13" s="457">
        <v>25449.45703275497</v>
      </c>
      <c r="C13" s="457">
        <v>14075.885465866128</v>
      </c>
      <c r="D13" s="457">
        <v>3638.9992285692551</v>
      </c>
      <c r="E13" s="457">
        <v>2365.0809922141548</v>
      </c>
      <c r="F13" s="457">
        <v>1273.9182363551731</v>
      </c>
      <c r="G13" s="457"/>
      <c r="H13" s="457">
        <v>4496.4052526039059</v>
      </c>
      <c r="I13" s="457">
        <v>3019.2849159310526</v>
      </c>
      <c r="J13" s="457">
        <v>1477.1203366729519</v>
      </c>
      <c r="K13" s="457"/>
      <c r="L13" s="457">
        <v>1753.4299640981137</v>
      </c>
      <c r="M13" s="457">
        <v>1295.2575534996499</v>
      </c>
      <c r="N13" s="457">
        <v>458.1724105984519</v>
      </c>
      <c r="O13" s="457"/>
      <c r="P13" s="457">
        <v>146.73567998842321</v>
      </c>
      <c r="Q13" s="457">
        <v>113.58676917608092</v>
      </c>
      <c r="R13" s="457">
        <v>33.148910812342407</v>
      </c>
      <c r="S13" s="457"/>
      <c r="T13" s="457">
        <v>4028.7749323012358</v>
      </c>
      <c r="U13" s="457">
        <v>2014.3939239741758</v>
      </c>
      <c r="V13" s="457">
        <v>2014.3810083271771</v>
      </c>
      <c r="W13" s="457"/>
      <c r="X13" s="457">
        <v>11.540408303300397</v>
      </c>
      <c r="Y13" s="457">
        <v>10.097857265387848</v>
      </c>
      <c r="Z13" s="457">
        <v>1.4425510379125499</v>
      </c>
    </row>
    <row r="14" spans="1:26">
      <c r="A14" s="416" t="s">
        <v>487</v>
      </c>
      <c r="B14" s="458">
        <v>22229.883807051679</v>
      </c>
      <c r="C14" s="458">
        <v>12678.363837099147</v>
      </c>
      <c r="D14" s="458">
        <v>3209.1466074323966</v>
      </c>
      <c r="E14" s="458">
        <v>2068.5214048144844</v>
      </c>
      <c r="F14" s="458">
        <v>1140.6252026179782</v>
      </c>
      <c r="G14" s="458"/>
      <c r="H14" s="458">
        <v>4293.8618840055078</v>
      </c>
      <c r="I14" s="458">
        <v>2864.1460913516221</v>
      </c>
      <c r="J14" s="458">
        <v>1429.7157926539739</v>
      </c>
      <c r="K14" s="458"/>
      <c r="L14" s="458">
        <v>1690.1721094150764</v>
      </c>
      <c r="M14" s="458">
        <v>1244.9067536601913</v>
      </c>
      <c r="N14" s="458">
        <v>445.26535575487304</v>
      </c>
      <c r="O14" s="458"/>
      <c r="P14" s="458">
        <v>139.57706197341426</v>
      </c>
      <c r="Q14" s="458">
        <v>107.87047765962035</v>
      </c>
      <c r="R14" s="458">
        <v>31.706584313793972</v>
      </c>
      <c r="S14" s="458"/>
      <c r="T14" s="458">
        <v>3335.5083170060375</v>
      </c>
      <c r="U14" s="458">
        <v>1621.9129708663475</v>
      </c>
      <c r="V14" s="458">
        <v>1713.5953461397601</v>
      </c>
      <c r="W14" s="458"/>
      <c r="X14" s="458">
        <v>10.097857265387848</v>
      </c>
      <c r="Y14" s="458">
        <v>8.6553062274752985</v>
      </c>
      <c r="Z14" s="458">
        <v>1.4425510379125499</v>
      </c>
    </row>
    <row r="15" spans="1:26">
      <c r="A15" s="416" t="s">
        <v>488</v>
      </c>
      <c r="B15" s="458">
        <v>3219.5732257040972</v>
      </c>
      <c r="C15" s="458">
        <v>1397.5216287664957</v>
      </c>
      <c r="D15" s="458">
        <v>429.85262113688083</v>
      </c>
      <c r="E15" s="458">
        <v>296.55958739968764</v>
      </c>
      <c r="F15" s="458">
        <v>133.2930337371935</v>
      </c>
      <c r="G15" s="458"/>
      <c r="H15" s="458">
        <v>202.54336859841754</v>
      </c>
      <c r="I15" s="458">
        <v>155.13882457944055</v>
      </c>
      <c r="J15" s="458">
        <v>47.40454401897717</v>
      </c>
      <c r="K15" s="458"/>
      <c r="L15" s="458">
        <v>63.257854683036321</v>
      </c>
      <c r="M15" s="458">
        <v>50.350799839457309</v>
      </c>
      <c r="N15" s="458">
        <v>12.907054843578992</v>
      </c>
      <c r="O15" s="458"/>
      <c r="P15" s="458">
        <v>7.158618015009</v>
      </c>
      <c r="Q15" s="458">
        <v>5.7162915164605641</v>
      </c>
      <c r="R15" s="458">
        <v>1.4423264985484361</v>
      </c>
      <c r="S15" s="458"/>
      <c r="T15" s="458">
        <v>693.26661529523119</v>
      </c>
      <c r="U15" s="458">
        <v>392.48095310782367</v>
      </c>
      <c r="V15" s="458">
        <v>300.7856621874098</v>
      </c>
      <c r="W15" s="458"/>
      <c r="X15" s="458">
        <v>1.4425510379125499</v>
      </c>
      <c r="Y15" s="458">
        <v>1.4425510379125499</v>
      </c>
      <c r="Z15" s="458">
        <v>0</v>
      </c>
    </row>
    <row r="16" spans="1:26">
      <c r="A16" s="295" t="s">
        <v>489</v>
      </c>
      <c r="B16" s="457">
        <v>4781.9270755903663</v>
      </c>
      <c r="C16" s="457">
        <v>1927.252956752166</v>
      </c>
      <c r="D16" s="457">
        <v>238.78348169514859</v>
      </c>
      <c r="E16" s="457">
        <v>98.266048552187257</v>
      </c>
      <c r="F16" s="457">
        <v>140.51743314296178</v>
      </c>
      <c r="G16" s="457"/>
      <c r="H16" s="457">
        <v>1001.4871115751233</v>
      </c>
      <c r="I16" s="457">
        <v>516.52026633855428</v>
      </c>
      <c r="J16" s="457">
        <v>484.96684523657319</v>
      </c>
      <c r="K16" s="457"/>
      <c r="L16" s="457">
        <v>399.2699282199203</v>
      </c>
      <c r="M16" s="457">
        <v>225.41974798057194</v>
      </c>
      <c r="N16" s="457">
        <v>173.85018023934899</v>
      </c>
      <c r="O16" s="457"/>
      <c r="P16" s="457">
        <v>38.891148219259293</v>
      </c>
      <c r="Q16" s="457">
        <v>30.2635841971532</v>
      </c>
      <c r="R16" s="457">
        <v>8.6275640221060819</v>
      </c>
      <c r="S16" s="457"/>
      <c r="T16" s="457">
        <v>247.37873600478014</v>
      </c>
      <c r="U16" s="457">
        <v>104.32484688040496</v>
      </c>
      <c r="V16" s="457">
        <v>143.05388912437542</v>
      </c>
      <c r="W16" s="457"/>
      <c r="X16" s="457">
        <v>1.4425510379125499</v>
      </c>
      <c r="Y16" s="457">
        <v>0</v>
      </c>
      <c r="Z16" s="457">
        <v>1.4425510379125499</v>
      </c>
    </row>
    <row r="17" spans="1:26">
      <c r="A17" s="416" t="s">
        <v>489</v>
      </c>
      <c r="B17" s="458">
        <v>3016.1527752315365</v>
      </c>
      <c r="C17" s="458">
        <v>1388.6675806464243</v>
      </c>
      <c r="D17" s="458">
        <v>181.5551598810375</v>
      </c>
      <c r="E17" s="458">
        <v>78.364053444436891</v>
      </c>
      <c r="F17" s="458">
        <v>103.19110643660089</v>
      </c>
      <c r="G17" s="458"/>
      <c r="H17" s="458">
        <v>693.75678544210643</v>
      </c>
      <c r="I17" s="458">
        <v>360.39645198660429</v>
      </c>
      <c r="J17" s="458">
        <v>333.36033345550413</v>
      </c>
      <c r="K17" s="458"/>
      <c r="L17" s="458">
        <v>312.96501103226615</v>
      </c>
      <c r="M17" s="458">
        <v>167.87030710076294</v>
      </c>
      <c r="N17" s="458">
        <v>145.0947039315036</v>
      </c>
      <c r="O17" s="458"/>
      <c r="P17" s="458">
        <v>33.121617685701423</v>
      </c>
      <c r="Q17" s="458">
        <v>27.378706660692213</v>
      </c>
      <c r="R17" s="458">
        <v>5.7429110250092101</v>
      </c>
      <c r="S17" s="458"/>
      <c r="T17" s="458">
        <v>167.26900660530734</v>
      </c>
      <c r="U17" s="458">
        <v>62.911565334064719</v>
      </c>
      <c r="V17" s="458">
        <v>104.35744127124264</v>
      </c>
      <c r="W17" s="458"/>
      <c r="X17" s="458">
        <v>0</v>
      </c>
      <c r="Y17" s="458">
        <v>0</v>
      </c>
      <c r="Z17" s="458">
        <v>0</v>
      </c>
    </row>
    <row r="18" spans="1:26">
      <c r="A18" s="416" t="s">
        <v>490</v>
      </c>
      <c r="B18" s="458">
        <v>1765.7743003589298</v>
      </c>
      <c r="C18" s="458">
        <v>538.58537610572807</v>
      </c>
      <c r="D18" s="458">
        <v>57.228321814111325</v>
      </c>
      <c r="E18" s="458">
        <v>19.901995107750359</v>
      </c>
      <c r="F18" s="458">
        <v>37.326326706360952</v>
      </c>
      <c r="G18" s="458"/>
      <c r="H18" s="458">
        <v>307.7303261330203</v>
      </c>
      <c r="I18" s="458">
        <v>156.1238143519509</v>
      </c>
      <c r="J18" s="458">
        <v>151.60651178107005</v>
      </c>
      <c r="K18" s="458"/>
      <c r="L18" s="458">
        <v>86.304917187654638</v>
      </c>
      <c r="M18" s="458">
        <v>57.549440879809211</v>
      </c>
      <c r="N18" s="458">
        <v>28.755476307845399</v>
      </c>
      <c r="O18" s="458"/>
      <c r="P18" s="458">
        <v>5.7695305335578579</v>
      </c>
      <c r="Q18" s="458">
        <v>2.8848775364609862</v>
      </c>
      <c r="R18" s="458">
        <v>2.8846529970968722</v>
      </c>
      <c r="S18" s="458"/>
      <c r="T18" s="458">
        <v>80.109729399473039</v>
      </c>
      <c r="U18" s="458">
        <v>41.413281546340215</v>
      </c>
      <c r="V18" s="458">
        <v>38.696447853132788</v>
      </c>
      <c r="W18" s="458"/>
      <c r="X18" s="458">
        <v>1.4425510379125499</v>
      </c>
      <c r="Y18" s="458">
        <v>0</v>
      </c>
      <c r="Z18" s="458">
        <v>1.4425510379125499</v>
      </c>
    </row>
    <row r="19" spans="1:26">
      <c r="A19" s="295" t="s">
        <v>491</v>
      </c>
      <c r="B19" s="457">
        <v>9617.3350661423356</v>
      </c>
      <c r="C19" s="457">
        <v>3723.0243150218735</v>
      </c>
      <c r="D19" s="457">
        <v>883.56027100552649</v>
      </c>
      <c r="E19" s="457">
        <v>448.62929422025599</v>
      </c>
      <c r="F19" s="457">
        <v>434.9309767852738</v>
      </c>
      <c r="G19" s="457"/>
      <c r="H19" s="457">
        <v>1136.2171799093783</v>
      </c>
      <c r="I19" s="457">
        <v>611.3056912028427</v>
      </c>
      <c r="J19" s="457">
        <v>524.91148870653706</v>
      </c>
      <c r="K19" s="457"/>
      <c r="L19" s="457">
        <v>507.5305564031259</v>
      </c>
      <c r="M19" s="457">
        <v>337.74145945077544</v>
      </c>
      <c r="N19" s="457">
        <v>169.7890969523514</v>
      </c>
      <c r="O19" s="457"/>
      <c r="P19" s="457">
        <v>21.529766680216628</v>
      </c>
      <c r="Q19" s="457">
        <v>20.087440181668192</v>
      </c>
      <c r="R19" s="457">
        <v>1.4423264985484361</v>
      </c>
      <c r="S19" s="457"/>
      <c r="T19" s="457">
        <v>1172.7439899857707</v>
      </c>
      <c r="U19" s="457">
        <v>637.35718668441029</v>
      </c>
      <c r="V19" s="457">
        <v>535.38680330136287</v>
      </c>
      <c r="W19" s="457"/>
      <c r="X19" s="457">
        <v>1.4425510379125499</v>
      </c>
      <c r="Y19" s="457">
        <v>0</v>
      </c>
      <c r="Z19" s="457">
        <v>1.4425510379125499</v>
      </c>
    </row>
    <row r="20" spans="1:26">
      <c r="A20" s="416" t="s">
        <v>491</v>
      </c>
      <c r="B20" s="458">
        <v>9617.3350661423356</v>
      </c>
      <c r="C20" s="458">
        <v>3723.0243150218735</v>
      </c>
      <c r="D20" s="458">
        <v>883.56027100552649</v>
      </c>
      <c r="E20" s="458">
        <v>448.62929422025599</v>
      </c>
      <c r="F20" s="458">
        <v>434.9309767852738</v>
      </c>
      <c r="G20" s="458"/>
      <c r="H20" s="458">
        <v>1136.2171799093783</v>
      </c>
      <c r="I20" s="458">
        <v>611.3056912028427</v>
      </c>
      <c r="J20" s="458">
        <v>524.91148870653706</v>
      </c>
      <c r="K20" s="458"/>
      <c r="L20" s="458">
        <v>507.5305564031259</v>
      </c>
      <c r="M20" s="458">
        <v>337.74145945077544</v>
      </c>
      <c r="N20" s="458">
        <v>169.7890969523514</v>
      </c>
      <c r="O20" s="458"/>
      <c r="P20" s="458">
        <v>21.529766680216628</v>
      </c>
      <c r="Q20" s="458">
        <v>20.087440181668192</v>
      </c>
      <c r="R20" s="458">
        <v>1.4423264985484361</v>
      </c>
      <c r="S20" s="458"/>
      <c r="T20" s="458">
        <v>1172.7439899857707</v>
      </c>
      <c r="U20" s="458">
        <v>637.35718668441029</v>
      </c>
      <c r="V20" s="458">
        <v>535.38680330136287</v>
      </c>
      <c r="W20" s="458"/>
      <c r="X20" s="458">
        <v>1.4425510379125499</v>
      </c>
      <c r="Y20" s="458">
        <v>0</v>
      </c>
      <c r="Z20" s="458">
        <v>1.4425510379125499</v>
      </c>
    </row>
    <row r="21" spans="1:26">
      <c r="A21" s="295" t="s">
        <v>499</v>
      </c>
      <c r="B21" s="457">
        <v>4465.7316203973905</v>
      </c>
      <c r="C21" s="457">
        <v>1491.6814860979102</v>
      </c>
      <c r="D21" s="457">
        <v>487.2662453314058</v>
      </c>
      <c r="E21" s="457">
        <v>297.61403641990637</v>
      </c>
      <c r="F21" s="457">
        <v>189.65220891149949</v>
      </c>
      <c r="G21" s="457"/>
      <c r="H21" s="457">
        <v>353.67822027139181</v>
      </c>
      <c r="I21" s="457">
        <v>213.51270427005301</v>
      </c>
      <c r="J21" s="457">
        <v>140.16551600133917</v>
      </c>
      <c r="K21" s="457"/>
      <c r="L21" s="457">
        <v>111.99249682344249</v>
      </c>
      <c r="M21" s="457">
        <v>67.472830340926265</v>
      </c>
      <c r="N21" s="457">
        <v>44.519666482516179</v>
      </c>
      <c r="O21" s="457"/>
      <c r="P21" s="457">
        <v>1.4425510379125499</v>
      </c>
      <c r="Q21" s="457">
        <v>1.4425510379125499</v>
      </c>
      <c r="R21" s="457">
        <v>0</v>
      </c>
      <c r="S21" s="457"/>
      <c r="T21" s="457">
        <v>535.85942159584124</v>
      </c>
      <c r="U21" s="457">
        <v>262.91374009884333</v>
      </c>
      <c r="V21" s="457">
        <v>272.94568149699847</v>
      </c>
      <c r="W21" s="457"/>
      <c r="X21" s="457">
        <v>1.4425510379125499</v>
      </c>
      <c r="Y21" s="457">
        <v>0</v>
      </c>
      <c r="Z21" s="457">
        <v>1.4425510379125499</v>
      </c>
    </row>
    <row r="22" spans="1:26">
      <c r="A22" s="416" t="s">
        <v>492</v>
      </c>
      <c r="B22" s="458">
        <v>4465.7316203973905</v>
      </c>
      <c r="C22" s="458">
        <v>1491.6814860979102</v>
      </c>
      <c r="D22" s="458">
        <v>487.2662453314058</v>
      </c>
      <c r="E22" s="458">
        <v>297.61403641990637</v>
      </c>
      <c r="F22" s="458">
        <v>189.65220891149949</v>
      </c>
      <c r="G22" s="458"/>
      <c r="H22" s="458">
        <v>353.67822027139181</v>
      </c>
      <c r="I22" s="458">
        <v>213.51270427005301</v>
      </c>
      <c r="J22" s="458">
        <v>140.16551600133917</v>
      </c>
      <c r="K22" s="458"/>
      <c r="L22" s="458">
        <v>111.99249682344249</v>
      </c>
      <c r="M22" s="458">
        <v>67.472830340926265</v>
      </c>
      <c r="N22" s="458">
        <v>44.519666482516179</v>
      </c>
      <c r="O22" s="458"/>
      <c r="P22" s="458">
        <v>1.4425510379125499</v>
      </c>
      <c r="Q22" s="458">
        <v>1.4425510379125499</v>
      </c>
      <c r="R22" s="458">
        <v>0</v>
      </c>
      <c r="S22" s="458"/>
      <c r="T22" s="458">
        <v>535.85942159584124</v>
      </c>
      <c r="U22" s="458">
        <v>262.91374009884333</v>
      </c>
      <c r="V22" s="458">
        <v>272.94568149699847</v>
      </c>
      <c r="W22" s="458"/>
      <c r="X22" s="458">
        <v>1.4425510379125499</v>
      </c>
      <c r="Y22" s="458">
        <v>0</v>
      </c>
      <c r="Z22" s="458">
        <v>1.4425510379125499</v>
      </c>
    </row>
    <row r="23" spans="1:26">
      <c r="A23" s="295" t="s">
        <v>493</v>
      </c>
      <c r="B23" s="457">
        <v>2757.9510748058096</v>
      </c>
      <c r="C23" s="457">
        <v>1347.4546787233464</v>
      </c>
      <c r="D23" s="457">
        <v>191.5942150026172</v>
      </c>
      <c r="E23" s="457">
        <v>120.27673204957603</v>
      </c>
      <c r="F23" s="457">
        <v>71.317482953041292</v>
      </c>
      <c r="G23" s="457"/>
      <c r="H23" s="457">
        <v>782.3387057781041</v>
      </c>
      <c r="I23" s="457">
        <v>433.60230801802425</v>
      </c>
      <c r="J23" s="457">
        <v>348.73639776008218</v>
      </c>
      <c r="K23" s="457"/>
      <c r="L23" s="457">
        <v>80.484879123693105</v>
      </c>
      <c r="M23" s="457">
        <v>64.698697086577994</v>
      </c>
      <c r="N23" s="457">
        <v>15.786182037115081</v>
      </c>
      <c r="O23" s="457"/>
      <c r="P23" s="457">
        <v>0</v>
      </c>
      <c r="Q23" s="457">
        <v>0</v>
      </c>
      <c r="R23" s="457">
        <v>0</v>
      </c>
      <c r="S23" s="457"/>
      <c r="T23" s="457">
        <v>282.93902155354226</v>
      </c>
      <c r="U23" s="457">
        <v>147.08084993084452</v>
      </c>
      <c r="V23" s="457">
        <v>135.85817162269831</v>
      </c>
      <c r="W23" s="457"/>
      <c r="X23" s="457">
        <v>10.097857265387848</v>
      </c>
      <c r="Y23" s="457">
        <v>7.2127551895627491</v>
      </c>
      <c r="Z23" s="457">
        <v>2.8851020758250998</v>
      </c>
    </row>
    <row r="24" spans="1:26">
      <c r="A24" s="416" t="s">
        <v>493</v>
      </c>
      <c r="B24" s="458">
        <v>2757.9510748058096</v>
      </c>
      <c r="C24" s="458">
        <v>1347.4546787233464</v>
      </c>
      <c r="D24" s="458">
        <v>191.5942150026172</v>
      </c>
      <c r="E24" s="458">
        <v>120.27673204957603</v>
      </c>
      <c r="F24" s="458">
        <v>71.317482953041292</v>
      </c>
      <c r="G24" s="458"/>
      <c r="H24" s="458">
        <v>782.3387057781041</v>
      </c>
      <c r="I24" s="458">
        <v>433.60230801802425</v>
      </c>
      <c r="J24" s="458">
        <v>348.73639776008218</v>
      </c>
      <c r="K24" s="458"/>
      <c r="L24" s="458">
        <v>80.484879123693105</v>
      </c>
      <c r="M24" s="458">
        <v>64.698697086577994</v>
      </c>
      <c r="N24" s="458">
        <v>15.786182037115081</v>
      </c>
      <c r="O24" s="458"/>
      <c r="P24" s="458">
        <v>0</v>
      </c>
      <c r="Q24" s="458">
        <v>0</v>
      </c>
      <c r="R24" s="458">
        <v>0</v>
      </c>
      <c r="S24" s="458"/>
      <c r="T24" s="458">
        <v>282.93902155354226</v>
      </c>
      <c r="U24" s="458">
        <v>147.08084993084452</v>
      </c>
      <c r="V24" s="458">
        <v>135.85817162269831</v>
      </c>
      <c r="W24" s="458"/>
      <c r="X24" s="458">
        <v>10.097857265387848</v>
      </c>
      <c r="Y24" s="458">
        <v>7.2127551895627491</v>
      </c>
      <c r="Z24" s="458">
        <v>2.8851020758250998</v>
      </c>
    </row>
    <row r="25" spans="1:26">
      <c r="A25" s="295" t="s">
        <v>494</v>
      </c>
      <c r="B25" s="457">
        <v>2710.6279397332028</v>
      </c>
      <c r="C25" s="457">
        <v>1163.101333678889</v>
      </c>
      <c r="D25" s="457">
        <v>325.29082859603994</v>
      </c>
      <c r="E25" s="457">
        <v>222.16931404785515</v>
      </c>
      <c r="F25" s="457">
        <v>103.12151454818536</v>
      </c>
      <c r="G25" s="457"/>
      <c r="H25" s="457">
        <v>117.47614863288418</v>
      </c>
      <c r="I25" s="457">
        <v>91.69556850834455</v>
      </c>
      <c r="J25" s="457">
        <v>25.780580124539597</v>
      </c>
      <c r="K25" s="457"/>
      <c r="L25" s="457">
        <v>58.93087518739101</v>
      </c>
      <c r="M25" s="457">
        <v>44.506712044450168</v>
      </c>
      <c r="N25" s="457">
        <v>14.424163142940815</v>
      </c>
      <c r="O25" s="457"/>
      <c r="P25" s="457">
        <v>2.8846529970968722</v>
      </c>
      <c r="Q25" s="457">
        <v>1.4423264985484361</v>
      </c>
      <c r="R25" s="457">
        <v>1.4423264985484361</v>
      </c>
      <c r="S25" s="457"/>
      <c r="T25" s="457">
        <v>658.51882826547615</v>
      </c>
      <c r="U25" s="457">
        <v>371.96006391314563</v>
      </c>
      <c r="V25" s="457">
        <v>286.55876435233108</v>
      </c>
      <c r="W25" s="457"/>
      <c r="X25" s="457">
        <v>0</v>
      </c>
      <c r="Y25" s="457">
        <v>0</v>
      </c>
      <c r="Z25" s="457">
        <v>0</v>
      </c>
    </row>
    <row r="26" spans="1:26">
      <c r="A26" s="416" t="s">
        <v>495</v>
      </c>
      <c r="B26" s="458">
        <v>1423.3238803174875</v>
      </c>
      <c r="C26" s="458">
        <v>590.69857142344699</v>
      </c>
      <c r="D26" s="458">
        <v>186.50962675509982</v>
      </c>
      <c r="E26" s="458">
        <v>123.41850569345682</v>
      </c>
      <c r="F26" s="458">
        <v>63.091121061643157</v>
      </c>
      <c r="G26" s="458"/>
      <c r="H26" s="458">
        <v>65.84670004571602</v>
      </c>
      <c r="I26" s="458">
        <v>45.835874994098383</v>
      </c>
      <c r="J26" s="458">
        <v>20.010825051617623</v>
      </c>
      <c r="K26" s="458"/>
      <c r="L26" s="458">
        <v>27.353209848964131</v>
      </c>
      <c r="M26" s="458">
        <v>24.468107773139035</v>
      </c>
      <c r="N26" s="458">
        <v>2.8851020758250998</v>
      </c>
      <c r="O26" s="458"/>
      <c r="P26" s="458">
        <v>0</v>
      </c>
      <c r="Q26" s="458">
        <v>0</v>
      </c>
      <c r="R26" s="458">
        <v>0</v>
      </c>
      <c r="S26" s="458"/>
      <c r="T26" s="458">
        <v>310.98903477366804</v>
      </c>
      <c r="U26" s="458">
        <v>181.31672130946853</v>
      </c>
      <c r="V26" s="458">
        <v>129.67231346419987</v>
      </c>
      <c r="W26" s="458"/>
      <c r="X26" s="458">
        <v>0</v>
      </c>
      <c r="Y26" s="458">
        <v>0</v>
      </c>
      <c r="Z26" s="458">
        <v>0</v>
      </c>
    </row>
    <row r="27" spans="1:26">
      <c r="A27" s="416" t="s">
        <v>496</v>
      </c>
      <c r="B27" s="458">
        <v>1287.3040594157349</v>
      </c>
      <c r="C27" s="458">
        <v>572.40276225543994</v>
      </c>
      <c r="D27" s="458">
        <v>138.78120184094075</v>
      </c>
      <c r="E27" s="458">
        <v>98.750808354398544</v>
      </c>
      <c r="F27" s="458">
        <v>40.030393486542188</v>
      </c>
      <c r="G27" s="458"/>
      <c r="H27" s="458">
        <v>51.629448587168113</v>
      </c>
      <c r="I27" s="458">
        <v>45.859693514246132</v>
      </c>
      <c r="J27" s="458">
        <v>5.7697550729219724</v>
      </c>
      <c r="K27" s="458"/>
      <c r="L27" s="458">
        <v>31.577665338426829</v>
      </c>
      <c r="M27" s="458">
        <v>20.038604271311115</v>
      </c>
      <c r="N27" s="458">
        <v>11.539061067115716</v>
      </c>
      <c r="O27" s="458"/>
      <c r="P27" s="458">
        <v>2.8846529970968722</v>
      </c>
      <c r="Q27" s="458">
        <v>1.4423264985484361</v>
      </c>
      <c r="R27" s="458">
        <v>1.4423264985484361</v>
      </c>
      <c r="S27" s="458"/>
      <c r="T27" s="458">
        <v>347.52979349180885</v>
      </c>
      <c r="U27" s="458">
        <v>190.64334260367778</v>
      </c>
      <c r="V27" s="458">
        <v>156.88645088813166</v>
      </c>
      <c r="W27" s="458"/>
      <c r="X27" s="458">
        <v>0</v>
      </c>
      <c r="Y27" s="458">
        <v>0</v>
      </c>
      <c r="Z27" s="458">
        <v>0</v>
      </c>
    </row>
    <row r="28" spans="1:26">
      <c r="A28" s="295" t="s">
        <v>497</v>
      </c>
      <c r="B28" s="457">
        <v>5692.5946900874314</v>
      </c>
      <c r="C28" s="457">
        <v>383.90020061377078</v>
      </c>
      <c r="D28" s="457">
        <v>107.60066443728478</v>
      </c>
      <c r="E28" s="457">
        <v>61.726407695099525</v>
      </c>
      <c r="F28" s="457">
        <v>45.874256742185217</v>
      </c>
      <c r="G28" s="457"/>
      <c r="H28" s="457">
        <v>77.464647452372688</v>
      </c>
      <c r="I28" s="457">
        <v>64.537209536222434</v>
      </c>
      <c r="J28" s="457">
        <v>12.92743791615024</v>
      </c>
      <c r="K28" s="457"/>
      <c r="L28" s="457">
        <v>27.338197542296818</v>
      </c>
      <c r="M28" s="457">
        <v>24.453320005835831</v>
      </c>
      <c r="N28" s="457">
        <v>2.8848775364609862</v>
      </c>
      <c r="O28" s="457"/>
      <c r="P28" s="457">
        <v>0</v>
      </c>
      <c r="Q28" s="457">
        <v>0</v>
      </c>
      <c r="R28" s="457">
        <v>0</v>
      </c>
      <c r="S28" s="457"/>
      <c r="T28" s="457">
        <v>171.49669118181711</v>
      </c>
      <c r="U28" s="457">
        <v>114.00612163869761</v>
      </c>
      <c r="V28" s="457">
        <v>57.490569543119591</v>
      </c>
      <c r="W28" s="457"/>
      <c r="X28" s="457">
        <v>0</v>
      </c>
      <c r="Y28" s="457">
        <v>0</v>
      </c>
      <c r="Z28" s="457">
        <v>0</v>
      </c>
    </row>
    <row r="29" spans="1:26">
      <c r="A29" s="416" t="s">
        <v>497</v>
      </c>
      <c r="B29" s="458">
        <v>5692.5946900874314</v>
      </c>
      <c r="C29" s="458">
        <v>383.90020061377078</v>
      </c>
      <c r="D29" s="458">
        <v>107.60066443728478</v>
      </c>
      <c r="E29" s="458">
        <v>61.726407695099525</v>
      </c>
      <c r="F29" s="458">
        <v>45.874256742185217</v>
      </c>
      <c r="G29" s="458"/>
      <c r="H29" s="458">
        <v>77.464647452372688</v>
      </c>
      <c r="I29" s="458">
        <v>64.537209536222434</v>
      </c>
      <c r="J29" s="458">
        <v>12.92743791615024</v>
      </c>
      <c r="K29" s="458"/>
      <c r="L29" s="458">
        <v>27.338197542296818</v>
      </c>
      <c r="M29" s="458">
        <v>24.453320005835831</v>
      </c>
      <c r="N29" s="458">
        <v>2.8848775364609862</v>
      </c>
      <c r="O29" s="458"/>
      <c r="P29" s="458">
        <v>0</v>
      </c>
      <c r="Q29" s="458">
        <v>0</v>
      </c>
      <c r="R29" s="458">
        <v>0</v>
      </c>
      <c r="S29" s="458"/>
      <c r="T29" s="458">
        <v>171.49669118181711</v>
      </c>
      <c r="U29" s="458">
        <v>114.00612163869761</v>
      </c>
      <c r="V29" s="458">
        <v>57.490569543119591</v>
      </c>
      <c r="W29" s="458"/>
      <c r="X29" s="458">
        <v>0</v>
      </c>
      <c r="Y29" s="458">
        <v>0</v>
      </c>
      <c r="Z29" s="458">
        <v>0</v>
      </c>
    </row>
    <row r="30" spans="1:26">
      <c r="A30" s="295" t="s">
        <v>498</v>
      </c>
      <c r="B30" s="457">
        <v>4014.2983022640292</v>
      </c>
      <c r="C30" s="457">
        <v>1807.3403510880075</v>
      </c>
      <c r="D30" s="457">
        <v>339.90820701118594</v>
      </c>
      <c r="E30" s="457">
        <v>176.93263430466357</v>
      </c>
      <c r="F30" s="457">
        <v>162.97557270652266</v>
      </c>
      <c r="G30" s="457"/>
      <c r="H30" s="457">
        <v>691.22100964024673</v>
      </c>
      <c r="I30" s="457">
        <v>384.92316705032391</v>
      </c>
      <c r="J30" s="457">
        <v>306.29784258992493</v>
      </c>
      <c r="K30" s="457"/>
      <c r="L30" s="457">
        <v>360.13506812533723</v>
      </c>
      <c r="M30" s="457">
        <v>229.62279516279193</v>
      </c>
      <c r="N30" s="457">
        <v>130.51227296254589</v>
      </c>
      <c r="O30" s="457"/>
      <c r="P30" s="457">
        <v>7.198191961623662</v>
      </c>
      <c r="Q30" s="457">
        <v>4.3130898857985622</v>
      </c>
      <c r="R30" s="457">
        <v>2.8851020758250998</v>
      </c>
      <c r="S30" s="457"/>
      <c r="T30" s="457">
        <v>403.10767019794901</v>
      </c>
      <c r="U30" s="457">
        <v>220.12273102779312</v>
      </c>
      <c r="V30" s="457">
        <v>182.98493917015682</v>
      </c>
      <c r="W30" s="457"/>
      <c r="X30" s="457">
        <v>5.7702041516501996</v>
      </c>
      <c r="Y30" s="457">
        <v>4.3276531137376502</v>
      </c>
      <c r="Z30" s="457">
        <v>1.4425510379125499</v>
      </c>
    </row>
    <row r="31" spans="1:26">
      <c r="A31" s="416" t="s">
        <v>498</v>
      </c>
      <c r="B31" s="458">
        <v>4014.2983022640292</v>
      </c>
      <c r="C31" s="458">
        <v>1807.3403510880075</v>
      </c>
      <c r="D31" s="458">
        <v>339.90820701118594</v>
      </c>
      <c r="E31" s="458">
        <v>176.93263430466357</v>
      </c>
      <c r="F31" s="458">
        <v>162.97557270652266</v>
      </c>
      <c r="G31" s="458"/>
      <c r="H31" s="458">
        <v>691.22100964024673</v>
      </c>
      <c r="I31" s="458">
        <v>384.92316705032391</v>
      </c>
      <c r="J31" s="458">
        <v>306.29784258992493</v>
      </c>
      <c r="K31" s="458"/>
      <c r="L31" s="458">
        <v>360.13506812533723</v>
      </c>
      <c r="M31" s="458">
        <v>229.62279516279193</v>
      </c>
      <c r="N31" s="458">
        <v>130.51227296254589</v>
      </c>
      <c r="O31" s="458"/>
      <c r="P31" s="458">
        <v>7.198191961623662</v>
      </c>
      <c r="Q31" s="458">
        <v>4.3130898857985622</v>
      </c>
      <c r="R31" s="458">
        <v>2.8851020758250998</v>
      </c>
      <c r="S31" s="458"/>
      <c r="T31" s="458">
        <v>403.10767019794901</v>
      </c>
      <c r="U31" s="458">
        <v>220.12273102779312</v>
      </c>
      <c r="V31" s="458">
        <v>182.98493917015682</v>
      </c>
      <c r="W31" s="458"/>
      <c r="X31" s="458">
        <v>5.7702041516501996</v>
      </c>
      <c r="Y31" s="458">
        <v>4.3276531137376502</v>
      </c>
      <c r="Z31" s="458">
        <v>1.4425510379125499</v>
      </c>
    </row>
    <row r="32" spans="1:26">
      <c r="A32" s="72"/>
    </row>
    <row r="35" spans="1:27">
      <c r="A35" s="72"/>
    </row>
    <row r="37" spans="1:27">
      <c r="A37" s="72"/>
    </row>
    <row r="39" spans="1:27">
      <c r="A39" s="72"/>
    </row>
    <row r="42" spans="1:27">
      <c r="A42" s="72"/>
    </row>
    <row r="43" spans="1:27">
      <c r="A43" s="72"/>
    </row>
    <row r="46" spans="1:27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</row>
    <row r="48" spans="1:27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</row>
    <row r="50" spans="1:27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</row>
    <row r="52" spans="1:27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</row>
    <row r="54" spans="1:27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</row>
    <row r="56" spans="1:27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</row>
  </sheetData>
  <mergeCells count="11">
    <mergeCell ref="A2:A4"/>
    <mergeCell ref="A1:Z1"/>
    <mergeCell ref="D2:Z2"/>
    <mergeCell ref="H3:J3"/>
    <mergeCell ref="L3:N3"/>
    <mergeCell ref="T3:V3"/>
    <mergeCell ref="X3:Z3"/>
    <mergeCell ref="B2:B4"/>
    <mergeCell ref="C2:C4"/>
    <mergeCell ref="D3:F3"/>
    <mergeCell ref="P3:R3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57"/>
  <sheetViews>
    <sheetView zoomScale="110" zoomScaleNormal="110" workbookViewId="0">
      <selection activeCell="A2" sqref="A2:A3"/>
    </sheetView>
  </sheetViews>
  <sheetFormatPr defaultColWidth="9.140625" defaultRowHeight="12"/>
  <cols>
    <col min="1" max="1" width="24.85546875" style="69" customWidth="1"/>
    <col min="2" max="4" width="11.140625" style="75" bestFit="1" customWidth="1"/>
    <col min="5" max="5" width="1.42578125" style="75" customWidth="1"/>
    <col min="6" max="8" width="11.140625" style="75" bestFit="1" customWidth="1"/>
    <col min="9" max="9" width="2.28515625" style="69" customWidth="1"/>
    <col min="10" max="12" width="9.28515625" style="75" bestFit="1" customWidth="1"/>
    <col min="13" max="16384" width="9.140625" style="69"/>
  </cols>
  <sheetData>
    <row r="1" spans="1:14" ht="15" customHeight="1">
      <c r="A1" s="815" t="s">
        <v>523</v>
      </c>
      <c r="B1" s="815"/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297"/>
    </row>
    <row r="2" spans="1:14" ht="24.75" customHeight="1">
      <c r="A2" s="818" t="s">
        <v>552</v>
      </c>
      <c r="B2" s="820" t="s">
        <v>524</v>
      </c>
      <c r="C2" s="820"/>
      <c r="D2" s="820"/>
      <c r="E2" s="502"/>
      <c r="F2" s="820" t="s">
        <v>231</v>
      </c>
      <c r="G2" s="820"/>
      <c r="H2" s="820"/>
      <c r="I2" s="298"/>
      <c r="J2" s="820" t="s">
        <v>232</v>
      </c>
      <c r="K2" s="820"/>
      <c r="L2" s="820"/>
      <c r="M2" s="816" t="s">
        <v>525</v>
      </c>
    </row>
    <row r="3" spans="1:14">
      <c r="A3" s="819"/>
      <c r="B3" s="299" t="s">
        <v>1</v>
      </c>
      <c r="C3" s="299" t="s">
        <v>2</v>
      </c>
      <c r="D3" s="299" t="s">
        <v>3</v>
      </c>
      <c r="E3" s="300"/>
      <c r="F3" s="299" t="s">
        <v>1</v>
      </c>
      <c r="G3" s="299" t="s">
        <v>2</v>
      </c>
      <c r="H3" s="299" t="s">
        <v>3</v>
      </c>
      <c r="I3" s="300"/>
      <c r="J3" s="299" t="s">
        <v>1</v>
      </c>
      <c r="K3" s="299" t="s">
        <v>526</v>
      </c>
      <c r="L3" s="299" t="s">
        <v>527</v>
      </c>
      <c r="M3" s="817"/>
    </row>
    <row r="4" spans="1:14">
      <c r="A4" s="301" t="s">
        <v>500</v>
      </c>
      <c r="B4" s="564">
        <v>21358.35771774915</v>
      </c>
      <c r="C4" s="564">
        <v>10875.194608147867</v>
      </c>
      <c r="D4" s="564">
        <v>10483.163109601195</v>
      </c>
      <c r="E4" s="564"/>
      <c r="F4" s="564">
        <v>7269.3076163960541</v>
      </c>
      <c r="G4" s="564">
        <v>3654.0546844059249</v>
      </c>
      <c r="H4" s="564">
        <v>3615.2529319900427</v>
      </c>
      <c r="I4" s="459"/>
      <c r="J4" s="567">
        <v>34.034955835365857</v>
      </c>
      <c r="K4" s="567">
        <v>33.599901574800015</v>
      </c>
      <c r="L4" s="567">
        <v>34.486279514993598</v>
      </c>
      <c r="M4" s="574">
        <v>1.0263803731156871</v>
      </c>
    </row>
    <row r="5" spans="1:14">
      <c r="A5" s="302"/>
      <c r="B5" s="565"/>
      <c r="C5" s="565"/>
      <c r="D5" s="565"/>
      <c r="E5" s="565"/>
      <c r="F5" s="565"/>
      <c r="G5" s="565"/>
      <c r="H5" s="565"/>
      <c r="I5" s="461"/>
      <c r="J5" s="568"/>
      <c r="K5" s="568"/>
      <c r="L5" s="568"/>
      <c r="M5" s="571"/>
    </row>
    <row r="6" spans="1:14">
      <c r="A6" s="280" t="s">
        <v>111</v>
      </c>
      <c r="B6" s="564"/>
      <c r="C6" s="564"/>
      <c r="D6" s="564"/>
      <c r="E6" s="564"/>
      <c r="F6" s="564"/>
      <c r="G6" s="564"/>
      <c r="H6" s="564"/>
      <c r="I6" s="459"/>
      <c r="J6" s="567"/>
      <c r="K6" s="567"/>
      <c r="L6" s="567"/>
      <c r="M6" s="572"/>
    </row>
    <row r="7" spans="1:14">
      <c r="A7" s="302" t="s">
        <v>4</v>
      </c>
      <c r="B7" s="565">
        <v>7737.604628311874</v>
      </c>
      <c r="C7" s="565">
        <v>3901.5831049900012</v>
      </c>
      <c r="D7" s="565">
        <v>3836.0215233217864</v>
      </c>
      <c r="E7" s="565"/>
      <c r="F7" s="565">
        <v>3762.4319928778718</v>
      </c>
      <c r="G7" s="565">
        <v>1928.0456976304747</v>
      </c>
      <c r="H7" s="565">
        <v>1834.3862952473107</v>
      </c>
      <c r="I7" s="461"/>
      <c r="J7" s="568">
        <v>48.625280996018432</v>
      </c>
      <c r="K7" s="568">
        <v>49.4170096021912</v>
      </c>
      <c r="L7" s="568">
        <v>47.820020927795674</v>
      </c>
      <c r="M7" s="573">
        <v>0.96768342141195218</v>
      </c>
    </row>
    <row r="8" spans="1:14">
      <c r="A8" s="302" t="s">
        <v>5</v>
      </c>
      <c r="B8" s="565">
        <v>13620.753089437188</v>
      </c>
      <c r="C8" s="565">
        <v>6973.6115031577792</v>
      </c>
      <c r="D8" s="565">
        <v>6647.1415862793219</v>
      </c>
      <c r="E8" s="565"/>
      <c r="F8" s="565">
        <v>3506.8756235180958</v>
      </c>
      <c r="G8" s="565">
        <v>1726.0089867753638</v>
      </c>
      <c r="H8" s="565">
        <v>1780.8666367426456</v>
      </c>
      <c r="I8" s="461"/>
      <c r="J8" s="568">
        <v>25.746561886048642</v>
      </c>
      <c r="K8" s="568">
        <v>24.750575594779274</v>
      </c>
      <c r="L8" s="568">
        <v>26.791465378419741</v>
      </c>
      <c r="M8" s="573">
        <v>1.0824582755994958</v>
      </c>
    </row>
    <row r="9" spans="1:14" s="72" customFormat="1">
      <c r="A9" s="246" t="s">
        <v>448</v>
      </c>
      <c r="B9" s="564"/>
      <c r="C9" s="564"/>
      <c r="D9" s="564"/>
      <c r="E9" s="564"/>
      <c r="F9" s="564"/>
      <c r="G9" s="564"/>
      <c r="H9" s="564"/>
      <c r="I9" s="459"/>
      <c r="J9" s="567"/>
      <c r="K9" s="567"/>
      <c r="L9" s="567"/>
      <c r="M9" s="572"/>
      <c r="N9" s="69"/>
    </row>
    <row r="10" spans="1:14">
      <c r="A10" s="304" t="s">
        <v>486</v>
      </c>
      <c r="B10" s="566">
        <v>4218.6870816301416</v>
      </c>
      <c r="C10" s="566">
        <v>2131.420399948202</v>
      </c>
      <c r="D10" s="566">
        <v>2087.2666816818532</v>
      </c>
      <c r="E10" s="566"/>
      <c r="F10" s="566">
        <v>1752.7688160276964</v>
      </c>
      <c r="G10" s="566">
        <v>871.03244216335133</v>
      </c>
      <c r="H10" s="566">
        <v>881.73637386428345</v>
      </c>
      <c r="I10" s="462"/>
      <c r="J10" s="569">
        <v>41.547732318423868</v>
      </c>
      <c r="K10" s="569">
        <v>40.866290018830867</v>
      </c>
      <c r="L10" s="569">
        <v>42.243589743588188</v>
      </c>
      <c r="M10" s="571">
        <v>1.0337025877348462</v>
      </c>
    </row>
    <row r="11" spans="1:14" s="72" customFormat="1">
      <c r="A11" s="303" t="s">
        <v>486</v>
      </c>
      <c r="B11" s="565">
        <v>4218.6870816301416</v>
      </c>
      <c r="C11" s="565">
        <v>2131.420399948202</v>
      </c>
      <c r="D11" s="565">
        <v>2087.2666816818532</v>
      </c>
      <c r="E11" s="565"/>
      <c r="F11" s="565">
        <v>1752.7688160276964</v>
      </c>
      <c r="G11" s="565">
        <v>871.03244216335133</v>
      </c>
      <c r="H11" s="565">
        <v>881.73637386428345</v>
      </c>
      <c r="I11" s="461"/>
      <c r="J11" s="568">
        <v>41.547732318423868</v>
      </c>
      <c r="K11" s="568">
        <v>40.866290018830867</v>
      </c>
      <c r="L11" s="568">
        <v>42.243589743588188</v>
      </c>
      <c r="M11" s="573">
        <v>1.0337025877348462</v>
      </c>
      <c r="N11" s="69"/>
    </row>
    <row r="12" spans="1:14">
      <c r="A12" s="304" t="s">
        <v>487</v>
      </c>
      <c r="B12" s="566">
        <v>7668.0290722558093</v>
      </c>
      <c r="C12" s="566">
        <v>3878.8372501255185</v>
      </c>
      <c r="D12" s="566">
        <v>3789.1918221302044</v>
      </c>
      <c r="E12" s="566"/>
      <c r="F12" s="566">
        <v>3271.3891260975693</v>
      </c>
      <c r="G12" s="566">
        <v>1703.2631319108812</v>
      </c>
      <c r="H12" s="566">
        <v>1568.1259941866017</v>
      </c>
      <c r="I12" s="462"/>
      <c r="J12" s="569">
        <v>42.662711568657862</v>
      </c>
      <c r="K12" s="569">
        <v>43.911693687475342</v>
      </c>
      <c r="L12" s="569">
        <v>41.384180790957608</v>
      </c>
      <c r="M12" s="571">
        <v>0.94244100638644601</v>
      </c>
    </row>
    <row r="13" spans="1:14">
      <c r="A13" s="303" t="s">
        <v>487</v>
      </c>
      <c r="B13" s="565">
        <v>6360.8114132793635</v>
      </c>
      <c r="C13" s="565">
        <v>3160.3358347003891</v>
      </c>
      <c r="D13" s="565">
        <v>3200.475578578888</v>
      </c>
      <c r="E13" s="565"/>
      <c r="F13" s="565">
        <v>2878.0196360882805</v>
      </c>
      <c r="G13" s="565">
        <v>1483.8325320417541</v>
      </c>
      <c r="H13" s="565">
        <v>1394.18710404644</v>
      </c>
      <c r="I13" s="461"/>
      <c r="J13" s="568">
        <v>45.246108540172813</v>
      </c>
      <c r="K13" s="568">
        <v>46.951735817101181</v>
      </c>
      <c r="L13" s="568">
        <v>43.561872909696277</v>
      </c>
      <c r="M13" s="573">
        <v>0.9278011164356097</v>
      </c>
    </row>
    <row r="14" spans="1:14" s="72" customFormat="1">
      <c r="A14" s="303" t="s">
        <v>488</v>
      </c>
      <c r="B14" s="565">
        <v>1307.2176589763592</v>
      </c>
      <c r="C14" s="565">
        <v>718.50141542506867</v>
      </c>
      <c r="D14" s="565">
        <v>588.71624355126676</v>
      </c>
      <c r="E14" s="565"/>
      <c r="F14" s="565">
        <v>393.36949000925557</v>
      </c>
      <c r="G14" s="565">
        <v>219.43059986910868</v>
      </c>
      <c r="H14" s="565">
        <v>173.93889014014718</v>
      </c>
      <c r="I14" s="461"/>
      <c r="J14" s="568">
        <v>30.092118730808277</v>
      </c>
      <c r="K14" s="568">
        <v>30.540037243947946</v>
      </c>
      <c r="L14" s="568">
        <v>29.545454545454628</v>
      </c>
      <c r="M14" s="573">
        <v>0.96743348115299332</v>
      </c>
      <c r="N14" s="69"/>
    </row>
    <row r="15" spans="1:14">
      <c r="A15" s="304" t="s">
        <v>489</v>
      </c>
      <c r="B15" s="566">
        <v>667.65773984564112</v>
      </c>
      <c r="C15" s="566">
        <v>347.87778028029408</v>
      </c>
      <c r="D15" s="566">
        <v>319.77995956534727</v>
      </c>
      <c r="E15" s="566"/>
      <c r="F15" s="566">
        <v>283.65419007470138</v>
      </c>
      <c r="G15" s="566">
        <v>145.84106942520037</v>
      </c>
      <c r="H15" s="566">
        <v>137.81312064950129</v>
      </c>
      <c r="I15" s="462"/>
      <c r="J15" s="569">
        <v>42.484969939879882</v>
      </c>
      <c r="K15" s="569">
        <v>41.923076923077033</v>
      </c>
      <c r="L15" s="569">
        <v>43.09623430962354</v>
      </c>
      <c r="M15" s="571">
        <v>1.0279835706882652</v>
      </c>
    </row>
    <row r="16" spans="1:14" s="72" customFormat="1">
      <c r="A16" s="303" t="s">
        <v>489</v>
      </c>
      <c r="B16" s="565">
        <v>429.49525949990147</v>
      </c>
      <c r="C16" s="565">
        <v>231.47252303265731</v>
      </c>
      <c r="D16" s="565">
        <v>198.02273646724444</v>
      </c>
      <c r="E16" s="565"/>
      <c r="F16" s="565">
        <v>199.36072792986096</v>
      </c>
      <c r="G16" s="565">
        <v>105.70132554670492</v>
      </c>
      <c r="H16" s="565">
        <v>93.659402383156291</v>
      </c>
      <c r="I16" s="461"/>
      <c r="J16" s="568">
        <v>46.417445482866171</v>
      </c>
      <c r="K16" s="568">
        <v>45.664739884393164</v>
      </c>
      <c r="L16" s="568">
        <v>47.297297297297391</v>
      </c>
      <c r="M16" s="573">
        <v>1.0357509408142318</v>
      </c>
      <c r="N16" s="69"/>
    </row>
    <row r="17" spans="1:14">
      <c r="A17" s="303" t="s">
        <v>490</v>
      </c>
      <c r="B17" s="565">
        <v>238.16248034573988</v>
      </c>
      <c r="C17" s="565">
        <v>116.40525724763704</v>
      </c>
      <c r="D17" s="565">
        <v>121.7572230981031</v>
      </c>
      <c r="E17" s="565"/>
      <c r="F17" s="565">
        <v>84.293462144840689</v>
      </c>
      <c r="G17" s="565">
        <v>40.139743878495587</v>
      </c>
      <c r="H17" s="565">
        <v>44.153718266345152</v>
      </c>
      <c r="I17" s="461"/>
      <c r="J17" s="568">
        <v>35.393258426966369</v>
      </c>
      <c r="K17" s="568">
        <v>34.482758620689694</v>
      </c>
      <c r="L17" s="568">
        <v>36.263736263736305</v>
      </c>
      <c r="M17" s="573">
        <v>1.0516483516483517</v>
      </c>
    </row>
    <row r="18" spans="1:14" s="72" customFormat="1">
      <c r="A18" s="304" t="s">
        <v>491</v>
      </c>
      <c r="B18" s="566">
        <v>3287.4450236489688</v>
      </c>
      <c r="C18" s="566">
        <v>1699.2491575230313</v>
      </c>
      <c r="D18" s="566">
        <v>1588.1958661258511</v>
      </c>
      <c r="E18" s="566"/>
      <c r="F18" s="566">
        <v>741.24727028954942</v>
      </c>
      <c r="G18" s="566">
        <v>358.58171198122619</v>
      </c>
      <c r="H18" s="566">
        <v>382.66555830832345</v>
      </c>
      <c r="I18" s="462"/>
      <c r="J18" s="569">
        <v>22.547822547821507</v>
      </c>
      <c r="K18" s="569">
        <v>21.102362204723814</v>
      </c>
      <c r="L18" s="569">
        <v>24.094355518112334</v>
      </c>
      <c r="M18" s="571">
        <v>1.1417847577613256</v>
      </c>
      <c r="N18" s="69"/>
    </row>
    <row r="19" spans="1:14">
      <c r="A19" s="303" t="s">
        <v>491</v>
      </c>
      <c r="B19" s="565">
        <v>3287.4450236489688</v>
      </c>
      <c r="C19" s="565">
        <v>1699.2491575230313</v>
      </c>
      <c r="D19" s="565">
        <v>1588.1958661258511</v>
      </c>
      <c r="E19" s="565"/>
      <c r="F19" s="565">
        <v>741.24727028954942</v>
      </c>
      <c r="G19" s="565">
        <v>358.58171198122619</v>
      </c>
      <c r="H19" s="565">
        <v>382.66555830832345</v>
      </c>
      <c r="I19" s="461"/>
      <c r="J19" s="568">
        <v>22.547822547821507</v>
      </c>
      <c r="K19" s="568">
        <v>21.102362204723814</v>
      </c>
      <c r="L19" s="568">
        <v>24.094355518112334</v>
      </c>
      <c r="M19" s="573">
        <v>1.1417847577613256</v>
      </c>
    </row>
    <row r="20" spans="1:14" s="72" customFormat="1">
      <c r="A20" s="304" t="s">
        <v>499</v>
      </c>
      <c r="B20" s="566">
        <v>1396.8630869716733</v>
      </c>
      <c r="C20" s="566">
        <v>682.37564593442278</v>
      </c>
      <c r="D20" s="566">
        <v>714.48744103721913</v>
      </c>
      <c r="E20" s="566"/>
      <c r="F20" s="566">
        <v>388.01752415878951</v>
      </c>
      <c r="G20" s="566">
        <v>179.29085599061324</v>
      </c>
      <c r="H20" s="566">
        <v>208.72666816817656</v>
      </c>
      <c r="I20" s="462"/>
      <c r="J20" s="569">
        <v>27.777777777777356</v>
      </c>
      <c r="K20" s="569">
        <v>26.274509803921646</v>
      </c>
      <c r="L20" s="569">
        <v>29.2134831460675</v>
      </c>
      <c r="M20" s="571">
        <v>1.1118564480965956</v>
      </c>
      <c r="N20" s="69"/>
    </row>
    <row r="21" spans="1:14">
      <c r="A21" s="303" t="s">
        <v>492</v>
      </c>
      <c r="B21" s="565">
        <v>1396.8630869716733</v>
      </c>
      <c r="C21" s="565">
        <v>682.37564593442278</v>
      </c>
      <c r="D21" s="565">
        <v>714.48744103721913</v>
      </c>
      <c r="E21" s="565"/>
      <c r="F21" s="565">
        <v>388.01752415878951</v>
      </c>
      <c r="G21" s="565">
        <v>179.29085599061324</v>
      </c>
      <c r="H21" s="565">
        <v>208.72666816817656</v>
      </c>
      <c r="I21" s="461"/>
      <c r="J21" s="568">
        <v>27.777777777777356</v>
      </c>
      <c r="K21" s="568">
        <v>26.274509803921646</v>
      </c>
      <c r="L21" s="568">
        <v>29.2134831460675</v>
      </c>
      <c r="M21" s="573">
        <v>1.1118564480965956</v>
      </c>
    </row>
    <row r="22" spans="1:14">
      <c r="A22" s="304" t="s">
        <v>493</v>
      </c>
      <c r="B22" s="566">
        <v>821.52675804654029</v>
      </c>
      <c r="C22" s="566">
        <v>428.15726803728495</v>
      </c>
      <c r="D22" s="566">
        <v>393.36949000925557</v>
      </c>
      <c r="E22" s="566"/>
      <c r="F22" s="566">
        <v>274.28824983638577</v>
      </c>
      <c r="G22" s="566">
        <v>128.44718041118568</v>
      </c>
      <c r="H22" s="566">
        <v>145.84106942520037</v>
      </c>
      <c r="I22" s="462"/>
      <c r="J22" s="569">
        <v>33.387622149837235</v>
      </c>
      <c r="K22" s="569">
        <v>30.000000000000082</v>
      </c>
      <c r="L22" s="569">
        <v>37.074829931972886</v>
      </c>
      <c r="M22" s="571">
        <v>1.2358276643990929</v>
      </c>
    </row>
    <row r="23" spans="1:14" s="72" customFormat="1">
      <c r="A23" s="303" t="s">
        <v>493</v>
      </c>
      <c r="B23" s="565">
        <v>821.52675804654029</v>
      </c>
      <c r="C23" s="565">
        <v>428.15726803728495</v>
      </c>
      <c r="D23" s="565">
        <v>393.36949000925557</v>
      </c>
      <c r="E23" s="565"/>
      <c r="F23" s="565">
        <v>274.28824983638577</v>
      </c>
      <c r="G23" s="565">
        <v>128.44718041118568</v>
      </c>
      <c r="H23" s="565">
        <v>145.84106942520037</v>
      </c>
      <c r="I23" s="461"/>
      <c r="J23" s="568">
        <v>33.387622149837235</v>
      </c>
      <c r="K23" s="568">
        <v>30.000000000000082</v>
      </c>
      <c r="L23" s="568">
        <v>37.074829931972886</v>
      </c>
      <c r="M23" s="573">
        <v>1.2358276643990929</v>
      </c>
      <c r="N23" s="69"/>
    </row>
    <row r="24" spans="1:14">
      <c r="A24" s="304" t="s">
        <v>494</v>
      </c>
      <c r="B24" s="566">
        <v>995.46564818668719</v>
      </c>
      <c r="C24" s="566">
        <v>488.36688385502811</v>
      </c>
      <c r="D24" s="566">
        <v>507.09876433165931</v>
      </c>
      <c r="E24" s="566"/>
      <c r="F24" s="566">
        <v>242.17645473358942</v>
      </c>
      <c r="G24" s="566">
        <v>116.40525724763704</v>
      </c>
      <c r="H24" s="566">
        <v>125.77119748595264</v>
      </c>
      <c r="I24" s="462"/>
      <c r="J24" s="569">
        <v>24.327956989247387</v>
      </c>
      <c r="K24" s="569">
        <v>23.835616438356233</v>
      </c>
      <c r="L24" s="569">
        <v>24.802110817942022</v>
      </c>
      <c r="M24" s="571">
        <v>1.0405483274194036</v>
      </c>
    </row>
    <row r="25" spans="1:14" s="72" customFormat="1">
      <c r="A25" s="303" t="s">
        <v>495</v>
      </c>
      <c r="B25" s="565">
        <v>564.63239722416949</v>
      </c>
      <c r="C25" s="565">
        <v>282.31619861208486</v>
      </c>
      <c r="D25" s="565">
        <v>282.31619861208486</v>
      </c>
      <c r="E25" s="565"/>
      <c r="F25" s="565">
        <v>176.61487306538021</v>
      </c>
      <c r="G25" s="565">
        <v>86.969445070073718</v>
      </c>
      <c r="H25" s="565">
        <v>89.645427995306747</v>
      </c>
      <c r="I25" s="461"/>
      <c r="J25" s="568">
        <v>31.279620853080655</v>
      </c>
      <c r="K25" s="568">
        <v>30.805687203791543</v>
      </c>
      <c r="L25" s="568">
        <v>31.753554502369745</v>
      </c>
      <c r="M25" s="573">
        <v>1.0307692307692309</v>
      </c>
      <c r="N25" s="69"/>
    </row>
    <row r="26" spans="1:14">
      <c r="A26" s="303" t="s">
        <v>496</v>
      </c>
      <c r="B26" s="565">
        <v>430.83325096251798</v>
      </c>
      <c r="C26" s="565">
        <v>206.05068524294353</v>
      </c>
      <c r="D26" s="565">
        <v>224.78256571957473</v>
      </c>
      <c r="E26" s="565"/>
      <c r="F26" s="565">
        <v>65.561581668209485</v>
      </c>
      <c r="G26" s="565">
        <v>29.435812177563417</v>
      </c>
      <c r="H26" s="565">
        <v>36.125769490646022</v>
      </c>
      <c r="I26" s="461"/>
      <c r="J26" s="568">
        <v>15.217391304347867</v>
      </c>
      <c r="K26" s="568">
        <v>14.285714285714315</v>
      </c>
      <c r="L26" s="568">
        <v>16.071428571428605</v>
      </c>
      <c r="M26" s="573">
        <v>1.125</v>
      </c>
    </row>
    <row r="27" spans="1:14" s="72" customFormat="1">
      <c r="A27" s="304" t="s">
        <v>497</v>
      </c>
      <c r="B27" s="566">
        <v>1806.2884745323615</v>
      </c>
      <c r="C27" s="566">
        <v>968.7058189343569</v>
      </c>
      <c r="D27" s="566">
        <v>837.58265559793847</v>
      </c>
      <c r="E27" s="566"/>
      <c r="F27" s="566">
        <v>74.927521906525087</v>
      </c>
      <c r="G27" s="566">
        <v>38.801752415879065</v>
      </c>
      <c r="H27" s="566">
        <v>36.125769490646022</v>
      </c>
      <c r="I27" s="462"/>
      <c r="J27" s="569">
        <v>4.1481481481480085</v>
      </c>
      <c r="K27" s="569">
        <v>4.0055248618784649</v>
      </c>
      <c r="L27" s="569">
        <v>4.3130990415335591</v>
      </c>
      <c r="M27" s="571">
        <v>1.0767874848518233</v>
      </c>
      <c r="N27" s="69"/>
    </row>
    <row r="28" spans="1:14">
      <c r="A28" s="303" t="s">
        <v>497</v>
      </c>
      <c r="B28" s="565">
        <v>1806.2884745323615</v>
      </c>
      <c r="C28" s="565">
        <v>968.7058189343569</v>
      </c>
      <c r="D28" s="565">
        <v>837.58265559793847</v>
      </c>
      <c r="E28" s="565"/>
      <c r="F28" s="565">
        <v>74.927521906525087</v>
      </c>
      <c r="G28" s="565">
        <v>38.801752415879065</v>
      </c>
      <c r="H28" s="565">
        <v>36.125769490646022</v>
      </c>
      <c r="I28" s="461"/>
      <c r="J28" s="568">
        <v>4.1481481481480085</v>
      </c>
      <c r="K28" s="568">
        <v>4.0055248618784649</v>
      </c>
      <c r="L28" s="568">
        <v>4.3130990415335591</v>
      </c>
      <c r="M28" s="573">
        <v>1.0767874848518233</v>
      </c>
    </row>
    <row r="29" spans="1:14">
      <c r="A29" s="304" t="s">
        <v>498</v>
      </c>
      <c r="B29" s="566">
        <v>496.39483263072719</v>
      </c>
      <c r="C29" s="566">
        <v>250.20440350928851</v>
      </c>
      <c r="D29" s="566">
        <v>246.19042912143897</v>
      </c>
      <c r="E29" s="566"/>
      <c r="F29" s="566">
        <v>240.83846327097291</v>
      </c>
      <c r="G29" s="566">
        <v>112.39128285978749</v>
      </c>
      <c r="H29" s="566">
        <v>128.44718041118568</v>
      </c>
      <c r="I29" s="462"/>
      <c r="J29" s="569">
        <v>48.51752021563356</v>
      </c>
      <c r="K29" s="569">
        <v>44.919786096256786</v>
      </c>
      <c r="L29" s="569">
        <v>52.173913043478379</v>
      </c>
      <c r="M29" s="571">
        <v>1.1614906832298137</v>
      </c>
    </row>
    <row r="30" spans="1:14">
      <c r="A30" s="303" t="s">
        <v>498</v>
      </c>
      <c r="B30" s="565">
        <v>496.39483263072719</v>
      </c>
      <c r="C30" s="565">
        <v>250.20440350928851</v>
      </c>
      <c r="D30" s="565">
        <v>246.19042912143897</v>
      </c>
      <c r="E30" s="565"/>
      <c r="F30" s="565">
        <v>240.83846327097291</v>
      </c>
      <c r="G30" s="565">
        <v>112.39128285978749</v>
      </c>
      <c r="H30" s="565">
        <v>128.44718041118568</v>
      </c>
      <c r="I30" s="461"/>
      <c r="J30" s="568">
        <v>48.51752021563356</v>
      </c>
      <c r="K30" s="568">
        <v>44.919786096256786</v>
      </c>
      <c r="L30" s="568">
        <v>52.173913043478379</v>
      </c>
      <c r="M30" s="573">
        <v>1.1614906832298137</v>
      </c>
    </row>
    <row r="44" spans="1:12" s="72" customFormat="1">
      <c r="A44" s="69"/>
      <c r="B44" s="75"/>
      <c r="C44" s="75"/>
      <c r="D44" s="75"/>
      <c r="E44" s="75"/>
      <c r="F44" s="75"/>
      <c r="G44" s="75"/>
      <c r="H44" s="75"/>
      <c r="I44" s="69"/>
      <c r="J44" s="75"/>
      <c r="K44" s="75"/>
      <c r="L44" s="75"/>
    </row>
    <row r="47" spans="1:12" s="72" customFormat="1">
      <c r="A47" s="69"/>
      <c r="B47" s="75"/>
      <c r="C47" s="75"/>
      <c r="D47" s="75"/>
      <c r="E47" s="75"/>
      <c r="F47" s="75"/>
      <c r="G47" s="75"/>
      <c r="H47" s="75"/>
      <c r="I47" s="69"/>
      <c r="J47" s="75"/>
      <c r="K47" s="75"/>
      <c r="L47" s="75"/>
    </row>
    <row r="50" spans="1:12" s="72" customFormat="1">
      <c r="A50" s="69"/>
      <c r="B50" s="75"/>
      <c r="C50" s="75"/>
      <c r="D50" s="75"/>
      <c r="E50" s="75"/>
      <c r="F50" s="75"/>
      <c r="G50" s="75"/>
      <c r="H50" s="75"/>
      <c r="I50" s="69"/>
      <c r="J50" s="75"/>
      <c r="K50" s="75"/>
      <c r="L50" s="75"/>
    </row>
    <row r="53" spans="1:12" s="72" customFormat="1">
      <c r="A53" s="69"/>
      <c r="B53" s="75"/>
      <c r="C53" s="75"/>
      <c r="D53" s="75"/>
      <c r="E53" s="75"/>
      <c r="F53" s="75"/>
      <c r="G53" s="75"/>
      <c r="H53" s="75"/>
      <c r="I53" s="69"/>
      <c r="J53" s="75"/>
      <c r="K53" s="75"/>
      <c r="L53" s="75"/>
    </row>
    <row r="55" spans="1:12" s="72" customFormat="1">
      <c r="A55" s="69"/>
      <c r="B55" s="75"/>
      <c r="C55" s="75"/>
      <c r="D55" s="75"/>
      <c r="E55" s="75"/>
      <c r="F55" s="75"/>
      <c r="G55" s="75"/>
      <c r="H55" s="75"/>
      <c r="I55" s="69"/>
      <c r="J55" s="75"/>
      <c r="K55" s="75"/>
      <c r="L55" s="75"/>
    </row>
    <row r="57" spans="1:12" s="72" customFormat="1">
      <c r="A57" s="69"/>
      <c r="B57" s="75"/>
      <c r="C57" s="75"/>
      <c r="D57" s="75"/>
      <c r="E57" s="75"/>
      <c r="F57" s="75"/>
      <c r="G57" s="75"/>
      <c r="H57" s="75"/>
      <c r="I57" s="69"/>
      <c r="J57" s="75"/>
      <c r="K57" s="75"/>
      <c r="L57" s="75"/>
    </row>
  </sheetData>
  <mergeCells count="6">
    <mergeCell ref="A1:L1"/>
    <mergeCell ref="M2:M3"/>
    <mergeCell ref="A2:A3"/>
    <mergeCell ref="B2:D2"/>
    <mergeCell ref="F2:H2"/>
    <mergeCell ref="J2:L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30"/>
  <sheetViews>
    <sheetView zoomScale="120" zoomScaleNormal="120" workbookViewId="0">
      <selection activeCell="B2" sqref="B2:D2"/>
    </sheetView>
  </sheetViews>
  <sheetFormatPr defaultColWidth="9.140625" defaultRowHeight="12"/>
  <cols>
    <col min="1" max="1" width="20.42578125" style="69" customWidth="1"/>
    <col min="2" max="4" width="11.140625" style="75" bestFit="1" customWidth="1"/>
    <col min="5" max="5" width="3" style="69" customWidth="1"/>
    <col min="6" max="8" width="10.28515625" style="69" bestFit="1" customWidth="1"/>
    <col min="9" max="9" width="2.85546875" style="69" customWidth="1"/>
    <col min="10" max="12" width="9.140625" style="75"/>
    <col min="13" max="13" width="15.28515625" style="75" customWidth="1"/>
    <col min="14" max="16384" width="9.140625" style="69"/>
  </cols>
  <sheetData>
    <row r="1" spans="1:13" ht="15.75" customHeight="1">
      <c r="A1" s="823" t="s">
        <v>528</v>
      </c>
      <c r="B1" s="823"/>
      <c r="C1" s="823"/>
      <c r="D1" s="823"/>
      <c r="E1" s="823"/>
      <c r="F1" s="823"/>
      <c r="G1" s="823"/>
      <c r="H1" s="823"/>
      <c r="I1" s="823"/>
      <c r="J1" s="823"/>
      <c r="K1" s="823"/>
      <c r="L1" s="823"/>
      <c r="M1" s="503"/>
    </row>
    <row r="2" spans="1:13" ht="40.5" customHeight="1">
      <c r="A2" s="818" t="s">
        <v>552</v>
      </c>
      <c r="B2" s="824" t="s">
        <v>529</v>
      </c>
      <c r="C2" s="824"/>
      <c r="D2" s="824"/>
      <c r="E2" s="466"/>
      <c r="F2" s="824" t="s">
        <v>444</v>
      </c>
      <c r="G2" s="824"/>
      <c r="H2" s="824"/>
      <c r="I2" s="466"/>
      <c r="J2" s="824" t="s">
        <v>530</v>
      </c>
      <c r="K2" s="824"/>
      <c r="L2" s="824"/>
      <c r="M2" s="821" t="s">
        <v>203</v>
      </c>
    </row>
    <row r="3" spans="1:13" ht="12" customHeight="1">
      <c r="A3" s="819"/>
      <c r="B3" s="468" t="s">
        <v>1</v>
      </c>
      <c r="C3" s="468" t="s">
        <v>2</v>
      </c>
      <c r="D3" s="468" t="s">
        <v>3</v>
      </c>
      <c r="E3" s="467"/>
      <c r="F3" s="468" t="s">
        <v>1</v>
      </c>
      <c r="G3" s="468" t="s">
        <v>2</v>
      </c>
      <c r="H3" s="468" t="s">
        <v>3</v>
      </c>
      <c r="I3" s="469"/>
      <c r="J3" s="468" t="s">
        <v>1</v>
      </c>
      <c r="K3" s="468" t="s">
        <v>2</v>
      </c>
      <c r="L3" s="468" t="s">
        <v>3</v>
      </c>
      <c r="M3" s="822"/>
    </row>
    <row r="4" spans="1:13" ht="15" customHeight="1">
      <c r="A4" s="473" t="s">
        <v>500</v>
      </c>
      <c r="B4" s="575">
        <v>22242.037495139211</v>
      </c>
      <c r="C4" s="575">
        <v>11117.966668468556</v>
      </c>
      <c r="D4" s="575">
        <v>11124.070826667619</v>
      </c>
      <c r="E4" s="477"/>
      <c r="F4" s="477">
        <v>3132.8760739822587</v>
      </c>
      <c r="G4" s="477">
        <v>1755.3257960128708</v>
      </c>
      <c r="H4" s="477">
        <v>1377.550277969427</v>
      </c>
      <c r="I4" s="470"/>
      <c r="J4" s="583">
        <v>14.0853825764249</v>
      </c>
      <c r="K4" s="583">
        <v>15.788190847802243</v>
      </c>
      <c r="L4" s="583">
        <v>12.383508694200545</v>
      </c>
      <c r="M4" s="579">
        <f>+L4/K4</f>
        <v>0.7843526097180642</v>
      </c>
    </row>
    <row r="5" spans="1:13">
      <c r="A5" s="474"/>
      <c r="B5" s="576"/>
      <c r="C5" s="576"/>
      <c r="D5" s="576"/>
      <c r="E5" s="478"/>
      <c r="F5" s="478"/>
      <c r="G5" s="478"/>
      <c r="H5" s="478"/>
      <c r="I5" s="471"/>
      <c r="J5" s="584"/>
      <c r="K5" s="584"/>
      <c r="L5" s="584"/>
      <c r="M5" s="580"/>
    </row>
    <row r="6" spans="1:13">
      <c r="A6" s="473" t="s">
        <v>84</v>
      </c>
      <c r="B6" s="575"/>
      <c r="C6" s="575"/>
      <c r="D6" s="575"/>
      <c r="E6" s="477"/>
      <c r="F6" s="477"/>
      <c r="G6" s="477"/>
      <c r="H6" s="477"/>
      <c r="I6" s="470"/>
      <c r="J6" s="583"/>
      <c r="K6" s="583"/>
      <c r="L6" s="583"/>
      <c r="M6" s="581"/>
    </row>
    <row r="7" spans="1:13">
      <c r="A7" s="475" t="s">
        <v>4</v>
      </c>
      <c r="B7" s="577">
        <v>8633.1829076832691</v>
      </c>
      <c r="C7" s="577">
        <v>4370.7169536661468</v>
      </c>
      <c r="D7" s="577">
        <v>4262.4659540169596</v>
      </c>
      <c r="E7" s="479"/>
      <c r="F7" s="479">
        <v>1916.4005379944138</v>
      </c>
      <c r="G7" s="479">
        <v>1121.8918874337712</v>
      </c>
      <c r="H7" s="479">
        <v>794.50865056067948</v>
      </c>
      <c r="I7" s="472"/>
      <c r="J7" s="585">
        <v>22.198076404576838</v>
      </c>
      <c r="K7" s="585">
        <v>25.668372016007943</v>
      </c>
      <c r="L7" s="585">
        <v>18.639648014359587</v>
      </c>
      <c r="M7" s="582">
        <f>+L7/K7</f>
        <v>0.72617180406825454</v>
      </c>
    </row>
    <row r="8" spans="1:13">
      <c r="A8" s="475" t="s">
        <v>5</v>
      </c>
      <c r="B8" s="577">
        <v>13608.85458745291</v>
      </c>
      <c r="C8" s="577">
        <v>6747.2497148013863</v>
      </c>
      <c r="D8" s="577">
        <v>6861.6048726495319</v>
      </c>
      <c r="E8" s="479"/>
      <c r="F8" s="479">
        <v>1216.4755359878818</v>
      </c>
      <c r="G8" s="479">
        <v>633.43390857912721</v>
      </c>
      <c r="H8" s="479">
        <v>583.04162740875927</v>
      </c>
      <c r="I8" s="472"/>
      <c r="J8" s="585">
        <v>8.9388532162687149</v>
      </c>
      <c r="K8" s="585">
        <v>9.3880312031370536</v>
      </c>
      <c r="L8" s="585">
        <v>8.4971612068887232</v>
      </c>
      <c r="M8" s="582">
        <f>+L8/K8</f>
        <v>0.90510576957278943</v>
      </c>
    </row>
    <row r="9" spans="1:13" s="72" customFormat="1">
      <c r="A9" s="476" t="s">
        <v>448</v>
      </c>
      <c r="B9" s="578"/>
      <c r="C9" s="578"/>
      <c r="D9" s="578"/>
      <c r="E9" s="470"/>
      <c r="F9" s="470"/>
      <c r="G9" s="470"/>
      <c r="H9" s="470"/>
      <c r="I9" s="470"/>
      <c r="J9" s="583"/>
      <c r="K9" s="583"/>
      <c r="L9" s="583"/>
      <c r="M9" s="581"/>
    </row>
    <row r="10" spans="1:13">
      <c r="A10" s="474" t="s">
        <v>486</v>
      </c>
      <c r="B10" s="576">
        <v>4152.8259523172192</v>
      </c>
      <c r="C10" s="576">
        <v>2036.6319190426789</v>
      </c>
      <c r="D10" s="576">
        <v>2116.194033274548</v>
      </c>
      <c r="E10" s="478"/>
      <c r="F10" s="478">
        <v>742.1792173430423</v>
      </c>
      <c r="G10" s="478">
        <v>408.60842815387804</v>
      </c>
      <c r="H10" s="478">
        <v>333.57078918916051</v>
      </c>
      <c r="I10" s="471"/>
      <c r="J10" s="584">
        <v>17.871666808692407</v>
      </c>
      <c r="K10" s="584">
        <v>20.062949241507841</v>
      </c>
      <c r="L10" s="584">
        <v>15.7627695733081</v>
      </c>
      <c r="M10" s="582">
        <f t="shared" ref="M10:M30" si="0">+L10/K10</f>
        <v>0.78566562590393318</v>
      </c>
    </row>
    <row r="11" spans="1:13" s="72" customFormat="1">
      <c r="A11" s="475" t="s">
        <v>486</v>
      </c>
      <c r="B11" s="577">
        <v>4152.8259523172192</v>
      </c>
      <c r="C11" s="577">
        <v>2036.6319190426789</v>
      </c>
      <c r="D11" s="577">
        <v>2116.194033274548</v>
      </c>
      <c r="E11" s="479"/>
      <c r="F11" s="479">
        <v>742.1792173430423</v>
      </c>
      <c r="G11" s="479">
        <v>408.60842815387804</v>
      </c>
      <c r="H11" s="479">
        <v>333.57078918916051</v>
      </c>
      <c r="I11" s="472"/>
      <c r="J11" s="585">
        <v>17.871666808692407</v>
      </c>
      <c r="K11" s="585">
        <v>20.062949241507841</v>
      </c>
      <c r="L11" s="585">
        <v>15.7627695733081</v>
      </c>
      <c r="M11" s="582">
        <f t="shared" si="0"/>
        <v>0.78566562590393318</v>
      </c>
    </row>
    <row r="12" spans="1:13">
      <c r="A12" s="474" t="s">
        <v>487</v>
      </c>
      <c r="B12" s="576">
        <v>8533.2043785729766</v>
      </c>
      <c r="C12" s="576">
        <v>4360.405309904043</v>
      </c>
      <c r="D12" s="576">
        <v>4172.7990686688208</v>
      </c>
      <c r="E12" s="478"/>
      <c r="F12" s="478">
        <v>1377.246649735959</v>
      </c>
      <c r="G12" s="478">
        <v>833.39096679963234</v>
      </c>
      <c r="H12" s="478">
        <v>543.85568293633912</v>
      </c>
      <c r="I12" s="471"/>
      <c r="J12" s="584">
        <v>16.139853080212546</v>
      </c>
      <c r="K12" s="584">
        <v>19.112694980594956</v>
      </c>
      <c r="L12" s="584">
        <v>13.033354206289136</v>
      </c>
      <c r="M12" s="582">
        <f t="shared" si="0"/>
        <v>0.68192132085620838</v>
      </c>
    </row>
    <row r="13" spans="1:13">
      <c r="A13" s="475" t="s">
        <v>487</v>
      </c>
      <c r="B13" s="577">
        <v>7237.7926118788773</v>
      </c>
      <c r="C13" s="577">
        <v>3646.9202435665925</v>
      </c>
      <c r="D13" s="577">
        <v>3590.8723683122876</v>
      </c>
      <c r="E13" s="479"/>
      <c r="F13" s="479">
        <v>1331.0752155992723</v>
      </c>
      <c r="G13" s="479">
        <v>806.21739225564227</v>
      </c>
      <c r="H13" s="479">
        <v>524.8578233436408</v>
      </c>
      <c r="I13" s="472"/>
      <c r="J13" s="585">
        <v>18.390623868037565</v>
      </c>
      <c r="K13" s="585">
        <v>22.106800763681562</v>
      </c>
      <c r="L13" s="585">
        <v>14.616443290361971</v>
      </c>
      <c r="M13" s="582">
        <f t="shared" si="0"/>
        <v>0.66117406343005458</v>
      </c>
    </row>
    <row r="14" spans="1:13" s="72" customFormat="1">
      <c r="A14" s="475" t="s">
        <v>488</v>
      </c>
      <c r="B14" s="577">
        <v>1295.4117666939912</v>
      </c>
      <c r="C14" s="577">
        <v>713.48506633745205</v>
      </c>
      <c r="D14" s="577">
        <v>581.92670035653646</v>
      </c>
      <c r="E14" s="479"/>
      <c r="F14" s="479">
        <v>46.171434136687843</v>
      </c>
      <c r="G14" s="479">
        <v>27.173574543989794</v>
      </c>
      <c r="H14" s="479">
        <v>18.997859592698038</v>
      </c>
      <c r="I14" s="472"/>
      <c r="J14" s="584">
        <v>3.56422840395541</v>
      </c>
      <c r="K14" s="584">
        <v>3.8085694888444528</v>
      </c>
      <c r="L14" s="584">
        <v>3.2646482075935639</v>
      </c>
      <c r="M14" s="582">
        <f t="shared" si="0"/>
        <v>0.85718488717507457</v>
      </c>
    </row>
    <row r="15" spans="1:13">
      <c r="A15" s="474" t="s">
        <v>489</v>
      </c>
      <c r="B15" s="576">
        <v>791.08047528692794</v>
      </c>
      <c r="C15" s="576">
        <v>386.11519093491</v>
      </c>
      <c r="D15" s="576">
        <v>404.96528435201543</v>
      </c>
      <c r="E15" s="478"/>
      <c r="F15" s="478">
        <v>190.24457504304655</v>
      </c>
      <c r="G15" s="478">
        <v>81.55027686708786</v>
      </c>
      <c r="H15" s="478">
        <v>108.69429817595899</v>
      </c>
      <c r="I15" s="471"/>
      <c r="J15" s="584">
        <v>24.048700604580699</v>
      </c>
      <c r="K15" s="584">
        <v>21.120711844988083</v>
      </c>
      <c r="L15" s="584">
        <v>26.840399010962329</v>
      </c>
      <c r="M15" s="582">
        <f t="shared" si="0"/>
        <v>1.2708093935447313</v>
      </c>
    </row>
    <row r="16" spans="1:13" s="72" customFormat="1">
      <c r="A16" s="475" t="s">
        <v>489</v>
      </c>
      <c r="B16" s="577">
        <v>537.71387561995425</v>
      </c>
      <c r="C16" s="577">
        <v>261.3945484426701</v>
      </c>
      <c r="D16" s="577">
        <v>276.31932717728165</v>
      </c>
      <c r="E16" s="479"/>
      <c r="F16" s="479">
        <v>138.57340888030024</v>
      </c>
      <c r="G16" s="479">
        <v>59.817327878919798</v>
      </c>
      <c r="H16" s="479">
        <v>78.756081001380707</v>
      </c>
      <c r="I16" s="472"/>
      <c r="J16" s="585">
        <v>25.770844897861902</v>
      </c>
      <c r="K16" s="585">
        <v>22.883923262859899</v>
      </c>
      <c r="L16" s="585">
        <v>28.501835830995713</v>
      </c>
      <c r="M16" s="582">
        <f t="shared" si="0"/>
        <v>1.2454960411990876</v>
      </c>
    </row>
    <row r="17" spans="1:13">
      <c r="A17" s="475" t="s">
        <v>490</v>
      </c>
      <c r="B17" s="577">
        <v>253.36659966697096</v>
      </c>
      <c r="C17" s="577">
        <v>124.72064249223864</v>
      </c>
      <c r="D17" s="577">
        <v>128.64595717473262</v>
      </c>
      <c r="E17" s="479"/>
      <c r="F17" s="479">
        <v>51.671166162746566</v>
      </c>
      <c r="G17" s="479">
        <v>21.732948988168133</v>
      </c>
      <c r="H17" s="479">
        <v>29.938217174578426</v>
      </c>
      <c r="I17" s="472"/>
      <c r="J17" s="584">
        <v>20.393834953251112</v>
      </c>
      <c r="K17" s="584">
        <v>17.42530230272072</v>
      </c>
      <c r="L17" s="584">
        <v>23.271790137885965</v>
      </c>
      <c r="M17" s="582">
        <f t="shared" si="0"/>
        <v>1.3355171539407036</v>
      </c>
    </row>
    <row r="18" spans="1:13" s="72" customFormat="1">
      <c r="A18" s="474" t="s">
        <v>491</v>
      </c>
      <c r="B18" s="576">
        <v>3081.3449731126402</v>
      </c>
      <c r="C18" s="576">
        <v>1518.7219362459111</v>
      </c>
      <c r="D18" s="576">
        <v>1562.6230368667364</v>
      </c>
      <c r="E18" s="478"/>
      <c r="F18" s="478">
        <v>261.32734609015029</v>
      </c>
      <c r="G18" s="478">
        <v>142.823809149098</v>
      </c>
      <c r="H18" s="478">
        <v>118.50353694105252</v>
      </c>
      <c r="I18" s="471"/>
      <c r="J18" s="585">
        <v>8.4809506358572531</v>
      </c>
      <c r="K18" s="585">
        <v>9.4042105892103383</v>
      </c>
      <c r="L18" s="585">
        <v>7.5836292020030509</v>
      </c>
      <c r="M18" s="582">
        <f t="shared" si="0"/>
        <v>0.80640784572645774</v>
      </c>
    </row>
    <row r="19" spans="1:13">
      <c r="A19" s="475" t="s">
        <v>491</v>
      </c>
      <c r="B19" s="577">
        <v>3081.3449731126402</v>
      </c>
      <c r="C19" s="577">
        <v>1518.7219362459111</v>
      </c>
      <c r="D19" s="577">
        <v>1562.6230368667364</v>
      </c>
      <c r="E19" s="479"/>
      <c r="F19" s="479">
        <v>261.32734609015029</v>
      </c>
      <c r="G19" s="479">
        <v>142.823809149098</v>
      </c>
      <c r="H19" s="479">
        <v>118.50353694105252</v>
      </c>
      <c r="I19" s="472"/>
      <c r="J19" s="584">
        <v>8.4809506358572531</v>
      </c>
      <c r="K19" s="584">
        <v>9.4042105892103383</v>
      </c>
      <c r="L19" s="584">
        <v>7.5836292020030509</v>
      </c>
      <c r="M19" s="582">
        <f t="shared" si="0"/>
        <v>0.80640784572645774</v>
      </c>
    </row>
    <row r="20" spans="1:13" s="72" customFormat="1">
      <c r="A20" s="474" t="s">
        <v>499</v>
      </c>
      <c r="B20" s="576">
        <v>1219.0361362666572</v>
      </c>
      <c r="C20" s="576">
        <v>610.08362754172049</v>
      </c>
      <c r="D20" s="576">
        <v>608.95250872493386</v>
      </c>
      <c r="E20" s="478"/>
      <c r="F20" s="478">
        <v>135.89742595506721</v>
      </c>
      <c r="G20" s="478">
        <v>61.125766106417785</v>
      </c>
      <c r="H20" s="478">
        <v>74.771659848649705</v>
      </c>
      <c r="I20" s="471"/>
      <c r="J20" s="584">
        <v>11.147940730556051</v>
      </c>
      <c r="K20" s="584">
        <v>10.019243812970162</v>
      </c>
      <c r="L20" s="584">
        <v>12.2787341832636</v>
      </c>
      <c r="M20" s="582">
        <f t="shared" si="0"/>
        <v>1.2255150600655582</v>
      </c>
    </row>
    <row r="21" spans="1:13">
      <c r="A21" s="475" t="s">
        <v>492</v>
      </c>
      <c r="B21" s="577">
        <v>1219.0361362666572</v>
      </c>
      <c r="C21" s="577">
        <v>610.08362754172049</v>
      </c>
      <c r="D21" s="577">
        <v>608.95250872493386</v>
      </c>
      <c r="E21" s="479"/>
      <c r="F21" s="479">
        <v>135.89742595506721</v>
      </c>
      <c r="G21" s="479">
        <v>61.125766106417785</v>
      </c>
      <c r="H21" s="479">
        <v>74.771659848649705</v>
      </c>
      <c r="I21" s="472"/>
      <c r="J21" s="585">
        <v>11.147940730556051</v>
      </c>
      <c r="K21" s="585">
        <v>10.019243812970162</v>
      </c>
      <c r="L21" s="585">
        <v>12.2787341832636</v>
      </c>
      <c r="M21" s="582">
        <f t="shared" si="0"/>
        <v>1.2255150600655582</v>
      </c>
    </row>
    <row r="22" spans="1:13">
      <c r="A22" s="474" t="s">
        <v>493</v>
      </c>
      <c r="B22" s="576">
        <v>845.10253878860374</v>
      </c>
      <c r="C22" s="576">
        <v>475.45699069674936</v>
      </c>
      <c r="D22" s="576">
        <v>369.64554809185194</v>
      </c>
      <c r="E22" s="478"/>
      <c r="F22" s="478">
        <v>192.03396091472376</v>
      </c>
      <c r="G22" s="478">
        <v>110.86787610417707</v>
      </c>
      <c r="H22" s="478">
        <v>81.166084810547005</v>
      </c>
      <c r="I22" s="471"/>
      <c r="J22" s="584">
        <v>22.723155132156123</v>
      </c>
      <c r="K22" s="584">
        <v>23.318171416873685</v>
      </c>
      <c r="L22" s="584">
        <v>21.957814784875573</v>
      </c>
      <c r="M22" s="582">
        <f t="shared" si="0"/>
        <v>0.94166109307294488</v>
      </c>
    </row>
    <row r="23" spans="1:13" s="72" customFormat="1">
      <c r="A23" s="475" t="s">
        <v>493</v>
      </c>
      <c r="B23" s="577">
        <v>845.10253878860374</v>
      </c>
      <c r="C23" s="577">
        <v>475.45699069674936</v>
      </c>
      <c r="D23" s="577">
        <v>369.64554809185194</v>
      </c>
      <c r="E23" s="479"/>
      <c r="F23" s="479">
        <v>192.03396091472376</v>
      </c>
      <c r="G23" s="479">
        <v>110.86787610417707</v>
      </c>
      <c r="H23" s="479">
        <v>81.166084810547005</v>
      </c>
      <c r="I23" s="472"/>
      <c r="J23" s="585">
        <v>22.723155132156123</v>
      </c>
      <c r="K23" s="585">
        <v>23.318171416873685</v>
      </c>
      <c r="L23" s="585">
        <v>21.957814784875573</v>
      </c>
      <c r="M23" s="582">
        <f t="shared" si="0"/>
        <v>0.94166109307294488</v>
      </c>
    </row>
    <row r="24" spans="1:13">
      <c r="A24" s="474" t="s">
        <v>494</v>
      </c>
      <c r="B24" s="576">
        <v>936.5588100084243</v>
      </c>
      <c r="C24" s="576">
        <v>461.60422430868783</v>
      </c>
      <c r="D24" s="576">
        <v>474.9545856997342</v>
      </c>
      <c r="E24" s="478"/>
      <c r="F24" s="478">
        <v>35.467502435755677</v>
      </c>
      <c r="G24" s="478">
        <v>23.18915339125877</v>
      </c>
      <c r="H24" s="478">
        <v>12.27834904449691</v>
      </c>
      <c r="I24" s="471"/>
      <c r="J24" s="584">
        <v>3.7870021675880285</v>
      </c>
      <c r="K24" s="584">
        <v>5.0236007753151606</v>
      </c>
      <c r="L24" s="584">
        <v>2.585162753278325</v>
      </c>
      <c r="M24" s="582">
        <f t="shared" si="0"/>
        <v>0.51460354214077497</v>
      </c>
    </row>
    <row r="25" spans="1:13" s="72" customFormat="1">
      <c r="A25" s="475" t="s">
        <v>495</v>
      </c>
      <c r="B25" s="577">
        <v>492.34847471374889</v>
      </c>
      <c r="C25" s="577">
        <v>247.39401587901583</v>
      </c>
      <c r="D25" s="577">
        <v>244.95445883473101</v>
      </c>
      <c r="E25" s="479"/>
      <c r="F25" s="479">
        <v>21.792055458405191</v>
      </c>
      <c r="G25" s="479">
        <v>14.983885204848479</v>
      </c>
      <c r="H25" s="479">
        <v>6.8081702535567139</v>
      </c>
      <c r="I25" s="472"/>
      <c r="J25" s="584">
        <v>4.4261446064345149</v>
      </c>
      <c r="K25" s="584">
        <v>6.0566886194111147</v>
      </c>
      <c r="L25" s="584">
        <v>2.779361635605146</v>
      </c>
      <c r="M25" s="582">
        <f t="shared" si="0"/>
        <v>0.45889128701408799</v>
      </c>
    </row>
    <row r="26" spans="1:13">
      <c r="A26" s="475" t="s">
        <v>496</v>
      </c>
      <c r="B26" s="577">
        <v>444.2103352946728</v>
      </c>
      <c r="C26" s="577">
        <v>214.21020842966971</v>
      </c>
      <c r="D26" s="577">
        <v>230.00012686500114</v>
      </c>
      <c r="E26" s="479"/>
      <c r="F26" s="479">
        <v>13.675446977350488</v>
      </c>
      <c r="G26" s="479">
        <v>8.2052681864102919</v>
      </c>
      <c r="H26" s="479">
        <v>5.4701787909401949</v>
      </c>
      <c r="I26" s="472"/>
      <c r="J26" s="584">
        <v>3.0785972073969643</v>
      </c>
      <c r="K26" s="584">
        <v>3.830474862314639</v>
      </c>
      <c r="L26" s="584">
        <v>2.3783372928967657</v>
      </c>
      <c r="M26" s="582">
        <f t="shared" si="0"/>
        <v>0.62089881238891853</v>
      </c>
    </row>
    <row r="27" spans="1:13" s="72" customFormat="1">
      <c r="A27" s="474" t="s">
        <v>497</v>
      </c>
      <c r="B27" s="576">
        <v>1823.6333932528662</v>
      </c>
      <c r="C27" s="576">
        <v>821.73606598663389</v>
      </c>
      <c r="D27" s="576">
        <v>1001.8973272662399</v>
      </c>
      <c r="E27" s="478"/>
      <c r="F27" s="478">
        <v>10.851697876524803</v>
      </c>
      <c r="G27" s="478">
        <v>4.1026340932051459</v>
      </c>
      <c r="H27" s="478">
        <v>6.749063783319655</v>
      </c>
      <c r="I27" s="471"/>
      <c r="J27" s="585">
        <v>0.59505917783005302</v>
      </c>
      <c r="K27" s="585">
        <v>0.49926421183415337</v>
      </c>
      <c r="L27" s="585">
        <v>0.67362828501948757</v>
      </c>
      <c r="M27" s="582">
        <f t="shared" si="0"/>
        <v>1.34924208275368</v>
      </c>
    </row>
    <row r="28" spans="1:13">
      <c r="A28" s="475" t="s">
        <v>497</v>
      </c>
      <c r="B28" s="577">
        <v>1823.6333932528662</v>
      </c>
      <c r="C28" s="577">
        <v>821.73606598663389</v>
      </c>
      <c r="D28" s="577">
        <v>1001.8973272662399</v>
      </c>
      <c r="E28" s="479"/>
      <c r="F28" s="479">
        <v>10.851697876524803</v>
      </c>
      <c r="G28" s="479">
        <v>4.1026340932051459</v>
      </c>
      <c r="H28" s="479">
        <v>6.749063783319655</v>
      </c>
      <c r="I28" s="472"/>
      <c r="J28" s="585">
        <v>0.59505917783005302</v>
      </c>
      <c r="K28" s="585">
        <v>0.49926421183415337</v>
      </c>
      <c r="L28" s="585">
        <v>0.67362828501948757</v>
      </c>
      <c r="M28" s="582">
        <f t="shared" si="0"/>
        <v>1.34924208275368</v>
      </c>
    </row>
    <row r="29" spans="1:13">
      <c r="A29" s="474" t="s">
        <v>498</v>
      </c>
      <c r="B29" s="576">
        <v>859.25083752785156</v>
      </c>
      <c r="C29" s="576">
        <v>447.21140380620943</v>
      </c>
      <c r="D29" s="576">
        <v>412.03943372163894</v>
      </c>
      <c r="E29" s="478"/>
      <c r="F29" s="478">
        <v>187.62769858805058</v>
      </c>
      <c r="G29" s="478">
        <v>89.666885348142543</v>
      </c>
      <c r="H29" s="478">
        <v>97.960813239908376</v>
      </c>
      <c r="I29" s="471"/>
      <c r="J29" s="584">
        <v>21.836196183162816</v>
      </c>
      <c r="K29" s="584">
        <v>20.050223358570268</v>
      </c>
      <c r="L29" s="584">
        <v>23.774620879148127</v>
      </c>
      <c r="M29" s="582">
        <f t="shared" si="0"/>
        <v>1.1857534180029921</v>
      </c>
    </row>
    <row r="30" spans="1:13">
      <c r="A30" s="475" t="s">
        <v>498</v>
      </c>
      <c r="B30" s="577">
        <v>859.25083752785156</v>
      </c>
      <c r="C30" s="577">
        <v>447.21140380620943</v>
      </c>
      <c r="D30" s="577">
        <v>412.03943372163894</v>
      </c>
      <c r="E30" s="479"/>
      <c r="F30" s="479">
        <v>187.62769858805058</v>
      </c>
      <c r="G30" s="479">
        <v>89.666885348142543</v>
      </c>
      <c r="H30" s="479">
        <v>97.960813239908376</v>
      </c>
      <c r="I30" s="472"/>
      <c r="J30" s="585">
        <v>21.836196183162816</v>
      </c>
      <c r="K30" s="585">
        <v>20.050223358570268</v>
      </c>
      <c r="L30" s="585">
        <v>23.774620879148127</v>
      </c>
      <c r="M30" s="582">
        <f t="shared" si="0"/>
        <v>1.1857534180029921</v>
      </c>
    </row>
  </sheetData>
  <mergeCells count="6">
    <mergeCell ref="M2:M3"/>
    <mergeCell ref="A1:L1"/>
    <mergeCell ref="A2:A3"/>
    <mergeCell ref="B2:D2"/>
    <mergeCell ref="F2:H2"/>
    <mergeCell ref="J2:L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821E00"/>
  </sheetPr>
  <dimension ref="A1"/>
  <sheetViews>
    <sheetView topLeftCell="D13" workbookViewId="0">
      <selection activeCell="O28" sqref="O28"/>
    </sheetView>
  </sheetViews>
  <sheetFormatPr defaultColWidth="9.140625" defaultRowHeight="15"/>
  <cols>
    <col min="1" max="16384" width="9.140625" style="1"/>
  </cols>
  <sheetData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L32"/>
  <sheetViews>
    <sheetView zoomScale="120" zoomScaleNormal="120" workbookViewId="0">
      <selection activeCell="U18" sqref="U18"/>
    </sheetView>
  </sheetViews>
  <sheetFormatPr defaultColWidth="9.140625" defaultRowHeight="12"/>
  <cols>
    <col min="1" max="1" width="25.5703125" style="69" customWidth="1"/>
    <col min="2" max="2" width="11.140625" style="69" bestFit="1" customWidth="1"/>
    <col min="3" max="3" width="10.28515625" style="69" bestFit="1" customWidth="1"/>
    <col min="4" max="6" width="9.28515625" style="69" bestFit="1" customWidth="1"/>
    <col min="7" max="7" width="11.140625" style="69" bestFit="1" customWidth="1"/>
    <col min="8" max="9" width="9.28515625" style="69" bestFit="1" customWidth="1"/>
    <col min="10" max="11" width="10.28515625" style="69" bestFit="1" customWidth="1"/>
    <col min="12" max="12" width="9.28515625" style="69" bestFit="1" customWidth="1"/>
    <col min="13" max="16384" width="9.140625" style="69"/>
  </cols>
  <sheetData>
    <row r="1" spans="1:12" ht="12" customHeight="1">
      <c r="A1" s="825" t="s">
        <v>47</v>
      </c>
      <c r="B1" s="825"/>
      <c r="C1" s="825"/>
      <c r="D1" s="825"/>
      <c r="E1" s="825"/>
      <c r="F1" s="825"/>
      <c r="G1" s="825"/>
      <c r="H1" s="825"/>
      <c r="I1" s="825"/>
      <c r="J1" s="825"/>
      <c r="K1" s="825"/>
      <c r="L1" s="825"/>
    </row>
    <row r="2" spans="1:12" ht="15" customHeight="1">
      <c r="A2" s="829" t="s">
        <v>553</v>
      </c>
      <c r="B2" s="826" t="s">
        <v>48</v>
      </c>
      <c r="C2" s="828" t="s">
        <v>49</v>
      </c>
      <c r="D2" s="828"/>
      <c r="E2" s="828"/>
      <c r="F2" s="828"/>
      <c r="G2" s="828"/>
      <c r="H2" s="828"/>
      <c r="I2" s="828"/>
      <c r="J2" s="828"/>
      <c r="K2" s="828"/>
      <c r="L2" s="828"/>
    </row>
    <row r="3" spans="1:12" ht="35.25" customHeight="1">
      <c r="A3" s="830"/>
      <c r="B3" s="827"/>
      <c r="C3" s="305" t="s">
        <v>531</v>
      </c>
      <c r="D3" s="305" t="s">
        <v>50</v>
      </c>
      <c r="E3" s="305" t="s">
        <v>51</v>
      </c>
      <c r="F3" s="305" t="s">
        <v>52</v>
      </c>
      <c r="G3" s="305" t="s">
        <v>53</v>
      </c>
      <c r="H3" s="305" t="s">
        <v>54</v>
      </c>
      <c r="I3" s="305" t="s">
        <v>55</v>
      </c>
      <c r="J3" s="305" t="s">
        <v>56</v>
      </c>
      <c r="K3" s="305" t="s">
        <v>57</v>
      </c>
      <c r="L3" s="305" t="s">
        <v>18</v>
      </c>
    </row>
    <row r="4" spans="1:12">
      <c r="A4" s="306" t="s">
        <v>500</v>
      </c>
      <c r="B4" s="249">
        <v>35852.003581091936</v>
      </c>
      <c r="C4" s="249">
        <v>7011.8668319789604</v>
      </c>
      <c r="D4" s="249">
        <v>696.30036484800689</v>
      </c>
      <c r="E4" s="249">
        <v>646.07987069717751</v>
      </c>
      <c r="F4" s="249">
        <v>374.61774015214803</v>
      </c>
      <c r="G4" s="249">
        <v>18117.382592579597</v>
      </c>
      <c r="H4" s="249">
        <v>446.55520474658232</v>
      </c>
      <c r="I4" s="249">
        <v>640.65062808627704</v>
      </c>
      <c r="J4" s="249">
        <v>5855.438155856772</v>
      </c>
      <c r="K4" s="249">
        <v>2018.3209406022722</v>
      </c>
      <c r="L4" s="593">
        <v>44.791251539930549</v>
      </c>
    </row>
    <row r="5" spans="1:12" ht="16.5" customHeight="1">
      <c r="A5" s="307"/>
      <c r="B5" s="93"/>
      <c r="C5" s="93"/>
      <c r="D5" s="93"/>
      <c r="E5" s="93"/>
      <c r="F5" s="93"/>
      <c r="G5" s="93"/>
      <c r="H5" s="93"/>
      <c r="I5" s="93"/>
      <c r="J5" s="93"/>
      <c r="K5" s="93"/>
      <c r="L5" s="594"/>
    </row>
    <row r="6" spans="1:12" ht="15.75" customHeight="1">
      <c r="A6" s="306" t="s">
        <v>111</v>
      </c>
      <c r="B6" s="249"/>
      <c r="C6" s="249"/>
      <c r="D6" s="249"/>
      <c r="E6" s="249"/>
      <c r="F6" s="249"/>
      <c r="G6" s="249"/>
      <c r="H6" s="175"/>
      <c r="I6" s="175"/>
      <c r="J6" s="175"/>
      <c r="K6" s="175"/>
      <c r="L6" s="595"/>
    </row>
    <row r="7" spans="1:12">
      <c r="A7" s="308" t="s">
        <v>4</v>
      </c>
      <c r="B7" s="23">
        <v>13608.396604225245</v>
      </c>
      <c r="C7" s="23">
        <v>6141.830703581868</v>
      </c>
      <c r="D7" s="23">
        <v>381.40429341577391</v>
      </c>
      <c r="E7" s="23">
        <v>325.75455665404172</v>
      </c>
      <c r="F7" s="596">
        <v>171.02114224337174</v>
      </c>
      <c r="G7" s="23">
        <v>5057.339492054135</v>
      </c>
      <c r="H7" s="21">
        <v>234.81474292145498</v>
      </c>
      <c r="I7" s="21">
        <v>274.17675185048506</v>
      </c>
      <c r="J7" s="21">
        <v>532.06577586826756</v>
      </c>
      <c r="K7" s="21">
        <v>479.13066041198653</v>
      </c>
      <c r="L7" s="590">
        <v>10.858485221801345</v>
      </c>
    </row>
    <row r="8" spans="1:12">
      <c r="A8" s="308" t="s">
        <v>5</v>
      </c>
      <c r="B8" s="23">
        <v>22243.60697686534</v>
      </c>
      <c r="C8" s="23">
        <v>870.03612839682205</v>
      </c>
      <c r="D8" s="23">
        <v>314.89607143224032</v>
      </c>
      <c r="E8" s="23">
        <v>320.32531404314102</v>
      </c>
      <c r="F8" s="596">
        <v>203.59659790877595</v>
      </c>
      <c r="G8" s="23">
        <v>13060.043100524113</v>
      </c>
      <c r="H8" s="21">
        <v>211.740461825127</v>
      </c>
      <c r="I8" s="21">
        <v>366.47387623579698</v>
      </c>
      <c r="J8" s="21">
        <v>5323.3723799883473</v>
      </c>
      <c r="K8" s="21">
        <v>1539.1902801903054</v>
      </c>
      <c r="L8" s="590">
        <v>33.932766318129204</v>
      </c>
    </row>
    <row r="9" spans="1:12" ht="15" customHeight="1">
      <c r="A9" s="306" t="s">
        <v>557</v>
      </c>
      <c r="B9" s="249"/>
      <c r="C9" s="591"/>
      <c r="D9" s="249"/>
      <c r="E9" s="249"/>
      <c r="F9" s="591"/>
      <c r="G9" s="249"/>
      <c r="H9" s="175"/>
      <c r="I9" s="175"/>
      <c r="J9" s="175"/>
      <c r="K9" s="175"/>
      <c r="L9" s="539"/>
    </row>
    <row r="10" spans="1:12">
      <c r="A10" s="309" t="s">
        <v>486</v>
      </c>
      <c r="B10" s="24">
        <v>5240.5764301720874</v>
      </c>
      <c r="C10" s="599">
        <v>346.11421644491935</v>
      </c>
      <c r="D10" s="24">
        <v>274.17675185048506</v>
      </c>
      <c r="E10" s="24">
        <v>166.94921028519622</v>
      </c>
      <c r="F10" s="597">
        <v>82.79594981623535</v>
      </c>
      <c r="G10" s="24">
        <v>3838.4745259066563</v>
      </c>
      <c r="H10" s="589">
        <v>84.153260468960525</v>
      </c>
      <c r="I10" s="589">
        <v>103.15560960711298</v>
      </c>
      <c r="J10" s="589">
        <v>253.81709205960743</v>
      </c>
      <c r="K10" s="589">
        <v>90.939813732586401</v>
      </c>
      <c r="L10" s="589">
        <v>0</v>
      </c>
    </row>
    <row r="11" spans="1:12">
      <c r="A11" s="310" t="s">
        <v>486</v>
      </c>
      <c r="B11" s="23">
        <v>5240.5764301720874</v>
      </c>
      <c r="C11" s="598">
        <v>346.11421644491935</v>
      </c>
      <c r="D11" s="23">
        <v>274.17675185048506</v>
      </c>
      <c r="E11" s="23">
        <v>166.94921028519622</v>
      </c>
      <c r="F11" s="596">
        <v>82.79594981623535</v>
      </c>
      <c r="G11" s="23">
        <v>3838.4745259066563</v>
      </c>
      <c r="H11" s="590">
        <v>84.153260468960525</v>
      </c>
      <c r="I11" s="590">
        <v>103.15560960711298</v>
      </c>
      <c r="J11" s="590">
        <v>253.81709205960743</v>
      </c>
      <c r="K11" s="590">
        <v>90.939813732586401</v>
      </c>
      <c r="L11" s="590">
        <v>0</v>
      </c>
    </row>
    <row r="12" spans="1:12">
      <c r="A12" s="309" t="s">
        <v>487</v>
      </c>
      <c r="B12" s="24">
        <v>13317.932124541972</v>
      </c>
      <c r="C12" s="602">
        <v>5972.1668719911713</v>
      </c>
      <c r="D12" s="24">
        <v>158.80534636884516</v>
      </c>
      <c r="E12" s="24">
        <v>154.73341441066964</v>
      </c>
      <c r="F12" s="597">
        <v>127.58720135616613</v>
      </c>
      <c r="G12" s="24">
        <v>5475.3911730936115</v>
      </c>
      <c r="H12" s="589">
        <v>171.02114224337174</v>
      </c>
      <c r="I12" s="589">
        <v>176.45038485427244</v>
      </c>
      <c r="J12" s="589">
        <v>647.43718134990263</v>
      </c>
      <c r="K12" s="589">
        <v>419.40899169207881</v>
      </c>
      <c r="L12" s="589">
        <v>14.93041717997685</v>
      </c>
    </row>
    <row r="13" spans="1:12">
      <c r="A13" s="310" t="s">
        <v>487</v>
      </c>
      <c r="B13" s="23">
        <v>12027.129693799952</v>
      </c>
      <c r="C13" s="603">
        <v>5964.0230080748197</v>
      </c>
      <c r="D13" s="23">
        <v>145.23223984159341</v>
      </c>
      <c r="E13" s="23">
        <v>152.01879310521929</v>
      </c>
      <c r="F13" s="596">
        <v>127.58720135616613</v>
      </c>
      <c r="G13" s="23">
        <v>4385.4707189549763</v>
      </c>
      <c r="H13" s="590">
        <v>171.02114224337174</v>
      </c>
      <c r="I13" s="590">
        <v>173.73576354882209</v>
      </c>
      <c r="J13" s="590">
        <v>518.49266934101638</v>
      </c>
      <c r="K13" s="590">
        <v>374.61774015214803</v>
      </c>
      <c r="L13" s="590">
        <v>14.93041717997685</v>
      </c>
    </row>
    <row r="14" spans="1:12">
      <c r="A14" s="310" t="s">
        <v>488</v>
      </c>
      <c r="B14" s="23">
        <v>1290.8024307416088</v>
      </c>
      <c r="C14" s="598">
        <v>8.1438639163510089</v>
      </c>
      <c r="D14" s="23">
        <v>13.573106527251682</v>
      </c>
      <c r="E14" s="23">
        <v>2.7146213054503363</v>
      </c>
      <c r="F14" s="600">
        <v>0</v>
      </c>
      <c r="G14" s="23">
        <v>1089.9204541382912</v>
      </c>
      <c r="H14" s="590">
        <v>0</v>
      </c>
      <c r="I14" s="590">
        <v>2.7146213054503363</v>
      </c>
      <c r="J14" s="590">
        <v>128.94451200889131</v>
      </c>
      <c r="K14" s="590">
        <v>44.791251539930549</v>
      </c>
      <c r="L14" s="590">
        <v>0</v>
      </c>
    </row>
    <row r="15" spans="1:12">
      <c r="A15" s="309" t="s">
        <v>489</v>
      </c>
      <c r="B15" s="24">
        <v>2151.3373845693341</v>
      </c>
      <c r="C15" s="599">
        <v>325.75455665404172</v>
      </c>
      <c r="D15" s="24">
        <v>90.939813732586401</v>
      </c>
      <c r="E15" s="24">
        <v>74.652085899884298</v>
      </c>
      <c r="F15" s="601">
        <v>69.222843288983597</v>
      </c>
      <c r="G15" s="24">
        <v>840.17529403686945</v>
      </c>
      <c r="H15" s="589">
        <v>69.222843288983597</v>
      </c>
      <c r="I15" s="589">
        <v>120.80064809254026</v>
      </c>
      <c r="J15" s="589">
        <v>464.2002432320096</v>
      </c>
      <c r="K15" s="589">
        <v>93.654435038036752</v>
      </c>
      <c r="L15" s="589">
        <v>2.7146213054503363</v>
      </c>
    </row>
    <row r="16" spans="1:12">
      <c r="A16" s="310" t="s">
        <v>489</v>
      </c>
      <c r="B16" s="23">
        <v>1412.9603894868694</v>
      </c>
      <c r="C16" s="598">
        <v>293.17910098863752</v>
      </c>
      <c r="D16" s="23">
        <v>52.935115456281558</v>
      </c>
      <c r="E16" s="23">
        <v>55.649736761731894</v>
      </c>
      <c r="F16" s="596">
        <v>47.505872845380885</v>
      </c>
      <c r="G16" s="23">
        <v>472.34410714836065</v>
      </c>
      <c r="H16" s="590">
        <v>55.649736761731894</v>
      </c>
      <c r="I16" s="590">
        <v>89.582503079861226</v>
      </c>
      <c r="J16" s="590">
        <v>290.46447968318716</v>
      </c>
      <c r="K16" s="590">
        <v>55.649736761731894</v>
      </c>
      <c r="L16" s="590">
        <v>0</v>
      </c>
    </row>
    <row r="17" spans="1:12">
      <c r="A17" s="310" t="s">
        <v>490</v>
      </c>
      <c r="B17" s="23">
        <v>738.37699508248556</v>
      </c>
      <c r="C17" s="598">
        <v>32.575455665404036</v>
      </c>
      <c r="D17" s="23">
        <v>38.004698276304708</v>
      </c>
      <c r="E17" s="23">
        <v>19.002349138152354</v>
      </c>
      <c r="F17" s="596">
        <v>21.71697044360269</v>
      </c>
      <c r="G17" s="23">
        <v>367.83118688852215</v>
      </c>
      <c r="H17" s="590">
        <v>13.573106527251682</v>
      </c>
      <c r="I17" s="590">
        <v>31.218145012678868</v>
      </c>
      <c r="J17" s="590">
        <v>173.73576354882209</v>
      </c>
      <c r="K17" s="590">
        <v>38.004698276304708</v>
      </c>
      <c r="L17" s="590">
        <v>2.7146213054503363</v>
      </c>
    </row>
    <row r="18" spans="1:12">
      <c r="A18" s="309" t="s">
        <v>491</v>
      </c>
      <c r="B18" s="24">
        <v>5442.8157174281978</v>
      </c>
      <c r="C18" s="599">
        <v>128.94451200889131</v>
      </c>
      <c r="D18" s="24">
        <v>76.009396552609473</v>
      </c>
      <c r="E18" s="24">
        <v>126.22989070344096</v>
      </c>
      <c r="F18" s="597">
        <v>58.364358067182231</v>
      </c>
      <c r="G18" s="24">
        <v>2770.2710422119881</v>
      </c>
      <c r="H18" s="589">
        <v>70.580153941708772</v>
      </c>
      <c r="I18" s="589">
        <v>95.011745690761927</v>
      </c>
      <c r="J18" s="589">
        <v>1526.9744843157794</v>
      </c>
      <c r="K18" s="589">
        <v>564.64123153367041</v>
      </c>
      <c r="L18" s="589">
        <v>25.788902401778195</v>
      </c>
    </row>
    <row r="19" spans="1:12">
      <c r="A19" s="310" t="s">
        <v>491</v>
      </c>
      <c r="B19" s="23">
        <v>5442.8157174281978</v>
      </c>
      <c r="C19" s="598">
        <v>128.94451200889131</v>
      </c>
      <c r="D19" s="23">
        <v>76.009396552609473</v>
      </c>
      <c r="E19" s="23">
        <v>126.22989070344096</v>
      </c>
      <c r="F19" s="596">
        <v>58.364358067182231</v>
      </c>
      <c r="G19" s="23">
        <v>2770.2710422119881</v>
      </c>
      <c r="H19" s="590">
        <v>70.580153941708772</v>
      </c>
      <c r="I19" s="590">
        <v>95.011745690761927</v>
      </c>
      <c r="J19" s="590">
        <v>1526.9744843157794</v>
      </c>
      <c r="K19" s="590">
        <v>564.64123153367041</v>
      </c>
      <c r="L19" s="590">
        <v>25.788902401778195</v>
      </c>
    </row>
    <row r="20" spans="1:12">
      <c r="A20" s="309" t="s">
        <v>499</v>
      </c>
      <c r="B20" s="24">
        <v>2772.9856635174383</v>
      </c>
      <c r="C20" s="599">
        <v>23.074281096327859</v>
      </c>
      <c r="D20" s="24">
        <v>4.0719319581755045</v>
      </c>
      <c r="E20" s="24">
        <v>55.649736761731894</v>
      </c>
      <c r="F20" s="597">
        <v>1.3573106527251682</v>
      </c>
      <c r="G20" s="24">
        <v>1612.4850554374618</v>
      </c>
      <c r="H20" s="589">
        <v>16.287727832702018</v>
      </c>
      <c r="I20" s="589">
        <v>5.4292426109006726</v>
      </c>
      <c r="J20" s="589">
        <v>635.22138547537656</v>
      </c>
      <c r="K20" s="589">
        <v>419.40899169207881</v>
      </c>
      <c r="L20" s="589">
        <v>0</v>
      </c>
    </row>
    <row r="21" spans="1:12">
      <c r="A21" s="310" t="s">
        <v>492</v>
      </c>
      <c r="B21" s="23">
        <v>2772.9856635174383</v>
      </c>
      <c r="C21" s="598">
        <v>23.074281096327859</v>
      </c>
      <c r="D21" s="23">
        <v>4.0719319581755045</v>
      </c>
      <c r="E21" s="23">
        <v>55.649736761731894</v>
      </c>
      <c r="F21" s="596">
        <v>1.3573106527251682</v>
      </c>
      <c r="G21" s="23">
        <v>1612.4850554374618</v>
      </c>
      <c r="H21" s="590">
        <v>16.287727832702018</v>
      </c>
      <c r="I21" s="590">
        <v>5.4292426109006726</v>
      </c>
      <c r="J21" s="590">
        <v>635.22138547537656</v>
      </c>
      <c r="K21" s="590">
        <v>419.40899169207881</v>
      </c>
      <c r="L21" s="590">
        <v>0</v>
      </c>
    </row>
    <row r="22" spans="1:12">
      <c r="A22" s="309" t="s">
        <v>493</v>
      </c>
      <c r="B22" s="24">
        <v>1225.6515194108031</v>
      </c>
      <c r="C22" s="599">
        <v>5.4292426109006726</v>
      </c>
      <c r="D22" s="24">
        <v>13.573106527251682</v>
      </c>
      <c r="E22" s="24">
        <v>21.71697044360269</v>
      </c>
      <c r="F22" s="597">
        <v>2.7146213054503363</v>
      </c>
      <c r="G22" s="24">
        <v>883.60923492407323</v>
      </c>
      <c r="H22" s="589">
        <v>8.1438639163510089</v>
      </c>
      <c r="I22" s="589">
        <v>16.287727832702018</v>
      </c>
      <c r="J22" s="589">
        <v>248.38784944870673</v>
      </c>
      <c r="K22" s="589">
        <v>25.788902401778195</v>
      </c>
      <c r="L22" s="589">
        <v>0</v>
      </c>
    </row>
    <row r="23" spans="1:12">
      <c r="A23" s="310" t="s">
        <v>493</v>
      </c>
      <c r="B23" s="23">
        <v>1225.6515194108031</v>
      </c>
      <c r="C23" s="598">
        <v>5.4292426109006726</v>
      </c>
      <c r="D23" s="23">
        <v>13.573106527251682</v>
      </c>
      <c r="E23" s="23">
        <v>21.71697044360269</v>
      </c>
      <c r="F23" s="596">
        <v>2.7146213054503363</v>
      </c>
      <c r="G23" s="23">
        <v>883.60923492407323</v>
      </c>
      <c r="H23" s="590">
        <v>8.1438639163510089</v>
      </c>
      <c r="I23" s="590">
        <v>16.287727832702018</v>
      </c>
      <c r="J23" s="590">
        <v>248.38784944870673</v>
      </c>
      <c r="K23" s="590">
        <v>25.788902401778195</v>
      </c>
      <c r="L23" s="590">
        <v>0</v>
      </c>
    </row>
    <row r="24" spans="1:12">
      <c r="A24" s="309" t="s">
        <v>494</v>
      </c>
      <c r="B24" s="24">
        <v>1199.8626170090258</v>
      </c>
      <c r="C24" s="599">
        <v>2.7146213054503363</v>
      </c>
      <c r="D24" s="24">
        <v>4.0719319581755045</v>
      </c>
      <c r="E24" s="24">
        <v>8.1438639163510089</v>
      </c>
      <c r="F24" s="597">
        <v>4.0719319581755045</v>
      </c>
      <c r="G24" s="24">
        <v>985.40753387845712</v>
      </c>
      <c r="H24" s="589">
        <v>5.4292426109006726</v>
      </c>
      <c r="I24" s="589">
        <v>13.573106527251682</v>
      </c>
      <c r="J24" s="589">
        <v>78.724017858059824</v>
      </c>
      <c r="K24" s="589">
        <v>96.369056343487102</v>
      </c>
      <c r="L24" s="589">
        <v>1.3573106527251682</v>
      </c>
    </row>
    <row r="25" spans="1:12" ht="15.75" customHeight="1">
      <c r="A25" s="310" t="s">
        <v>495</v>
      </c>
      <c r="B25" s="23">
        <v>661.01028787715381</v>
      </c>
      <c r="C25" s="598">
        <v>0</v>
      </c>
      <c r="D25" s="23">
        <v>2.7146213054503363</v>
      </c>
      <c r="E25" s="23">
        <v>5.4292426109006726</v>
      </c>
      <c r="F25" s="596">
        <v>1.3573106527251682</v>
      </c>
      <c r="G25" s="23">
        <v>540.20963978461828</v>
      </c>
      <c r="H25" s="590">
        <v>5.4292426109006726</v>
      </c>
      <c r="I25" s="590">
        <v>6.7865532636258408</v>
      </c>
      <c r="J25" s="590">
        <v>38.004698276304708</v>
      </c>
      <c r="K25" s="590">
        <v>59.721668719907399</v>
      </c>
      <c r="L25" s="590">
        <v>1.3573106527251682</v>
      </c>
    </row>
    <row r="26" spans="1:12">
      <c r="A26" s="310" t="s">
        <v>496</v>
      </c>
      <c r="B26" s="23">
        <v>538.85232913189316</v>
      </c>
      <c r="C26" s="598">
        <v>2.7146213054503363</v>
      </c>
      <c r="D26" s="23">
        <v>1.3573106527251682</v>
      </c>
      <c r="E26" s="23">
        <v>2.7146213054503363</v>
      </c>
      <c r="F26" s="596">
        <v>2.7146213054503363</v>
      </c>
      <c r="G26" s="23">
        <v>445.19789409385714</v>
      </c>
      <c r="H26" s="590">
        <v>0</v>
      </c>
      <c r="I26" s="590">
        <v>6.7865532636258408</v>
      </c>
      <c r="J26" s="590">
        <v>40.719319581755045</v>
      </c>
      <c r="K26" s="590">
        <v>36.64738762357954</v>
      </c>
      <c r="L26" s="590">
        <v>0</v>
      </c>
    </row>
    <row r="27" spans="1:12">
      <c r="A27" s="309" t="s">
        <v>497</v>
      </c>
      <c r="B27" s="24">
        <v>3398.7058744237179</v>
      </c>
      <c r="C27" s="599">
        <v>4.0719319581755045</v>
      </c>
      <c r="D27" s="24">
        <v>39.362008929029876</v>
      </c>
      <c r="E27" s="24">
        <v>2.7146213054503363</v>
      </c>
      <c r="F27" s="597">
        <v>2.7146213054503363</v>
      </c>
      <c r="G27" s="24">
        <v>1298.9462946579595</v>
      </c>
      <c r="H27" s="589">
        <v>5.4292426109006726</v>
      </c>
      <c r="I27" s="589">
        <v>24.431591749053027</v>
      </c>
      <c r="J27" s="589">
        <v>1812.0097213880542</v>
      </c>
      <c r="K27" s="589">
        <v>209.02584051967665</v>
      </c>
      <c r="L27" s="589">
        <v>0</v>
      </c>
    </row>
    <row r="28" spans="1:12">
      <c r="A28" s="310" t="s">
        <v>497</v>
      </c>
      <c r="B28" s="23">
        <v>3398.7058744237179</v>
      </c>
      <c r="C28" s="599">
        <v>4.0719319581755045</v>
      </c>
      <c r="D28" s="23">
        <v>39.362008929029876</v>
      </c>
      <c r="E28" s="23">
        <v>2.7146213054503363</v>
      </c>
      <c r="F28" s="596">
        <v>2.7146213054503363</v>
      </c>
      <c r="G28" s="23">
        <v>1298.9462946579595</v>
      </c>
      <c r="H28" s="590">
        <v>5.4292426109006726</v>
      </c>
      <c r="I28" s="590">
        <v>24.431591749053027</v>
      </c>
      <c r="J28" s="590">
        <v>1812.0097213880542</v>
      </c>
      <c r="K28" s="590">
        <v>209.02584051967665</v>
      </c>
      <c r="L28" s="590">
        <v>0</v>
      </c>
    </row>
    <row r="29" spans="1:12">
      <c r="A29" s="309" t="s">
        <v>498</v>
      </c>
      <c r="B29" s="24">
        <v>1102.1362500128173</v>
      </c>
      <c r="C29" s="598">
        <v>203.59659790877595</v>
      </c>
      <c r="D29" s="24">
        <v>35.290076970854372</v>
      </c>
      <c r="E29" s="24">
        <v>35.290076970854372</v>
      </c>
      <c r="F29" s="597">
        <v>25.788902401778195</v>
      </c>
      <c r="G29" s="24">
        <v>412.62243842845294</v>
      </c>
      <c r="H29" s="589">
        <v>16.287727832702018</v>
      </c>
      <c r="I29" s="589">
        <v>85.5105711216857</v>
      </c>
      <c r="J29" s="589">
        <v>188.66618072879902</v>
      </c>
      <c r="K29" s="589">
        <v>99.083677648937453</v>
      </c>
      <c r="L29" s="589">
        <v>0</v>
      </c>
    </row>
    <row r="30" spans="1:12">
      <c r="A30" s="310" t="s">
        <v>498</v>
      </c>
      <c r="B30" s="23">
        <v>1102.1362500128173</v>
      </c>
      <c r="C30" s="598">
        <v>203.59659790877595</v>
      </c>
      <c r="D30" s="23">
        <v>35.290076970854372</v>
      </c>
      <c r="E30" s="23">
        <v>35.290076970854372</v>
      </c>
      <c r="F30" s="596">
        <v>25.788902401778195</v>
      </c>
      <c r="G30" s="23">
        <v>412.62243842845294</v>
      </c>
      <c r="H30" s="590">
        <v>16.287727832702018</v>
      </c>
      <c r="I30" s="590">
        <v>85.5105711216857</v>
      </c>
      <c r="J30" s="590">
        <v>188.66618072879902</v>
      </c>
      <c r="K30" s="590">
        <v>99.083677648937453</v>
      </c>
      <c r="L30" s="590">
        <v>0</v>
      </c>
    </row>
    <row r="32" spans="1:12" ht="14.25" customHeight="1"/>
  </sheetData>
  <mergeCells count="4">
    <mergeCell ref="A1:L1"/>
    <mergeCell ref="B2:B3"/>
    <mergeCell ref="C2:L2"/>
    <mergeCell ref="A2:A3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57"/>
  <sheetViews>
    <sheetView zoomScale="120" zoomScaleNormal="120" workbookViewId="0">
      <selection activeCell="S26" sqref="S26"/>
    </sheetView>
  </sheetViews>
  <sheetFormatPr defaultColWidth="9.140625" defaultRowHeight="12"/>
  <cols>
    <col min="1" max="1" width="24.28515625" style="69" customWidth="1"/>
    <col min="2" max="2" width="11.28515625" style="69" bestFit="1" customWidth="1"/>
    <col min="3" max="4" width="10.42578125" style="69" bestFit="1" customWidth="1"/>
    <col min="5" max="5" width="11.28515625" style="69" bestFit="1" customWidth="1"/>
    <col min="6" max="6" width="10.42578125" style="69" bestFit="1" customWidth="1"/>
    <col min="7" max="7" width="11.28515625" style="69" bestFit="1" customWidth="1"/>
    <col min="8" max="8" width="11.140625" style="69" bestFit="1" customWidth="1"/>
    <col min="9" max="10" width="9.42578125" style="69" bestFit="1" customWidth="1"/>
    <col min="11" max="16384" width="9.140625" style="69"/>
  </cols>
  <sheetData>
    <row r="1" spans="1:10" ht="18.75" customHeight="1">
      <c r="A1" s="831" t="s">
        <v>455</v>
      </c>
      <c r="B1" s="831"/>
      <c r="C1" s="831"/>
      <c r="D1" s="831"/>
      <c r="E1" s="831"/>
      <c r="F1" s="831"/>
      <c r="G1" s="831"/>
      <c r="H1" s="831"/>
      <c r="I1" s="831"/>
      <c r="J1" s="831"/>
    </row>
    <row r="2" spans="1:10" ht="15" customHeight="1">
      <c r="A2" s="832" t="s">
        <v>553</v>
      </c>
      <c r="B2" s="834" t="s">
        <v>48</v>
      </c>
      <c r="C2" s="836" t="s">
        <v>59</v>
      </c>
      <c r="D2" s="836"/>
      <c r="E2" s="836"/>
      <c r="F2" s="836"/>
      <c r="G2" s="836"/>
      <c r="H2" s="836"/>
      <c r="I2" s="836"/>
      <c r="J2" s="836"/>
    </row>
    <row r="3" spans="1:10" ht="36.75" customHeight="1">
      <c r="A3" s="833"/>
      <c r="B3" s="835"/>
      <c r="C3" s="311" t="s">
        <v>532</v>
      </c>
      <c r="D3" s="311" t="s">
        <v>60</v>
      </c>
      <c r="E3" s="311" t="s">
        <v>61</v>
      </c>
      <c r="F3" s="311" t="s">
        <v>62</v>
      </c>
      <c r="G3" s="311" t="s">
        <v>63</v>
      </c>
      <c r="H3" s="311" t="s">
        <v>64</v>
      </c>
      <c r="I3" s="311" t="s">
        <v>65</v>
      </c>
      <c r="J3" s="311" t="s">
        <v>533</v>
      </c>
    </row>
    <row r="4" spans="1:10">
      <c r="A4" s="312" t="s">
        <v>500</v>
      </c>
      <c r="B4" s="249">
        <v>35852.003581091936</v>
      </c>
      <c r="C4" s="249">
        <v>1957.2419612296419</v>
      </c>
      <c r="D4" s="249">
        <v>841.53260468959456</v>
      </c>
      <c r="E4" s="249">
        <v>3866.9780496138837</v>
      </c>
      <c r="F4" s="249">
        <v>507.63418411921521</v>
      </c>
      <c r="G4" s="249">
        <v>2707.8347521866326</v>
      </c>
      <c r="H4" s="249">
        <v>25797.04626570089</v>
      </c>
      <c r="I4" s="595">
        <v>24.431591749053027</v>
      </c>
      <c r="J4" s="595">
        <v>149.30417179976894</v>
      </c>
    </row>
    <row r="5" spans="1:10">
      <c r="A5" s="313"/>
      <c r="B5" s="24"/>
      <c r="C5" s="24"/>
      <c r="D5" s="24"/>
      <c r="E5" s="24"/>
      <c r="F5" s="24"/>
      <c r="G5" s="24"/>
      <c r="H5" s="24"/>
      <c r="I5" s="589"/>
      <c r="J5" s="589"/>
    </row>
    <row r="6" spans="1:10">
      <c r="A6" s="306" t="s">
        <v>111</v>
      </c>
      <c r="B6" s="249"/>
      <c r="C6" s="249"/>
      <c r="D6" s="249"/>
      <c r="E6" s="249"/>
      <c r="F6" s="249"/>
      <c r="G6" s="249"/>
      <c r="H6" s="249"/>
      <c r="I6" s="595"/>
      <c r="J6" s="595"/>
    </row>
    <row r="7" spans="1:10">
      <c r="A7" s="308" t="s">
        <v>4</v>
      </c>
      <c r="B7" s="23">
        <v>13608.396604225245</v>
      </c>
      <c r="C7" s="23">
        <v>1323.3778864070116</v>
      </c>
      <c r="D7" s="23">
        <v>551.06812500641922</v>
      </c>
      <c r="E7" s="23">
        <v>3174.7496167240733</v>
      </c>
      <c r="F7" s="23">
        <v>257.88902401778296</v>
      </c>
      <c r="G7" s="23">
        <v>2110.6180649875805</v>
      </c>
      <c r="H7" s="23">
        <v>6082.1090348619427</v>
      </c>
      <c r="I7" s="590">
        <v>4.0719319581755045</v>
      </c>
      <c r="J7" s="590">
        <v>104.51292025983815</v>
      </c>
    </row>
    <row r="8" spans="1:10" ht="12" customHeight="1">
      <c r="A8" s="308" t="s">
        <v>5</v>
      </c>
      <c r="B8" s="23">
        <v>22243.60697686534</v>
      </c>
      <c r="C8" s="23">
        <v>633.86407482265145</v>
      </c>
      <c r="D8" s="23">
        <v>290.46447968318716</v>
      </c>
      <c r="E8" s="23">
        <v>692.22843288983154</v>
      </c>
      <c r="F8" s="23">
        <v>249.74516010143191</v>
      </c>
      <c r="G8" s="23">
        <v>597.21668719907325</v>
      </c>
      <c r="H8" s="23">
        <v>19714.937230837597</v>
      </c>
      <c r="I8" s="590">
        <v>20.359659790877522</v>
      </c>
      <c r="J8" s="590">
        <v>44.791251539930549</v>
      </c>
    </row>
    <row r="9" spans="1:10">
      <c r="A9" s="306" t="s">
        <v>448</v>
      </c>
      <c r="B9" s="249"/>
      <c r="C9" s="249"/>
      <c r="D9" s="249"/>
      <c r="E9" s="249"/>
      <c r="F9" s="249"/>
      <c r="G9" s="249"/>
      <c r="H9" s="249"/>
      <c r="I9" s="595"/>
      <c r="J9" s="595"/>
    </row>
    <row r="10" spans="1:10" s="72" customFormat="1">
      <c r="A10" s="314" t="s">
        <v>486</v>
      </c>
      <c r="B10" s="463">
        <v>5240.5764301720874</v>
      </c>
      <c r="C10" s="463">
        <v>131.65913331434166</v>
      </c>
      <c r="D10" s="463">
        <v>133.01644396706683</v>
      </c>
      <c r="E10" s="463">
        <v>678.65532636258035</v>
      </c>
      <c r="F10" s="463">
        <v>104.51292025983815</v>
      </c>
      <c r="G10" s="463">
        <v>665.08221983532917</v>
      </c>
      <c r="H10" s="463">
        <v>3519.5065225162534</v>
      </c>
      <c r="I10" s="604">
        <v>2.7146213054503363</v>
      </c>
      <c r="J10" s="604">
        <v>5.4292426109006726</v>
      </c>
    </row>
    <row r="11" spans="1:10">
      <c r="A11" s="315" t="s">
        <v>486</v>
      </c>
      <c r="B11" s="23">
        <v>5240.5764301720874</v>
      </c>
      <c r="C11" s="23">
        <v>131.65913331434166</v>
      </c>
      <c r="D11" s="23">
        <v>133.01644396706683</v>
      </c>
      <c r="E11" s="23">
        <v>678.65532636258035</v>
      </c>
      <c r="F11" s="23">
        <v>104.51292025983815</v>
      </c>
      <c r="G11" s="23">
        <v>665.08221983532917</v>
      </c>
      <c r="H11" s="23">
        <v>3519.5065225162534</v>
      </c>
      <c r="I11" s="590">
        <v>2.7146213054503363</v>
      </c>
      <c r="J11" s="590">
        <v>5.4292426109006726</v>
      </c>
    </row>
    <row r="12" spans="1:10" ht="16.5" customHeight="1">
      <c r="A12" s="316" t="s">
        <v>487</v>
      </c>
      <c r="B12" s="24">
        <v>13317.932124541972</v>
      </c>
      <c r="C12" s="24">
        <v>1442.821223846822</v>
      </c>
      <c r="D12" s="24">
        <v>485.9172136756124</v>
      </c>
      <c r="E12" s="24">
        <v>2327.7877694235995</v>
      </c>
      <c r="F12" s="24">
        <v>180.52231681244797</v>
      </c>
      <c r="G12" s="24">
        <v>1516.1159990939784</v>
      </c>
      <c r="H12" s="24">
        <v>7248.0388855532101</v>
      </c>
      <c r="I12" s="589">
        <v>5.4292426109006726</v>
      </c>
      <c r="J12" s="589">
        <v>111.29947352346403</v>
      </c>
    </row>
    <row r="13" spans="1:10">
      <c r="A13" s="315" t="s">
        <v>487</v>
      </c>
      <c r="B13" s="23">
        <v>12027.129693799952</v>
      </c>
      <c r="C13" s="23">
        <v>1404.8165255705187</v>
      </c>
      <c r="D13" s="23">
        <v>485.9172136756124</v>
      </c>
      <c r="E13" s="23">
        <v>2316.9292842017985</v>
      </c>
      <c r="F13" s="23">
        <v>180.52231681244797</v>
      </c>
      <c r="G13" s="23">
        <v>1510.6867564830779</v>
      </c>
      <c r="H13" s="23">
        <v>6014.2435022256641</v>
      </c>
      <c r="I13" s="590">
        <v>5.4292426109006726</v>
      </c>
      <c r="J13" s="590">
        <v>108.58485221801368</v>
      </c>
    </row>
    <row r="14" spans="1:10" s="72" customFormat="1">
      <c r="A14" s="315" t="s">
        <v>488</v>
      </c>
      <c r="B14" s="23">
        <v>1290.8024307416088</v>
      </c>
      <c r="C14" s="23">
        <v>38.004698276304708</v>
      </c>
      <c r="D14" s="23">
        <v>0</v>
      </c>
      <c r="E14" s="23">
        <v>10.858485221801345</v>
      </c>
      <c r="F14" s="23">
        <v>0</v>
      </c>
      <c r="G14" s="23">
        <v>5.4292426109006726</v>
      </c>
      <c r="H14" s="23">
        <v>1233.7953833271538</v>
      </c>
      <c r="I14" s="590">
        <v>0</v>
      </c>
      <c r="J14" s="590">
        <v>2.7146213054503363</v>
      </c>
    </row>
    <row r="15" spans="1:10">
      <c r="A15" s="316" t="s">
        <v>489</v>
      </c>
      <c r="B15" s="24">
        <v>2151.3373845693341</v>
      </c>
      <c r="C15" s="24">
        <v>120.80064809254026</v>
      </c>
      <c r="D15" s="24">
        <v>93.654435038036752</v>
      </c>
      <c r="E15" s="24">
        <v>290.46447968318716</v>
      </c>
      <c r="F15" s="24">
        <v>92.297124385311577</v>
      </c>
      <c r="G15" s="24">
        <v>96.369056343487102</v>
      </c>
      <c r="H15" s="24">
        <v>1448.2504664577225</v>
      </c>
      <c r="I15" s="589">
        <v>2.7146213054503363</v>
      </c>
      <c r="J15" s="589">
        <v>6.7865532636258408</v>
      </c>
    </row>
    <row r="16" spans="1:10">
      <c r="A16" s="315" t="s">
        <v>489</v>
      </c>
      <c r="B16" s="23">
        <v>1412.9603894868694</v>
      </c>
      <c r="C16" s="23">
        <v>92.297124385311577</v>
      </c>
      <c r="D16" s="23">
        <v>61.078979372632567</v>
      </c>
      <c r="E16" s="23">
        <v>237.52936422690533</v>
      </c>
      <c r="F16" s="23">
        <v>61.078979372632567</v>
      </c>
      <c r="G16" s="23">
        <v>66.508221983533247</v>
      </c>
      <c r="H16" s="23">
        <v>891.75309884042395</v>
      </c>
      <c r="I16" s="590">
        <v>0</v>
      </c>
      <c r="J16" s="590">
        <v>2.7146213054503363</v>
      </c>
    </row>
    <row r="17" spans="1:10" s="72" customFormat="1">
      <c r="A17" s="315" t="s">
        <v>490</v>
      </c>
      <c r="B17" s="23">
        <v>738.37699508248556</v>
      </c>
      <c r="C17" s="23">
        <v>28.503523707228531</v>
      </c>
      <c r="D17" s="23">
        <v>32.575455665404036</v>
      </c>
      <c r="E17" s="23">
        <v>52.935115456281558</v>
      </c>
      <c r="F17" s="23">
        <v>31.218145012678868</v>
      </c>
      <c r="G17" s="23">
        <v>29.860834359953699</v>
      </c>
      <c r="H17" s="23">
        <v>556.4973676173197</v>
      </c>
      <c r="I17" s="590">
        <v>2.7146213054503363</v>
      </c>
      <c r="J17" s="590">
        <v>4.0719319581755045</v>
      </c>
    </row>
    <row r="18" spans="1:10">
      <c r="A18" s="316" t="s">
        <v>491</v>
      </c>
      <c r="B18" s="24">
        <v>5442.8157174281978</v>
      </c>
      <c r="C18" s="24">
        <v>146.58955049431859</v>
      </c>
      <c r="D18" s="24">
        <v>63.793600678082903</v>
      </c>
      <c r="E18" s="24">
        <v>356.97270166672075</v>
      </c>
      <c r="F18" s="24">
        <v>89.582503079861226</v>
      </c>
      <c r="G18" s="24">
        <v>256.53171336505778</v>
      </c>
      <c r="H18" s="24">
        <v>4521.2017842275336</v>
      </c>
      <c r="I18" s="589">
        <v>2.7146213054503363</v>
      </c>
      <c r="J18" s="589">
        <v>5.4292426109006726</v>
      </c>
    </row>
    <row r="19" spans="1:10">
      <c r="A19" s="315" t="s">
        <v>491</v>
      </c>
      <c r="B19" s="23">
        <v>5442.8157174281978</v>
      </c>
      <c r="C19" s="23">
        <v>146.58955049431859</v>
      </c>
      <c r="D19" s="23">
        <v>63.793600678082903</v>
      </c>
      <c r="E19" s="23">
        <v>356.97270166672075</v>
      </c>
      <c r="F19" s="23">
        <v>89.582503079861226</v>
      </c>
      <c r="G19" s="23">
        <v>256.53171336505778</v>
      </c>
      <c r="H19" s="23">
        <v>4521.2017842275336</v>
      </c>
      <c r="I19" s="590">
        <v>2.7146213054503363</v>
      </c>
      <c r="J19" s="590">
        <v>5.4292426109006726</v>
      </c>
    </row>
    <row r="20" spans="1:10" s="72" customFormat="1">
      <c r="A20" s="316" t="s">
        <v>499</v>
      </c>
      <c r="B20" s="24">
        <v>2772.9856635174383</v>
      </c>
      <c r="C20" s="24">
        <v>42.076630234480213</v>
      </c>
      <c r="D20" s="24">
        <v>4.0719319581755045</v>
      </c>
      <c r="E20" s="24">
        <v>36.64738762357954</v>
      </c>
      <c r="F20" s="24">
        <v>2.7146213054503363</v>
      </c>
      <c r="G20" s="24">
        <v>55.649736761731894</v>
      </c>
      <c r="H20" s="24">
        <v>2629.1107343285757</v>
      </c>
      <c r="I20" s="589">
        <v>2.7146213054503363</v>
      </c>
      <c r="J20" s="589">
        <v>0</v>
      </c>
    </row>
    <row r="21" spans="1:10">
      <c r="A21" s="315" t="s">
        <v>492</v>
      </c>
      <c r="B21" s="23">
        <v>2772.9856635174383</v>
      </c>
      <c r="C21" s="23">
        <v>42.076630234480213</v>
      </c>
      <c r="D21" s="23">
        <v>4.0719319581755045</v>
      </c>
      <c r="E21" s="23">
        <v>36.64738762357954</v>
      </c>
      <c r="F21" s="23">
        <v>2.7146213054503363</v>
      </c>
      <c r="G21" s="23">
        <v>55.649736761731894</v>
      </c>
      <c r="H21" s="23">
        <v>2629.1107343285757</v>
      </c>
      <c r="I21" s="590">
        <v>2.7146213054503363</v>
      </c>
      <c r="J21" s="590">
        <v>0</v>
      </c>
    </row>
    <row r="22" spans="1:10" s="72" customFormat="1">
      <c r="A22" s="316" t="s">
        <v>493</v>
      </c>
      <c r="B22" s="24">
        <v>1225.6515194108031</v>
      </c>
      <c r="C22" s="24">
        <v>17.645038485427186</v>
      </c>
      <c r="D22" s="24">
        <v>8.1438639163510089</v>
      </c>
      <c r="E22" s="24">
        <v>17.645038485427186</v>
      </c>
      <c r="F22" s="24">
        <v>4.0719319581755045</v>
      </c>
      <c r="G22" s="24">
        <v>24.431591749053027</v>
      </c>
      <c r="H22" s="24">
        <v>1152.3567441636467</v>
      </c>
      <c r="I22" s="589">
        <v>0</v>
      </c>
      <c r="J22" s="589">
        <v>1.3573106527251682</v>
      </c>
    </row>
    <row r="23" spans="1:10">
      <c r="A23" s="315" t="s">
        <v>493</v>
      </c>
      <c r="B23" s="23">
        <v>1225.6515194108031</v>
      </c>
      <c r="C23" s="23">
        <v>17.645038485427186</v>
      </c>
      <c r="D23" s="23">
        <v>8.1438639163510089</v>
      </c>
      <c r="E23" s="23">
        <v>17.645038485427186</v>
      </c>
      <c r="F23" s="23">
        <v>4.0719319581755045</v>
      </c>
      <c r="G23" s="23">
        <v>24.431591749053027</v>
      </c>
      <c r="H23" s="23">
        <v>1152.3567441636467</v>
      </c>
      <c r="I23" s="590">
        <v>0</v>
      </c>
      <c r="J23" s="590">
        <v>1.3573106527251682</v>
      </c>
    </row>
    <row r="24" spans="1:10">
      <c r="A24" s="316" t="s">
        <v>494</v>
      </c>
      <c r="B24" s="24">
        <v>1199.8626170090258</v>
      </c>
      <c r="C24" s="24">
        <v>16.287727832702018</v>
      </c>
      <c r="D24" s="24">
        <v>2.7146213054503363</v>
      </c>
      <c r="E24" s="24">
        <v>16.287727832702018</v>
      </c>
      <c r="F24" s="24">
        <v>1.3573106527251682</v>
      </c>
      <c r="G24" s="24">
        <v>13.573106527251682</v>
      </c>
      <c r="H24" s="24">
        <v>1148.2848122054713</v>
      </c>
      <c r="I24" s="589">
        <v>0</v>
      </c>
      <c r="J24" s="589">
        <v>1.3573106527251682</v>
      </c>
    </row>
    <row r="25" spans="1:10" s="72" customFormat="1">
      <c r="A25" s="315" t="s">
        <v>495</v>
      </c>
      <c r="B25" s="23">
        <v>661.01028787715381</v>
      </c>
      <c r="C25" s="23">
        <v>13.573106527251682</v>
      </c>
      <c r="D25" s="23">
        <v>2.7146213054503363</v>
      </c>
      <c r="E25" s="23">
        <v>8.1438639163510089</v>
      </c>
      <c r="F25" s="23">
        <v>1.3573106527251682</v>
      </c>
      <c r="G25" s="23">
        <v>2.7146213054503363</v>
      </c>
      <c r="H25" s="23">
        <v>631.14945351720121</v>
      </c>
      <c r="I25" s="590">
        <v>0</v>
      </c>
      <c r="J25" s="590">
        <v>1.3573106527251682</v>
      </c>
    </row>
    <row r="26" spans="1:10">
      <c r="A26" s="315" t="s">
        <v>496</v>
      </c>
      <c r="B26" s="23">
        <v>538.85232913189316</v>
      </c>
      <c r="C26" s="23">
        <v>2.7146213054503363</v>
      </c>
      <c r="D26" s="23">
        <v>0</v>
      </c>
      <c r="E26" s="23">
        <v>8.1438639163510089</v>
      </c>
      <c r="F26" s="23">
        <v>0</v>
      </c>
      <c r="G26" s="23">
        <v>10.858485221801345</v>
      </c>
      <c r="H26" s="23">
        <v>517.13535868829126</v>
      </c>
      <c r="I26" s="590">
        <v>0</v>
      </c>
      <c r="J26" s="590">
        <v>0</v>
      </c>
    </row>
    <row r="27" spans="1:10">
      <c r="A27" s="316" t="s">
        <v>497</v>
      </c>
      <c r="B27" s="24">
        <v>3398.7058744237179</v>
      </c>
      <c r="C27" s="24">
        <v>8.1438639163510089</v>
      </c>
      <c r="D27" s="24">
        <v>4.0719319581755045</v>
      </c>
      <c r="E27" s="24">
        <v>13.573106527251682</v>
      </c>
      <c r="F27" s="24">
        <v>6.7865532636258408</v>
      </c>
      <c r="G27" s="24">
        <v>36.64738762357954</v>
      </c>
      <c r="H27" s="24">
        <v>3309.1233713438601</v>
      </c>
      <c r="I27" s="589">
        <v>5.4292426109006726</v>
      </c>
      <c r="J27" s="589">
        <v>14.93041717997685</v>
      </c>
    </row>
    <row r="28" spans="1:10" s="72" customFormat="1">
      <c r="A28" s="315" t="s">
        <v>497</v>
      </c>
      <c r="B28" s="23">
        <v>3398.7058744237179</v>
      </c>
      <c r="C28" s="23">
        <v>8.1438639163510089</v>
      </c>
      <c r="D28" s="23">
        <v>4.0719319581755045</v>
      </c>
      <c r="E28" s="23">
        <v>13.573106527251682</v>
      </c>
      <c r="F28" s="23">
        <v>6.7865532636258408</v>
      </c>
      <c r="G28" s="23">
        <v>36.64738762357954</v>
      </c>
      <c r="H28" s="23">
        <v>3309.1233713438601</v>
      </c>
      <c r="I28" s="590">
        <v>5.4292426109006726</v>
      </c>
      <c r="J28" s="590">
        <v>14.93041717997685</v>
      </c>
    </row>
    <row r="29" spans="1:10">
      <c r="A29" s="316" t="s">
        <v>498</v>
      </c>
      <c r="B29" s="24">
        <v>1102.1362500128173</v>
      </c>
      <c r="C29" s="24">
        <v>31.218145012678868</v>
      </c>
      <c r="D29" s="24">
        <v>46.148562192655717</v>
      </c>
      <c r="E29" s="24">
        <v>128.94451200889131</v>
      </c>
      <c r="F29" s="24">
        <v>25.788902401778195</v>
      </c>
      <c r="G29" s="24">
        <v>43.433940887205381</v>
      </c>
      <c r="H29" s="24">
        <v>821.17294489871779</v>
      </c>
      <c r="I29" s="589">
        <v>2.7146213054503363</v>
      </c>
      <c r="J29" s="589">
        <v>2.7146213054503363</v>
      </c>
    </row>
    <row r="30" spans="1:10">
      <c r="A30" s="315" t="s">
        <v>498</v>
      </c>
      <c r="B30" s="23">
        <v>1102.1362500128173</v>
      </c>
      <c r="C30" s="23">
        <v>31.218145012678868</v>
      </c>
      <c r="D30" s="23">
        <v>46.148562192655717</v>
      </c>
      <c r="E30" s="23">
        <v>128.94451200889131</v>
      </c>
      <c r="F30" s="23">
        <v>25.788902401778195</v>
      </c>
      <c r="G30" s="23">
        <v>43.433940887205381</v>
      </c>
      <c r="H30" s="23">
        <v>821.17294489871779</v>
      </c>
      <c r="I30" s="590">
        <v>2.7146213054503363</v>
      </c>
      <c r="J30" s="590">
        <v>2.7146213054503363</v>
      </c>
    </row>
    <row r="31" spans="1:10" s="72" customFormat="1">
      <c r="A31" s="69"/>
      <c r="B31" s="69"/>
      <c r="C31" s="69"/>
      <c r="D31" s="69"/>
      <c r="E31" s="69"/>
      <c r="F31" s="69"/>
      <c r="G31" s="69"/>
      <c r="H31" s="69"/>
      <c r="I31" s="69"/>
      <c r="J31" s="69"/>
    </row>
    <row r="34" spans="1:10" s="72" customFormat="1">
      <c r="A34" s="69"/>
      <c r="B34" s="69"/>
      <c r="C34" s="69"/>
      <c r="D34" s="69"/>
      <c r="E34" s="69"/>
      <c r="F34" s="69"/>
      <c r="G34" s="69"/>
      <c r="H34" s="69"/>
      <c r="I34" s="69"/>
      <c r="J34" s="69"/>
    </row>
    <row r="38" spans="1:10" s="72" customFormat="1">
      <c r="A38" s="69"/>
      <c r="B38" s="69"/>
      <c r="C38" s="69"/>
      <c r="D38" s="69"/>
      <c r="E38" s="69"/>
      <c r="F38" s="69"/>
      <c r="G38" s="69"/>
      <c r="H38" s="69"/>
      <c r="I38" s="69"/>
      <c r="J38" s="69"/>
    </row>
    <row r="41" spans="1:10" s="72" customFormat="1">
      <c r="A41" s="69"/>
      <c r="B41" s="69"/>
      <c r="C41" s="69"/>
      <c r="D41" s="69"/>
      <c r="E41" s="69"/>
      <c r="F41" s="69"/>
      <c r="G41" s="69"/>
      <c r="H41" s="69"/>
      <c r="I41" s="69"/>
      <c r="J41" s="69"/>
    </row>
    <row r="42" spans="1:10" ht="15" customHeight="1"/>
    <row r="43" spans="1:10" ht="15" customHeight="1"/>
    <row r="44" spans="1:10" s="72" customFormat="1">
      <c r="A44" s="69"/>
      <c r="B44" s="69"/>
      <c r="C44" s="69"/>
      <c r="D44" s="69"/>
      <c r="E44" s="69"/>
      <c r="F44" s="69"/>
      <c r="G44" s="69"/>
      <c r="H44" s="69"/>
      <c r="I44" s="69"/>
      <c r="J44" s="69"/>
    </row>
    <row r="47" spans="1:10" s="72" customFormat="1">
      <c r="A47" s="69"/>
      <c r="B47" s="69"/>
      <c r="C47" s="69"/>
      <c r="D47" s="69"/>
      <c r="E47" s="69"/>
      <c r="F47" s="69"/>
      <c r="G47" s="69"/>
      <c r="H47" s="69"/>
      <c r="I47" s="69"/>
      <c r="J47" s="69"/>
    </row>
    <row r="50" spans="1:10" s="72" customFormat="1">
      <c r="A50" s="69"/>
      <c r="B50" s="69"/>
      <c r="C50" s="69"/>
      <c r="D50" s="69"/>
      <c r="E50" s="69"/>
      <c r="F50" s="69"/>
      <c r="G50" s="69"/>
      <c r="H50" s="69"/>
      <c r="I50" s="69"/>
      <c r="J50" s="69"/>
    </row>
    <row r="53" spans="1:10" s="72" customFormat="1">
      <c r="A53" s="69"/>
      <c r="B53" s="69"/>
      <c r="C53" s="69"/>
      <c r="D53" s="69"/>
      <c r="E53" s="69"/>
      <c r="F53" s="69"/>
      <c r="G53" s="69"/>
      <c r="H53" s="69"/>
      <c r="I53" s="69"/>
      <c r="J53" s="69"/>
    </row>
    <row r="55" spans="1:10" s="72" customFormat="1">
      <c r="A55" s="69"/>
      <c r="B55" s="69"/>
      <c r="C55" s="69"/>
      <c r="D55" s="69"/>
      <c r="E55" s="69"/>
      <c r="F55" s="69"/>
      <c r="G55" s="69"/>
      <c r="H55" s="69"/>
      <c r="I55" s="69"/>
      <c r="J55" s="69"/>
    </row>
    <row r="57" spans="1:10" s="72" customFormat="1">
      <c r="A57" s="69"/>
      <c r="B57" s="69"/>
      <c r="C57" s="69"/>
      <c r="D57" s="69"/>
      <c r="E57" s="69"/>
      <c r="F57" s="69"/>
      <c r="G57" s="69"/>
      <c r="H57" s="69"/>
      <c r="I57" s="69"/>
      <c r="J57" s="69"/>
    </row>
  </sheetData>
  <mergeCells count="4">
    <mergeCell ref="A1:J1"/>
    <mergeCell ref="A2:A3"/>
    <mergeCell ref="B2:B3"/>
    <mergeCell ref="C2:J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R31"/>
  <sheetViews>
    <sheetView zoomScale="120" zoomScaleNormal="120" workbookViewId="0">
      <selection activeCell="Q21" sqref="Q21"/>
    </sheetView>
  </sheetViews>
  <sheetFormatPr defaultColWidth="9.140625" defaultRowHeight="12"/>
  <cols>
    <col min="1" max="1" width="21.42578125" style="69" customWidth="1"/>
    <col min="2" max="2" width="11.140625" style="69" bestFit="1" customWidth="1"/>
    <col min="3" max="5" width="10.28515625" style="69" bestFit="1" customWidth="1"/>
    <col min="6" max="6" width="9.28515625" style="69" bestFit="1" customWidth="1"/>
    <col min="7" max="7" width="10.28515625" style="69" bestFit="1" customWidth="1"/>
    <col min="8" max="8" width="9.28515625" style="69" bestFit="1" customWidth="1"/>
    <col min="9" max="9" width="10.28515625" style="69" bestFit="1" customWidth="1"/>
    <col min="10" max="10" width="5.42578125" style="69" customWidth="1"/>
    <col min="11" max="11" width="9.28515625" style="69" bestFit="1" customWidth="1"/>
    <col min="12" max="12" width="10.28515625" style="69" bestFit="1" customWidth="1"/>
    <col min="13" max="14" width="9.28515625" style="69" bestFit="1" customWidth="1"/>
    <col min="15" max="15" width="11.5703125" style="69" customWidth="1"/>
    <col min="16" max="17" width="10.28515625" style="69" bestFit="1" customWidth="1"/>
    <col min="18" max="18" width="11.140625" style="69" bestFit="1" customWidth="1"/>
    <col min="19" max="16384" width="9.140625" style="69"/>
  </cols>
  <sheetData>
    <row r="1" spans="1:18" ht="10.5" customHeight="1" thickBot="1">
      <c r="A1" s="837" t="s">
        <v>456</v>
      </c>
      <c r="B1" s="837"/>
      <c r="C1" s="837"/>
      <c r="D1" s="837"/>
      <c r="E1" s="837"/>
      <c r="F1" s="837"/>
      <c r="G1" s="837"/>
      <c r="H1" s="837"/>
      <c r="I1" s="837"/>
      <c r="J1" s="837"/>
      <c r="K1" s="837"/>
      <c r="L1" s="837"/>
      <c r="M1" s="837"/>
      <c r="N1" s="837"/>
      <c r="O1" s="837"/>
      <c r="P1" s="837"/>
      <c r="Q1" s="837"/>
      <c r="R1" s="837"/>
    </row>
    <row r="2" spans="1:18" ht="12" customHeight="1">
      <c r="A2" s="106"/>
      <c r="B2" s="317"/>
      <c r="C2" s="838" t="s">
        <v>534</v>
      </c>
      <c r="D2" s="838"/>
      <c r="E2" s="838"/>
      <c r="F2" s="838"/>
      <c r="G2" s="838"/>
      <c r="H2" s="838"/>
      <c r="I2" s="838"/>
      <c r="J2" s="838"/>
      <c r="K2" s="838"/>
      <c r="L2" s="838"/>
      <c r="M2" s="838"/>
      <c r="N2" s="838"/>
      <c r="O2" s="838"/>
      <c r="P2" s="838"/>
      <c r="Q2" s="838"/>
      <c r="R2" s="839" t="s">
        <v>72</v>
      </c>
    </row>
    <row r="3" spans="1:18" ht="11.25" customHeight="1">
      <c r="A3" s="832" t="s">
        <v>445</v>
      </c>
      <c r="B3" s="842" t="s">
        <v>48</v>
      </c>
      <c r="C3" s="843" t="s">
        <v>66</v>
      </c>
      <c r="D3" s="843"/>
      <c r="E3" s="843"/>
      <c r="F3" s="843"/>
      <c r="G3" s="843"/>
      <c r="H3" s="843"/>
      <c r="I3" s="843"/>
      <c r="J3" s="106"/>
      <c r="K3" s="844" t="s">
        <v>67</v>
      </c>
      <c r="L3" s="844"/>
      <c r="M3" s="844"/>
      <c r="N3" s="844"/>
      <c r="O3" s="844"/>
      <c r="P3" s="844"/>
      <c r="Q3" s="844"/>
      <c r="R3" s="840"/>
    </row>
    <row r="4" spans="1:18" ht="62.25" customHeight="1">
      <c r="A4" s="833"/>
      <c r="B4" s="841"/>
      <c r="C4" s="318" t="s">
        <v>535</v>
      </c>
      <c r="D4" s="318" t="s">
        <v>68</v>
      </c>
      <c r="E4" s="318" t="s">
        <v>536</v>
      </c>
      <c r="F4" s="318" t="s">
        <v>537</v>
      </c>
      <c r="G4" s="318" t="s">
        <v>70</v>
      </c>
      <c r="H4" s="318" t="s">
        <v>71</v>
      </c>
      <c r="I4" s="318" t="s">
        <v>538</v>
      </c>
      <c r="J4" s="318"/>
      <c r="K4" s="318" t="s">
        <v>539</v>
      </c>
      <c r="L4" s="318" t="s">
        <v>540</v>
      </c>
      <c r="M4" s="318" t="s">
        <v>69</v>
      </c>
      <c r="N4" s="318" t="s">
        <v>541</v>
      </c>
      <c r="O4" s="318" t="s">
        <v>70</v>
      </c>
      <c r="P4" s="318" t="s">
        <v>542</v>
      </c>
      <c r="Q4" s="319" t="s">
        <v>538</v>
      </c>
      <c r="R4" s="841"/>
    </row>
    <row r="5" spans="1:18">
      <c r="A5" s="320" t="s">
        <v>500</v>
      </c>
      <c r="B5" s="249">
        <v>35852.003581091936</v>
      </c>
      <c r="C5" s="249">
        <v>1828.2974492207557</v>
      </c>
      <c r="D5" s="249">
        <v>2044.1098430040495</v>
      </c>
      <c r="E5" s="249">
        <v>1049.2011345565377</v>
      </c>
      <c r="F5" s="249">
        <v>760.09396552608746</v>
      </c>
      <c r="G5" s="249">
        <v>1328.8071290179121</v>
      </c>
      <c r="H5" s="249">
        <v>705.80153941708272</v>
      </c>
      <c r="I5" s="249">
        <v>7716.3110607424251</v>
      </c>
      <c r="J5" s="249"/>
      <c r="K5" s="249">
        <v>422.12361299752916</v>
      </c>
      <c r="L5" s="249">
        <v>1041.057270640187</v>
      </c>
      <c r="M5" s="249">
        <v>386.83353602667461</v>
      </c>
      <c r="N5" s="249">
        <v>180.52231681244797</v>
      </c>
      <c r="O5" s="249">
        <v>2990.1553679534572</v>
      </c>
      <c r="P5" s="249">
        <v>2690.1897137012061</v>
      </c>
      <c r="Q5" s="249">
        <v>7710.8818181315019</v>
      </c>
      <c r="R5" s="249">
        <v>20424.810702213072</v>
      </c>
    </row>
    <row r="6" spans="1:18">
      <c r="A6" s="321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pans="1:18">
      <c r="A7" s="306" t="s">
        <v>111</v>
      </c>
      <c r="B7" s="249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</row>
    <row r="8" spans="1:18" ht="12.75" customHeight="1">
      <c r="A8" s="308" t="s">
        <v>4</v>
      </c>
      <c r="B8" s="23">
        <v>13608.396604225245</v>
      </c>
      <c r="C8" s="23">
        <v>1320.6632651015614</v>
      </c>
      <c r="D8" s="23">
        <v>1307.0901585743102</v>
      </c>
      <c r="E8" s="23">
        <v>537.49501847916804</v>
      </c>
      <c r="F8" s="23">
        <v>299.96565425226339</v>
      </c>
      <c r="G8" s="23">
        <v>585.00089132454718</v>
      </c>
      <c r="H8" s="23">
        <v>185.95155942334867</v>
      </c>
      <c r="I8" s="23">
        <v>4236.1665471551996</v>
      </c>
      <c r="J8" s="23"/>
      <c r="K8" s="23">
        <v>168.30652093792139</v>
      </c>
      <c r="L8" s="23">
        <v>658.29566657170358</v>
      </c>
      <c r="M8" s="23">
        <v>74.652085899884298</v>
      </c>
      <c r="N8" s="23">
        <v>69.222843288983597</v>
      </c>
      <c r="O8" s="23">
        <v>689.5138115843813</v>
      </c>
      <c r="P8" s="23">
        <v>712.58809268070831</v>
      </c>
      <c r="Q8" s="23">
        <v>2372.5790209635825</v>
      </c>
      <c r="R8" s="23">
        <v>6999.6510361044302</v>
      </c>
    </row>
    <row r="9" spans="1:18" s="72" customFormat="1">
      <c r="A9" s="308" t="s">
        <v>5</v>
      </c>
      <c r="B9" s="23">
        <v>22243.60697686534</v>
      </c>
      <c r="C9" s="23">
        <v>507.63418411921521</v>
      </c>
      <c r="D9" s="23">
        <v>737.01968442976045</v>
      </c>
      <c r="E9" s="23">
        <v>511.70611607739073</v>
      </c>
      <c r="F9" s="23">
        <v>460.12831127383407</v>
      </c>
      <c r="G9" s="23">
        <v>743.80623769338604</v>
      </c>
      <c r="H9" s="23">
        <v>519.8499799937415</v>
      </c>
      <c r="I9" s="23">
        <v>3480.1445135873282</v>
      </c>
      <c r="J9" s="23"/>
      <c r="K9" s="23">
        <v>253.81709205960743</v>
      </c>
      <c r="L9" s="23">
        <v>382.76160406849908</v>
      </c>
      <c r="M9" s="23">
        <v>312.18145012678997</v>
      </c>
      <c r="N9" s="23">
        <v>111.29947352346403</v>
      </c>
      <c r="O9" s="23">
        <v>2300.6415563690971</v>
      </c>
      <c r="P9" s="23">
        <v>1977.6016210205187</v>
      </c>
      <c r="Q9" s="23">
        <v>5338.3027971679767</v>
      </c>
      <c r="R9" s="23">
        <v>13425.159666107293</v>
      </c>
    </row>
    <row r="10" spans="1:18">
      <c r="A10" s="306" t="s">
        <v>448</v>
      </c>
      <c r="B10" s="249"/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</row>
    <row r="11" spans="1:18" s="72" customFormat="1">
      <c r="A11" s="322" t="s">
        <v>486</v>
      </c>
      <c r="B11" s="24">
        <v>5240.5764301720874</v>
      </c>
      <c r="C11" s="24">
        <v>120.80064809254026</v>
      </c>
      <c r="D11" s="24">
        <v>546.99619304824387</v>
      </c>
      <c r="E11" s="24">
        <v>327.1118673067669</v>
      </c>
      <c r="F11" s="24">
        <v>128.94451200889131</v>
      </c>
      <c r="G11" s="24">
        <v>518.49266934101638</v>
      </c>
      <c r="H11" s="24">
        <v>420.76630234480399</v>
      </c>
      <c r="I11" s="24">
        <v>2063.1121921422628</v>
      </c>
      <c r="J11" s="24"/>
      <c r="K11" s="24">
        <v>23.074281096327859</v>
      </c>
      <c r="L11" s="24">
        <v>343.399595139469</v>
      </c>
      <c r="M11" s="24">
        <v>51.57780480355639</v>
      </c>
      <c r="N11" s="24">
        <v>47.505872845380885</v>
      </c>
      <c r="O11" s="24">
        <v>1070.9181050001396</v>
      </c>
      <c r="P11" s="24">
        <v>287.74985837773681</v>
      </c>
      <c r="Q11" s="24">
        <v>1824.2255172626105</v>
      </c>
      <c r="R11" s="24">
        <v>1353.2387207669642</v>
      </c>
    </row>
    <row r="12" spans="1:18">
      <c r="A12" s="323" t="s">
        <v>486</v>
      </c>
      <c r="B12" s="23">
        <v>5240.5764301720874</v>
      </c>
      <c r="C12" s="23">
        <v>120.80064809254026</v>
      </c>
      <c r="D12" s="23">
        <v>546.99619304824387</v>
      </c>
      <c r="E12" s="23">
        <v>327.1118673067669</v>
      </c>
      <c r="F12" s="23">
        <v>128.94451200889131</v>
      </c>
      <c r="G12" s="23">
        <v>518.49266934101638</v>
      </c>
      <c r="H12" s="23">
        <v>420.76630234480399</v>
      </c>
      <c r="I12" s="23">
        <v>2063.1121921422628</v>
      </c>
      <c r="J12" s="23"/>
      <c r="K12" s="23">
        <v>23.074281096327859</v>
      </c>
      <c r="L12" s="23">
        <v>343.399595139469</v>
      </c>
      <c r="M12" s="23">
        <v>51.57780480355639</v>
      </c>
      <c r="N12" s="23">
        <v>47.505872845380885</v>
      </c>
      <c r="O12" s="23">
        <v>1070.9181050001396</v>
      </c>
      <c r="P12" s="23">
        <v>287.74985837773681</v>
      </c>
      <c r="Q12" s="23">
        <v>1824.2255172626105</v>
      </c>
      <c r="R12" s="23">
        <v>1353.2387207669642</v>
      </c>
    </row>
    <row r="13" spans="1:18">
      <c r="A13" s="322" t="s">
        <v>487</v>
      </c>
      <c r="B13" s="24">
        <v>13317.932124541972</v>
      </c>
      <c r="C13" s="24">
        <v>1239.2246259380543</v>
      </c>
      <c r="D13" s="24">
        <v>704.4442287643576</v>
      </c>
      <c r="E13" s="24">
        <v>238.8866748796305</v>
      </c>
      <c r="F13" s="24">
        <v>210.38315117240182</v>
      </c>
      <c r="G13" s="24">
        <v>343.399595139469</v>
      </c>
      <c r="H13" s="24">
        <v>13.573106527251682</v>
      </c>
      <c r="I13" s="24">
        <v>2749.9113824211649</v>
      </c>
      <c r="J13" s="24"/>
      <c r="K13" s="24">
        <v>128.94451200889131</v>
      </c>
      <c r="L13" s="24">
        <v>240.24398553235568</v>
      </c>
      <c r="M13" s="24">
        <v>19.002349138152354</v>
      </c>
      <c r="N13" s="24">
        <v>21.71697044360269</v>
      </c>
      <c r="O13" s="24">
        <v>154.73341441066964</v>
      </c>
      <c r="P13" s="24">
        <v>74.652085899884298</v>
      </c>
      <c r="Q13" s="24">
        <v>639.29331743355601</v>
      </c>
      <c r="R13" s="24">
        <v>9928.7274246862162</v>
      </c>
    </row>
    <row r="14" spans="1:18" s="72" customFormat="1">
      <c r="A14" s="323" t="s">
        <v>487</v>
      </c>
      <c r="B14" s="23">
        <v>12027.129693799952</v>
      </c>
      <c r="C14" s="23">
        <v>1237.8673152853291</v>
      </c>
      <c r="D14" s="23">
        <v>696.30036484800689</v>
      </c>
      <c r="E14" s="23">
        <v>238.8866748796305</v>
      </c>
      <c r="F14" s="23">
        <v>210.38315117240182</v>
      </c>
      <c r="G14" s="23">
        <v>343.399595139469</v>
      </c>
      <c r="H14" s="23">
        <v>13.573106527251682</v>
      </c>
      <c r="I14" s="23">
        <v>2740.4102078520891</v>
      </c>
      <c r="J14" s="23"/>
      <c r="K14" s="23">
        <v>124.87258005071578</v>
      </c>
      <c r="L14" s="23">
        <v>240.24398553235568</v>
      </c>
      <c r="M14" s="23">
        <v>19.002349138152354</v>
      </c>
      <c r="N14" s="23">
        <v>21.71697044360269</v>
      </c>
      <c r="O14" s="23">
        <v>153.37610375794446</v>
      </c>
      <c r="P14" s="23">
        <v>70.580153941708772</v>
      </c>
      <c r="Q14" s="23">
        <v>629.79214286447973</v>
      </c>
      <c r="R14" s="23">
        <v>8656.9273430823541</v>
      </c>
    </row>
    <row r="15" spans="1:18">
      <c r="A15" s="323" t="s">
        <v>488</v>
      </c>
      <c r="B15" s="23">
        <v>1290.8024307416088</v>
      </c>
      <c r="C15" s="23">
        <v>1.3573106527251682</v>
      </c>
      <c r="D15" s="23">
        <v>8.1438639163510089</v>
      </c>
      <c r="E15" s="598">
        <v>0</v>
      </c>
      <c r="F15" s="598">
        <v>0</v>
      </c>
      <c r="G15" s="598">
        <v>0</v>
      </c>
      <c r="H15" s="598">
        <v>0</v>
      </c>
      <c r="I15" s="598">
        <v>9.5011745690761771</v>
      </c>
      <c r="J15" s="598"/>
      <c r="K15" s="598">
        <v>4.0719319581755045</v>
      </c>
      <c r="L15" s="598">
        <v>0</v>
      </c>
      <c r="M15" s="598">
        <v>0</v>
      </c>
      <c r="N15" s="598">
        <v>0</v>
      </c>
      <c r="O15" s="23">
        <v>1.3573106527251682</v>
      </c>
      <c r="P15" s="23">
        <v>4.0719319581755045</v>
      </c>
      <c r="Q15" s="23">
        <v>9.5011745690761771</v>
      </c>
      <c r="R15" s="23">
        <v>1271.8000816034571</v>
      </c>
    </row>
    <row r="16" spans="1:18" s="72" customFormat="1">
      <c r="A16" s="322" t="s">
        <v>489</v>
      </c>
      <c r="B16" s="24">
        <v>2151.3373845693341</v>
      </c>
      <c r="C16" s="24">
        <v>147.94686114704376</v>
      </c>
      <c r="D16" s="24">
        <v>156.09072506339481</v>
      </c>
      <c r="E16" s="599">
        <v>146.58955049431859</v>
      </c>
      <c r="F16" s="599">
        <v>103.15560960711298</v>
      </c>
      <c r="G16" s="599">
        <v>109.94216287073885</v>
      </c>
      <c r="H16" s="599">
        <v>5.4292426109006726</v>
      </c>
      <c r="I16" s="599">
        <v>669.15415179350975</v>
      </c>
      <c r="J16" s="599"/>
      <c r="K16" s="599">
        <v>108.58485221801368</v>
      </c>
      <c r="L16" s="599">
        <v>179.16500615972279</v>
      </c>
      <c r="M16" s="599">
        <v>55.649736761731894</v>
      </c>
      <c r="N16" s="599">
        <v>32.575455665404036</v>
      </c>
      <c r="O16" s="24">
        <v>31.218145012678868</v>
      </c>
      <c r="P16" s="24">
        <v>275.53406250321024</v>
      </c>
      <c r="Q16" s="24">
        <v>682.72725832076151</v>
      </c>
      <c r="R16" s="24">
        <v>799.45597445511589</v>
      </c>
    </row>
    <row r="17" spans="1:18">
      <c r="A17" s="323" t="s">
        <v>489</v>
      </c>
      <c r="B17" s="23">
        <v>1412.9603894868694</v>
      </c>
      <c r="C17" s="23">
        <v>111.29947352346403</v>
      </c>
      <c r="D17" s="23">
        <v>103.15560960711298</v>
      </c>
      <c r="E17" s="598">
        <v>97.726366996212278</v>
      </c>
      <c r="F17" s="598">
        <v>74.652085899884298</v>
      </c>
      <c r="G17" s="598">
        <v>85.5105711216857</v>
      </c>
      <c r="H17" s="598">
        <v>5.4292426109006726</v>
      </c>
      <c r="I17" s="598">
        <v>477.77334975925999</v>
      </c>
      <c r="J17" s="598"/>
      <c r="K17" s="598">
        <v>84.153260468960525</v>
      </c>
      <c r="L17" s="598">
        <v>139.80299723069271</v>
      </c>
      <c r="M17" s="598">
        <v>42.076630234480213</v>
      </c>
      <c r="N17" s="598">
        <v>19.002349138152354</v>
      </c>
      <c r="O17" s="23">
        <v>27.146213054503363</v>
      </c>
      <c r="P17" s="23">
        <v>126.22989070344096</v>
      </c>
      <c r="Q17" s="23">
        <v>438.41134083023013</v>
      </c>
      <c r="R17" s="23">
        <v>496.7756988974138</v>
      </c>
    </row>
    <row r="18" spans="1:18" s="72" customFormat="1">
      <c r="A18" s="323" t="s">
        <v>490</v>
      </c>
      <c r="B18" s="23">
        <v>738.37699508248556</v>
      </c>
      <c r="C18" s="23">
        <v>36.64738762357954</v>
      </c>
      <c r="D18" s="23">
        <v>52.935115456281558</v>
      </c>
      <c r="E18" s="598">
        <v>48.863183498106054</v>
      </c>
      <c r="F18" s="598">
        <v>28.503523707228531</v>
      </c>
      <c r="G18" s="598">
        <v>24.431591749053027</v>
      </c>
      <c r="H18" s="598">
        <v>0</v>
      </c>
      <c r="I18" s="598">
        <v>191.38080203424869</v>
      </c>
      <c r="J18" s="598"/>
      <c r="K18" s="598">
        <v>24.431591749053027</v>
      </c>
      <c r="L18" s="598">
        <v>39.362008929029876</v>
      </c>
      <c r="M18" s="598">
        <v>13.573106527251682</v>
      </c>
      <c r="N18" s="598">
        <v>13.573106527251682</v>
      </c>
      <c r="O18" s="23">
        <v>4.0719319581755045</v>
      </c>
      <c r="P18" s="23">
        <v>149.30417179976894</v>
      </c>
      <c r="Q18" s="23">
        <v>244.31591749053072</v>
      </c>
      <c r="R18" s="23">
        <v>302.68027555771374</v>
      </c>
    </row>
    <row r="19" spans="1:18">
      <c r="A19" s="322" t="s">
        <v>491</v>
      </c>
      <c r="B19" s="24">
        <v>5442.8157174281978</v>
      </c>
      <c r="C19" s="24">
        <v>150.66148245249411</v>
      </c>
      <c r="D19" s="24">
        <v>342.04228448674382</v>
      </c>
      <c r="E19" s="599">
        <v>240.24398553235568</v>
      </c>
      <c r="F19" s="599">
        <v>244.31591749053121</v>
      </c>
      <c r="G19" s="599">
        <v>142.51761853614306</v>
      </c>
      <c r="H19" s="599">
        <v>172.37845289609692</v>
      </c>
      <c r="I19" s="599">
        <v>1292.1597413943648</v>
      </c>
      <c r="J19" s="599"/>
      <c r="K19" s="599">
        <v>10.858485221801345</v>
      </c>
      <c r="L19" s="599">
        <v>111.29947352346403</v>
      </c>
      <c r="M19" s="599">
        <v>168.30652093792139</v>
      </c>
      <c r="N19" s="599">
        <v>4.0719319581755045</v>
      </c>
      <c r="O19" s="24">
        <v>468.27217519018512</v>
      </c>
      <c r="P19" s="24">
        <v>982.69291257300688</v>
      </c>
      <c r="Q19" s="24">
        <v>1745.5014994045544</v>
      </c>
      <c r="R19" s="24">
        <v>2405.1544766289312</v>
      </c>
    </row>
    <row r="20" spans="1:18" s="72" customFormat="1">
      <c r="A20" s="323" t="s">
        <v>491</v>
      </c>
      <c r="B20" s="23">
        <v>5442.8157174281978</v>
      </c>
      <c r="C20" s="23">
        <v>150.66148245249411</v>
      </c>
      <c r="D20" s="23">
        <v>342.04228448674382</v>
      </c>
      <c r="E20" s="598">
        <v>240.24398553235568</v>
      </c>
      <c r="F20" s="598">
        <v>244.31591749053121</v>
      </c>
      <c r="G20" s="598">
        <v>142.51761853614306</v>
      </c>
      <c r="H20" s="598">
        <v>172.37845289609692</v>
      </c>
      <c r="I20" s="598">
        <v>1292.1597413943648</v>
      </c>
      <c r="J20" s="598"/>
      <c r="K20" s="598">
        <v>10.858485221801345</v>
      </c>
      <c r="L20" s="598">
        <v>111.29947352346403</v>
      </c>
      <c r="M20" s="598">
        <v>168.30652093792139</v>
      </c>
      <c r="N20" s="598">
        <v>4.0719319581755045</v>
      </c>
      <c r="O20" s="23">
        <v>468.27217519018512</v>
      </c>
      <c r="P20" s="23">
        <v>982.69291257300688</v>
      </c>
      <c r="Q20" s="23">
        <v>1745.5014994045544</v>
      </c>
      <c r="R20" s="23">
        <v>2405.1544766289312</v>
      </c>
    </row>
    <row r="21" spans="1:18">
      <c r="A21" s="322" t="s">
        <v>499</v>
      </c>
      <c r="B21" s="24">
        <v>2772.9856635174383</v>
      </c>
      <c r="C21" s="24">
        <v>14.93041717997685</v>
      </c>
      <c r="D21" s="24">
        <v>13.573106527251682</v>
      </c>
      <c r="E21" s="599">
        <v>5.4292426109006726</v>
      </c>
      <c r="F21" s="599">
        <v>8.1438639163510089</v>
      </c>
      <c r="G21" s="599">
        <v>47.505872845380885</v>
      </c>
      <c r="H21" s="599">
        <v>66.508221983533247</v>
      </c>
      <c r="I21" s="599">
        <v>156.09072506339436</v>
      </c>
      <c r="J21" s="599"/>
      <c r="K21" s="599">
        <v>70.580153941708772</v>
      </c>
      <c r="L21" s="599">
        <v>71.937464594433948</v>
      </c>
      <c r="M21" s="599">
        <v>32.575455665404036</v>
      </c>
      <c r="N21" s="599">
        <v>52.935115456281558</v>
      </c>
      <c r="O21" s="24">
        <v>808.95714902419172</v>
      </c>
      <c r="P21" s="24">
        <v>275.53406250321024</v>
      </c>
      <c r="Q21" s="24">
        <v>1312.5194011852302</v>
      </c>
      <c r="R21" s="24">
        <v>1304.3755372688599</v>
      </c>
    </row>
    <row r="22" spans="1:18">
      <c r="A22" s="323" t="s">
        <v>492</v>
      </c>
      <c r="B22" s="23">
        <v>2772.9856635174383</v>
      </c>
      <c r="C22" s="23">
        <v>14.93041717997685</v>
      </c>
      <c r="D22" s="23">
        <v>13.573106527251682</v>
      </c>
      <c r="E22" s="598">
        <v>5.4292426109006726</v>
      </c>
      <c r="F22" s="598">
        <v>8.1438639163510089</v>
      </c>
      <c r="G22" s="598">
        <v>47.505872845380885</v>
      </c>
      <c r="H22" s="598">
        <v>66.508221983533247</v>
      </c>
      <c r="I22" s="598">
        <v>156.09072506339436</v>
      </c>
      <c r="J22" s="598"/>
      <c r="K22" s="598">
        <v>70.580153941708772</v>
      </c>
      <c r="L22" s="598">
        <v>71.937464594433948</v>
      </c>
      <c r="M22" s="598">
        <v>32.575455665404036</v>
      </c>
      <c r="N22" s="598">
        <v>52.935115456281558</v>
      </c>
      <c r="O22" s="23">
        <v>808.95714902419172</v>
      </c>
      <c r="P22" s="23">
        <v>275.53406250321024</v>
      </c>
      <c r="Q22" s="23">
        <v>1312.5194011852302</v>
      </c>
      <c r="R22" s="23">
        <v>1304.3755372688599</v>
      </c>
    </row>
    <row r="23" spans="1:18" s="72" customFormat="1">
      <c r="A23" s="322" t="s">
        <v>493</v>
      </c>
      <c r="B23" s="24">
        <v>1225.6515194108031</v>
      </c>
      <c r="C23" s="24">
        <v>10.858485221801345</v>
      </c>
      <c r="D23" s="24">
        <v>122.15795874526543</v>
      </c>
      <c r="E23" s="599">
        <v>16.287727832702018</v>
      </c>
      <c r="F23" s="599">
        <v>17.645038485427186</v>
      </c>
      <c r="G23" s="599">
        <v>85.5105711216857</v>
      </c>
      <c r="H23" s="599">
        <v>21.71697044360269</v>
      </c>
      <c r="I23" s="599">
        <v>274.17675185048438</v>
      </c>
      <c r="J23" s="599"/>
      <c r="K23" s="599">
        <v>4.0719319581755045</v>
      </c>
      <c r="L23" s="599">
        <v>27.146213054503363</v>
      </c>
      <c r="M23" s="599">
        <v>16.287727832702018</v>
      </c>
      <c r="N23" s="599">
        <v>10.858485221801345</v>
      </c>
      <c r="O23" s="24">
        <v>177.80769550699762</v>
      </c>
      <c r="P23" s="24">
        <v>141.16030788341789</v>
      </c>
      <c r="Q23" s="24">
        <v>377.3323614575977</v>
      </c>
      <c r="R23" s="24">
        <v>574.14240610274624</v>
      </c>
    </row>
    <row r="24" spans="1:18">
      <c r="A24" s="323" t="s">
        <v>493</v>
      </c>
      <c r="B24" s="23">
        <v>1225.6515194108031</v>
      </c>
      <c r="C24" s="23">
        <v>10.858485221801345</v>
      </c>
      <c r="D24" s="23">
        <v>122.15795874526543</v>
      </c>
      <c r="E24" s="598">
        <v>16.287727832702018</v>
      </c>
      <c r="F24" s="598">
        <v>17.645038485427186</v>
      </c>
      <c r="G24" s="598">
        <v>85.5105711216857</v>
      </c>
      <c r="H24" s="598">
        <v>21.71697044360269</v>
      </c>
      <c r="I24" s="598">
        <v>274.17675185048438</v>
      </c>
      <c r="J24" s="598"/>
      <c r="K24" s="598">
        <v>4.0719319581755045</v>
      </c>
      <c r="L24" s="598">
        <v>27.146213054503363</v>
      </c>
      <c r="M24" s="598">
        <v>16.287727832702018</v>
      </c>
      <c r="N24" s="598">
        <v>10.858485221801345</v>
      </c>
      <c r="O24" s="23">
        <v>177.80769550699762</v>
      </c>
      <c r="P24" s="23">
        <v>141.16030788341789</v>
      </c>
      <c r="Q24" s="23">
        <v>377.3323614575977</v>
      </c>
      <c r="R24" s="23">
        <v>574.14240610274624</v>
      </c>
    </row>
    <row r="25" spans="1:18" s="72" customFormat="1">
      <c r="A25" s="322" t="s">
        <v>494</v>
      </c>
      <c r="B25" s="24">
        <v>1199.8626170090258</v>
      </c>
      <c r="C25" s="24">
        <v>42.076630234480213</v>
      </c>
      <c r="D25" s="24">
        <v>10.858485221801345</v>
      </c>
      <c r="E25" s="599">
        <v>4.0719319581755045</v>
      </c>
      <c r="F25" s="599">
        <v>5.4292426109006726</v>
      </c>
      <c r="G25" s="599">
        <v>29.860834359953699</v>
      </c>
      <c r="H25" s="599">
        <v>0</v>
      </c>
      <c r="I25" s="599">
        <v>92.297124385311434</v>
      </c>
      <c r="J25" s="599"/>
      <c r="K25" s="599">
        <v>1.3573106527251682</v>
      </c>
      <c r="L25" s="599">
        <v>10.858485221801345</v>
      </c>
      <c r="M25" s="599">
        <v>4.0719319581755045</v>
      </c>
      <c r="N25" s="599">
        <v>1.3573106527251682</v>
      </c>
      <c r="O25" s="24">
        <v>223.95625769965358</v>
      </c>
      <c r="P25" s="24">
        <v>306.75220751588927</v>
      </c>
      <c r="Q25" s="24">
        <v>548.35350370097001</v>
      </c>
      <c r="R25" s="24">
        <v>559.21198892276993</v>
      </c>
    </row>
    <row r="26" spans="1:18">
      <c r="A26" s="323" t="s">
        <v>495</v>
      </c>
      <c r="B26" s="23">
        <v>661.01028787715381</v>
      </c>
      <c r="C26" s="23">
        <v>1.3573106527251682</v>
      </c>
      <c r="D26" s="23">
        <v>2.7146213054503363</v>
      </c>
      <c r="E26" s="598">
        <v>4.0719319581755045</v>
      </c>
      <c r="F26" s="598">
        <v>4.0719319581755045</v>
      </c>
      <c r="G26" s="598">
        <v>25.788902401778195</v>
      </c>
      <c r="H26" s="598">
        <v>0</v>
      </c>
      <c r="I26" s="598">
        <v>38.004698276304708</v>
      </c>
      <c r="J26" s="598"/>
      <c r="K26" s="598">
        <v>1.3573106527251682</v>
      </c>
      <c r="L26" s="598">
        <v>10.858485221801345</v>
      </c>
      <c r="M26" s="598">
        <v>4.0719319581755045</v>
      </c>
      <c r="N26" s="598">
        <v>1.3573106527251682</v>
      </c>
      <c r="O26" s="23">
        <v>150.66148245249411</v>
      </c>
      <c r="P26" s="23">
        <v>133.01644396706683</v>
      </c>
      <c r="Q26" s="23">
        <v>301.32296490498811</v>
      </c>
      <c r="R26" s="23">
        <v>321.6826246958662</v>
      </c>
    </row>
    <row r="27" spans="1:18" s="72" customFormat="1">
      <c r="A27" s="323" t="s">
        <v>496</v>
      </c>
      <c r="B27" s="23">
        <v>538.85232913189316</v>
      </c>
      <c r="C27" s="23">
        <v>40.719319581755045</v>
      </c>
      <c r="D27" s="23">
        <v>8.1438639163510089</v>
      </c>
      <c r="E27" s="598">
        <v>0</v>
      </c>
      <c r="F27" s="598">
        <v>1.3573106527251682</v>
      </c>
      <c r="G27" s="598">
        <v>4.0719319581755045</v>
      </c>
      <c r="H27" s="598">
        <v>0</v>
      </c>
      <c r="I27" s="598">
        <v>54.292426109006726</v>
      </c>
      <c r="J27" s="598"/>
      <c r="K27" s="598">
        <v>0</v>
      </c>
      <c r="L27" s="598">
        <v>0</v>
      </c>
      <c r="M27" s="598">
        <v>0</v>
      </c>
      <c r="N27" s="598">
        <v>0</v>
      </c>
      <c r="O27" s="23">
        <v>73.294775247159123</v>
      </c>
      <c r="P27" s="23">
        <v>173.73576354882209</v>
      </c>
      <c r="Q27" s="23">
        <v>247.03053879598122</v>
      </c>
      <c r="R27" s="23">
        <v>237.52936422690533</v>
      </c>
    </row>
    <row r="28" spans="1:18">
      <c r="A28" s="322" t="s">
        <v>497</v>
      </c>
      <c r="B28" s="24">
        <v>3398.7058744237179</v>
      </c>
      <c r="C28" s="24">
        <v>1.3573106527251682</v>
      </c>
      <c r="D28" s="24">
        <v>5.4292426109006726</v>
      </c>
      <c r="E28" s="599">
        <v>8.1438639163510089</v>
      </c>
      <c r="F28" s="599">
        <v>1.3573106527251682</v>
      </c>
      <c r="G28" s="599">
        <v>10.858485221801345</v>
      </c>
      <c r="H28" s="599">
        <v>4.0719319581755045</v>
      </c>
      <c r="I28" s="599">
        <v>31.218145012678868</v>
      </c>
      <c r="J28" s="599"/>
      <c r="K28" s="599">
        <v>2.7146213054503363</v>
      </c>
      <c r="L28" s="599">
        <v>17.645038485427186</v>
      </c>
      <c r="M28" s="599">
        <v>16.287727832702018</v>
      </c>
      <c r="N28" s="599">
        <v>0</v>
      </c>
      <c r="O28" s="24">
        <v>35.290076970854372</v>
      </c>
      <c r="P28" s="24">
        <v>188.66618072879902</v>
      </c>
      <c r="Q28" s="24">
        <v>260.60364532323297</v>
      </c>
      <c r="R28" s="24">
        <v>3106.8840840878174</v>
      </c>
    </row>
    <row r="29" spans="1:18">
      <c r="A29" s="323" t="s">
        <v>497</v>
      </c>
      <c r="B29" s="23">
        <v>3398.7058744237179</v>
      </c>
      <c r="C29" s="23">
        <v>1.3573106527251682</v>
      </c>
      <c r="D29" s="23">
        <v>5.4292426109006726</v>
      </c>
      <c r="E29" s="598">
        <v>8.1438639163510089</v>
      </c>
      <c r="F29" s="598">
        <v>1.3573106527251682</v>
      </c>
      <c r="G29" s="598">
        <v>10.858485221801345</v>
      </c>
      <c r="H29" s="598">
        <v>4.0719319581755045</v>
      </c>
      <c r="I29" s="598">
        <v>31.218145012678868</v>
      </c>
      <c r="J29" s="598"/>
      <c r="K29" s="598">
        <v>2.7146213054503363</v>
      </c>
      <c r="L29" s="598">
        <v>17.645038485427186</v>
      </c>
      <c r="M29" s="598">
        <v>16.287727832702018</v>
      </c>
      <c r="N29" s="598">
        <v>0</v>
      </c>
      <c r="O29" s="23">
        <v>35.290076970854372</v>
      </c>
      <c r="P29" s="23">
        <v>188.66618072879902</v>
      </c>
      <c r="Q29" s="23">
        <v>260.60364532323297</v>
      </c>
      <c r="R29" s="23">
        <v>3106.8840840878174</v>
      </c>
    </row>
    <row r="30" spans="1:18">
      <c r="A30" s="322" t="s">
        <v>498</v>
      </c>
      <c r="B30" s="24">
        <v>1102.1362500128173</v>
      </c>
      <c r="C30" s="24">
        <v>100.44098830166263</v>
      </c>
      <c r="D30" s="24">
        <v>142.51761853614306</v>
      </c>
      <c r="E30" s="599">
        <v>62.436290025357735</v>
      </c>
      <c r="F30" s="599">
        <v>40.719319581755045</v>
      </c>
      <c r="G30" s="599">
        <v>40.719319581755045</v>
      </c>
      <c r="H30" s="599">
        <v>1.3573106527251682</v>
      </c>
      <c r="I30" s="599">
        <v>388.19084667939865</v>
      </c>
      <c r="J30" s="599"/>
      <c r="K30" s="599">
        <v>71.937464594433948</v>
      </c>
      <c r="L30" s="599">
        <v>39.362008929029876</v>
      </c>
      <c r="M30" s="599">
        <v>23.074281096327859</v>
      </c>
      <c r="N30" s="599">
        <v>9.5011745690761771</v>
      </c>
      <c r="O30" s="24">
        <v>19.002349138152354</v>
      </c>
      <c r="P30" s="24">
        <v>157.44803571611999</v>
      </c>
      <c r="Q30" s="24">
        <v>320.32531404314022</v>
      </c>
      <c r="R30" s="24">
        <v>393.62008929030048</v>
      </c>
    </row>
    <row r="31" spans="1:18">
      <c r="A31" s="323" t="s">
        <v>498</v>
      </c>
      <c r="B31" s="23">
        <v>1102.1362500128173</v>
      </c>
      <c r="C31" s="23">
        <v>100.44098830166263</v>
      </c>
      <c r="D31" s="23">
        <v>142.51761853614306</v>
      </c>
      <c r="E31" s="598">
        <v>62.436290025357735</v>
      </c>
      <c r="F31" s="598">
        <v>40.719319581755045</v>
      </c>
      <c r="G31" s="598">
        <v>40.719319581755045</v>
      </c>
      <c r="H31" s="598">
        <v>1.3573106527251682</v>
      </c>
      <c r="I31" s="598">
        <v>388.19084667939865</v>
      </c>
      <c r="J31" s="598"/>
      <c r="K31" s="598">
        <v>71.937464594433948</v>
      </c>
      <c r="L31" s="598">
        <v>39.362008929029876</v>
      </c>
      <c r="M31" s="598">
        <v>23.074281096327859</v>
      </c>
      <c r="N31" s="598">
        <v>9.5011745690761771</v>
      </c>
      <c r="O31" s="23">
        <v>19.002349138152354</v>
      </c>
      <c r="P31" s="23">
        <v>157.44803571611999</v>
      </c>
      <c r="Q31" s="23">
        <v>320.32531404314022</v>
      </c>
      <c r="R31" s="23">
        <v>393.62008929030048</v>
      </c>
    </row>
  </sheetData>
  <mergeCells count="7">
    <mergeCell ref="A1:R1"/>
    <mergeCell ref="C2:Q2"/>
    <mergeCell ref="R2:R4"/>
    <mergeCell ref="A3:A4"/>
    <mergeCell ref="B3:B4"/>
    <mergeCell ref="C3:I3"/>
    <mergeCell ref="K3:Q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30"/>
  <sheetViews>
    <sheetView zoomScale="120" zoomScaleNormal="120" workbookViewId="0">
      <selection activeCell="O20" sqref="O20"/>
    </sheetView>
  </sheetViews>
  <sheetFormatPr defaultColWidth="9.140625" defaultRowHeight="12"/>
  <cols>
    <col min="1" max="1" width="21.42578125" style="69" customWidth="1"/>
    <col min="2" max="2" width="11.140625" style="69" bestFit="1" customWidth="1"/>
    <col min="3" max="3" width="10.28515625" style="69" bestFit="1" customWidth="1"/>
    <col min="4" max="4" width="11.140625" style="69" bestFit="1" customWidth="1"/>
    <col min="5" max="8" width="9.28515625" style="69" bestFit="1" customWidth="1"/>
    <col min="9" max="9" width="11.140625" style="69" bestFit="1" customWidth="1"/>
    <col min="10" max="10" width="10.28515625" style="69" bestFit="1" customWidth="1"/>
    <col min="11" max="11" width="9.28515625" style="69" bestFit="1" customWidth="1"/>
    <col min="12" max="16384" width="9.140625" style="69"/>
  </cols>
  <sheetData>
    <row r="1" spans="1:11" ht="22.5" customHeight="1">
      <c r="A1" s="845" t="s">
        <v>457</v>
      </c>
      <c r="B1" s="845"/>
      <c r="C1" s="845"/>
      <c r="D1" s="845"/>
      <c r="E1" s="845"/>
      <c r="F1" s="845"/>
      <c r="G1" s="845"/>
      <c r="H1" s="845"/>
      <c r="I1" s="845"/>
      <c r="J1" s="845"/>
      <c r="K1" s="845"/>
    </row>
    <row r="2" spans="1:11" ht="15" customHeight="1">
      <c r="A2" s="832" t="s">
        <v>445</v>
      </c>
      <c r="B2" s="846" t="s">
        <v>48</v>
      </c>
      <c r="C2" s="848" t="s">
        <v>73</v>
      </c>
      <c r="D2" s="848"/>
      <c r="E2" s="848"/>
      <c r="F2" s="848"/>
      <c r="G2" s="848"/>
      <c r="H2" s="848"/>
      <c r="I2" s="848"/>
      <c r="J2" s="848"/>
      <c r="K2" s="848"/>
    </row>
    <row r="3" spans="1:11" ht="51" customHeight="1">
      <c r="A3" s="833"/>
      <c r="B3" s="847"/>
      <c r="C3" s="324" t="s">
        <v>74</v>
      </c>
      <c r="D3" s="324" t="s">
        <v>75</v>
      </c>
      <c r="E3" s="324" t="s">
        <v>76</v>
      </c>
      <c r="F3" s="324" t="s">
        <v>77</v>
      </c>
      <c r="G3" s="324" t="s">
        <v>78</v>
      </c>
      <c r="H3" s="324" t="s">
        <v>79</v>
      </c>
      <c r="I3" s="324" t="s">
        <v>80</v>
      </c>
      <c r="J3" s="324" t="s">
        <v>543</v>
      </c>
      <c r="K3" s="324" t="s">
        <v>81</v>
      </c>
    </row>
    <row r="4" spans="1:11">
      <c r="A4" s="325" t="s">
        <v>500</v>
      </c>
      <c r="B4" s="608">
        <v>35852.003581091936</v>
      </c>
      <c r="C4" s="608">
        <v>2143.1935206529834</v>
      </c>
      <c r="D4" s="608">
        <v>3159.819199544097</v>
      </c>
      <c r="E4" s="608">
        <v>578.21433806092159</v>
      </c>
      <c r="F4" s="608">
        <v>849.67646860594527</v>
      </c>
      <c r="G4" s="608">
        <v>432.98209821933057</v>
      </c>
      <c r="H4" s="608">
        <v>542.92426109006851</v>
      </c>
      <c r="I4" s="608">
        <v>26367.116739845631</v>
      </c>
      <c r="J4" s="608">
        <v>1725.1418396136467</v>
      </c>
      <c r="K4" s="608">
        <v>52.935115456281558</v>
      </c>
    </row>
    <row r="5" spans="1:11">
      <c r="A5" s="326"/>
      <c r="B5" s="602"/>
      <c r="C5" s="602"/>
      <c r="D5" s="602"/>
      <c r="E5" s="602"/>
      <c r="F5" s="602"/>
      <c r="G5" s="602"/>
      <c r="H5" s="602"/>
      <c r="I5" s="602"/>
      <c r="J5" s="602"/>
      <c r="K5" s="602"/>
    </row>
    <row r="6" spans="1:11">
      <c r="A6" s="306" t="s">
        <v>111</v>
      </c>
      <c r="B6" s="608"/>
      <c r="C6" s="608"/>
      <c r="D6" s="608"/>
      <c r="E6" s="608"/>
      <c r="F6" s="608"/>
      <c r="G6" s="608"/>
      <c r="H6" s="608"/>
      <c r="I6" s="608"/>
      <c r="J6" s="608"/>
      <c r="K6" s="608"/>
    </row>
    <row r="7" spans="1:11">
      <c r="A7" s="308" t="s">
        <v>4</v>
      </c>
      <c r="B7" s="603">
        <v>13608.396604225245</v>
      </c>
      <c r="C7" s="603">
        <v>1228.3661407162533</v>
      </c>
      <c r="D7" s="603">
        <v>2079.3999199749028</v>
      </c>
      <c r="E7" s="603">
        <v>375.97505080487321</v>
      </c>
      <c r="F7" s="603">
        <v>648.79449200262775</v>
      </c>
      <c r="G7" s="603">
        <v>210.38315117240182</v>
      </c>
      <c r="H7" s="603">
        <v>261.96095597595848</v>
      </c>
      <c r="I7" s="603">
        <v>8404.4675616753975</v>
      </c>
      <c r="J7" s="603">
        <v>359.6873229721711</v>
      </c>
      <c r="K7" s="603">
        <v>39.362008929029876</v>
      </c>
    </row>
    <row r="8" spans="1:11">
      <c r="A8" s="308" t="s">
        <v>5</v>
      </c>
      <c r="B8" s="603">
        <v>22243.60697686534</v>
      </c>
      <c r="C8" s="603">
        <v>914.82737993675096</v>
      </c>
      <c r="D8" s="603">
        <v>1080.4192795692154</v>
      </c>
      <c r="E8" s="603">
        <v>202.23928725605077</v>
      </c>
      <c r="F8" s="603">
        <v>200.8819766033256</v>
      </c>
      <c r="G8" s="603">
        <v>222.5989470469284</v>
      </c>
      <c r="H8" s="603">
        <v>280.96330511411094</v>
      </c>
      <c r="I8" s="603">
        <v>17962.649178168882</v>
      </c>
      <c r="J8" s="603">
        <v>1365.4545166414903</v>
      </c>
      <c r="K8" s="603">
        <v>13.573106527251682</v>
      </c>
    </row>
    <row r="9" spans="1:11" s="72" customFormat="1">
      <c r="A9" s="306" t="s">
        <v>448</v>
      </c>
      <c r="B9" s="608"/>
      <c r="C9" s="608"/>
      <c r="D9" s="608"/>
      <c r="E9" s="608"/>
      <c r="F9" s="608"/>
      <c r="G9" s="608"/>
      <c r="H9" s="608"/>
      <c r="I9" s="608"/>
      <c r="J9" s="608"/>
      <c r="K9" s="608"/>
    </row>
    <row r="10" spans="1:11">
      <c r="A10" s="327" t="s">
        <v>486</v>
      </c>
      <c r="B10" s="602">
        <v>5240.5764301720874</v>
      </c>
      <c r="C10" s="602">
        <v>628.43483221175097</v>
      </c>
      <c r="D10" s="602">
        <v>1408.8884575286941</v>
      </c>
      <c r="E10" s="602">
        <v>71.937464594433948</v>
      </c>
      <c r="F10" s="602">
        <v>90.939813732586401</v>
      </c>
      <c r="G10" s="602">
        <v>81.438639163510175</v>
      </c>
      <c r="H10" s="602">
        <v>74.652085899884298</v>
      </c>
      <c r="I10" s="602">
        <v>2623.6814917176753</v>
      </c>
      <c r="J10" s="602">
        <v>232.10012161600463</v>
      </c>
      <c r="K10" s="602">
        <v>28.503523707228531</v>
      </c>
    </row>
    <row r="11" spans="1:11" s="72" customFormat="1">
      <c r="A11" s="328" t="s">
        <v>486</v>
      </c>
      <c r="B11" s="603">
        <v>5240.5764301720874</v>
      </c>
      <c r="C11" s="603">
        <v>628.43483221175097</v>
      </c>
      <c r="D11" s="603">
        <v>1408.8884575286941</v>
      </c>
      <c r="E11" s="603">
        <v>71.937464594433948</v>
      </c>
      <c r="F11" s="603">
        <v>90.939813732586401</v>
      </c>
      <c r="G11" s="603">
        <v>81.438639163510175</v>
      </c>
      <c r="H11" s="603">
        <v>74.652085899884298</v>
      </c>
      <c r="I11" s="603">
        <v>2623.6814917176753</v>
      </c>
      <c r="J11" s="603">
        <v>232.10012161600463</v>
      </c>
      <c r="K11" s="603">
        <v>28.503523707228531</v>
      </c>
    </row>
    <row r="12" spans="1:11">
      <c r="A12" s="327" t="s">
        <v>487</v>
      </c>
      <c r="B12" s="602">
        <v>13317.932124541972</v>
      </c>
      <c r="C12" s="602">
        <v>665.08221983532917</v>
      </c>
      <c r="D12" s="602">
        <v>940.61628233852821</v>
      </c>
      <c r="E12" s="602">
        <v>328.46917795949207</v>
      </c>
      <c r="F12" s="602">
        <v>587.71551262999742</v>
      </c>
      <c r="G12" s="602">
        <v>135.73106527251718</v>
      </c>
      <c r="H12" s="602">
        <v>232.10012161600463</v>
      </c>
      <c r="I12" s="602">
        <v>9630.1190810865901</v>
      </c>
      <c r="J12" s="602">
        <v>785.88286792786471</v>
      </c>
      <c r="K12" s="602">
        <v>12.215795874526513</v>
      </c>
    </row>
    <row r="13" spans="1:11">
      <c r="A13" s="328" t="s">
        <v>487</v>
      </c>
      <c r="B13" s="603">
        <v>12027.129693799952</v>
      </c>
      <c r="C13" s="603">
        <v>663.72490918260405</v>
      </c>
      <c r="D13" s="603">
        <v>935.18703972762773</v>
      </c>
      <c r="E13" s="603">
        <v>328.46917795949207</v>
      </c>
      <c r="F13" s="603">
        <v>586.3582019772723</v>
      </c>
      <c r="G13" s="603">
        <v>134.37375461979201</v>
      </c>
      <c r="H13" s="603">
        <v>232.10012161600463</v>
      </c>
      <c r="I13" s="603">
        <v>8350.1751355663746</v>
      </c>
      <c r="J13" s="603">
        <v>784.52555727513959</v>
      </c>
      <c r="K13" s="603">
        <v>12.215795874526513</v>
      </c>
    </row>
    <row r="14" spans="1:11" s="72" customFormat="1">
      <c r="A14" s="328" t="s">
        <v>488</v>
      </c>
      <c r="B14" s="603">
        <v>1290.8024307416088</v>
      </c>
      <c r="C14" s="603">
        <v>1.3573106527251682</v>
      </c>
      <c r="D14" s="603">
        <v>5.4292426109006726</v>
      </c>
      <c r="E14" s="598">
        <v>0</v>
      </c>
      <c r="F14" s="603">
        <v>1.3573106527251682</v>
      </c>
      <c r="G14" s="603">
        <v>1.3573106527251682</v>
      </c>
      <c r="H14" s="598">
        <v>0</v>
      </c>
      <c r="I14" s="603">
        <v>1279.9439455198078</v>
      </c>
      <c r="J14" s="603">
        <v>1.3573106527251682</v>
      </c>
      <c r="K14" s="598">
        <v>0</v>
      </c>
    </row>
    <row r="15" spans="1:11">
      <c r="A15" s="327" t="s">
        <v>489</v>
      </c>
      <c r="B15" s="602">
        <v>2151.3373845693341</v>
      </c>
      <c r="C15" s="602">
        <v>209.02584051967665</v>
      </c>
      <c r="D15" s="602">
        <v>157.44803571611999</v>
      </c>
      <c r="E15" s="602">
        <v>52.935115456281558</v>
      </c>
      <c r="F15" s="602">
        <v>54.292426109006726</v>
      </c>
      <c r="G15" s="602">
        <v>61.078979372632567</v>
      </c>
      <c r="H15" s="602">
        <v>67.865532636258422</v>
      </c>
      <c r="I15" s="602">
        <v>1457.7516410267983</v>
      </c>
      <c r="J15" s="602">
        <v>88.225192427136051</v>
      </c>
      <c r="K15" s="602">
        <v>2.7146213054503363</v>
      </c>
    </row>
    <row r="16" spans="1:11" s="72" customFormat="1">
      <c r="A16" s="328" t="s">
        <v>489</v>
      </c>
      <c r="B16" s="603">
        <v>1412.9603894868694</v>
      </c>
      <c r="C16" s="603">
        <v>173.73576354882209</v>
      </c>
      <c r="D16" s="603">
        <v>130.30182266161648</v>
      </c>
      <c r="E16" s="603">
        <v>35.290076970854372</v>
      </c>
      <c r="F16" s="603">
        <v>40.719319581755045</v>
      </c>
      <c r="G16" s="603">
        <v>36.64738762357954</v>
      </c>
      <c r="H16" s="603">
        <v>47.505872845380885</v>
      </c>
      <c r="I16" s="603">
        <v>890.39578818769883</v>
      </c>
      <c r="J16" s="603">
        <v>57.007047414457062</v>
      </c>
      <c r="K16" s="603">
        <v>1.3573106527251682</v>
      </c>
    </row>
    <row r="17" spans="1:11">
      <c r="A17" s="328" t="s">
        <v>490</v>
      </c>
      <c r="B17" s="603">
        <v>738.37699508248556</v>
      </c>
      <c r="C17" s="603">
        <v>35.290076970854372</v>
      </c>
      <c r="D17" s="603">
        <v>27.146213054503363</v>
      </c>
      <c r="E17" s="603">
        <v>17.645038485427186</v>
      </c>
      <c r="F17" s="603">
        <v>13.573106527251682</v>
      </c>
      <c r="G17" s="603">
        <v>24.431591749053027</v>
      </c>
      <c r="H17" s="603">
        <v>20.359659790877522</v>
      </c>
      <c r="I17" s="603">
        <v>567.35585283912064</v>
      </c>
      <c r="J17" s="603">
        <v>31.218145012678868</v>
      </c>
      <c r="K17" s="603">
        <v>1.3573106527251682</v>
      </c>
    </row>
    <row r="18" spans="1:11" s="72" customFormat="1">
      <c r="A18" s="327" t="s">
        <v>491</v>
      </c>
      <c r="B18" s="602">
        <v>5442.8157174281978</v>
      </c>
      <c r="C18" s="602">
        <v>358.33001231944593</v>
      </c>
      <c r="D18" s="602">
        <v>143.87492918886824</v>
      </c>
      <c r="E18" s="602">
        <v>66.508221983533247</v>
      </c>
      <c r="F18" s="602">
        <v>63.793600678082903</v>
      </c>
      <c r="G18" s="602">
        <v>108.58485221801368</v>
      </c>
      <c r="H18" s="602">
        <v>99.083677648937453</v>
      </c>
      <c r="I18" s="602">
        <v>4171.0156358243357</v>
      </c>
      <c r="J18" s="602">
        <v>428.91016626115504</v>
      </c>
      <c r="K18" s="602">
        <v>2.7146213054503363</v>
      </c>
    </row>
    <row r="19" spans="1:11">
      <c r="A19" s="328" t="s">
        <v>491</v>
      </c>
      <c r="B19" s="603">
        <v>5442.8157174281978</v>
      </c>
      <c r="C19" s="603">
        <v>358.33001231944593</v>
      </c>
      <c r="D19" s="603">
        <v>143.87492918886824</v>
      </c>
      <c r="E19" s="603">
        <v>66.508221983533247</v>
      </c>
      <c r="F19" s="603">
        <v>63.793600678082903</v>
      </c>
      <c r="G19" s="603">
        <v>108.58485221801368</v>
      </c>
      <c r="H19" s="603">
        <v>99.083677648937453</v>
      </c>
      <c r="I19" s="603">
        <v>4171.0156358243357</v>
      </c>
      <c r="J19" s="603">
        <v>428.91016626115504</v>
      </c>
      <c r="K19" s="603">
        <v>2.7146213054503363</v>
      </c>
    </row>
    <row r="20" spans="1:11" s="72" customFormat="1">
      <c r="A20" s="327" t="s">
        <v>499</v>
      </c>
      <c r="B20" s="602">
        <v>2772.9856635174383</v>
      </c>
      <c r="C20" s="602">
        <v>48.863183498106054</v>
      </c>
      <c r="D20" s="602">
        <v>20.359659790877522</v>
      </c>
      <c r="E20" s="602">
        <v>9.5011745690761771</v>
      </c>
      <c r="F20" s="602">
        <v>16.287727832702018</v>
      </c>
      <c r="G20" s="602">
        <v>5.4292426109006726</v>
      </c>
      <c r="H20" s="602">
        <v>6.7865532636258408</v>
      </c>
      <c r="I20" s="602">
        <v>2580.2475508304715</v>
      </c>
      <c r="J20" s="602">
        <v>84.153260468960525</v>
      </c>
      <c r="K20" s="602">
        <v>1.3573106527251682</v>
      </c>
    </row>
    <row r="21" spans="1:11">
      <c r="A21" s="328" t="s">
        <v>492</v>
      </c>
      <c r="B21" s="603">
        <v>2772.9856635174383</v>
      </c>
      <c r="C21" s="603">
        <v>48.863183498106054</v>
      </c>
      <c r="D21" s="603">
        <v>20.359659790877522</v>
      </c>
      <c r="E21" s="603">
        <v>9.5011745690761771</v>
      </c>
      <c r="F21" s="603">
        <v>16.287727832702018</v>
      </c>
      <c r="G21" s="603">
        <v>5.4292426109006726</v>
      </c>
      <c r="H21" s="603">
        <v>6.7865532636258408</v>
      </c>
      <c r="I21" s="603">
        <v>2580.2475508304715</v>
      </c>
      <c r="J21" s="603">
        <v>84.153260468960525</v>
      </c>
      <c r="K21" s="603">
        <v>1.3573106527251682</v>
      </c>
    </row>
    <row r="22" spans="1:11">
      <c r="A22" s="327" t="s">
        <v>493</v>
      </c>
      <c r="B22" s="602">
        <v>1225.6515194108031</v>
      </c>
      <c r="C22" s="602">
        <v>6.7865532636258408</v>
      </c>
      <c r="D22" s="602">
        <v>249.74516010143191</v>
      </c>
      <c r="E22" s="602">
        <v>6.7865532636258408</v>
      </c>
      <c r="F22" s="602">
        <v>20.359659790877522</v>
      </c>
      <c r="G22" s="602">
        <v>10.858485221801345</v>
      </c>
      <c r="H22" s="602">
        <v>38.004698276304708</v>
      </c>
      <c r="I22" s="602">
        <v>856.46302186957087</v>
      </c>
      <c r="J22" s="602">
        <v>36.64738762357954</v>
      </c>
      <c r="K22" s="599">
        <v>0</v>
      </c>
    </row>
    <row r="23" spans="1:11" s="72" customFormat="1">
      <c r="A23" s="328" t="s">
        <v>493</v>
      </c>
      <c r="B23" s="603">
        <v>1225.6515194108031</v>
      </c>
      <c r="C23" s="603">
        <v>6.7865532636258408</v>
      </c>
      <c r="D23" s="603">
        <v>249.74516010143191</v>
      </c>
      <c r="E23" s="603">
        <v>6.7865532636258408</v>
      </c>
      <c r="F23" s="603">
        <v>20.359659790877522</v>
      </c>
      <c r="G23" s="603">
        <v>10.858485221801345</v>
      </c>
      <c r="H23" s="603">
        <v>38.004698276304708</v>
      </c>
      <c r="I23" s="603">
        <v>856.46302186957087</v>
      </c>
      <c r="J23" s="603">
        <v>36.64738762357954</v>
      </c>
      <c r="K23" s="598">
        <v>0</v>
      </c>
    </row>
    <row r="24" spans="1:11">
      <c r="A24" s="327" t="s">
        <v>494</v>
      </c>
      <c r="B24" s="602">
        <v>1199.8626170090258</v>
      </c>
      <c r="C24" s="602">
        <v>12.215795874526513</v>
      </c>
      <c r="D24" s="602">
        <v>44.791251539930549</v>
      </c>
      <c r="E24" s="602">
        <v>4.0719319581755045</v>
      </c>
      <c r="F24" s="602">
        <v>1.3573106527251682</v>
      </c>
      <c r="G24" s="602">
        <v>2.7146213054503363</v>
      </c>
      <c r="H24" s="602">
        <v>2.7146213054503363</v>
      </c>
      <c r="I24" s="602">
        <v>1115.7093565400685</v>
      </c>
      <c r="J24" s="602">
        <v>14.93041717997685</v>
      </c>
      <c r="K24" s="602">
        <v>1.3573106527251682</v>
      </c>
    </row>
    <row r="25" spans="1:11" s="72" customFormat="1">
      <c r="A25" s="328" t="s">
        <v>495</v>
      </c>
      <c r="B25" s="603">
        <v>661.01028787715381</v>
      </c>
      <c r="C25" s="603">
        <v>2.7146213054503363</v>
      </c>
      <c r="D25" s="603">
        <v>8.1438639163510089</v>
      </c>
      <c r="E25" s="603">
        <v>2.7146213054503363</v>
      </c>
      <c r="F25" s="603">
        <v>1.3573106527251682</v>
      </c>
      <c r="G25" s="603">
        <v>1.3573106527251682</v>
      </c>
      <c r="H25" s="603">
        <v>2.7146213054503363</v>
      </c>
      <c r="I25" s="603">
        <v>627.07752155902585</v>
      </c>
      <c r="J25" s="603">
        <v>13.573106527251682</v>
      </c>
      <c r="K25" s="603">
        <v>1.3573106527251682</v>
      </c>
    </row>
    <row r="26" spans="1:11">
      <c r="A26" s="328" t="s">
        <v>496</v>
      </c>
      <c r="B26" s="603">
        <v>538.85232913189316</v>
      </c>
      <c r="C26" s="603">
        <v>9.5011745690761771</v>
      </c>
      <c r="D26" s="603">
        <v>36.64738762357954</v>
      </c>
      <c r="E26" s="603">
        <v>1.3573106527251682</v>
      </c>
      <c r="F26" s="598">
        <v>0</v>
      </c>
      <c r="G26" s="603">
        <v>1.3573106527251682</v>
      </c>
      <c r="H26" s="598">
        <v>0</v>
      </c>
      <c r="I26" s="603">
        <v>488.63183498106275</v>
      </c>
      <c r="J26" s="603">
        <v>1.3573106527251682</v>
      </c>
      <c r="K26" s="598">
        <v>0</v>
      </c>
    </row>
    <row r="27" spans="1:11" s="72" customFormat="1">
      <c r="A27" s="327" t="s">
        <v>497</v>
      </c>
      <c r="B27" s="602">
        <v>3398.7058744237179</v>
      </c>
      <c r="C27" s="602">
        <v>70.580153941708772</v>
      </c>
      <c r="D27" s="602">
        <v>76.009396552609473</v>
      </c>
      <c r="E27" s="602">
        <v>2.7146213054503363</v>
      </c>
      <c r="F27" s="602">
        <v>2.7146213054503363</v>
      </c>
      <c r="G27" s="602">
        <v>5.4292426109006726</v>
      </c>
      <c r="H27" s="602">
        <v>1.3573106527251682</v>
      </c>
      <c r="I27" s="602">
        <v>3205.9677617367511</v>
      </c>
      <c r="J27" s="602">
        <v>31.218145012678868</v>
      </c>
      <c r="K27" s="602">
        <v>2.7146213054503363</v>
      </c>
    </row>
    <row r="28" spans="1:11">
      <c r="A28" s="328" t="s">
        <v>497</v>
      </c>
      <c r="B28" s="603">
        <v>3398.7058744237179</v>
      </c>
      <c r="C28" s="603">
        <v>70.580153941708772</v>
      </c>
      <c r="D28" s="603">
        <v>76.009396552609473</v>
      </c>
      <c r="E28" s="603">
        <v>2.7146213054503363</v>
      </c>
      <c r="F28" s="603">
        <v>2.7146213054503363</v>
      </c>
      <c r="G28" s="603">
        <v>5.4292426109006726</v>
      </c>
      <c r="H28" s="603">
        <v>1.3573106527251682</v>
      </c>
      <c r="I28" s="603">
        <v>3205.9677617367511</v>
      </c>
      <c r="J28" s="603">
        <v>31.218145012678868</v>
      </c>
      <c r="K28" s="603">
        <v>2.7146213054503363</v>
      </c>
    </row>
    <row r="29" spans="1:11">
      <c r="A29" s="327" t="s">
        <v>498</v>
      </c>
      <c r="B29" s="602">
        <v>1102.1362500128173</v>
      </c>
      <c r="C29" s="602">
        <v>143.87492918886824</v>
      </c>
      <c r="D29" s="602">
        <v>118.08602678708991</v>
      </c>
      <c r="E29" s="602">
        <v>35.290076970854372</v>
      </c>
      <c r="F29" s="602">
        <v>12.215795874526513</v>
      </c>
      <c r="G29" s="602">
        <v>21.71697044360269</v>
      </c>
      <c r="H29" s="602">
        <v>20.359659790877522</v>
      </c>
      <c r="I29" s="602">
        <v>726.1611992079595</v>
      </c>
      <c r="J29" s="602">
        <v>23.074281096327859</v>
      </c>
      <c r="K29" s="602">
        <v>1.3573106527251682</v>
      </c>
    </row>
    <row r="30" spans="1:11">
      <c r="A30" s="328" t="s">
        <v>498</v>
      </c>
      <c r="B30" s="603">
        <v>1102.1362500128173</v>
      </c>
      <c r="C30" s="603">
        <v>143.87492918886824</v>
      </c>
      <c r="D30" s="603">
        <v>118.08602678708991</v>
      </c>
      <c r="E30" s="603">
        <v>35.290076970854372</v>
      </c>
      <c r="F30" s="603">
        <v>12.215795874526513</v>
      </c>
      <c r="G30" s="603">
        <v>21.71697044360269</v>
      </c>
      <c r="H30" s="603">
        <v>20.359659790877522</v>
      </c>
      <c r="I30" s="603">
        <v>726.1611992079595</v>
      </c>
      <c r="J30" s="603">
        <v>23.074281096327859</v>
      </c>
      <c r="K30" s="603">
        <v>1.3573106527251682</v>
      </c>
    </row>
  </sheetData>
  <mergeCells count="4">
    <mergeCell ref="A1:K1"/>
    <mergeCell ref="A2:A3"/>
    <mergeCell ref="B2:B3"/>
    <mergeCell ref="C2:K2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57"/>
  <sheetViews>
    <sheetView zoomScale="120" zoomScaleNormal="120" workbookViewId="0">
      <selection activeCell="Z34" sqref="Z34"/>
    </sheetView>
  </sheetViews>
  <sheetFormatPr defaultColWidth="9.140625" defaultRowHeight="12"/>
  <cols>
    <col min="1" max="1" width="22.28515625" style="69" customWidth="1"/>
    <col min="2" max="4" width="11.140625" style="69" bestFit="1" customWidth="1"/>
    <col min="5" max="16384" width="9.140625" style="69"/>
  </cols>
  <sheetData>
    <row r="1" spans="1:4" ht="39" customHeight="1">
      <c r="A1" s="849" t="s">
        <v>458</v>
      </c>
      <c r="B1" s="849"/>
      <c r="C1" s="849"/>
      <c r="D1" s="849"/>
    </row>
    <row r="2" spans="1:4" ht="21.75" customHeight="1">
      <c r="A2" s="832" t="s">
        <v>445</v>
      </c>
      <c r="B2" s="850" t="s">
        <v>48</v>
      </c>
      <c r="C2" s="852" t="s">
        <v>82</v>
      </c>
      <c r="D2" s="852"/>
    </row>
    <row r="3" spans="1:4">
      <c r="A3" s="833"/>
      <c r="B3" s="851"/>
      <c r="C3" s="329" t="s">
        <v>91</v>
      </c>
      <c r="D3" s="329" t="s">
        <v>83</v>
      </c>
    </row>
    <row r="4" spans="1:4">
      <c r="A4" s="330" t="s">
        <v>500</v>
      </c>
      <c r="B4" s="249">
        <v>35852.003581091936</v>
      </c>
      <c r="C4" s="249">
        <v>17412.938363815025</v>
      </c>
      <c r="D4" s="249">
        <v>18439.065217275558</v>
      </c>
    </row>
    <row r="5" spans="1:4">
      <c r="A5" s="331"/>
      <c r="B5" s="23"/>
      <c r="C5" s="23"/>
      <c r="D5" s="23"/>
    </row>
    <row r="6" spans="1:4">
      <c r="A6" s="306" t="s">
        <v>111</v>
      </c>
      <c r="B6" s="249"/>
      <c r="C6" s="249"/>
      <c r="D6" s="249"/>
    </row>
    <row r="7" spans="1:4">
      <c r="A7" s="308" t="s">
        <v>4</v>
      </c>
      <c r="B7" s="23">
        <v>13608.396604225245</v>
      </c>
      <c r="C7" s="23">
        <v>7866.9725431960715</v>
      </c>
      <c r="D7" s="23">
        <v>5741.4240610278239</v>
      </c>
    </row>
    <row r="8" spans="1:4" ht="14.25" customHeight="1">
      <c r="A8" s="308" t="s">
        <v>5</v>
      </c>
      <c r="B8" s="23">
        <v>22243.60697686534</v>
      </c>
      <c r="C8" s="23">
        <v>9545.9658206176045</v>
      </c>
      <c r="D8" s="23">
        <v>12697.641156246385</v>
      </c>
    </row>
    <row r="9" spans="1:4">
      <c r="A9" s="306" t="s">
        <v>448</v>
      </c>
      <c r="B9" s="249"/>
      <c r="C9" s="249"/>
      <c r="D9" s="249"/>
    </row>
    <row r="10" spans="1:4">
      <c r="A10" s="332" t="s">
        <v>486</v>
      </c>
      <c r="B10" s="24">
        <v>5240.5764301720874</v>
      </c>
      <c r="C10" s="24">
        <v>3971.4909698737179</v>
      </c>
      <c r="D10" s="24">
        <v>1269.0854602980069</v>
      </c>
    </row>
    <row r="11" spans="1:4">
      <c r="A11" s="333" t="s">
        <v>486</v>
      </c>
      <c r="B11" s="23">
        <v>5240.5764301720874</v>
      </c>
      <c r="C11" s="23">
        <v>3971.4909698737179</v>
      </c>
      <c r="D11" s="23">
        <v>1269.0854602980069</v>
      </c>
    </row>
    <row r="12" spans="1:4">
      <c r="A12" s="332" t="s">
        <v>487</v>
      </c>
      <c r="B12" s="24">
        <v>13317.932124541972</v>
      </c>
      <c r="C12" s="24">
        <v>6063.1066857237847</v>
      </c>
      <c r="D12" s="24">
        <v>7254.825438816838</v>
      </c>
    </row>
    <row r="13" spans="1:4">
      <c r="A13" s="333" t="s">
        <v>487</v>
      </c>
      <c r="B13" s="23">
        <v>12027.129693799952</v>
      </c>
      <c r="C13" s="23">
        <v>5286.7249923647569</v>
      </c>
      <c r="D13" s="23">
        <v>6740.4047014338457</v>
      </c>
    </row>
    <row r="14" spans="1:4">
      <c r="A14" s="333" t="s">
        <v>488</v>
      </c>
      <c r="B14" s="23">
        <v>1290.8024307416088</v>
      </c>
      <c r="C14" s="23">
        <v>776.38169335878888</v>
      </c>
      <c r="D14" s="23">
        <v>514.42073738284103</v>
      </c>
    </row>
    <row r="15" spans="1:4">
      <c r="A15" s="332" t="s">
        <v>489</v>
      </c>
      <c r="B15" s="24">
        <v>2151.3373845693341</v>
      </c>
      <c r="C15" s="24">
        <v>655.58104526625334</v>
      </c>
      <c r="D15" s="24">
        <v>1495.7563393031016</v>
      </c>
    </row>
    <row r="16" spans="1:4">
      <c r="A16" s="333" t="s">
        <v>489</v>
      </c>
      <c r="B16" s="23">
        <v>1412.9603894868694</v>
      </c>
      <c r="C16" s="23">
        <v>480.4879710647117</v>
      </c>
      <c r="D16" s="23">
        <v>932.4724184221775</v>
      </c>
    </row>
    <row r="17" spans="1:4">
      <c r="A17" s="333" t="s">
        <v>490</v>
      </c>
      <c r="B17" s="23">
        <v>738.37699508248556</v>
      </c>
      <c r="C17" s="23">
        <v>175.09307420154727</v>
      </c>
      <c r="D17" s="23">
        <v>563.28392088094529</v>
      </c>
    </row>
    <row r="18" spans="1:4">
      <c r="A18" s="332" t="s">
        <v>491</v>
      </c>
      <c r="B18" s="24">
        <v>5442.8157174281978</v>
      </c>
      <c r="C18" s="24">
        <v>3033.589308840661</v>
      </c>
      <c r="D18" s="24">
        <v>2409.2264085871066</v>
      </c>
    </row>
    <row r="19" spans="1:4">
      <c r="A19" s="333" t="s">
        <v>491</v>
      </c>
      <c r="B19" s="23">
        <v>5442.8157174281978</v>
      </c>
      <c r="C19" s="23">
        <v>3033.589308840661</v>
      </c>
      <c r="D19" s="23">
        <v>2409.2264085871066</v>
      </c>
    </row>
    <row r="20" spans="1:4">
      <c r="A20" s="332" t="s">
        <v>499</v>
      </c>
      <c r="B20" s="24">
        <v>2772.9856635174383</v>
      </c>
      <c r="C20" s="24">
        <v>1312.5194011852107</v>
      </c>
      <c r="D20" s="24">
        <v>1460.4662623322486</v>
      </c>
    </row>
    <row r="21" spans="1:4">
      <c r="A21" s="333" t="s">
        <v>492</v>
      </c>
      <c r="B21" s="23">
        <v>2772.9856635174383</v>
      </c>
      <c r="C21" s="23">
        <v>1312.5194011852107</v>
      </c>
      <c r="D21" s="23">
        <v>1460.4662623322486</v>
      </c>
    </row>
    <row r="22" spans="1:4">
      <c r="A22" s="332" t="s">
        <v>493</v>
      </c>
      <c r="B22" s="24">
        <v>1225.6515194108031</v>
      </c>
      <c r="C22" s="24">
        <v>472.34410714836065</v>
      </c>
      <c r="D22" s="24">
        <v>753.30741226246187</v>
      </c>
    </row>
    <row r="23" spans="1:4">
      <c r="A23" s="333" t="s">
        <v>493</v>
      </c>
      <c r="B23" s="23">
        <v>1225.6515194108031</v>
      </c>
      <c r="C23" s="23">
        <v>472.34410714836065</v>
      </c>
      <c r="D23" s="23">
        <v>753.30741226246187</v>
      </c>
    </row>
    <row r="24" spans="1:4">
      <c r="A24" s="332" t="s">
        <v>494</v>
      </c>
      <c r="B24" s="24">
        <v>1199.8626170090258</v>
      </c>
      <c r="C24" s="24">
        <v>707.15885006980784</v>
      </c>
      <c r="D24" s="24">
        <v>492.70376693923828</v>
      </c>
    </row>
    <row r="25" spans="1:4">
      <c r="A25" s="333" t="s">
        <v>495</v>
      </c>
      <c r="B25" s="23">
        <v>661.01028787715381</v>
      </c>
      <c r="C25" s="23">
        <v>370.5458081939725</v>
      </c>
      <c r="D25" s="23">
        <v>290.46447968318716</v>
      </c>
    </row>
    <row r="26" spans="1:4">
      <c r="A26" s="333" t="s">
        <v>496</v>
      </c>
      <c r="B26" s="23">
        <v>538.85232913189316</v>
      </c>
      <c r="C26" s="23">
        <v>336.61304187584312</v>
      </c>
      <c r="D26" s="23">
        <v>202.23928725605077</v>
      </c>
    </row>
    <row r="27" spans="1:4">
      <c r="A27" s="332" t="s">
        <v>497</v>
      </c>
      <c r="B27" s="24">
        <v>3398.7058744237179</v>
      </c>
      <c r="C27" s="24">
        <v>882.25192427134812</v>
      </c>
      <c r="D27" s="24">
        <v>2516.4539501523909</v>
      </c>
    </row>
    <row r="28" spans="1:4">
      <c r="A28" s="333" t="s">
        <v>497</v>
      </c>
      <c r="B28" s="23">
        <v>3398.7058744237179</v>
      </c>
      <c r="C28" s="23">
        <v>882.25192427134812</v>
      </c>
      <c r="D28" s="23">
        <v>2516.4539501523909</v>
      </c>
    </row>
    <row r="29" spans="1:4">
      <c r="A29" s="332" t="s">
        <v>498</v>
      </c>
      <c r="B29" s="24">
        <v>1102.1362500128173</v>
      </c>
      <c r="C29" s="24">
        <v>314.89607143224032</v>
      </c>
      <c r="D29" s="24">
        <v>787.24017858058983</v>
      </c>
    </row>
    <row r="30" spans="1:4">
      <c r="A30" s="333" t="s">
        <v>498</v>
      </c>
      <c r="B30" s="23">
        <v>1102.1362500128173</v>
      </c>
      <c r="C30" s="23">
        <v>314.89607143224032</v>
      </c>
      <c r="D30" s="23">
        <v>787.24017858058983</v>
      </c>
    </row>
    <row r="44" spans="1:4" s="72" customFormat="1">
      <c r="A44" s="69"/>
      <c r="B44" s="69"/>
      <c r="C44" s="69"/>
      <c r="D44" s="69"/>
    </row>
    <row r="47" spans="1:4" s="72" customFormat="1">
      <c r="A47" s="69"/>
      <c r="B47" s="69"/>
      <c r="C47" s="69"/>
      <c r="D47" s="69"/>
    </row>
    <row r="50" spans="1:4" s="72" customFormat="1">
      <c r="A50" s="69"/>
      <c r="B50" s="69"/>
      <c r="C50" s="69"/>
      <c r="D50" s="69"/>
    </row>
    <row r="53" spans="1:4" s="72" customFormat="1">
      <c r="A53" s="69"/>
      <c r="B53" s="69"/>
      <c r="C53" s="69"/>
      <c r="D53" s="69"/>
    </row>
    <row r="55" spans="1:4" s="72" customFormat="1">
      <c r="A55" s="69"/>
      <c r="B55" s="69"/>
      <c r="C55" s="69"/>
      <c r="D55" s="69"/>
    </row>
    <row r="57" spans="1:4" s="72" customFormat="1">
      <c r="A57" s="69"/>
      <c r="B57" s="69"/>
      <c r="C57" s="69"/>
      <c r="D57" s="69"/>
    </row>
  </sheetData>
  <mergeCells count="4">
    <mergeCell ref="A1:D1"/>
    <mergeCell ref="A2:A3"/>
    <mergeCell ref="B2:B3"/>
    <mergeCell ref="C2:D2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0"/>
  <sheetViews>
    <sheetView zoomScale="120" zoomScaleNormal="120" workbookViewId="0">
      <selection activeCell="A2" sqref="A2:A3"/>
    </sheetView>
  </sheetViews>
  <sheetFormatPr defaultColWidth="9.140625" defaultRowHeight="12"/>
  <cols>
    <col min="1" max="1" width="25.28515625" style="69" customWidth="1"/>
    <col min="2" max="2" width="11.140625" style="69" bestFit="1" customWidth="1"/>
    <col min="3" max="4" width="10.28515625" style="69" bestFit="1" customWidth="1"/>
    <col min="5" max="5" width="11.140625" style="69" bestFit="1" customWidth="1"/>
    <col min="6" max="6" width="4.140625" style="69" customWidth="1"/>
    <col min="7" max="7" width="15" style="69" customWidth="1"/>
    <col min="8" max="16384" width="9.140625" style="69"/>
  </cols>
  <sheetData>
    <row r="1" spans="1:8" ht="18" customHeight="1" thickBot="1">
      <c r="A1" s="856" t="s">
        <v>459</v>
      </c>
      <c r="B1" s="856"/>
      <c r="C1" s="856"/>
      <c r="D1" s="856"/>
      <c r="E1" s="856"/>
      <c r="F1" s="856"/>
      <c r="G1" s="856"/>
    </row>
    <row r="2" spans="1:8" ht="15" customHeight="1">
      <c r="A2" s="853" t="s">
        <v>445</v>
      </c>
      <c r="B2" s="854" t="s">
        <v>85</v>
      </c>
      <c r="C2" s="855" t="s">
        <v>544</v>
      </c>
      <c r="D2" s="855"/>
      <c r="E2" s="855"/>
      <c r="F2" s="334"/>
      <c r="G2" s="857" t="s">
        <v>545</v>
      </c>
    </row>
    <row r="3" spans="1:8" ht="38.25" customHeight="1">
      <c r="A3" s="833"/>
      <c r="B3" s="855"/>
      <c r="C3" s="335" t="s">
        <v>86</v>
      </c>
      <c r="D3" s="335" t="s">
        <v>87</v>
      </c>
      <c r="E3" s="335" t="s">
        <v>88</v>
      </c>
      <c r="F3" s="335"/>
      <c r="G3" s="854"/>
    </row>
    <row r="4" spans="1:8">
      <c r="A4" s="336" t="s">
        <v>500</v>
      </c>
      <c r="B4" s="249">
        <v>35852.003581091936</v>
      </c>
      <c r="C4" s="249">
        <v>3166.6057528077226</v>
      </c>
      <c r="D4" s="249">
        <v>5932.8048630621297</v>
      </c>
      <c r="E4" s="249">
        <v>26752.592965219694</v>
      </c>
      <c r="F4" s="249"/>
      <c r="G4" s="249">
        <v>9099.4106158698523</v>
      </c>
      <c r="H4" s="609"/>
    </row>
    <row r="5" spans="1:8">
      <c r="A5" s="337"/>
      <c r="B5" s="24"/>
      <c r="C5" s="24"/>
      <c r="D5" s="24"/>
      <c r="E5" s="24"/>
      <c r="F5" s="24"/>
      <c r="G5" s="24"/>
    </row>
    <row r="6" spans="1:8">
      <c r="A6" s="306" t="s">
        <v>111</v>
      </c>
      <c r="B6" s="249"/>
      <c r="C6" s="249"/>
      <c r="D6" s="249"/>
      <c r="E6" s="249"/>
      <c r="F6" s="249"/>
      <c r="G6" s="249"/>
    </row>
    <row r="7" spans="1:8">
      <c r="A7" s="308" t="s">
        <v>4</v>
      </c>
      <c r="B7" s="23">
        <v>13608.396604225245</v>
      </c>
      <c r="C7" s="23">
        <v>2424.1568257670829</v>
      </c>
      <c r="D7" s="23">
        <v>4731.5849353999974</v>
      </c>
      <c r="E7" s="23">
        <v>6452.6548430560242</v>
      </c>
      <c r="F7" s="23"/>
      <c r="G7" s="23">
        <v>7155.7417611670808</v>
      </c>
    </row>
    <row r="8" spans="1:8" ht="15.75" customHeight="1">
      <c r="A8" s="308" t="s">
        <v>5</v>
      </c>
      <c r="B8" s="23">
        <v>22243.60697686534</v>
      </c>
      <c r="C8" s="23">
        <v>742.44892704066092</v>
      </c>
      <c r="D8" s="23">
        <v>1201.2199276617509</v>
      </c>
      <c r="E8" s="23">
        <v>20299.938122162319</v>
      </c>
      <c r="F8" s="23"/>
      <c r="G8" s="23">
        <v>1943.6688547024119</v>
      </c>
    </row>
    <row r="9" spans="1:8">
      <c r="A9" s="306" t="s">
        <v>448</v>
      </c>
      <c r="B9" s="249"/>
      <c r="C9" s="249"/>
      <c r="D9" s="249"/>
      <c r="E9" s="249"/>
      <c r="F9" s="249"/>
      <c r="G9" s="249"/>
    </row>
    <row r="10" spans="1:8">
      <c r="A10" s="338" t="s">
        <v>486</v>
      </c>
      <c r="B10" s="24">
        <v>5240.5764301720874</v>
      </c>
      <c r="C10" s="24">
        <v>267.39019858685919</v>
      </c>
      <c r="D10" s="24">
        <v>352.90076970854523</v>
      </c>
      <c r="E10" s="24">
        <v>4620.2854618765004</v>
      </c>
      <c r="F10" s="24"/>
      <c r="G10" s="24">
        <v>620.29096829540435</v>
      </c>
    </row>
    <row r="11" spans="1:8">
      <c r="A11" s="339" t="s">
        <v>486</v>
      </c>
      <c r="B11" s="23">
        <v>5240.5764301720874</v>
      </c>
      <c r="C11" s="23">
        <v>267.39019858685919</v>
      </c>
      <c r="D11" s="23">
        <v>352.90076970854523</v>
      </c>
      <c r="E11" s="23">
        <v>4620.2854618765004</v>
      </c>
      <c r="F11" s="23"/>
      <c r="G11" s="23">
        <v>620.29096829540435</v>
      </c>
    </row>
    <row r="12" spans="1:8">
      <c r="A12" s="338" t="s">
        <v>487</v>
      </c>
      <c r="B12" s="24">
        <v>13317.932124541972</v>
      </c>
      <c r="C12" s="24">
        <v>2244.9918196073672</v>
      </c>
      <c r="D12" s="24">
        <v>4354.2525739422881</v>
      </c>
      <c r="E12" s="24">
        <v>6718.6877309902366</v>
      </c>
      <c r="F12" s="24"/>
      <c r="G12" s="24">
        <v>6599.2443935496558</v>
      </c>
    </row>
    <row r="13" spans="1:8">
      <c r="A13" s="339" t="s">
        <v>487</v>
      </c>
      <c r="B13" s="23">
        <v>12027.129693799952</v>
      </c>
      <c r="C13" s="23">
        <v>2231.418713080116</v>
      </c>
      <c r="D13" s="23">
        <v>4343.3940887204835</v>
      </c>
      <c r="E13" s="23">
        <v>5452.3168919972768</v>
      </c>
      <c r="F13" s="23"/>
      <c r="G13" s="23">
        <v>6574.8128018005991</v>
      </c>
    </row>
    <row r="14" spans="1:8">
      <c r="A14" s="339" t="s">
        <v>488</v>
      </c>
      <c r="B14" s="23">
        <v>1290.8024307416088</v>
      </c>
      <c r="C14" s="23">
        <v>13.573106527251682</v>
      </c>
      <c r="D14" s="23">
        <v>10.858485221801345</v>
      </c>
      <c r="E14" s="23">
        <v>1266.3708389925566</v>
      </c>
      <c r="F14" s="23"/>
      <c r="G14" s="23">
        <v>24.431591749053027</v>
      </c>
    </row>
    <row r="15" spans="1:8">
      <c r="A15" s="338" t="s">
        <v>489</v>
      </c>
      <c r="B15" s="24">
        <v>2151.3373845693341</v>
      </c>
      <c r="C15" s="24">
        <v>225.31356835237875</v>
      </c>
      <c r="D15" s="24">
        <v>373.26042949942286</v>
      </c>
      <c r="E15" s="24">
        <v>1552.7633867175566</v>
      </c>
      <c r="F15" s="24"/>
      <c r="G15" s="24">
        <v>598.57399785180155</v>
      </c>
    </row>
    <row r="16" spans="1:8">
      <c r="A16" s="339" t="s">
        <v>489</v>
      </c>
      <c r="B16" s="23">
        <v>1412.9603894868694</v>
      </c>
      <c r="C16" s="23">
        <v>172.37845289609692</v>
      </c>
      <c r="D16" s="23">
        <v>290.46447968318716</v>
      </c>
      <c r="E16" s="23">
        <v>950.11745690760404</v>
      </c>
      <c r="F16" s="23"/>
      <c r="G16" s="23">
        <v>462.84293257928408</v>
      </c>
    </row>
    <row r="17" spans="1:7">
      <c r="A17" s="339" t="s">
        <v>490</v>
      </c>
      <c r="B17" s="23">
        <v>738.37699508248556</v>
      </c>
      <c r="C17" s="23">
        <v>52.935115456281558</v>
      </c>
      <c r="D17" s="23">
        <v>82.79594981623535</v>
      </c>
      <c r="E17" s="23">
        <v>602.64592980997372</v>
      </c>
      <c r="F17" s="23"/>
      <c r="G17" s="23">
        <v>135.7310652725169</v>
      </c>
    </row>
    <row r="18" spans="1:7">
      <c r="A18" s="338" t="s">
        <v>491</v>
      </c>
      <c r="B18" s="24">
        <v>5442.8157174281978</v>
      </c>
      <c r="C18" s="24">
        <v>223.95625769965358</v>
      </c>
      <c r="D18" s="24">
        <v>489.98914563378793</v>
      </c>
      <c r="E18" s="24">
        <v>4728.8703140945463</v>
      </c>
      <c r="F18" s="24"/>
      <c r="G18" s="24">
        <v>713.9454033334415</v>
      </c>
    </row>
    <row r="19" spans="1:7">
      <c r="A19" s="339" t="s">
        <v>491</v>
      </c>
      <c r="B19" s="23">
        <v>5442.8157174281978</v>
      </c>
      <c r="C19" s="23">
        <v>223.95625769965358</v>
      </c>
      <c r="D19" s="23">
        <v>489.98914563378793</v>
      </c>
      <c r="E19" s="23">
        <v>4728.8703140945463</v>
      </c>
      <c r="F19" s="23"/>
      <c r="G19" s="23">
        <v>713.9454033334415</v>
      </c>
    </row>
    <row r="20" spans="1:7">
      <c r="A20" s="338" t="s">
        <v>499</v>
      </c>
      <c r="B20" s="24">
        <v>2772.9856635174383</v>
      </c>
      <c r="C20" s="24">
        <v>23.074281096327859</v>
      </c>
      <c r="D20" s="24">
        <v>86.867881774410876</v>
      </c>
      <c r="E20" s="24">
        <v>2663.0435006467037</v>
      </c>
      <c r="F20" s="24"/>
      <c r="G20" s="24">
        <v>109.94216287073874</v>
      </c>
    </row>
    <row r="21" spans="1:7">
      <c r="A21" s="339" t="s">
        <v>492</v>
      </c>
      <c r="B21" s="23">
        <v>2772.9856635174383</v>
      </c>
      <c r="C21" s="23">
        <v>23.074281096327859</v>
      </c>
      <c r="D21" s="23">
        <v>86.867881774410876</v>
      </c>
      <c r="E21" s="23">
        <v>2663.0435006467037</v>
      </c>
      <c r="F21" s="23"/>
      <c r="G21" s="23">
        <v>109.94216287073874</v>
      </c>
    </row>
    <row r="22" spans="1:7">
      <c r="A22" s="338" t="s">
        <v>493</v>
      </c>
      <c r="B22" s="24">
        <v>1225.6515194108031</v>
      </c>
      <c r="C22" s="24">
        <v>36.64738762357954</v>
      </c>
      <c r="D22" s="24">
        <v>33.932766318129204</v>
      </c>
      <c r="E22" s="24">
        <v>1155.0713654690969</v>
      </c>
      <c r="F22" s="24"/>
      <c r="G22" s="24">
        <v>70.580153941708744</v>
      </c>
    </row>
    <row r="23" spans="1:7">
      <c r="A23" s="339" t="s">
        <v>493</v>
      </c>
      <c r="B23" s="23">
        <v>1225.6515194108031</v>
      </c>
      <c r="C23" s="23">
        <v>36.64738762357954</v>
      </c>
      <c r="D23" s="23">
        <v>33.932766318129204</v>
      </c>
      <c r="E23" s="23">
        <v>1155.0713654690969</v>
      </c>
      <c r="F23" s="23"/>
      <c r="G23" s="23">
        <v>70.580153941708744</v>
      </c>
    </row>
    <row r="24" spans="1:7">
      <c r="A24" s="338" t="s">
        <v>494</v>
      </c>
      <c r="B24" s="24">
        <v>1199.8626170090258</v>
      </c>
      <c r="C24" s="24">
        <v>17.645038485427186</v>
      </c>
      <c r="D24" s="24">
        <v>9.5011745690761771</v>
      </c>
      <c r="E24" s="24">
        <v>1172.7164039545235</v>
      </c>
      <c r="F24" s="24"/>
      <c r="G24" s="24">
        <v>27.146213054503363</v>
      </c>
    </row>
    <row r="25" spans="1:7">
      <c r="A25" s="339" t="s">
        <v>495</v>
      </c>
      <c r="B25" s="23">
        <v>661.01028787715381</v>
      </c>
      <c r="C25" s="23">
        <v>6.7865532636258408</v>
      </c>
      <c r="D25" s="23">
        <v>4.0719319581755045</v>
      </c>
      <c r="E25" s="23">
        <v>650.15180265535287</v>
      </c>
      <c r="F25" s="23"/>
      <c r="G25" s="23">
        <v>10.858485221801345</v>
      </c>
    </row>
    <row r="26" spans="1:7">
      <c r="A26" s="339" t="s">
        <v>496</v>
      </c>
      <c r="B26" s="23">
        <v>538.85232913189316</v>
      </c>
      <c r="C26" s="23">
        <v>10.858485221801345</v>
      </c>
      <c r="D26" s="23">
        <v>5.4292426109006726</v>
      </c>
      <c r="E26" s="23">
        <v>522.56460129919174</v>
      </c>
      <c r="F26" s="23"/>
      <c r="G26" s="23">
        <v>16.287727832702018</v>
      </c>
    </row>
    <row r="27" spans="1:7">
      <c r="A27" s="338" t="s">
        <v>497</v>
      </c>
      <c r="B27" s="24">
        <v>3398.7058744237179</v>
      </c>
      <c r="C27" s="24">
        <v>29.860834359953699</v>
      </c>
      <c r="D27" s="24">
        <v>58.364358067182231</v>
      </c>
      <c r="E27" s="24">
        <v>3310.4806819965852</v>
      </c>
      <c r="F27" s="24"/>
      <c r="G27" s="24">
        <v>88.225192427135937</v>
      </c>
    </row>
    <row r="28" spans="1:7">
      <c r="A28" s="339" t="s">
        <v>497</v>
      </c>
      <c r="B28" s="23">
        <v>3398.7058744237179</v>
      </c>
      <c r="C28" s="23">
        <v>29.860834359953699</v>
      </c>
      <c r="D28" s="23">
        <v>58.364358067182231</v>
      </c>
      <c r="E28" s="23">
        <v>3310.4806819965852</v>
      </c>
      <c r="F28" s="23"/>
      <c r="G28" s="23">
        <v>88.225192427135937</v>
      </c>
    </row>
    <row r="29" spans="1:7">
      <c r="A29" s="338" t="s">
        <v>498</v>
      </c>
      <c r="B29" s="24">
        <v>1102.1362500128173</v>
      </c>
      <c r="C29" s="24">
        <v>97.726366996212278</v>
      </c>
      <c r="D29" s="24">
        <v>173.73576354882209</v>
      </c>
      <c r="E29" s="24">
        <v>830.67411946779362</v>
      </c>
      <c r="F29" s="24"/>
      <c r="G29" s="24">
        <v>271.46213054503437</v>
      </c>
    </row>
    <row r="30" spans="1:7">
      <c r="A30" s="339" t="s">
        <v>498</v>
      </c>
      <c r="B30" s="23">
        <v>1102.1362500128173</v>
      </c>
      <c r="C30" s="23">
        <v>97.726366996212278</v>
      </c>
      <c r="D30" s="23">
        <v>173.73576354882209</v>
      </c>
      <c r="E30" s="23">
        <v>830.67411946779362</v>
      </c>
      <c r="F30" s="23"/>
      <c r="G30" s="23">
        <v>271.46213054503437</v>
      </c>
    </row>
  </sheetData>
  <mergeCells count="5">
    <mergeCell ref="A2:A3"/>
    <mergeCell ref="B2:B3"/>
    <mergeCell ref="A1:G1"/>
    <mergeCell ref="C2:E2"/>
    <mergeCell ref="G2:G3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30"/>
  <sheetViews>
    <sheetView zoomScale="120" zoomScaleNormal="120" workbookViewId="0">
      <selection activeCell="B2" sqref="B2:B3"/>
    </sheetView>
  </sheetViews>
  <sheetFormatPr defaultColWidth="9.140625" defaultRowHeight="12"/>
  <cols>
    <col min="1" max="1" width="22.140625" style="69" customWidth="1"/>
    <col min="2" max="3" width="11.140625" style="69" bestFit="1" customWidth="1"/>
    <col min="4" max="4" width="12.85546875" style="69" customWidth="1"/>
    <col min="5" max="16384" width="9.140625" style="69"/>
  </cols>
  <sheetData>
    <row r="1" spans="1:4" ht="35.25" customHeight="1">
      <c r="A1" s="858" t="s">
        <v>89</v>
      </c>
      <c r="B1" s="858"/>
      <c r="C1" s="858"/>
      <c r="D1" s="858"/>
    </row>
    <row r="2" spans="1:4" ht="26.25" customHeight="1">
      <c r="A2" s="832" t="s">
        <v>445</v>
      </c>
      <c r="B2" s="859" t="s">
        <v>48</v>
      </c>
      <c r="C2" s="859" t="s">
        <v>90</v>
      </c>
      <c r="D2" s="859"/>
    </row>
    <row r="3" spans="1:4">
      <c r="A3" s="833"/>
      <c r="B3" s="860"/>
      <c r="C3" s="340" t="s">
        <v>91</v>
      </c>
      <c r="D3" s="340" t="s">
        <v>83</v>
      </c>
    </row>
    <row r="4" spans="1:4">
      <c r="A4" s="341" t="s">
        <v>500</v>
      </c>
      <c r="B4" s="249">
        <v>35852.003581091936</v>
      </c>
      <c r="C4" s="249">
        <v>29704.743634897815</v>
      </c>
      <c r="D4" s="249">
        <v>6147.2599461927703</v>
      </c>
    </row>
    <row r="5" spans="1:4">
      <c r="A5" s="342"/>
      <c r="B5" s="24"/>
      <c r="C5" s="24"/>
      <c r="D5" s="24"/>
    </row>
    <row r="6" spans="1:4">
      <c r="A6" s="306" t="s">
        <v>111</v>
      </c>
      <c r="B6" s="249"/>
      <c r="C6" s="249"/>
      <c r="D6" s="249"/>
    </row>
    <row r="7" spans="1:4">
      <c r="A7" s="308" t="s">
        <v>4</v>
      </c>
      <c r="B7" s="23">
        <v>13608.396604225245</v>
      </c>
      <c r="C7" s="23">
        <v>11500.49316054243</v>
      </c>
      <c r="D7" s="23">
        <v>2107.9034436821303</v>
      </c>
    </row>
    <row r="8" spans="1:4">
      <c r="A8" s="308" t="s">
        <v>5</v>
      </c>
      <c r="B8" s="23">
        <v>22243.60697686534</v>
      </c>
      <c r="C8" s="23">
        <v>18204.250474354034</v>
      </c>
      <c r="D8" s="23">
        <v>4039.3565025099738</v>
      </c>
    </row>
    <row r="9" spans="1:4">
      <c r="A9" s="306" t="s">
        <v>448</v>
      </c>
      <c r="B9" s="249"/>
      <c r="C9" s="249"/>
      <c r="D9" s="249"/>
    </row>
    <row r="10" spans="1:4">
      <c r="A10" s="343" t="s">
        <v>486</v>
      </c>
      <c r="B10" s="24">
        <v>5240.5764301720874</v>
      </c>
      <c r="C10" s="24">
        <v>4632.5012577510306</v>
      </c>
      <c r="D10" s="24">
        <v>608.0751724208742</v>
      </c>
    </row>
    <row r="11" spans="1:4">
      <c r="A11" s="344" t="s">
        <v>486</v>
      </c>
      <c r="B11" s="23">
        <v>5240.5764301720874</v>
      </c>
      <c r="C11" s="23">
        <v>4632.5012577510306</v>
      </c>
      <c r="D11" s="23">
        <v>608.0751724208742</v>
      </c>
    </row>
    <row r="12" spans="1:4">
      <c r="A12" s="343" t="s">
        <v>487</v>
      </c>
      <c r="B12" s="24">
        <v>13317.932124541972</v>
      </c>
      <c r="C12" s="24">
        <v>11576.502557095062</v>
      </c>
      <c r="D12" s="24">
        <v>1741.4295674463481</v>
      </c>
    </row>
    <row r="13" spans="1:4">
      <c r="A13" s="344" t="s">
        <v>487</v>
      </c>
      <c r="B13" s="23">
        <v>12027.129693799952</v>
      </c>
      <c r="C13" s="23">
        <v>10421.431191625599</v>
      </c>
      <c r="D13" s="23">
        <v>1605.6985021738362</v>
      </c>
    </row>
    <row r="14" spans="1:4">
      <c r="A14" s="344" t="s">
        <v>488</v>
      </c>
      <c r="B14" s="23">
        <v>1290.8024307416088</v>
      </c>
      <c r="C14" s="23">
        <v>1155.0713654690969</v>
      </c>
      <c r="D14" s="23">
        <v>135.73106527251718</v>
      </c>
    </row>
    <row r="15" spans="1:4">
      <c r="A15" s="343" t="s">
        <v>489</v>
      </c>
      <c r="B15" s="24">
        <v>2151.3373845693341</v>
      </c>
      <c r="C15" s="24">
        <v>1398.0299723068931</v>
      </c>
      <c r="D15" s="24">
        <v>753.30741226246187</v>
      </c>
    </row>
    <row r="16" spans="1:4">
      <c r="A16" s="344" t="s">
        <v>489</v>
      </c>
      <c r="B16" s="23">
        <v>1412.9603894868694</v>
      </c>
      <c r="C16" s="23">
        <v>936.54435038035285</v>
      </c>
      <c r="D16" s="23">
        <v>476.41603910653618</v>
      </c>
    </row>
    <row r="17" spans="1:4">
      <c r="A17" s="344" t="s">
        <v>490</v>
      </c>
      <c r="B17" s="23">
        <v>738.37699508248556</v>
      </c>
      <c r="C17" s="23">
        <v>461.48562192655925</v>
      </c>
      <c r="D17" s="23">
        <v>276.89137315593541</v>
      </c>
    </row>
    <row r="18" spans="1:4">
      <c r="A18" s="343" t="s">
        <v>491</v>
      </c>
      <c r="B18" s="24">
        <v>5442.8157174281978</v>
      </c>
      <c r="C18" s="24">
        <v>4375.9695443858973</v>
      </c>
      <c r="D18" s="24">
        <v>1066.8461730419642</v>
      </c>
    </row>
    <row r="19" spans="1:4">
      <c r="A19" s="344" t="s">
        <v>491</v>
      </c>
      <c r="B19" s="23">
        <v>5442.8157174281978</v>
      </c>
      <c r="C19" s="23">
        <v>4375.9695443858973</v>
      </c>
      <c r="D19" s="23">
        <v>1066.8461730419642</v>
      </c>
    </row>
    <row r="20" spans="1:4">
      <c r="A20" s="343" t="s">
        <v>499</v>
      </c>
      <c r="B20" s="24">
        <v>2772.9856635174383</v>
      </c>
      <c r="C20" s="24">
        <v>2363.0778463944525</v>
      </c>
      <c r="D20" s="24">
        <v>409.90781712300259</v>
      </c>
    </row>
    <row r="21" spans="1:4">
      <c r="A21" s="344" t="s">
        <v>492</v>
      </c>
      <c r="B21" s="23">
        <v>2772.9856635174383</v>
      </c>
      <c r="C21" s="23">
        <v>2363.0778463944525</v>
      </c>
      <c r="D21" s="23">
        <v>409.90781712300259</v>
      </c>
    </row>
    <row r="22" spans="1:4">
      <c r="A22" s="343" t="s">
        <v>493</v>
      </c>
      <c r="B22" s="24">
        <v>1225.6515194108031</v>
      </c>
      <c r="C22" s="24">
        <v>1072.2754156528647</v>
      </c>
      <c r="D22" s="24">
        <v>153.37610375794446</v>
      </c>
    </row>
    <row r="23" spans="1:4">
      <c r="A23" s="344" t="s">
        <v>493</v>
      </c>
      <c r="B23" s="23">
        <v>1225.6515194108031</v>
      </c>
      <c r="C23" s="23">
        <v>1072.2754156528647</v>
      </c>
      <c r="D23" s="23">
        <v>153.37610375794446</v>
      </c>
    </row>
    <row r="24" spans="1:4">
      <c r="A24" s="343" t="s">
        <v>494</v>
      </c>
      <c r="B24" s="24">
        <v>1199.8626170090258</v>
      </c>
      <c r="C24" s="24">
        <v>925.68586515855191</v>
      </c>
      <c r="D24" s="24">
        <v>274.17675185048506</v>
      </c>
    </row>
    <row r="25" spans="1:4">
      <c r="A25" s="344" t="s">
        <v>495</v>
      </c>
      <c r="B25" s="23">
        <v>661.01028787715381</v>
      </c>
      <c r="C25" s="23">
        <v>563.28392088094529</v>
      </c>
      <c r="D25" s="23">
        <v>97.726366996212278</v>
      </c>
    </row>
    <row r="26" spans="1:4">
      <c r="A26" s="344" t="s">
        <v>496</v>
      </c>
      <c r="B26" s="23">
        <v>538.85232913189316</v>
      </c>
      <c r="C26" s="23">
        <v>362.40194427762145</v>
      </c>
      <c r="D26" s="23">
        <v>176.45038485427244</v>
      </c>
    </row>
    <row r="27" spans="1:4">
      <c r="A27" s="343" t="s">
        <v>497</v>
      </c>
      <c r="B27" s="24">
        <v>3398.7058744237179</v>
      </c>
      <c r="C27" s="24">
        <v>2544.9574738596184</v>
      </c>
      <c r="D27" s="24">
        <v>853.74840056412063</v>
      </c>
    </row>
    <row r="28" spans="1:4">
      <c r="A28" s="344" t="s">
        <v>497</v>
      </c>
      <c r="B28" s="23">
        <v>3398.7058744237179</v>
      </c>
      <c r="C28" s="23">
        <v>2544.9574738596184</v>
      </c>
      <c r="D28" s="23">
        <v>853.74840056412063</v>
      </c>
    </row>
    <row r="29" spans="1:4">
      <c r="A29" s="343" t="s">
        <v>498</v>
      </c>
      <c r="B29" s="24">
        <v>1102.1362500128173</v>
      </c>
      <c r="C29" s="24">
        <v>815.74370228781731</v>
      </c>
      <c r="D29" s="24">
        <v>286.39254772501164</v>
      </c>
    </row>
    <row r="30" spans="1:4">
      <c r="A30" s="344" t="s">
        <v>498</v>
      </c>
      <c r="B30" s="23">
        <v>1102.1362500128173</v>
      </c>
      <c r="C30" s="23">
        <v>815.74370228781731</v>
      </c>
      <c r="D30" s="23">
        <v>286.39254772501164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N30"/>
  <sheetViews>
    <sheetView zoomScale="120" zoomScaleNormal="120" workbookViewId="0">
      <selection activeCell="Z23" sqref="Z23"/>
    </sheetView>
  </sheetViews>
  <sheetFormatPr defaultColWidth="9.140625" defaultRowHeight="12"/>
  <cols>
    <col min="1" max="1" width="21.5703125" style="69" customWidth="1"/>
    <col min="2" max="2" width="11.140625" style="69" bestFit="1" customWidth="1"/>
    <col min="3" max="4" width="10.28515625" style="69" bestFit="1" customWidth="1"/>
    <col min="5" max="5" width="9.28515625" style="69" bestFit="1" customWidth="1"/>
    <col min="6" max="9" width="10.28515625" style="69" bestFit="1" customWidth="1"/>
    <col min="10" max="12" width="9.28515625" style="69" bestFit="1" customWidth="1"/>
    <col min="13" max="13" width="10.28515625" style="69" bestFit="1" customWidth="1"/>
    <col min="14" max="14" width="9.28515625" style="69" bestFit="1" customWidth="1"/>
    <col min="15" max="16384" width="9.140625" style="69"/>
  </cols>
  <sheetData>
    <row r="1" spans="1:14" ht="12" customHeight="1">
      <c r="A1" s="861" t="s">
        <v>92</v>
      </c>
      <c r="B1" s="861"/>
      <c r="C1" s="861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</row>
    <row r="2" spans="1:14" ht="15" customHeight="1">
      <c r="A2" s="832" t="s">
        <v>445</v>
      </c>
      <c r="B2" s="862" t="s">
        <v>48</v>
      </c>
      <c r="C2" s="864" t="s">
        <v>93</v>
      </c>
      <c r="D2" s="864"/>
      <c r="E2" s="864"/>
      <c r="F2" s="864"/>
      <c r="G2" s="864"/>
      <c r="H2" s="864"/>
      <c r="I2" s="864"/>
      <c r="J2" s="864"/>
      <c r="K2" s="864"/>
      <c r="L2" s="864"/>
      <c r="M2" s="864"/>
      <c r="N2" s="864"/>
    </row>
    <row r="3" spans="1:14" ht="59.25" customHeight="1">
      <c r="A3" s="833"/>
      <c r="B3" s="863"/>
      <c r="C3" s="345" t="s">
        <v>94</v>
      </c>
      <c r="D3" s="345" t="s">
        <v>95</v>
      </c>
      <c r="E3" s="345" t="s">
        <v>96</v>
      </c>
      <c r="F3" s="345" t="s">
        <v>97</v>
      </c>
      <c r="G3" s="345" t="s">
        <v>98</v>
      </c>
      <c r="H3" s="345" t="s">
        <v>99</v>
      </c>
      <c r="I3" s="345" t="s">
        <v>100</v>
      </c>
      <c r="J3" s="345" t="s">
        <v>101</v>
      </c>
      <c r="K3" s="345" t="s">
        <v>102</v>
      </c>
      <c r="L3" s="345" t="s">
        <v>103</v>
      </c>
      <c r="M3" s="345" t="s">
        <v>104</v>
      </c>
      <c r="N3" s="345" t="s">
        <v>58</v>
      </c>
    </row>
    <row r="4" spans="1:14">
      <c r="A4" s="346" t="s">
        <v>500</v>
      </c>
      <c r="B4" s="610">
        <v>35852.003581091936</v>
      </c>
      <c r="C4" s="610">
        <v>7599.5823446091335</v>
      </c>
      <c r="D4" s="610">
        <v>4363.7537485113671</v>
      </c>
      <c r="E4" s="610">
        <v>17.645038485427186</v>
      </c>
      <c r="F4" s="610">
        <v>3567.0123953616326</v>
      </c>
      <c r="G4" s="610">
        <v>1339.665614239713</v>
      </c>
      <c r="H4" s="610">
        <v>1467.2528155958742</v>
      </c>
      <c r="I4" s="610">
        <v>8059.7106558831028</v>
      </c>
      <c r="J4" s="610">
        <v>84.153260468960525</v>
      </c>
      <c r="K4" s="610">
        <v>627.07752155902585</v>
      </c>
      <c r="L4" s="610">
        <v>62.436290025357735</v>
      </c>
      <c r="M4" s="610">
        <v>8142.5066056993628</v>
      </c>
      <c r="N4" s="610">
        <v>521.20729064646662</v>
      </c>
    </row>
    <row r="5" spans="1:14">
      <c r="A5" s="347"/>
      <c r="B5" s="611"/>
      <c r="C5" s="611"/>
      <c r="D5" s="611"/>
      <c r="E5" s="611"/>
      <c r="F5" s="611"/>
      <c r="G5" s="611"/>
      <c r="H5" s="611"/>
      <c r="I5" s="611"/>
      <c r="J5" s="611"/>
      <c r="K5" s="611"/>
      <c r="L5" s="611"/>
      <c r="M5" s="611"/>
      <c r="N5" s="611"/>
    </row>
    <row r="6" spans="1:14">
      <c r="A6" s="306" t="s">
        <v>111</v>
      </c>
      <c r="B6" s="610"/>
      <c r="C6" s="610"/>
      <c r="D6" s="610"/>
      <c r="E6" s="610"/>
      <c r="F6" s="610"/>
      <c r="G6" s="610"/>
      <c r="H6" s="610"/>
      <c r="I6" s="610"/>
      <c r="J6" s="610"/>
      <c r="K6" s="610"/>
      <c r="L6" s="610"/>
      <c r="M6" s="610"/>
      <c r="N6" s="610"/>
    </row>
    <row r="7" spans="1:14">
      <c r="A7" s="308" t="s">
        <v>4</v>
      </c>
      <c r="B7" s="612">
        <v>13608.396604225245</v>
      </c>
      <c r="C7" s="612">
        <v>6053.6055111547057</v>
      </c>
      <c r="D7" s="612">
        <v>3508.6480372944525</v>
      </c>
      <c r="E7" s="612">
        <v>6.7865532636258408</v>
      </c>
      <c r="F7" s="612">
        <v>902.61158406222489</v>
      </c>
      <c r="G7" s="612">
        <v>488.63183498106275</v>
      </c>
      <c r="H7" s="612">
        <v>286.39254772501164</v>
      </c>
      <c r="I7" s="612">
        <v>623.0055896008505</v>
      </c>
      <c r="J7" s="612">
        <v>27.146213054503363</v>
      </c>
      <c r="K7" s="612">
        <v>86.867881774410876</v>
      </c>
      <c r="L7" s="612">
        <v>16.287727832702018</v>
      </c>
      <c r="M7" s="612">
        <v>1269.0854602980069</v>
      </c>
      <c r="N7" s="612">
        <v>339.32766318129347</v>
      </c>
    </row>
    <row r="8" spans="1:14" ht="14.25" customHeight="1">
      <c r="A8" s="308" t="s">
        <v>5</v>
      </c>
      <c r="B8" s="612">
        <v>22243.60697686534</v>
      </c>
      <c r="C8" s="612">
        <v>1545.976833453931</v>
      </c>
      <c r="D8" s="612">
        <v>855.10571121684575</v>
      </c>
      <c r="E8" s="612">
        <v>10.858485221801345</v>
      </c>
      <c r="F8" s="612">
        <v>2664.4008112994288</v>
      </c>
      <c r="G8" s="612">
        <v>851.03377925867039</v>
      </c>
      <c r="H8" s="612">
        <v>1180.8602678708742</v>
      </c>
      <c r="I8" s="612">
        <v>7436.7050662820648</v>
      </c>
      <c r="J8" s="612">
        <v>57.007047414457062</v>
      </c>
      <c r="K8" s="612">
        <v>540.20963978461828</v>
      </c>
      <c r="L8" s="612">
        <v>46.148562192655717</v>
      </c>
      <c r="M8" s="612">
        <v>6873.4211454009519</v>
      </c>
      <c r="N8" s="612">
        <v>181.87962746517314</v>
      </c>
    </row>
    <row r="9" spans="1:14">
      <c r="A9" s="306" t="s">
        <v>448</v>
      </c>
      <c r="B9" s="610"/>
      <c r="C9" s="610"/>
      <c r="D9" s="610"/>
      <c r="E9" s="610"/>
      <c r="F9" s="610"/>
      <c r="G9" s="610"/>
      <c r="H9" s="610"/>
      <c r="I9" s="610"/>
      <c r="J9" s="610"/>
      <c r="K9" s="610"/>
      <c r="L9" s="610"/>
      <c r="M9" s="610"/>
      <c r="N9" s="610"/>
    </row>
    <row r="10" spans="1:14">
      <c r="A10" s="348" t="s">
        <v>486</v>
      </c>
      <c r="B10" s="611">
        <v>5240.5764301720874</v>
      </c>
      <c r="C10" s="611">
        <v>527.99384391009221</v>
      </c>
      <c r="D10" s="611">
        <v>548.35350370096899</v>
      </c>
      <c r="E10" s="611">
        <v>9.5011745690761771</v>
      </c>
      <c r="F10" s="611">
        <v>495.41838824468863</v>
      </c>
      <c r="G10" s="611">
        <v>798.09866380239077</v>
      </c>
      <c r="H10" s="611">
        <v>572.78509545002112</v>
      </c>
      <c r="I10" s="611">
        <v>799.45597445511589</v>
      </c>
      <c r="J10" s="611">
        <v>28.503523707228531</v>
      </c>
      <c r="K10" s="611">
        <v>230.74281096327945</v>
      </c>
      <c r="L10" s="611">
        <v>9.5011745690761771</v>
      </c>
      <c r="M10" s="611">
        <v>1208.0064809253765</v>
      </c>
      <c r="N10" s="611">
        <v>12.215795874526513</v>
      </c>
    </row>
    <row r="11" spans="1:14">
      <c r="A11" s="349" t="s">
        <v>486</v>
      </c>
      <c r="B11" s="612">
        <v>5240.5764301720874</v>
      </c>
      <c r="C11" s="612">
        <v>527.99384391009221</v>
      </c>
      <c r="D11" s="612">
        <v>548.35350370096899</v>
      </c>
      <c r="E11" s="424">
        <v>9.5011745690761771</v>
      </c>
      <c r="F11" s="612">
        <v>495.41838824468863</v>
      </c>
      <c r="G11" s="612">
        <v>798.09866380239077</v>
      </c>
      <c r="H11" s="612">
        <v>572.78509545002112</v>
      </c>
      <c r="I11" s="612">
        <v>799.45597445511589</v>
      </c>
      <c r="J11" s="612">
        <v>28.503523707228531</v>
      </c>
      <c r="K11" s="612">
        <v>230.74281096327945</v>
      </c>
      <c r="L11" s="612">
        <v>9.5011745690761771</v>
      </c>
      <c r="M11" s="612">
        <v>1208.0064809253765</v>
      </c>
      <c r="N11" s="612">
        <v>12.215795874526513</v>
      </c>
    </row>
    <row r="12" spans="1:14">
      <c r="A12" s="348" t="s">
        <v>487</v>
      </c>
      <c r="B12" s="611">
        <v>13317.932124541972</v>
      </c>
      <c r="C12" s="611">
        <v>5954.5218335057389</v>
      </c>
      <c r="D12" s="611">
        <v>3066.1647645060639</v>
      </c>
      <c r="E12" s="588">
        <v>1.3573106527251682</v>
      </c>
      <c r="F12" s="611">
        <v>927.04317581127702</v>
      </c>
      <c r="G12" s="611">
        <v>5.4292426109006726</v>
      </c>
      <c r="H12" s="611">
        <v>55.649736761731894</v>
      </c>
      <c r="I12" s="611">
        <v>400.40664255392636</v>
      </c>
      <c r="J12" s="611">
        <v>12.215795874526513</v>
      </c>
      <c r="K12" s="611">
        <v>44.791251539930549</v>
      </c>
      <c r="L12" s="611">
        <v>9.5011745690761771</v>
      </c>
      <c r="M12" s="611">
        <v>2494.736979708789</v>
      </c>
      <c r="N12" s="611">
        <v>346.11421644491935</v>
      </c>
    </row>
    <row r="13" spans="1:14">
      <c r="A13" s="349" t="s">
        <v>487</v>
      </c>
      <c r="B13" s="612">
        <v>12027.129693799952</v>
      </c>
      <c r="C13" s="612">
        <v>5953.1645228530133</v>
      </c>
      <c r="D13" s="612">
        <v>3064.8074538533388</v>
      </c>
      <c r="E13" s="424">
        <v>1.3573106527251682</v>
      </c>
      <c r="F13" s="612">
        <v>875.46537100772252</v>
      </c>
      <c r="G13" s="612">
        <v>4.0719319581755045</v>
      </c>
      <c r="H13" s="612">
        <v>55.649736761731894</v>
      </c>
      <c r="I13" s="612">
        <v>309.46682882133962</v>
      </c>
      <c r="J13" s="612">
        <v>12.215795874526513</v>
      </c>
      <c r="K13" s="612">
        <v>44.791251539930549</v>
      </c>
      <c r="L13" s="612">
        <v>8.1438639163510089</v>
      </c>
      <c r="M13" s="612">
        <v>1360.0252740305898</v>
      </c>
      <c r="N13" s="612">
        <v>337.9703525285683</v>
      </c>
    </row>
    <row r="14" spans="1:14">
      <c r="A14" s="349" t="s">
        <v>488</v>
      </c>
      <c r="B14" s="612">
        <v>1290.8024307416088</v>
      </c>
      <c r="C14" s="612">
        <v>1.3573106527251682</v>
      </c>
      <c r="D14" s="612">
        <v>1.3573106527251682</v>
      </c>
      <c r="E14" s="424">
        <v>0</v>
      </c>
      <c r="F14" s="612">
        <v>51.57780480355639</v>
      </c>
      <c r="G14" s="612">
        <v>1.3573106527251682</v>
      </c>
      <c r="H14" s="424">
        <v>0</v>
      </c>
      <c r="I14" s="424">
        <v>90.939813732586401</v>
      </c>
      <c r="J14" s="424">
        <v>0</v>
      </c>
      <c r="K14" s="424">
        <v>0</v>
      </c>
      <c r="L14" s="424">
        <v>1.3573106527251682</v>
      </c>
      <c r="M14" s="612">
        <v>1134.7117056782201</v>
      </c>
      <c r="N14" s="612">
        <v>8.1438639163510089</v>
      </c>
    </row>
    <row r="15" spans="1:14">
      <c r="A15" s="348" t="s">
        <v>489</v>
      </c>
      <c r="B15" s="611">
        <v>2151.3373845693341</v>
      </c>
      <c r="C15" s="611">
        <v>413.97974908117811</v>
      </c>
      <c r="D15" s="611">
        <v>370.5458081939725</v>
      </c>
      <c r="E15" s="588">
        <v>1.3573106527251682</v>
      </c>
      <c r="F15" s="611">
        <v>23.074281096327859</v>
      </c>
      <c r="G15" s="611">
        <v>2.7146213054503363</v>
      </c>
      <c r="H15" s="588">
        <v>10.858485221801345</v>
      </c>
      <c r="I15" s="588">
        <v>50.220494150831222</v>
      </c>
      <c r="J15" s="588">
        <v>5.4292426109006726</v>
      </c>
      <c r="K15" s="588">
        <v>47.505872845380885</v>
      </c>
      <c r="L15" s="588">
        <v>10.858485221801345</v>
      </c>
      <c r="M15" s="611">
        <v>1195.7906850508505</v>
      </c>
      <c r="N15" s="611">
        <v>19.002349138152354</v>
      </c>
    </row>
    <row r="16" spans="1:14">
      <c r="A16" s="349" t="s">
        <v>489</v>
      </c>
      <c r="B16" s="612">
        <v>1412.9603894868694</v>
      </c>
      <c r="C16" s="612">
        <v>340.68497383401865</v>
      </c>
      <c r="D16" s="612">
        <v>267.39019858685919</v>
      </c>
      <c r="E16" s="424">
        <v>0</v>
      </c>
      <c r="F16" s="612">
        <v>19.002349138152354</v>
      </c>
      <c r="G16" s="612">
        <v>1.3573106527251682</v>
      </c>
      <c r="H16" s="424">
        <v>10.858485221801345</v>
      </c>
      <c r="I16" s="424">
        <v>32.575455665404036</v>
      </c>
      <c r="J16" s="424">
        <v>5.4292426109006726</v>
      </c>
      <c r="K16" s="424">
        <v>21.71697044360269</v>
      </c>
      <c r="L16" s="424">
        <v>10.858485221801345</v>
      </c>
      <c r="M16" s="612">
        <v>694.94305419528177</v>
      </c>
      <c r="N16" s="612">
        <v>8.1438639163510089</v>
      </c>
    </row>
    <row r="17" spans="1:14">
      <c r="A17" s="349" t="s">
        <v>490</v>
      </c>
      <c r="B17" s="612">
        <v>738.37699508248556</v>
      </c>
      <c r="C17" s="612">
        <v>73.294775247159123</v>
      </c>
      <c r="D17" s="612">
        <v>103.15560960711298</v>
      </c>
      <c r="E17" s="424">
        <v>1.3573106527251682</v>
      </c>
      <c r="F17" s="612">
        <v>4.0719319581755045</v>
      </c>
      <c r="G17" s="612">
        <v>1.3573106527251682</v>
      </c>
      <c r="H17" s="424">
        <v>0</v>
      </c>
      <c r="I17" s="424">
        <v>17.645038485427186</v>
      </c>
      <c r="J17" s="424">
        <v>0</v>
      </c>
      <c r="K17" s="424">
        <v>25.788902401778195</v>
      </c>
      <c r="L17" s="424">
        <v>0</v>
      </c>
      <c r="M17" s="612">
        <v>500.84763085558933</v>
      </c>
      <c r="N17" s="612">
        <v>10.858485221801345</v>
      </c>
    </row>
    <row r="18" spans="1:14">
      <c r="A18" s="348" t="s">
        <v>491</v>
      </c>
      <c r="B18" s="611">
        <v>5442.8157174281978</v>
      </c>
      <c r="C18" s="611">
        <v>301.32296490498857</v>
      </c>
      <c r="D18" s="611">
        <v>236.17205357418015</v>
      </c>
      <c r="E18" s="588">
        <v>0</v>
      </c>
      <c r="F18" s="611">
        <v>1137.4263269836704</v>
      </c>
      <c r="G18" s="611">
        <v>42.076630234480213</v>
      </c>
      <c r="H18" s="588">
        <v>568.71316349184576</v>
      </c>
      <c r="I18" s="588">
        <v>1723.7845289609215</v>
      </c>
      <c r="J18" s="588">
        <v>8.1438639163510089</v>
      </c>
      <c r="K18" s="588">
        <v>188.66618072879902</v>
      </c>
      <c r="L18" s="588">
        <v>21.71697044360269</v>
      </c>
      <c r="M18" s="611">
        <v>1129.2824630673197</v>
      </c>
      <c r="N18" s="611">
        <v>85.5105711216857</v>
      </c>
    </row>
    <row r="19" spans="1:14">
      <c r="A19" s="349" t="s">
        <v>491</v>
      </c>
      <c r="B19" s="612">
        <v>5442.8157174281978</v>
      </c>
      <c r="C19" s="612">
        <v>301.32296490498857</v>
      </c>
      <c r="D19" s="612">
        <v>236.17205357418015</v>
      </c>
      <c r="E19" s="424">
        <v>0</v>
      </c>
      <c r="F19" s="612">
        <v>1137.4263269836704</v>
      </c>
      <c r="G19" s="612">
        <v>42.076630234480213</v>
      </c>
      <c r="H19" s="424">
        <v>568.71316349184576</v>
      </c>
      <c r="I19" s="424">
        <v>1723.7845289609215</v>
      </c>
      <c r="J19" s="424">
        <v>8.1438639163510089</v>
      </c>
      <c r="K19" s="424">
        <v>188.66618072879902</v>
      </c>
      <c r="L19" s="424">
        <v>21.71697044360269</v>
      </c>
      <c r="M19" s="612">
        <v>1129.2824630673197</v>
      </c>
      <c r="N19" s="612">
        <v>85.5105711216857</v>
      </c>
    </row>
    <row r="20" spans="1:14">
      <c r="A20" s="348" t="s">
        <v>499</v>
      </c>
      <c r="B20" s="611">
        <v>2772.9856635174383</v>
      </c>
      <c r="C20" s="611">
        <v>29.860834359953699</v>
      </c>
      <c r="D20" s="611">
        <v>1.3573106527251682</v>
      </c>
      <c r="E20" s="588">
        <v>1.3573106527251682</v>
      </c>
      <c r="F20" s="611">
        <v>361.04463362489628</v>
      </c>
      <c r="G20" s="611">
        <v>344.75690579219417</v>
      </c>
      <c r="H20" s="588">
        <v>90.939813732586401</v>
      </c>
      <c r="I20" s="588">
        <v>1870.3740794552343</v>
      </c>
      <c r="J20" s="588">
        <v>1.3573106527251682</v>
      </c>
      <c r="K20" s="588">
        <v>14.93041717997685</v>
      </c>
      <c r="L20" s="588">
        <v>0</v>
      </c>
      <c r="M20" s="611">
        <v>40.719319581755045</v>
      </c>
      <c r="N20" s="611">
        <v>16.287727832702018</v>
      </c>
    </row>
    <row r="21" spans="1:14">
      <c r="A21" s="349" t="s">
        <v>492</v>
      </c>
      <c r="B21" s="612">
        <v>2772.9856635174383</v>
      </c>
      <c r="C21" s="612">
        <v>29.860834359953699</v>
      </c>
      <c r="D21" s="612">
        <v>1.3573106527251682</v>
      </c>
      <c r="E21" s="424">
        <v>1.3573106527251682</v>
      </c>
      <c r="F21" s="612">
        <v>361.04463362489628</v>
      </c>
      <c r="G21" s="612">
        <v>344.75690579219417</v>
      </c>
      <c r="H21" s="424">
        <v>90.939813732586401</v>
      </c>
      <c r="I21" s="424">
        <v>1870.3740794552343</v>
      </c>
      <c r="J21" s="424">
        <v>1.3573106527251682</v>
      </c>
      <c r="K21" s="424">
        <v>14.93041717997685</v>
      </c>
      <c r="L21" s="424">
        <v>0</v>
      </c>
      <c r="M21" s="612">
        <v>40.719319581755045</v>
      </c>
      <c r="N21" s="612">
        <v>16.287727832702018</v>
      </c>
    </row>
    <row r="22" spans="1:14">
      <c r="A22" s="348" t="s">
        <v>493</v>
      </c>
      <c r="B22" s="611">
        <v>1225.6515194108031</v>
      </c>
      <c r="C22" s="611">
        <v>25.788902401778195</v>
      </c>
      <c r="D22" s="611">
        <v>25.788902401778195</v>
      </c>
      <c r="E22" s="588">
        <v>0</v>
      </c>
      <c r="F22" s="611">
        <v>327.1118673067669</v>
      </c>
      <c r="G22" s="611">
        <v>84.153260468960525</v>
      </c>
      <c r="H22" s="588">
        <v>59.721668719907399</v>
      </c>
      <c r="I22" s="588">
        <v>299.96565425226339</v>
      </c>
      <c r="J22" s="588">
        <v>9.5011745690761771</v>
      </c>
      <c r="K22" s="588">
        <v>21.71697044360269</v>
      </c>
      <c r="L22" s="588">
        <v>4.0719319581755045</v>
      </c>
      <c r="M22" s="611">
        <v>365.1165655830718</v>
      </c>
      <c r="N22" s="611">
        <v>2.7146213054503363</v>
      </c>
    </row>
    <row r="23" spans="1:14">
      <c r="A23" s="349" t="s">
        <v>493</v>
      </c>
      <c r="B23" s="612">
        <v>1225.6515194108031</v>
      </c>
      <c r="C23" s="612">
        <v>25.788902401778195</v>
      </c>
      <c r="D23" s="612">
        <v>25.788902401778195</v>
      </c>
      <c r="E23" s="424">
        <v>0</v>
      </c>
      <c r="F23" s="612">
        <v>327.1118673067669</v>
      </c>
      <c r="G23" s="612">
        <v>84.153260468960525</v>
      </c>
      <c r="H23" s="424">
        <v>59.721668719907399</v>
      </c>
      <c r="I23" s="424">
        <v>299.96565425226339</v>
      </c>
      <c r="J23" s="424">
        <v>9.5011745690761771</v>
      </c>
      <c r="K23" s="424">
        <v>21.71697044360269</v>
      </c>
      <c r="L23" s="424">
        <v>4.0719319581755045</v>
      </c>
      <c r="M23" s="612">
        <v>365.1165655830718</v>
      </c>
      <c r="N23" s="612">
        <v>2.7146213054503363</v>
      </c>
    </row>
    <row r="24" spans="1:14">
      <c r="A24" s="348" t="s">
        <v>494</v>
      </c>
      <c r="B24" s="611">
        <v>1199.8626170090258</v>
      </c>
      <c r="C24" s="611">
        <v>81.438639163510175</v>
      </c>
      <c r="D24" s="611">
        <v>6.7865532636258408</v>
      </c>
      <c r="E24" s="588">
        <v>0</v>
      </c>
      <c r="F24" s="588">
        <v>1.3573106527251682</v>
      </c>
      <c r="G24" s="588">
        <v>4.0719319581755045</v>
      </c>
      <c r="H24" s="588">
        <v>50.220494150831222</v>
      </c>
      <c r="I24" s="588">
        <v>491.3464562865131</v>
      </c>
      <c r="J24" s="588">
        <v>10.858485221801345</v>
      </c>
      <c r="K24" s="588">
        <v>57.007047414457062</v>
      </c>
      <c r="L24" s="588">
        <v>5.4292426109006726</v>
      </c>
      <c r="M24" s="611">
        <v>477.77334975926135</v>
      </c>
      <c r="N24" s="611">
        <v>13.573106527251682</v>
      </c>
    </row>
    <row r="25" spans="1:14">
      <c r="A25" s="349" t="s">
        <v>495</v>
      </c>
      <c r="B25" s="612">
        <v>661.01028787715381</v>
      </c>
      <c r="C25" s="612">
        <v>12.215795874526513</v>
      </c>
      <c r="D25" s="612">
        <v>5.4292426109006726</v>
      </c>
      <c r="E25" s="424">
        <v>0</v>
      </c>
      <c r="F25" s="424">
        <v>0</v>
      </c>
      <c r="G25" s="424">
        <v>0</v>
      </c>
      <c r="H25" s="424">
        <v>21.71697044360269</v>
      </c>
      <c r="I25" s="424">
        <v>324.39724600131655</v>
      </c>
      <c r="J25" s="424">
        <v>8.1438639163510089</v>
      </c>
      <c r="K25" s="424">
        <v>39.362008929029876</v>
      </c>
      <c r="L25" s="424">
        <v>1.3573106527251682</v>
      </c>
      <c r="M25" s="612">
        <v>248.38784944870673</v>
      </c>
      <c r="N25" s="612">
        <v>0</v>
      </c>
    </row>
    <row r="26" spans="1:14">
      <c r="A26" s="349" t="s">
        <v>496</v>
      </c>
      <c r="B26" s="612">
        <v>538.85232913189316</v>
      </c>
      <c r="C26" s="612">
        <v>69.222843288983597</v>
      </c>
      <c r="D26" s="612">
        <v>1.3573106527251682</v>
      </c>
      <c r="E26" s="424">
        <v>0</v>
      </c>
      <c r="F26" s="424">
        <v>1.3573106527251682</v>
      </c>
      <c r="G26" s="424">
        <v>4.0719319581755045</v>
      </c>
      <c r="H26" s="424">
        <v>28.503523707228531</v>
      </c>
      <c r="I26" s="424">
        <v>166.94921028519622</v>
      </c>
      <c r="J26" s="424">
        <v>2.7146213054503363</v>
      </c>
      <c r="K26" s="424">
        <v>17.645038485427186</v>
      </c>
      <c r="L26" s="424">
        <v>4.0719319581755045</v>
      </c>
      <c r="M26" s="612">
        <v>229.38550031055428</v>
      </c>
      <c r="N26" s="612">
        <v>13.573106527251682</v>
      </c>
    </row>
    <row r="27" spans="1:14">
      <c r="A27" s="348" t="s">
        <v>497</v>
      </c>
      <c r="B27" s="611">
        <v>3398.7058744237179</v>
      </c>
      <c r="C27" s="611">
        <v>78.724017858059824</v>
      </c>
      <c r="D27" s="611">
        <v>10.858485221801345</v>
      </c>
      <c r="E27" s="588">
        <v>0</v>
      </c>
      <c r="F27" s="611">
        <v>271.46213054503471</v>
      </c>
      <c r="G27" s="611">
        <v>54.292426109006726</v>
      </c>
      <c r="H27" s="588">
        <v>42.076630234480213</v>
      </c>
      <c r="I27" s="588">
        <v>2390.2240594489549</v>
      </c>
      <c r="J27" s="588">
        <v>2.7146213054503363</v>
      </c>
      <c r="K27" s="588">
        <v>19.002349138152354</v>
      </c>
      <c r="L27" s="588">
        <v>0</v>
      </c>
      <c r="M27" s="611">
        <v>526.63653325736709</v>
      </c>
      <c r="N27" s="611">
        <v>2.7146213054503363</v>
      </c>
    </row>
    <row r="28" spans="1:14">
      <c r="A28" s="349" t="s">
        <v>497</v>
      </c>
      <c r="B28" s="612">
        <v>3398.7058744237179</v>
      </c>
      <c r="C28" s="612">
        <v>78.724017858059824</v>
      </c>
      <c r="D28" s="612">
        <v>10.858485221801345</v>
      </c>
      <c r="E28" s="424">
        <v>0</v>
      </c>
      <c r="F28" s="612">
        <v>271.46213054503471</v>
      </c>
      <c r="G28" s="612">
        <v>54.292426109006726</v>
      </c>
      <c r="H28" s="424">
        <v>42.076630234480213</v>
      </c>
      <c r="I28" s="424">
        <v>2390.2240594489549</v>
      </c>
      <c r="J28" s="424">
        <v>2.7146213054503363</v>
      </c>
      <c r="K28" s="424">
        <v>19.002349138152354</v>
      </c>
      <c r="L28" s="424">
        <v>0</v>
      </c>
      <c r="M28" s="612">
        <v>526.63653325736709</v>
      </c>
      <c r="N28" s="612">
        <v>2.7146213054503363</v>
      </c>
    </row>
    <row r="29" spans="1:14">
      <c r="A29" s="348" t="s">
        <v>498</v>
      </c>
      <c r="B29" s="611">
        <v>1102.1362500128173</v>
      </c>
      <c r="C29" s="611">
        <v>185.95155942334867</v>
      </c>
      <c r="D29" s="611">
        <v>97.726366996212278</v>
      </c>
      <c r="E29" s="588">
        <v>4.0719319581755045</v>
      </c>
      <c r="F29" s="611">
        <v>23.074281096327859</v>
      </c>
      <c r="G29" s="611">
        <v>4.0719319581755045</v>
      </c>
      <c r="H29" s="588">
        <v>16.287727832702018</v>
      </c>
      <c r="I29" s="588">
        <v>33.932766318129204</v>
      </c>
      <c r="J29" s="588">
        <v>5.4292426109006726</v>
      </c>
      <c r="K29" s="588">
        <v>2.7146213054503363</v>
      </c>
      <c r="L29" s="588">
        <v>1.3573106527251682</v>
      </c>
      <c r="M29" s="611">
        <v>704.4442287643576</v>
      </c>
      <c r="N29" s="611">
        <v>23.074281096327859</v>
      </c>
    </row>
    <row r="30" spans="1:14">
      <c r="A30" s="349" t="s">
        <v>498</v>
      </c>
      <c r="B30" s="612">
        <v>1102.1362500128173</v>
      </c>
      <c r="C30" s="612">
        <v>185.95155942334867</v>
      </c>
      <c r="D30" s="612">
        <v>97.726366996212278</v>
      </c>
      <c r="E30" s="424">
        <v>4.0719319581755045</v>
      </c>
      <c r="F30" s="612">
        <v>23.074281096327859</v>
      </c>
      <c r="G30" s="612">
        <v>4.0719319581755045</v>
      </c>
      <c r="H30" s="424">
        <v>16.287727832702018</v>
      </c>
      <c r="I30" s="424">
        <v>33.932766318129204</v>
      </c>
      <c r="J30" s="424">
        <v>5.4292426109006726</v>
      </c>
      <c r="K30" s="424">
        <v>2.7146213054503363</v>
      </c>
      <c r="L30" s="424">
        <v>1.3573106527251682</v>
      </c>
      <c r="M30" s="612">
        <v>704.4442287643576</v>
      </c>
      <c r="N30" s="612">
        <v>23.074281096327859</v>
      </c>
    </row>
  </sheetData>
  <mergeCells count="4">
    <mergeCell ref="A1:N1"/>
    <mergeCell ref="A2:A3"/>
    <mergeCell ref="B2:B3"/>
    <mergeCell ref="C2:N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30"/>
  <sheetViews>
    <sheetView zoomScale="120" zoomScaleNormal="120" workbookViewId="0">
      <selection activeCell="O25" sqref="O25"/>
    </sheetView>
  </sheetViews>
  <sheetFormatPr defaultColWidth="9.140625" defaultRowHeight="12"/>
  <cols>
    <col min="1" max="1" width="22.85546875" style="69" customWidth="1"/>
    <col min="2" max="4" width="11.140625" style="69" bestFit="1" customWidth="1"/>
    <col min="5" max="5" width="9.28515625" style="69" bestFit="1" customWidth="1"/>
    <col min="6" max="16384" width="9.140625" style="69"/>
  </cols>
  <sheetData>
    <row r="1" spans="1:5" ht="24.75" customHeight="1">
      <c r="A1" s="865" t="s">
        <v>569</v>
      </c>
      <c r="B1" s="865"/>
      <c r="C1" s="865"/>
      <c r="D1" s="865"/>
      <c r="E1" s="865"/>
    </row>
    <row r="2" spans="1:5" ht="25.5" customHeight="1">
      <c r="A2" s="832" t="s">
        <v>445</v>
      </c>
      <c r="B2" s="866" t="s">
        <v>48</v>
      </c>
      <c r="C2" s="868" t="s">
        <v>558</v>
      </c>
      <c r="D2" s="868"/>
      <c r="E2" s="868"/>
    </row>
    <row r="3" spans="1:5" ht="21.75" customHeight="1">
      <c r="A3" s="833"/>
      <c r="B3" s="867"/>
      <c r="C3" s="350" t="s">
        <v>105</v>
      </c>
      <c r="D3" s="350" t="s">
        <v>106</v>
      </c>
      <c r="E3" s="350" t="s">
        <v>107</v>
      </c>
    </row>
    <row r="4" spans="1:5">
      <c r="A4" s="351" t="s">
        <v>500</v>
      </c>
      <c r="B4" s="605">
        <v>35852.003581091936</v>
      </c>
      <c r="C4" s="605">
        <v>22296.542092321637</v>
      </c>
      <c r="D4" s="605">
        <v>13548.67493550532</v>
      </c>
      <c r="E4" s="610">
        <v>6.7865532636258408</v>
      </c>
    </row>
    <row r="5" spans="1:5">
      <c r="A5" s="352"/>
      <c r="B5" s="606"/>
      <c r="C5" s="606"/>
      <c r="D5" s="606"/>
      <c r="E5" s="611"/>
    </row>
    <row r="6" spans="1:5">
      <c r="A6" s="306" t="s">
        <v>111</v>
      </c>
      <c r="B6" s="605"/>
      <c r="C6" s="605"/>
      <c r="D6" s="605"/>
      <c r="E6" s="610"/>
    </row>
    <row r="7" spans="1:5">
      <c r="A7" s="308" t="s">
        <v>4</v>
      </c>
      <c r="B7" s="607">
        <v>13608.396604225245</v>
      </c>
      <c r="C7" s="607">
        <v>7288.7582051349773</v>
      </c>
      <c r="D7" s="607">
        <v>6312.8518458252902</v>
      </c>
      <c r="E7" s="424">
        <v>6.7865532636258408</v>
      </c>
    </row>
    <row r="8" spans="1:5" ht="13.5" customHeight="1">
      <c r="A8" s="308" t="s">
        <v>5</v>
      </c>
      <c r="B8" s="607">
        <v>22243.60697686534</v>
      </c>
      <c r="C8" s="607">
        <v>15007.783887185311</v>
      </c>
      <c r="D8" s="607">
        <v>7235.8230896786799</v>
      </c>
      <c r="E8" s="424">
        <v>0</v>
      </c>
    </row>
    <row r="9" spans="1:5">
      <c r="A9" s="306" t="s">
        <v>448</v>
      </c>
      <c r="B9" s="605"/>
      <c r="C9" s="605"/>
      <c r="D9" s="605"/>
      <c r="E9" s="592"/>
    </row>
    <row r="10" spans="1:5">
      <c r="A10" s="353" t="s">
        <v>486</v>
      </c>
      <c r="B10" s="606">
        <v>5240.5764301720874</v>
      </c>
      <c r="C10" s="606">
        <v>3591.4439871106847</v>
      </c>
      <c r="D10" s="606">
        <v>1649.13244306104</v>
      </c>
      <c r="E10" s="588">
        <v>0</v>
      </c>
    </row>
    <row r="11" spans="1:5">
      <c r="A11" s="354" t="s">
        <v>486</v>
      </c>
      <c r="B11" s="607">
        <v>5240.5764301720874</v>
      </c>
      <c r="C11" s="607">
        <v>3591.4439871106847</v>
      </c>
      <c r="D11" s="607">
        <v>1649.13244306104</v>
      </c>
      <c r="E11" s="424">
        <v>0</v>
      </c>
    </row>
    <row r="12" spans="1:5">
      <c r="A12" s="353" t="s">
        <v>487</v>
      </c>
      <c r="B12" s="606">
        <v>13317.932124541972</v>
      </c>
      <c r="C12" s="606">
        <v>8147.9358483102651</v>
      </c>
      <c r="D12" s="606">
        <v>5165.9243442721809</v>
      </c>
      <c r="E12" s="588">
        <v>4.0719319581755045</v>
      </c>
    </row>
    <row r="13" spans="1:5">
      <c r="A13" s="354" t="s">
        <v>487</v>
      </c>
      <c r="B13" s="607">
        <v>12027.129693799952</v>
      </c>
      <c r="C13" s="607">
        <v>7174.7441103060291</v>
      </c>
      <c r="D13" s="607">
        <v>4848.3136515343967</v>
      </c>
      <c r="E13" s="424">
        <v>4.0719319581755045</v>
      </c>
    </row>
    <row r="14" spans="1:5">
      <c r="A14" s="354" t="s">
        <v>488</v>
      </c>
      <c r="B14" s="607">
        <v>1290.8024307416088</v>
      </c>
      <c r="C14" s="607">
        <v>973.19173800393105</v>
      </c>
      <c r="D14" s="607">
        <v>317.61069273769067</v>
      </c>
      <c r="E14" s="424">
        <v>0</v>
      </c>
    </row>
    <row r="15" spans="1:5">
      <c r="A15" s="353" t="s">
        <v>489</v>
      </c>
      <c r="B15" s="606">
        <v>2151.3373845693341</v>
      </c>
      <c r="C15" s="606">
        <v>1225.6515194108031</v>
      </c>
      <c r="D15" s="606">
        <v>925.68586515855191</v>
      </c>
      <c r="E15" s="588">
        <v>0</v>
      </c>
    </row>
    <row r="16" spans="1:5">
      <c r="A16" s="354" t="s">
        <v>489</v>
      </c>
      <c r="B16" s="607">
        <v>1412.9603894868694</v>
      </c>
      <c r="C16" s="607">
        <v>798.09866380239077</v>
      </c>
      <c r="D16" s="607">
        <v>614.86172568449979</v>
      </c>
      <c r="E16" s="424">
        <v>0</v>
      </c>
    </row>
    <row r="17" spans="1:5">
      <c r="A17" s="354" t="s">
        <v>490</v>
      </c>
      <c r="B17" s="607">
        <v>738.37699508248556</v>
      </c>
      <c r="C17" s="607">
        <v>427.55285560842987</v>
      </c>
      <c r="D17" s="607">
        <v>310.82413947406479</v>
      </c>
      <c r="E17" s="424">
        <v>0</v>
      </c>
    </row>
    <row r="18" spans="1:5">
      <c r="A18" s="353" t="s">
        <v>491</v>
      </c>
      <c r="B18" s="606">
        <v>5442.8157174281978</v>
      </c>
      <c r="C18" s="606">
        <v>3310.4806819965852</v>
      </c>
      <c r="D18" s="606">
        <v>2130.9777247784573</v>
      </c>
      <c r="E18" s="588">
        <v>1.3573106527251682</v>
      </c>
    </row>
    <row r="19" spans="1:5">
      <c r="A19" s="354" t="s">
        <v>491</v>
      </c>
      <c r="B19" s="607">
        <v>5442.8157174281978</v>
      </c>
      <c r="C19" s="607">
        <v>3310.4806819965852</v>
      </c>
      <c r="D19" s="607">
        <v>2130.9777247784573</v>
      </c>
      <c r="E19" s="424">
        <v>1.3573106527251682</v>
      </c>
    </row>
    <row r="20" spans="1:5">
      <c r="A20" s="353" t="s">
        <v>499</v>
      </c>
      <c r="B20" s="606">
        <v>2772.9856635174383</v>
      </c>
      <c r="C20" s="606">
        <v>2038.680600393149</v>
      </c>
      <c r="D20" s="606">
        <v>734.30506312431021</v>
      </c>
      <c r="E20" s="588">
        <v>0</v>
      </c>
    </row>
    <row r="21" spans="1:5">
      <c r="A21" s="354" t="s">
        <v>492</v>
      </c>
      <c r="B21" s="607">
        <v>2772.9856635174383</v>
      </c>
      <c r="C21" s="607">
        <v>2038.680600393149</v>
      </c>
      <c r="D21" s="607">
        <v>734.30506312431021</v>
      </c>
      <c r="E21" s="424">
        <v>0</v>
      </c>
    </row>
    <row r="22" spans="1:5">
      <c r="A22" s="353" t="s">
        <v>493</v>
      </c>
      <c r="B22" s="606">
        <v>1225.6515194108031</v>
      </c>
      <c r="C22" s="606">
        <v>836.10336207869409</v>
      </c>
      <c r="D22" s="606">
        <v>388.19084667939978</v>
      </c>
      <c r="E22" s="588">
        <v>1.3573106527251682</v>
      </c>
    </row>
    <row r="23" spans="1:5">
      <c r="A23" s="354" t="s">
        <v>493</v>
      </c>
      <c r="B23" s="607">
        <v>1225.6515194108031</v>
      </c>
      <c r="C23" s="607">
        <v>836.10336207869409</v>
      </c>
      <c r="D23" s="607">
        <v>388.19084667939978</v>
      </c>
      <c r="E23" s="424">
        <v>1.3573106527251682</v>
      </c>
    </row>
    <row r="24" spans="1:5">
      <c r="A24" s="353" t="s">
        <v>494</v>
      </c>
      <c r="B24" s="606">
        <v>1199.8626170090258</v>
      </c>
      <c r="C24" s="606">
        <v>956.90401017122963</v>
      </c>
      <c r="D24" s="606">
        <v>242.95860683780603</v>
      </c>
      <c r="E24" s="588">
        <v>0</v>
      </c>
    </row>
    <row r="25" spans="1:5">
      <c r="A25" s="354" t="s">
        <v>495</v>
      </c>
      <c r="B25" s="607">
        <v>661.01028787715381</v>
      </c>
      <c r="C25" s="607">
        <v>567.35585283912064</v>
      </c>
      <c r="D25" s="607">
        <v>93.654435038036752</v>
      </c>
      <c r="E25" s="424">
        <v>0</v>
      </c>
    </row>
    <row r="26" spans="1:5">
      <c r="A26" s="354" t="s">
        <v>496</v>
      </c>
      <c r="B26" s="607">
        <v>538.85232913189316</v>
      </c>
      <c r="C26" s="607">
        <v>389.54815733212496</v>
      </c>
      <c r="D26" s="607">
        <v>149.30417179976894</v>
      </c>
      <c r="E26" s="424">
        <v>0</v>
      </c>
    </row>
    <row r="27" spans="1:5">
      <c r="A27" s="353" t="s">
        <v>497</v>
      </c>
      <c r="B27" s="606">
        <v>3398.7058744237179</v>
      </c>
      <c r="C27" s="606">
        <v>1529.6891056212296</v>
      </c>
      <c r="D27" s="606">
        <v>1869.0167688025092</v>
      </c>
      <c r="E27" s="588">
        <v>0</v>
      </c>
    </row>
    <row r="28" spans="1:5">
      <c r="A28" s="354" t="s">
        <v>497</v>
      </c>
      <c r="B28" s="607">
        <v>3398.7058744237179</v>
      </c>
      <c r="C28" s="607">
        <v>1529.6891056212296</v>
      </c>
      <c r="D28" s="607">
        <v>1869.0167688025092</v>
      </c>
      <c r="E28" s="424">
        <v>0</v>
      </c>
    </row>
    <row r="29" spans="1:5">
      <c r="A29" s="353" t="s">
        <v>498</v>
      </c>
      <c r="B29" s="606">
        <v>1102.1362500128173</v>
      </c>
      <c r="C29" s="606">
        <v>659.6529772244287</v>
      </c>
      <c r="D29" s="606">
        <v>442.48327278840679</v>
      </c>
      <c r="E29" s="588">
        <v>0</v>
      </c>
    </row>
    <row r="30" spans="1:5">
      <c r="A30" s="354" t="s">
        <v>498</v>
      </c>
      <c r="B30" s="607">
        <v>1102.1362500128173</v>
      </c>
      <c r="C30" s="607">
        <v>659.6529772244287</v>
      </c>
      <c r="D30" s="607">
        <v>442.48327278840679</v>
      </c>
      <c r="E30" s="424">
        <v>0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L30"/>
  <sheetViews>
    <sheetView zoomScale="120" zoomScaleNormal="120" workbookViewId="0">
      <selection activeCell="I3" sqref="I3"/>
    </sheetView>
  </sheetViews>
  <sheetFormatPr defaultColWidth="9.140625" defaultRowHeight="12"/>
  <cols>
    <col min="1" max="1" width="21.7109375" style="69" customWidth="1"/>
    <col min="2" max="2" width="11.140625" style="69" bestFit="1" customWidth="1"/>
    <col min="3" max="3" width="12.7109375" style="69" customWidth="1"/>
    <col min="4" max="4" width="11.140625" style="69" bestFit="1" customWidth="1"/>
    <col min="5" max="5" width="9.28515625" style="69" bestFit="1" customWidth="1"/>
    <col min="6" max="6" width="12.28515625" style="69" customWidth="1"/>
    <col min="7" max="7" width="9.28515625" style="69" bestFit="1" customWidth="1"/>
    <col min="8" max="8" width="10.28515625" style="69" bestFit="1" customWidth="1"/>
    <col min="9" max="9" width="9.28515625" style="69" bestFit="1" customWidth="1"/>
    <col min="10" max="10" width="10.28515625" style="69" bestFit="1" customWidth="1"/>
    <col min="11" max="11" width="9.28515625" style="69" bestFit="1" customWidth="1"/>
    <col min="12" max="12" width="10.28515625" style="69" bestFit="1" customWidth="1"/>
    <col min="13" max="16384" width="9.140625" style="69"/>
  </cols>
  <sheetData>
    <row r="1" spans="1:12" ht="12" customHeight="1">
      <c r="A1" s="869" t="s">
        <v>321</v>
      </c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</row>
    <row r="2" spans="1:12" ht="15" customHeight="1">
      <c r="A2" s="832" t="s">
        <v>445</v>
      </c>
      <c r="B2" s="870" t="s">
        <v>48</v>
      </c>
      <c r="C2" s="355"/>
      <c r="D2" s="870" t="s">
        <v>323</v>
      </c>
      <c r="E2" s="870"/>
      <c r="F2" s="870"/>
      <c r="G2" s="870"/>
      <c r="H2" s="870"/>
      <c r="I2" s="870"/>
      <c r="J2" s="870"/>
      <c r="K2" s="870"/>
      <c r="L2" s="870"/>
    </row>
    <row r="3" spans="1:12" ht="70.5" customHeight="1">
      <c r="A3" s="833"/>
      <c r="B3" s="871"/>
      <c r="C3" s="356" t="s">
        <v>322</v>
      </c>
      <c r="D3" s="356" t="s">
        <v>324</v>
      </c>
      <c r="E3" s="356" t="s">
        <v>325</v>
      </c>
      <c r="F3" s="356" t="s">
        <v>326</v>
      </c>
      <c r="G3" s="356" t="s">
        <v>327</v>
      </c>
      <c r="H3" s="356" t="s">
        <v>328</v>
      </c>
      <c r="I3" s="356" t="s">
        <v>329</v>
      </c>
      <c r="J3" s="356" t="s">
        <v>330</v>
      </c>
      <c r="K3" s="356" t="s">
        <v>331</v>
      </c>
      <c r="L3" s="356" t="s">
        <v>332</v>
      </c>
    </row>
    <row r="4" spans="1:12">
      <c r="A4" s="357" t="s">
        <v>500</v>
      </c>
      <c r="B4" s="610">
        <v>35852.003581091936</v>
      </c>
      <c r="C4" s="610">
        <v>22296.542092321637</v>
      </c>
      <c r="D4" s="610">
        <v>11273.822281537259</v>
      </c>
      <c r="E4" s="610">
        <v>35.290076970854372</v>
      </c>
      <c r="F4" s="610">
        <v>2246.3491302600924</v>
      </c>
      <c r="G4" s="610">
        <v>9.5011745690761771</v>
      </c>
      <c r="H4" s="610">
        <v>5341.0174184737798</v>
      </c>
      <c r="I4" s="610">
        <v>256.53171336505778</v>
      </c>
      <c r="J4" s="610">
        <v>1562.2645612866324</v>
      </c>
      <c r="K4" s="610">
        <v>109.94216287073885</v>
      </c>
      <c r="L4" s="610">
        <v>1461.8235729849737</v>
      </c>
    </row>
    <row r="5" spans="1:12">
      <c r="A5" s="358"/>
      <c r="B5" s="611"/>
      <c r="C5" s="611"/>
      <c r="D5" s="611"/>
      <c r="E5" s="611"/>
      <c r="F5" s="611"/>
      <c r="G5" s="611"/>
      <c r="H5" s="611"/>
      <c r="I5" s="611"/>
      <c r="J5" s="611"/>
      <c r="K5" s="611"/>
      <c r="L5" s="611"/>
    </row>
    <row r="6" spans="1:12">
      <c r="A6" s="306" t="s">
        <v>111</v>
      </c>
      <c r="B6" s="610"/>
      <c r="C6" s="610"/>
      <c r="D6" s="610"/>
      <c r="E6" s="610"/>
      <c r="F6" s="610"/>
      <c r="G6" s="610"/>
      <c r="H6" s="610"/>
      <c r="I6" s="610"/>
      <c r="J6" s="610"/>
      <c r="K6" s="610"/>
      <c r="L6" s="610"/>
    </row>
    <row r="7" spans="1:12">
      <c r="A7" s="308" t="s">
        <v>4</v>
      </c>
      <c r="B7" s="612">
        <v>13608.396604225245</v>
      </c>
      <c r="C7" s="612">
        <v>7288.7582051349773</v>
      </c>
      <c r="D7" s="612">
        <v>2187.9847721929123</v>
      </c>
      <c r="E7" s="612">
        <v>20.359659790877522</v>
      </c>
      <c r="F7" s="612">
        <v>1294.8743626997841</v>
      </c>
      <c r="G7" s="612">
        <v>6.7865532636258408</v>
      </c>
      <c r="H7" s="612">
        <v>2052.2537069204004</v>
      </c>
      <c r="I7" s="612">
        <v>173.73576354882209</v>
      </c>
      <c r="J7" s="612">
        <v>780.45362531696424</v>
      </c>
      <c r="K7" s="612">
        <v>35.290076970854372</v>
      </c>
      <c r="L7" s="612">
        <v>737.01968442976045</v>
      </c>
    </row>
    <row r="8" spans="1:12" ht="15" customHeight="1">
      <c r="A8" s="308" t="s">
        <v>5</v>
      </c>
      <c r="B8" s="612">
        <v>22243.60697686534</v>
      </c>
      <c r="C8" s="612">
        <v>15007.783887185311</v>
      </c>
      <c r="D8" s="612">
        <v>9085.8375093436352</v>
      </c>
      <c r="E8" s="612">
        <v>14.93041717997685</v>
      </c>
      <c r="F8" s="612">
        <v>951.47476756032916</v>
      </c>
      <c r="G8" s="612">
        <v>2.7146213054503363</v>
      </c>
      <c r="H8" s="612">
        <v>3288.7637115529833</v>
      </c>
      <c r="I8" s="612">
        <v>82.79594981623535</v>
      </c>
      <c r="J8" s="612">
        <v>781.81093596968935</v>
      </c>
      <c r="K8" s="612">
        <v>74.652085899884298</v>
      </c>
      <c r="L8" s="612">
        <v>724.80388855523438</v>
      </c>
    </row>
    <row r="9" spans="1:12" s="72" customFormat="1">
      <c r="A9" s="306" t="s">
        <v>448</v>
      </c>
      <c r="B9" s="610"/>
      <c r="C9" s="610"/>
      <c r="D9" s="610"/>
      <c r="E9" s="610"/>
      <c r="F9" s="610"/>
      <c r="G9" s="610"/>
      <c r="H9" s="610"/>
      <c r="I9" s="610"/>
      <c r="J9" s="610"/>
      <c r="K9" s="610"/>
      <c r="L9" s="610"/>
    </row>
    <row r="10" spans="1:12">
      <c r="A10" s="359" t="s">
        <v>486</v>
      </c>
      <c r="B10" s="611">
        <v>5240.5764301720874</v>
      </c>
      <c r="C10" s="611">
        <v>3591.4439871106847</v>
      </c>
      <c r="D10" s="611">
        <v>2566.6744443032203</v>
      </c>
      <c r="E10" s="588">
        <v>4.0719319581755045</v>
      </c>
      <c r="F10" s="588">
        <v>138.44568657796754</v>
      </c>
      <c r="G10" s="588">
        <v>1.3573106527251682</v>
      </c>
      <c r="H10" s="611">
        <v>344.75690579219417</v>
      </c>
      <c r="I10" s="611">
        <v>69.222843288983597</v>
      </c>
      <c r="J10" s="611">
        <v>192.73811268697455</v>
      </c>
      <c r="K10" s="611">
        <v>2.7146213054503363</v>
      </c>
      <c r="L10" s="611">
        <v>271.46213054503471</v>
      </c>
    </row>
    <row r="11" spans="1:12" s="72" customFormat="1">
      <c r="A11" s="360" t="s">
        <v>486</v>
      </c>
      <c r="B11" s="612">
        <v>5240.5764301720874</v>
      </c>
      <c r="C11" s="612">
        <v>3591.4439871106847</v>
      </c>
      <c r="D11" s="612">
        <v>2566.6744443032203</v>
      </c>
      <c r="E11" s="424">
        <v>4.0719319581755045</v>
      </c>
      <c r="F11" s="424">
        <v>138.44568657796754</v>
      </c>
      <c r="G11" s="424">
        <v>1.3573106527251682</v>
      </c>
      <c r="H11" s="612">
        <v>344.75690579219417</v>
      </c>
      <c r="I11" s="612">
        <v>69.222843288983597</v>
      </c>
      <c r="J11" s="612">
        <v>192.73811268697455</v>
      </c>
      <c r="K11" s="612">
        <v>2.7146213054503363</v>
      </c>
      <c r="L11" s="612">
        <v>271.46213054503471</v>
      </c>
    </row>
    <row r="12" spans="1:12">
      <c r="A12" s="359" t="s">
        <v>487</v>
      </c>
      <c r="B12" s="611">
        <v>13317.932124541972</v>
      </c>
      <c r="C12" s="611">
        <v>8147.9358483102651</v>
      </c>
      <c r="D12" s="611">
        <v>2269.4234113564194</v>
      </c>
      <c r="E12" s="588">
        <v>13.573106527251682</v>
      </c>
      <c r="F12" s="588">
        <v>1532.4037269266798</v>
      </c>
      <c r="G12" s="588">
        <v>8.1438639163510089</v>
      </c>
      <c r="H12" s="611">
        <v>2411.9410298925568</v>
      </c>
      <c r="I12" s="611">
        <v>104.51292025983815</v>
      </c>
      <c r="J12" s="611">
        <v>1182.2175785235993</v>
      </c>
      <c r="K12" s="611">
        <v>66.508221983533247</v>
      </c>
      <c r="L12" s="611">
        <v>559.21198892276993</v>
      </c>
    </row>
    <row r="13" spans="1:12">
      <c r="A13" s="360" t="s">
        <v>487</v>
      </c>
      <c r="B13" s="612">
        <v>12027.129693799952</v>
      </c>
      <c r="C13" s="612">
        <v>7174.7441103060291</v>
      </c>
      <c r="D13" s="612">
        <v>2090.2584051967037</v>
      </c>
      <c r="E13" s="424">
        <v>13.573106527251682</v>
      </c>
      <c r="F13" s="424">
        <v>1399.3872829596182</v>
      </c>
      <c r="G13" s="424">
        <v>8.1438639163510089</v>
      </c>
      <c r="H13" s="612">
        <v>1927.3811268696893</v>
      </c>
      <c r="I13" s="612">
        <v>90.939813732586401</v>
      </c>
      <c r="J13" s="612">
        <v>1058.7023091256135</v>
      </c>
      <c r="K13" s="612">
        <v>31.218145012678868</v>
      </c>
      <c r="L13" s="612">
        <v>555.14005696459458</v>
      </c>
    </row>
    <row r="14" spans="1:12" s="72" customFormat="1">
      <c r="A14" s="360" t="s">
        <v>488</v>
      </c>
      <c r="B14" s="612">
        <v>1290.8024307416088</v>
      </c>
      <c r="C14" s="612">
        <v>973.19173800393105</v>
      </c>
      <c r="D14" s="612">
        <v>179.16500615972279</v>
      </c>
      <c r="E14" s="424">
        <v>0</v>
      </c>
      <c r="F14" s="424">
        <v>133.01644396706683</v>
      </c>
      <c r="G14" s="424">
        <v>0</v>
      </c>
      <c r="H14" s="612">
        <v>484.55990302288723</v>
      </c>
      <c r="I14" s="612">
        <v>13.573106527251682</v>
      </c>
      <c r="J14" s="612">
        <v>123.51526939799061</v>
      </c>
      <c r="K14" s="612">
        <v>35.290076970854372</v>
      </c>
      <c r="L14" s="612">
        <v>4.0719319581755045</v>
      </c>
    </row>
    <row r="15" spans="1:12">
      <c r="A15" s="359" t="s">
        <v>489</v>
      </c>
      <c r="B15" s="611">
        <v>2151.3373845693341</v>
      </c>
      <c r="C15" s="611">
        <v>1225.6515194108031</v>
      </c>
      <c r="D15" s="611">
        <v>936.54435038035285</v>
      </c>
      <c r="E15" s="588">
        <v>2.7146213054503363</v>
      </c>
      <c r="F15" s="588">
        <v>31.218145012678868</v>
      </c>
      <c r="G15" s="588">
        <v>0</v>
      </c>
      <c r="H15" s="588">
        <v>10.858485221801345</v>
      </c>
      <c r="I15" s="588">
        <v>1.3573106527251682</v>
      </c>
      <c r="J15" s="588">
        <v>0</v>
      </c>
      <c r="K15" s="588">
        <v>0</v>
      </c>
      <c r="L15" s="611">
        <v>242.95860683780603</v>
      </c>
    </row>
    <row r="16" spans="1:12" s="72" customFormat="1">
      <c r="A16" s="360" t="s">
        <v>489</v>
      </c>
      <c r="B16" s="612">
        <v>1412.9603894868694</v>
      </c>
      <c r="C16" s="612">
        <v>798.09866380239077</v>
      </c>
      <c r="D16" s="612">
        <v>597.21668719907325</v>
      </c>
      <c r="E16" s="424">
        <v>2.7146213054503363</v>
      </c>
      <c r="F16" s="424">
        <v>19.002349138152354</v>
      </c>
      <c r="G16" s="424">
        <v>0</v>
      </c>
      <c r="H16" s="424">
        <v>6.7865532636258408</v>
      </c>
      <c r="I16" s="424">
        <v>1.3573106527251682</v>
      </c>
      <c r="J16" s="424">
        <v>0</v>
      </c>
      <c r="K16" s="424">
        <v>0</v>
      </c>
      <c r="L16" s="612">
        <v>171.02114224337174</v>
      </c>
    </row>
    <row r="17" spans="1:12">
      <c r="A17" s="360" t="s">
        <v>490</v>
      </c>
      <c r="B17" s="612">
        <v>738.37699508248556</v>
      </c>
      <c r="C17" s="612">
        <v>427.55285560842987</v>
      </c>
      <c r="D17" s="612">
        <v>339.32766318129347</v>
      </c>
      <c r="E17" s="424">
        <v>0</v>
      </c>
      <c r="F17" s="424">
        <v>12.215795874526513</v>
      </c>
      <c r="G17" s="424">
        <v>0</v>
      </c>
      <c r="H17" s="424">
        <v>4.0719319581755045</v>
      </c>
      <c r="I17" s="424">
        <v>0</v>
      </c>
      <c r="J17" s="424">
        <v>0</v>
      </c>
      <c r="K17" s="424">
        <v>0</v>
      </c>
      <c r="L17" s="612">
        <v>71.937464594433948</v>
      </c>
    </row>
    <row r="18" spans="1:12" s="72" customFormat="1">
      <c r="A18" s="359" t="s">
        <v>491</v>
      </c>
      <c r="B18" s="611">
        <v>5442.8157174281978</v>
      </c>
      <c r="C18" s="611">
        <v>3310.4806819965852</v>
      </c>
      <c r="D18" s="611">
        <v>1693.9236946009689</v>
      </c>
      <c r="E18" s="588">
        <v>5.4292426109006726</v>
      </c>
      <c r="F18" s="588">
        <v>377.33236145759838</v>
      </c>
      <c r="G18" s="588">
        <v>0</v>
      </c>
      <c r="H18" s="611">
        <v>844.2472259950448</v>
      </c>
      <c r="I18" s="611">
        <v>52.935115456281558</v>
      </c>
      <c r="J18" s="611">
        <v>58.364358067182231</v>
      </c>
      <c r="K18" s="611">
        <v>31.218145012678868</v>
      </c>
      <c r="L18" s="611">
        <v>247.03053879598156</v>
      </c>
    </row>
    <row r="19" spans="1:12">
      <c r="A19" s="360" t="s">
        <v>491</v>
      </c>
      <c r="B19" s="612">
        <v>5442.8157174281978</v>
      </c>
      <c r="C19" s="612">
        <v>3310.4806819965852</v>
      </c>
      <c r="D19" s="612">
        <v>1693.9236946009689</v>
      </c>
      <c r="E19" s="424">
        <v>5.4292426109006726</v>
      </c>
      <c r="F19" s="424">
        <v>377.33236145759838</v>
      </c>
      <c r="G19" s="424">
        <v>0</v>
      </c>
      <c r="H19" s="612">
        <v>844.2472259950448</v>
      </c>
      <c r="I19" s="612">
        <v>52.935115456281558</v>
      </c>
      <c r="J19" s="612">
        <v>58.364358067182231</v>
      </c>
      <c r="K19" s="612">
        <v>31.218145012678868</v>
      </c>
      <c r="L19" s="612">
        <v>247.03053879598156</v>
      </c>
    </row>
    <row r="20" spans="1:12" s="72" customFormat="1">
      <c r="A20" s="359" t="s">
        <v>499</v>
      </c>
      <c r="B20" s="611">
        <v>2772.9856635174383</v>
      </c>
      <c r="C20" s="611">
        <v>2038.680600393149</v>
      </c>
      <c r="D20" s="611">
        <v>564.64123153367041</v>
      </c>
      <c r="E20" s="588">
        <v>4.0719319581755045</v>
      </c>
      <c r="F20" s="588">
        <v>28.503523707228531</v>
      </c>
      <c r="G20" s="588">
        <v>0</v>
      </c>
      <c r="H20" s="611">
        <v>1342.3802355451633</v>
      </c>
      <c r="I20" s="611">
        <v>19.002349138152354</v>
      </c>
      <c r="J20" s="611">
        <v>69.222843288983597</v>
      </c>
      <c r="K20" s="611">
        <v>2.7146213054503363</v>
      </c>
      <c r="L20" s="611">
        <v>8.1438639163510089</v>
      </c>
    </row>
    <row r="21" spans="1:12">
      <c r="A21" s="360" t="s">
        <v>492</v>
      </c>
      <c r="B21" s="612">
        <v>2772.9856635174383</v>
      </c>
      <c r="C21" s="612">
        <v>2038.680600393149</v>
      </c>
      <c r="D21" s="612">
        <v>564.64123153367041</v>
      </c>
      <c r="E21" s="424">
        <v>4.0719319581755045</v>
      </c>
      <c r="F21" s="424">
        <v>28.503523707228531</v>
      </c>
      <c r="G21" s="424">
        <v>0</v>
      </c>
      <c r="H21" s="612">
        <v>1342.3802355451633</v>
      </c>
      <c r="I21" s="612">
        <v>19.002349138152354</v>
      </c>
      <c r="J21" s="612">
        <v>69.222843288983597</v>
      </c>
      <c r="K21" s="612">
        <v>2.7146213054503363</v>
      </c>
      <c r="L21" s="612">
        <v>8.1438639163510089</v>
      </c>
    </row>
    <row r="22" spans="1:12">
      <c r="A22" s="359" t="s">
        <v>493</v>
      </c>
      <c r="B22" s="611">
        <v>1225.6515194108031</v>
      </c>
      <c r="C22" s="611">
        <v>836.10336207869409</v>
      </c>
      <c r="D22" s="611">
        <v>563.28392088094529</v>
      </c>
      <c r="E22" s="588">
        <v>1.3573106527251682</v>
      </c>
      <c r="F22" s="588">
        <v>65.150911330808071</v>
      </c>
      <c r="G22" s="588">
        <v>0</v>
      </c>
      <c r="H22" s="611">
        <v>173.73576354882209</v>
      </c>
      <c r="I22" s="588">
        <v>0</v>
      </c>
      <c r="J22" s="588">
        <v>0</v>
      </c>
      <c r="K22" s="588">
        <v>1.3573106527251682</v>
      </c>
      <c r="L22" s="611">
        <v>31.218145012678868</v>
      </c>
    </row>
    <row r="23" spans="1:12" s="72" customFormat="1">
      <c r="A23" s="360" t="s">
        <v>493</v>
      </c>
      <c r="B23" s="612">
        <v>1225.6515194108031</v>
      </c>
      <c r="C23" s="612">
        <v>836.10336207869409</v>
      </c>
      <c r="D23" s="612">
        <v>563.28392088094529</v>
      </c>
      <c r="E23" s="424">
        <v>1.3573106527251682</v>
      </c>
      <c r="F23" s="424">
        <v>65.150911330808071</v>
      </c>
      <c r="G23" s="424">
        <v>0</v>
      </c>
      <c r="H23" s="612">
        <v>173.73576354882209</v>
      </c>
      <c r="I23" s="424">
        <v>0</v>
      </c>
      <c r="J23" s="424">
        <v>0</v>
      </c>
      <c r="K23" s="424">
        <v>1.3573106527251682</v>
      </c>
      <c r="L23" s="612">
        <v>31.218145012678868</v>
      </c>
    </row>
    <row r="24" spans="1:12">
      <c r="A24" s="359" t="s">
        <v>494</v>
      </c>
      <c r="B24" s="611">
        <v>1199.8626170090258</v>
      </c>
      <c r="C24" s="611">
        <v>956.90401017122963</v>
      </c>
      <c r="D24" s="611">
        <v>880.894613618623</v>
      </c>
      <c r="E24" s="588">
        <v>0</v>
      </c>
      <c r="F24" s="588">
        <v>5.4292426109006726</v>
      </c>
      <c r="G24" s="588">
        <v>0</v>
      </c>
      <c r="H24" s="611">
        <v>51.57780480355639</v>
      </c>
      <c r="I24" s="588">
        <v>5.4292426109006726</v>
      </c>
      <c r="J24" s="588">
        <v>1.3573106527251682</v>
      </c>
      <c r="K24" s="588">
        <v>0</v>
      </c>
      <c r="L24" s="611">
        <v>12.215795874526513</v>
      </c>
    </row>
    <row r="25" spans="1:12" s="72" customFormat="1" ht="15" customHeight="1">
      <c r="A25" s="360" t="s">
        <v>495</v>
      </c>
      <c r="B25" s="612">
        <v>661.01028787715381</v>
      </c>
      <c r="C25" s="612">
        <v>567.35585283912064</v>
      </c>
      <c r="D25" s="612">
        <v>503.56225216103968</v>
      </c>
      <c r="E25" s="424">
        <v>0</v>
      </c>
      <c r="F25" s="424">
        <v>2.7146213054503363</v>
      </c>
      <c r="G25" s="424">
        <v>0</v>
      </c>
      <c r="H25" s="612">
        <v>44.791251539930549</v>
      </c>
      <c r="I25" s="424">
        <v>2.7146213054503363</v>
      </c>
      <c r="J25" s="424">
        <v>1.3573106527251682</v>
      </c>
      <c r="K25" s="424">
        <v>0</v>
      </c>
      <c r="L25" s="424">
        <v>12.215795874526513</v>
      </c>
    </row>
    <row r="26" spans="1:12" ht="13.5" customHeight="1">
      <c r="A26" s="360" t="s">
        <v>496</v>
      </c>
      <c r="B26" s="612">
        <v>538.85232913189316</v>
      </c>
      <c r="C26" s="612">
        <v>389.54815733212496</v>
      </c>
      <c r="D26" s="612">
        <v>377.33236145759838</v>
      </c>
      <c r="E26" s="424">
        <v>0</v>
      </c>
      <c r="F26" s="424">
        <v>2.7146213054503363</v>
      </c>
      <c r="G26" s="424">
        <v>0</v>
      </c>
      <c r="H26" s="612">
        <v>6.7865532636258408</v>
      </c>
      <c r="I26" s="424">
        <v>2.7146213054503363</v>
      </c>
      <c r="J26" s="424">
        <v>0</v>
      </c>
      <c r="K26" s="424">
        <v>0</v>
      </c>
      <c r="L26" s="424">
        <v>0</v>
      </c>
    </row>
    <row r="27" spans="1:12" s="72" customFormat="1">
      <c r="A27" s="359" t="s">
        <v>497</v>
      </c>
      <c r="B27" s="611">
        <v>3398.7058744237179</v>
      </c>
      <c r="C27" s="611">
        <v>1529.6891056212296</v>
      </c>
      <c r="D27" s="611">
        <v>1269.0854602980069</v>
      </c>
      <c r="E27" s="588">
        <v>0</v>
      </c>
      <c r="F27" s="588">
        <v>57.007047414457062</v>
      </c>
      <c r="G27" s="588">
        <v>0</v>
      </c>
      <c r="H27" s="611">
        <v>137.08837592524236</v>
      </c>
      <c r="I27" s="588">
        <v>2.7146213054503363</v>
      </c>
      <c r="J27" s="588">
        <v>47.505872845380885</v>
      </c>
      <c r="K27" s="588">
        <v>4.0719319581755045</v>
      </c>
      <c r="L27" s="588">
        <v>12.215795874526513</v>
      </c>
    </row>
    <row r="28" spans="1:12">
      <c r="A28" s="360" t="s">
        <v>497</v>
      </c>
      <c r="B28" s="612">
        <v>3398.7058744237179</v>
      </c>
      <c r="C28" s="612">
        <v>1529.6891056212296</v>
      </c>
      <c r="D28" s="612">
        <v>1269.0854602980069</v>
      </c>
      <c r="E28" s="424">
        <v>0</v>
      </c>
      <c r="F28" s="424">
        <v>57.007047414457062</v>
      </c>
      <c r="G28" s="424">
        <v>0</v>
      </c>
      <c r="H28" s="612">
        <v>137.08837592524236</v>
      </c>
      <c r="I28" s="612">
        <v>2.7146213054503363</v>
      </c>
      <c r="J28" s="612">
        <v>47.505872845380885</v>
      </c>
      <c r="K28" s="612">
        <v>4.0719319581755045</v>
      </c>
      <c r="L28" s="612">
        <v>12.215795874526513</v>
      </c>
    </row>
    <row r="29" spans="1:12" s="72" customFormat="1">
      <c r="A29" s="359" t="s">
        <v>498</v>
      </c>
      <c r="B29" s="611">
        <v>1102.1362500128173</v>
      </c>
      <c r="C29" s="611">
        <v>659.6529772244287</v>
      </c>
      <c r="D29" s="611">
        <v>529.35115456281733</v>
      </c>
      <c r="E29" s="588">
        <v>4.0719319581755045</v>
      </c>
      <c r="F29" s="588">
        <v>10.858485221801345</v>
      </c>
      <c r="G29" s="588">
        <v>0</v>
      </c>
      <c r="H29" s="611">
        <v>24.431591749053027</v>
      </c>
      <c r="I29" s="611">
        <v>1.3573106527251682</v>
      </c>
      <c r="J29" s="611">
        <v>10.858485221801345</v>
      </c>
      <c r="K29" s="611">
        <v>1.3573106527251682</v>
      </c>
      <c r="L29" s="611">
        <v>77.366707205334649</v>
      </c>
    </row>
    <row r="30" spans="1:12">
      <c r="A30" s="360" t="s">
        <v>498</v>
      </c>
      <c r="B30" s="612">
        <v>1102.1362500128173</v>
      </c>
      <c r="C30" s="612">
        <v>659.6529772244287</v>
      </c>
      <c r="D30" s="612">
        <v>529.35115456281733</v>
      </c>
      <c r="E30" s="424">
        <v>4.0719319581755045</v>
      </c>
      <c r="F30" s="424">
        <v>10.858485221801345</v>
      </c>
      <c r="G30" s="424">
        <v>0</v>
      </c>
      <c r="H30" s="612">
        <v>24.431591749053027</v>
      </c>
      <c r="I30" s="612">
        <v>1.3573106527251682</v>
      </c>
      <c r="J30" s="612">
        <v>10.858485221801345</v>
      </c>
      <c r="K30" s="612">
        <v>1.3573106527251682</v>
      </c>
      <c r="L30" s="612">
        <v>77.366707205334649</v>
      </c>
    </row>
  </sheetData>
  <mergeCells count="4">
    <mergeCell ref="A1:L1"/>
    <mergeCell ref="A2:A3"/>
    <mergeCell ref="B2:B3"/>
    <mergeCell ref="D2:L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30"/>
  <sheetViews>
    <sheetView zoomScale="120" zoomScaleNormal="120" workbookViewId="0">
      <selection activeCell="B4" sqref="B4"/>
    </sheetView>
  </sheetViews>
  <sheetFormatPr defaultColWidth="9.140625" defaultRowHeight="12"/>
  <cols>
    <col min="1" max="1" width="22" style="69" customWidth="1"/>
    <col min="2" max="2" width="13.140625" style="69" customWidth="1"/>
    <col min="3" max="3" width="10.5703125" style="69" bestFit="1" customWidth="1"/>
    <col min="4" max="4" width="18" style="69" customWidth="1"/>
    <col min="5" max="16384" width="9.140625" style="69"/>
  </cols>
  <sheetData>
    <row r="1" spans="1:4" ht="29.25" customHeight="1">
      <c r="A1" s="872" t="s">
        <v>318</v>
      </c>
      <c r="B1" s="872"/>
      <c r="C1" s="872"/>
      <c r="D1" s="872"/>
    </row>
    <row r="2" spans="1:4" ht="27" customHeight="1">
      <c r="A2" s="832" t="s">
        <v>445</v>
      </c>
      <c r="B2" s="806" t="s">
        <v>85</v>
      </c>
      <c r="C2" s="806" t="s">
        <v>319</v>
      </c>
      <c r="D2" s="806"/>
    </row>
    <row r="3" spans="1:4" ht="21.75" customHeight="1">
      <c r="A3" s="833"/>
      <c r="B3" s="807"/>
      <c r="C3" s="286" t="s">
        <v>105</v>
      </c>
      <c r="D3" s="286" t="s">
        <v>106</v>
      </c>
    </row>
    <row r="4" spans="1:4">
      <c r="A4" s="287" t="s">
        <v>500</v>
      </c>
      <c r="B4" s="175">
        <v>35852.003581091936</v>
      </c>
      <c r="C4" s="175">
        <v>4090.9343073135283</v>
      </c>
      <c r="D4" s="175">
        <v>31761.069273777059</v>
      </c>
    </row>
    <row r="5" spans="1:4">
      <c r="A5" s="288"/>
      <c r="B5" s="21"/>
      <c r="C5" s="21"/>
      <c r="D5" s="21"/>
    </row>
    <row r="6" spans="1:4">
      <c r="A6" s="306" t="s">
        <v>111</v>
      </c>
      <c r="B6" s="175"/>
      <c r="C6" s="175"/>
      <c r="D6" s="175"/>
    </row>
    <row r="7" spans="1:4">
      <c r="A7" s="308" t="s">
        <v>4</v>
      </c>
      <c r="B7" s="21">
        <v>13608.396604225245</v>
      </c>
      <c r="C7" s="21">
        <v>913.47006928402584</v>
      </c>
      <c r="D7" s="21">
        <v>12694.926534940934</v>
      </c>
    </row>
    <row r="8" spans="1:4" ht="14.25" customHeight="1">
      <c r="A8" s="308" t="s">
        <v>5</v>
      </c>
      <c r="B8" s="21">
        <v>22243.60697686534</v>
      </c>
      <c r="C8" s="21">
        <v>3177.4642380295236</v>
      </c>
      <c r="D8" s="21">
        <v>19066.142738834773</v>
      </c>
    </row>
    <row r="9" spans="1:4">
      <c r="A9" s="306" t="s">
        <v>448</v>
      </c>
      <c r="B9" s="175"/>
      <c r="C9" s="175"/>
      <c r="D9" s="175"/>
    </row>
    <row r="10" spans="1:4">
      <c r="A10" s="361" t="s">
        <v>486</v>
      </c>
      <c r="B10" s="22">
        <v>5240.5764301720874</v>
      </c>
      <c r="C10" s="22">
        <v>1084.4912115273908</v>
      </c>
      <c r="D10" s="22">
        <v>4156.0852186443544</v>
      </c>
    </row>
    <row r="11" spans="1:4">
      <c r="A11" s="289" t="s">
        <v>486</v>
      </c>
      <c r="B11" s="21">
        <v>5240.5764301720874</v>
      </c>
      <c r="C11" s="21">
        <v>1084.4912115273908</v>
      </c>
      <c r="D11" s="21">
        <v>4156.0852186443544</v>
      </c>
    </row>
    <row r="12" spans="1:4">
      <c r="A12" s="361" t="s">
        <v>487</v>
      </c>
      <c r="B12" s="22">
        <v>13317.932124541972</v>
      </c>
      <c r="C12" s="22">
        <v>561.92661022822017</v>
      </c>
      <c r="D12" s="22">
        <v>12756.005514313585</v>
      </c>
    </row>
    <row r="13" spans="1:4">
      <c r="A13" s="289" t="s">
        <v>487</v>
      </c>
      <c r="B13" s="21">
        <v>12027.129693799952</v>
      </c>
      <c r="C13" s="21">
        <v>373.26042949942286</v>
      </c>
      <c r="D13" s="21">
        <v>11653.86926430042</v>
      </c>
    </row>
    <row r="14" spans="1:4">
      <c r="A14" s="289" t="s">
        <v>488</v>
      </c>
      <c r="B14" s="21">
        <v>1290.8024307416088</v>
      </c>
      <c r="C14" s="21">
        <v>188.66618072879902</v>
      </c>
      <c r="D14" s="21">
        <v>1102.1362500128173</v>
      </c>
    </row>
    <row r="15" spans="1:4">
      <c r="A15" s="361" t="s">
        <v>489</v>
      </c>
      <c r="B15" s="22">
        <v>2151.3373845693341</v>
      </c>
      <c r="C15" s="22">
        <v>255.17440271233261</v>
      </c>
      <c r="D15" s="22">
        <v>1896.1629818570116</v>
      </c>
    </row>
    <row r="16" spans="1:4">
      <c r="A16" s="289" t="s">
        <v>489</v>
      </c>
      <c r="B16" s="21">
        <v>1412.9603894868694</v>
      </c>
      <c r="C16" s="21">
        <v>169.66383159064657</v>
      </c>
      <c r="D16" s="21">
        <v>1243.2965578962296</v>
      </c>
    </row>
    <row r="17" spans="1:4">
      <c r="A17" s="289" t="s">
        <v>490</v>
      </c>
      <c r="B17" s="21">
        <v>738.37699508248556</v>
      </c>
      <c r="C17" s="21">
        <v>85.5105711216857</v>
      </c>
      <c r="D17" s="21">
        <v>652.8664239608031</v>
      </c>
    </row>
    <row r="18" spans="1:4">
      <c r="A18" s="361" t="s">
        <v>491</v>
      </c>
      <c r="B18" s="22">
        <v>5442.8157174281978</v>
      </c>
      <c r="C18" s="22">
        <v>560.56929957549505</v>
      </c>
      <c r="D18" s="22">
        <v>4882.2464178525361</v>
      </c>
    </row>
    <row r="19" spans="1:4">
      <c r="A19" s="289" t="s">
        <v>491</v>
      </c>
      <c r="B19" s="21">
        <v>5442.8157174281978</v>
      </c>
      <c r="C19" s="21">
        <v>560.56929957549505</v>
      </c>
      <c r="D19" s="21">
        <v>4882.2464178525361</v>
      </c>
    </row>
    <row r="20" spans="1:4">
      <c r="A20" s="361" t="s">
        <v>499</v>
      </c>
      <c r="B20" s="22">
        <v>2772.9856635174383</v>
      </c>
      <c r="C20" s="22">
        <v>772.30976140061352</v>
      </c>
      <c r="D20" s="22">
        <v>2000.6759021168457</v>
      </c>
    </row>
    <row r="21" spans="1:4">
      <c r="A21" s="289" t="s">
        <v>492</v>
      </c>
      <c r="B21" s="21">
        <v>2772.9856635174383</v>
      </c>
      <c r="C21" s="21">
        <v>772.30976140061352</v>
      </c>
      <c r="D21" s="21">
        <v>2000.6759021168457</v>
      </c>
    </row>
    <row r="22" spans="1:4">
      <c r="A22" s="361" t="s">
        <v>493</v>
      </c>
      <c r="B22" s="22">
        <v>1225.6515194108031</v>
      </c>
      <c r="C22" s="22">
        <v>253.81709205960743</v>
      </c>
      <c r="D22" s="22">
        <v>971.83442735120593</v>
      </c>
    </row>
    <row r="23" spans="1:4">
      <c r="A23" s="289" t="s">
        <v>493</v>
      </c>
      <c r="B23" s="21">
        <v>1225.6515194108031</v>
      </c>
      <c r="C23" s="21">
        <v>253.81709205960743</v>
      </c>
      <c r="D23" s="21">
        <v>971.83442735120593</v>
      </c>
    </row>
    <row r="24" spans="1:4">
      <c r="A24" s="361" t="s">
        <v>494</v>
      </c>
      <c r="B24" s="22">
        <v>1199.8626170090258</v>
      </c>
      <c r="C24" s="22">
        <v>169.66383159064657</v>
      </c>
      <c r="D24" s="22">
        <v>1030.198785418386</v>
      </c>
    </row>
    <row r="25" spans="1:4">
      <c r="A25" s="289" t="s">
        <v>495</v>
      </c>
      <c r="B25" s="21">
        <v>661.01028787715381</v>
      </c>
      <c r="C25" s="21">
        <v>58.364358067182231</v>
      </c>
      <c r="D25" s="21">
        <v>602.64592980997372</v>
      </c>
    </row>
    <row r="26" spans="1:4">
      <c r="A26" s="289" t="s">
        <v>496</v>
      </c>
      <c r="B26" s="21">
        <v>538.85232913189316</v>
      </c>
      <c r="C26" s="21">
        <v>111.29947352346403</v>
      </c>
      <c r="D26" s="21">
        <v>427.55285560842987</v>
      </c>
    </row>
    <row r="27" spans="1:4">
      <c r="A27" s="361" t="s">
        <v>497</v>
      </c>
      <c r="B27" s="22">
        <v>3398.7058744237179</v>
      </c>
      <c r="C27" s="22">
        <v>211.740461825127</v>
      </c>
      <c r="D27" s="22">
        <v>3186.9654125985994</v>
      </c>
    </row>
    <row r="28" spans="1:4">
      <c r="A28" s="289" t="s">
        <v>497</v>
      </c>
      <c r="B28" s="21">
        <v>3398.7058744237179</v>
      </c>
      <c r="C28" s="21">
        <v>211.740461825127</v>
      </c>
      <c r="D28" s="21">
        <v>3186.9654125985994</v>
      </c>
    </row>
    <row r="29" spans="1:4">
      <c r="A29" s="361" t="s">
        <v>498</v>
      </c>
      <c r="B29" s="22">
        <v>1102.1362500128173</v>
      </c>
      <c r="C29" s="22">
        <v>221.24163639420323</v>
      </c>
      <c r="D29" s="22">
        <v>880.894613618623</v>
      </c>
    </row>
    <row r="30" spans="1:4">
      <c r="A30" s="289" t="s">
        <v>498</v>
      </c>
      <c r="B30" s="21">
        <v>1102.1362500128173</v>
      </c>
      <c r="C30" s="21">
        <v>221.24163639420323</v>
      </c>
      <c r="D30" s="21">
        <v>880.894613618623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30"/>
  <sheetViews>
    <sheetView zoomScale="120" zoomScaleNormal="120" workbookViewId="0">
      <selection activeCell="C2" sqref="C2:C3"/>
    </sheetView>
  </sheetViews>
  <sheetFormatPr defaultColWidth="9.140625" defaultRowHeight="12"/>
  <cols>
    <col min="1" max="1" width="21.5703125" style="69" customWidth="1"/>
    <col min="2" max="2" width="11.140625" style="75" bestFit="1" customWidth="1"/>
    <col min="3" max="3" width="15.85546875" style="75" customWidth="1"/>
    <col min="4" max="4" width="10.140625" style="75" bestFit="1" customWidth="1"/>
    <col min="5" max="5" width="11.5703125" style="75" bestFit="1" customWidth="1"/>
    <col min="6" max="6" width="10.5703125" style="75" bestFit="1" customWidth="1"/>
    <col min="7" max="7" width="9.28515625" style="75" bestFit="1" customWidth="1"/>
    <col min="8" max="8" width="9.140625" style="75" bestFit="1" customWidth="1"/>
    <col min="9" max="16384" width="9.140625" style="69"/>
  </cols>
  <sheetData>
    <row r="1" spans="1:8" ht="29.25" customHeight="1">
      <c r="A1" s="877" t="s">
        <v>460</v>
      </c>
      <c r="B1" s="877"/>
      <c r="C1" s="877"/>
      <c r="D1" s="877"/>
      <c r="E1" s="877"/>
      <c r="F1" s="877"/>
      <c r="G1" s="877"/>
      <c r="H1" s="877"/>
    </row>
    <row r="2" spans="1:8">
      <c r="A2" s="873" t="s">
        <v>445</v>
      </c>
      <c r="B2" s="875" t="s">
        <v>48</v>
      </c>
      <c r="C2" s="875" t="s">
        <v>441</v>
      </c>
      <c r="D2" s="878" t="s">
        <v>546</v>
      </c>
      <c r="E2" s="878"/>
      <c r="F2" s="878"/>
      <c r="G2" s="878"/>
      <c r="H2" s="878"/>
    </row>
    <row r="3" spans="1:8" ht="24">
      <c r="A3" s="874"/>
      <c r="B3" s="876"/>
      <c r="C3" s="876"/>
      <c r="D3" s="504" t="s">
        <v>313</v>
      </c>
      <c r="E3" s="504" t="s">
        <v>314</v>
      </c>
      <c r="F3" s="504" t="s">
        <v>315</v>
      </c>
      <c r="G3" s="504" t="s">
        <v>316</v>
      </c>
      <c r="H3" s="504" t="s">
        <v>317</v>
      </c>
    </row>
    <row r="4" spans="1:8">
      <c r="A4" s="362" t="s">
        <v>500</v>
      </c>
      <c r="B4" s="608">
        <v>35852.003581091936</v>
      </c>
      <c r="C4" s="608">
        <v>4090.9343073135283</v>
      </c>
      <c r="D4" s="608">
        <v>3622.6621321233624</v>
      </c>
      <c r="E4" s="608">
        <v>937.90166103307797</v>
      </c>
      <c r="F4" s="608">
        <v>975.90635930938129</v>
      </c>
      <c r="G4" s="608">
        <v>99.083677648937453</v>
      </c>
      <c r="H4" s="608">
        <v>502.2049415083145</v>
      </c>
    </row>
    <row r="5" spans="1:8">
      <c r="A5" s="363"/>
      <c r="B5" s="602"/>
      <c r="C5" s="602"/>
      <c r="D5" s="602"/>
      <c r="E5" s="602"/>
      <c r="F5" s="602"/>
      <c r="G5" s="602"/>
      <c r="H5" s="602"/>
    </row>
    <row r="6" spans="1:8">
      <c r="A6" s="306" t="s">
        <v>111</v>
      </c>
      <c r="B6" s="608"/>
      <c r="C6" s="608"/>
      <c r="D6" s="608"/>
      <c r="E6" s="608"/>
      <c r="F6" s="608"/>
      <c r="G6" s="608"/>
      <c r="H6" s="608"/>
    </row>
    <row r="7" spans="1:8">
      <c r="A7" s="308" t="s">
        <v>4</v>
      </c>
      <c r="B7" s="603">
        <v>13608.396604225245</v>
      </c>
      <c r="C7" s="603">
        <v>913.47006928402584</v>
      </c>
      <c r="D7" s="603">
        <v>818.45832359326755</v>
      </c>
      <c r="E7" s="603">
        <v>180.52231681244797</v>
      </c>
      <c r="F7" s="603">
        <v>181.87962746517314</v>
      </c>
      <c r="G7" s="603">
        <v>25.788902401778195</v>
      </c>
      <c r="H7" s="603">
        <v>107.2275415652885</v>
      </c>
    </row>
    <row r="8" spans="1:8" ht="14.25" customHeight="1">
      <c r="A8" s="308" t="s">
        <v>5</v>
      </c>
      <c r="B8" s="603">
        <v>22243.60697686534</v>
      </c>
      <c r="C8" s="603">
        <v>3177.4642380295236</v>
      </c>
      <c r="D8" s="603">
        <v>2804.203808530116</v>
      </c>
      <c r="E8" s="603">
        <v>757.37934422063722</v>
      </c>
      <c r="F8" s="603">
        <v>794.02673184421542</v>
      </c>
      <c r="G8" s="603">
        <v>73.294775247159123</v>
      </c>
      <c r="H8" s="603">
        <v>394.97739994302566</v>
      </c>
    </row>
    <row r="9" spans="1:8" s="72" customFormat="1">
      <c r="A9" s="306" t="s">
        <v>448</v>
      </c>
      <c r="B9" s="608"/>
      <c r="C9" s="608"/>
      <c r="D9" s="608"/>
      <c r="E9" s="608"/>
      <c r="F9" s="608"/>
      <c r="G9" s="608"/>
      <c r="H9" s="608"/>
    </row>
    <row r="10" spans="1:8">
      <c r="A10" s="364" t="s">
        <v>486</v>
      </c>
      <c r="B10" s="602">
        <v>5240.5764301720874</v>
      </c>
      <c r="C10" s="602">
        <v>1084.4912115273908</v>
      </c>
      <c r="D10" s="602">
        <v>992.19408714208271</v>
      </c>
      <c r="E10" s="602">
        <v>124.87258005071578</v>
      </c>
      <c r="F10" s="602">
        <v>294.53641164136269</v>
      </c>
      <c r="G10" s="602">
        <v>9.5011745690761771</v>
      </c>
      <c r="H10" s="602">
        <v>210.38315117240182</v>
      </c>
    </row>
    <row r="11" spans="1:8" s="72" customFormat="1">
      <c r="A11" s="365" t="s">
        <v>486</v>
      </c>
      <c r="B11" s="603">
        <v>5240.5764301720874</v>
      </c>
      <c r="C11" s="603">
        <v>1084.4912115273908</v>
      </c>
      <c r="D11" s="603">
        <v>992.19408714208271</v>
      </c>
      <c r="E11" s="603">
        <v>124.87258005071578</v>
      </c>
      <c r="F11" s="603">
        <v>294.53641164136269</v>
      </c>
      <c r="G11" s="603">
        <v>9.5011745690761771</v>
      </c>
      <c r="H11" s="603">
        <v>210.38315117240182</v>
      </c>
    </row>
    <row r="12" spans="1:8">
      <c r="A12" s="364" t="s">
        <v>487</v>
      </c>
      <c r="B12" s="602">
        <v>13317.932124541972</v>
      </c>
      <c r="C12" s="602">
        <v>561.92661022822017</v>
      </c>
      <c r="D12" s="602">
        <v>275.53406250321024</v>
      </c>
      <c r="E12" s="602">
        <v>266.03288793413401</v>
      </c>
      <c r="F12" s="602">
        <v>264.67557728140883</v>
      </c>
      <c r="G12" s="602">
        <v>23.074281096327859</v>
      </c>
      <c r="H12" s="602">
        <v>47.505872845380885</v>
      </c>
    </row>
    <row r="13" spans="1:8">
      <c r="A13" s="365" t="s">
        <v>487</v>
      </c>
      <c r="B13" s="603">
        <v>12027.129693799952</v>
      </c>
      <c r="C13" s="603">
        <v>373.26042949942286</v>
      </c>
      <c r="D13" s="603">
        <v>192.73811268697455</v>
      </c>
      <c r="E13" s="603">
        <v>119.44333743981508</v>
      </c>
      <c r="F13" s="603">
        <v>195.4527339924249</v>
      </c>
      <c r="G13" s="603">
        <v>20.359659790877522</v>
      </c>
      <c r="H13" s="603">
        <v>27.146213054503363</v>
      </c>
    </row>
    <row r="14" spans="1:8" s="72" customFormat="1">
      <c r="A14" s="365" t="s">
        <v>488</v>
      </c>
      <c r="B14" s="603">
        <v>1290.8024307416088</v>
      </c>
      <c r="C14" s="603">
        <v>188.66618072879902</v>
      </c>
      <c r="D14" s="603">
        <v>82.79594981623535</v>
      </c>
      <c r="E14" s="603">
        <v>146.58955049431859</v>
      </c>
      <c r="F14" s="603">
        <v>69.222843288983597</v>
      </c>
      <c r="G14" s="603">
        <v>2.7146213054503363</v>
      </c>
      <c r="H14" s="603">
        <v>20.359659790877522</v>
      </c>
    </row>
    <row r="15" spans="1:8">
      <c r="A15" s="364" t="s">
        <v>489</v>
      </c>
      <c r="B15" s="602">
        <v>2151.3373845693341</v>
      </c>
      <c r="C15" s="602">
        <v>255.17440271233261</v>
      </c>
      <c r="D15" s="602">
        <v>252.45978140688226</v>
      </c>
      <c r="E15" s="602">
        <v>62.436290025357735</v>
      </c>
      <c r="F15" s="602">
        <v>31.218145012678868</v>
      </c>
      <c r="G15" s="602">
        <v>16.287727832702018</v>
      </c>
      <c r="H15" s="602">
        <v>40.719319581755045</v>
      </c>
    </row>
    <row r="16" spans="1:8" s="72" customFormat="1">
      <c r="A16" s="365" t="s">
        <v>489</v>
      </c>
      <c r="B16" s="603">
        <v>1412.9603894868694</v>
      </c>
      <c r="C16" s="603">
        <v>169.66383159064657</v>
      </c>
      <c r="D16" s="603">
        <v>166.94921028519622</v>
      </c>
      <c r="E16" s="603">
        <v>42.076630234480213</v>
      </c>
      <c r="F16" s="603">
        <v>27.146213054503363</v>
      </c>
      <c r="G16" s="603">
        <v>13.573106527251682</v>
      </c>
      <c r="H16" s="603">
        <v>31.218145012678868</v>
      </c>
    </row>
    <row r="17" spans="1:8">
      <c r="A17" s="365" t="s">
        <v>490</v>
      </c>
      <c r="B17" s="603">
        <v>738.37699508248556</v>
      </c>
      <c r="C17" s="603">
        <v>85.5105711216857</v>
      </c>
      <c r="D17" s="603">
        <v>85.5105711216857</v>
      </c>
      <c r="E17" s="603">
        <v>20.359659790877522</v>
      </c>
      <c r="F17" s="603">
        <v>4.0719319581755045</v>
      </c>
      <c r="G17" s="603">
        <v>2.7146213054503363</v>
      </c>
      <c r="H17" s="603">
        <v>9.5011745690761771</v>
      </c>
    </row>
    <row r="18" spans="1:8" s="72" customFormat="1">
      <c r="A18" s="364" t="s">
        <v>491</v>
      </c>
      <c r="B18" s="602">
        <v>5442.8157174281978</v>
      </c>
      <c r="C18" s="602">
        <v>560.56929957549505</v>
      </c>
      <c r="D18" s="602">
        <v>532.06577586826756</v>
      </c>
      <c r="E18" s="602">
        <v>90.939813732586401</v>
      </c>
      <c r="F18" s="602">
        <v>61.078979372632567</v>
      </c>
      <c r="G18" s="602">
        <v>4.0719319581755045</v>
      </c>
      <c r="H18" s="602">
        <v>40.719319581755045</v>
      </c>
    </row>
    <row r="19" spans="1:8">
      <c r="A19" s="365" t="s">
        <v>491</v>
      </c>
      <c r="B19" s="603">
        <v>5442.8157174281978</v>
      </c>
      <c r="C19" s="603">
        <v>560.56929957549505</v>
      </c>
      <c r="D19" s="603">
        <v>532.06577586826756</v>
      </c>
      <c r="E19" s="603">
        <v>90.939813732586401</v>
      </c>
      <c r="F19" s="603">
        <v>61.078979372632567</v>
      </c>
      <c r="G19" s="598">
        <v>4.0719319581755045</v>
      </c>
      <c r="H19" s="603">
        <v>40.719319581755045</v>
      </c>
    </row>
    <row r="20" spans="1:8" s="72" customFormat="1">
      <c r="A20" s="364" t="s">
        <v>499</v>
      </c>
      <c r="B20" s="602">
        <v>2772.9856635174383</v>
      </c>
      <c r="C20" s="602">
        <v>772.30976140061352</v>
      </c>
      <c r="D20" s="602">
        <v>760.09396552608746</v>
      </c>
      <c r="E20" s="602">
        <v>202.23928725605077</v>
      </c>
      <c r="F20" s="602">
        <v>139.80299723069271</v>
      </c>
      <c r="G20" s="599">
        <v>17.645038485427186</v>
      </c>
      <c r="H20" s="602">
        <v>32.575455665404036</v>
      </c>
    </row>
    <row r="21" spans="1:8">
      <c r="A21" s="365" t="s">
        <v>492</v>
      </c>
      <c r="B21" s="603">
        <v>2772.9856635174383</v>
      </c>
      <c r="C21" s="603">
        <v>772.30976140061352</v>
      </c>
      <c r="D21" s="603">
        <v>760.09396552608746</v>
      </c>
      <c r="E21" s="603">
        <v>202.23928725605077</v>
      </c>
      <c r="F21" s="603">
        <v>139.80299723069271</v>
      </c>
      <c r="G21" s="598">
        <v>17.645038485427186</v>
      </c>
      <c r="H21" s="603">
        <v>32.575455665404036</v>
      </c>
    </row>
    <row r="22" spans="1:8">
      <c r="A22" s="364" t="s">
        <v>493</v>
      </c>
      <c r="B22" s="602">
        <v>1225.6515194108031</v>
      </c>
      <c r="C22" s="602">
        <v>253.81709205960743</v>
      </c>
      <c r="D22" s="602">
        <v>249.74516010143191</v>
      </c>
      <c r="E22" s="602">
        <v>38.004698276304708</v>
      </c>
      <c r="F22" s="602">
        <v>32.575455665404036</v>
      </c>
      <c r="G22" s="599">
        <v>1.3573106527251682</v>
      </c>
      <c r="H22" s="602">
        <v>19.002349138152354</v>
      </c>
    </row>
    <row r="23" spans="1:8" s="72" customFormat="1">
      <c r="A23" s="365" t="s">
        <v>493</v>
      </c>
      <c r="B23" s="603">
        <v>1225.6515194108031</v>
      </c>
      <c r="C23" s="603">
        <v>253.81709205960743</v>
      </c>
      <c r="D23" s="603">
        <v>249.74516010143191</v>
      </c>
      <c r="E23" s="603">
        <v>38.004698276304708</v>
      </c>
      <c r="F23" s="603">
        <v>32.575455665404036</v>
      </c>
      <c r="G23" s="598">
        <v>1.3573106527251682</v>
      </c>
      <c r="H23" s="603">
        <v>19.002349138152354</v>
      </c>
    </row>
    <row r="24" spans="1:8">
      <c r="A24" s="364" t="s">
        <v>494</v>
      </c>
      <c r="B24" s="602">
        <v>1199.8626170090258</v>
      </c>
      <c r="C24" s="602">
        <v>169.66383159064657</v>
      </c>
      <c r="D24" s="602">
        <v>135.73106527251718</v>
      </c>
      <c r="E24" s="602">
        <v>32.575455665404036</v>
      </c>
      <c r="F24" s="602">
        <v>78.724017858059824</v>
      </c>
      <c r="G24" s="599">
        <v>0</v>
      </c>
      <c r="H24" s="602">
        <v>46.148562192655717</v>
      </c>
    </row>
    <row r="25" spans="1:8" s="72" customFormat="1">
      <c r="A25" s="365" t="s">
        <v>495</v>
      </c>
      <c r="B25" s="603">
        <v>661.01028787715381</v>
      </c>
      <c r="C25" s="603">
        <v>58.364358067182231</v>
      </c>
      <c r="D25" s="603">
        <v>54.292426109006726</v>
      </c>
      <c r="E25" s="603">
        <v>1.3573106527251682</v>
      </c>
      <c r="F25" s="603">
        <v>8.1438639163510089</v>
      </c>
      <c r="G25" s="598">
        <v>0</v>
      </c>
      <c r="H25" s="603">
        <v>2.7146213054503363</v>
      </c>
    </row>
    <row r="26" spans="1:8">
      <c r="A26" s="365" t="s">
        <v>496</v>
      </c>
      <c r="B26" s="603">
        <v>538.85232913189316</v>
      </c>
      <c r="C26" s="603">
        <v>111.29947352346403</v>
      </c>
      <c r="D26" s="603">
        <v>81.438639163510175</v>
      </c>
      <c r="E26" s="603">
        <v>31.218145012678868</v>
      </c>
      <c r="F26" s="603">
        <v>70.580153941708772</v>
      </c>
      <c r="G26" s="598">
        <v>0</v>
      </c>
      <c r="H26" s="603">
        <v>43.433940887205381</v>
      </c>
    </row>
    <row r="27" spans="1:8" s="72" customFormat="1">
      <c r="A27" s="364" t="s">
        <v>497</v>
      </c>
      <c r="B27" s="602">
        <v>3398.7058744237179</v>
      </c>
      <c r="C27" s="602">
        <v>211.740461825127</v>
      </c>
      <c r="D27" s="602">
        <v>207.66852986695147</v>
      </c>
      <c r="E27" s="602">
        <v>50.220494150831222</v>
      </c>
      <c r="F27" s="602">
        <v>40.719319581755045</v>
      </c>
      <c r="G27" s="599">
        <v>8.1438639163510089</v>
      </c>
      <c r="H27" s="602">
        <v>19.002349138152354</v>
      </c>
    </row>
    <row r="28" spans="1:8">
      <c r="A28" s="365" t="s">
        <v>497</v>
      </c>
      <c r="B28" s="603">
        <v>3398.7058744237179</v>
      </c>
      <c r="C28" s="603">
        <v>211.740461825127</v>
      </c>
      <c r="D28" s="603">
        <v>207.66852986695147</v>
      </c>
      <c r="E28" s="603">
        <v>50.220494150831222</v>
      </c>
      <c r="F28" s="603">
        <v>40.719319581755045</v>
      </c>
      <c r="G28" s="603">
        <v>8.1438639163510089</v>
      </c>
      <c r="H28" s="603">
        <v>19.002349138152354</v>
      </c>
    </row>
    <row r="29" spans="1:8">
      <c r="A29" s="364" t="s">
        <v>498</v>
      </c>
      <c r="B29" s="602">
        <v>1102.1362500128173</v>
      </c>
      <c r="C29" s="602">
        <v>221.24163639420323</v>
      </c>
      <c r="D29" s="602">
        <v>217.1697044360277</v>
      </c>
      <c r="E29" s="602">
        <v>70.580153941708772</v>
      </c>
      <c r="F29" s="602">
        <v>32.575455665404036</v>
      </c>
      <c r="G29" s="602">
        <v>19.002349138152354</v>
      </c>
      <c r="H29" s="602">
        <v>46.148562192655717</v>
      </c>
    </row>
    <row r="30" spans="1:8">
      <c r="A30" s="365" t="s">
        <v>498</v>
      </c>
      <c r="B30" s="603">
        <v>1102.1362500128173</v>
      </c>
      <c r="C30" s="603">
        <v>221.24163639420323</v>
      </c>
      <c r="D30" s="603">
        <v>217.1697044360277</v>
      </c>
      <c r="E30" s="603">
        <v>70.580153941708772</v>
      </c>
      <c r="F30" s="603">
        <v>32.575455665404036</v>
      </c>
      <c r="G30" s="603">
        <v>19.002349138152354</v>
      </c>
      <c r="H30" s="603">
        <v>46.148562192655717</v>
      </c>
    </row>
  </sheetData>
  <mergeCells count="5">
    <mergeCell ref="A2:A3"/>
    <mergeCell ref="B2:B3"/>
    <mergeCell ref="C2:C3"/>
    <mergeCell ref="A1:H1"/>
    <mergeCell ref="D2:H2"/>
  </mergeCell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31"/>
  <sheetViews>
    <sheetView zoomScale="130" zoomScaleNormal="130" workbookViewId="0">
      <selection activeCell="L12" sqref="L12"/>
    </sheetView>
  </sheetViews>
  <sheetFormatPr defaultColWidth="9.140625" defaultRowHeight="12"/>
  <cols>
    <col min="1" max="1" width="17.5703125" style="69" customWidth="1"/>
    <col min="2" max="2" width="11.140625" style="75" bestFit="1" customWidth="1"/>
    <col min="3" max="3" width="13.7109375" style="75" customWidth="1"/>
    <col min="4" max="4" width="15.28515625" style="75" customWidth="1"/>
    <col min="5" max="6" width="14.140625" style="75" customWidth="1"/>
    <col min="7" max="16384" width="9.140625" style="69"/>
  </cols>
  <sheetData>
    <row r="1" spans="1:6" ht="31.5" customHeight="1">
      <c r="A1" s="879" t="s">
        <v>461</v>
      </c>
      <c r="B1" s="879"/>
      <c r="C1" s="879"/>
      <c r="D1" s="879"/>
      <c r="E1" s="879"/>
      <c r="F1" s="879"/>
    </row>
    <row r="2" spans="1:6" ht="12" customHeight="1">
      <c r="A2" s="880" t="s">
        <v>445</v>
      </c>
      <c r="B2" s="883" t="s">
        <v>85</v>
      </c>
      <c r="C2" s="883" t="s">
        <v>442</v>
      </c>
      <c r="D2" s="886" t="s">
        <v>547</v>
      </c>
      <c r="E2" s="886"/>
      <c r="F2" s="886"/>
    </row>
    <row r="3" spans="1:6" ht="37.5" customHeight="1">
      <c r="A3" s="881"/>
      <c r="B3" s="884"/>
      <c r="C3" s="884"/>
      <c r="D3" s="884" t="s">
        <v>465</v>
      </c>
      <c r="E3" s="884" t="s">
        <v>548</v>
      </c>
      <c r="F3" s="883" t="s">
        <v>568</v>
      </c>
    </row>
    <row r="4" spans="1:6">
      <c r="A4" s="882"/>
      <c r="B4" s="885"/>
      <c r="C4" s="885"/>
      <c r="D4" s="885"/>
      <c r="E4" s="885"/>
      <c r="F4" s="885"/>
    </row>
    <row r="5" spans="1:6">
      <c r="A5" s="366" t="s">
        <v>500</v>
      </c>
      <c r="B5" s="613">
        <v>35852.003581091936</v>
      </c>
      <c r="C5" s="613">
        <v>974.54904865665617</v>
      </c>
      <c r="D5" s="595">
        <v>508.99149477194038</v>
      </c>
      <c r="E5" s="595">
        <v>1.3573106527251682</v>
      </c>
      <c r="F5" s="595">
        <v>210.38315117240182</v>
      </c>
    </row>
    <row r="6" spans="1:6">
      <c r="A6" s="367"/>
      <c r="B6" s="614"/>
      <c r="C6" s="614"/>
      <c r="D6" s="589"/>
      <c r="E6" s="589"/>
      <c r="F6" s="589"/>
    </row>
    <row r="7" spans="1:6">
      <c r="A7" s="306" t="s">
        <v>111</v>
      </c>
      <c r="B7" s="613"/>
      <c r="C7" s="613"/>
      <c r="D7" s="595"/>
      <c r="E7" s="595"/>
      <c r="F7" s="595"/>
    </row>
    <row r="8" spans="1:6" ht="15" customHeight="1">
      <c r="A8" s="308" t="s">
        <v>4</v>
      </c>
      <c r="B8" s="615">
        <v>13608.396604225245</v>
      </c>
      <c r="C8" s="615">
        <v>223.95625769965358</v>
      </c>
      <c r="D8" s="590">
        <v>157.44803571611999</v>
      </c>
      <c r="E8" s="590">
        <v>0</v>
      </c>
      <c r="F8" s="590">
        <v>85.5105711216857</v>
      </c>
    </row>
    <row r="9" spans="1:6" s="72" customFormat="1">
      <c r="A9" s="308" t="s">
        <v>5</v>
      </c>
      <c r="B9" s="615">
        <v>22243.60697686534</v>
      </c>
      <c r="C9" s="615">
        <v>750.59279095701163</v>
      </c>
      <c r="D9" s="590">
        <v>351.54345905582005</v>
      </c>
      <c r="E9" s="590">
        <v>1.3573106527251682</v>
      </c>
      <c r="F9" s="590">
        <v>124.87258005071578</v>
      </c>
    </row>
    <row r="10" spans="1:6">
      <c r="A10" s="306" t="s">
        <v>448</v>
      </c>
      <c r="B10" s="613"/>
      <c r="C10" s="613"/>
      <c r="D10" s="595"/>
      <c r="E10" s="595"/>
      <c r="F10" s="595"/>
    </row>
    <row r="11" spans="1:6" s="72" customFormat="1">
      <c r="A11" s="368" t="s">
        <v>486</v>
      </c>
      <c r="B11" s="614">
        <v>5240.5764301720874</v>
      </c>
      <c r="C11" s="614">
        <v>55.649736761731894</v>
      </c>
      <c r="D11" s="589">
        <v>40.719319581755045</v>
      </c>
      <c r="E11" s="589">
        <v>0</v>
      </c>
      <c r="F11" s="589">
        <v>25.788902401778195</v>
      </c>
    </row>
    <row r="12" spans="1:6" ht="15.75" customHeight="1">
      <c r="A12" s="369" t="s">
        <v>486</v>
      </c>
      <c r="B12" s="615">
        <v>5240.5764301720874</v>
      </c>
      <c r="C12" s="615">
        <v>55.649736761731894</v>
      </c>
      <c r="D12" s="590">
        <v>40.719319581755045</v>
      </c>
      <c r="E12" s="590">
        <v>0</v>
      </c>
      <c r="F12" s="590">
        <v>25.788902401778195</v>
      </c>
    </row>
    <row r="13" spans="1:6">
      <c r="A13" s="368" t="s">
        <v>487</v>
      </c>
      <c r="B13" s="614">
        <v>13317.932124541972</v>
      </c>
      <c r="C13" s="614">
        <v>527.99384391009221</v>
      </c>
      <c r="D13" s="589">
        <v>164.23458897974587</v>
      </c>
      <c r="E13" s="589">
        <v>0</v>
      </c>
      <c r="F13" s="589">
        <v>123.51526939799061</v>
      </c>
    </row>
    <row r="14" spans="1:6" s="72" customFormat="1">
      <c r="A14" s="369" t="s">
        <v>487</v>
      </c>
      <c r="B14" s="615">
        <v>12027.129693799952</v>
      </c>
      <c r="C14" s="615">
        <v>236.17205357418015</v>
      </c>
      <c r="D14" s="590">
        <v>134.37375461979201</v>
      </c>
      <c r="E14" s="590">
        <v>0</v>
      </c>
      <c r="F14" s="590">
        <v>119.44333743981508</v>
      </c>
    </row>
    <row r="15" spans="1:6">
      <c r="A15" s="369" t="s">
        <v>488</v>
      </c>
      <c r="B15" s="615">
        <v>1290.8024307416088</v>
      </c>
      <c r="C15" s="615">
        <v>291.82179033591234</v>
      </c>
      <c r="D15" s="590">
        <v>29.860834359953699</v>
      </c>
      <c r="E15" s="590">
        <v>0</v>
      </c>
      <c r="F15" s="590">
        <v>4.0719319581755045</v>
      </c>
    </row>
    <row r="16" spans="1:6" s="72" customFormat="1">
      <c r="A16" s="368" t="s">
        <v>489</v>
      </c>
      <c r="B16" s="614">
        <v>2151.3373845693341</v>
      </c>
      <c r="C16" s="614">
        <v>69.222843288983597</v>
      </c>
      <c r="D16" s="589">
        <v>43.433940887205381</v>
      </c>
      <c r="E16" s="589">
        <v>1.3573106527251682</v>
      </c>
      <c r="F16" s="589">
        <v>24.431591749053027</v>
      </c>
    </row>
    <row r="17" spans="1:6">
      <c r="A17" s="369" t="s">
        <v>489</v>
      </c>
      <c r="B17" s="615">
        <v>1412.9603894868694</v>
      </c>
      <c r="C17" s="615">
        <v>46.148562192655717</v>
      </c>
      <c r="D17" s="590">
        <v>31.218145012678868</v>
      </c>
      <c r="E17" s="590">
        <v>1.3573106527251682</v>
      </c>
      <c r="F17" s="590">
        <v>19.002349138152354</v>
      </c>
    </row>
    <row r="18" spans="1:6" s="72" customFormat="1">
      <c r="A18" s="369" t="s">
        <v>490</v>
      </c>
      <c r="B18" s="615">
        <v>738.37699508248556</v>
      </c>
      <c r="C18" s="615">
        <v>23.074281096327859</v>
      </c>
      <c r="D18" s="590">
        <v>12.215795874526513</v>
      </c>
      <c r="E18" s="590">
        <v>0</v>
      </c>
      <c r="F18" s="590">
        <v>5.4292426109006726</v>
      </c>
    </row>
    <row r="19" spans="1:6">
      <c r="A19" s="368" t="s">
        <v>491</v>
      </c>
      <c r="B19" s="614">
        <v>5442.8157174281978</v>
      </c>
      <c r="C19" s="614">
        <v>137.08837592524236</v>
      </c>
      <c r="D19" s="589">
        <v>128.94451200889131</v>
      </c>
      <c r="E19" s="589">
        <v>0</v>
      </c>
      <c r="F19" s="589">
        <v>17.645038485427186</v>
      </c>
    </row>
    <row r="20" spans="1:6" s="72" customFormat="1">
      <c r="A20" s="369" t="s">
        <v>491</v>
      </c>
      <c r="B20" s="615">
        <v>5442.8157174281978</v>
      </c>
      <c r="C20" s="615">
        <v>137.08837592524236</v>
      </c>
      <c r="D20" s="590">
        <v>128.94451200889131</v>
      </c>
      <c r="E20" s="590">
        <v>0</v>
      </c>
      <c r="F20" s="590">
        <v>17.645038485427186</v>
      </c>
    </row>
    <row r="21" spans="1:6">
      <c r="A21" s="368" t="s">
        <v>499</v>
      </c>
      <c r="B21" s="614">
        <v>2772.9856635174383</v>
      </c>
      <c r="C21" s="614">
        <v>21.71697044360269</v>
      </c>
      <c r="D21" s="589">
        <v>19.002349138152354</v>
      </c>
      <c r="E21" s="589">
        <v>0</v>
      </c>
      <c r="F21" s="589">
        <v>2.7146213054503363</v>
      </c>
    </row>
    <row r="22" spans="1:6">
      <c r="A22" s="369" t="s">
        <v>492</v>
      </c>
      <c r="B22" s="615">
        <v>2772.9856635174383</v>
      </c>
      <c r="C22" s="615">
        <v>21.71697044360269</v>
      </c>
      <c r="D22" s="590">
        <v>19.002349138152354</v>
      </c>
      <c r="E22" s="590">
        <v>0</v>
      </c>
      <c r="F22" s="590">
        <v>2.7146213054503363</v>
      </c>
    </row>
    <row r="23" spans="1:6" s="72" customFormat="1">
      <c r="A23" s="368" t="s">
        <v>493</v>
      </c>
      <c r="B23" s="614">
        <v>1225.6515194108031</v>
      </c>
      <c r="C23" s="614">
        <v>32.575455665404036</v>
      </c>
      <c r="D23" s="589">
        <v>6.7865532636258408</v>
      </c>
      <c r="E23" s="589">
        <v>0</v>
      </c>
      <c r="F23" s="589">
        <v>1.3573106527251682</v>
      </c>
    </row>
    <row r="24" spans="1:6">
      <c r="A24" s="369" t="s">
        <v>493</v>
      </c>
      <c r="B24" s="615">
        <v>1225.6515194108031</v>
      </c>
      <c r="C24" s="615">
        <v>32.575455665404036</v>
      </c>
      <c r="D24" s="590">
        <v>6.7865532636258408</v>
      </c>
      <c r="E24" s="590">
        <v>0</v>
      </c>
      <c r="F24" s="590">
        <v>1.3573106527251682</v>
      </c>
    </row>
    <row r="25" spans="1:6" s="72" customFormat="1">
      <c r="A25" s="368" t="s">
        <v>494</v>
      </c>
      <c r="B25" s="614">
        <v>1199.8626170090258</v>
      </c>
      <c r="C25" s="614">
        <v>95.011745690761927</v>
      </c>
      <c r="D25" s="589">
        <v>86.867881774410876</v>
      </c>
      <c r="E25" s="589">
        <v>0</v>
      </c>
      <c r="F25" s="589">
        <v>5.4292426109006726</v>
      </c>
    </row>
    <row r="26" spans="1:6">
      <c r="A26" s="369" t="s">
        <v>495</v>
      </c>
      <c r="B26" s="615">
        <v>661.01028787715381</v>
      </c>
      <c r="C26" s="615">
        <v>84.153260468960525</v>
      </c>
      <c r="D26" s="590">
        <v>82.79594981623535</v>
      </c>
      <c r="E26" s="590">
        <v>0</v>
      </c>
      <c r="F26" s="590">
        <v>1.3573106527251682</v>
      </c>
    </row>
    <row r="27" spans="1:6" s="72" customFormat="1">
      <c r="A27" s="369" t="s">
        <v>496</v>
      </c>
      <c r="B27" s="615">
        <v>538.85232913189316</v>
      </c>
      <c r="C27" s="615">
        <v>10.858485221801345</v>
      </c>
      <c r="D27" s="590">
        <v>4.0719319581755045</v>
      </c>
      <c r="E27" s="590">
        <v>0</v>
      </c>
      <c r="F27" s="590">
        <v>4.0719319581755045</v>
      </c>
    </row>
    <row r="28" spans="1:6">
      <c r="A28" s="368" t="s">
        <v>497</v>
      </c>
      <c r="B28" s="614">
        <v>3398.7058744237179</v>
      </c>
      <c r="C28" s="614">
        <v>6.7865532636258408</v>
      </c>
      <c r="D28" s="589">
        <v>1.3573106527251682</v>
      </c>
      <c r="E28" s="589">
        <v>0</v>
      </c>
      <c r="F28" s="589">
        <v>0</v>
      </c>
    </row>
    <row r="29" spans="1:6">
      <c r="A29" s="369" t="s">
        <v>497</v>
      </c>
      <c r="B29" s="615">
        <v>3398.7058744237179</v>
      </c>
      <c r="C29" s="615">
        <v>6.7865532636258408</v>
      </c>
      <c r="D29" s="590">
        <v>1.3573106527251682</v>
      </c>
      <c r="E29" s="590">
        <v>0</v>
      </c>
      <c r="F29" s="590">
        <v>0</v>
      </c>
    </row>
    <row r="30" spans="1:6">
      <c r="A30" s="368" t="s">
        <v>498</v>
      </c>
      <c r="B30" s="614">
        <v>1102.1362500128173</v>
      </c>
      <c r="C30" s="614">
        <v>28.503523707228531</v>
      </c>
      <c r="D30" s="589">
        <v>17.645038485427186</v>
      </c>
      <c r="E30" s="589">
        <v>0</v>
      </c>
      <c r="F30" s="589">
        <v>9.5011745690761771</v>
      </c>
    </row>
    <row r="31" spans="1:6">
      <c r="A31" s="369" t="s">
        <v>498</v>
      </c>
      <c r="B31" s="615">
        <v>1102.1362500128173</v>
      </c>
      <c r="C31" s="615">
        <v>28.503523707228531</v>
      </c>
      <c r="D31" s="590">
        <v>17.645038485427186</v>
      </c>
      <c r="E31" s="590">
        <v>0</v>
      </c>
      <c r="F31" s="590">
        <v>9.5011745690761771</v>
      </c>
    </row>
  </sheetData>
  <mergeCells count="8">
    <mergeCell ref="A1:F1"/>
    <mergeCell ref="A2:A4"/>
    <mergeCell ref="B2:B4"/>
    <mergeCell ref="C2:C4"/>
    <mergeCell ref="D2:F2"/>
    <mergeCell ref="D3:D4"/>
    <mergeCell ref="E3:E4"/>
    <mergeCell ref="F3:F4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L41"/>
  <sheetViews>
    <sheetView zoomScale="120" zoomScaleNormal="120" workbookViewId="0">
      <selection activeCell="T19" sqref="T19"/>
    </sheetView>
  </sheetViews>
  <sheetFormatPr defaultColWidth="9.140625" defaultRowHeight="12"/>
  <cols>
    <col min="1" max="1" width="21.5703125" style="69" customWidth="1"/>
    <col min="2" max="2" width="11.140625" style="75" bestFit="1" customWidth="1"/>
    <col min="3" max="6" width="10.28515625" style="75" bestFit="1" customWidth="1"/>
    <col min="7" max="7" width="11.85546875" style="75" customWidth="1"/>
    <col min="8" max="9" width="10.28515625" style="75" bestFit="1" customWidth="1"/>
    <col min="10" max="10" width="11.7109375" style="75" customWidth="1"/>
    <col min="11" max="11" width="10.28515625" style="75" bestFit="1" customWidth="1"/>
    <col min="12" max="12" width="11.28515625" style="75" customWidth="1"/>
    <col min="13" max="16384" width="9.140625" style="69"/>
  </cols>
  <sheetData>
    <row r="1" spans="1:12" ht="12" customHeight="1">
      <c r="A1" s="887" t="s">
        <v>302</v>
      </c>
      <c r="B1" s="887"/>
      <c r="C1" s="887"/>
      <c r="D1" s="887"/>
      <c r="E1" s="887"/>
      <c r="F1" s="887"/>
      <c r="G1" s="887"/>
      <c r="H1" s="887"/>
      <c r="I1" s="887"/>
      <c r="J1" s="887"/>
      <c r="K1" s="887"/>
      <c r="L1" s="887"/>
    </row>
    <row r="2" spans="1:12" ht="15" customHeight="1">
      <c r="A2" s="370"/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</row>
    <row r="3" spans="1:12">
      <c r="A3" s="371"/>
      <c r="B3" s="888" t="s">
        <v>48</v>
      </c>
      <c r="C3" s="891" t="s">
        <v>443</v>
      </c>
      <c r="D3" s="891"/>
      <c r="E3" s="891"/>
      <c r="F3" s="891"/>
      <c r="G3" s="891"/>
      <c r="H3" s="891"/>
      <c r="I3" s="891"/>
      <c r="J3" s="891"/>
      <c r="K3" s="891"/>
      <c r="L3" s="891"/>
    </row>
    <row r="4" spans="1:12">
      <c r="A4" s="892" t="s">
        <v>445</v>
      </c>
      <c r="B4" s="889"/>
      <c r="C4" s="894" t="s">
        <v>303</v>
      </c>
      <c r="D4" s="894" t="s">
        <v>304</v>
      </c>
      <c r="E4" s="894" t="s">
        <v>305</v>
      </c>
      <c r="F4" s="894" t="s">
        <v>306</v>
      </c>
      <c r="G4" s="894" t="s">
        <v>307</v>
      </c>
      <c r="H4" s="894" t="s">
        <v>308</v>
      </c>
      <c r="I4" s="894" t="s">
        <v>309</v>
      </c>
      <c r="J4" s="894" t="s">
        <v>310</v>
      </c>
      <c r="K4" s="894" t="s">
        <v>311</v>
      </c>
      <c r="L4" s="894" t="s">
        <v>312</v>
      </c>
    </row>
    <row r="5" spans="1:12">
      <c r="A5" s="893"/>
      <c r="B5" s="890"/>
      <c r="C5" s="895"/>
      <c r="D5" s="895"/>
      <c r="E5" s="895"/>
      <c r="F5" s="895"/>
      <c r="G5" s="895"/>
      <c r="H5" s="895"/>
      <c r="I5" s="895"/>
      <c r="J5" s="895"/>
      <c r="K5" s="895"/>
      <c r="L5" s="895"/>
    </row>
    <row r="6" spans="1:12">
      <c r="A6" s="372" t="s">
        <v>500</v>
      </c>
      <c r="B6" s="613">
        <v>35852.003581091936</v>
      </c>
      <c r="C6" s="613">
        <v>8984.0392103892173</v>
      </c>
      <c r="D6" s="613">
        <v>4492.6982605202966</v>
      </c>
      <c r="E6" s="613">
        <v>2239.5625769964668</v>
      </c>
      <c r="F6" s="613">
        <v>1483.5405434285756</v>
      </c>
      <c r="G6" s="613">
        <v>1692.5663839482438</v>
      </c>
      <c r="H6" s="613">
        <v>1524.2598630103291</v>
      </c>
      <c r="I6" s="613">
        <v>1503.9002032194524</v>
      </c>
      <c r="J6" s="613">
        <v>1980.3162423259689</v>
      </c>
      <c r="K6" s="613">
        <v>1539.1902801903054</v>
      </c>
      <c r="L6" s="613">
        <v>2092.973026502154</v>
      </c>
    </row>
    <row r="7" spans="1:12">
      <c r="A7" s="373"/>
      <c r="B7" s="614"/>
      <c r="C7" s="614"/>
      <c r="D7" s="614"/>
      <c r="E7" s="614"/>
      <c r="F7" s="614"/>
      <c r="G7" s="614"/>
      <c r="H7" s="614"/>
      <c r="I7" s="614"/>
      <c r="J7" s="614"/>
      <c r="K7" s="614"/>
      <c r="L7" s="614"/>
    </row>
    <row r="8" spans="1:12" ht="14.25" customHeight="1">
      <c r="A8" s="306" t="s">
        <v>111</v>
      </c>
      <c r="B8" s="613"/>
      <c r="C8" s="613"/>
      <c r="D8" s="613"/>
      <c r="E8" s="613"/>
      <c r="F8" s="613"/>
      <c r="G8" s="613"/>
      <c r="H8" s="613"/>
      <c r="I8" s="613"/>
      <c r="J8" s="613"/>
      <c r="K8" s="613"/>
      <c r="L8" s="613"/>
    </row>
    <row r="9" spans="1:12" s="72" customFormat="1">
      <c r="A9" s="308" t="s">
        <v>4</v>
      </c>
      <c r="B9" s="615">
        <v>13608.396604225245</v>
      </c>
      <c r="C9" s="615">
        <v>3131.3156758368696</v>
      </c>
      <c r="D9" s="615">
        <v>3090.596356255116</v>
      </c>
      <c r="E9" s="615">
        <v>1087.205832832841</v>
      </c>
      <c r="F9" s="615">
        <v>764.16589748426281</v>
      </c>
      <c r="G9" s="615">
        <v>937.90166103307797</v>
      </c>
      <c r="H9" s="615">
        <v>803.52790641329125</v>
      </c>
      <c r="I9" s="615">
        <v>780.45362531696424</v>
      </c>
      <c r="J9" s="615">
        <v>1051.9157558619879</v>
      </c>
      <c r="K9" s="615">
        <v>757.37934422063722</v>
      </c>
      <c r="L9" s="615">
        <v>1285.3731881307083</v>
      </c>
    </row>
    <row r="10" spans="1:12">
      <c r="A10" s="308" t="s">
        <v>5</v>
      </c>
      <c r="B10" s="615">
        <v>22243.60697686534</v>
      </c>
      <c r="C10" s="615">
        <v>5852.7235345513209</v>
      </c>
      <c r="D10" s="615">
        <v>1402.1019042650685</v>
      </c>
      <c r="E10" s="615">
        <v>1152.3567441636467</v>
      </c>
      <c r="F10" s="615">
        <v>719.37464594433391</v>
      </c>
      <c r="G10" s="615">
        <v>754.66472291518699</v>
      </c>
      <c r="H10" s="615">
        <v>720.73195659705902</v>
      </c>
      <c r="I10" s="615">
        <v>723.44657790250926</v>
      </c>
      <c r="J10" s="615">
        <v>928.40048646400214</v>
      </c>
      <c r="K10" s="615">
        <v>781.81093596968935</v>
      </c>
      <c r="L10" s="615">
        <v>807.5998383714666</v>
      </c>
    </row>
    <row r="11" spans="1:12" s="72" customFormat="1">
      <c r="A11" s="306" t="s">
        <v>448</v>
      </c>
      <c r="B11" s="613"/>
      <c r="C11" s="613"/>
      <c r="D11" s="613"/>
      <c r="E11" s="613"/>
      <c r="F11" s="613"/>
      <c r="G11" s="613"/>
      <c r="H11" s="613"/>
      <c r="I11" s="613"/>
      <c r="J11" s="613"/>
      <c r="K11" s="613"/>
      <c r="L11" s="613"/>
    </row>
    <row r="12" spans="1:12" ht="14.25" customHeight="1">
      <c r="A12" s="374" t="s">
        <v>486</v>
      </c>
      <c r="B12" s="614">
        <v>5240.5764301720874</v>
      </c>
      <c r="C12" s="614">
        <v>1604.3411915211111</v>
      </c>
      <c r="D12" s="614">
        <v>952.83207821305427</v>
      </c>
      <c r="E12" s="614">
        <v>356.97270166672075</v>
      </c>
      <c r="F12" s="614">
        <v>260.60364532323331</v>
      </c>
      <c r="G12" s="614">
        <v>323.03993534859137</v>
      </c>
      <c r="H12" s="614">
        <v>290.46447968318716</v>
      </c>
      <c r="I12" s="614">
        <v>299.96565425226339</v>
      </c>
      <c r="J12" s="614">
        <v>491.3464562865131</v>
      </c>
      <c r="K12" s="614">
        <v>285.03523707228646</v>
      </c>
      <c r="L12" s="614">
        <v>333.89842057039277</v>
      </c>
    </row>
    <row r="13" spans="1:12" ht="15.75" customHeight="1">
      <c r="A13" s="375" t="s">
        <v>486</v>
      </c>
      <c r="B13" s="615">
        <v>5240.5764301720874</v>
      </c>
      <c r="C13" s="615">
        <v>1604.3411915211111</v>
      </c>
      <c r="D13" s="615">
        <v>952.83207821305427</v>
      </c>
      <c r="E13" s="615">
        <v>356.97270166672075</v>
      </c>
      <c r="F13" s="615">
        <v>260.60364532323331</v>
      </c>
      <c r="G13" s="615">
        <v>323.03993534859137</v>
      </c>
      <c r="H13" s="615">
        <v>290.46447968318716</v>
      </c>
      <c r="I13" s="615">
        <v>299.96565425226339</v>
      </c>
      <c r="J13" s="615">
        <v>491.3464562865131</v>
      </c>
      <c r="K13" s="615">
        <v>285.03523707228646</v>
      </c>
      <c r="L13" s="615">
        <v>333.89842057039277</v>
      </c>
    </row>
    <row r="14" spans="1:12" s="72" customFormat="1">
      <c r="A14" s="374" t="s">
        <v>487</v>
      </c>
      <c r="B14" s="614">
        <v>13317.932124541972</v>
      </c>
      <c r="C14" s="614">
        <v>2357.6486037835521</v>
      </c>
      <c r="D14" s="614">
        <v>2224.6321598164905</v>
      </c>
      <c r="E14" s="614">
        <v>814.3863916350922</v>
      </c>
      <c r="F14" s="614">
        <v>563.28392088094529</v>
      </c>
      <c r="G14" s="614">
        <v>674.583394404405</v>
      </c>
      <c r="H14" s="614">
        <v>610.78979372632443</v>
      </c>
      <c r="I14" s="614">
        <v>580.92895936637183</v>
      </c>
      <c r="J14" s="614">
        <v>804.88521706601637</v>
      </c>
      <c r="K14" s="614">
        <v>549.7108143536941</v>
      </c>
      <c r="L14" s="614">
        <v>994.90870844753294</v>
      </c>
    </row>
    <row r="15" spans="1:12">
      <c r="A15" s="375" t="s">
        <v>487</v>
      </c>
      <c r="B15" s="615">
        <v>12027.129693799952</v>
      </c>
      <c r="C15" s="615">
        <v>1945.0261653551158</v>
      </c>
      <c r="D15" s="615">
        <v>2192.0567041510876</v>
      </c>
      <c r="E15" s="615">
        <v>808.95714902419172</v>
      </c>
      <c r="F15" s="615">
        <v>563.28392088094529</v>
      </c>
      <c r="G15" s="615">
        <v>673.22608375167988</v>
      </c>
      <c r="H15" s="615">
        <v>609.43248307359931</v>
      </c>
      <c r="I15" s="615">
        <v>576.85702740819647</v>
      </c>
      <c r="J15" s="615">
        <v>799.45597445511589</v>
      </c>
      <c r="K15" s="615">
        <v>549.7108143536941</v>
      </c>
      <c r="L15" s="615">
        <v>988.12215518390735</v>
      </c>
    </row>
    <row r="16" spans="1:12" s="72" customFormat="1">
      <c r="A16" s="375" t="s">
        <v>488</v>
      </c>
      <c r="B16" s="615">
        <v>1290.8024307416088</v>
      </c>
      <c r="C16" s="615">
        <v>412.62243842845294</v>
      </c>
      <c r="D16" s="615">
        <v>32.575455665404036</v>
      </c>
      <c r="E16" s="615">
        <v>5.4292426109006726</v>
      </c>
      <c r="F16" s="590">
        <v>0</v>
      </c>
      <c r="G16" s="615">
        <v>1.3573106527251682</v>
      </c>
      <c r="H16" s="615">
        <v>1.3573106527251682</v>
      </c>
      <c r="I16" s="615">
        <v>4.0719319581755045</v>
      </c>
      <c r="J16" s="615">
        <v>5.4292426109006726</v>
      </c>
      <c r="K16" s="590">
        <v>0</v>
      </c>
      <c r="L16" s="615">
        <v>6.7865532636258408</v>
      </c>
    </row>
    <row r="17" spans="1:12">
      <c r="A17" s="374" t="s">
        <v>489</v>
      </c>
      <c r="B17" s="614">
        <v>2151.3373845693341</v>
      </c>
      <c r="C17" s="614">
        <v>711.2307820279832</v>
      </c>
      <c r="D17" s="614">
        <v>426.19554495570469</v>
      </c>
      <c r="E17" s="614">
        <v>316.25338208496549</v>
      </c>
      <c r="F17" s="614">
        <v>247.03053879598156</v>
      </c>
      <c r="G17" s="614">
        <v>263.31826662868366</v>
      </c>
      <c r="H17" s="614">
        <v>233.4574322687298</v>
      </c>
      <c r="I17" s="614">
        <v>241.60129618508086</v>
      </c>
      <c r="J17" s="614">
        <v>232.10012161600463</v>
      </c>
      <c r="K17" s="614">
        <v>259.24633467050813</v>
      </c>
      <c r="L17" s="614">
        <v>327.1118673067669</v>
      </c>
    </row>
    <row r="18" spans="1:12" s="72" customFormat="1">
      <c r="A18" s="375" t="s">
        <v>489</v>
      </c>
      <c r="B18" s="615">
        <v>1412.9603894868694</v>
      </c>
      <c r="C18" s="615">
        <v>480.4879710647117</v>
      </c>
      <c r="D18" s="615">
        <v>342.04228448674382</v>
      </c>
      <c r="E18" s="615">
        <v>226.67087900510393</v>
      </c>
      <c r="F18" s="615">
        <v>168.30652093792139</v>
      </c>
      <c r="G18" s="615">
        <v>199.52466595060042</v>
      </c>
      <c r="H18" s="615">
        <v>157.44803571611999</v>
      </c>
      <c r="I18" s="615">
        <v>162.87727832702069</v>
      </c>
      <c r="J18" s="615">
        <v>158.80534636884516</v>
      </c>
      <c r="K18" s="615">
        <v>161.51996767429551</v>
      </c>
      <c r="L18" s="615">
        <v>248.38784944870673</v>
      </c>
    </row>
    <row r="19" spans="1:12">
      <c r="A19" s="375" t="s">
        <v>490</v>
      </c>
      <c r="B19" s="615">
        <v>738.37699508248556</v>
      </c>
      <c r="C19" s="615">
        <v>230.74281096327945</v>
      </c>
      <c r="D19" s="615">
        <v>84.153260468960525</v>
      </c>
      <c r="E19" s="615">
        <v>89.582503079861226</v>
      </c>
      <c r="F19" s="615">
        <v>78.724017858059824</v>
      </c>
      <c r="G19" s="615">
        <v>63.793600678082903</v>
      </c>
      <c r="H19" s="615">
        <v>76.009396552609473</v>
      </c>
      <c r="I19" s="615">
        <v>78.724017858059824</v>
      </c>
      <c r="J19" s="615">
        <v>73.294775247159123</v>
      </c>
      <c r="K19" s="615">
        <v>97.726366996212278</v>
      </c>
      <c r="L19" s="615">
        <v>78.724017858059824</v>
      </c>
    </row>
    <row r="20" spans="1:12" s="72" customFormat="1">
      <c r="A20" s="374" t="s">
        <v>491</v>
      </c>
      <c r="B20" s="614">
        <v>5442.8157174281978</v>
      </c>
      <c r="C20" s="614">
        <v>1070.9181050001396</v>
      </c>
      <c r="D20" s="614">
        <v>457.41368996838372</v>
      </c>
      <c r="E20" s="614">
        <v>298.60834359953822</v>
      </c>
      <c r="F20" s="614">
        <v>249.74516010143191</v>
      </c>
      <c r="G20" s="614">
        <v>248.38784944870673</v>
      </c>
      <c r="H20" s="614">
        <v>248.38784944870673</v>
      </c>
      <c r="I20" s="614">
        <v>240.24398553235568</v>
      </c>
      <c r="J20" s="614">
        <v>263.31826662868366</v>
      </c>
      <c r="K20" s="614">
        <v>245.67322814325638</v>
      </c>
      <c r="L20" s="614">
        <v>270.10481989230954</v>
      </c>
    </row>
    <row r="21" spans="1:12">
      <c r="A21" s="375" t="s">
        <v>491</v>
      </c>
      <c r="B21" s="615">
        <v>5442.8157174281978</v>
      </c>
      <c r="C21" s="615">
        <v>1070.9181050001396</v>
      </c>
      <c r="D21" s="615">
        <v>457.41368996838372</v>
      </c>
      <c r="E21" s="615">
        <v>298.60834359953822</v>
      </c>
      <c r="F21" s="615">
        <v>249.74516010143191</v>
      </c>
      <c r="G21" s="615">
        <v>248.38784944870673</v>
      </c>
      <c r="H21" s="615">
        <v>248.38784944870673</v>
      </c>
      <c r="I21" s="615">
        <v>240.24398553235568</v>
      </c>
      <c r="J21" s="615">
        <v>263.31826662868366</v>
      </c>
      <c r="K21" s="615">
        <v>245.67322814325638</v>
      </c>
      <c r="L21" s="615">
        <v>270.10481989230954</v>
      </c>
    </row>
    <row r="22" spans="1:12">
      <c r="A22" s="374" t="s">
        <v>499</v>
      </c>
      <c r="B22" s="614">
        <v>2772.9856635174383</v>
      </c>
      <c r="C22" s="614">
        <v>1032.9134067238363</v>
      </c>
      <c r="D22" s="614">
        <v>130.30182266161648</v>
      </c>
      <c r="E22" s="614">
        <v>214.45508313057735</v>
      </c>
      <c r="F22" s="614">
        <v>10.858485221801345</v>
      </c>
      <c r="G22" s="614">
        <v>29.860834359953699</v>
      </c>
      <c r="H22" s="614">
        <v>5.4292426109006726</v>
      </c>
      <c r="I22" s="614">
        <v>12.215795874526513</v>
      </c>
      <c r="J22" s="614">
        <v>25.788902401778195</v>
      </c>
      <c r="K22" s="614">
        <v>16.287727832702018</v>
      </c>
      <c r="L22" s="614">
        <v>9.5011745690761771</v>
      </c>
    </row>
    <row r="23" spans="1:12" s="72" customFormat="1">
      <c r="A23" s="375" t="s">
        <v>492</v>
      </c>
      <c r="B23" s="615">
        <v>2772.9856635174383</v>
      </c>
      <c r="C23" s="615">
        <v>1032.9134067238363</v>
      </c>
      <c r="D23" s="615">
        <v>130.30182266161648</v>
      </c>
      <c r="E23" s="615">
        <v>214.45508313057735</v>
      </c>
      <c r="F23" s="615">
        <v>10.858485221801345</v>
      </c>
      <c r="G23" s="615">
        <v>29.860834359953699</v>
      </c>
      <c r="H23" s="615">
        <v>5.4292426109006726</v>
      </c>
      <c r="I23" s="615">
        <v>12.215795874526513</v>
      </c>
      <c r="J23" s="615">
        <v>25.788902401778195</v>
      </c>
      <c r="K23" s="615">
        <v>16.287727832702018</v>
      </c>
      <c r="L23" s="615">
        <v>9.5011745690761771</v>
      </c>
    </row>
    <row r="24" spans="1:12">
      <c r="A24" s="374" t="s">
        <v>493</v>
      </c>
      <c r="B24" s="614">
        <v>1225.6515194108031</v>
      </c>
      <c r="C24" s="614">
        <v>287.74985837773681</v>
      </c>
      <c r="D24" s="614">
        <v>36.64738762357954</v>
      </c>
      <c r="E24" s="614">
        <v>31.218145012678868</v>
      </c>
      <c r="F24" s="614">
        <v>32.575455665404036</v>
      </c>
      <c r="G24" s="614">
        <v>25.788902401778195</v>
      </c>
      <c r="H24" s="614">
        <v>28.503523707228531</v>
      </c>
      <c r="I24" s="614">
        <v>21.71697044360269</v>
      </c>
      <c r="J24" s="614">
        <v>19.002349138152354</v>
      </c>
      <c r="K24" s="614">
        <v>33.932766318129204</v>
      </c>
      <c r="L24" s="614">
        <v>25.788902401778195</v>
      </c>
    </row>
    <row r="25" spans="1:12" s="72" customFormat="1">
      <c r="A25" s="375" t="s">
        <v>493</v>
      </c>
      <c r="B25" s="615">
        <v>1225.6515194108031</v>
      </c>
      <c r="C25" s="615">
        <v>287.74985837773681</v>
      </c>
      <c r="D25" s="615">
        <v>36.64738762357954</v>
      </c>
      <c r="E25" s="615">
        <v>31.218145012678868</v>
      </c>
      <c r="F25" s="615">
        <v>32.575455665404036</v>
      </c>
      <c r="G25" s="615">
        <v>25.788902401778195</v>
      </c>
      <c r="H25" s="615">
        <v>28.503523707228531</v>
      </c>
      <c r="I25" s="615">
        <v>21.71697044360269</v>
      </c>
      <c r="J25" s="615">
        <v>19.002349138152354</v>
      </c>
      <c r="K25" s="615">
        <v>33.932766318129204</v>
      </c>
      <c r="L25" s="615">
        <v>25.788902401778195</v>
      </c>
    </row>
    <row r="26" spans="1:12">
      <c r="A26" s="374" t="s">
        <v>494</v>
      </c>
      <c r="B26" s="614">
        <v>1199.8626170090258</v>
      </c>
      <c r="C26" s="614">
        <v>381.40429341577391</v>
      </c>
      <c r="D26" s="614">
        <v>24.431591749053027</v>
      </c>
      <c r="E26" s="614">
        <v>6.7865532636258408</v>
      </c>
      <c r="F26" s="614">
        <v>4.0719319581755045</v>
      </c>
      <c r="G26" s="614">
        <v>12.215795874526513</v>
      </c>
      <c r="H26" s="614">
        <v>6.7865532636258408</v>
      </c>
      <c r="I26" s="614">
        <v>9.5011745690761771</v>
      </c>
      <c r="J26" s="614">
        <v>20.359659790877522</v>
      </c>
      <c r="K26" s="614">
        <v>6.7865532636258408</v>
      </c>
      <c r="L26" s="614">
        <v>8.1438639163510089</v>
      </c>
    </row>
    <row r="27" spans="1:12" s="72" customFormat="1">
      <c r="A27" s="375" t="s">
        <v>495</v>
      </c>
      <c r="B27" s="615">
        <v>661.01028787715381</v>
      </c>
      <c r="C27" s="615">
        <v>187.30887007607384</v>
      </c>
      <c r="D27" s="615">
        <v>19.002349138152354</v>
      </c>
      <c r="E27" s="615">
        <v>4.0719319581755045</v>
      </c>
      <c r="F27" s="615">
        <v>4.0719319581755045</v>
      </c>
      <c r="G27" s="615">
        <v>10.858485221801345</v>
      </c>
      <c r="H27" s="615">
        <v>5.4292426109006726</v>
      </c>
      <c r="I27" s="615">
        <v>5.4292426109006726</v>
      </c>
      <c r="J27" s="615">
        <v>20.359659790877522</v>
      </c>
      <c r="K27" s="615">
        <v>5.4292426109006726</v>
      </c>
      <c r="L27" s="615">
        <v>5.4292426109006726</v>
      </c>
    </row>
    <row r="28" spans="1:12">
      <c r="A28" s="375" t="s">
        <v>496</v>
      </c>
      <c r="B28" s="615">
        <v>538.85232913189316</v>
      </c>
      <c r="C28" s="615">
        <v>194.09542333969972</v>
      </c>
      <c r="D28" s="615">
        <v>5.4292426109006726</v>
      </c>
      <c r="E28" s="615">
        <v>2.7146213054503363</v>
      </c>
      <c r="F28" s="590">
        <v>0</v>
      </c>
      <c r="G28" s="615">
        <v>1.3573106527251682</v>
      </c>
      <c r="H28" s="615">
        <v>1.3573106527251682</v>
      </c>
      <c r="I28" s="615">
        <v>4.0719319581755045</v>
      </c>
      <c r="J28" s="590">
        <v>0</v>
      </c>
      <c r="K28" s="615">
        <v>1.3573106527251682</v>
      </c>
      <c r="L28" s="615">
        <v>2.7146213054503363</v>
      </c>
    </row>
    <row r="29" spans="1:12">
      <c r="A29" s="374" t="s">
        <v>497</v>
      </c>
      <c r="B29" s="614">
        <v>3398.7058744237179</v>
      </c>
      <c r="C29" s="614">
        <v>1165.9298506908979</v>
      </c>
      <c r="D29" s="614">
        <v>13.573106527251682</v>
      </c>
      <c r="E29" s="614">
        <v>14.93041717997685</v>
      </c>
      <c r="F29" s="614">
        <v>10.858485221801345</v>
      </c>
      <c r="G29" s="614">
        <v>14.93041717997685</v>
      </c>
      <c r="H29" s="614">
        <v>10.858485221801345</v>
      </c>
      <c r="I29" s="614">
        <v>21.71697044360269</v>
      </c>
      <c r="J29" s="614">
        <v>28.503523707228531</v>
      </c>
      <c r="K29" s="614">
        <v>42.076630234480213</v>
      </c>
      <c r="L29" s="614">
        <v>9.5011745690761771</v>
      </c>
    </row>
    <row r="30" spans="1:12">
      <c r="A30" s="375" t="s">
        <v>497</v>
      </c>
      <c r="B30" s="615">
        <v>3398.7058744237179</v>
      </c>
      <c r="C30" s="615">
        <v>1165.9298506908979</v>
      </c>
      <c r="D30" s="615">
        <v>13.573106527251682</v>
      </c>
      <c r="E30" s="615">
        <v>14.93041717997685</v>
      </c>
      <c r="F30" s="615">
        <v>10.858485221801345</v>
      </c>
      <c r="G30" s="615">
        <v>14.93041717997685</v>
      </c>
      <c r="H30" s="615">
        <v>10.858485221801345</v>
      </c>
      <c r="I30" s="615">
        <v>21.71697044360269</v>
      </c>
      <c r="J30" s="615">
        <v>28.503523707228531</v>
      </c>
      <c r="K30" s="615">
        <v>42.076630234480213</v>
      </c>
      <c r="L30" s="615">
        <v>9.5011745690761771</v>
      </c>
    </row>
    <row r="31" spans="1:12" s="72" customFormat="1">
      <c r="A31" s="374" t="s">
        <v>498</v>
      </c>
      <c r="B31" s="614">
        <v>1102.1362500128173</v>
      </c>
      <c r="C31" s="614">
        <v>371.90311884669768</v>
      </c>
      <c r="D31" s="614">
        <v>226.67087900510393</v>
      </c>
      <c r="E31" s="614">
        <v>185.95155942334867</v>
      </c>
      <c r="F31" s="614">
        <v>104.51292025983815</v>
      </c>
      <c r="G31" s="614">
        <v>100.44098830166263</v>
      </c>
      <c r="H31" s="614">
        <v>89.582503079861226</v>
      </c>
      <c r="I31" s="614">
        <v>76.009396552609473</v>
      </c>
      <c r="J31" s="614">
        <v>95.011745690761927</v>
      </c>
      <c r="K31" s="614">
        <v>100.44098830166263</v>
      </c>
      <c r="L31" s="614">
        <v>114.01409482891438</v>
      </c>
    </row>
    <row r="32" spans="1:12">
      <c r="A32" s="375" t="s">
        <v>498</v>
      </c>
      <c r="B32" s="615">
        <v>1102.1362500128173</v>
      </c>
      <c r="C32" s="615">
        <v>371.90311884669768</v>
      </c>
      <c r="D32" s="615">
        <v>226.67087900510393</v>
      </c>
      <c r="E32" s="615">
        <v>185.95155942334867</v>
      </c>
      <c r="F32" s="615">
        <v>104.51292025983815</v>
      </c>
      <c r="G32" s="615">
        <v>100.44098830166263</v>
      </c>
      <c r="H32" s="615">
        <v>89.582503079861226</v>
      </c>
      <c r="I32" s="615">
        <v>76.009396552609473</v>
      </c>
      <c r="J32" s="615">
        <v>95.011745690761927</v>
      </c>
      <c r="K32" s="615">
        <v>100.44098830166263</v>
      </c>
      <c r="L32" s="615">
        <v>114.01409482891438</v>
      </c>
    </row>
    <row r="34" spans="2:12" s="105" customFormat="1">
      <c r="B34" s="560"/>
      <c r="C34" s="560"/>
      <c r="D34" s="560"/>
      <c r="E34" s="560"/>
      <c r="F34" s="560"/>
      <c r="G34" s="560"/>
      <c r="H34" s="560"/>
      <c r="I34" s="560"/>
      <c r="J34" s="560"/>
      <c r="K34" s="560"/>
      <c r="L34" s="560"/>
    </row>
    <row r="36" spans="2:12" s="72" customFormat="1">
      <c r="B36" s="560"/>
      <c r="C36" s="560"/>
      <c r="D36" s="560"/>
      <c r="E36" s="560"/>
      <c r="F36" s="560"/>
      <c r="G36" s="560"/>
      <c r="H36" s="560"/>
      <c r="I36" s="560"/>
      <c r="J36" s="560"/>
      <c r="K36" s="560"/>
      <c r="L36" s="560"/>
    </row>
    <row r="38" spans="2:12" s="72" customFormat="1">
      <c r="B38" s="560"/>
      <c r="C38" s="560"/>
      <c r="D38" s="560"/>
      <c r="E38" s="560"/>
      <c r="F38" s="560"/>
      <c r="G38" s="560"/>
      <c r="H38" s="560"/>
      <c r="I38" s="560"/>
      <c r="J38" s="560"/>
      <c r="K38" s="560"/>
      <c r="L38" s="560"/>
    </row>
    <row r="41" spans="2:12" s="72" customFormat="1">
      <c r="B41" s="560"/>
      <c r="C41" s="560"/>
      <c r="D41" s="560"/>
      <c r="E41" s="560"/>
      <c r="F41" s="560"/>
      <c r="G41" s="560"/>
      <c r="H41" s="560"/>
      <c r="I41" s="560"/>
      <c r="J41" s="560"/>
      <c r="K41" s="560"/>
      <c r="L41" s="560"/>
    </row>
  </sheetData>
  <mergeCells count="14">
    <mergeCell ref="A1:L1"/>
    <mergeCell ref="B3:B5"/>
    <mergeCell ref="C3:L3"/>
    <mergeCell ref="A4:A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</mergeCell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30"/>
  <sheetViews>
    <sheetView zoomScale="120" zoomScaleNormal="120" workbookViewId="0">
      <selection activeCell="K12" sqref="K12"/>
    </sheetView>
  </sheetViews>
  <sheetFormatPr defaultColWidth="9.140625" defaultRowHeight="12"/>
  <cols>
    <col min="1" max="1" width="21.42578125" style="69" customWidth="1"/>
    <col min="2" max="2" width="11.140625" style="69" customWidth="1"/>
    <col min="3" max="3" width="13.7109375" style="69" customWidth="1"/>
    <col min="4" max="4" width="11.140625" style="69" customWidth="1"/>
    <col min="5" max="5" width="11.28515625" style="69" customWidth="1"/>
    <col min="6" max="16384" width="9.140625" style="69"/>
  </cols>
  <sheetData>
    <row r="1" spans="1:5" ht="38.25" customHeight="1">
      <c r="A1" s="896" t="s">
        <v>298</v>
      </c>
      <c r="B1" s="896"/>
      <c r="C1" s="896"/>
      <c r="D1" s="896"/>
      <c r="E1" s="896"/>
    </row>
    <row r="2" spans="1:5" ht="25.5" customHeight="1">
      <c r="A2" s="897" t="s">
        <v>445</v>
      </c>
      <c r="B2" s="899" t="s">
        <v>48</v>
      </c>
      <c r="C2" s="899" t="s">
        <v>299</v>
      </c>
      <c r="D2" s="899"/>
      <c r="E2" s="899"/>
    </row>
    <row r="3" spans="1:5" ht="20.25" customHeight="1">
      <c r="A3" s="898"/>
      <c r="B3" s="900"/>
      <c r="C3" s="376" t="s">
        <v>300</v>
      </c>
      <c r="D3" s="376" t="s">
        <v>301</v>
      </c>
      <c r="E3" s="376" t="s">
        <v>107</v>
      </c>
    </row>
    <row r="4" spans="1:5">
      <c r="A4" s="377" t="s">
        <v>500</v>
      </c>
      <c r="B4" s="249">
        <v>35852.003581091936</v>
      </c>
      <c r="C4" s="249">
        <v>12063.777081423543</v>
      </c>
      <c r="D4" s="249">
        <v>23781.439946403414</v>
      </c>
      <c r="E4" s="595">
        <v>6.7865532636258408</v>
      </c>
    </row>
    <row r="5" spans="1:5" ht="15" customHeight="1">
      <c r="A5" s="378"/>
      <c r="B5" s="24"/>
      <c r="C5" s="24"/>
      <c r="D5" s="24"/>
      <c r="E5" s="589"/>
    </row>
    <row r="6" spans="1:5">
      <c r="A6" s="306" t="s">
        <v>111</v>
      </c>
      <c r="B6" s="249"/>
      <c r="C6" s="249"/>
      <c r="D6" s="249"/>
      <c r="E6" s="595"/>
    </row>
    <row r="7" spans="1:5">
      <c r="A7" s="308" t="s">
        <v>4</v>
      </c>
      <c r="B7" s="23">
        <v>13608.396604225245</v>
      </c>
      <c r="C7" s="23">
        <v>4701.7241010400348</v>
      </c>
      <c r="D7" s="23">
        <v>8899.8859499202317</v>
      </c>
      <c r="E7" s="590">
        <v>6.7865532636258408</v>
      </c>
    </row>
    <row r="8" spans="1:5" ht="14.25" customHeight="1">
      <c r="A8" s="308" t="s">
        <v>5</v>
      </c>
      <c r="B8" s="23">
        <v>22243.60697686534</v>
      </c>
      <c r="C8" s="23">
        <v>7362.0529803821582</v>
      </c>
      <c r="D8" s="23">
        <v>14881.553996481833</v>
      </c>
      <c r="E8" s="590">
        <v>0</v>
      </c>
    </row>
    <row r="9" spans="1:5" s="72" customFormat="1">
      <c r="A9" s="306" t="s">
        <v>448</v>
      </c>
      <c r="B9" s="249"/>
      <c r="C9" s="249"/>
      <c r="D9" s="249"/>
      <c r="E9" s="595"/>
    </row>
    <row r="10" spans="1:5">
      <c r="A10" s="379" t="s">
        <v>486</v>
      </c>
      <c r="B10" s="24">
        <v>5240.5764301720874</v>
      </c>
      <c r="C10" s="24">
        <v>346.11421644491935</v>
      </c>
      <c r="D10" s="24">
        <v>4893.1049030743407</v>
      </c>
      <c r="E10" s="589">
        <v>1.3573106527251682</v>
      </c>
    </row>
    <row r="11" spans="1:5" s="72" customFormat="1">
      <c r="A11" s="380" t="s">
        <v>486</v>
      </c>
      <c r="B11" s="23">
        <v>5240.5764301720874</v>
      </c>
      <c r="C11" s="23">
        <v>346.11421644491935</v>
      </c>
      <c r="D11" s="23">
        <v>4893.1049030743407</v>
      </c>
      <c r="E11" s="590">
        <v>1.3573106527251682</v>
      </c>
    </row>
    <row r="12" spans="1:5">
      <c r="A12" s="379" t="s">
        <v>487</v>
      </c>
      <c r="B12" s="24">
        <v>13317.932124541972</v>
      </c>
      <c r="C12" s="24">
        <v>6593.8151509394838</v>
      </c>
      <c r="D12" s="24">
        <v>6720.0450416429621</v>
      </c>
      <c r="E12" s="589">
        <v>4.0719319581755045</v>
      </c>
    </row>
    <row r="13" spans="1:5">
      <c r="A13" s="380" t="s">
        <v>487</v>
      </c>
      <c r="B13" s="23">
        <v>12027.129693799952</v>
      </c>
      <c r="C13" s="23">
        <v>5926.0183097985018</v>
      </c>
      <c r="D13" s="23">
        <v>6097.0394520419241</v>
      </c>
      <c r="E13" s="590">
        <v>4.0719319581755045</v>
      </c>
    </row>
    <row r="14" spans="1:5" s="72" customFormat="1">
      <c r="A14" s="380" t="s">
        <v>488</v>
      </c>
      <c r="B14" s="23">
        <v>1290.8024307416088</v>
      </c>
      <c r="C14" s="23">
        <v>667.79684114077941</v>
      </c>
      <c r="D14" s="23">
        <v>623.0055896008505</v>
      </c>
      <c r="E14" s="590">
        <v>0</v>
      </c>
    </row>
    <row r="15" spans="1:5">
      <c r="A15" s="379" t="s">
        <v>489</v>
      </c>
      <c r="B15" s="24">
        <v>2151.3373845693341</v>
      </c>
      <c r="C15" s="24">
        <v>248.38784944870673</v>
      </c>
      <c r="D15" s="24">
        <v>1902.9495351206372</v>
      </c>
      <c r="E15" s="589">
        <v>0</v>
      </c>
    </row>
    <row r="16" spans="1:5" s="72" customFormat="1">
      <c r="A16" s="380" t="s">
        <v>489</v>
      </c>
      <c r="B16" s="23">
        <v>1412.9603894868694</v>
      </c>
      <c r="C16" s="23">
        <v>176.45038485427244</v>
      </c>
      <c r="D16" s="23">
        <v>1236.510004632604</v>
      </c>
      <c r="E16" s="590">
        <v>0</v>
      </c>
    </row>
    <row r="17" spans="1:5">
      <c r="A17" s="380" t="s">
        <v>490</v>
      </c>
      <c r="B17" s="23">
        <v>738.37699508248556</v>
      </c>
      <c r="C17" s="23">
        <v>71.937464594433948</v>
      </c>
      <c r="D17" s="23">
        <v>666.43953048805429</v>
      </c>
      <c r="E17" s="590">
        <v>0</v>
      </c>
    </row>
    <row r="18" spans="1:5" s="72" customFormat="1">
      <c r="A18" s="379" t="s">
        <v>491</v>
      </c>
      <c r="B18" s="24">
        <v>5442.8157174281978</v>
      </c>
      <c r="C18" s="24">
        <v>1818.7962746516798</v>
      </c>
      <c r="D18" s="24">
        <v>3624.0194427760875</v>
      </c>
      <c r="E18" s="589">
        <v>0</v>
      </c>
    </row>
    <row r="19" spans="1:5">
      <c r="A19" s="380" t="s">
        <v>491</v>
      </c>
      <c r="B19" s="23">
        <v>5442.8157174281978</v>
      </c>
      <c r="C19" s="23">
        <v>1818.7962746516798</v>
      </c>
      <c r="D19" s="23">
        <v>3624.0194427760875</v>
      </c>
      <c r="E19" s="590">
        <v>0</v>
      </c>
    </row>
    <row r="20" spans="1:5" s="72" customFormat="1">
      <c r="A20" s="379" t="s">
        <v>499</v>
      </c>
      <c r="B20" s="24">
        <v>2772.9856635174383</v>
      </c>
      <c r="C20" s="24">
        <v>1387.1714870850922</v>
      </c>
      <c r="D20" s="24">
        <v>1385.814176432367</v>
      </c>
      <c r="E20" s="589">
        <v>0</v>
      </c>
    </row>
    <row r="21" spans="1:5" ht="15.75" customHeight="1">
      <c r="A21" s="380" t="s">
        <v>492</v>
      </c>
      <c r="B21" s="23">
        <v>2772.9856635174383</v>
      </c>
      <c r="C21" s="23">
        <v>1387.1714870850922</v>
      </c>
      <c r="D21" s="23">
        <v>1385.814176432367</v>
      </c>
      <c r="E21" s="590">
        <v>0</v>
      </c>
    </row>
    <row r="22" spans="1:5">
      <c r="A22" s="379" t="s">
        <v>493</v>
      </c>
      <c r="B22" s="24">
        <v>1225.6515194108031</v>
      </c>
      <c r="C22" s="24">
        <v>70.580153941708772</v>
      </c>
      <c r="D22" s="24">
        <v>1153.7140548163718</v>
      </c>
      <c r="E22" s="589">
        <v>1.3573106527251682</v>
      </c>
    </row>
    <row r="23" spans="1:5" s="72" customFormat="1">
      <c r="A23" s="380" t="s">
        <v>493</v>
      </c>
      <c r="B23" s="23">
        <v>1225.6515194108031</v>
      </c>
      <c r="C23" s="23">
        <v>70.580153941708772</v>
      </c>
      <c r="D23" s="23">
        <v>1153.7140548163718</v>
      </c>
      <c r="E23" s="590">
        <v>1.3573106527251682</v>
      </c>
    </row>
    <row r="24" spans="1:5">
      <c r="A24" s="379" t="s">
        <v>494</v>
      </c>
      <c r="B24" s="24">
        <v>1199.8626170090258</v>
      </c>
      <c r="C24" s="24">
        <v>20.359659790877522</v>
      </c>
      <c r="D24" s="24">
        <v>1179.502957218149</v>
      </c>
      <c r="E24" s="589">
        <v>0</v>
      </c>
    </row>
    <row r="25" spans="1:5" s="72" customFormat="1" ht="15" customHeight="1">
      <c r="A25" s="380" t="s">
        <v>495</v>
      </c>
      <c r="B25" s="23">
        <v>661.01028787715381</v>
      </c>
      <c r="C25" s="23">
        <v>10.858485221801345</v>
      </c>
      <c r="D25" s="23">
        <v>650.15180265535287</v>
      </c>
      <c r="E25" s="590">
        <v>0</v>
      </c>
    </row>
    <row r="26" spans="1:5">
      <c r="A26" s="380" t="s">
        <v>496</v>
      </c>
      <c r="B26" s="23">
        <v>538.85232913189316</v>
      </c>
      <c r="C26" s="23">
        <v>9.5011745690761771</v>
      </c>
      <c r="D26" s="23">
        <v>529.35115456281733</v>
      </c>
      <c r="E26" s="590">
        <v>0</v>
      </c>
    </row>
    <row r="27" spans="1:5" s="72" customFormat="1">
      <c r="A27" s="379" t="s">
        <v>497</v>
      </c>
      <c r="B27" s="24">
        <v>3398.7058744237179</v>
      </c>
      <c r="C27" s="24">
        <v>1491.6844073449263</v>
      </c>
      <c r="D27" s="24">
        <v>1907.0214670788125</v>
      </c>
      <c r="E27" s="589">
        <v>0</v>
      </c>
    </row>
    <row r="28" spans="1:5">
      <c r="A28" s="380" t="s">
        <v>497</v>
      </c>
      <c r="B28" s="23">
        <v>3398.7058744237179</v>
      </c>
      <c r="C28" s="23">
        <v>1491.6844073449263</v>
      </c>
      <c r="D28" s="23">
        <v>1907.0214670788125</v>
      </c>
      <c r="E28" s="590">
        <v>0</v>
      </c>
    </row>
    <row r="29" spans="1:5">
      <c r="A29" s="379" t="s">
        <v>498</v>
      </c>
      <c r="B29" s="24">
        <v>1102.1362500128173</v>
      </c>
      <c r="C29" s="24">
        <v>86.867881774410876</v>
      </c>
      <c r="D29" s="24">
        <v>1015.2683682384097</v>
      </c>
      <c r="E29" s="589">
        <v>0</v>
      </c>
    </row>
    <row r="30" spans="1:5">
      <c r="A30" s="380" t="s">
        <v>498</v>
      </c>
      <c r="B30" s="23">
        <v>1102.1362500128173</v>
      </c>
      <c r="C30" s="23">
        <v>86.867881774410876</v>
      </c>
      <c r="D30" s="23">
        <v>1015.2683682384097</v>
      </c>
      <c r="E30" s="590">
        <v>0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41"/>
  <sheetViews>
    <sheetView zoomScale="120" zoomScaleNormal="120" workbookViewId="0">
      <selection activeCell="K20" sqref="K20"/>
    </sheetView>
  </sheetViews>
  <sheetFormatPr defaultColWidth="9.140625" defaultRowHeight="12"/>
  <cols>
    <col min="1" max="1" width="24.42578125" style="69" customWidth="1"/>
    <col min="2" max="2" width="10.5703125" style="75" customWidth="1"/>
    <col min="3" max="4" width="11.28515625" style="75" customWidth="1"/>
    <col min="5" max="5" width="9.140625" style="75" customWidth="1"/>
    <col min="6" max="6" width="19.5703125" style="75" customWidth="1"/>
    <col min="7" max="16384" width="9.140625" style="69"/>
  </cols>
  <sheetData>
    <row r="1" spans="1:6" ht="21.75" customHeight="1">
      <c r="A1" s="905" t="s">
        <v>292</v>
      </c>
      <c r="B1" s="905"/>
      <c r="C1" s="905"/>
      <c r="D1" s="905"/>
      <c r="E1" s="905"/>
      <c r="F1" s="905"/>
    </row>
    <row r="2" spans="1:6" ht="15" customHeight="1">
      <c r="A2" s="901" t="s">
        <v>445</v>
      </c>
      <c r="B2" s="903" t="s">
        <v>48</v>
      </c>
      <c r="C2" s="903" t="s">
        <v>293</v>
      </c>
      <c r="D2" s="906" t="s">
        <v>294</v>
      </c>
      <c r="E2" s="906"/>
      <c r="F2" s="906"/>
    </row>
    <row r="3" spans="1:6" ht="62.25" customHeight="1">
      <c r="A3" s="902"/>
      <c r="B3" s="904"/>
      <c r="C3" s="904"/>
      <c r="D3" s="506" t="s">
        <v>295</v>
      </c>
      <c r="E3" s="506" t="s">
        <v>296</v>
      </c>
      <c r="F3" s="506" t="s">
        <v>297</v>
      </c>
    </row>
    <row r="4" spans="1:6">
      <c r="A4" s="381" t="s">
        <v>500</v>
      </c>
      <c r="B4" s="613">
        <v>35852.003581091936</v>
      </c>
      <c r="C4" s="613">
        <v>12063.777081423543</v>
      </c>
      <c r="D4" s="613">
        <v>10239.551564160372</v>
      </c>
      <c r="E4" s="613">
        <v>86.867881774410876</v>
      </c>
      <c r="F4" s="613">
        <v>1737.3576354881727</v>
      </c>
    </row>
    <row r="5" spans="1:6">
      <c r="A5" s="382"/>
      <c r="B5" s="615"/>
      <c r="C5" s="615"/>
      <c r="D5" s="615"/>
      <c r="E5" s="615"/>
      <c r="F5" s="615"/>
    </row>
    <row r="6" spans="1:6">
      <c r="A6" s="306" t="s">
        <v>111</v>
      </c>
      <c r="B6" s="613"/>
      <c r="C6" s="613"/>
      <c r="D6" s="613"/>
      <c r="E6" s="613"/>
      <c r="F6" s="613"/>
    </row>
    <row r="7" spans="1:6">
      <c r="A7" s="308" t="s">
        <v>4</v>
      </c>
      <c r="B7" s="615">
        <v>13608.396604225245</v>
      </c>
      <c r="C7" s="615">
        <v>4701.7241010400348</v>
      </c>
      <c r="D7" s="615">
        <v>3766.537061312225</v>
      </c>
      <c r="E7" s="590">
        <v>48.863183498106054</v>
      </c>
      <c r="F7" s="590">
        <v>886.32385622952347</v>
      </c>
    </row>
    <row r="8" spans="1:6" ht="15" customHeight="1">
      <c r="A8" s="308" t="s">
        <v>5</v>
      </c>
      <c r="B8" s="615">
        <v>22243.60697686534</v>
      </c>
      <c r="C8" s="615">
        <v>7362.0529803821582</v>
      </c>
      <c r="D8" s="615">
        <v>6473.0145028469078</v>
      </c>
      <c r="E8" s="590">
        <v>38.004698276304708</v>
      </c>
      <c r="F8" s="590">
        <v>851.03377925867039</v>
      </c>
    </row>
    <row r="9" spans="1:6" s="72" customFormat="1" ht="12.75" customHeight="1">
      <c r="A9" s="306" t="s">
        <v>448</v>
      </c>
      <c r="B9" s="613"/>
      <c r="C9" s="613"/>
      <c r="D9" s="613"/>
      <c r="E9" s="595"/>
      <c r="F9" s="595"/>
    </row>
    <row r="10" spans="1:6">
      <c r="A10" s="383" t="s">
        <v>486</v>
      </c>
      <c r="B10" s="614">
        <v>5240.5764301720874</v>
      </c>
      <c r="C10" s="614">
        <v>346.11421644491935</v>
      </c>
      <c r="D10" s="589">
        <v>5.4292426109006726</v>
      </c>
      <c r="E10" s="589">
        <v>1.3573106527251682</v>
      </c>
      <c r="F10" s="589">
        <v>339.32766318129347</v>
      </c>
    </row>
    <row r="11" spans="1:6" s="72" customFormat="1">
      <c r="A11" s="384" t="s">
        <v>486</v>
      </c>
      <c r="B11" s="615">
        <v>5240.5764301720874</v>
      </c>
      <c r="C11" s="615">
        <v>346.11421644491935</v>
      </c>
      <c r="D11" s="590">
        <v>5.4292426109006726</v>
      </c>
      <c r="E11" s="590">
        <v>1.3573106527251682</v>
      </c>
      <c r="F11" s="590">
        <v>339.32766318129347</v>
      </c>
    </row>
    <row r="12" spans="1:6">
      <c r="A12" s="383" t="s">
        <v>487</v>
      </c>
      <c r="B12" s="614">
        <v>13317.932124541972</v>
      </c>
      <c r="C12" s="614">
        <v>6593.8151509394838</v>
      </c>
      <c r="D12" s="589">
        <v>5803.8603510532002</v>
      </c>
      <c r="E12" s="589">
        <v>66.508221983533247</v>
      </c>
      <c r="F12" s="589">
        <v>723.44657790250926</v>
      </c>
    </row>
    <row r="13" spans="1:6">
      <c r="A13" s="384" t="s">
        <v>487</v>
      </c>
      <c r="B13" s="615">
        <v>12027.129693799952</v>
      </c>
      <c r="C13" s="615">
        <v>5926.0183097985018</v>
      </c>
      <c r="D13" s="590">
        <v>5144.2073738285717</v>
      </c>
      <c r="E13" s="590">
        <v>61.078979372632567</v>
      </c>
      <c r="F13" s="590">
        <v>720.73195659705902</v>
      </c>
    </row>
    <row r="14" spans="1:6" s="72" customFormat="1">
      <c r="A14" s="384" t="s">
        <v>488</v>
      </c>
      <c r="B14" s="615">
        <v>1290.8024307416088</v>
      </c>
      <c r="C14" s="615">
        <v>667.79684114077941</v>
      </c>
      <c r="D14" s="590">
        <v>659.6529772244287</v>
      </c>
      <c r="E14" s="590">
        <v>5.4292426109006726</v>
      </c>
      <c r="F14" s="590">
        <v>2.7146213054503363</v>
      </c>
    </row>
    <row r="15" spans="1:6">
      <c r="A15" s="383" t="s">
        <v>489</v>
      </c>
      <c r="B15" s="614">
        <v>2151.3373845693341</v>
      </c>
      <c r="C15" s="614">
        <v>248.38784944870673</v>
      </c>
      <c r="D15" s="589">
        <v>1.3573106527251682</v>
      </c>
      <c r="E15" s="589">
        <v>1.3573106527251682</v>
      </c>
      <c r="F15" s="589">
        <v>245.67322814325638</v>
      </c>
    </row>
    <row r="16" spans="1:6" s="72" customFormat="1">
      <c r="A16" s="384" t="s">
        <v>489</v>
      </c>
      <c r="B16" s="615">
        <v>1412.9603894868694</v>
      </c>
      <c r="C16" s="615">
        <v>176.45038485427244</v>
      </c>
      <c r="D16" s="590">
        <v>1.3573106527251682</v>
      </c>
      <c r="E16" s="590">
        <v>1.3573106527251682</v>
      </c>
      <c r="F16" s="590">
        <v>173.73576354882209</v>
      </c>
    </row>
    <row r="17" spans="1:6">
      <c r="A17" s="384" t="s">
        <v>490</v>
      </c>
      <c r="B17" s="615">
        <v>738.37699508248556</v>
      </c>
      <c r="C17" s="615">
        <v>71.937464594433948</v>
      </c>
      <c r="D17" s="590">
        <v>0</v>
      </c>
      <c r="E17" s="590">
        <v>0</v>
      </c>
      <c r="F17" s="590">
        <v>71.937464594433948</v>
      </c>
    </row>
    <row r="18" spans="1:6" s="72" customFormat="1">
      <c r="A18" s="383" t="s">
        <v>491</v>
      </c>
      <c r="B18" s="614">
        <v>5442.8157174281978</v>
      </c>
      <c r="C18" s="614">
        <v>1818.7962746516798</v>
      </c>
      <c r="D18" s="589">
        <v>1567.6938038975329</v>
      </c>
      <c r="E18" s="589">
        <v>8.1438639163510089</v>
      </c>
      <c r="F18" s="589">
        <v>242.95860683780603</v>
      </c>
    </row>
    <row r="19" spans="1:6">
      <c r="A19" s="384" t="s">
        <v>491</v>
      </c>
      <c r="B19" s="615">
        <v>5442.8157174281978</v>
      </c>
      <c r="C19" s="615">
        <v>1818.7962746516798</v>
      </c>
      <c r="D19" s="590">
        <v>1567.6938038975329</v>
      </c>
      <c r="E19" s="590">
        <v>8.1438639163510089</v>
      </c>
      <c r="F19" s="590">
        <v>242.95860683780603</v>
      </c>
    </row>
    <row r="20" spans="1:6" s="72" customFormat="1">
      <c r="A20" s="383" t="s">
        <v>499</v>
      </c>
      <c r="B20" s="614">
        <v>2772.9856635174383</v>
      </c>
      <c r="C20" s="614">
        <v>1387.1714870850922</v>
      </c>
      <c r="D20" s="589">
        <v>1383.0995551269168</v>
      </c>
      <c r="E20" s="589">
        <v>1.3573106527251682</v>
      </c>
      <c r="F20" s="589">
        <v>2.7146213054503363</v>
      </c>
    </row>
    <row r="21" spans="1:6" s="72" customFormat="1">
      <c r="A21" s="384" t="s">
        <v>492</v>
      </c>
      <c r="B21" s="615">
        <v>2772.9856635174383</v>
      </c>
      <c r="C21" s="615">
        <v>1387.1714870850922</v>
      </c>
      <c r="D21" s="590">
        <v>1383.0995551269168</v>
      </c>
      <c r="E21" s="590">
        <v>1.3573106527251682</v>
      </c>
      <c r="F21" s="590">
        <v>2.7146213054503363</v>
      </c>
    </row>
    <row r="22" spans="1:6">
      <c r="A22" s="383" t="s">
        <v>493</v>
      </c>
      <c r="B22" s="614">
        <v>1225.6515194108031</v>
      </c>
      <c r="C22" s="614">
        <v>70.580153941708772</v>
      </c>
      <c r="D22" s="589">
        <v>0</v>
      </c>
      <c r="E22" s="589">
        <v>2.7146213054503363</v>
      </c>
      <c r="F22" s="589">
        <v>67.865532636258422</v>
      </c>
    </row>
    <row r="23" spans="1:6" s="72" customFormat="1">
      <c r="A23" s="384" t="s">
        <v>493</v>
      </c>
      <c r="B23" s="615">
        <v>1225.6515194108031</v>
      </c>
      <c r="C23" s="615">
        <v>70.580153941708772</v>
      </c>
      <c r="D23" s="590">
        <v>0</v>
      </c>
      <c r="E23" s="590">
        <v>2.7146213054503363</v>
      </c>
      <c r="F23" s="590">
        <v>67.865532636258422</v>
      </c>
    </row>
    <row r="24" spans="1:6">
      <c r="A24" s="383" t="s">
        <v>494</v>
      </c>
      <c r="B24" s="614">
        <v>1199.8626170090258</v>
      </c>
      <c r="C24" s="614">
        <v>20.359659790877522</v>
      </c>
      <c r="D24" s="589">
        <v>0</v>
      </c>
      <c r="E24" s="589">
        <v>0</v>
      </c>
      <c r="F24" s="589">
        <v>20.359659790877522</v>
      </c>
    </row>
    <row r="25" spans="1:6" s="72" customFormat="1">
      <c r="A25" s="384" t="s">
        <v>495</v>
      </c>
      <c r="B25" s="615">
        <v>661.01028787715381</v>
      </c>
      <c r="C25" s="615">
        <v>10.858485221801345</v>
      </c>
      <c r="D25" s="590">
        <v>0</v>
      </c>
      <c r="E25" s="590">
        <v>0</v>
      </c>
      <c r="F25" s="590">
        <v>10.858485221801345</v>
      </c>
    </row>
    <row r="26" spans="1:6">
      <c r="A26" s="384" t="s">
        <v>496</v>
      </c>
      <c r="B26" s="615">
        <v>538.85232913189316</v>
      </c>
      <c r="C26" s="615">
        <v>9.5011745690761771</v>
      </c>
      <c r="D26" s="590">
        <v>0</v>
      </c>
      <c r="E26" s="590">
        <v>0</v>
      </c>
      <c r="F26" s="590">
        <v>9.5011745690761771</v>
      </c>
    </row>
    <row r="27" spans="1:6" s="72" customFormat="1">
      <c r="A27" s="383" t="s">
        <v>497</v>
      </c>
      <c r="B27" s="614">
        <v>3398.7058744237179</v>
      </c>
      <c r="C27" s="614">
        <v>1491.6844073449263</v>
      </c>
      <c r="D27" s="589">
        <v>1472.6820582067746</v>
      </c>
      <c r="E27" s="589">
        <v>5.4292426109006726</v>
      </c>
      <c r="F27" s="589">
        <v>13.573106527251682</v>
      </c>
    </row>
    <row r="28" spans="1:6">
      <c r="A28" s="384" t="s">
        <v>497</v>
      </c>
      <c r="B28" s="615">
        <v>3398.7058744237179</v>
      </c>
      <c r="C28" s="615">
        <v>1491.6844073449263</v>
      </c>
      <c r="D28" s="590">
        <v>1472.6820582067746</v>
      </c>
      <c r="E28" s="590">
        <v>5.4292426109006726</v>
      </c>
      <c r="F28" s="590">
        <v>13.573106527251682</v>
      </c>
    </row>
    <row r="29" spans="1:6" s="72" customFormat="1">
      <c r="A29" s="383" t="s">
        <v>498</v>
      </c>
      <c r="B29" s="614">
        <v>1102.1362500128173</v>
      </c>
      <c r="C29" s="614">
        <v>86.867881774410876</v>
      </c>
      <c r="D29" s="589">
        <v>5.4292426109006726</v>
      </c>
      <c r="E29" s="589">
        <v>0</v>
      </c>
      <c r="F29" s="589">
        <v>81.438639163510175</v>
      </c>
    </row>
    <row r="30" spans="1:6">
      <c r="A30" s="384" t="s">
        <v>498</v>
      </c>
      <c r="B30" s="615">
        <v>1102.1362500128173</v>
      </c>
      <c r="C30" s="615">
        <v>86.867881774410876</v>
      </c>
      <c r="D30" s="590">
        <v>5.4292426109006726</v>
      </c>
      <c r="E30" s="590">
        <v>0</v>
      </c>
      <c r="F30" s="590">
        <v>81.438639163510175</v>
      </c>
    </row>
    <row r="31" spans="1:6" s="72" customFormat="1">
      <c r="B31" s="560"/>
      <c r="C31" s="560"/>
      <c r="D31" s="560"/>
      <c r="E31" s="560"/>
      <c r="F31" s="560"/>
    </row>
    <row r="34" spans="2:6" s="72" customFormat="1">
      <c r="B34" s="560"/>
      <c r="C34" s="560"/>
      <c r="D34" s="560"/>
      <c r="E34" s="560"/>
      <c r="F34" s="560"/>
    </row>
    <row r="36" spans="2:6" s="72" customFormat="1">
      <c r="B36" s="560"/>
      <c r="C36" s="560"/>
      <c r="D36" s="560"/>
      <c r="E36" s="560"/>
      <c r="F36" s="560"/>
    </row>
    <row r="38" spans="2:6" s="72" customFormat="1">
      <c r="B38" s="560"/>
      <c r="C38" s="560"/>
      <c r="D38" s="560"/>
      <c r="E38" s="560"/>
      <c r="F38" s="560"/>
    </row>
    <row r="41" spans="2:6" s="72" customFormat="1">
      <c r="B41" s="560"/>
      <c r="C41" s="560"/>
      <c r="D41" s="560"/>
      <c r="E41" s="560"/>
      <c r="F41" s="560"/>
    </row>
  </sheetData>
  <mergeCells count="5">
    <mergeCell ref="A2:A3"/>
    <mergeCell ref="B2:B3"/>
    <mergeCell ref="C2:C3"/>
    <mergeCell ref="A1:F1"/>
    <mergeCell ref="D2:F2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30"/>
  <sheetViews>
    <sheetView zoomScale="120" zoomScaleNormal="120" workbookViewId="0">
      <selection activeCell="F5" sqref="F5"/>
    </sheetView>
  </sheetViews>
  <sheetFormatPr defaultColWidth="9.140625" defaultRowHeight="12"/>
  <cols>
    <col min="1" max="1" width="23.7109375" style="69" customWidth="1"/>
    <col min="2" max="2" width="11.140625" style="69" bestFit="1" customWidth="1"/>
    <col min="3" max="3" width="11.7109375" style="69" customWidth="1"/>
    <col min="4" max="4" width="15.7109375" style="69" customWidth="1"/>
    <col min="5" max="16384" width="9.140625" style="69"/>
  </cols>
  <sheetData>
    <row r="1" spans="1:4" ht="27.75" customHeight="1">
      <c r="A1" s="907" t="s">
        <v>291</v>
      </c>
      <c r="B1" s="907"/>
      <c r="C1" s="907"/>
      <c r="D1" s="907"/>
    </row>
    <row r="2" spans="1:4" ht="15" customHeight="1">
      <c r="A2" s="908" t="s">
        <v>445</v>
      </c>
      <c r="B2" s="910" t="s">
        <v>48</v>
      </c>
      <c r="C2" s="912" t="s">
        <v>549</v>
      </c>
      <c r="D2" s="912"/>
    </row>
    <row r="3" spans="1:4" ht="22.5" customHeight="1">
      <c r="A3" s="909"/>
      <c r="B3" s="911"/>
      <c r="C3" s="385" t="s">
        <v>2</v>
      </c>
      <c r="D3" s="385" t="s">
        <v>3</v>
      </c>
    </row>
    <row r="4" spans="1:4">
      <c r="A4" s="386" t="s">
        <v>500</v>
      </c>
      <c r="B4" s="175">
        <v>35852.003581091936</v>
      </c>
      <c r="C4" s="175">
        <v>21183.547357086667</v>
      </c>
      <c r="D4" s="175">
        <v>14668.456224003918</v>
      </c>
    </row>
    <row r="5" spans="1:4">
      <c r="A5" s="387"/>
      <c r="B5" s="21"/>
      <c r="C5" s="21"/>
      <c r="D5" s="21"/>
    </row>
    <row r="6" spans="1:4">
      <c r="A6" s="306" t="s">
        <v>111</v>
      </c>
      <c r="B6" s="175"/>
      <c r="C6" s="175"/>
      <c r="D6" s="175"/>
    </row>
    <row r="7" spans="1:4">
      <c r="A7" s="308" t="s">
        <v>4</v>
      </c>
      <c r="B7" s="21">
        <v>13608.396604225245</v>
      </c>
      <c r="C7" s="21">
        <v>7519.5010160983247</v>
      </c>
      <c r="D7" s="21">
        <v>6088.8955881255706</v>
      </c>
    </row>
    <row r="8" spans="1:4" ht="15.75" customHeight="1">
      <c r="A8" s="308" t="s">
        <v>5</v>
      </c>
      <c r="B8" s="21">
        <v>22243.60697686534</v>
      </c>
      <c r="C8" s="21">
        <v>13664.046340986994</v>
      </c>
      <c r="D8" s="21">
        <v>8579.5606358769965</v>
      </c>
    </row>
    <row r="9" spans="1:4" s="72" customFormat="1">
      <c r="A9" s="306" t="s">
        <v>448</v>
      </c>
      <c r="B9" s="252"/>
      <c r="C9" s="252"/>
      <c r="D9" s="252"/>
    </row>
    <row r="10" spans="1:4">
      <c r="A10" s="388" t="s">
        <v>486</v>
      </c>
      <c r="B10" s="22">
        <v>5240.5764301720874</v>
      </c>
      <c r="C10" s="22">
        <v>3250.75901327668</v>
      </c>
      <c r="D10" s="22">
        <v>1989.8174168950447</v>
      </c>
    </row>
    <row r="11" spans="1:4" s="72" customFormat="1">
      <c r="A11" s="389" t="s">
        <v>486</v>
      </c>
      <c r="B11" s="21">
        <v>5240.5764301720874</v>
      </c>
      <c r="C11" s="21">
        <v>3250.75901327668</v>
      </c>
      <c r="D11" s="21">
        <v>1989.8174168950447</v>
      </c>
    </row>
    <row r="12" spans="1:4">
      <c r="A12" s="388" t="s">
        <v>487</v>
      </c>
      <c r="B12" s="22">
        <v>13317.932124541972</v>
      </c>
      <c r="C12" s="22">
        <v>7577.8653741655244</v>
      </c>
      <c r="D12" s="22">
        <v>5740.0667503750983</v>
      </c>
    </row>
    <row r="13" spans="1:4">
      <c r="A13" s="389" t="s">
        <v>487</v>
      </c>
      <c r="B13" s="21">
        <v>12027.129693799952</v>
      </c>
      <c r="C13" s="21">
        <v>6715.9731096847854</v>
      </c>
      <c r="D13" s="21">
        <v>5311.1565841138172</v>
      </c>
    </row>
    <row r="14" spans="1:4" s="72" customFormat="1">
      <c r="A14" s="389" t="s">
        <v>488</v>
      </c>
      <c r="B14" s="21">
        <v>1290.8024307416088</v>
      </c>
      <c r="C14" s="21">
        <v>861.89226448047134</v>
      </c>
      <c r="D14" s="21">
        <v>428.91016626115504</v>
      </c>
    </row>
    <row r="15" spans="1:4">
      <c r="A15" s="388" t="s">
        <v>489</v>
      </c>
      <c r="B15" s="22">
        <v>2151.3373845693341</v>
      </c>
      <c r="C15" s="22">
        <v>1304.3755372688599</v>
      </c>
      <c r="D15" s="22">
        <v>846.96184730049504</v>
      </c>
    </row>
    <row r="16" spans="1:4" s="72" customFormat="1">
      <c r="A16" s="389" t="s">
        <v>489</v>
      </c>
      <c r="B16" s="21">
        <v>1412.9603894868694</v>
      </c>
      <c r="C16" s="21">
        <v>830.67411946779362</v>
      </c>
      <c r="D16" s="21">
        <v>582.28627001909695</v>
      </c>
    </row>
    <row r="17" spans="1:4">
      <c r="A17" s="389" t="s">
        <v>490</v>
      </c>
      <c r="B17" s="21">
        <v>738.37699508248556</v>
      </c>
      <c r="C17" s="21">
        <v>473.70141780108582</v>
      </c>
      <c r="D17" s="21">
        <v>264.67557728140883</v>
      </c>
    </row>
    <row r="18" spans="1:4" s="72" customFormat="1">
      <c r="A18" s="388" t="s">
        <v>491</v>
      </c>
      <c r="B18" s="22">
        <v>5442.8157174281978</v>
      </c>
      <c r="C18" s="22">
        <v>2984.7261253425568</v>
      </c>
      <c r="D18" s="22">
        <v>2458.0895920852108</v>
      </c>
    </row>
    <row r="19" spans="1:4">
      <c r="A19" s="389" t="s">
        <v>491</v>
      </c>
      <c r="B19" s="21">
        <v>5442.8157174281978</v>
      </c>
      <c r="C19" s="21">
        <v>2984.7261253425568</v>
      </c>
      <c r="D19" s="21">
        <v>2458.0895920852108</v>
      </c>
    </row>
    <row r="20" spans="1:4" s="72" customFormat="1">
      <c r="A20" s="388" t="s">
        <v>499</v>
      </c>
      <c r="B20" s="22">
        <v>2772.9856635174383</v>
      </c>
      <c r="C20" s="22">
        <v>1712.9260437391206</v>
      </c>
      <c r="D20" s="22">
        <v>1060.0596197783386</v>
      </c>
    </row>
    <row r="21" spans="1:4" ht="16.5" customHeight="1">
      <c r="A21" s="389" t="s">
        <v>492</v>
      </c>
      <c r="B21" s="21">
        <v>2772.9856635174383</v>
      </c>
      <c r="C21" s="21">
        <v>1712.9260437391206</v>
      </c>
      <c r="D21" s="21">
        <v>1060.0596197783386</v>
      </c>
    </row>
    <row r="22" spans="1:4">
      <c r="A22" s="388" t="s">
        <v>493</v>
      </c>
      <c r="B22" s="22">
        <v>1225.6515194108031</v>
      </c>
      <c r="C22" s="22">
        <v>829.3168088150685</v>
      </c>
      <c r="D22" s="22">
        <v>396.33471059575083</v>
      </c>
    </row>
    <row r="23" spans="1:4" s="72" customFormat="1">
      <c r="A23" s="389" t="s">
        <v>493</v>
      </c>
      <c r="B23" s="21">
        <v>1225.6515194108031</v>
      </c>
      <c r="C23" s="21">
        <v>829.3168088150685</v>
      </c>
      <c r="D23" s="21">
        <v>396.33471059575083</v>
      </c>
    </row>
    <row r="24" spans="1:4">
      <c r="A24" s="388" t="s">
        <v>494</v>
      </c>
      <c r="B24" s="22">
        <v>1199.8626170090258</v>
      </c>
      <c r="C24" s="22">
        <v>855.10571121684575</v>
      </c>
      <c r="D24" s="22">
        <v>344.75690579219417</v>
      </c>
    </row>
    <row r="25" spans="1:4" s="72" customFormat="1">
      <c r="A25" s="389" t="s">
        <v>495</v>
      </c>
      <c r="B25" s="21">
        <v>661.01028787715381</v>
      </c>
      <c r="C25" s="21">
        <v>445.19789409385714</v>
      </c>
      <c r="D25" s="21">
        <v>215.81239378330253</v>
      </c>
    </row>
    <row r="26" spans="1:4">
      <c r="A26" s="389" t="s">
        <v>496</v>
      </c>
      <c r="B26" s="21">
        <v>538.85232913189316</v>
      </c>
      <c r="C26" s="21">
        <v>409.90781712300259</v>
      </c>
      <c r="D26" s="21">
        <v>128.94451200889131</v>
      </c>
    </row>
    <row r="27" spans="1:4" s="72" customFormat="1">
      <c r="A27" s="388" t="s">
        <v>497</v>
      </c>
      <c r="B27" s="22">
        <v>3398.7058744237179</v>
      </c>
      <c r="C27" s="22">
        <v>1966.7431357987177</v>
      </c>
      <c r="D27" s="22">
        <v>1431.9627386250211</v>
      </c>
    </row>
    <row r="28" spans="1:4">
      <c r="A28" s="389" t="s">
        <v>497</v>
      </c>
      <c r="B28" s="21">
        <v>3398.7058744237179</v>
      </c>
      <c r="C28" s="21">
        <v>1966.7431357987177</v>
      </c>
      <c r="D28" s="21">
        <v>1431.9627386250211</v>
      </c>
    </row>
    <row r="29" spans="1:4">
      <c r="A29" s="388" t="s">
        <v>498</v>
      </c>
      <c r="B29" s="22">
        <v>1102.1362500128173</v>
      </c>
      <c r="C29" s="22">
        <v>701.72960745890737</v>
      </c>
      <c r="D29" s="22">
        <v>400.40664255392636</v>
      </c>
    </row>
    <row r="30" spans="1:4">
      <c r="A30" s="389" t="s">
        <v>498</v>
      </c>
      <c r="B30" s="21">
        <v>1102.1362500128173</v>
      </c>
      <c r="C30" s="21">
        <v>701.72960745890737</v>
      </c>
      <c r="D30" s="21">
        <v>400.40664255392636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18"/>
  <sheetViews>
    <sheetView zoomScale="120" zoomScaleNormal="120" workbookViewId="0">
      <selection activeCell="Q15" sqref="Q15"/>
    </sheetView>
  </sheetViews>
  <sheetFormatPr defaultColWidth="9.140625" defaultRowHeight="12"/>
  <cols>
    <col min="1" max="1" width="26.42578125" style="69" customWidth="1"/>
    <col min="2" max="2" width="11" style="69" bestFit="1" customWidth="1"/>
    <col min="3" max="9" width="9.28515625" style="69" bestFit="1" customWidth="1"/>
    <col min="10" max="10" width="11" style="75" customWidth="1"/>
    <col min="11" max="16384" width="9.140625" style="69"/>
  </cols>
  <sheetData>
    <row r="1" spans="1:10" ht="15" customHeight="1">
      <c r="A1" s="915" t="s">
        <v>462</v>
      </c>
      <c r="B1" s="915"/>
      <c r="C1" s="915"/>
      <c r="D1" s="915"/>
      <c r="E1" s="915"/>
      <c r="F1" s="915"/>
      <c r="G1" s="915"/>
      <c r="H1" s="915"/>
      <c r="I1" s="915"/>
      <c r="J1" s="915"/>
    </row>
    <row r="2" spans="1:10" ht="15" customHeight="1">
      <c r="A2" s="767" t="s">
        <v>550</v>
      </c>
      <c r="B2" s="913" t="s">
        <v>48</v>
      </c>
      <c r="C2" s="913" t="s">
        <v>282</v>
      </c>
      <c r="D2" s="913"/>
      <c r="E2" s="913"/>
      <c r="F2" s="913"/>
      <c r="G2" s="913"/>
      <c r="H2" s="913"/>
      <c r="I2" s="913"/>
      <c r="J2" s="913"/>
    </row>
    <row r="3" spans="1:10" ht="56.25" customHeight="1">
      <c r="A3" s="768"/>
      <c r="B3" s="914"/>
      <c r="C3" s="390" t="s">
        <v>283</v>
      </c>
      <c r="D3" s="390" t="s">
        <v>284</v>
      </c>
      <c r="E3" s="390" t="s">
        <v>285</v>
      </c>
      <c r="F3" s="390" t="s">
        <v>286</v>
      </c>
      <c r="G3" s="390" t="s">
        <v>287</v>
      </c>
      <c r="H3" s="390" t="s">
        <v>288</v>
      </c>
      <c r="I3" s="390" t="s">
        <v>289</v>
      </c>
      <c r="J3" s="390" t="s">
        <v>290</v>
      </c>
    </row>
    <row r="4" spans="1:10">
      <c r="A4" s="386" t="s">
        <v>500</v>
      </c>
      <c r="B4" s="464">
        <v>35852.003581091936</v>
      </c>
      <c r="C4" s="616">
        <v>28.481108503055214</v>
      </c>
      <c r="D4" s="616">
        <v>5.39108048761888</v>
      </c>
      <c r="E4" s="616">
        <v>1.6544256833492925</v>
      </c>
      <c r="F4" s="616">
        <v>28.761262966597105</v>
      </c>
      <c r="G4" s="616">
        <v>5.9248883168002804</v>
      </c>
      <c r="H4" s="616">
        <v>17.15756795638228</v>
      </c>
      <c r="I4" s="616">
        <v>5.1525706064952761</v>
      </c>
      <c r="J4" s="618">
        <v>7.4770954796681828</v>
      </c>
    </row>
    <row r="5" spans="1:10">
      <c r="A5" s="103"/>
      <c r="B5" s="24"/>
      <c r="C5" s="586"/>
      <c r="D5" s="586"/>
      <c r="E5" s="586"/>
      <c r="F5" s="586"/>
      <c r="G5" s="586"/>
      <c r="H5" s="586"/>
      <c r="I5" s="586"/>
      <c r="J5" s="548"/>
    </row>
    <row r="6" spans="1:10">
      <c r="A6" s="306" t="s">
        <v>111</v>
      </c>
      <c r="B6" s="464"/>
      <c r="C6" s="616"/>
      <c r="D6" s="616"/>
      <c r="E6" s="616"/>
      <c r="F6" s="616"/>
      <c r="G6" s="616"/>
      <c r="H6" s="616"/>
      <c r="I6" s="616"/>
      <c r="J6" s="618"/>
    </row>
    <row r="7" spans="1:10">
      <c r="A7" s="308" t="s">
        <v>4</v>
      </c>
      <c r="B7" s="23">
        <v>13608.396604225245</v>
      </c>
      <c r="C7" s="587">
        <v>30.789946140031393</v>
      </c>
      <c r="D7" s="587">
        <v>4.5082784759615571</v>
      </c>
      <c r="E7" s="587">
        <v>1.4661879114299914</v>
      </c>
      <c r="F7" s="587">
        <v>25.144623977654224</v>
      </c>
      <c r="G7" s="587">
        <v>7.0815878715324994</v>
      </c>
      <c r="H7" s="587">
        <v>14.721723518848322</v>
      </c>
      <c r="I7" s="587">
        <v>7.0716138041078054</v>
      </c>
      <c r="J7" s="550">
        <v>9.2160383004169244</v>
      </c>
    </row>
    <row r="8" spans="1:10" ht="12.75" customHeight="1">
      <c r="A8" s="308" t="s">
        <v>5</v>
      </c>
      <c r="B8" s="23">
        <v>22243.60697686534</v>
      </c>
      <c r="C8" s="587">
        <v>27.068586770801659</v>
      </c>
      <c r="D8" s="587">
        <v>5.931169148155683</v>
      </c>
      <c r="E8" s="587">
        <v>1.769587503050589</v>
      </c>
      <c r="F8" s="587">
        <v>30.97388332925679</v>
      </c>
      <c r="G8" s="587">
        <v>5.2172321210628709</v>
      </c>
      <c r="H8" s="587">
        <v>18.647791066630663</v>
      </c>
      <c r="I8" s="587">
        <v>3.9785208689274847</v>
      </c>
      <c r="J8" s="550">
        <v>6.4132291920901956</v>
      </c>
    </row>
    <row r="9" spans="1:10">
      <c r="A9" s="306" t="s">
        <v>452</v>
      </c>
      <c r="B9" s="464"/>
      <c r="C9" s="616"/>
      <c r="D9" s="616"/>
      <c r="E9" s="616"/>
      <c r="F9" s="616"/>
      <c r="G9" s="616"/>
      <c r="H9" s="616"/>
      <c r="I9" s="616"/>
      <c r="J9" s="618"/>
    </row>
    <row r="10" spans="1:10" ht="12.75" customHeight="1">
      <c r="A10" s="95" t="s">
        <v>486</v>
      </c>
      <c r="B10" s="23">
        <v>5240.5764301720874</v>
      </c>
      <c r="C10" s="587">
        <v>23.206423206421885</v>
      </c>
      <c r="D10" s="587">
        <v>3.0044030044028851</v>
      </c>
      <c r="E10" s="587">
        <v>2.201502201502112</v>
      </c>
      <c r="F10" s="587">
        <v>34.524734524733496</v>
      </c>
      <c r="G10" s="587">
        <v>11.499611499610925</v>
      </c>
      <c r="H10" s="587">
        <v>13.001813001812332</v>
      </c>
      <c r="I10" s="587">
        <v>6.1642061642059272</v>
      </c>
      <c r="J10" s="550">
        <v>6.3973063973061484</v>
      </c>
    </row>
    <row r="11" spans="1:10" ht="12.75" customHeight="1">
      <c r="A11" s="97" t="s">
        <v>487</v>
      </c>
      <c r="B11" s="23">
        <v>13317.932124541972</v>
      </c>
      <c r="C11" s="587">
        <v>29.046066041577465</v>
      </c>
      <c r="D11" s="587">
        <v>5.1059926620454128</v>
      </c>
      <c r="E11" s="587">
        <v>2.1402364451687634</v>
      </c>
      <c r="F11" s="587">
        <v>26.97717081124749</v>
      </c>
      <c r="G11" s="587">
        <v>5.5748063595585586</v>
      </c>
      <c r="H11" s="587">
        <v>15.898899306968268</v>
      </c>
      <c r="I11" s="587">
        <v>6.2678353037084262</v>
      </c>
      <c r="J11" s="550">
        <v>8.9889930697086431</v>
      </c>
    </row>
    <row r="12" spans="1:10">
      <c r="A12" s="97" t="s">
        <v>489</v>
      </c>
      <c r="B12" s="23">
        <v>2151.3373845693341</v>
      </c>
      <c r="C12" s="587">
        <v>46.246056782334939</v>
      </c>
      <c r="D12" s="587">
        <v>5.6782334384859565</v>
      </c>
      <c r="E12" s="587">
        <v>1.4511041009464112</v>
      </c>
      <c r="F12" s="587">
        <v>18.044164037855342</v>
      </c>
      <c r="G12" s="587">
        <v>4.7949526813881382</v>
      </c>
      <c r="H12" s="587">
        <v>8.832807570978165</v>
      </c>
      <c r="I12" s="587">
        <v>4.1640378548896964</v>
      </c>
      <c r="J12" s="550">
        <v>10.788643533123334</v>
      </c>
    </row>
    <row r="13" spans="1:10">
      <c r="A13" s="97" t="s">
        <v>491</v>
      </c>
      <c r="B13" s="23">
        <v>5442.8157174281978</v>
      </c>
      <c r="C13" s="587">
        <v>29.251870324188086</v>
      </c>
      <c r="D13" s="587">
        <v>6.2842892768076721</v>
      </c>
      <c r="E13" s="587">
        <v>0.77306733167078423</v>
      </c>
      <c r="F13" s="587">
        <v>28.403990024936185</v>
      </c>
      <c r="G13" s="587">
        <v>4.763092269326453</v>
      </c>
      <c r="H13" s="587">
        <v>20.922693266831534</v>
      </c>
      <c r="I13" s="587">
        <v>4.2643391521194935</v>
      </c>
      <c r="J13" s="550">
        <v>5.3366583541144559</v>
      </c>
    </row>
    <row r="14" spans="1:10">
      <c r="A14" s="97" t="s">
        <v>499</v>
      </c>
      <c r="B14" s="23">
        <v>2772.9856635174383</v>
      </c>
      <c r="C14" s="587">
        <v>27.508565834557483</v>
      </c>
      <c r="D14" s="587">
        <v>5.2373959862948194</v>
      </c>
      <c r="E14" s="587">
        <v>1.2726382770436002</v>
      </c>
      <c r="F14" s="587">
        <v>27.459618208517348</v>
      </c>
      <c r="G14" s="587">
        <v>2.3494860499266439</v>
      </c>
      <c r="H14" s="587">
        <v>22.369065100343061</v>
      </c>
      <c r="I14" s="587">
        <v>3.3284385707294128</v>
      </c>
      <c r="J14" s="550">
        <v>10.474791972589655</v>
      </c>
    </row>
    <row r="15" spans="1:10">
      <c r="A15" s="97" t="s">
        <v>493</v>
      </c>
      <c r="B15" s="23">
        <v>1225.6515194108031</v>
      </c>
      <c r="C15" s="587">
        <v>27.906976744186622</v>
      </c>
      <c r="D15" s="587">
        <v>3.765227021041047</v>
      </c>
      <c r="E15" s="587">
        <v>0.5537098560354482</v>
      </c>
      <c r="F15" s="587">
        <v>39.756367663344939</v>
      </c>
      <c r="G15" s="587">
        <v>5.7585825027686539</v>
      </c>
      <c r="H15" s="587">
        <v>15.725359911406748</v>
      </c>
      <c r="I15" s="587">
        <v>3.2115171650055996</v>
      </c>
      <c r="J15" s="550">
        <v>3.3222591362126894</v>
      </c>
    </row>
    <row r="16" spans="1:10" ht="15" customHeight="1">
      <c r="A16" s="97" t="s">
        <v>494</v>
      </c>
      <c r="B16" s="23">
        <v>1199.8626170090258</v>
      </c>
      <c r="C16" s="587">
        <v>17.307692307692662</v>
      </c>
      <c r="D16" s="587">
        <v>4.2986425339367313</v>
      </c>
      <c r="E16" s="587">
        <v>0.45248868778281404</v>
      </c>
      <c r="F16" s="587">
        <v>43.438914027149835</v>
      </c>
      <c r="G16" s="587">
        <v>9.049773755656279</v>
      </c>
      <c r="H16" s="587">
        <v>16.289592760181328</v>
      </c>
      <c r="I16" s="587">
        <v>4.9773755656109504</v>
      </c>
      <c r="J16" s="550">
        <v>4.1855203619910277</v>
      </c>
    </row>
    <row r="17" spans="1:10">
      <c r="A17" s="97" t="s">
        <v>497</v>
      </c>
      <c r="B17" s="23">
        <v>3398.7058744237179</v>
      </c>
      <c r="C17" s="587">
        <v>22.68370607028795</v>
      </c>
      <c r="D17" s="587">
        <v>7.8674121405753334</v>
      </c>
      <c r="E17" s="587">
        <v>1.8769968051118762</v>
      </c>
      <c r="F17" s="587">
        <v>31.349840255591527</v>
      </c>
      <c r="G17" s="587">
        <v>1.9968051118211447</v>
      </c>
      <c r="H17" s="587">
        <v>26.557507987220884</v>
      </c>
      <c r="I17" s="587">
        <v>2.4361022364217955</v>
      </c>
      <c r="J17" s="550">
        <v>5.2316293929714108</v>
      </c>
    </row>
    <row r="18" spans="1:10">
      <c r="A18" s="392" t="s">
        <v>498</v>
      </c>
      <c r="B18" s="465">
        <v>1102.1362500128173</v>
      </c>
      <c r="C18" s="617">
        <v>41.379310344828106</v>
      </c>
      <c r="D18" s="617">
        <v>10.960591133005119</v>
      </c>
      <c r="E18" s="617">
        <v>0.73891625615764844</v>
      </c>
      <c r="F18" s="617">
        <v>12.684729064039638</v>
      </c>
      <c r="G18" s="617">
        <v>9.4827586206898165</v>
      </c>
      <c r="H18" s="617">
        <v>10.221674876847468</v>
      </c>
      <c r="I18" s="617">
        <v>8.4975369458129482</v>
      </c>
      <c r="J18" s="619">
        <v>6.0344827586207881</v>
      </c>
    </row>
  </sheetData>
  <mergeCells count="4">
    <mergeCell ref="A2:A3"/>
    <mergeCell ref="B2:B3"/>
    <mergeCell ref="C2:J2"/>
    <mergeCell ref="A1:J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12"/>
  <sheetViews>
    <sheetView zoomScale="120" zoomScaleNormal="120" workbookViewId="0">
      <selection activeCell="M21" sqref="M21"/>
    </sheetView>
  </sheetViews>
  <sheetFormatPr defaultColWidth="9.140625" defaultRowHeight="12"/>
  <cols>
    <col min="1" max="1" width="13.28515625" style="69" customWidth="1"/>
    <col min="2" max="2" width="10.5703125" style="69" customWidth="1"/>
    <col min="3" max="3" width="11" style="69" customWidth="1"/>
    <col min="4" max="4" width="9.28515625" style="69" bestFit="1" customWidth="1"/>
    <col min="5" max="5" width="10.42578125" style="69" customWidth="1"/>
    <col min="6" max="6" width="10.140625" style="69" bestFit="1" customWidth="1"/>
    <col min="7" max="7" width="9.28515625" style="69" bestFit="1" customWidth="1"/>
    <col min="8" max="16384" width="9.140625" style="69"/>
  </cols>
  <sheetData>
    <row r="1" spans="1:7" ht="17.25" customHeight="1">
      <c r="A1" s="916" t="s">
        <v>463</v>
      </c>
      <c r="B1" s="916"/>
      <c r="C1" s="916"/>
      <c r="D1" s="916"/>
      <c r="E1" s="916"/>
      <c r="F1" s="916"/>
      <c r="G1" s="916"/>
    </row>
    <row r="2" spans="1:7">
      <c r="A2" s="917" t="s">
        <v>7</v>
      </c>
      <c r="B2" s="919" t="s">
        <v>48</v>
      </c>
      <c r="C2" s="921" t="s">
        <v>2</v>
      </c>
      <c r="D2" s="921"/>
      <c r="E2" s="137"/>
      <c r="F2" s="919" t="s">
        <v>3</v>
      </c>
      <c r="G2" s="919"/>
    </row>
    <row r="3" spans="1:7">
      <c r="A3" s="918"/>
      <c r="B3" s="920"/>
      <c r="C3" s="393" t="s">
        <v>277</v>
      </c>
      <c r="D3" s="393" t="s">
        <v>168</v>
      </c>
      <c r="E3" s="394"/>
      <c r="F3" s="393" t="s">
        <v>277</v>
      </c>
      <c r="G3" s="393" t="s">
        <v>168</v>
      </c>
    </row>
    <row r="4" spans="1:7">
      <c r="A4" s="386" t="s">
        <v>500</v>
      </c>
      <c r="B4" s="464">
        <v>35852.003581091936</v>
      </c>
      <c r="C4" s="464">
        <v>21183.547357086667</v>
      </c>
      <c r="D4" s="616">
        <v>100</v>
      </c>
      <c r="E4" s="174"/>
      <c r="F4" s="464">
        <v>14668.456224003918</v>
      </c>
      <c r="G4" s="616">
        <v>100</v>
      </c>
    </row>
    <row r="5" spans="1:7" ht="15.75" customHeight="1">
      <c r="A5" s="27"/>
      <c r="B5" s="21"/>
      <c r="C5" s="21"/>
      <c r="D5" s="587"/>
      <c r="E5" s="21"/>
      <c r="F5" s="21"/>
      <c r="G5" s="587"/>
    </row>
    <row r="6" spans="1:7">
      <c r="A6" s="386" t="s">
        <v>198</v>
      </c>
      <c r="B6" s="464"/>
      <c r="C6" s="464"/>
      <c r="D6" s="616"/>
      <c r="E6" s="174"/>
      <c r="F6" s="464"/>
      <c r="G6" s="616"/>
    </row>
    <row r="7" spans="1:7">
      <c r="A7" s="27" t="s">
        <v>278</v>
      </c>
      <c r="B7" s="21">
        <v>7070.23119004616</v>
      </c>
      <c r="C7" s="21">
        <v>3765.1797506594999</v>
      </c>
      <c r="D7" s="587">
        <v>17.774075735242285</v>
      </c>
      <c r="E7" s="21"/>
      <c r="F7" s="21">
        <v>3305.0514393856847</v>
      </c>
      <c r="G7" s="587">
        <v>22.531692421573279</v>
      </c>
    </row>
    <row r="8" spans="1:7">
      <c r="A8" s="27" t="s">
        <v>279</v>
      </c>
      <c r="B8" s="21">
        <v>10242.266185465824</v>
      </c>
      <c r="C8" s="21">
        <v>6352.2138547543318</v>
      </c>
      <c r="D8" s="587">
        <v>29.986544499258692</v>
      </c>
      <c r="E8" s="21"/>
      <c r="F8" s="21">
        <v>3890.0523307102108</v>
      </c>
      <c r="G8" s="587">
        <v>26.519848246500597</v>
      </c>
    </row>
    <row r="9" spans="1:7">
      <c r="A9" s="27" t="s">
        <v>280</v>
      </c>
      <c r="B9" s="21">
        <v>6435.0098045705918</v>
      </c>
      <c r="C9" s="21">
        <v>4010.8529788027463</v>
      </c>
      <c r="D9" s="587">
        <v>18.933811751132279</v>
      </c>
      <c r="E9" s="21"/>
      <c r="F9" s="21">
        <v>2424.1568257670829</v>
      </c>
      <c r="G9" s="587">
        <v>16.526325529745368</v>
      </c>
    </row>
    <row r="10" spans="1:7">
      <c r="A10" s="27" t="s">
        <v>281</v>
      </c>
      <c r="B10" s="21">
        <v>4394.9718935240553</v>
      </c>
      <c r="C10" s="21">
        <v>2631.825355634026</v>
      </c>
      <c r="D10" s="587">
        <v>12.423912347020504</v>
      </c>
      <c r="E10" s="21"/>
      <c r="F10" s="21">
        <v>1763.14653788995</v>
      </c>
      <c r="G10" s="587">
        <v>12.01998704543074</v>
      </c>
    </row>
    <row r="11" spans="1:7">
      <c r="A11" s="27" t="s">
        <v>259</v>
      </c>
      <c r="B11" s="21">
        <v>3404.1351170346184</v>
      </c>
      <c r="C11" s="21">
        <v>2022.3928725604476</v>
      </c>
      <c r="D11" s="587">
        <v>9.5469981418569336</v>
      </c>
      <c r="E11" s="21"/>
      <c r="F11" s="21">
        <v>1381.7422444741917</v>
      </c>
      <c r="G11" s="587">
        <v>9.4198204867194253</v>
      </c>
    </row>
    <row r="12" spans="1:7">
      <c r="A12" s="395" t="s">
        <v>139</v>
      </c>
      <c r="B12" s="465">
        <v>4305.3893904441675</v>
      </c>
      <c r="C12" s="465">
        <v>2401.0825446707559</v>
      </c>
      <c r="D12" s="617">
        <v>11.334657525466369</v>
      </c>
      <c r="E12" s="465"/>
      <c r="F12" s="465">
        <v>1904.3068457733623</v>
      </c>
      <c r="G12" s="617">
        <v>12.982326270007169</v>
      </c>
    </row>
  </sheetData>
  <mergeCells count="5">
    <mergeCell ref="A1:G1"/>
    <mergeCell ref="A2:A3"/>
    <mergeCell ref="B2:B3"/>
    <mergeCell ref="C2:D2"/>
    <mergeCell ref="F2:G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18"/>
  <sheetViews>
    <sheetView zoomScale="120" zoomScaleNormal="120" workbookViewId="0">
      <selection activeCell="M10" sqref="M10"/>
    </sheetView>
  </sheetViews>
  <sheetFormatPr defaultColWidth="9.140625" defaultRowHeight="12"/>
  <cols>
    <col min="1" max="1" width="29" style="69" customWidth="1"/>
    <col min="2" max="2" width="9.140625" style="69"/>
    <col min="3" max="10" width="9.140625" style="75"/>
    <col min="11" max="16384" width="9.140625" style="69"/>
  </cols>
  <sheetData>
    <row r="1" spans="1:10" ht="12.75" customHeight="1">
      <c r="A1" s="922" t="s">
        <v>464</v>
      </c>
      <c r="B1" s="922"/>
      <c r="C1" s="922"/>
      <c r="D1" s="922"/>
      <c r="E1" s="922"/>
      <c r="F1" s="922"/>
      <c r="G1" s="922"/>
      <c r="H1" s="922"/>
      <c r="I1" s="922"/>
      <c r="J1" s="922"/>
    </row>
    <row r="2" spans="1:10">
      <c r="A2" s="767" t="s">
        <v>550</v>
      </c>
      <c r="B2" s="923" t="s">
        <v>48</v>
      </c>
      <c r="C2" s="925" t="s">
        <v>268</v>
      </c>
      <c r="D2" s="925"/>
      <c r="E2" s="925"/>
      <c r="F2" s="925"/>
      <c r="G2" s="925"/>
      <c r="H2" s="925"/>
      <c r="I2" s="925"/>
      <c r="J2" s="923" t="s">
        <v>269</v>
      </c>
    </row>
    <row r="3" spans="1:10" ht="27.75" customHeight="1">
      <c r="A3" s="768"/>
      <c r="B3" s="924"/>
      <c r="C3" s="507" t="s">
        <v>270</v>
      </c>
      <c r="D3" s="507" t="s">
        <v>271</v>
      </c>
      <c r="E3" s="507" t="s">
        <v>272</v>
      </c>
      <c r="F3" s="507" t="s">
        <v>273</v>
      </c>
      <c r="G3" s="507" t="s">
        <v>274</v>
      </c>
      <c r="H3" s="507" t="s">
        <v>275</v>
      </c>
      <c r="I3" s="507" t="s">
        <v>276</v>
      </c>
      <c r="J3" s="924"/>
    </row>
    <row r="4" spans="1:10">
      <c r="A4" s="386" t="s">
        <v>500</v>
      </c>
      <c r="B4" s="391">
        <v>35852.003581091936</v>
      </c>
      <c r="C4" s="620">
        <v>28.481108503063862</v>
      </c>
      <c r="D4" s="621">
        <v>13.413341409855148</v>
      </c>
      <c r="E4" s="620">
        <v>12.56530627697104</v>
      </c>
      <c r="F4" s="621">
        <v>11.929279927307958</v>
      </c>
      <c r="G4" s="621">
        <v>9.9189823578376508</v>
      </c>
      <c r="H4" s="620">
        <v>8.0146891799779905</v>
      </c>
      <c r="I4" s="620">
        <v>15.677292344965402</v>
      </c>
      <c r="J4" s="621">
        <v>3.7732263193740314</v>
      </c>
    </row>
    <row r="5" spans="1:10">
      <c r="A5" s="103"/>
      <c r="B5" s="98"/>
      <c r="C5" s="622"/>
      <c r="D5" s="622"/>
      <c r="E5" s="622"/>
      <c r="F5" s="622"/>
      <c r="G5" s="622"/>
      <c r="H5" s="622"/>
      <c r="I5" s="622"/>
      <c r="J5" s="622"/>
    </row>
    <row r="6" spans="1:10">
      <c r="A6" s="306" t="s">
        <v>111</v>
      </c>
      <c r="B6" s="391"/>
      <c r="C6" s="620"/>
      <c r="D6" s="621"/>
      <c r="E6" s="620"/>
      <c r="F6" s="621"/>
      <c r="G6" s="621"/>
      <c r="H6" s="620"/>
      <c r="I6" s="620"/>
      <c r="J6" s="621"/>
    </row>
    <row r="7" spans="1:10">
      <c r="A7" s="308" t="s">
        <v>4</v>
      </c>
      <c r="B7" s="99">
        <v>13608.396604225245</v>
      </c>
      <c r="C7" s="623">
        <v>30.789946140029041</v>
      </c>
      <c r="D7" s="623">
        <v>12.357869539195327</v>
      </c>
      <c r="E7" s="623">
        <v>12.317973269496553</v>
      </c>
      <c r="F7" s="623">
        <v>11.95890684220759</v>
      </c>
      <c r="G7" s="623">
        <v>9.7945342110491129</v>
      </c>
      <c r="H7" s="623">
        <v>8.3083981647697911</v>
      </c>
      <c r="I7" s="623">
        <v>14.472371833230337</v>
      </c>
      <c r="J7" s="623">
        <v>3.6825254338715867</v>
      </c>
    </row>
    <row r="8" spans="1:10" ht="14.25" customHeight="1">
      <c r="A8" s="308" t="s">
        <v>5</v>
      </c>
      <c r="B8" s="99">
        <v>22243.60697686534</v>
      </c>
      <c r="C8" s="623">
        <v>27.068586770803485</v>
      </c>
      <c r="D8" s="623">
        <v>14.059067610442909</v>
      </c>
      <c r="E8" s="623">
        <v>12.716621918473544</v>
      </c>
      <c r="F8" s="623">
        <v>11.911154503291923</v>
      </c>
      <c r="G8" s="623">
        <v>9.9951183792992833</v>
      </c>
      <c r="H8" s="623">
        <v>7.8350012204031216</v>
      </c>
      <c r="I8" s="623">
        <v>16.414449597261889</v>
      </c>
      <c r="J8" s="623">
        <v>3.8287161337552784</v>
      </c>
    </row>
    <row r="9" spans="1:10">
      <c r="A9" s="306" t="s">
        <v>452</v>
      </c>
      <c r="B9" s="391"/>
      <c r="C9" s="620"/>
      <c r="D9" s="621"/>
      <c r="E9" s="620"/>
      <c r="F9" s="621"/>
      <c r="G9" s="621"/>
      <c r="H9" s="620"/>
      <c r="I9" s="620"/>
      <c r="J9" s="621"/>
    </row>
    <row r="10" spans="1:10">
      <c r="A10" s="95" t="s">
        <v>486</v>
      </c>
      <c r="B10" s="99">
        <v>5240.5764301720874</v>
      </c>
      <c r="C10" s="623">
        <v>3.392140531535357</v>
      </c>
      <c r="D10" s="623">
        <v>1.2644809570678974</v>
      </c>
      <c r="E10" s="623">
        <v>1.2796244415836806</v>
      </c>
      <c r="F10" s="623">
        <v>1.6089952298019581</v>
      </c>
      <c r="G10" s="623">
        <v>1.6695691678650886</v>
      </c>
      <c r="H10" s="623">
        <v>1.5824941318993386</v>
      </c>
      <c r="I10" s="623">
        <v>3.8199439691062151</v>
      </c>
      <c r="J10" s="623">
        <v>4.6184926184924926</v>
      </c>
    </row>
    <row r="11" spans="1:10">
      <c r="A11" s="97" t="s">
        <v>487</v>
      </c>
      <c r="B11" s="99">
        <v>13317.932124541972</v>
      </c>
      <c r="C11" s="623">
        <v>10.789732717495149</v>
      </c>
      <c r="D11" s="623">
        <v>4.9292042098872892</v>
      </c>
      <c r="E11" s="623">
        <v>4.8837737563399415</v>
      </c>
      <c r="F11" s="623">
        <v>4.6490497463453115</v>
      </c>
      <c r="G11" s="623">
        <v>3.6457938971747152</v>
      </c>
      <c r="H11" s="623">
        <v>3.0097675475118471</v>
      </c>
      <c r="I11" s="623">
        <v>5.2396456424608315</v>
      </c>
      <c r="J11" s="623">
        <v>3.6452303302075784</v>
      </c>
    </row>
    <row r="12" spans="1:10">
      <c r="A12" s="97" t="s">
        <v>489</v>
      </c>
      <c r="B12" s="99">
        <v>2151.3373845693341</v>
      </c>
      <c r="C12" s="623">
        <v>2.7750435375172167</v>
      </c>
      <c r="D12" s="623">
        <v>0.84046339062596742</v>
      </c>
      <c r="E12" s="623">
        <v>0.54137957143924897</v>
      </c>
      <c r="F12" s="623">
        <v>0.41644582418403747</v>
      </c>
      <c r="G12" s="623">
        <v>0.40887408192614583</v>
      </c>
      <c r="H12" s="623">
        <v>0.33315665934722977</v>
      </c>
      <c r="I12" s="623">
        <v>0.68524267433918951</v>
      </c>
      <c r="J12" s="623">
        <v>3.1293375394322962</v>
      </c>
    </row>
    <row r="13" spans="1:10">
      <c r="A13" s="97" t="s">
        <v>491</v>
      </c>
      <c r="B13" s="99">
        <v>5442.8157174281978</v>
      </c>
      <c r="C13" s="623">
        <v>4.4408268342533006</v>
      </c>
      <c r="D13" s="623">
        <v>2.1276595744675117</v>
      </c>
      <c r="E13" s="623">
        <v>1.9080790489886641</v>
      </c>
      <c r="F13" s="623">
        <v>1.8437192397965882</v>
      </c>
      <c r="G13" s="623">
        <v>1.5787082607703931</v>
      </c>
      <c r="H13" s="623">
        <v>1.2606950859389516</v>
      </c>
      <c r="I13" s="623">
        <v>2.0216551828570335</v>
      </c>
      <c r="J13" s="623">
        <v>3.5551122194512748</v>
      </c>
    </row>
    <row r="14" spans="1:10">
      <c r="A14" s="97" t="s">
        <v>499</v>
      </c>
      <c r="B14" s="99">
        <v>2772.9856635174383</v>
      </c>
      <c r="C14" s="623">
        <v>2.1276595744675117</v>
      </c>
      <c r="D14" s="623">
        <v>1.2871961838415724</v>
      </c>
      <c r="E14" s="623">
        <v>1.2682668281968432</v>
      </c>
      <c r="F14" s="623">
        <v>1.0562580449758783</v>
      </c>
      <c r="G14" s="623">
        <v>0.76096009691810562</v>
      </c>
      <c r="H14" s="623">
        <v>0.4391610509577123</v>
      </c>
      <c r="I14" s="623">
        <v>0.79503293707861777</v>
      </c>
      <c r="J14" s="623">
        <v>3.290748898678546</v>
      </c>
    </row>
    <row r="15" spans="1:10">
      <c r="A15" s="97" t="s">
        <v>493</v>
      </c>
      <c r="B15" s="99">
        <v>1225.6515194108031</v>
      </c>
      <c r="C15" s="623">
        <v>0.9540395244943416</v>
      </c>
      <c r="D15" s="623">
        <v>0.28394033467093432</v>
      </c>
      <c r="E15" s="623">
        <v>0.31801317483144659</v>
      </c>
      <c r="F15" s="623">
        <v>0.41265995305509168</v>
      </c>
      <c r="G15" s="623">
        <v>0.37480124176563362</v>
      </c>
      <c r="H15" s="623">
        <v>0.32179904596039238</v>
      </c>
      <c r="I15" s="623">
        <v>0.75338835466021403</v>
      </c>
      <c r="J15" s="623">
        <v>4.2347729789591053</v>
      </c>
    </row>
    <row r="16" spans="1:10">
      <c r="A16" s="97" t="s">
        <v>494</v>
      </c>
      <c r="B16" s="99">
        <v>1199.8626170090258</v>
      </c>
      <c r="C16" s="623">
        <v>0.57923828272870703</v>
      </c>
      <c r="D16" s="623">
        <v>0.30286969031566335</v>
      </c>
      <c r="E16" s="623">
        <v>0.35965775724985038</v>
      </c>
      <c r="F16" s="623">
        <v>0.38237298402352521</v>
      </c>
      <c r="G16" s="623">
        <v>0.43158930869982065</v>
      </c>
      <c r="H16" s="623">
        <v>0.35587188612090459</v>
      </c>
      <c r="I16" s="623">
        <v>0.93511016884961251</v>
      </c>
      <c r="J16" s="623">
        <v>4.7952488687783861</v>
      </c>
    </row>
    <row r="17" spans="1:10">
      <c r="A17" s="97" t="s">
        <v>497</v>
      </c>
      <c r="B17" s="99">
        <v>3398.7058744237179</v>
      </c>
      <c r="C17" s="623">
        <v>2.1503748012411856</v>
      </c>
      <c r="D17" s="623">
        <v>1.9005073067307729</v>
      </c>
      <c r="E17" s="623">
        <v>1.8285757552808055</v>
      </c>
      <c r="F17" s="623">
        <v>1.4197016733546755</v>
      </c>
      <c r="G17" s="623">
        <v>0.85939274627069651</v>
      </c>
      <c r="H17" s="623">
        <v>0.63602634966289406</v>
      </c>
      <c r="I17" s="623">
        <v>0.68524267433918951</v>
      </c>
      <c r="J17" s="623">
        <v>3.2272364217253804</v>
      </c>
    </row>
    <row r="18" spans="1:10">
      <c r="A18" s="392" t="s">
        <v>498</v>
      </c>
      <c r="B18" s="396">
        <v>1102.1362500128173</v>
      </c>
      <c r="C18" s="624">
        <v>1.272052699325789</v>
      </c>
      <c r="D18" s="624">
        <v>0.4770197622471703</v>
      </c>
      <c r="E18" s="624">
        <v>0.17793594306045185</v>
      </c>
      <c r="F18" s="624">
        <v>0.14007723177099402</v>
      </c>
      <c r="G18" s="624">
        <v>0.18929355644728924</v>
      </c>
      <c r="H18" s="624">
        <v>7.5717422578915672E-2</v>
      </c>
      <c r="I18" s="624">
        <v>0.74203074127337654</v>
      </c>
      <c r="J18" s="624">
        <v>4.9064039408868156</v>
      </c>
    </row>
  </sheetData>
  <mergeCells count="5">
    <mergeCell ref="A1:J1"/>
    <mergeCell ref="A2:A3"/>
    <mergeCell ref="B2:B3"/>
    <mergeCell ref="C2:I2"/>
    <mergeCell ref="J2:J3"/>
  </mergeCell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821E00"/>
  </sheetPr>
  <dimension ref="A1"/>
  <sheetViews>
    <sheetView topLeftCell="A4" workbookViewId="0">
      <selection activeCell="Q31" sqref="Q31"/>
    </sheetView>
  </sheetViews>
  <sheetFormatPr defaultColWidth="9.140625" defaultRowHeight="15"/>
  <cols>
    <col min="1" max="16384" width="9.140625" style="1"/>
  </cols>
  <sheetData/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86"/>
  <sheetViews>
    <sheetView zoomScale="120" zoomScaleNormal="120" workbookViewId="0">
      <selection activeCell="L26" sqref="L26"/>
    </sheetView>
  </sheetViews>
  <sheetFormatPr defaultColWidth="9.140625" defaultRowHeight="12"/>
  <cols>
    <col min="1" max="1" width="22.85546875" style="106" customWidth="1"/>
    <col min="2" max="2" width="10.42578125" style="96" customWidth="1"/>
    <col min="3" max="3" width="9.85546875" style="96" customWidth="1"/>
    <col min="4" max="4" width="11.7109375" style="96" customWidth="1"/>
    <col min="5" max="5" width="11.28515625" style="96" customWidth="1"/>
    <col min="6" max="6" width="15.7109375" style="96" customWidth="1"/>
    <col min="7" max="8" width="9.140625" style="69"/>
    <col min="9" max="9" width="13.7109375" style="69" bestFit="1" customWidth="1"/>
    <col min="10" max="16384" width="9.140625" style="69"/>
  </cols>
  <sheetData>
    <row r="1" spans="1:6" ht="25.5" customHeight="1" thickBot="1">
      <c r="A1" s="926" t="s">
        <v>570</v>
      </c>
      <c r="B1" s="926"/>
      <c r="C1" s="926"/>
      <c r="D1" s="926"/>
      <c r="E1" s="926"/>
      <c r="F1" s="926"/>
    </row>
    <row r="2" spans="1:6">
      <c r="A2" s="927" t="s">
        <v>445</v>
      </c>
      <c r="B2" s="928" t="s">
        <v>6</v>
      </c>
      <c r="C2" s="930" t="s">
        <v>7</v>
      </c>
      <c r="D2" s="930"/>
      <c r="E2" s="930"/>
      <c r="F2" s="930"/>
    </row>
    <row r="3" spans="1:6">
      <c r="A3" s="764"/>
      <c r="B3" s="929"/>
      <c r="C3" s="73" t="s">
        <v>8</v>
      </c>
      <c r="D3" s="73" t="s">
        <v>9</v>
      </c>
      <c r="E3" s="73" t="s">
        <v>10</v>
      </c>
      <c r="F3" s="73" t="s">
        <v>139</v>
      </c>
    </row>
    <row r="4" spans="1:6">
      <c r="A4" s="145" t="s">
        <v>500</v>
      </c>
      <c r="B4" s="625">
        <v>138769.95281464764</v>
      </c>
      <c r="C4" s="625">
        <v>22722.684723680683</v>
      </c>
      <c r="D4" s="625">
        <v>35459.449742258475</v>
      </c>
      <c r="E4" s="625">
        <v>74832.646124192266</v>
      </c>
      <c r="F4" s="625">
        <v>5755.1722245792416</v>
      </c>
    </row>
    <row r="5" spans="1:6">
      <c r="A5" s="86"/>
      <c r="B5" s="626"/>
      <c r="C5" s="626"/>
      <c r="D5" s="626"/>
      <c r="E5" s="626"/>
      <c r="F5" s="626"/>
    </row>
    <row r="6" spans="1:6">
      <c r="A6" s="246" t="s">
        <v>111</v>
      </c>
      <c r="B6" s="627"/>
      <c r="C6" s="627"/>
      <c r="D6" s="627"/>
      <c r="E6" s="627"/>
      <c r="F6" s="627"/>
    </row>
    <row r="7" spans="1:6">
      <c r="A7" s="97" t="s">
        <v>4</v>
      </c>
      <c r="B7" s="615">
        <v>51501.212629830858</v>
      </c>
      <c r="C7" s="615">
        <v>8005.1204775009592</v>
      </c>
      <c r="D7" s="615">
        <v>12957.109323979341</v>
      </c>
      <c r="E7" s="615">
        <v>28403.469679770256</v>
      </c>
      <c r="F7" s="615">
        <v>2135.5131486090463</v>
      </c>
    </row>
    <row r="8" spans="1:6">
      <c r="A8" s="97" t="s">
        <v>5</v>
      </c>
      <c r="B8" s="615">
        <v>87268.740184842522</v>
      </c>
      <c r="C8" s="615">
        <v>14717.564246172256</v>
      </c>
      <c r="D8" s="615">
        <v>22502.340418286367</v>
      </c>
      <c r="E8" s="615">
        <v>46429.176444424294</v>
      </c>
      <c r="F8" s="615">
        <v>3619.659075969932</v>
      </c>
    </row>
    <row r="9" spans="1:6" s="72" customFormat="1">
      <c r="A9" s="246" t="s">
        <v>448</v>
      </c>
      <c r="B9" s="628"/>
      <c r="C9" s="628"/>
      <c r="D9" s="628"/>
      <c r="E9" s="628"/>
      <c r="F9" s="628"/>
    </row>
    <row r="10" spans="1:6">
      <c r="A10" s="86" t="s">
        <v>486</v>
      </c>
      <c r="B10" s="614">
        <v>24757.123945476385</v>
      </c>
      <c r="C10" s="614">
        <v>4569.7136848234531</v>
      </c>
      <c r="D10" s="614">
        <v>6796.9966300923843</v>
      </c>
      <c r="E10" s="614">
        <v>12506.211196449114</v>
      </c>
      <c r="F10" s="614">
        <v>884.20243410633509</v>
      </c>
    </row>
    <row r="11" spans="1:6" s="72" customFormat="1">
      <c r="A11" s="87" t="s">
        <v>486</v>
      </c>
      <c r="B11" s="615">
        <v>24757.123945476385</v>
      </c>
      <c r="C11" s="615">
        <v>4569.7136848234531</v>
      </c>
      <c r="D11" s="615">
        <v>6796.9966300923843</v>
      </c>
      <c r="E11" s="615">
        <v>12506.211196449114</v>
      </c>
      <c r="F11" s="615">
        <v>884.20243410633509</v>
      </c>
    </row>
    <row r="12" spans="1:6">
      <c r="A12" s="86" t="s">
        <v>487</v>
      </c>
      <c r="B12" s="614">
        <v>49793.527669854921</v>
      </c>
      <c r="C12" s="614">
        <v>7762.8281938566433</v>
      </c>
      <c r="D12" s="614">
        <v>12888.871759385893</v>
      </c>
      <c r="E12" s="614">
        <v>26870.613063605157</v>
      </c>
      <c r="F12" s="614">
        <v>2271.2146530356913</v>
      </c>
    </row>
    <row r="13" spans="1:6">
      <c r="A13" s="87" t="s">
        <v>487</v>
      </c>
      <c r="B13" s="615">
        <v>42696.757487614712</v>
      </c>
      <c r="C13" s="615">
        <v>6593.3280091153647</v>
      </c>
      <c r="D13" s="615">
        <v>10719.987598484338</v>
      </c>
      <c r="E13" s="615">
        <v>23305.066206968229</v>
      </c>
      <c r="F13" s="615">
        <v>2078.3756730609853</v>
      </c>
    </row>
    <row r="14" spans="1:6" s="72" customFormat="1">
      <c r="A14" s="87" t="s">
        <v>488</v>
      </c>
      <c r="B14" s="615">
        <v>7096.7701822544332</v>
      </c>
      <c r="C14" s="615">
        <v>1169.5001847414924</v>
      </c>
      <c r="D14" s="615">
        <v>2168.8841609014676</v>
      </c>
      <c r="E14" s="615">
        <v>3565.5468566369445</v>
      </c>
      <c r="F14" s="615">
        <v>192.83897997472874</v>
      </c>
    </row>
    <row r="15" spans="1:6">
      <c r="A15" s="86" t="s">
        <v>489</v>
      </c>
      <c r="B15" s="614">
        <v>7043.3486249431589</v>
      </c>
      <c r="C15" s="614">
        <v>760.71655535268962</v>
      </c>
      <c r="D15" s="614">
        <v>1153.3486407754469</v>
      </c>
      <c r="E15" s="614">
        <v>4552.1949257796323</v>
      </c>
      <c r="F15" s="614">
        <v>577.08850303548252</v>
      </c>
    </row>
    <row r="16" spans="1:6" s="72" customFormat="1">
      <c r="A16" s="87" t="s">
        <v>489</v>
      </c>
      <c r="B16" s="615">
        <v>4508.0622889974011</v>
      </c>
      <c r="C16" s="615">
        <v>504.88838994049161</v>
      </c>
      <c r="D16" s="615">
        <v>758.64115930356411</v>
      </c>
      <c r="E16" s="615">
        <v>2867.4254011360581</v>
      </c>
      <c r="F16" s="615">
        <v>377.10733861724759</v>
      </c>
    </row>
    <row r="17" spans="1:6">
      <c r="A17" s="87" t="s">
        <v>490</v>
      </c>
      <c r="B17" s="615">
        <v>2535.2863359459939</v>
      </c>
      <c r="C17" s="615">
        <v>255.82816541220407</v>
      </c>
      <c r="D17" s="615">
        <v>394.70748147187209</v>
      </c>
      <c r="E17" s="615">
        <v>1684.7695246436342</v>
      </c>
      <c r="F17" s="615">
        <v>199.98116441823723</v>
      </c>
    </row>
    <row r="18" spans="1:6" s="72" customFormat="1">
      <c r="A18" s="86" t="s">
        <v>491</v>
      </c>
      <c r="B18" s="614">
        <v>19788.548710977437</v>
      </c>
      <c r="C18" s="614">
        <v>3453.0034389765297</v>
      </c>
      <c r="D18" s="614">
        <v>5410.8374748215574</v>
      </c>
      <c r="E18" s="614">
        <v>10209.060915937498</v>
      </c>
      <c r="F18" s="614">
        <v>715.64688123954159</v>
      </c>
    </row>
    <row r="19" spans="1:6">
      <c r="A19" s="87" t="s">
        <v>491</v>
      </c>
      <c r="B19" s="615">
        <v>19788.548710977437</v>
      </c>
      <c r="C19" s="615">
        <v>3453.0034389765297</v>
      </c>
      <c r="D19" s="615">
        <v>5410.8374748215574</v>
      </c>
      <c r="E19" s="615">
        <v>10209.060915937498</v>
      </c>
      <c r="F19" s="615">
        <v>715.64688123954159</v>
      </c>
    </row>
    <row r="20" spans="1:6" s="72" customFormat="1">
      <c r="A20" s="86" t="s">
        <v>499</v>
      </c>
      <c r="B20" s="614">
        <v>9330.1514324606342</v>
      </c>
      <c r="C20" s="614">
        <v>2079.1114395404225</v>
      </c>
      <c r="D20" s="614">
        <v>2308.0352730135969</v>
      </c>
      <c r="E20" s="614">
        <v>4740.1666817112691</v>
      </c>
      <c r="F20" s="614">
        <v>202.83803819564062</v>
      </c>
    </row>
    <row r="21" spans="1:6">
      <c r="A21" s="87" t="s">
        <v>492</v>
      </c>
      <c r="B21" s="615">
        <v>9330.1514324606342</v>
      </c>
      <c r="C21" s="615">
        <v>2079.1114395404225</v>
      </c>
      <c r="D21" s="615">
        <v>2308.0352730135969</v>
      </c>
      <c r="E21" s="615">
        <v>4740.1666817112691</v>
      </c>
      <c r="F21" s="615">
        <v>202.83803819564062</v>
      </c>
    </row>
    <row r="22" spans="1:6">
      <c r="A22" s="86" t="s">
        <v>493</v>
      </c>
      <c r="B22" s="614">
        <v>5313.4927254295089</v>
      </c>
      <c r="C22" s="614">
        <v>869.0036094954188</v>
      </c>
      <c r="D22" s="614">
        <v>1346.0194113922414</v>
      </c>
      <c r="E22" s="614">
        <v>2951.3407050055343</v>
      </c>
      <c r="F22" s="614">
        <v>147.12899953627445</v>
      </c>
    </row>
    <row r="23" spans="1:6" s="72" customFormat="1">
      <c r="A23" s="87" t="s">
        <v>493</v>
      </c>
      <c r="B23" s="615">
        <v>5313.4927254295089</v>
      </c>
      <c r="C23" s="615">
        <v>869.0036094954188</v>
      </c>
      <c r="D23" s="615">
        <v>1346.0194113922414</v>
      </c>
      <c r="E23" s="615">
        <v>2951.3407050055343</v>
      </c>
      <c r="F23" s="615">
        <v>147.12899953627445</v>
      </c>
    </row>
    <row r="24" spans="1:6">
      <c r="A24" s="88" t="s">
        <v>494</v>
      </c>
      <c r="B24" s="614">
        <v>5864.964423314379</v>
      </c>
      <c r="C24" s="614">
        <v>1096.4064231951502</v>
      </c>
      <c r="D24" s="614">
        <v>1681.8552685090151</v>
      </c>
      <c r="E24" s="614">
        <v>2861.0097031954565</v>
      </c>
      <c r="F24" s="614">
        <v>225.69302841486777</v>
      </c>
    </row>
    <row r="25" spans="1:6" s="72" customFormat="1">
      <c r="A25" s="87" t="s">
        <v>495</v>
      </c>
      <c r="B25" s="615">
        <v>3126.5851099154602</v>
      </c>
      <c r="C25" s="615">
        <v>567.15344607256122</v>
      </c>
      <c r="D25" s="615">
        <v>943.28398114464312</v>
      </c>
      <c r="E25" s="615">
        <v>1486.1599258262722</v>
      </c>
      <c r="F25" s="615">
        <v>129.98775687185409</v>
      </c>
    </row>
    <row r="26" spans="1:6">
      <c r="A26" s="87" t="s">
        <v>496</v>
      </c>
      <c r="B26" s="615">
        <v>2738.3793133992463</v>
      </c>
      <c r="C26" s="615">
        <v>529.25297712260601</v>
      </c>
      <c r="D26" s="615">
        <v>738.57128736431639</v>
      </c>
      <c r="E26" s="615">
        <v>1374.8497773692195</v>
      </c>
      <c r="F26" s="615">
        <v>95.705271543013367</v>
      </c>
    </row>
    <row r="27" spans="1:6" s="72" customFormat="1">
      <c r="A27" s="86" t="s">
        <v>497</v>
      </c>
      <c r="B27" s="614">
        <v>11240.128562456019</v>
      </c>
      <c r="C27" s="614">
        <v>1788.0899815318328</v>
      </c>
      <c r="D27" s="614">
        <v>2969.0030555462113</v>
      </c>
      <c r="E27" s="614">
        <v>6148.7812934220419</v>
      </c>
      <c r="F27" s="614">
        <v>334.25423195619669</v>
      </c>
    </row>
    <row r="28" spans="1:6">
      <c r="A28" s="87" t="s">
        <v>497</v>
      </c>
      <c r="B28" s="615">
        <v>11240.128562456019</v>
      </c>
      <c r="C28" s="615">
        <v>1788.0899815318328</v>
      </c>
      <c r="D28" s="615">
        <v>2969.0030555462113</v>
      </c>
      <c r="E28" s="615">
        <v>6148.7812934220419</v>
      </c>
      <c r="F28" s="615">
        <v>334.25423195619669</v>
      </c>
    </row>
    <row r="29" spans="1:6">
      <c r="A29" s="86" t="s">
        <v>498</v>
      </c>
      <c r="B29" s="614">
        <v>5638.6667197730658</v>
      </c>
      <c r="C29" s="614">
        <v>343.81139690317519</v>
      </c>
      <c r="D29" s="614">
        <v>904.4822287287642</v>
      </c>
      <c r="E29" s="614">
        <v>3993.2676390820816</v>
      </c>
      <c r="F29" s="614">
        <v>397.10545505907135</v>
      </c>
    </row>
    <row r="30" spans="1:6">
      <c r="A30" s="87" t="s">
        <v>498</v>
      </c>
      <c r="B30" s="615">
        <v>5638.6667197730658</v>
      </c>
      <c r="C30" s="615">
        <v>343.81139690317519</v>
      </c>
      <c r="D30" s="615">
        <v>904.4822287287642</v>
      </c>
      <c r="E30" s="615">
        <v>3993.2676390820816</v>
      </c>
      <c r="F30" s="615">
        <v>397.10545505907135</v>
      </c>
    </row>
    <row r="31" spans="1:6">
      <c r="A31" s="69"/>
      <c r="B31" s="75"/>
      <c r="C31" s="75"/>
      <c r="D31" s="75"/>
      <c r="E31" s="75"/>
      <c r="F31" s="75"/>
    </row>
    <row r="32" spans="1:6">
      <c r="A32" s="69"/>
      <c r="B32" s="75"/>
      <c r="C32" s="75"/>
      <c r="D32" s="75"/>
      <c r="E32" s="75"/>
      <c r="F32" s="75"/>
    </row>
    <row r="33" spans="1:6">
      <c r="A33" s="69"/>
      <c r="B33" s="75"/>
      <c r="C33" s="75"/>
      <c r="D33" s="75"/>
      <c r="E33" s="75"/>
      <c r="F33" s="75"/>
    </row>
    <row r="34" spans="1:6">
      <c r="A34" s="69"/>
      <c r="B34" s="75"/>
      <c r="C34" s="75"/>
      <c r="D34" s="75"/>
      <c r="E34" s="75"/>
      <c r="F34" s="75"/>
    </row>
    <row r="35" spans="1:6">
      <c r="A35" s="69"/>
      <c r="B35" s="75"/>
      <c r="C35" s="75"/>
      <c r="D35" s="75"/>
      <c r="E35" s="75"/>
      <c r="F35" s="75"/>
    </row>
    <row r="36" spans="1:6">
      <c r="A36" s="69"/>
      <c r="B36" s="75"/>
      <c r="C36" s="75"/>
      <c r="D36" s="75"/>
      <c r="E36" s="75"/>
      <c r="F36" s="75"/>
    </row>
    <row r="37" spans="1:6">
      <c r="A37" s="69"/>
      <c r="B37" s="75"/>
      <c r="C37" s="75"/>
      <c r="D37" s="75"/>
      <c r="E37" s="75"/>
      <c r="F37" s="75"/>
    </row>
    <row r="38" spans="1:6">
      <c r="A38" s="69"/>
      <c r="B38" s="75"/>
      <c r="C38" s="75"/>
      <c r="D38" s="75"/>
      <c r="E38" s="75"/>
      <c r="F38" s="75"/>
    </row>
    <row r="39" spans="1:6">
      <c r="A39" s="69"/>
      <c r="B39" s="75"/>
      <c r="C39" s="75"/>
      <c r="D39" s="75"/>
      <c r="E39" s="75"/>
      <c r="F39" s="75"/>
    </row>
    <row r="40" spans="1:6">
      <c r="A40" s="69"/>
      <c r="B40" s="75"/>
      <c r="C40" s="75"/>
      <c r="D40" s="75"/>
      <c r="E40" s="75"/>
      <c r="F40" s="75"/>
    </row>
    <row r="41" spans="1:6">
      <c r="A41" s="69"/>
      <c r="B41" s="75"/>
      <c r="C41" s="75"/>
      <c r="D41" s="75"/>
      <c r="E41" s="75"/>
      <c r="F41" s="75"/>
    </row>
    <row r="42" spans="1:6">
      <c r="A42" s="69"/>
      <c r="B42" s="75"/>
      <c r="C42" s="75"/>
      <c r="D42" s="75"/>
      <c r="E42" s="75"/>
      <c r="F42" s="75"/>
    </row>
    <row r="43" spans="1:6">
      <c r="A43" s="69"/>
      <c r="B43" s="75"/>
      <c r="C43" s="75"/>
      <c r="D43" s="75"/>
      <c r="E43" s="75"/>
      <c r="F43" s="75"/>
    </row>
    <row r="44" spans="1:6">
      <c r="A44" s="69"/>
      <c r="B44" s="75"/>
      <c r="C44" s="75"/>
      <c r="D44" s="75"/>
      <c r="E44" s="75"/>
      <c r="F44" s="75"/>
    </row>
    <row r="45" spans="1:6">
      <c r="A45" s="69"/>
      <c r="B45" s="75"/>
      <c r="C45" s="75"/>
      <c r="D45" s="75"/>
      <c r="E45" s="75"/>
      <c r="F45" s="75"/>
    </row>
    <row r="46" spans="1:6">
      <c r="A46" s="69"/>
      <c r="B46" s="75"/>
      <c r="C46" s="75"/>
      <c r="D46" s="75"/>
      <c r="E46" s="75"/>
      <c r="F46" s="75"/>
    </row>
    <row r="47" spans="1:6">
      <c r="A47" s="69"/>
      <c r="B47" s="75"/>
      <c r="C47" s="75"/>
      <c r="D47" s="75"/>
      <c r="E47" s="75"/>
      <c r="F47" s="75"/>
    </row>
    <row r="48" spans="1:6">
      <c r="A48" s="69"/>
      <c r="B48" s="75"/>
      <c r="C48" s="75"/>
      <c r="D48" s="75"/>
      <c r="E48" s="75"/>
      <c r="F48" s="75"/>
    </row>
    <row r="49" spans="1:6">
      <c r="A49" s="69"/>
      <c r="B49" s="75"/>
      <c r="C49" s="75"/>
      <c r="D49" s="75"/>
      <c r="E49" s="75"/>
      <c r="F49" s="75"/>
    </row>
    <row r="50" spans="1:6">
      <c r="A50" s="69"/>
      <c r="B50" s="75"/>
      <c r="C50" s="75"/>
      <c r="D50" s="75"/>
      <c r="E50" s="75"/>
      <c r="F50" s="75"/>
    </row>
    <row r="51" spans="1:6">
      <c r="A51" s="69"/>
      <c r="B51" s="75"/>
      <c r="C51" s="75"/>
      <c r="D51" s="75"/>
      <c r="E51" s="75"/>
      <c r="F51" s="75"/>
    </row>
    <row r="52" spans="1:6">
      <c r="A52" s="69"/>
      <c r="B52" s="75"/>
      <c r="C52" s="75"/>
      <c r="D52" s="75"/>
      <c r="E52" s="75"/>
      <c r="F52" s="75"/>
    </row>
    <row r="53" spans="1:6">
      <c r="A53" s="69"/>
      <c r="B53" s="75"/>
      <c r="C53" s="75"/>
      <c r="D53" s="75"/>
      <c r="E53" s="75"/>
      <c r="F53" s="75"/>
    </row>
    <row r="54" spans="1:6">
      <c r="A54" s="69"/>
      <c r="B54" s="75"/>
      <c r="C54" s="75"/>
      <c r="D54" s="75"/>
      <c r="E54" s="75"/>
      <c r="F54" s="75"/>
    </row>
    <row r="55" spans="1:6">
      <c r="A55" s="69"/>
      <c r="B55" s="75"/>
      <c r="C55" s="75"/>
      <c r="D55" s="75"/>
      <c r="E55" s="75"/>
      <c r="F55" s="75"/>
    </row>
    <row r="56" spans="1:6">
      <c r="A56" s="69"/>
      <c r="B56" s="75"/>
      <c r="C56" s="75"/>
      <c r="D56" s="75"/>
      <c r="E56" s="75"/>
      <c r="F56" s="75"/>
    </row>
    <row r="57" spans="1:6">
      <c r="A57" s="69"/>
      <c r="B57" s="75"/>
      <c r="C57" s="75"/>
      <c r="D57" s="75"/>
      <c r="E57" s="75"/>
      <c r="F57" s="75"/>
    </row>
    <row r="58" spans="1:6">
      <c r="A58" s="69"/>
      <c r="B58" s="75"/>
      <c r="C58" s="75"/>
      <c r="D58" s="75"/>
      <c r="E58" s="75"/>
      <c r="F58" s="75"/>
    </row>
    <row r="59" spans="1:6">
      <c r="A59" s="69"/>
      <c r="B59" s="75"/>
      <c r="C59" s="75"/>
      <c r="D59" s="75"/>
      <c r="E59" s="75"/>
      <c r="F59" s="75"/>
    </row>
    <row r="60" spans="1:6">
      <c r="A60" s="69"/>
      <c r="B60" s="75"/>
      <c r="C60" s="75"/>
      <c r="D60" s="75"/>
      <c r="E60" s="75"/>
      <c r="F60" s="75"/>
    </row>
    <row r="61" spans="1:6">
      <c r="A61" s="69"/>
      <c r="B61" s="75"/>
      <c r="C61" s="75"/>
      <c r="D61" s="75"/>
      <c r="E61" s="75"/>
      <c r="F61" s="75"/>
    </row>
    <row r="62" spans="1:6">
      <c r="A62" s="69"/>
      <c r="B62" s="75"/>
      <c r="C62" s="75"/>
      <c r="D62" s="75"/>
      <c r="E62" s="75"/>
      <c r="F62" s="75"/>
    </row>
    <row r="63" spans="1:6">
      <c r="A63" s="69"/>
      <c r="B63" s="75"/>
      <c r="C63" s="75"/>
      <c r="D63" s="75"/>
      <c r="E63" s="75"/>
      <c r="F63" s="75"/>
    </row>
    <row r="64" spans="1:6">
      <c r="A64" s="69"/>
      <c r="B64" s="75"/>
      <c r="C64" s="75"/>
      <c r="D64" s="75"/>
      <c r="E64" s="75"/>
      <c r="F64" s="75"/>
    </row>
    <row r="65" spans="1:6">
      <c r="A65" s="69"/>
      <c r="B65" s="75"/>
      <c r="C65" s="75"/>
      <c r="D65" s="75"/>
      <c r="E65" s="75"/>
      <c r="F65" s="75"/>
    </row>
    <row r="66" spans="1:6">
      <c r="A66" s="69"/>
      <c r="B66" s="75"/>
      <c r="C66" s="75"/>
      <c r="D66" s="75"/>
      <c r="E66" s="75"/>
      <c r="F66" s="75"/>
    </row>
    <row r="67" spans="1:6">
      <c r="A67" s="69"/>
      <c r="B67" s="75"/>
      <c r="C67" s="75"/>
      <c r="D67" s="75"/>
      <c r="E67" s="75"/>
      <c r="F67" s="75"/>
    </row>
    <row r="68" spans="1:6">
      <c r="A68" s="69"/>
      <c r="B68" s="75"/>
      <c r="C68" s="75"/>
      <c r="D68" s="75"/>
      <c r="E68" s="75"/>
      <c r="F68" s="75"/>
    </row>
    <row r="69" spans="1:6">
      <c r="A69" s="69"/>
      <c r="B69" s="75"/>
      <c r="C69" s="75"/>
      <c r="D69" s="75"/>
      <c r="E69" s="75"/>
      <c r="F69" s="75"/>
    </row>
    <row r="70" spans="1:6">
      <c r="A70" s="69"/>
      <c r="B70" s="75"/>
      <c r="C70" s="75"/>
      <c r="D70" s="75"/>
      <c r="E70" s="75"/>
      <c r="F70" s="75"/>
    </row>
    <row r="71" spans="1:6">
      <c r="A71" s="69"/>
      <c r="B71" s="75"/>
      <c r="C71" s="75"/>
      <c r="D71" s="75"/>
      <c r="E71" s="75"/>
      <c r="F71" s="75"/>
    </row>
    <row r="72" spans="1:6">
      <c r="A72" s="69"/>
      <c r="B72" s="75"/>
      <c r="C72" s="75"/>
      <c r="D72" s="75"/>
      <c r="E72" s="75"/>
      <c r="F72" s="75"/>
    </row>
    <row r="73" spans="1:6">
      <c r="A73" s="69"/>
      <c r="B73" s="75"/>
      <c r="C73" s="75"/>
      <c r="D73" s="75"/>
      <c r="E73" s="75"/>
      <c r="F73" s="75"/>
    </row>
    <row r="74" spans="1:6">
      <c r="A74" s="69"/>
      <c r="B74" s="75"/>
      <c r="C74" s="75"/>
      <c r="D74" s="75"/>
      <c r="E74" s="75"/>
      <c r="F74" s="75"/>
    </row>
    <row r="75" spans="1:6">
      <c r="A75" s="69"/>
      <c r="B75" s="75"/>
      <c r="C75" s="75"/>
      <c r="D75" s="75"/>
      <c r="E75" s="75"/>
      <c r="F75" s="75"/>
    </row>
    <row r="76" spans="1:6">
      <c r="A76" s="69"/>
      <c r="B76" s="75"/>
      <c r="C76" s="75"/>
      <c r="D76" s="75"/>
      <c r="E76" s="75"/>
      <c r="F76" s="75"/>
    </row>
    <row r="77" spans="1:6">
      <c r="A77" s="69"/>
      <c r="B77" s="75"/>
      <c r="C77" s="75"/>
      <c r="D77" s="75"/>
      <c r="E77" s="75"/>
      <c r="F77" s="75"/>
    </row>
    <row r="78" spans="1:6">
      <c r="A78" s="69"/>
      <c r="B78" s="75"/>
      <c r="C78" s="75"/>
      <c r="D78" s="75"/>
      <c r="E78" s="75"/>
      <c r="F78" s="75"/>
    </row>
    <row r="79" spans="1:6">
      <c r="A79" s="69"/>
      <c r="B79" s="75"/>
      <c r="C79" s="75"/>
      <c r="D79" s="75"/>
      <c r="E79" s="75"/>
      <c r="F79" s="75"/>
    </row>
    <row r="80" spans="1:6">
      <c r="A80" s="69"/>
      <c r="B80" s="75"/>
      <c r="C80" s="75"/>
      <c r="D80" s="75"/>
      <c r="E80" s="75"/>
      <c r="F80" s="75"/>
    </row>
    <row r="81" spans="2:6" s="69" customFormat="1">
      <c r="B81" s="75"/>
      <c r="C81" s="75"/>
      <c r="D81" s="75"/>
      <c r="E81" s="75"/>
      <c r="F81" s="75"/>
    </row>
    <row r="82" spans="2:6" s="69" customFormat="1">
      <c r="B82" s="75"/>
      <c r="C82" s="75"/>
      <c r="D82" s="75"/>
      <c r="E82" s="75"/>
      <c r="F82" s="75"/>
    </row>
    <row r="83" spans="2:6" s="69" customFormat="1">
      <c r="B83" s="75"/>
      <c r="C83" s="75"/>
      <c r="D83" s="75"/>
      <c r="E83" s="75"/>
      <c r="F83" s="75"/>
    </row>
    <row r="84" spans="2:6" s="69" customFormat="1">
      <c r="B84" s="75"/>
      <c r="C84" s="75"/>
      <c r="D84" s="75"/>
      <c r="E84" s="75"/>
      <c r="F84" s="75"/>
    </row>
    <row r="85" spans="2:6" s="69" customFormat="1">
      <c r="B85" s="75"/>
      <c r="C85" s="75"/>
      <c r="D85" s="75"/>
      <c r="E85" s="75"/>
      <c r="F85" s="75"/>
    </row>
    <row r="86" spans="2:6" s="69" customFormat="1">
      <c r="B86" s="75"/>
      <c r="C86" s="75"/>
      <c r="D86" s="75"/>
      <c r="E86" s="75"/>
      <c r="F86" s="75"/>
    </row>
  </sheetData>
  <mergeCells count="4">
    <mergeCell ref="A1:F1"/>
    <mergeCell ref="A2:A3"/>
    <mergeCell ref="B2:B3"/>
    <mergeCell ref="C2:F2"/>
  </mergeCell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109"/>
  <sheetViews>
    <sheetView zoomScale="120" zoomScaleNormal="120" workbookViewId="0">
      <selection activeCell="O33" sqref="O33"/>
    </sheetView>
  </sheetViews>
  <sheetFormatPr defaultColWidth="9.140625" defaultRowHeight="12"/>
  <cols>
    <col min="1" max="1" width="26" style="69" customWidth="1"/>
    <col min="2" max="2" width="11.140625" style="69" bestFit="1" customWidth="1"/>
    <col min="3" max="3" width="10.28515625" style="69" bestFit="1" customWidth="1"/>
    <col min="4" max="4" width="11.140625" style="69" bestFit="1" customWidth="1"/>
    <col min="5" max="5" width="10.42578125" style="69" customWidth="1"/>
    <col min="6" max="6" width="11.140625" style="75" bestFit="1" customWidth="1"/>
    <col min="7" max="7" width="9.28515625" style="69" bestFit="1" customWidth="1"/>
    <col min="8" max="8" width="9.28515625" style="75" bestFit="1" customWidth="1"/>
    <col min="9" max="16384" width="9.140625" style="69"/>
  </cols>
  <sheetData>
    <row r="1" spans="1:8" ht="12.75" thickBot="1">
      <c r="A1" s="931" t="s">
        <v>466</v>
      </c>
      <c r="B1" s="931"/>
      <c r="C1" s="931"/>
      <c r="D1" s="931"/>
      <c r="E1" s="931"/>
      <c r="F1" s="931"/>
      <c r="G1" s="931"/>
      <c r="H1" s="931"/>
    </row>
    <row r="2" spans="1:8" ht="15" customHeight="1">
      <c r="A2" s="932" t="s">
        <v>445</v>
      </c>
      <c r="B2" s="933" t="s">
        <v>11</v>
      </c>
      <c r="C2" s="930" t="s">
        <v>12</v>
      </c>
      <c r="D2" s="930"/>
      <c r="E2" s="930"/>
      <c r="F2" s="930"/>
      <c r="G2" s="930"/>
      <c r="H2" s="930"/>
    </row>
    <row r="3" spans="1:8" ht="24.75" customHeight="1">
      <c r="A3" s="764"/>
      <c r="B3" s="934"/>
      <c r="C3" s="629" t="s">
        <v>13</v>
      </c>
      <c r="D3" s="630" t="s">
        <v>14</v>
      </c>
      <c r="E3" s="629" t="s">
        <v>15</v>
      </c>
      <c r="F3" s="630" t="s">
        <v>16</v>
      </c>
      <c r="G3" s="630" t="s">
        <v>17</v>
      </c>
      <c r="H3" s="630" t="s">
        <v>18</v>
      </c>
    </row>
    <row r="4" spans="1:8">
      <c r="A4" s="145" t="s">
        <v>500</v>
      </c>
      <c r="B4" s="631">
        <v>35834.358542606504</v>
      </c>
      <c r="C4" s="632">
        <v>1474.0393688594997</v>
      </c>
      <c r="D4" s="632">
        <v>15322.679958617644</v>
      </c>
      <c r="E4" s="641">
        <v>6.7865532636258408</v>
      </c>
      <c r="F4" s="646">
        <v>18574.796282548115</v>
      </c>
      <c r="G4" s="632">
        <v>453.3417580102082</v>
      </c>
      <c r="H4" s="641">
        <v>2.7146213054503363</v>
      </c>
    </row>
    <row r="5" spans="1:8">
      <c r="A5" s="97"/>
      <c r="B5" s="633"/>
      <c r="C5" s="634"/>
      <c r="D5" s="634"/>
      <c r="E5" s="642"/>
      <c r="F5" s="647"/>
      <c r="G5" s="634"/>
      <c r="H5" s="642"/>
    </row>
    <row r="6" spans="1:8">
      <c r="A6" s="246" t="s">
        <v>111</v>
      </c>
      <c r="B6" s="635"/>
      <c r="C6" s="636"/>
      <c r="D6" s="636"/>
      <c r="E6" s="643"/>
      <c r="F6" s="648"/>
      <c r="G6" s="636"/>
      <c r="H6" s="643"/>
    </row>
    <row r="7" spans="1:8">
      <c r="A7" s="97" t="s">
        <v>4</v>
      </c>
      <c r="B7" s="637">
        <v>13600.252740308892</v>
      </c>
      <c r="C7" s="638">
        <v>753.30741226246187</v>
      </c>
      <c r="D7" s="638">
        <v>10873.415638983215</v>
      </c>
      <c r="E7" s="644">
        <v>4.0719319581755045</v>
      </c>
      <c r="F7" s="649">
        <v>1942.3115440496656</v>
      </c>
      <c r="G7" s="638">
        <v>27.146213054503363</v>
      </c>
      <c r="H7" s="644">
        <v>0</v>
      </c>
    </row>
    <row r="8" spans="1:8">
      <c r="A8" s="97" t="s">
        <v>5</v>
      </c>
      <c r="B8" s="637">
        <v>22234.105802296261</v>
      </c>
      <c r="C8" s="638">
        <v>720.73195659705902</v>
      </c>
      <c r="D8" s="638">
        <v>4449.2643196330782</v>
      </c>
      <c r="E8" s="644">
        <v>2.7146213054503363</v>
      </c>
      <c r="F8" s="649">
        <v>16632.48473849782</v>
      </c>
      <c r="G8" s="638">
        <v>426.19554495570469</v>
      </c>
      <c r="H8" s="644">
        <v>2.7146213054503363</v>
      </c>
    </row>
    <row r="9" spans="1:8" s="72" customFormat="1">
      <c r="A9" s="246" t="s">
        <v>448</v>
      </c>
      <c r="B9" s="639"/>
      <c r="C9" s="640"/>
      <c r="D9" s="640"/>
      <c r="E9" s="645"/>
      <c r="F9" s="650"/>
      <c r="G9" s="640"/>
      <c r="H9" s="651"/>
    </row>
    <row r="10" spans="1:8">
      <c r="A10" s="86" t="s">
        <v>486</v>
      </c>
      <c r="B10" s="606">
        <v>5235.1471875611851</v>
      </c>
      <c r="C10" s="606">
        <v>274.17675185048506</v>
      </c>
      <c r="D10" s="606">
        <v>2673.9019858685047</v>
      </c>
      <c r="E10" s="599">
        <v>0</v>
      </c>
      <c r="F10" s="602">
        <v>2280.2818965782203</v>
      </c>
      <c r="G10" s="606">
        <v>6.7865532636258408</v>
      </c>
      <c r="H10" s="599">
        <v>0</v>
      </c>
    </row>
    <row r="11" spans="1:8" s="72" customFormat="1">
      <c r="A11" s="87" t="s">
        <v>486</v>
      </c>
      <c r="B11" s="607">
        <v>5235.1471875611851</v>
      </c>
      <c r="C11" s="607">
        <v>274.17675185048506</v>
      </c>
      <c r="D11" s="607">
        <v>2673.9019858685047</v>
      </c>
      <c r="E11" s="598">
        <v>0</v>
      </c>
      <c r="F11" s="603">
        <v>2280.2818965782203</v>
      </c>
      <c r="G11" s="607">
        <v>6.7865532636258408</v>
      </c>
      <c r="H11" s="598">
        <v>0</v>
      </c>
    </row>
    <row r="12" spans="1:8">
      <c r="A12" s="86" t="s">
        <v>487</v>
      </c>
      <c r="B12" s="606">
        <v>13312.50288193107</v>
      </c>
      <c r="C12" s="606">
        <v>525.27922260464197</v>
      </c>
      <c r="D12" s="606">
        <v>9965.3748123098067</v>
      </c>
      <c r="E12" s="599">
        <v>4.0719319581755045</v>
      </c>
      <c r="F12" s="602">
        <v>2753.9833143792866</v>
      </c>
      <c r="G12" s="606">
        <v>61.078979372632567</v>
      </c>
      <c r="H12" s="599">
        <v>2.7146213054503363</v>
      </c>
    </row>
    <row r="13" spans="1:8">
      <c r="A13" s="87" t="s">
        <v>487</v>
      </c>
      <c r="B13" s="607">
        <v>12021.70045118905</v>
      </c>
      <c r="C13" s="607">
        <v>523.92191195191685</v>
      </c>
      <c r="D13" s="607">
        <v>9805.212155288189</v>
      </c>
      <c r="E13" s="598">
        <v>4.0719319581755045</v>
      </c>
      <c r="F13" s="603">
        <v>1627.4154726174381</v>
      </c>
      <c r="G13" s="607">
        <v>58.364358067182231</v>
      </c>
      <c r="H13" s="598">
        <v>2.7146213054503363</v>
      </c>
    </row>
    <row r="14" spans="1:8" s="72" customFormat="1">
      <c r="A14" s="87" t="s">
        <v>488</v>
      </c>
      <c r="B14" s="607">
        <v>1290.8024307416088</v>
      </c>
      <c r="C14" s="607">
        <v>1.3573106527251682</v>
      </c>
      <c r="D14" s="607">
        <v>160.16265702157034</v>
      </c>
      <c r="E14" s="598">
        <v>0</v>
      </c>
      <c r="F14" s="603">
        <v>1126.5678417618694</v>
      </c>
      <c r="G14" s="607">
        <v>2.7146213054503363</v>
      </c>
      <c r="H14" s="598">
        <v>0</v>
      </c>
    </row>
    <row r="15" spans="1:8">
      <c r="A15" s="86" t="s">
        <v>489</v>
      </c>
      <c r="B15" s="606">
        <v>2149.9800739166089</v>
      </c>
      <c r="C15" s="606">
        <v>240.24398553235568</v>
      </c>
      <c r="D15" s="606">
        <v>671.86877309895476</v>
      </c>
      <c r="E15" s="599">
        <v>0</v>
      </c>
      <c r="F15" s="602">
        <v>1017.98298954386</v>
      </c>
      <c r="G15" s="606">
        <v>219.88432574147805</v>
      </c>
      <c r="H15" s="599">
        <v>0</v>
      </c>
    </row>
    <row r="16" spans="1:8" s="72" customFormat="1">
      <c r="A16" s="87" t="s">
        <v>489</v>
      </c>
      <c r="B16" s="607">
        <v>1412.9603894868694</v>
      </c>
      <c r="C16" s="607">
        <v>168.30652093792139</v>
      </c>
      <c r="D16" s="607">
        <v>517.13535868829126</v>
      </c>
      <c r="E16" s="598">
        <v>0</v>
      </c>
      <c r="F16" s="603">
        <v>606.71786176814908</v>
      </c>
      <c r="G16" s="607">
        <v>120.80064809254026</v>
      </c>
      <c r="H16" s="598">
        <v>0</v>
      </c>
    </row>
    <row r="17" spans="1:8">
      <c r="A17" s="87" t="s">
        <v>490</v>
      </c>
      <c r="B17" s="607">
        <v>737.01968442976045</v>
      </c>
      <c r="C17" s="607">
        <v>71.937464594433948</v>
      </c>
      <c r="D17" s="607">
        <v>154.73341441066964</v>
      </c>
      <c r="E17" s="598">
        <v>0</v>
      </c>
      <c r="F17" s="603">
        <v>411.26512777572776</v>
      </c>
      <c r="G17" s="607">
        <v>99.083677648937453</v>
      </c>
      <c r="H17" s="598">
        <v>0</v>
      </c>
    </row>
    <row r="18" spans="1:8" s="72" customFormat="1">
      <c r="A18" s="86" t="s">
        <v>491</v>
      </c>
      <c r="B18" s="606">
        <v>5441.4584067754722</v>
      </c>
      <c r="C18" s="606">
        <v>289.10716903046199</v>
      </c>
      <c r="D18" s="606">
        <v>1142.8555695945709</v>
      </c>
      <c r="E18" s="599">
        <v>0</v>
      </c>
      <c r="F18" s="602">
        <v>3999.9944935809453</v>
      </c>
      <c r="G18" s="606">
        <v>9.5011745690761771</v>
      </c>
      <c r="H18" s="599">
        <v>0</v>
      </c>
    </row>
    <row r="19" spans="1:8">
      <c r="A19" s="87" t="s">
        <v>491</v>
      </c>
      <c r="B19" s="607">
        <v>5441.4584067754722</v>
      </c>
      <c r="C19" s="607">
        <v>289.10716903046199</v>
      </c>
      <c r="D19" s="607">
        <v>1142.8555695945709</v>
      </c>
      <c r="E19" s="598">
        <v>0</v>
      </c>
      <c r="F19" s="603">
        <v>3999.9944935809453</v>
      </c>
      <c r="G19" s="607">
        <v>9.5011745690761771</v>
      </c>
      <c r="H19" s="598">
        <v>0</v>
      </c>
    </row>
    <row r="20" spans="1:8" s="72" customFormat="1">
      <c r="A20" s="86" t="s">
        <v>499</v>
      </c>
      <c r="B20" s="606">
        <v>2772.9856635174383</v>
      </c>
      <c r="C20" s="606">
        <v>12.215795874526513</v>
      </c>
      <c r="D20" s="606">
        <v>152.01879310521929</v>
      </c>
      <c r="E20" s="599">
        <v>0</v>
      </c>
      <c r="F20" s="602">
        <v>2599.2498999686231</v>
      </c>
      <c r="G20" s="606">
        <v>9.5011745690761771</v>
      </c>
      <c r="H20" s="599">
        <v>0</v>
      </c>
    </row>
    <row r="21" spans="1:8">
      <c r="A21" s="87" t="s">
        <v>492</v>
      </c>
      <c r="B21" s="607">
        <v>2772.9856635174383</v>
      </c>
      <c r="C21" s="607">
        <v>12.215795874526513</v>
      </c>
      <c r="D21" s="607">
        <v>152.01879310521929</v>
      </c>
      <c r="E21" s="598">
        <v>0</v>
      </c>
      <c r="F21" s="603">
        <v>2599.2498999686231</v>
      </c>
      <c r="G21" s="607">
        <v>9.5011745690761771</v>
      </c>
      <c r="H21" s="598">
        <v>0</v>
      </c>
    </row>
    <row r="22" spans="1:8">
      <c r="A22" s="86" t="s">
        <v>493</v>
      </c>
      <c r="B22" s="606">
        <v>1222.9368981053528</v>
      </c>
      <c r="C22" s="606">
        <v>23.074281096327859</v>
      </c>
      <c r="D22" s="606">
        <v>122.15795874526543</v>
      </c>
      <c r="E22" s="599">
        <v>1.3573106527251682</v>
      </c>
      <c r="F22" s="602">
        <v>1074.9900369583149</v>
      </c>
      <c r="G22" s="606">
        <v>1.3573106527251682</v>
      </c>
      <c r="H22" s="599">
        <v>0</v>
      </c>
    </row>
    <row r="23" spans="1:8" s="72" customFormat="1">
      <c r="A23" s="87" t="s">
        <v>493</v>
      </c>
      <c r="B23" s="607">
        <v>1222.9368981053528</v>
      </c>
      <c r="C23" s="607">
        <v>23.074281096327859</v>
      </c>
      <c r="D23" s="607">
        <v>122.15795874526543</v>
      </c>
      <c r="E23" s="598">
        <v>1.3573106527251682</v>
      </c>
      <c r="F23" s="603">
        <v>1074.9900369583149</v>
      </c>
      <c r="G23" s="607">
        <v>1.3573106527251682</v>
      </c>
      <c r="H23" s="598">
        <v>0</v>
      </c>
    </row>
    <row r="24" spans="1:8">
      <c r="A24" s="88" t="s">
        <v>494</v>
      </c>
      <c r="B24" s="606">
        <v>1199.8626170090258</v>
      </c>
      <c r="C24" s="606">
        <v>8.1438639163510089</v>
      </c>
      <c r="D24" s="606">
        <v>276.89137315593541</v>
      </c>
      <c r="E24" s="599">
        <v>0</v>
      </c>
      <c r="F24" s="602">
        <v>910.7554479785756</v>
      </c>
      <c r="G24" s="606">
        <v>4.0719319581755045</v>
      </c>
      <c r="H24" s="599">
        <v>0</v>
      </c>
    </row>
    <row r="25" spans="1:8" s="72" customFormat="1">
      <c r="A25" s="87" t="s">
        <v>495</v>
      </c>
      <c r="B25" s="607">
        <v>661.01028787715381</v>
      </c>
      <c r="C25" s="607">
        <v>6.7865532636258408</v>
      </c>
      <c r="D25" s="607">
        <v>237.52936422690533</v>
      </c>
      <c r="E25" s="598">
        <v>0</v>
      </c>
      <c r="F25" s="603">
        <v>412.62243842845294</v>
      </c>
      <c r="G25" s="607">
        <v>4.0719319581755045</v>
      </c>
      <c r="H25" s="598">
        <v>0</v>
      </c>
    </row>
    <row r="26" spans="1:8">
      <c r="A26" s="87" t="s">
        <v>496</v>
      </c>
      <c r="B26" s="607">
        <v>538.85232913189316</v>
      </c>
      <c r="C26" s="607">
        <v>1.3573106527251682</v>
      </c>
      <c r="D26" s="607">
        <v>39.362008929029876</v>
      </c>
      <c r="E26" s="598">
        <v>0</v>
      </c>
      <c r="F26" s="603">
        <v>498.13300955013898</v>
      </c>
      <c r="G26" s="607">
        <v>0</v>
      </c>
      <c r="H26" s="598">
        <v>0</v>
      </c>
    </row>
    <row r="27" spans="1:8" s="72" customFormat="1">
      <c r="A27" s="86" t="s">
        <v>497</v>
      </c>
      <c r="B27" s="606">
        <v>3398.7058744237179</v>
      </c>
      <c r="C27" s="606">
        <v>10.858485221801345</v>
      </c>
      <c r="D27" s="606">
        <v>16.287727832702018</v>
      </c>
      <c r="E27" s="599">
        <v>0</v>
      </c>
      <c r="F27" s="602">
        <v>3328.1257204820117</v>
      </c>
      <c r="G27" s="606">
        <v>43.433940887205381</v>
      </c>
      <c r="H27" s="599">
        <v>0</v>
      </c>
    </row>
    <row r="28" spans="1:8">
      <c r="A28" s="87" t="s">
        <v>497</v>
      </c>
      <c r="B28" s="607">
        <v>3398.7058744237179</v>
      </c>
      <c r="C28" s="607">
        <v>10.858485221801345</v>
      </c>
      <c r="D28" s="607">
        <v>16.287727832702018</v>
      </c>
      <c r="E28" s="598">
        <v>0</v>
      </c>
      <c r="F28" s="603">
        <v>3328.1257204820117</v>
      </c>
      <c r="G28" s="607">
        <v>43.433940887205381</v>
      </c>
      <c r="H28" s="598">
        <v>0</v>
      </c>
    </row>
    <row r="29" spans="1:8">
      <c r="A29" s="86" t="s">
        <v>498</v>
      </c>
      <c r="B29" s="606">
        <v>1100.7789393600922</v>
      </c>
      <c r="C29" s="606">
        <v>90.939813732586401</v>
      </c>
      <c r="D29" s="606">
        <v>301.32296490498857</v>
      </c>
      <c r="E29" s="599">
        <v>1.3573106527251682</v>
      </c>
      <c r="F29" s="602">
        <v>609.43248307359931</v>
      </c>
      <c r="G29" s="606">
        <v>97.726366996212278</v>
      </c>
      <c r="H29" s="599">
        <v>0</v>
      </c>
    </row>
    <row r="30" spans="1:8">
      <c r="A30" s="87" t="s">
        <v>498</v>
      </c>
      <c r="B30" s="607">
        <v>1100.7789393600922</v>
      </c>
      <c r="C30" s="607">
        <v>90.939813732586401</v>
      </c>
      <c r="D30" s="607">
        <v>301.32296490498857</v>
      </c>
      <c r="E30" s="598">
        <v>1.3573106527251682</v>
      </c>
      <c r="F30" s="603">
        <v>609.43248307359931</v>
      </c>
      <c r="G30" s="607">
        <v>97.726366996212278</v>
      </c>
      <c r="H30" s="598">
        <v>0</v>
      </c>
    </row>
    <row r="31" spans="1:8">
      <c r="D31" s="75"/>
      <c r="G31" s="75"/>
    </row>
    <row r="32" spans="1:8">
      <c r="D32" s="75"/>
      <c r="G32" s="75"/>
    </row>
    <row r="33" spans="4:7">
      <c r="D33" s="75"/>
      <c r="G33" s="75"/>
    </row>
    <row r="34" spans="4:7">
      <c r="D34" s="75"/>
      <c r="G34" s="75"/>
    </row>
    <row r="35" spans="4:7">
      <c r="D35" s="75"/>
      <c r="G35" s="75"/>
    </row>
    <row r="36" spans="4:7">
      <c r="D36" s="75"/>
      <c r="G36" s="75"/>
    </row>
    <row r="37" spans="4:7">
      <c r="D37" s="75"/>
      <c r="G37" s="75"/>
    </row>
    <row r="38" spans="4:7">
      <c r="D38" s="75"/>
      <c r="G38" s="75"/>
    </row>
    <row r="39" spans="4:7">
      <c r="D39" s="75"/>
      <c r="G39" s="75"/>
    </row>
    <row r="40" spans="4:7">
      <c r="D40" s="75"/>
      <c r="G40" s="75"/>
    </row>
    <row r="41" spans="4:7">
      <c r="D41" s="75"/>
      <c r="G41" s="75"/>
    </row>
    <row r="42" spans="4:7">
      <c r="D42" s="75"/>
      <c r="G42" s="75"/>
    </row>
    <row r="43" spans="4:7">
      <c r="D43" s="75"/>
      <c r="G43" s="75"/>
    </row>
    <row r="44" spans="4:7">
      <c r="D44" s="75"/>
      <c r="G44" s="75"/>
    </row>
    <row r="45" spans="4:7">
      <c r="D45" s="75"/>
      <c r="G45" s="75"/>
    </row>
    <row r="46" spans="4:7">
      <c r="D46" s="75"/>
      <c r="G46" s="75"/>
    </row>
    <row r="47" spans="4:7">
      <c r="D47" s="75"/>
      <c r="G47" s="75"/>
    </row>
    <row r="48" spans="4:7">
      <c r="D48" s="75"/>
      <c r="G48" s="75"/>
    </row>
    <row r="49" spans="4:7">
      <c r="D49" s="75"/>
      <c r="G49" s="75"/>
    </row>
    <row r="50" spans="4:7">
      <c r="D50" s="75"/>
      <c r="G50" s="75"/>
    </row>
    <row r="51" spans="4:7">
      <c r="D51" s="75"/>
      <c r="G51" s="75"/>
    </row>
    <row r="52" spans="4:7">
      <c r="D52" s="75"/>
      <c r="G52" s="75"/>
    </row>
    <row r="53" spans="4:7">
      <c r="D53" s="75"/>
      <c r="G53" s="75"/>
    </row>
    <row r="54" spans="4:7">
      <c r="D54" s="75"/>
      <c r="G54" s="75"/>
    </row>
    <row r="55" spans="4:7">
      <c r="D55" s="75"/>
      <c r="G55" s="75"/>
    </row>
    <row r="56" spans="4:7">
      <c r="D56" s="75"/>
      <c r="G56" s="75"/>
    </row>
    <row r="57" spans="4:7">
      <c r="D57" s="75"/>
      <c r="G57" s="75"/>
    </row>
    <row r="58" spans="4:7">
      <c r="D58" s="75"/>
      <c r="G58" s="75"/>
    </row>
    <row r="59" spans="4:7">
      <c r="D59" s="75"/>
      <c r="G59" s="75"/>
    </row>
    <row r="60" spans="4:7">
      <c r="D60" s="75"/>
      <c r="G60" s="75"/>
    </row>
    <row r="61" spans="4:7">
      <c r="D61" s="75"/>
      <c r="G61" s="75"/>
    </row>
    <row r="62" spans="4:7">
      <c r="D62" s="75"/>
      <c r="G62" s="75"/>
    </row>
    <row r="63" spans="4:7">
      <c r="D63" s="75"/>
      <c r="G63" s="75"/>
    </row>
    <row r="64" spans="4:7">
      <c r="D64" s="75"/>
      <c r="G64" s="75"/>
    </row>
    <row r="65" spans="4:7">
      <c r="D65" s="75"/>
      <c r="G65" s="75"/>
    </row>
    <row r="66" spans="4:7">
      <c r="D66" s="75"/>
      <c r="G66" s="75"/>
    </row>
    <row r="67" spans="4:7">
      <c r="D67" s="75"/>
      <c r="G67" s="75"/>
    </row>
    <row r="68" spans="4:7">
      <c r="D68" s="75"/>
      <c r="G68" s="75"/>
    </row>
    <row r="69" spans="4:7">
      <c r="D69" s="75"/>
      <c r="G69" s="75"/>
    </row>
    <row r="70" spans="4:7">
      <c r="D70" s="75"/>
      <c r="G70" s="75"/>
    </row>
    <row r="71" spans="4:7">
      <c r="D71" s="75"/>
      <c r="G71" s="75"/>
    </row>
    <row r="72" spans="4:7">
      <c r="D72" s="75"/>
      <c r="G72" s="75"/>
    </row>
    <row r="73" spans="4:7">
      <c r="D73" s="75"/>
      <c r="G73" s="75"/>
    </row>
    <row r="74" spans="4:7">
      <c r="D74" s="75"/>
      <c r="G74" s="75"/>
    </row>
    <row r="75" spans="4:7">
      <c r="D75" s="75"/>
      <c r="G75" s="75"/>
    </row>
    <row r="76" spans="4:7">
      <c r="D76" s="75"/>
      <c r="G76" s="75"/>
    </row>
    <row r="77" spans="4:7">
      <c r="D77" s="75"/>
      <c r="G77" s="75"/>
    </row>
    <row r="78" spans="4:7">
      <c r="D78" s="75"/>
      <c r="G78" s="75"/>
    </row>
    <row r="79" spans="4:7">
      <c r="D79" s="75"/>
      <c r="G79" s="75"/>
    </row>
    <row r="80" spans="4:7">
      <c r="D80" s="75"/>
      <c r="G80" s="75"/>
    </row>
    <row r="81" spans="4:7">
      <c r="D81" s="75"/>
      <c r="G81" s="75"/>
    </row>
    <row r="82" spans="4:7">
      <c r="D82" s="75"/>
      <c r="G82" s="75"/>
    </row>
    <row r="83" spans="4:7">
      <c r="D83" s="75"/>
      <c r="G83" s="75"/>
    </row>
    <row r="84" spans="4:7">
      <c r="D84" s="75"/>
      <c r="G84" s="75"/>
    </row>
    <row r="85" spans="4:7">
      <c r="D85" s="75"/>
      <c r="G85" s="75"/>
    </row>
    <row r="86" spans="4:7">
      <c r="D86" s="75"/>
      <c r="G86" s="75"/>
    </row>
    <row r="87" spans="4:7">
      <c r="D87" s="75"/>
      <c r="G87" s="75"/>
    </row>
    <row r="88" spans="4:7">
      <c r="D88" s="75"/>
      <c r="G88" s="75"/>
    </row>
    <row r="89" spans="4:7">
      <c r="D89" s="75"/>
      <c r="G89" s="75"/>
    </row>
    <row r="90" spans="4:7">
      <c r="D90" s="75"/>
      <c r="G90" s="75"/>
    </row>
    <row r="91" spans="4:7">
      <c r="D91" s="75"/>
      <c r="G91" s="75"/>
    </row>
    <row r="92" spans="4:7">
      <c r="D92" s="75"/>
      <c r="G92" s="75"/>
    </row>
    <row r="93" spans="4:7">
      <c r="D93" s="75"/>
      <c r="G93" s="75"/>
    </row>
    <row r="94" spans="4:7">
      <c r="D94" s="75"/>
      <c r="G94" s="75"/>
    </row>
    <row r="95" spans="4:7">
      <c r="D95" s="75"/>
      <c r="G95" s="75"/>
    </row>
    <row r="96" spans="4:7">
      <c r="D96" s="75"/>
      <c r="G96" s="75"/>
    </row>
    <row r="97" spans="4:7">
      <c r="D97" s="75"/>
      <c r="G97" s="75"/>
    </row>
    <row r="98" spans="4:7">
      <c r="D98" s="75"/>
      <c r="G98" s="75"/>
    </row>
    <row r="99" spans="4:7">
      <c r="D99" s="75"/>
      <c r="G99" s="75"/>
    </row>
    <row r="100" spans="4:7">
      <c r="D100" s="75"/>
      <c r="G100" s="75"/>
    </row>
    <row r="101" spans="4:7">
      <c r="D101" s="75"/>
      <c r="G101" s="75"/>
    </row>
    <row r="102" spans="4:7">
      <c r="D102" s="75"/>
      <c r="G102" s="75"/>
    </row>
    <row r="103" spans="4:7">
      <c r="D103" s="75"/>
      <c r="G103" s="75"/>
    </row>
    <row r="104" spans="4:7">
      <c r="D104" s="75"/>
      <c r="G104" s="75"/>
    </row>
    <row r="105" spans="4:7">
      <c r="D105" s="75"/>
      <c r="G105" s="75"/>
    </row>
    <row r="106" spans="4:7">
      <c r="D106" s="75"/>
      <c r="G106" s="75"/>
    </row>
    <row r="107" spans="4:7">
      <c r="D107" s="75"/>
      <c r="G107" s="75"/>
    </row>
    <row r="108" spans="4:7">
      <c r="D108" s="75"/>
      <c r="G108" s="75"/>
    </row>
    <row r="109" spans="4:7">
      <c r="D109" s="75"/>
      <c r="G109" s="75"/>
    </row>
  </sheetData>
  <mergeCells count="4">
    <mergeCell ref="A1:H1"/>
    <mergeCell ref="A2:A3"/>
    <mergeCell ref="B2:B3"/>
    <mergeCell ref="C2:H2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198"/>
  <sheetViews>
    <sheetView zoomScale="120" zoomScaleNormal="120" workbookViewId="0">
      <selection activeCell="K29" sqref="K29"/>
    </sheetView>
  </sheetViews>
  <sheetFormatPr defaultColWidth="9.140625" defaultRowHeight="12"/>
  <cols>
    <col min="1" max="1" width="26.85546875" style="89" customWidth="1"/>
    <col min="2" max="3" width="13.5703125" style="96" customWidth="1"/>
    <col min="4" max="4" width="17.85546875" style="96" customWidth="1"/>
    <col min="5" max="5" width="11.7109375" style="96" customWidth="1"/>
    <col min="6" max="16384" width="9.140625" style="69"/>
  </cols>
  <sheetData>
    <row r="1" spans="1:5" ht="29.25" customHeight="1" thickBot="1">
      <c r="A1" s="935" t="s">
        <v>467</v>
      </c>
      <c r="B1" s="935"/>
      <c r="C1" s="935"/>
      <c r="D1" s="935"/>
      <c r="E1" s="935"/>
    </row>
    <row r="2" spans="1:5" ht="15" customHeight="1">
      <c r="A2" s="932" t="s">
        <v>445</v>
      </c>
      <c r="B2" s="933" t="s">
        <v>19</v>
      </c>
      <c r="C2" s="930" t="s">
        <v>20</v>
      </c>
      <c r="D2" s="930"/>
      <c r="E2" s="930"/>
    </row>
    <row r="3" spans="1:5" ht="36">
      <c r="A3" s="764"/>
      <c r="B3" s="934"/>
      <c r="C3" s="652" t="s">
        <v>21</v>
      </c>
      <c r="D3" s="652" t="s">
        <v>22</v>
      </c>
      <c r="E3" s="652" t="s">
        <v>23</v>
      </c>
    </row>
    <row r="4" spans="1:5">
      <c r="A4" s="145" t="s">
        <v>500</v>
      </c>
      <c r="B4" s="653">
        <v>35834.358542606504</v>
      </c>
      <c r="C4" s="398">
        <v>35457.026181148794</v>
      </c>
      <c r="D4" s="398">
        <v>371.90311884669768</v>
      </c>
      <c r="E4" s="398">
        <v>5.4292426109006726</v>
      </c>
    </row>
    <row r="5" spans="1:5">
      <c r="A5" s="97"/>
      <c r="B5" s="654"/>
      <c r="C5" s="108"/>
      <c r="D5" s="108"/>
      <c r="E5" s="108"/>
    </row>
    <row r="6" spans="1:5">
      <c r="A6" s="246" t="s">
        <v>111</v>
      </c>
      <c r="B6" s="655"/>
      <c r="C6" s="400"/>
      <c r="D6" s="400"/>
      <c r="E6" s="400"/>
    </row>
    <row r="7" spans="1:5">
      <c r="A7" s="97" t="s">
        <v>4</v>
      </c>
      <c r="B7" s="656">
        <v>13600.252740308892</v>
      </c>
      <c r="C7" s="3">
        <v>13282.642047571107</v>
      </c>
      <c r="D7" s="3">
        <v>316.25338208496549</v>
      </c>
      <c r="E7" s="3">
        <v>1.3573106527251682</v>
      </c>
    </row>
    <row r="8" spans="1:5">
      <c r="A8" s="97" t="s">
        <v>5</v>
      </c>
      <c r="B8" s="656">
        <v>22234.105802296261</v>
      </c>
      <c r="C8" s="3">
        <v>22174.384133576335</v>
      </c>
      <c r="D8" s="3">
        <v>55.649736761731894</v>
      </c>
      <c r="E8" s="3">
        <v>4.0719319581755045</v>
      </c>
    </row>
    <row r="9" spans="1:5" s="72" customFormat="1">
      <c r="A9" s="246" t="s">
        <v>448</v>
      </c>
      <c r="B9" s="657"/>
      <c r="C9" s="402"/>
      <c r="D9" s="402"/>
      <c r="E9" s="402"/>
    </row>
    <row r="10" spans="1:5">
      <c r="A10" s="86" t="s">
        <v>486</v>
      </c>
      <c r="B10" s="658">
        <v>5235.1471875611851</v>
      </c>
      <c r="C10" s="34">
        <v>5222.9313916866549</v>
      </c>
      <c r="D10" s="34">
        <v>10.858485221801345</v>
      </c>
      <c r="E10" s="34">
        <v>1.3573106527251682</v>
      </c>
    </row>
    <row r="11" spans="1:5" s="72" customFormat="1">
      <c r="A11" s="87" t="s">
        <v>486</v>
      </c>
      <c r="B11" s="659">
        <v>5235.1471875611851</v>
      </c>
      <c r="C11" s="37">
        <v>5222.9313916866549</v>
      </c>
      <c r="D11" s="37">
        <v>10.858485221801345</v>
      </c>
      <c r="E11" s="36">
        <v>1.3573106527251682</v>
      </c>
    </row>
    <row r="12" spans="1:5">
      <c r="A12" s="86" t="s">
        <v>487</v>
      </c>
      <c r="B12" s="658">
        <v>13312.50288193107</v>
      </c>
      <c r="C12" s="34">
        <v>12997.606810498737</v>
      </c>
      <c r="D12" s="34">
        <v>314.89607143224032</v>
      </c>
      <c r="E12" s="33">
        <v>0</v>
      </c>
    </row>
    <row r="13" spans="1:5">
      <c r="A13" s="87" t="s">
        <v>487</v>
      </c>
      <c r="B13" s="659">
        <v>12021.70045118905</v>
      </c>
      <c r="C13" s="37">
        <v>11706.804379756717</v>
      </c>
      <c r="D13" s="37">
        <v>314.89607143224032</v>
      </c>
      <c r="E13" s="36">
        <v>0</v>
      </c>
    </row>
    <row r="14" spans="1:5" s="72" customFormat="1">
      <c r="A14" s="87" t="s">
        <v>488</v>
      </c>
      <c r="B14" s="659">
        <v>1290.8024307416088</v>
      </c>
      <c r="C14" s="37">
        <v>1290.8024307416088</v>
      </c>
      <c r="D14" s="37">
        <v>0</v>
      </c>
      <c r="E14" s="36">
        <v>0</v>
      </c>
    </row>
    <row r="15" spans="1:5">
      <c r="A15" s="86" t="s">
        <v>489</v>
      </c>
      <c r="B15" s="658">
        <v>2149.9800739166089</v>
      </c>
      <c r="C15" s="34">
        <v>2143.1935206529834</v>
      </c>
      <c r="D15" s="34">
        <v>6.7865532636258408</v>
      </c>
      <c r="E15" s="33">
        <v>0</v>
      </c>
    </row>
    <row r="16" spans="1:5" s="72" customFormat="1">
      <c r="A16" s="87" t="s">
        <v>489</v>
      </c>
      <c r="B16" s="659">
        <v>1412.9603894868694</v>
      </c>
      <c r="C16" s="37">
        <v>1410.2457681814192</v>
      </c>
      <c r="D16" s="37">
        <v>2.7146213054503363</v>
      </c>
      <c r="E16" s="36">
        <v>0</v>
      </c>
    </row>
    <row r="17" spans="1:5">
      <c r="A17" s="87" t="s">
        <v>490</v>
      </c>
      <c r="B17" s="659">
        <v>737.01968442976045</v>
      </c>
      <c r="C17" s="37">
        <v>732.94775247158509</v>
      </c>
      <c r="D17" s="37">
        <v>4.0719319581755045</v>
      </c>
      <c r="E17" s="36">
        <v>0</v>
      </c>
    </row>
    <row r="18" spans="1:5" s="72" customFormat="1">
      <c r="A18" s="86" t="s">
        <v>491</v>
      </c>
      <c r="B18" s="658">
        <v>5441.4584067754722</v>
      </c>
      <c r="C18" s="34">
        <v>5419.741436331863</v>
      </c>
      <c r="D18" s="34">
        <v>21.71697044360269</v>
      </c>
      <c r="E18" s="33">
        <v>0</v>
      </c>
    </row>
    <row r="19" spans="1:5">
      <c r="A19" s="87" t="s">
        <v>491</v>
      </c>
      <c r="B19" s="659">
        <v>5441.4584067754722</v>
      </c>
      <c r="C19" s="37">
        <v>5419.741436331863</v>
      </c>
      <c r="D19" s="37">
        <v>21.71697044360269</v>
      </c>
      <c r="E19" s="36">
        <v>0</v>
      </c>
    </row>
    <row r="20" spans="1:5" s="72" customFormat="1">
      <c r="A20" s="86" t="s">
        <v>499</v>
      </c>
      <c r="B20" s="658">
        <v>2772.9856635174383</v>
      </c>
      <c r="C20" s="34">
        <v>2768.9137315592629</v>
      </c>
      <c r="D20" s="34">
        <v>1.3573106527251682</v>
      </c>
      <c r="E20" s="33">
        <v>2.7146213054503363</v>
      </c>
    </row>
    <row r="21" spans="1:5">
      <c r="A21" s="87" t="s">
        <v>492</v>
      </c>
      <c r="B21" s="659">
        <v>2772.9856635174383</v>
      </c>
      <c r="C21" s="37">
        <v>2768.9137315592629</v>
      </c>
      <c r="D21" s="37">
        <v>1.3573106527251682</v>
      </c>
      <c r="E21" s="36">
        <v>2.7146213054503363</v>
      </c>
    </row>
    <row r="22" spans="1:5">
      <c r="A22" s="86" t="s">
        <v>493</v>
      </c>
      <c r="B22" s="658">
        <v>1222.9368981053528</v>
      </c>
      <c r="C22" s="34">
        <v>1217.5076554944524</v>
      </c>
      <c r="D22" s="34">
        <v>4.0719319581755045</v>
      </c>
      <c r="E22" s="34">
        <v>1.3573106527251682</v>
      </c>
    </row>
    <row r="23" spans="1:5" s="72" customFormat="1">
      <c r="A23" s="87" t="s">
        <v>493</v>
      </c>
      <c r="B23" s="659">
        <v>1222.9368981053528</v>
      </c>
      <c r="C23" s="37">
        <v>1217.5076554944524</v>
      </c>
      <c r="D23" s="37">
        <v>4.0719319581755045</v>
      </c>
      <c r="E23" s="37">
        <v>1.3573106527251682</v>
      </c>
    </row>
    <row r="24" spans="1:5">
      <c r="A24" s="88" t="s">
        <v>494</v>
      </c>
      <c r="B24" s="658">
        <v>1199.8626170090258</v>
      </c>
      <c r="C24" s="35">
        <v>1195.7906850508505</v>
      </c>
      <c r="D24" s="34">
        <v>4.0719319581755045</v>
      </c>
      <c r="E24" s="34">
        <v>0</v>
      </c>
    </row>
    <row r="25" spans="1:5" s="72" customFormat="1">
      <c r="A25" s="87" t="s">
        <v>495</v>
      </c>
      <c r="B25" s="659">
        <v>661.01028787715381</v>
      </c>
      <c r="C25" s="37">
        <v>658.29566657170358</v>
      </c>
      <c r="D25" s="37">
        <v>2.7146213054503363</v>
      </c>
      <c r="E25" s="37">
        <v>0</v>
      </c>
    </row>
    <row r="26" spans="1:5">
      <c r="A26" s="87" t="s">
        <v>496</v>
      </c>
      <c r="B26" s="659">
        <v>538.85232913189316</v>
      </c>
      <c r="C26" s="37">
        <v>537.49501847916804</v>
      </c>
      <c r="D26" s="37">
        <v>1.3573106527251682</v>
      </c>
      <c r="E26" s="37">
        <v>0</v>
      </c>
    </row>
    <row r="27" spans="1:5" s="72" customFormat="1">
      <c r="A27" s="86" t="s">
        <v>497</v>
      </c>
      <c r="B27" s="658">
        <v>3398.7058744237179</v>
      </c>
      <c r="C27" s="33">
        <v>3398.7058744237179</v>
      </c>
      <c r="D27" s="33">
        <v>0</v>
      </c>
      <c r="E27" s="33">
        <v>0</v>
      </c>
    </row>
    <row r="28" spans="1:5">
      <c r="A28" s="87" t="s">
        <v>497</v>
      </c>
      <c r="B28" s="659">
        <v>3398.7058744237179</v>
      </c>
      <c r="C28" s="37">
        <v>3398.7058744237179</v>
      </c>
      <c r="D28" s="37">
        <v>0</v>
      </c>
      <c r="E28" s="37">
        <v>0</v>
      </c>
    </row>
    <row r="29" spans="1:5">
      <c r="A29" s="86" t="s">
        <v>498</v>
      </c>
      <c r="B29" s="658">
        <v>1100.7789393600922</v>
      </c>
      <c r="C29" s="34">
        <v>1092.6350754437415</v>
      </c>
      <c r="D29" s="34">
        <v>8.1438639163510089</v>
      </c>
      <c r="E29" s="34">
        <v>0</v>
      </c>
    </row>
    <row r="30" spans="1:5">
      <c r="A30" s="87" t="s">
        <v>498</v>
      </c>
      <c r="B30" s="659">
        <v>1100.7789393600922</v>
      </c>
      <c r="C30" s="37">
        <v>1092.6350754437415</v>
      </c>
      <c r="D30" s="37">
        <v>8.1438639163510089</v>
      </c>
      <c r="E30" s="37">
        <v>0</v>
      </c>
    </row>
    <row r="31" spans="1:5">
      <c r="A31" s="69"/>
      <c r="B31" s="75"/>
      <c r="C31" s="69"/>
      <c r="D31" s="69"/>
      <c r="E31" s="69"/>
    </row>
    <row r="32" spans="1:5">
      <c r="A32" s="69"/>
      <c r="B32" s="75"/>
      <c r="C32" s="69"/>
      <c r="D32" s="69"/>
      <c r="E32" s="69"/>
    </row>
    <row r="33" spans="1:5">
      <c r="A33" s="69"/>
      <c r="B33" s="75"/>
      <c r="C33" s="69"/>
      <c r="D33" s="69"/>
      <c r="E33" s="69"/>
    </row>
    <row r="34" spans="1:5" s="105" customFormat="1">
      <c r="A34" s="69"/>
      <c r="B34" s="75"/>
      <c r="C34" s="69"/>
      <c r="D34" s="69"/>
      <c r="E34" s="69"/>
    </row>
    <row r="35" spans="1:5">
      <c r="A35" s="69"/>
      <c r="B35" s="75"/>
      <c r="C35" s="69"/>
      <c r="D35" s="69"/>
      <c r="E35" s="69"/>
    </row>
    <row r="36" spans="1:5">
      <c r="A36" s="69"/>
      <c r="B36" s="75"/>
      <c r="C36" s="69"/>
      <c r="D36" s="69"/>
      <c r="E36" s="69"/>
    </row>
    <row r="37" spans="1:5">
      <c r="A37" s="69"/>
      <c r="B37" s="75"/>
      <c r="C37" s="69"/>
      <c r="D37" s="69"/>
      <c r="E37" s="69"/>
    </row>
    <row r="38" spans="1:5">
      <c r="A38" s="69"/>
      <c r="B38" s="75"/>
      <c r="C38" s="69"/>
      <c r="D38" s="69"/>
      <c r="E38" s="69"/>
    </row>
    <row r="39" spans="1:5">
      <c r="A39" s="69"/>
      <c r="B39" s="75"/>
      <c r="C39" s="69"/>
      <c r="D39" s="69"/>
      <c r="E39" s="69"/>
    </row>
    <row r="40" spans="1:5">
      <c r="A40" s="69"/>
      <c r="B40" s="75"/>
      <c r="C40" s="69"/>
      <c r="D40" s="69"/>
      <c r="E40" s="69"/>
    </row>
    <row r="41" spans="1:5">
      <c r="A41" s="69"/>
      <c r="B41" s="75"/>
      <c r="C41" s="69"/>
      <c r="D41" s="69"/>
      <c r="E41" s="69"/>
    </row>
    <row r="42" spans="1:5">
      <c r="A42" s="69"/>
      <c r="B42" s="75"/>
      <c r="C42" s="69"/>
      <c r="D42" s="69"/>
      <c r="E42" s="69"/>
    </row>
    <row r="43" spans="1:5">
      <c r="A43" s="69"/>
      <c r="B43" s="75"/>
      <c r="C43" s="69"/>
      <c r="D43" s="69"/>
      <c r="E43" s="69"/>
    </row>
    <row r="44" spans="1:5">
      <c r="A44" s="69"/>
      <c r="B44" s="75"/>
      <c r="C44" s="69"/>
      <c r="D44" s="69"/>
      <c r="E44" s="69"/>
    </row>
    <row r="45" spans="1:5">
      <c r="A45" s="69"/>
      <c r="B45" s="75"/>
      <c r="C45" s="69"/>
      <c r="D45" s="69"/>
      <c r="E45" s="69"/>
    </row>
    <row r="46" spans="1:5">
      <c r="A46" s="69"/>
      <c r="B46" s="75"/>
      <c r="C46" s="69"/>
      <c r="D46" s="69"/>
      <c r="E46" s="69"/>
    </row>
    <row r="47" spans="1:5">
      <c r="A47" s="69"/>
      <c r="B47" s="75"/>
      <c r="C47" s="69"/>
      <c r="D47" s="69"/>
      <c r="E47" s="69"/>
    </row>
    <row r="48" spans="1:5">
      <c r="A48" s="69"/>
      <c r="B48" s="75"/>
      <c r="C48" s="69"/>
      <c r="D48" s="69"/>
      <c r="E48" s="69"/>
    </row>
    <row r="49" spans="2:2" s="69" customFormat="1">
      <c r="B49" s="75"/>
    </row>
    <row r="50" spans="2:2" s="69" customFormat="1">
      <c r="B50" s="75"/>
    </row>
    <row r="51" spans="2:2" s="69" customFormat="1">
      <c r="B51" s="75"/>
    </row>
    <row r="52" spans="2:2" s="69" customFormat="1">
      <c r="B52" s="75"/>
    </row>
    <row r="53" spans="2:2" s="69" customFormat="1">
      <c r="B53" s="75"/>
    </row>
    <row r="54" spans="2:2" s="69" customFormat="1">
      <c r="B54" s="75"/>
    </row>
    <row r="55" spans="2:2" s="69" customFormat="1">
      <c r="B55" s="75"/>
    </row>
    <row r="56" spans="2:2" s="69" customFormat="1">
      <c r="B56" s="75"/>
    </row>
    <row r="57" spans="2:2" s="69" customFormat="1">
      <c r="B57" s="75"/>
    </row>
    <row r="58" spans="2:2" s="69" customFormat="1">
      <c r="B58" s="75"/>
    </row>
    <row r="59" spans="2:2" s="69" customFormat="1">
      <c r="B59" s="75"/>
    </row>
    <row r="60" spans="2:2" s="69" customFormat="1">
      <c r="B60" s="75"/>
    </row>
    <row r="61" spans="2:2" s="69" customFormat="1">
      <c r="B61" s="75"/>
    </row>
    <row r="62" spans="2:2" s="69" customFormat="1">
      <c r="B62" s="75"/>
    </row>
    <row r="63" spans="2:2" s="69" customFormat="1">
      <c r="B63" s="75"/>
    </row>
    <row r="64" spans="2:2" s="69" customFormat="1">
      <c r="B64" s="75"/>
    </row>
    <row r="65" spans="2:2" s="69" customFormat="1">
      <c r="B65" s="75"/>
    </row>
    <row r="66" spans="2:2" s="69" customFormat="1">
      <c r="B66" s="75"/>
    </row>
    <row r="67" spans="2:2" s="69" customFormat="1">
      <c r="B67" s="75"/>
    </row>
    <row r="68" spans="2:2" s="69" customFormat="1">
      <c r="B68" s="75"/>
    </row>
    <row r="69" spans="2:2" s="69" customFormat="1">
      <c r="B69" s="75"/>
    </row>
    <row r="70" spans="2:2" s="69" customFormat="1">
      <c r="B70" s="75"/>
    </row>
    <row r="71" spans="2:2" s="69" customFormat="1">
      <c r="B71" s="75"/>
    </row>
    <row r="72" spans="2:2" s="69" customFormat="1">
      <c r="B72" s="75"/>
    </row>
    <row r="73" spans="2:2" s="69" customFormat="1">
      <c r="B73" s="75"/>
    </row>
    <row r="74" spans="2:2" s="69" customFormat="1">
      <c r="B74" s="75"/>
    </row>
    <row r="75" spans="2:2" s="69" customFormat="1">
      <c r="B75" s="75"/>
    </row>
    <row r="76" spans="2:2" s="69" customFormat="1">
      <c r="B76" s="75"/>
    </row>
    <row r="77" spans="2:2" s="69" customFormat="1">
      <c r="B77" s="75"/>
    </row>
    <row r="78" spans="2:2" s="69" customFormat="1">
      <c r="B78" s="75"/>
    </row>
    <row r="79" spans="2:2" s="69" customFormat="1">
      <c r="B79" s="75"/>
    </row>
    <row r="80" spans="2:2" s="69" customFormat="1">
      <c r="B80" s="75"/>
    </row>
    <row r="81" spans="2:2" s="69" customFormat="1">
      <c r="B81" s="75"/>
    </row>
    <row r="82" spans="2:2" s="69" customFormat="1">
      <c r="B82" s="75"/>
    </row>
    <row r="83" spans="2:2" s="69" customFormat="1">
      <c r="B83" s="75"/>
    </row>
    <row r="84" spans="2:2" s="69" customFormat="1">
      <c r="B84" s="75"/>
    </row>
    <row r="85" spans="2:2" s="69" customFormat="1">
      <c r="B85" s="75"/>
    </row>
    <row r="86" spans="2:2" s="69" customFormat="1">
      <c r="B86" s="75"/>
    </row>
    <row r="87" spans="2:2" s="69" customFormat="1">
      <c r="B87" s="75"/>
    </row>
    <row r="88" spans="2:2" s="69" customFormat="1">
      <c r="B88" s="75"/>
    </row>
    <row r="89" spans="2:2" s="69" customFormat="1">
      <c r="B89" s="75"/>
    </row>
    <row r="90" spans="2:2" s="69" customFormat="1">
      <c r="B90" s="75"/>
    </row>
    <row r="91" spans="2:2" s="69" customFormat="1">
      <c r="B91" s="75"/>
    </row>
    <row r="92" spans="2:2" s="69" customFormat="1">
      <c r="B92" s="75"/>
    </row>
    <row r="93" spans="2:2" s="69" customFormat="1">
      <c r="B93" s="75"/>
    </row>
    <row r="94" spans="2:2" s="69" customFormat="1">
      <c r="B94" s="75"/>
    </row>
    <row r="95" spans="2:2" s="69" customFormat="1">
      <c r="B95" s="75"/>
    </row>
    <row r="96" spans="2:2" s="69" customFormat="1">
      <c r="B96" s="75"/>
    </row>
    <row r="97" spans="2:2" s="69" customFormat="1">
      <c r="B97" s="75"/>
    </row>
    <row r="98" spans="2:2" s="69" customFormat="1">
      <c r="B98" s="75"/>
    </row>
    <row r="99" spans="2:2" s="69" customFormat="1">
      <c r="B99" s="75"/>
    </row>
    <row r="100" spans="2:2" s="69" customFormat="1">
      <c r="B100" s="75"/>
    </row>
    <row r="101" spans="2:2" s="69" customFormat="1">
      <c r="B101" s="75"/>
    </row>
    <row r="102" spans="2:2" s="69" customFormat="1">
      <c r="B102" s="75"/>
    </row>
    <row r="103" spans="2:2" s="69" customFormat="1">
      <c r="B103" s="75"/>
    </row>
    <row r="104" spans="2:2" s="69" customFormat="1">
      <c r="B104" s="75"/>
    </row>
    <row r="105" spans="2:2" s="69" customFormat="1">
      <c r="B105" s="75"/>
    </row>
    <row r="106" spans="2:2" s="69" customFormat="1">
      <c r="B106" s="75"/>
    </row>
    <row r="107" spans="2:2" s="69" customFormat="1">
      <c r="B107" s="75"/>
    </row>
    <row r="108" spans="2:2" s="69" customFormat="1">
      <c r="B108" s="75"/>
    </row>
    <row r="109" spans="2:2" s="69" customFormat="1">
      <c r="B109" s="75"/>
    </row>
    <row r="110" spans="2:2" s="69" customFormat="1">
      <c r="B110" s="75"/>
    </row>
    <row r="111" spans="2:2" s="69" customFormat="1">
      <c r="B111" s="75"/>
    </row>
    <row r="112" spans="2:2" s="69" customFormat="1">
      <c r="B112" s="75"/>
    </row>
    <row r="113" spans="2:2" s="69" customFormat="1">
      <c r="B113" s="75"/>
    </row>
    <row r="114" spans="2:2" s="69" customFormat="1">
      <c r="B114" s="75"/>
    </row>
    <row r="115" spans="2:2" s="69" customFormat="1">
      <c r="B115" s="75"/>
    </row>
    <row r="116" spans="2:2" s="69" customFormat="1">
      <c r="B116" s="75"/>
    </row>
    <row r="117" spans="2:2" s="69" customFormat="1">
      <c r="B117" s="75"/>
    </row>
    <row r="118" spans="2:2" s="69" customFormat="1">
      <c r="B118" s="75"/>
    </row>
    <row r="119" spans="2:2" s="69" customFormat="1">
      <c r="B119" s="75"/>
    </row>
    <row r="120" spans="2:2" s="69" customFormat="1">
      <c r="B120" s="75"/>
    </row>
    <row r="121" spans="2:2" s="69" customFormat="1">
      <c r="B121" s="75"/>
    </row>
    <row r="122" spans="2:2" s="69" customFormat="1">
      <c r="B122" s="75"/>
    </row>
    <row r="123" spans="2:2" s="69" customFormat="1">
      <c r="B123" s="75"/>
    </row>
    <row r="124" spans="2:2" s="69" customFormat="1">
      <c r="B124" s="75"/>
    </row>
    <row r="125" spans="2:2" s="69" customFormat="1">
      <c r="B125" s="75"/>
    </row>
    <row r="126" spans="2:2" s="69" customFormat="1">
      <c r="B126" s="75"/>
    </row>
    <row r="127" spans="2:2" s="69" customFormat="1">
      <c r="B127" s="75"/>
    </row>
    <row r="128" spans="2:2" s="69" customFormat="1">
      <c r="B128" s="75"/>
    </row>
    <row r="129" spans="2:2" s="69" customFormat="1">
      <c r="B129" s="75"/>
    </row>
    <row r="130" spans="2:2" s="69" customFormat="1">
      <c r="B130" s="75"/>
    </row>
    <row r="131" spans="2:2" s="69" customFormat="1">
      <c r="B131" s="75"/>
    </row>
    <row r="132" spans="2:2" s="69" customFormat="1">
      <c r="B132" s="75"/>
    </row>
    <row r="133" spans="2:2" s="69" customFormat="1">
      <c r="B133" s="75"/>
    </row>
    <row r="134" spans="2:2" s="69" customFormat="1">
      <c r="B134" s="75"/>
    </row>
    <row r="135" spans="2:2" s="69" customFormat="1">
      <c r="B135" s="75"/>
    </row>
    <row r="136" spans="2:2" s="69" customFormat="1">
      <c r="B136" s="75"/>
    </row>
    <row r="137" spans="2:2" s="69" customFormat="1">
      <c r="B137" s="75"/>
    </row>
    <row r="138" spans="2:2" s="69" customFormat="1">
      <c r="B138" s="75"/>
    </row>
    <row r="139" spans="2:2" s="69" customFormat="1">
      <c r="B139" s="75"/>
    </row>
    <row r="140" spans="2:2" s="69" customFormat="1">
      <c r="B140" s="75"/>
    </row>
    <row r="141" spans="2:2" s="69" customFormat="1">
      <c r="B141" s="75"/>
    </row>
    <row r="142" spans="2:2" s="69" customFormat="1">
      <c r="B142" s="75"/>
    </row>
    <row r="143" spans="2:2" s="69" customFormat="1">
      <c r="B143" s="75"/>
    </row>
    <row r="144" spans="2:2" s="69" customFormat="1">
      <c r="B144" s="75"/>
    </row>
    <row r="145" spans="2:2" s="69" customFormat="1">
      <c r="B145" s="75"/>
    </row>
    <row r="146" spans="2:2" s="69" customFormat="1">
      <c r="B146" s="75"/>
    </row>
    <row r="147" spans="2:2" s="69" customFormat="1">
      <c r="B147" s="75"/>
    </row>
    <row r="148" spans="2:2" s="69" customFormat="1">
      <c r="B148" s="75"/>
    </row>
    <row r="149" spans="2:2" s="69" customFormat="1">
      <c r="B149" s="75"/>
    </row>
    <row r="150" spans="2:2" s="69" customFormat="1">
      <c r="B150" s="75"/>
    </row>
    <row r="151" spans="2:2" s="69" customFormat="1">
      <c r="B151" s="75"/>
    </row>
    <row r="152" spans="2:2" s="69" customFormat="1">
      <c r="B152" s="75"/>
    </row>
    <row r="153" spans="2:2" s="69" customFormat="1">
      <c r="B153" s="75"/>
    </row>
    <row r="154" spans="2:2" s="69" customFormat="1">
      <c r="B154" s="75"/>
    </row>
    <row r="155" spans="2:2" s="69" customFormat="1">
      <c r="B155" s="75"/>
    </row>
    <row r="156" spans="2:2" s="69" customFormat="1">
      <c r="B156" s="75"/>
    </row>
    <row r="157" spans="2:2" s="69" customFormat="1">
      <c r="B157" s="75"/>
    </row>
    <row r="158" spans="2:2" s="69" customFormat="1">
      <c r="B158" s="75"/>
    </row>
    <row r="159" spans="2:2" s="69" customFormat="1">
      <c r="B159" s="75"/>
    </row>
    <row r="160" spans="2:2" s="69" customFormat="1">
      <c r="B160" s="75"/>
    </row>
    <row r="161" spans="2:2" s="69" customFormat="1">
      <c r="B161" s="75"/>
    </row>
    <row r="162" spans="2:2" s="69" customFormat="1">
      <c r="B162" s="75"/>
    </row>
    <row r="163" spans="2:2" s="69" customFormat="1">
      <c r="B163" s="75"/>
    </row>
    <row r="164" spans="2:2" s="69" customFormat="1">
      <c r="B164" s="75"/>
    </row>
    <row r="165" spans="2:2" s="69" customFormat="1">
      <c r="B165" s="75"/>
    </row>
    <row r="166" spans="2:2" s="69" customFormat="1">
      <c r="B166" s="75"/>
    </row>
    <row r="167" spans="2:2" s="69" customFormat="1">
      <c r="B167" s="75"/>
    </row>
    <row r="168" spans="2:2" s="69" customFormat="1">
      <c r="B168" s="75"/>
    </row>
    <row r="169" spans="2:2" s="69" customFormat="1">
      <c r="B169" s="75"/>
    </row>
    <row r="170" spans="2:2" s="69" customFormat="1">
      <c r="B170" s="75"/>
    </row>
    <row r="171" spans="2:2" s="69" customFormat="1">
      <c r="B171" s="75"/>
    </row>
    <row r="172" spans="2:2" s="69" customFormat="1">
      <c r="B172" s="75"/>
    </row>
    <row r="173" spans="2:2" s="69" customFormat="1">
      <c r="B173" s="75"/>
    </row>
    <row r="174" spans="2:2" s="69" customFormat="1">
      <c r="B174" s="75"/>
    </row>
    <row r="175" spans="2:2" s="69" customFormat="1">
      <c r="B175" s="75"/>
    </row>
    <row r="176" spans="2:2" s="69" customFormat="1">
      <c r="B176" s="75"/>
    </row>
    <row r="177" spans="2:2" s="69" customFormat="1">
      <c r="B177" s="75"/>
    </row>
    <row r="178" spans="2:2" s="69" customFormat="1">
      <c r="B178" s="75"/>
    </row>
    <row r="179" spans="2:2" s="69" customFormat="1">
      <c r="B179" s="75"/>
    </row>
    <row r="180" spans="2:2" s="69" customFormat="1">
      <c r="B180" s="75"/>
    </row>
    <row r="181" spans="2:2" s="69" customFormat="1">
      <c r="B181" s="75"/>
    </row>
    <row r="182" spans="2:2" s="69" customFormat="1">
      <c r="B182" s="75"/>
    </row>
    <row r="183" spans="2:2" s="69" customFormat="1">
      <c r="B183" s="75"/>
    </row>
    <row r="184" spans="2:2" s="69" customFormat="1">
      <c r="B184" s="75"/>
    </row>
    <row r="185" spans="2:2" s="69" customFormat="1">
      <c r="B185" s="75"/>
    </row>
    <row r="186" spans="2:2" s="69" customFormat="1">
      <c r="B186" s="75"/>
    </row>
    <row r="187" spans="2:2" s="69" customFormat="1">
      <c r="B187" s="75"/>
    </row>
    <row r="188" spans="2:2" s="69" customFormat="1">
      <c r="B188" s="75"/>
    </row>
    <row r="189" spans="2:2" s="69" customFormat="1">
      <c r="B189" s="75"/>
    </row>
    <row r="190" spans="2:2" s="69" customFormat="1">
      <c r="B190" s="75"/>
    </row>
    <row r="191" spans="2:2" s="69" customFormat="1">
      <c r="B191" s="75"/>
    </row>
    <row r="192" spans="2:2" s="69" customFormat="1">
      <c r="B192" s="75"/>
    </row>
    <row r="193" spans="1:5">
      <c r="A193" s="70"/>
      <c r="B193" s="75"/>
      <c r="C193" s="75"/>
      <c r="D193" s="75"/>
      <c r="E193" s="75"/>
    </row>
    <row r="194" spans="1:5">
      <c r="A194" s="70"/>
      <c r="B194" s="75"/>
      <c r="C194" s="75"/>
      <c r="D194" s="75"/>
      <c r="E194" s="75"/>
    </row>
    <row r="195" spans="1:5">
      <c r="A195" s="70"/>
      <c r="B195" s="75"/>
      <c r="C195" s="75"/>
      <c r="D195" s="75"/>
      <c r="E195" s="75"/>
    </row>
    <row r="196" spans="1:5">
      <c r="A196" s="70"/>
      <c r="B196" s="75"/>
      <c r="C196" s="75"/>
      <c r="D196" s="75"/>
      <c r="E196" s="75"/>
    </row>
    <row r="197" spans="1:5">
      <c r="A197" s="70"/>
      <c r="B197" s="75"/>
      <c r="C197" s="75"/>
      <c r="D197" s="75"/>
      <c r="E197" s="75"/>
    </row>
    <row r="198" spans="1:5">
      <c r="A198" s="70"/>
      <c r="B198" s="75"/>
      <c r="C198" s="75"/>
      <c r="D198" s="75"/>
      <c r="E198" s="75"/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34"/>
  <sheetViews>
    <sheetView zoomScale="120" zoomScaleNormal="120" workbookViewId="0">
      <selection activeCell="O14" sqref="O14"/>
    </sheetView>
  </sheetViews>
  <sheetFormatPr defaultColWidth="9.140625" defaultRowHeight="12"/>
  <cols>
    <col min="1" max="1" width="21.42578125" style="69" customWidth="1"/>
    <col min="2" max="16384" width="9.140625" style="69"/>
  </cols>
  <sheetData>
    <row r="1" spans="1:10" ht="27" customHeight="1" thickBot="1">
      <c r="A1" s="936" t="s">
        <v>468</v>
      </c>
      <c r="B1" s="936"/>
      <c r="C1" s="936"/>
      <c r="D1" s="936"/>
      <c r="E1" s="936"/>
      <c r="F1" s="936"/>
      <c r="G1" s="936"/>
      <c r="H1" s="936"/>
      <c r="I1" s="936"/>
      <c r="J1" s="936"/>
    </row>
    <row r="2" spans="1:10" ht="12" customHeight="1">
      <c r="A2" s="932" t="s">
        <v>445</v>
      </c>
      <c r="B2" s="937" t="s">
        <v>19</v>
      </c>
      <c r="C2" s="939" t="s">
        <v>24</v>
      </c>
      <c r="D2" s="939"/>
      <c r="E2" s="939"/>
      <c r="F2" s="939"/>
      <c r="G2" s="939"/>
      <c r="H2" s="939"/>
      <c r="I2" s="939"/>
      <c r="J2" s="939"/>
    </row>
    <row r="3" spans="1:10">
      <c r="A3" s="764"/>
      <c r="B3" s="938"/>
      <c r="C3" s="409" t="s">
        <v>25</v>
      </c>
      <c r="D3" s="409" t="s">
        <v>26</v>
      </c>
      <c r="E3" s="409" t="s">
        <v>27</v>
      </c>
      <c r="F3" s="409" t="s">
        <v>28</v>
      </c>
      <c r="G3" s="409" t="s">
        <v>29</v>
      </c>
      <c r="H3" s="409" t="s">
        <v>30</v>
      </c>
      <c r="I3" s="409" t="s">
        <v>31</v>
      </c>
      <c r="J3" s="409" t="s">
        <v>18</v>
      </c>
    </row>
    <row r="4" spans="1:10">
      <c r="A4" s="145" t="s">
        <v>500</v>
      </c>
      <c r="B4" s="403">
        <v>35834.358542606504</v>
      </c>
      <c r="C4" s="404">
        <v>89.582503079861226</v>
      </c>
      <c r="D4" s="404">
        <v>3615.8755788597368</v>
      </c>
      <c r="E4" s="403">
        <v>73.294775247159123</v>
      </c>
      <c r="F4" s="404">
        <v>10239.551564160372</v>
      </c>
      <c r="G4" s="404">
        <v>24.431591749053027</v>
      </c>
      <c r="H4" s="403">
        <v>595.85937654634813</v>
      </c>
      <c r="I4" s="404">
        <v>17087.183807160887</v>
      </c>
      <c r="J4" s="404">
        <v>4108.5793457989594</v>
      </c>
    </row>
    <row r="5" spans="1:10">
      <c r="A5" s="97"/>
      <c r="B5" s="36"/>
      <c r="C5" s="37"/>
      <c r="D5" s="37"/>
      <c r="E5" s="36"/>
      <c r="F5" s="37"/>
      <c r="G5" s="37"/>
      <c r="H5" s="36"/>
      <c r="I5" s="37"/>
      <c r="J5" s="37"/>
    </row>
    <row r="6" spans="1:10">
      <c r="A6" s="246" t="s">
        <v>111</v>
      </c>
      <c r="B6" s="410"/>
      <c r="C6" s="411"/>
      <c r="D6" s="411"/>
      <c r="E6" s="410"/>
      <c r="F6" s="411"/>
      <c r="G6" s="411"/>
      <c r="H6" s="410"/>
      <c r="I6" s="411"/>
      <c r="J6" s="411"/>
    </row>
    <row r="7" spans="1:10">
      <c r="A7" s="97" t="s">
        <v>4</v>
      </c>
      <c r="B7" s="36">
        <v>13600.252740308892</v>
      </c>
      <c r="C7" s="37">
        <v>69.222843288983597</v>
      </c>
      <c r="D7" s="37">
        <v>2018.3209406022722</v>
      </c>
      <c r="E7" s="36">
        <v>59.721668719907399</v>
      </c>
      <c r="F7" s="37">
        <v>8133.0054311302838</v>
      </c>
      <c r="G7" s="37">
        <v>19.002349138152354</v>
      </c>
      <c r="H7" s="36">
        <v>104.51292025983815</v>
      </c>
      <c r="I7" s="37">
        <v>1505.2575138721775</v>
      </c>
      <c r="J7" s="37">
        <v>1691.2090732955187</v>
      </c>
    </row>
    <row r="8" spans="1:10">
      <c r="A8" s="97" t="s">
        <v>5</v>
      </c>
      <c r="B8" s="36">
        <v>22234.105802296261</v>
      </c>
      <c r="C8" s="37">
        <v>20.359659790877522</v>
      </c>
      <c r="D8" s="37">
        <v>1597.5546382574855</v>
      </c>
      <c r="E8" s="36">
        <v>13.573106527251682</v>
      </c>
      <c r="F8" s="37">
        <v>2106.5461330294052</v>
      </c>
      <c r="G8" s="37">
        <v>5.4292426109006726</v>
      </c>
      <c r="H8" s="36">
        <v>491.3464562865131</v>
      </c>
      <c r="I8" s="37">
        <v>15581.926293288228</v>
      </c>
      <c r="J8" s="37">
        <v>2417.3702725034573</v>
      </c>
    </row>
    <row r="9" spans="1:10" s="72" customFormat="1">
      <c r="A9" s="246" t="s">
        <v>448</v>
      </c>
      <c r="B9" s="405"/>
      <c r="C9" s="406"/>
      <c r="D9" s="406"/>
      <c r="E9" s="405"/>
      <c r="F9" s="406"/>
      <c r="G9" s="406"/>
      <c r="H9" s="405"/>
      <c r="I9" s="406"/>
      <c r="J9" s="406"/>
    </row>
    <row r="10" spans="1:10">
      <c r="A10" s="86" t="s">
        <v>486</v>
      </c>
      <c r="B10" s="33">
        <v>5235.1471875611851</v>
      </c>
      <c r="C10" s="34">
        <v>44.791251539930549</v>
      </c>
      <c r="D10" s="34">
        <v>648.79449200262775</v>
      </c>
      <c r="E10" s="33">
        <v>14.93041717997685</v>
      </c>
      <c r="F10" s="34">
        <v>1365.4545166414903</v>
      </c>
      <c r="G10" s="34">
        <v>9.5011745690761771</v>
      </c>
      <c r="H10" s="33">
        <v>66.508221983533247</v>
      </c>
      <c r="I10" s="34">
        <v>1972.1723784096182</v>
      </c>
      <c r="J10" s="34">
        <v>1112.9947352346182</v>
      </c>
    </row>
    <row r="11" spans="1:10" s="72" customFormat="1">
      <c r="A11" s="87" t="s">
        <v>486</v>
      </c>
      <c r="B11" s="36">
        <v>5235.1471875611851</v>
      </c>
      <c r="C11" s="37">
        <v>44.791251539930549</v>
      </c>
      <c r="D11" s="37">
        <v>648.79449200262775</v>
      </c>
      <c r="E11" s="36">
        <v>14.93041717997685</v>
      </c>
      <c r="F11" s="37">
        <v>1365.4545166414903</v>
      </c>
      <c r="G11" s="37">
        <v>9.5011745690761771</v>
      </c>
      <c r="H11" s="36">
        <v>66.508221983533247</v>
      </c>
      <c r="I11" s="37">
        <v>1972.1723784096182</v>
      </c>
      <c r="J11" s="37">
        <v>1112.9947352346182</v>
      </c>
    </row>
    <row r="12" spans="1:10">
      <c r="A12" s="86" t="s">
        <v>487</v>
      </c>
      <c r="B12" s="33">
        <v>13312.50288193107</v>
      </c>
      <c r="C12" s="34">
        <v>24.431591749053027</v>
      </c>
      <c r="D12" s="34">
        <v>1402.1019042650685</v>
      </c>
      <c r="E12" s="33">
        <v>51.57780480355639</v>
      </c>
      <c r="F12" s="34">
        <v>8218.516002251994</v>
      </c>
      <c r="G12" s="34">
        <v>9.5011745690761771</v>
      </c>
      <c r="H12" s="33">
        <v>69.222843288983597</v>
      </c>
      <c r="I12" s="34">
        <v>2213.7736745946895</v>
      </c>
      <c r="J12" s="34">
        <v>1323.3778864070116</v>
      </c>
    </row>
    <row r="13" spans="1:10">
      <c r="A13" s="87" t="s">
        <v>487</v>
      </c>
      <c r="B13" s="36">
        <v>12021.70045118905</v>
      </c>
      <c r="C13" s="37">
        <v>24.431591749053027</v>
      </c>
      <c r="D13" s="37">
        <v>1396.672661654168</v>
      </c>
      <c r="E13" s="36">
        <v>44.791251539930549</v>
      </c>
      <c r="F13" s="37">
        <v>7948.4111823596058</v>
      </c>
      <c r="G13" s="37">
        <v>9.5011745690761771</v>
      </c>
      <c r="H13" s="36">
        <v>40.719319581755045</v>
      </c>
      <c r="I13" s="37">
        <v>1312.5194011852107</v>
      </c>
      <c r="J13" s="37">
        <v>1244.6538685489547</v>
      </c>
    </row>
    <row r="14" spans="1:10" s="72" customFormat="1">
      <c r="A14" s="87" t="s">
        <v>488</v>
      </c>
      <c r="B14" s="36">
        <v>1290.8024307416088</v>
      </c>
      <c r="C14" s="37">
        <v>0</v>
      </c>
      <c r="D14" s="37">
        <v>5.4292426109006726</v>
      </c>
      <c r="E14" s="36">
        <v>6.7865532636258408</v>
      </c>
      <c r="F14" s="37">
        <v>270.10481989230954</v>
      </c>
      <c r="G14" s="37">
        <v>0</v>
      </c>
      <c r="H14" s="36">
        <v>28.503523707228531</v>
      </c>
      <c r="I14" s="37">
        <v>901.25427340949977</v>
      </c>
      <c r="J14" s="37">
        <v>78.724017858059824</v>
      </c>
    </row>
    <row r="15" spans="1:10">
      <c r="A15" s="86" t="s">
        <v>489</v>
      </c>
      <c r="B15" s="33">
        <v>2149.9800739166089</v>
      </c>
      <c r="C15" s="34">
        <v>8.1438639163510089</v>
      </c>
      <c r="D15" s="34">
        <v>575.49971675547135</v>
      </c>
      <c r="E15" s="33">
        <v>0</v>
      </c>
      <c r="F15" s="34">
        <v>191.38080203424937</v>
      </c>
      <c r="G15" s="34">
        <v>1.3573106527251682</v>
      </c>
      <c r="H15" s="33">
        <v>80.081328510784999</v>
      </c>
      <c r="I15" s="34">
        <v>955.54669951850451</v>
      </c>
      <c r="J15" s="34">
        <v>337.9703525285683</v>
      </c>
    </row>
    <row r="16" spans="1:10" s="72" customFormat="1">
      <c r="A16" s="87" t="s">
        <v>489</v>
      </c>
      <c r="B16" s="36">
        <v>1412.9603894868694</v>
      </c>
      <c r="C16" s="37">
        <v>8.1438639163510089</v>
      </c>
      <c r="D16" s="37">
        <v>416.69437038662846</v>
      </c>
      <c r="E16" s="36">
        <v>0</v>
      </c>
      <c r="F16" s="37">
        <v>158.80534636884516</v>
      </c>
      <c r="G16" s="37">
        <v>1.3573106527251682</v>
      </c>
      <c r="H16" s="36">
        <v>59.721668719907399</v>
      </c>
      <c r="I16" s="37">
        <v>559.21198892276993</v>
      </c>
      <c r="J16" s="37">
        <v>209.02584051967665</v>
      </c>
    </row>
    <row r="17" spans="1:10">
      <c r="A17" s="87" t="s">
        <v>490</v>
      </c>
      <c r="B17" s="36">
        <v>737.01968442976045</v>
      </c>
      <c r="C17" s="38">
        <v>0</v>
      </c>
      <c r="D17" s="37">
        <v>158.80534636884516</v>
      </c>
      <c r="E17" s="36">
        <v>0</v>
      </c>
      <c r="F17" s="38">
        <v>32.575455665404036</v>
      </c>
      <c r="G17" s="37">
        <v>0</v>
      </c>
      <c r="H17" s="36">
        <v>20.359659790877522</v>
      </c>
      <c r="I17" s="38">
        <v>396.33471059575083</v>
      </c>
      <c r="J17" s="37">
        <v>128.94451200889131</v>
      </c>
    </row>
    <row r="18" spans="1:10" s="72" customFormat="1">
      <c r="A18" s="86" t="s">
        <v>491</v>
      </c>
      <c r="B18" s="33">
        <v>5441.4584067754722</v>
      </c>
      <c r="C18" s="34">
        <v>2.7146213054503363</v>
      </c>
      <c r="D18" s="34">
        <v>580.92895936637183</v>
      </c>
      <c r="E18" s="33">
        <v>1.3573106527251682</v>
      </c>
      <c r="F18" s="34">
        <v>181.87962746517314</v>
      </c>
      <c r="G18" s="34">
        <v>0</v>
      </c>
      <c r="H18" s="33">
        <v>160.16265702157034</v>
      </c>
      <c r="I18" s="34">
        <v>3771.9663039231255</v>
      </c>
      <c r="J18" s="34">
        <v>742.44892704066092</v>
      </c>
    </row>
    <row r="19" spans="1:10">
      <c r="A19" s="87" t="s">
        <v>491</v>
      </c>
      <c r="B19" s="36">
        <v>5441.4584067754722</v>
      </c>
      <c r="C19" s="37">
        <v>2.7146213054503363</v>
      </c>
      <c r="D19" s="37">
        <v>580.92895936637183</v>
      </c>
      <c r="E19" s="36">
        <v>1.3573106527251682</v>
      </c>
      <c r="F19" s="37">
        <v>181.87962746517314</v>
      </c>
      <c r="G19" s="37">
        <v>0</v>
      </c>
      <c r="H19" s="36">
        <v>160.16265702157034</v>
      </c>
      <c r="I19" s="37">
        <v>3771.9663039231255</v>
      </c>
      <c r="J19" s="37">
        <v>742.44892704066092</v>
      </c>
    </row>
    <row r="20" spans="1:10" s="72" customFormat="1">
      <c r="A20" s="86" t="s">
        <v>499</v>
      </c>
      <c r="B20" s="33">
        <v>2772.9856635174383</v>
      </c>
      <c r="C20" s="33">
        <v>0</v>
      </c>
      <c r="D20" s="33">
        <v>29.860834359953699</v>
      </c>
      <c r="E20" s="33">
        <v>2.7146213054503363</v>
      </c>
      <c r="F20" s="33">
        <v>40.719319581755045</v>
      </c>
      <c r="G20" s="33">
        <v>0</v>
      </c>
      <c r="H20" s="33">
        <v>43.433940887205381</v>
      </c>
      <c r="I20" s="33">
        <v>2478.4492518760876</v>
      </c>
      <c r="J20" s="33">
        <v>177.80769550699762</v>
      </c>
    </row>
    <row r="21" spans="1:10">
      <c r="A21" s="87" t="s">
        <v>492</v>
      </c>
      <c r="B21" s="36">
        <v>2772.9856635174383</v>
      </c>
      <c r="C21" s="37">
        <v>0</v>
      </c>
      <c r="D21" s="37">
        <v>29.860834359953699</v>
      </c>
      <c r="E21" s="36">
        <v>2.7146213054503363</v>
      </c>
      <c r="F21" s="37">
        <v>40.719319581755045</v>
      </c>
      <c r="G21" s="37">
        <v>0</v>
      </c>
      <c r="H21" s="36">
        <v>43.433940887205381</v>
      </c>
      <c r="I21" s="37">
        <v>2478.4492518760876</v>
      </c>
      <c r="J21" s="37">
        <v>177.80769550699762</v>
      </c>
    </row>
    <row r="22" spans="1:10">
      <c r="A22" s="86" t="s">
        <v>493</v>
      </c>
      <c r="B22" s="33">
        <v>1222.9368981053528</v>
      </c>
      <c r="C22" s="34">
        <v>1.3573106527251682</v>
      </c>
      <c r="D22" s="34">
        <v>130.30182266161648</v>
      </c>
      <c r="E22" s="33">
        <v>0</v>
      </c>
      <c r="F22" s="34">
        <v>9.5011745690761771</v>
      </c>
      <c r="G22" s="34">
        <v>1.3573106527251682</v>
      </c>
      <c r="H22" s="33">
        <v>48.863183498106054</v>
      </c>
      <c r="I22" s="34">
        <v>1012.5537469329595</v>
      </c>
      <c r="J22" s="34">
        <v>19.002349138152354</v>
      </c>
    </row>
    <row r="23" spans="1:10" s="72" customFormat="1">
      <c r="A23" s="87" t="s">
        <v>493</v>
      </c>
      <c r="B23" s="36">
        <v>1222.9368981053528</v>
      </c>
      <c r="C23" s="37">
        <v>1.3573106527251682</v>
      </c>
      <c r="D23" s="37">
        <v>130.30182266161648</v>
      </c>
      <c r="E23" s="36">
        <v>0</v>
      </c>
      <c r="F23" s="37">
        <v>9.5011745690761771</v>
      </c>
      <c r="G23" s="37">
        <v>1.3573106527251682</v>
      </c>
      <c r="H23" s="36">
        <v>48.863183498106054</v>
      </c>
      <c r="I23" s="37">
        <v>1012.5537469329595</v>
      </c>
      <c r="J23" s="37">
        <v>19.002349138152354</v>
      </c>
    </row>
    <row r="24" spans="1:10">
      <c r="A24" s="88" t="s">
        <v>494</v>
      </c>
      <c r="B24" s="33">
        <v>1199.8626170090258</v>
      </c>
      <c r="C24" s="34">
        <v>0</v>
      </c>
      <c r="D24" s="34">
        <v>33.932766318129204</v>
      </c>
      <c r="E24" s="33">
        <v>0</v>
      </c>
      <c r="F24" s="34">
        <v>58.364358067182231</v>
      </c>
      <c r="G24" s="34">
        <v>0</v>
      </c>
      <c r="H24" s="33">
        <v>28.503523707228531</v>
      </c>
      <c r="I24" s="34">
        <v>860.53495382774622</v>
      </c>
      <c r="J24" s="34">
        <v>218.52701508875288</v>
      </c>
    </row>
    <row r="25" spans="1:10" s="72" customFormat="1">
      <c r="A25" s="87" t="s">
        <v>495</v>
      </c>
      <c r="B25" s="36">
        <v>661.01028787715381</v>
      </c>
      <c r="C25" s="37">
        <v>0</v>
      </c>
      <c r="D25" s="37">
        <v>20.359659790877522</v>
      </c>
      <c r="E25" s="36">
        <v>0</v>
      </c>
      <c r="F25" s="37">
        <v>40.719319581755045</v>
      </c>
      <c r="G25" s="37">
        <v>0</v>
      </c>
      <c r="H25" s="36">
        <v>20.359659790877522</v>
      </c>
      <c r="I25" s="37">
        <v>384.11891472122426</v>
      </c>
      <c r="J25" s="37">
        <v>195.4527339924249</v>
      </c>
    </row>
    <row r="26" spans="1:10">
      <c r="A26" s="87" t="s">
        <v>496</v>
      </c>
      <c r="B26" s="36">
        <v>538.85232913189316</v>
      </c>
      <c r="C26" s="37">
        <v>0</v>
      </c>
      <c r="D26" s="37">
        <v>13.573106527251682</v>
      </c>
      <c r="E26" s="36">
        <v>0</v>
      </c>
      <c r="F26" s="37">
        <v>17.645038485427186</v>
      </c>
      <c r="G26" s="37">
        <v>0</v>
      </c>
      <c r="H26" s="36">
        <v>8.1438639163510089</v>
      </c>
      <c r="I26" s="37">
        <v>476.41603910653618</v>
      </c>
      <c r="J26" s="37">
        <v>23.074281096327859</v>
      </c>
    </row>
    <row r="27" spans="1:10" s="72" customFormat="1">
      <c r="A27" s="86" t="s">
        <v>497</v>
      </c>
      <c r="B27" s="33">
        <v>3398.7058744237179</v>
      </c>
      <c r="C27" s="34">
        <v>0</v>
      </c>
      <c r="D27" s="34">
        <v>20.359659790877522</v>
      </c>
      <c r="E27" s="33">
        <v>0</v>
      </c>
      <c r="F27" s="34">
        <v>21.71697044360269</v>
      </c>
      <c r="G27" s="34">
        <v>0</v>
      </c>
      <c r="H27" s="33">
        <v>76.009396552609473</v>
      </c>
      <c r="I27" s="34">
        <v>3230.3993534858032</v>
      </c>
      <c r="J27" s="34">
        <v>50.220494150831222</v>
      </c>
    </row>
    <row r="28" spans="1:10">
      <c r="A28" s="87" t="s">
        <v>497</v>
      </c>
      <c r="B28" s="36">
        <v>3398.7058744237179</v>
      </c>
      <c r="C28" s="37">
        <v>0</v>
      </c>
      <c r="D28" s="37">
        <v>20.359659790877522</v>
      </c>
      <c r="E28" s="36">
        <v>0</v>
      </c>
      <c r="F28" s="37">
        <v>21.71697044360269</v>
      </c>
      <c r="G28" s="37">
        <v>0</v>
      </c>
      <c r="H28" s="36">
        <v>76.009396552609473</v>
      </c>
      <c r="I28" s="37">
        <v>3230.3993534858032</v>
      </c>
      <c r="J28" s="37">
        <v>50.220494150831222</v>
      </c>
    </row>
    <row r="29" spans="1:10">
      <c r="A29" s="86" t="s">
        <v>498</v>
      </c>
      <c r="B29" s="33">
        <v>1100.7789393600922</v>
      </c>
      <c r="C29" s="34">
        <v>8.1438639163510089</v>
      </c>
      <c r="D29" s="34">
        <v>194.09542333969972</v>
      </c>
      <c r="E29" s="33">
        <v>2.7146213054503363</v>
      </c>
      <c r="F29" s="34">
        <v>152.01879310521929</v>
      </c>
      <c r="G29" s="34">
        <v>2.7146213054503363</v>
      </c>
      <c r="H29" s="33">
        <v>23.074281096327859</v>
      </c>
      <c r="I29" s="34">
        <v>591.78744458817278</v>
      </c>
      <c r="J29" s="34">
        <v>126.22989070344096</v>
      </c>
    </row>
    <row r="30" spans="1:10">
      <c r="A30" s="87" t="s">
        <v>498</v>
      </c>
      <c r="B30" s="36">
        <v>1100.7789393600922</v>
      </c>
      <c r="C30" s="37">
        <v>8.1438639163510089</v>
      </c>
      <c r="D30" s="37">
        <v>194.09542333969972</v>
      </c>
      <c r="E30" s="36">
        <v>2.7146213054503363</v>
      </c>
      <c r="F30" s="37">
        <v>152.01879310521929</v>
      </c>
      <c r="G30" s="37">
        <v>2.7146213054503363</v>
      </c>
      <c r="H30" s="36">
        <v>23.074281096327859</v>
      </c>
      <c r="I30" s="37">
        <v>591.78744458817278</v>
      </c>
      <c r="J30" s="37">
        <v>126.22989070344096</v>
      </c>
    </row>
    <row r="34" s="105" customFormat="1"/>
  </sheetData>
  <mergeCells count="4">
    <mergeCell ref="A1:J1"/>
    <mergeCell ref="A2:A3"/>
    <mergeCell ref="B2:B3"/>
    <mergeCell ref="C2:J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30"/>
  <sheetViews>
    <sheetView zoomScale="120" zoomScaleNormal="120" workbookViewId="0">
      <selection activeCell="Y31" sqref="Y31"/>
    </sheetView>
  </sheetViews>
  <sheetFormatPr defaultColWidth="9.140625" defaultRowHeight="12"/>
  <cols>
    <col min="1" max="1" width="21.85546875" style="69" customWidth="1"/>
    <col min="2" max="2" width="9.140625" style="69"/>
    <col min="3" max="4" width="9.140625" style="75"/>
    <col min="5" max="5" width="11" style="75" customWidth="1"/>
    <col min="6" max="8" width="9.140625" style="75"/>
    <col min="9" max="16384" width="9.140625" style="69"/>
  </cols>
  <sheetData>
    <row r="1" spans="1:8" ht="27" customHeight="1">
      <c r="A1" s="940" t="s">
        <v>469</v>
      </c>
      <c r="B1" s="941"/>
      <c r="C1" s="941"/>
      <c r="D1" s="941"/>
      <c r="E1" s="941"/>
      <c r="F1" s="941"/>
      <c r="G1" s="941"/>
      <c r="H1" s="941"/>
    </row>
    <row r="2" spans="1:8">
      <c r="A2" s="927" t="s">
        <v>445</v>
      </c>
      <c r="B2" s="942" t="s">
        <v>19</v>
      </c>
      <c r="C2" s="943" t="s">
        <v>32</v>
      </c>
      <c r="D2" s="943"/>
      <c r="E2" s="943"/>
      <c r="F2" s="943"/>
      <c r="G2" s="943"/>
      <c r="H2" s="943"/>
    </row>
    <row r="3" spans="1:8" ht="30.75" customHeight="1">
      <c r="A3" s="764"/>
      <c r="B3" s="934"/>
      <c r="C3" s="630" t="s">
        <v>33</v>
      </c>
      <c r="D3" s="630" t="s">
        <v>34</v>
      </c>
      <c r="E3" s="630" t="s">
        <v>35</v>
      </c>
      <c r="F3" s="630" t="s">
        <v>30</v>
      </c>
      <c r="G3" s="630" t="s">
        <v>36</v>
      </c>
      <c r="H3" s="630" t="s">
        <v>18</v>
      </c>
    </row>
    <row r="4" spans="1:8">
      <c r="A4" s="145" t="s">
        <v>500</v>
      </c>
      <c r="B4" s="397">
        <v>35834.358542606504</v>
      </c>
      <c r="C4" s="678">
        <v>1.3573106527251682</v>
      </c>
      <c r="D4" s="678">
        <v>735.66237377703533</v>
      </c>
      <c r="E4" s="678">
        <v>756.0220335679121</v>
      </c>
      <c r="F4" s="653">
        <v>16671.846747426862</v>
      </c>
      <c r="G4" s="653">
        <v>15419.04901496116</v>
      </c>
      <c r="H4" s="678">
        <v>2250.4210622182677</v>
      </c>
    </row>
    <row r="5" spans="1:8">
      <c r="A5" s="97"/>
      <c r="B5" s="107"/>
      <c r="C5" s="671"/>
      <c r="D5" s="671"/>
      <c r="E5" s="671"/>
      <c r="F5" s="654"/>
      <c r="G5" s="654"/>
      <c r="H5" s="671"/>
    </row>
    <row r="6" spans="1:8">
      <c r="A6" s="246" t="s">
        <v>111</v>
      </c>
      <c r="B6" s="399"/>
      <c r="C6" s="673"/>
      <c r="D6" s="673"/>
      <c r="E6" s="673"/>
      <c r="F6" s="657"/>
      <c r="G6" s="655"/>
      <c r="H6" s="673"/>
    </row>
    <row r="7" spans="1:8">
      <c r="A7" s="97" t="s">
        <v>4</v>
      </c>
      <c r="B7" s="4">
        <v>13600.252740308892</v>
      </c>
      <c r="C7" s="426">
        <v>1.3573106527251682</v>
      </c>
      <c r="D7" s="426">
        <v>381.40429341577391</v>
      </c>
      <c r="E7" s="426">
        <v>400.40664255392636</v>
      </c>
      <c r="F7" s="679">
        <v>11290.110009369966</v>
      </c>
      <c r="G7" s="656">
        <v>906.68351602040025</v>
      </c>
      <c r="H7" s="426">
        <v>620.29096829540026</v>
      </c>
    </row>
    <row r="8" spans="1:8">
      <c r="A8" s="97" t="s">
        <v>5</v>
      </c>
      <c r="B8" s="4">
        <v>22234.105802296261</v>
      </c>
      <c r="C8" s="426">
        <v>0</v>
      </c>
      <c r="D8" s="426">
        <v>354.2580803612704</v>
      </c>
      <c r="E8" s="426">
        <v>355.61539101399558</v>
      </c>
      <c r="F8" s="679">
        <v>5381.736738055547</v>
      </c>
      <c r="G8" s="656">
        <v>14512.365498940477</v>
      </c>
      <c r="H8" s="426">
        <v>1630.1300939228884</v>
      </c>
    </row>
    <row r="9" spans="1:8" s="72" customFormat="1">
      <c r="A9" s="246" t="s">
        <v>448</v>
      </c>
      <c r="B9" s="401"/>
      <c r="C9" s="460"/>
      <c r="D9" s="460"/>
      <c r="E9" s="460"/>
      <c r="F9" s="653"/>
      <c r="G9" s="657"/>
      <c r="H9" s="460"/>
    </row>
    <row r="10" spans="1:8">
      <c r="A10" s="86" t="s">
        <v>486</v>
      </c>
      <c r="B10" s="33">
        <v>5235.1471875611851</v>
      </c>
      <c r="C10" s="666">
        <v>0</v>
      </c>
      <c r="D10" s="666">
        <v>146.58955049431859</v>
      </c>
      <c r="E10" s="666">
        <v>179.16500615972279</v>
      </c>
      <c r="F10" s="666">
        <v>2931.7910098862772</v>
      </c>
      <c r="G10" s="666">
        <v>1579.909599772059</v>
      </c>
      <c r="H10" s="658">
        <v>397.69202124847601</v>
      </c>
    </row>
    <row r="11" spans="1:8" s="72" customFormat="1">
      <c r="A11" s="87" t="s">
        <v>486</v>
      </c>
      <c r="B11" s="36">
        <v>5235.1471875611851</v>
      </c>
      <c r="C11" s="663">
        <v>0</v>
      </c>
      <c r="D11" s="663">
        <v>146.58955049431859</v>
      </c>
      <c r="E11" s="663">
        <v>179.16500615972279</v>
      </c>
      <c r="F11" s="663">
        <v>2931.7910098862772</v>
      </c>
      <c r="G11" s="663">
        <v>1579.909599772059</v>
      </c>
      <c r="H11" s="659">
        <v>397.69202124847601</v>
      </c>
    </row>
    <row r="12" spans="1:8">
      <c r="A12" s="86" t="s">
        <v>487</v>
      </c>
      <c r="B12" s="33">
        <v>13312.50288193107</v>
      </c>
      <c r="C12" s="666">
        <v>0</v>
      </c>
      <c r="D12" s="658">
        <v>280.96330511411094</v>
      </c>
      <c r="E12" s="658">
        <v>289.10716903046199</v>
      </c>
      <c r="F12" s="658">
        <v>9935.513977949844</v>
      </c>
      <c r="G12" s="658">
        <v>2046.8244643094997</v>
      </c>
      <c r="H12" s="658">
        <v>760.09396552608746</v>
      </c>
    </row>
    <row r="13" spans="1:8">
      <c r="A13" s="87" t="s">
        <v>487</v>
      </c>
      <c r="B13" s="36">
        <v>12021.70045118905</v>
      </c>
      <c r="C13" s="663">
        <v>0</v>
      </c>
      <c r="D13" s="659">
        <v>279.60599446138576</v>
      </c>
      <c r="E13" s="659">
        <v>287.74985837773681</v>
      </c>
      <c r="F13" s="659">
        <v>9468.5991134122469</v>
      </c>
      <c r="G13" s="659">
        <v>1250.0831111598552</v>
      </c>
      <c r="H13" s="659">
        <v>735.66237377703533</v>
      </c>
    </row>
    <row r="14" spans="1:8" s="72" customFormat="1">
      <c r="A14" s="87" t="s">
        <v>488</v>
      </c>
      <c r="B14" s="36">
        <v>1290.8024307416088</v>
      </c>
      <c r="C14" s="663">
        <v>0</v>
      </c>
      <c r="D14" s="659">
        <v>1.3573106527251682</v>
      </c>
      <c r="E14" s="659">
        <v>1.3573106527251682</v>
      </c>
      <c r="F14" s="659">
        <v>466.91486453745995</v>
      </c>
      <c r="G14" s="659">
        <v>796.74135314966566</v>
      </c>
      <c r="H14" s="659">
        <v>24.431591749053027</v>
      </c>
    </row>
    <row r="15" spans="1:8">
      <c r="A15" s="86" t="s">
        <v>489</v>
      </c>
      <c r="B15" s="33">
        <v>2149.9800739166089</v>
      </c>
      <c r="C15" s="666">
        <v>1.3573106527251682</v>
      </c>
      <c r="D15" s="658">
        <v>112.65678417618921</v>
      </c>
      <c r="E15" s="658">
        <v>105.87023091256333</v>
      </c>
      <c r="F15" s="658">
        <v>670.51146244622964</v>
      </c>
      <c r="G15" s="658">
        <v>1041.057270640187</v>
      </c>
      <c r="H15" s="658">
        <v>218.52701508875288</v>
      </c>
    </row>
    <row r="16" spans="1:8" s="72" customFormat="1">
      <c r="A16" s="87" t="s">
        <v>489</v>
      </c>
      <c r="B16" s="36">
        <v>1412.9603894868694</v>
      </c>
      <c r="C16" s="663">
        <v>1.3573106527251682</v>
      </c>
      <c r="D16" s="659">
        <v>82.79594981623535</v>
      </c>
      <c r="E16" s="659">
        <v>76.009396552609473</v>
      </c>
      <c r="F16" s="659">
        <v>523.92191195191685</v>
      </c>
      <c r="G16" s="659">
        <v>585.00089132454718</v>
      </c>
      <c r="H16" s="659">
        <v>143.87492918886824</v>
      </c>
    </row>
    <row r="17" spans="1:8">
      <c r="A17" s="87" t="s">
        <v>490</v>
      </c>
      <c r="B17" s="36">
        <v>737.01968442976045</v>
      </c>
      <c r="C17" s="663">
        <v>0</v>
      </c>
      <c r="D17" s="659">
        <v>29.860834359953699</v>
      </c>
      <c r="E17" s="659">
        <v>29.860834359953699</v>
      </c>
      <c r="F17" s="659">
        <v>146.58955049431859</v>
      </c>
      <c r="G17" s="659">
        <v>456.05637931565855</v>
      </c>
      <c r="H17" s="659">
        <v>74.652085899884298</v>
      </c>
    </row>
    <row r="18" spans="1:8" s="72" customFormat="1">
      <c r="A18" s="86" t="s">
        <v>491</v>
      </c>
      <c r="B18" s="33">
        <v>5441.4584067754722</v>
      </c>
      <c r="C18" s="666">
        <v>0</v>
      </c>
      <c r="D18" s="658">
        <v>114.01409482891438</v>
      </c>
      <c r="E18" s="658">
        <v>115.37140548163956</v>
      </c>
      <c r="F18" s="658">
        <v>1638.2739578392391</v>
      </c>
      <c r="G18" s="658">
        <v>3074.3086284224146</v>
      </c>
      <c r="H18" s="658">
        <v>499.49032020286415</v>
      </c>
    </row>
    <row r="19" spans="1:8">
      <c r="A19" s="87" t="s">
        <v>491</v>
      </c>
      <c r="B19" s="36">
        <v>5441.4584067754722</v>
      </c>
      <c r="C19" s="663">
        <v>0</v>
      </c>
      <c r="D19" s="659">
        <v>114.01409482891438</v>
      </c>
      <c r="E19" s="659">
        <v>115.37140548163956</v>
      </c>
      <c r="F19" s="659">
        <v>1638.2739578392391</v>
      </c>
      <c r="G19" s="659">
        <v>3074.3086284224146</v>
      </c>
      <c r="H19" s="659">
        <v>499.49032020286415</v>
      </c>
    </row>
    <row r="20" spans="1:8" s="72" customFormat="1">
      <c r="A20" s="86" t="s">
        <v>499</v>
      </c>
      <c r="B20" s="33">
        <v>2772.9856635174383</v>
      </c>
      <c r="C20" s="666">
        <v>0</v>
      </c>
      <c r="D20" s="658">
        <v>4.0719319581755045</v>
      </c>
      <c r="E20" s="658">
        <v>2.7146213054503363</v>
      </c>
      <c r="F20" s="658">
        <v>593.14475524089789</v>
      </c>
      <c r="G20" s="658">
        <v>2056.3256388785758</v>
      </c>
      <c r="H20" s="658">
        <v>116.72871613436473</v>
      </c>
    </row>
    <row r="21" spans="1:8">
      <c r="A21" s="87" t="s">
        <v>492</v>
      </c>
      <c r="B21" s="36">
        <v>2772.9856635174383</v>
      </c>
      <c r="C21" s="663">
        <v>0</v>
      </c>
      <c r="D21" s="659">
        <v>4.0719319581755045</v>
      </c>
      <c r="E21" s="659">
        <v>2.7146213054503363</v>
      </c>
      <c r="F21" s="659">
        <v>593.14475524089789</v>
      </c>
      <c r="G21" s="659">
        <v>2056.3256388785758</v>
      </c>
      <c r="H21" s="659">
        <v>116.72871613436473</v>
      </c>
    </row>
    <row r="22" spans="1:8">
      <c r="A22" s="86" t="s">
        <v>493</v>
      </c>
      <c r="B22" s="33">
        <v>1222.9368981053528</v>
      </c>
      <c r="C22" s="666">
        <v>0</v>
      </c>
      <c r="D22" s="666">
        <v>13.573106527251682</v>
      </c>
      <c r="E22" s="658">
        <v>6.7865532636258408</v>
      </c>
      <c r="F22" s="658">
        <v>207.66852986695147</v>
      </c>
      <c r="G22" s="658">
        <v>967.76249539303058</v>
      </c>
      <c r="H22" s="658">
        <v>27.146213054503363</v>
      </c>
    </row>
    <row r="23" spans="1:8" s="72" customFormat="1">
      <c r="A23" s="87" t="s">
        <v>493</v>
      </c>
      <c r="B23" s="36">
        <v>1222.9368981053528</v>
      </c>
      <c r="C23" s="663">
        <v>0</v>
      </c>
      <c r="D23" s="663">
        <v>13.573106527251682</v>
      </c>
      <c r="E23" s="659">
        <v>6.7865532636258408</v>
      </c>
      <c r="F23" s="659">
        <v>207.66852986695147</v>
      </c>
      <c r="G23" s="659">
        <v>967.76249539303058</v>
      </c>
      <c r="H23" s="659">
        <v>27.146213054503363</v>
      </c>
    </row>
    <row r="24" spans="1:8">
      <c r="A24" s="88" t="s">
        <v>494</v>
      </c>
      <c r="B24" s="33">
        <v>1199.8626170090258</v>
      </c>
      <c r="C24" s="666">
        <v>0</v>
      </c>
      <c r="D24" s="666">
        <v>1.3573106527251682</v>
      </c>
      <c r="E24" s="658">
        <v>5.4292426109006726</v>
      </c>
      <c r="F24" s="658">
        <v>259.24633467050813</v>
      </c>
      <c r="G24" s="658">
        <v>822.53025555144291</v>
      </c>
      <c r="H24" s="658">
        <v>111.29947352346403</v>
      </c>
    </row>
    <row r="25" spans="1:8" s="72" customFormat="1">
      <c r="A25" s="87" t="s">
        <v>495</v>
      </c>
      <c r="B25" s="36">
        <v>661.01028787715381</v>
      </c>
      <c r="C25" s="667">
        <v>0</v>
      </c>
      <c r="D25" s="663">
        <v>1.3573106527251682</v>
      </c>
      <c r="E25" s="659">
        <v>5.4292426109006726</v>
      </c>
      <c r="F25" s="659">
        <v>176.45038485427244</v>
      </c>
      <c r="G25" s="659">
        <v>380.04698276304873</v>
      </c>
      <c r="H25" s="659">
        <v>97.726366996212278</v>
      </c>
    </row>
    <row r="26" spans="1:8">
      <c r="A26" s="87" t="s">
        <v>496</v>
      </c>
      <c r="B26" s="36">
        <v>538.85232913189316</v>
      </c>
      <c r="C26" s="663">
        <v>0</v>
      </c>
      <c r="D26" s="663">
        <v>0</v>
      </c>
      <c r="E26" s="659">
        <v>0</v>
      </c>
      <c r="F26" s="659">
        <v>82.79594981623535</v>
      </c>
      <c r="G26" s="659">
        <v>442.48327278840679</v>
      </c>
      <c r="H26" s="659">
        <v>13.573106527251682</v>
      </c>
    </row>
    <row r="27" spans="1:8" s="72" customFormat="1">
      <c r="A27" s="86" t="s">
        <v>497</v>
      </c>
      <c r="B27" s="33">
        <v>3398.7058744237179</v>
      </c>
      <c r="C27" s="666">
        <v>0</v>
      </c>
      <c r="D27" s="666">
        <v>2.7146213054503363</v>
      </c>
      <c r="E27" s="658">
        <v>4.0719319581755045</v>
      </c>
      <c r="F27" s="658">
        <v>147.94686114704376</v>
      </c>
      <c r="G27" s="658">
        <v>3229.0420428330781</v>
      </c>
      <c r="H27" s="658">
        <v>14.93041717997685</v>
      </c>
    </row>
    <row r="28" spans="1:8">
      <c r="A28" s="87" t="s">
        <v>497</v>
      </c>
      <c r="B28" s="36">
        <v>3398.7058744237179</v>
      </c>
      <c r="C28" s="659">
        <v>0</v>
      </c>
      <c r="D28" s="659">
        <v>2.7146213054503363</v>
      </c>
      <c r="E28" s="659">
        <v>4.0719319581755045</v>
      </c>
      <c r="F28" s="659">
        <v>147.94686114704376</v>
      </c>
      <c r="G28" s="659">
        <v>3229.0420428330781</v>
      </c>
      <c r="H28" s="659">
        <v>14.93041717997685</v>
      </c>
    </row>
    <row r="29" spans="1:8">
      <c r="A29" s="86" t="s">
        <v>498</v>
      </c>
      <c r="B29" s="33">
        <v>1100.7789393600922</v>
      </c>
      <c r="C29" s="666">
        <v>0</v>
      </c>
      <c r="D29" s="666">
        <v>59.721668719907399</v>
      </c>
      <c r="E29" s="658">
        <v>47.505872845380885</v>
      </c>
      <c r="F29" s="658">
        <v>287.74985837773681</v>
      </c>
      <c r="G29" s="658">
        <v>601.2886191572486</v>
      </c>
      <c r="H29" s="658">
        <v>104.51292025983815</v>
      </c>
    </row>
    <row r="30" spans="1:8">
      <c r="A30" s="87" t="s">
        <v>498</v>
      </c>
      <c r="B30" s="36">
        <v>1100.7789393600922</v>
      </c>
      <c r="C30" s="663">
        <v>0</v>
      </c>
      <c r="D30" s="663">
        <v>59.721668719907399</v>
      </c>
      <c r="E30" s="659">
        <v>47.505872845380885</v>
      </c>
      <c r="F30" s="659">
        <v>287.74985837773681</v>
      </c>
      <c r="G30" s="659">
        <v>601.2886191572486</v>
      </c>
      <c r="H30" s="659">
        <v>104.51292025983815</v>
      </c>
    </row>
  </sheetData>
  <mergeCells count="4">
    <mergeCell ref="A1:H1"/>
    <mergeCell ref="A2:A3"/>
    <mergeCell ref="B2:B3"/>
    <mergeCell ref="C2:H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30"/>
  <sheetViews>
    <sheetView zoomScale="120" zoomScaleNormal="120" workbookViewId="0">
      <selection activeCell="M13" sqref="M13"/>
    </sheetView>
  </sheetViews>
  <sheetFormatPr defaultColWidth="9.140625" defaultRowHeight="12"/>
  <cols>
    <col min="1" max="1" width="24" style="69" customWidth="1"/>
    <col min="2" max="2" width="11.28515625" style="75" customWidth="1"/>
    <col min="3" max="3" width="10.7109375" style="75" customWidth="1"/>
    <col min="4" max="4" width="10.140625" style="75" customWidth="1"/>
    <col min="5" max="5" width="10.7109375" style="75" customWidth="1"/>
    <col min="6" max="6" width="11" style="75" customWidth="1"/>
    <col min="7" max="7" width="9.140625" style="75"/>
    <col min="8" max="8" width="10.28515625" style="75" customWidth="1"/>
    <col min="9" max="9" width="10.85546875" style="75" customWidth="1"/>
    <col min="10" max="10" width="9.140625" style="75"/>
    <col min="11" max="16384" width="9.140625" style="69"/>
  </cols>
  <sheetData>
    <row r="1" spans="1:10" ht="22.5" customHeight="1" thickBot="1">
      <c r="A1" s="936" t="s">
        <v>470</v>
      </c>
      <c r="B1" s="936"/>
      <c r="C1" s="936"/>
      <c r="D1" s="936"/>
      <c r="E1" s="936"/>
      <c r="F1" s="936"/>
      <c r="G1" s="936"/>
      <c r="H1" s="936"/>
      <c r="I1" s="936"/>
      <c r="J1" s="936"/>
    </row>
    <row r="2" spans="1:10" ht="15" customHeight="1">
      <c r="A2" s="927" t="s">
        <v>445</v>
      </c>
      <c r="B2" s="933" t="s">
        <v>19</v>
      </c>
      <c r="C2" s="930" t="s">
        <v>37</v>
      </c>
      <c r="D2" s="930"/>
      <c r="E2" s="930"/>
      <c r="F2" s="930"/>
      <c r="G2" s="930"/>
      <c r="H2" s="930"/>
      <c r="I2" s="930"/>
      <c r="J2" s="930"/>
    </row>
    <row r="3" spans="1:10" ht="24">
      <c r="A3" s="764"/>
      <c r="B3" s="944"/>
      <c r="C3" s="660" t="s">
        <v>38</v>
      </c>
      <c r="D3" s="668" t="s">
        <v>39</v>
      </c>
      <c r="E3" s="660" t="s">
        <v>40</v>
      </c>
      <c r="F3" s="668" t="s">
        <v>265</v>
      </c>
      <c r="G3" s="668" t="s">
        <v>266</v>
      </c>
      <c r="H3" s="660" t="s">
        <v>267</v>
      </c>
      <c r="I3" s="668" t="s">
        <v>28</v>
      </c>
      <c r="J3" s="668" t="s">
        <v>18</v>
      </c>
    </row>
    <row r="4" spans="1:10">
      <c r="A4" s="145" t="s">
        <v>500</v>
      </c>
      <c r="B4" s="661">
        <v>35834.358542606504</v>
      </c>
      <c r="C4" s="662">
        <v>29635.520791608811</v>
      </c>
      <c r="D4" s="662">
        <v>2998.299231869808</v>
      </c>
      <c r="E4" s="662">
        <v>1274.5147029089073</v>
      </c>
      <c r="F4" s="662">
        <v>5.4292426109006726</v>
      </c>
      <c r="G4" s="662">
        <v>6.7865532636258408</v>
      </c>
      <c r="H4" s="661">
        <v>6.7865532636258408</v>
      </c>
      <c r="I4" s="661">
        <v>1731.9283928772722</v>
      </c>
      <c r="J4" s="662">
        <v>175.09307420154727</v>
      </c>
    </row>
    <row r="5" spans="1:10">
      <c r="A5" s="97"/>
      <c r="B5" s="659"/>
      <c r="C5" s="663"/>
      <c r="D5" s="663"/>
      <c r="E5" s="663"/>
      <c r="F5" s="663"/>
      <c r="G5" s="663"/>
      <c r="H5" s="659"/>
      <c r="I5" s="659"/>
      <c r="J5" s="663"/>
    </row>
    <row r="6" spans="1:10">
      <c r="A6" s="246" t="s">
        <v>111</v>
      </c>
      <c r="B6" s="664"/>
      <c r="C6" s="665"/>
      <c r="D6" s="664"/>
      <c r="E6" s="664"/>
      <c r="F6" s="664"/>
      <c r="G6" s="664"/>
      <c r="H6" s="664"/>
      <c r="I6" s="664"/>
      <c r="J6" s="665"/>
    </row>
    <row r="7" spans="1:10">
      <c r="A7" s="97" t="s">
        <v>4</v>
      </c>
      <c r="B7" s="659">
        <v>13600.252740308892</v>
      </c>
      <c r="C7" s="663">
        <v>9165.9188378544441</v>
      </c>
      <c r="D7" s="659">
        <v>2101.1168904185047</v>
      </c>
      <c r="E7" s="659">
        <v>745.16354834611116</v>
      </c>
      <c r="F7" s="659">
        <v>4.0719319581755045</v>
      </c>
      <c r="G7" s="659">
        <v>2.7146213054503363</v>
      </c>
      <c r="H7" s="659">
        <v>5.4292426109006726</v>
      </c>
      <c r="I7" s="659">
        <v>1556.835318675732</v>
      </c>
      <c r="J7" s="663">
        <v>19.002349138152354</v>
      </c>
    </row>
    <row r="8" spans="1:10">
      <c r="A8" s="97" t="s">
        <v>5</v>
      </c>
      <c r="B8" s="659">
        <v>22234.105802296261</v>
      </c>
      <c r="C8" s="663">
        <v>20469.601953753016</v>
      </c>
      <c r="D8" s="659">
        <v>897.18234145132442</v>
      </c>
      <c r="E8" s="659">
        <v>529.35115456281733</v>
      </c>
      <c r="F8" s="659">
        <v>1.3573106527251682</v>
      </c>
      <c r="G8" s="659">
        <v>4.0719319581755045</v>
      </c>
      <c r="H8" s="659">
        <v>1.3573106527251682</v>
      </c>
      <c r="I8" s="659">
        <v>175.09307420154727</v>
      </c>
      <c r="J8" s="663">
        <v>156.09072506339481</v>
      </c>
    </row>
    <row r="9" spans="1:10" s="72" customFormat="1">
      <c r="A9" s="246" t="s">
        <v>448</v>
      </c>
      <c r="B9" s="664"/>
      <c r="C9" s="665"/>
      <c r="D9" s="664"/>
      <c r="E9" s="664"/>
      <c r="F9" s="664"/>
      <c r="G9" s="664"/>
      <c r="H9" s="664"/>
      <c r="I9" s="664"/>
      <c r="J9" s="665"/>
    </row>
    <row r="10" spans="1:10" s="72" customFormat="1">
      <c r="A10" s="86" t="s">
        <v>486</v>
      </c>
      <c r="B10" s="658">
        <v>5235.1471875611851</v>
      </c>
      <c r="C10" s="666">
        <v>4344.7513993732091</v>
      </c>
      <c r="D10" s="658">
        <v>597.21668719907325</v>
      </c>
      <c r="E10" s="658">
        <v>261.96095597595848</v>
      </c>
      <c r="F10" s="658">
        <v>0</v>
      </c>
      <c r="G10" s="658">
        <v>1.3573106527251682</v>
      </c>
      <c r="H10" s="658">
        <v>1.3573106527251682</v>
      </c>
      <c r="I10" s="658">
        <v>28.503523707228531</v>
      </c>
      <c r="J10" s="666">
        <v>0</v>
      </c>
    </row>
    <row r="11" spans="1:10" s="72" customFormat="1">
      <c r="A11" s="87" t="s">
        <v>486</v>
      </c>
      <c r="B11" s="659">
        <v>5235.1471875611851</v>
      </c>
      <c r="C11" s="663">
        <v>4344.7513993732091</v>
      </c>
      <c r="D11" s="659">
        <v>597.21668719907325</v>
      </c>
      <c r="E11" s="659">
        <v>261.96095597595848</v>
      </c>
      <c r="F11" s="659">
        <v>0</v>
      </c>
      <c r="G11" s="659">
        <v>1.3573106527251682</v>
      </c>
      <c r="H11" s="659">
        <v>1.3573106527251682</v>
      </c>
      <c r="I11" s="659">
        <v>28.503523707228531</v>
      </c>
      <c r="J11" s="663">
        <v>0</v>
      </c>
    </row>
    <row r="12" spans="1:10">
      <c r="A12" s="86" t="s">
        <v>487</v>
      </c>
      <c r="B12" s="658">
        <v>13312.50288193107</v>
      </c>
      <c r="C12" s="666">
        <v>9760.4209037482451</v>
      </c>
      <c r="D12" s="658">
        <v>1412.9603894868694</v>
      </c>
      <c r="E12" s="658">
        <v>522.56460129919174</v>
      </c>
      <c r="F12" s="658">
        <v>2.7146213054503363</v>
      </c>
      <c r="G12" s="658">
        <v>1.3573106527251682</v>
      </c>
      <c r="H12" s="658">
        <v>4.0719319581755045</v>
      </c>
      <c r="I12" s="658">
        <v>1593.4827062993102</v>
      </c>
      <c r="J12" s="666">
        <v>14.93041717997685</v>
      </c>
    </row>
    <row r="13" spans="1:10" s="72" customFormat="1">
      <c r="A13" s="87" t="s">
        <v>487</v>
      </c>
      <c r="B13" s="659">
        <v>12021.70045118905</v>
      </c>
      <c r="C13" s="663">
        <v>8500.8366180189132</v>
      </c>
      <c r="D13" s="659">
        <v>1400.7445936123434</v>
      </c>
      <c r="E13" s="659">
        <v>513.06342673011591</v>
      </c>
      <c r="F13" s="659">
        <v>2.7146213054503363</v>
      </c>
      <c r="G13" s="659">
        <v>1.3573106527251682</v>
      </c>
      <c r="H13" s="659">
        <v>4.0719319581755045</v>
      </c>
      <c r="I13" s="659">
        <v>1583.9815317302343</v>
      </c>
      <c r="J13" s="663">
        <v>14.93041717997685</v>
      </c>
    </row>
    <row r="14" spans="1:10" s="72" customFormat="1">
      <c r="A14" s="87" t="s">
        <v>488</v>
      </c>
      <c r="B14" s="659">
        <v>1290.8024307416088</v>
      </c>
      <c r="C14" s="663">
        <v>1259.584285728931</v>
      </c>
      <c r="D14" s="659">
        <v>12.215795874526513</v>
      </c>
      <c r="E14" s="659">
        <v>9.5011745690761771</v>
      </c>
      <c r="F14" s="659">
        <v>0</v>
      </c>
      <c r="G14" s="659">
        <v>0</v>
      </c>
      <c r="H14" s="659">
        <v>0</v>
      </c>
      <c r="I14" s="659">
        <v>9.5011745690761771</v>
      </c>
      <c r="J14" s="663">
        <v>0</v>
      </c>
    </row>
    <row r="15" spans="1:10">
      <c r="A15" s="86" t="s">
        <v>489</v>
      </c>
      <c r="B15" s="658">
        <v>2149.9800739166089</v>
      </c>
      <c r="C15" s="666">
        <v>1550.0487654121064</v>
      </c>
      <c r="D15" s="658">
        <v>397.69202124847601</v>
      </c>
      <c r="E15" s="658">
        <v>156.09072506339481</v>
      </c>
      <c r="F15" s="658">
        <v>1.3573106527251682</v>
      </c>
      <c r="G15" s="658">
        <v>1.3573106527251682</v>
      </c>
      <c r="H15" s="658">
        <v>0</v>
      </c>
      <c r="I15" s="658">
        <v>36.64738762357954</v>
      </c>
      <c r="J15" s="666">
        <v>6.7865532636258408</v>
      </c>
    </row>
    <row r="16" spans="1:10" s="72" customFormat="1">
      <c r="A16" s="87" t="s">
        <v>489</v>
      </c>
      <c r="B16" s="659">
        <v>1412.9603894868694</v>
      </c>
      <c r="C16" s="663">
        <v>937.90166103307797</v>
      </c>
      <c r="D16" s="663">
        <v>313.53876077951514</v>
      </c>
      <c r="E16" s="659">
        <v>128.94451200889131</v>
      </c>
      <c r="F16" s="659">
        <v>1.3573106527251682</v>
      </c>
      <c r="G16" s="659">
        <v>0</v>
      </c>
      <c r="H16" s="659">
        <v>0</v>
      </c>
      <c r="I16" s="659">
        <v>24.431591749053027</v>
      </c>
      <c r="J16" s="663">
        <v>6.7865532636258408</v>
      </c>
    </row>
    <row r="17" spans="1:10">
      <c r="A17" s="87" t="s">
        <v>490</v>
      </c>
      <c r="B17" s="659">
        <v>737.01968442976045</v>
      </c>
      <c r="C17" s="663">
        <v>612.14710437904955</v>
      </c>
      <c r="D17" s="663">
        <v>84.153260468960525</v>
      </c>
      <c r="E17" s="659">
        <v>27.146213054503363</v>
      </c>
      <c r="F17" s="659">
        <v>0</v>
      </c>
      <c r="G17" s="659">
        <v>1.3573106527251682</v>
      </c>
      <c r="H17" s="659">
        <v>0</v>
      </c>
      <c r="I17" s="659">
        <v>12.215795874526513</v>
      </c>
      <c r="J17" s="663">
        <v>0</v>
      </c>
    </row>
    <row r="18" spans="1:10" s="72" customFormat="1">
      <c r="A18" s="86" t="s">
        <v>491</v>
      </c>
      <c r="B18" s="658">
        <v>5441.4584067754722</v>
      </c>
      <c r="C18" s="666">
        <v>4785.8773615090204</v>
      </c>
      <c r="D18" s="666">
        <v>310.82413947406479</v>
      </c>
      <c r="E18" s="658">
        <v>179.16500615972279</v>
      </c>
      <c r="F18" s="658">
        <v>0</v>
      </c>
      <c r="G18" s="658">
        <v>2.7146213054503363</v>
      </c>
      <c r="H18" s="658">
        <v>1.3573106527251682</v>
      </c>
      <c r="I18" s="658">
        <v>20.359659790877522</v>
      </c>
      <c r="J18" s="666">
        <v>141.16030788341789</v>
      </c>
    </row>
    <row r="19" spans="1:10">
      <c r="A19" s="87" t="s">
        <v>491</v>
      </c>
      <c r="B19" s="659">
        <v>5441.4584067754722</v>
      </c>
      <c r="C19" s="667">
        <v>4785.8773615090204</v>
      </c>
      <c r="D19" s="663">
        <v>310.82413947406479</v>
      </c>
      <c r="E19" s="659">
        <v>179.16500615972279</v>
      </c>
      <c r="F19" s="659">
        <v>0</v>
      </c>
      <c r="G19" s="659">
        <v>2.7146213054503363</v>
      </c>
      <c r="H19" s="659">
        <v>1.3573106527251682</v>
      </c>
      <c r="I19" s="659">
        <v>20.359659790877522</v>
      </c>
      <c r="J19" s="667">
        <v>141.16030788341789</v>
      </c>
    </row>
    <row r="20" spans="1:10" s="72" customFormat="1">
      <c r="A20" s="86" t="s">
        <v>499</v>
      </c>
      <c r="B20" s="658">
        <v>2772.9856635174383</v>
      </c>
      <c r="C20" s="666">
        <v>2698.3335776175568</v>
      </c>
      <c r="D20" s="666">
        <v>52.935115456281558</v>
      </c>
      <c r="E20" s="658">
        <v>14.93041717997685</v>
      </c>
      <c r="F20" s="658">
        <v>0</v>
      </c>
      <c r="G20" s="658">
        <v>0</v>
      </c>
      <c r="H20" s="658">
        <v>0</v>
      </c>
      <c r="I20" s="658">
        <v>5.4292426109006726</v>
      </c>
      <c r="J20" s="666">
        <v>1.3573106527251682</v>
      </c>
    </row>
    <row r="21" spans="1:10" s="72" customFormat="1">
      <c r="A21" s="87" t="s">
        <v>492</v>
      </c>
      <c r="B21" s="659">
        <v>2772.9856635174383</v>
      </c>
      <c r="C21" s="663">
        <v>2698.3335776175568</v>
      </c>
      <c r="D21" s="663">
        <v>52.935115456281558</v>
      </c>
      <c r="E21" s="659">
        <v>14.93041717997685</v>
      </c>
      <c r="F21" s="659">
        <v>0</v>
      </c>
      <c r="G21" s="659">
        <v>0</v>
      </c>
      <c r="H21" s="659">
        <v>0</v>
      </c>
      <c r="I21" s="659">
        <v>5.4292426109006726</v>
      </c>
      <c r="J21" s="663">
        <v>1.3573106527251682</v>
      </c>
    </row>
    <row r="22" spans="1:10">
      <c r="A22" s="86" t="s">
        <v>493</v>
      </c>
      <c r="B22" s="658">
        <v>1222.9368981053528</v>
      </c>
      <c r="C22" s="658">
        <v>1121.138599150969</v>
      </c>
      <c r="D22" s="658">
        <v>29.860834359953699</v>
      </c>
      <c r="E22" s="658">
        <v>66.508221983533247</v>
      </c>
      <c r="F22" s="658">
        <v>0</v>
      </c>
      <c r="G22" s="658">
        <v>0</v>
      </c>
      <c r="H22" s="658">
        <v>0</v>
      </c>
      <c r="I22" s="658">
        <v>4.0719319581755045</v>
      </c>
      <c r="J22" s="658">
        <v>1.3573106527251682</v>
      </c>
    </row>
    <row r="23" spans="1:10">
      <c r="A23" s="87" t="s">
        <v>493</v>
      </c>
      <c r="B23" s="659">
        <v>1222.9368981053528</v>
      </c>
      <c r="C23" s="663">
        <v>1121.138599150969</v>
      </c>
      <c r="D23" s="663">
        <v>29.860834359953699</v>
      </c>
      <c r="E23" s="663">
        <v>66.508221983533247</v>
      </c>
      <c r="F23" s="663">
        <v>0</v>
      </c>
      <c r="G23" s="663">
        <v>0</v>
      </c>
      <c r="H23" s="659">
        <v>0</v>
      </c>
      <c r="I23" s="659">
        <v>4.0719319581755045</v>
      </c>
      <c r="J23" s="663">
        <v>1.3573106527251682</v>
      </c>
    </row>
    <row r="24" spans="1:10">
      <c r="A24" s="88" t="s">
        <v>494</v>
      </c>
      <c r="B24" s="658">
        <v>1199.8626170090258</v>
      </c>
      <c r="C24" s="666">
        <v>1159.1432974272723</v>
      </c>
      <c r="D24" s="666">
        <v>16.287727832702018</v>
      </c>
      <c r="E24" s="666">
        <v>13.573106527251682</v>
      </c>
      <c r="F24" s="666">
        <v>0</v>
      </c>
      <c r="G24" s="666">
        <v>0</v>
      </c>
      <c r="H24" s="658">
        <v>0</v>
      </c>
      <c r="I24" s="658">
        <v>8.1438639163510089</v>
      </c>
      <c r="J24" s="666">
        <v>2.7146213054503363</v>
      </c>
    </row>
    <row r="25" spans="1:10" s="72" customFormat="1">
      <c r="A25" s="87" t="s">
        <v>495</v>
      </c>
      <c r="B25" s="659">
        <v>661.01028787715381</v>
      </c>
      <c r="C25" s="663">
        <v>635.22138547537656</v>
      </c>
      <c r="D25" s="659">
        <v>4.0719319581755045</v>
      </c>
      <c r="E25" s="659">
        <v>13.573106527251682</v>
      </c>
      <c r="F25" s="659">
        <v>0</v>
      </c>
      <c r="G25" s="659">
        <v>0</v>
      </c>
      <c r="H25" s="659">
        <v>0</v>
      </c>
      <c r="I25" s="659">
        <v>5.4292426109006726</v>
      </c>
      <c r="J25" s="663">
        <v>2.7146213054503363</v>
      </c>
    </row>
    <row r="26" spans="1:10">
      <c r="A26" s="87" t="s">
        <v>496</v>
      </c>
      <c r="B26" s="658">
        <v>538.85232913189316</v>
      </c>
      <c r="C26" s="666">
        <v>523.92191195191685</v>
      </c>
      <c r="D26" s="658">
        <v>12.215795874526513</v>
      </c>
      <c r="E26" s="658">
        <v>0</v>
      </c>
      <c r="F26" s="658">
        <v>0</v>
      </c>
      <c r="G26" s="658">
        <v>0</v>
      </c>
      <c r="H26" s="658">
        <v>0</v>
      </c>
      <c r="I26" s="658">
        <v>2.7146213054503363</v>
      </c>
      <c r="J26" s="666">
        <v>0</v>
      </c>
    </row>
    <row r="27" spans="1:10" s="72" customFormat="1">
      <c r="A27" s="86" t="s">
        <v>497</v>
      </c>
      <c r="B27" s="658">
        <v>3398.7058744237179</v>
      </c>
      <c r="C27" s="666">
        <v>3367.4877294110402</v>
      </c>
      <c r="D27" s="658">
        <v>10.858485221801345</v>
      </c>
      <c r="E27" s="658">
        <v>12.215795874526513</v>
      </c>
      <c r="F27" s="658">
        <v>0</v>
      </c>
      <c r="G27" s="658">
        <v>0</v>
      </c>
      <c r="H27" s="658">
        <v>0</v>
      </c>
      <c r="I27" s="658">
        <v>1.3573106527251682</v>
      </c>
      <c r="J27" s="666">
        <v>6.7865532636258408</v>
      </c>
    </row>
    <row r="28" spans="1:10">
      <c r="A28" s="87" t="s">
        <v>497</v>
      </c>
      <c r="B28" s="659">
        <v>3398.7058744237179</v>
      </c>
      <c r="C28" s="663">
        <v>3367.4877294110402</v>
      </c>
      <c r="D28" s="659">
        <v>10.858485221801345</v>
      </c>
      <c r="E28" s="659">
        <v>12.215795874526513</v>
      </c>
      <c r="F28" s="659">
        <v>0</v>
      </c>
      <c r="G28" s="659">
        <v>0</v>
      </c>
      <c r="H28" s="659">
        <v>0</v>
      </c>
      <c r="I28" s="659">
        <v>1.3573106527251682</v>
      </c>
      <c r="J28" s="663">
        <v>6.7865532636258408</v>
      </c>
    </row>
    <row r="29" spans="1:10" s="72" customFormat="1">
      <c r="A29" s="86" t="s">
        <v>498</v>
      </c>
      <c r="B29" s="658">
        <v>1100.7789393600922</v>
      </c>
      <c r="C29" s="666">
        <v>848.31915795322016</v>
      </c>
      <c r="D29" s="658">
        <v>169.66383159064657</v>
      </c>
      <c r="E29" s="658">
        <v>47.505872845380885</v>
      </c>
      <c r="F29" s="658">
        <v>1.3573106527251682</v>
      </c>
      <c r="G29" s="658">
        <v>0</v>
      </c>
      <c r="H29" s="658">
        <v>0</v>
      </c>
      <c r="I29" s="658">
        <v>33.932766318129204</v>
      </c>
      <c r="J29" s="666">
        <v>0</v>
      </c>
    </row>
    <row r="30" spans="1:10">
      <c r="A30" s="87" t="s">
        <v>498</v>
      </c>
      <c r="B30" s="659">
        <v>1100.7789393600922</v>
      </c>
      <c r="C30" s="663">
        <v>848.31915795322016</v>
      </c>
      <c r="D30" s="659">
        <v>169.66383159064657</v>
      </c>
      <c r="E30" s="659">
        <v>47.505872845380885</v>
      </c>
      <c r="F30" s="659">
        <v>1.3573106527251682</v>
      </c>
      <c r="G30" s="659">
        <v>0</v>
      </c>
      <c r="H30" s="659">
        <v>0</v>
      </c>
      <c r="I30" s="659">
        <v>33.932766318129204</v>
      </c>
      <c r="J30" s="663">
        <v>0</v>
      </c>
    </row>
  </sheetData>
  <mergeCells count="4">
    <mergeCell ref="A2:A3"/>
    <mergeCell ref="B2:B3"/>
    <mergeCell ref="A1:J1"/>
    <mergeCell ref="C2:J2"/>
  </mergeCell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20"/>
  <sheetViews>
    <sheetView zoomScale="120" zoomScaleNormal="120" workbookViewId="0">
      <selection activeCell="AK45" sqref="AK45"/>
    </sheetView>
  </sheetViews>
  <sheetFormatPr defaultColWidth="9.140625" defaultRowHeight="12"/>
  <cols>
    <col min="1" max="1" width="20.140625" style="69" customWidth="1"/>
    <col min="2" max="16384" width="9.140625" style="69"/>
  </cols>
  <sheetData>
    <row r="1" spans="1:6" ht="37.5" customHeight="1" thickBot="1">
      <c r="A1" s="945" t="s">
        <v>471</v>
      </c>
      <c r="B1" s="945"/>
      <c r="C1" s="945"/>
      <c r="D1" s="945"/>
      <c r="E1" s="945"/>
      <c r="F1" s="945"/>
    </row>
    <row r="2" spans="1:6" ht="12.75" thickBot="1">
      <c r="A2" s="946" t="s">
        <v>320</v>
      </c>
      <c r="B2" s="948" t="s">
        <v>435</v>
      </c>
      <c r="C2" s="950" t="s">
        <v>41</v>
      </c>
      <c r="D2" s="950"/>
      <c r="E2" s="950" t="s">
        <v>42</v>
      </c>
      <c r="F2" s="950"/>
    </row>
    <row r="3" spans="1:6" ht="58.5" customHeight="1">
      <c r="A3" s="947"/>
      <c r="B3" s="949"/>
      <c r="C3" s="508" t="s">
        <v>43</v>
      </c>
      <c r="D3" s="508" t="s">
        <v>44</v>
      </c>
      <c r="E3" s="109" t="s">
        <v>45</v>
      </c>
      <c r="F3" s="110" t="s">
        <v>46</v>
      </c>
    </row>
    <row r="4" spans="1:6">
      <c r="A4" s="407" t="s">
        <v>500</v>
      </c>
      <c r="B4" s="653">
        <v>35834.358542606504</v>
      </c>
      <c r="C4" s="669">
        <v>1.9871216999352499</v>
      </c>
      <c r="D4" s="669">
        <v>1.8979642407831132</v>
      </c>
      <c r="E4" s="669">
        <v>1.2466194462330662</v>
      </c>
      <c r="F4" s="670">
        <v>3.0253706854626943</v>
      </c>
    </row>
    <row r="5" spans="1:6">
      <c r="A5" s="103"/>
      <c r="B5" s="654"/>
      <c r="C5" s="671"/>
      <c r="D5" s="671"/>
      <c r="E5" s="671"/>
      <c r="F5" s="672"/>
    </row>
    <row r="6" spans="1:6">
      <c r="A6" s="408" t="s">
        <v>111</v>
      </c>
      <c r="B6" s="655"/>
      <c r="C6" s="673"/>
      <c r="D6" s="673"/>
      <c r="E6" s="673"/>
      <c r="F6" s="674"/>
    </row>
    <row r="7" spans="1:6">
      <c r="A7" s="104" t="s">
        <v>4</v>
      </c>
      <c r="B7" s="656">
        <v>13600.252740308892</v>
      </c>
      <c r="C7" s="570">
        <v>2.3291417165666948</v>
      </c>
      <c r="D7" s="570">
        <v>1.5802982260690397</v>
      </c>
      <c r="E7" s="570">
        <v>1.3251497005987709</v>
      </c>
      <c r="F7" s="675">
        <v>2.7776020485010848</v>
      </c>
    </row>
    <row r="8" spans="1:6" ht="15" customHeight="1">
      <c r="A8" s="104" t="s">
        <v>5</v>
      </c>
      <c r="B8" s="656">
        <v>22234.105802296261</v>
      </c>
      <c r="C8" s="570">
        <v>1.7779134362980245</v>
      </c>
      <c r="D8" s="570">
        <v>2.1525202582058096</v>
      </c>
      <c r="E8" s="570">
        <v>1.1985837250472722</v>
      </c>
      <c r="F8" s="675">
        <v>3.1929306305380249</v>
      </c>
    </row>
    <row r="9" spans="1:6">
      <c r="A9" s="408" t="s">
        <v>452</v>
      </c>
      <c r="B9" s="657"/>
      <c r="C9" s="460"/>
      <c r="D9" s="460"/>
      <c r="E9" s="460"/>
      <c r="F9" s="676"/>
    </row>
    <row r="10" spans="1:6">
      <c r="A10" s="95" t="s">
        <v>486</v>
      </c>
      <c r="B10" s="663">
        <v>5235.1471875611851</v>
      </c>
      <c r="C10" s="677">
        <v>2.3227897329530505</v>
      </c>
      <c r="D10" s="677">
        <v>1.9863824087509419</v>
      </c>
      <c r="E10" s="677">
        <v>1.2984184599429611</v>
      </c>
      <c r="F10" s="677">
        <v>3.5535143769967092</v>
      </c>
    </row>
    <row r="11" spans="1:6">
      <c r="A11" s="97" t="s">
        <v>487</v>
      </c>
      <c r="B11" s="663">
        <v>13312.50288193107</v>
      </c>
      <c r="C11" s="677">
        <v>1.9616639477975557</v>
      </c>
      <c r="D11" s="677">
        <v>1.8584719334719171</v>
      </c>
      <c r="E11" s="677">
        <v>1.1828099510603161</v>
      </c>
      <c r="F11" s="677">
        <v>3.082234290147233</v>
      </c>
    </row>
    <row r="12" spans="1:6">
      <c r="A12" s="97" t="s">
        <v>489</v>
      </c>
      <c r="B12" s="663">
        <v>2149.9800739166089</v>
      </c>
      <c r="C12" s="677">
        <v>3.1123737373739266</v>
      </c>
      <c r="D12" s="677">
        <v>1.0044624746450077</v>
      </c>
      <c r="E12" s="677">
        <v>1.8705808080808244</v>
      </c>
      <c r="F12" s="677">
        <v>1.6712791090111867</v>
      </c>
    </row>
    <row r="13" spans="1:6">
      <c r="A13" s="97" t="s">
        <v>491</v>
      </c>
      <c r="B13" s="663">
        <v>5441.4584067754722</v>
      </c>
      <c r="C13" s="677">
        <v>1.7273634322774079</v>
      </c>
      <c r="D13" s="677">
        <v>2.0584837545125412</v>
      </c>
      <c r="E13" s="677">
        <v>1.1820902968321438</v>
      </c>
      <c r="F13" s="677">
        <v>3.0080185693182986</v>
      </c>
    </row>
    <row r="14" spans="1:6" ht="13.5" customHeight="1">
      <c r="A14" s="97" t="s">
        <v>499</v>
      </c>
      <c r="B14" s="663">
        <v>2772.9856635174383</v>
      </c>
      <c r="C14" s="677">
        <v>1.939794419970692</v>
      </c>
      <c r="D14" s="677">
        <v>1.696442089326283</v>
      </c>
      <c r="E14" s="677">
        <v>1.3073910915320643</v>
      </c>
      <c r="F14" s="677">
        <v>2.5170348184201612</v>
      </c>
    </row>
    <row r="15" spans="1:6">
      <c r="A15" s="97" t="s">
        <v>493</v>
      </c>
      <c r="B15" s="663">
        <v>1222.9368981053528</v>
      </c>
      <c r="C15" s="677">
        <v>1.3973362930077866</v>
      </c>
      <c r="D15" s="677">
        <v>3.0135027799841332</v>
      </c>
      <c r="E15" s="677">
        <v>0.93451720310766762</v>
      </c>
      <c r="F15" s="677">
        <v>4.5059382422803234</v>
      </c>
    </row>
    <row r="16" spans="1:6">
      <c r="A16" s="97" t="s">
        <v>494</v>
      </c>
      <c r="B16" s="663">
        <v>1199.8626170090258</v>
      </c>
      <c r="C16" s="677">
        <v>1.6052036199095079</v>
      </c>
      <c r="D16" s="677">
        <v>2.9873150105708799</v>
      </c>
      <c r="E16" s="677">
        <v>1.1119909502262459</v>
      </c>
      <c r="F16" s="677">
        <v>4.3123092573754702</v>
      </c>
    </row>
    <row r="17" spans="1:6">
      <c r="A17" s="97" t="s">
        <v>497</v>
      </c>
      <c r="B17" s="663">
        <v>3398.7058744237179</v>
      </c>
      <c r="C17" s="677">
        <v>1.4081469648562546</v>
      </c>
      <c r="D17" s="677">
        <v>2.2918321043676153</v>
      </c>
      <c r="E17" s="677">
        <v>1.0539137380191705</v>
      </c>
      <c r="F17" s="677">
        <v>3.0621447518000546</v>
      </c>
    </row>
    <row r="18" spans="1:6">
      <c r="A18" s="97" t="s">
        <v>498</v>
      </c>
      <c r="B18" s="663">
        <v>1100.7789393600922</v>
      </c>
      <c r="C18" s="677">
        <v>2.7632552404439306</v>
      </c>
      <c r="D18" s="677">
        <v>1.7733154841588776</v>
      </c>
      <c r="E18" s="677">
        <v>1.8076448828606797</v>
      </c>
      <c r="F18" s="677">
        <v>2.7107776261937677</v>
      </c>
    </row>
    <row r="20" spans="1:6" ht="13.5" customHeight="1"/>
  </sheetData>
  <mergeCells count="5">
    <mergeCell ref="A1:F1"/>
    <mergeCell ref="A2:A3"/>
    <mergeCell ref="B2:B3"/>
    <mergeCell ref="C2:D2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1. População</vt:lpstr>
      <vt:lpstr>Q1.1</vt:lpstr>
      <vt:lpstr>Q1.2</vt:lpstr>
      <vt:lpstr>Q1.3</vt:lpstr>
      <vt:lpstr>Q1.4</vt:lpstr>
      <vt:lpstr>Q1.5</vt:lpstr>
      <vt:lpstr>Q1.6</vt:lpstr>
      <vt:lpstr>Q1.7</vt:lpstr>
      <vt:lpstr>2. Estado Civil</vt:lpstr>
      <vt:lpstr>Q2.1</vt:lpstr>
      <vt:lpstr>3. Registo Civil</vt:lpstr>
      <vt:lpstr>Q3.1</vt:lpstr>
      <vt:lpstr>Q3.2</vt:lpstr>
      <vt:lpstr>Q3.3</vt:lpstr>
      <vt:lpstr>Q3.4</vt:lpstr>
      <vt:lpstr>4. Deficiência e Albinismo</vt:lpstr>
      <vt:lpstr>Q4.1</vt:lpstr>
      <vt:lpstr>Q4.2</vt:lpstr>
      <vt:lpstr>Q4.3</vt:lpstr>
      <vt:lpstr>5. Orfandade</vt:lpstr>
      <vt:lpstr>Q5.1</vt:lpstr>
      <vt:lpstr>Q5.2</vt:lpstr>
      <vt:lpstr>6. Língua Materna</vt:lpstr>
      <vt:lpstr>Q 6.1</vt:lpstr>
      <vt:lpstr>Q 6.2</vt:lpstr>
      <vt:lpstr>7. Religião</vt:lpstr>
      <vt:lpstr>Q 7.1</vt:lpstr>
      <vt:lpstr>8. Educação</vt:lpstr>
      <vt:lpstr>Q8.1</vt:lpstr>
      <vt:lpstr>Q8.2</vt:lpstr>
      <vt:lpstr>Q8.3</vt:lpstr>
      <vt:lpstr>Q8.4</vt:lpstr>
      <vt:lpstr>Q8.5</vt:lpstr>
      <vt:lpstr>Q8.6</vt:lpstr>
      <vt:lpstr>Q8.7</vt:lpstr>
      <vt:lpstr>Q8.8</vt:lpstr>
      <vt:lpstr>Q8.9</vt:lpstr>
      <vt:lpstr>Q8.10</vt:lpstr>
      <vt:lpstr>Q8.11</vt:lpstr>
      <vt:lpstr>Q8.12</vt:lpstr>
      <vt:lpstr>Q8.13</vt:lpstr>
      <vt:lpstr>Q8.14</vt:lpstr>
      <vt:lpstr>Q8.15</vt:lpstr>
      <vt:lpstr>Q 8.16</vt:lpstr>
      <vt:lpstr>9. Agregado Familiar</vt:lpstr>
      <vt:lpstr>Q9.1</vt:lpstr>
      <vt:lpstr>Q9.2</vt:lpstr>
      <vt:lpstr>Q9.3</vt:lpstr>
      <vt:lpstr>Q9.4</vt:lpstr>
      <vt:lpstr>Q 9.5</vt:lpstr>
      <vt:lpstr>Q9.6</vt:lpstr>
      <vt:lpstr>Q9.7</vt:lpstr>
      <vt:lpstr>Q9.8</vt:lpstr>
      <vt:lpstr>Q9.9</vt:lpstr>
      <vt:lpstr>Q9.10</vt:lpstr>
      <vt:lpstr>Q9.11</vt:lpstr>
      <vt:lpstr>Q9.12</vt:lpstr>
      <vt:lpstr>Q9.13</vt:lpstr>
      <vt:lpstr>Q9.14</vt:lpstr>
      <vt:lpstr>Q9.15</vt:lpstr>
      <vt:lpstr>Q9.16</vt:lpstr>
      <vt:lpstr>Q9.17</vt:lpstr>
      <vt:lpstr>Q9.18</vt:lpstr>
      <vt:lpstr>Q9.19</vt:lpstr>
      <vt:lpstr>Q9.20</vt:lpstr>
      <vt:lpstr>10. Habitação</vt:lpstr>
      <vt:lpstr>Q10.1</vt:lpstr>
      <vt:lpstr>Q10.2</vt:lpstr>
      <vt:lpstr>Q10.3</vt:lpstr>
      <vt:lpstr>Q10.4</vt:lpstr>
      <vt:lpstr>Q10.5</vt:lpstr>
      <vt:lpstr>Q10.6</vt:lpstr>
      <vt:lpstr>Q10.7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Domingos</dc:creator>
  <cp:lastModifiedBy>Valnirio Magalhaes</cp:lastModifiedBy>
  <dcterms:created xsi:type="dcterms:W3CDTF">2025-12-11T08:44:09Z</dcterms:created>
  <dcterms:modified xsi:type="dcterms:W3CDTF">2026-03-27T14:07:12Z</dcterms:modified>
</cp:coreProperties>
</file>