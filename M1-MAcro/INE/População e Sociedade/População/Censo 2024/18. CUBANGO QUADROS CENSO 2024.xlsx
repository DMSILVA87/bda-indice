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PERFINS_PROVINCIAIS\10 PORTAL INE\CUBANGO_FEITO\"/>
    </mc:Choice>
  </mc:AlternateContent>
  <xr:revisionPtr revIDLastSave="0" documentId="13_ncr:1_{C176CE80-AE27-4550-919A-47B9944AA34D}" xr6:coauthVersionLast="47" xr6:coauthVersionMax="47" xr10:uidLastSave="{00000000-0000-0000-0000-000000000000}"/>
  <bookViews>
    <workbookView xWindow="28995" yWindow="90" windowWidth="13575" windowHeight="15420" firstSheet="71" activeTab="72" xr2:uid="{00000000-000D-0000-FFFF-FFFF00000000}"/>
  </bookViews>
  <sheets>
    <sheet name="População" sheetId="8" r:id="rId1"/>
    <sheet name="Q1.1" sheetId="1" r:id="rId2"/>
    <sheet name="Q1.2" sheetId="2" r:id="rId3"/>
    <sheet name="Q1.3" sheetId="3" r:id="rId4"/>
    <sheet name="Q1.4" sheetId="4" r:id="rId5"/>
    <sheet name="Q1.5" sheetId="5" r:id="rId6"/>
    <sheet name="Q1.6" sheetId="6" r:id="rId7"/>
    <sheet name="Q1.7" sheetId="31" r:id="rId8"/>
    <sheet name="Estado Civil" sheetId="32" r:id="rId9"/>
    <sheet name="Q.2.1" sheetId="33" r:id="rId10"/>
    <sheet name="Registo Civil" sheetId="34" r:id="rId11"/>
    <sheet name="Q.3.1" sheetId="35" r:id="rId12"/>
    <sheet name="Q.3.2" sheetId="36" r:id="rId13"/>
    <sheet name="Q.3.3" sheetId="37" r:id="rId14"/>
    <sheet name="Q.3.4" sheetId="38" r:id="rId15"/>
    <sheet name="Deficiência e Albinismo" sheetId="39" r:id="rId16"/>
    <sheet name="Q4.1" sheetId="97" r:id="rId17"/>
    <sheet name="Q.4.2" sheetId="40" r:id="rId18"/>
    <sheet name="Q.4.3" sheetId="41" r:id="rId19"/>
    <sheet name="Orfandade" sheetId="42" r:id="rId20"/>
    <sheet name="Q.5.1" sheetId="43" r:id="rId21"/>
    <sheet name="Q.5.2" sheetId="44" r:id="rId22"/>
    <sheet name="Língua Materna" sheetId="45" r:id="rId23"/>
    <sheet name="Q.6.1" sheetId="46" r:id="rId24"/>
    <sheet name="Q.6.2" sheetId="47" r:id="rId25"/>
    <sheet name="Religião" sheetId="48" r:id="rId26"/>
    <sheet name="Q.7.1" sheetId="49" r:id="rId27"/>
    <sheet name="Educação" sheetId="51" r:id="rId28"/>
    <sheet name="Q.8.1" sheetId="52" r:id="rId29"/>
    <sheet name="Q.8.2" sheetId="53" r:id="rId30"/>
    <sheet name="Q.8.3" sheetId="54" r:id="rId31"/>
    <sheet name="Q.8.4" sheetId="55" r:id="rId32"/>
    <sheet name="Q.8.5" sheetId="56" r:id="rId33"/>
    <sheet name="Q.8.6" sheetId="57" r:id="rId34"/>
    <sheet name="Q.8.7" sheetId="58" r:id="rId35"/>
    <sheet name="Q.8.8" sheetId="59" r:id="rId36"/>
    <sheet name="Q.8.9" sheetId="60" r:id="rId37"/>
    <sheet name="Q.8.10" sheetId="61" r:id="rId38"/>
    <sheet name="Q.8.11" sheetId="62" r:id="rId39"/>
    <sheet name="Q.8.12" sheetId="63" r:id="rId40"/>
    <sheet name="Q.8.13" sheetId="64" r:id="rId41"/>
    <sheet name="Q.8.14" sheetId="65" r:id="rId42"/>
    <sheet name="Q.8.15" sheetId="66" r:id="rId43"/>
    <sheet name="Q.8.16" sheetId="96" r:id="rId44"/>
    <sheet name="Agregado Familiar" sheetId="67" r:id="rId45"/>
    <sheet name="Q.9.1" sheetId="68" r:id="rId46"/>
    <sheet name="Q.9.2" sheetId="69" r:id="rId47"/>
    <sheet name="Q.9.3" sheetId="70" r:id="rId48"/>
    <sheet name="Q.9.4" sheetId="71" r:id="rId49"/>
    <sheet name="Q.9.5" sheetId="72" r:id="rId50"/>
    <sheet name="Q.9.6" sheetId="73" r:id="rId51"/>
    <sheet name="Q.9.7" sheetId="74" r:id="rId52"/>
    <sheet name="Q.9.8" sheetId="75" r:id="rId53"/>
    <sheet name="Q.9.9" sheetId="76" r:id="rId54"/>
    <sheet name="Q.9.10" sheetId="77" r:id="rId55"/>
    <sheet name="Q.9.11" sheetId="78" r:id="rId56"/>
    <sheet name="Q.9.12" sheetId="79" r:id="rId57"/>
    <sheet name="Q.9.13" sheetId="80" r:id="rId58"/>
    <sheet name="Q.9.14" sheetId="81" r:id="rId59"/>
    <sheet name="Q.9.15" sheetId="82" r:id="rId60"/>
    <sheet name="Q.9.16" sheetId="83" r:id="rId61"/>
    <sheet name="Q.9.17" sheetId="84" r:id="rId62"/>
    <sheet name="Q.9.18" sheetId="85" r:id="rId63"/>
    <sheet name="Q.9.19" sheetId="86" r:id="rId64"/>
    <sheet name="Q.9.20" sheetId="87" r:id="rId65"/>
    <sheet name="Habitação" sheetId="88" r:id="rId66"/>
    <sheet name="Q.10.1" sheetId="89" r:id="rId67"/>
    <sheet name="Q.10.2" sheetId="90" r:id="rId68"/>
    <sheet name="Q.10.3" sheetId="92" r:id="rId69"/>
    <sheet name="Q.10.4" sheetId="91" r:id="rId70"/>
    <sheet name="Q.10.5" sheetId="93" r:id="rId71"/>
    <sheet name="Q.10.6" sheetId="94" r:id="rId72"/>
    <sheet name="Q.10.7" sheetId="95" r:id="rId7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" i="65" l="1"/>
  <c r="M38" i="96" l="1"/>
  <c r="M37" i="96"/>
  <c r="M36" i="96"/>
  <c r="M35" i="96"/>
  <c r="M34" i="96"/>
  <c r="M33" i="96"/>
  <c r="M32" i="96"/>
  <c r="M31" i="96"/>
  <c r="M30" i="96"/>
  <c r="M29" i="96"/>
  <c r="M28" i="96"/>
  <c r="M27" i="96"/>
  <c r="M26" i="96"/>
  <c r="M25" i="96"/>
  <c r="M24" i="96"/>
  <c r="M23" i="96"/>
  <c r="M22" i="96"/>
  <c r="M21" i="96"/>
  <c r="M20" i="96"/>
  <c r="M19" i="96"/>
  <c r="M18" i="96"/>
  <c r="M17" i="96"/>
  <c r="M16" i="96"/>
  <c r="M15" i="96"/>
  <c r="M14" i="96"/>
  <c r="M13" i="96"/>
  <c r="M12" i="96"/>
  <c r="M11" i="96"/>
  <c r="M9" i="96"/>
  <c r="M8" i="96"/>
  <c r="M5" i="96"/>
  <c r="L13" i="44"/>
  <c r="H13" i="44"/>
  <c r="D13" i="44"/>
  <c r="C13" i="44"/>
  <c r="O13" i="44" s="1"/>
  <c r="L12" i="44"/>
  <c r="H12" i="44"/>
  <c r="D12" i="44"/>
  <c r="C12" i="44"/>
  <c r="O12" i="44" s="1"/>
  <c r="O11" i="44"/>
  <c r="L11" i="44"/>
  <c r="H11" i="44"/>
  <c r="D11" i="44"/>
  <c r="C11" i="44"/>
  <c r="L10" i="44"/>
  <c r="H10" i="44"/>
  <c r="D10" i="44"/>
  <c r="C10" i="44"/>
  <c r="O10" i="44" s="1"/>
  <c r="L8" i="44"/>
  <c r="H8" i="44"/>
  <c r="D8" i="44"/>
  <c r="C8" i="44"/>
  <c r="O8" i="44" s="1"/>
  <c r="L7" i="44"/>
  <c r="H7" i="44"/>
  <c r="D7" i="44"/>
  <c r="C7" i="44"/>
  <c r="O7" i="44" s="1"/>
  <c r="O4" i="44"/>
  <c r="L4" i="44"/>
  <c r="H4" i="44"/>
  <c r="D4" i="44"/>
  <c r="C4" i="44"/>
  <c r="P35" i="46" l="1"/>
  <c r="O35" i="46"/>
  <c r="N35" i="46"/>
  <c r="M35" i="46"/>
  <c r="L35" i="46"/>
  <c r="K35" i="46"/>
  <c r="J35" i="46"/>
  <c r="I35" i="46"/>
  <c r="H35" i="46"/>
  <c r="G35" i="46"/>
  <c r="F35" i="46"/>
  <c r="E35" i="46"/>
  <c r="D35" i="46"/>
  <c r="C35" i="46"/>
  <c r="B35" i="46"/>
  <c r="P32" i="46"/>
  <c r="O32" i="46"/>
  <c r="N32" i="46"/>
  <c r="M32" i="46"/>
  <c r="L32" i="46"/>
  <c r="K32" i="46"/>
  <c r="J32" i="46"/>
  <c r="I32" i="46"/>
  <c r="H32" i="46"/>
  <c r="G32" i="46"/>
  <c r="F32" i="46"/>
  <c r="E32" i="46"/>
  <c r="D32" i="46"/>
  <c r="C32" i="46"/>
  <c r="B32" i="46"/>
  <c r="P27" i="46"/>
  <c r="O27" i="46"/>
  <c r="N27" i="46"/>
  <c r="M27" i="46"/>
  <c r="L27" i="46"/>
  <c r="K27" i="46"/>
  <c r="J27" i="46"/>
  <c r="I27" i="46"/>
  <c r="H27" i="46"/>
  <c r="G27" i="46"/>
  <c r="F27" i="46"/>
  <c r="E27" i="46"/>
  <c r="D27" i="46"/>
  <c r="C27" i="46"/>
  <c r="B27" i="46"/>
  <c r="P24" i="46"/>
  <c r="O24" i="46"/>
  <c r="N24" i="46"/>
  <c r="M24" i="46"/>
  <c r="L24" i="46"/>
  <c r="K24" i="46"/>
  <c r="J24" i="46"/>
  <c r="I24" i="46"/>
  <c r="H24" i="46"/>
  <c r="G24" i="46"/>
  <c r="F24" i="46"/>
  <c r="E24" i="46"/>
  <c r="D24" i="46"/>
  <c r="C24" i="46"/>
  <c r="B24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D21" i="46"/>
  <c r="C21" i="46"/>
  <c r="B21" i="46"/>
  <c r="P18" i="46"/>
  <c r="O18" i="46"/>
  <c r="N18" i="46"/>
  <c r="M18" i="46"/>
  <c r="L18" i="46"/>
  <c r="K18" i="46"/>
  <c r="J18" i="46"/>
  <c r="I18" i="46"/>
  <c r="H18" i="46"/>
  <c r="G18" i="46"/>
  <c r="F18" i="46"/>
  <c r="E18" i="46"/>
  <c r="D18" i="46"/>
  <c r="C18" i="46"/>
  <c r="B18" i="46"/>
  <c r="J35" i="94" l="1"/>
  <c r="I35" i="94"/>
  <c r="H35" i="94"/>
  <c r="G35" i="94"/>
  <c r="F35" i="94"/>
  <c r="E35" i="94"/>
  <c r="D35" i="94"/>
  <c r="C35" i="94"/>
  <c r="B35" i="94"/>
  <c r="J32" i="94"/>
  <c r="I32" i="94"/>
  <c r="H32" i="94"/>
  <c r="G32" i="94"/>
  <c r="F32" i="94"/>
  <c r="E32" i="94"/>
  <c r="D32" i="94"/>
  <c r="C32" i="94"/>
  <c r="B32" i="94"/>
  <c r="J30" i="94"/>
  <c r="I30" i="94"/>
  <c r="H30" i="94"/>
  <c r="G30" i="94"/>
  <c r="F30" i="94"/>
  <c r="E30" i="94"/>
  <c r="D30" i="94"/>
  <c r="C30" i="94"/>
  <c r="B30" i="94"/>
  <c r="J27" i="94"/>
  <c r="I27" i="94"/>
  <c r="H27" i="94"/>
  <c r="G27" i="94"/>
  <c r="F27" i="94"/>
  <c r="E27" i="94"/>
  <c r="D27" i="94"/>
  <c r="C27" i="94"/>
  <c r="B27" i="94"/>
  <c r="J24" i="94"/>
  <c r="I24" i="94"/>
  <c r="H24" i="94"/>
  <c r="G24" i="94"/>
  <c r="F24" i="94"/>
  <c r="E24" i="94"/>
  <c r="D24" i="94"/>
  <c r="C24" i="94"/>
  <c r="B24" i="94"/>
  <c r="J21" i="94"/>
  <c r="I21" i="94"/>
  <c r="H21" i="94"/>
  <c r="G21" i="94"/>
  <c r="F21" i="94"/>
  <c r="E21" i="94"/>
  <c r="D21" i="94"/>
  <c r="C21" i="94"/>
  <c r="B21" i="94"/>
  <c r="J18" i="94"/>
  <c r="I18" i="94"/>
  <c r="H18" i="94"/>
  <c r="G18" i="94"/>
  <c r="F18" i="94"/>
  <c r="E18" i="94"/>
  <c r="D18" i="94"/>
  <c r="C18" i="94"/>
  <c r="B18" i="94"/>
  <c r="J16" i="94"/>
  <c r="I16" i="94"/>
  <c r="H16" i="94"/>
  <c r="G16" i="94"/>
  <c r="F16" i="94"/>
  <c r="E16" i="94"/>
  <c r="D16" i="94"/>
  <c r="C16" i="94"/>
  <c r="B16" i="94"/>
  <c r="J14" i="94"/>
  <c r="I14" i="94"/>
  <c r="H14" i="94"/>
  <c r="G14" i="94"/>
  <c r="F14" i="94"/>
  <c r="E14" i="94"/>
  <c r="D14" i="94"/>
  <c r="C14" i="94"/>
  <c r="B14" i="94"/>
  <c r="J12" i="94"/>
  <c r="I12" i="94"/>
  <c r="H12" i="94"/>
  <c r="G12" i="94"/>
  <c r="F12" i="94"/>
  <c r="E12" i="94"/>
  <c r="D12" i="94"/>
  <c r="C12" i="94"/>
  <c r="B12" i="94"/>
  <c r="J10" i="94"/>
  <c r="I10" i="94"/>
  <c r="H10" i="94"/>
  <c r="G10" i="94"/>
  <c r="F10" i="94"/>
  <c r="E10" i="94"/>
  <c r="D10" i="94"/>
  <c r="C10" i="94"/>
  <c r="B10" i="94"/>
  <c r="H35" i="93"/>
  <c r="G35" i="93"/>
  <c r="F35" i="93"/>
  <c r="E35" i="93"/>
  <c r="D35" i="93"/>
  <c r="C35" i="93"/>
  <c r="B35" i="93"/>
  <c r="H32" i="93"/>
  <c r="G32" i="93"/>
  <c r="F32" i="93"/>
  <c r="E32" i="93"/>
  <c r="D32" i="93"/>
  <c r="C32" i="93"/>
  <c r="B32" i="93"/>
  <c r="H30" i="93"/>
  <c r="G30" i="93"/>
  <c r="F30" i="93"/>
  <c r="E30" i="93"/>
  <c r="D30" i="93"/>
  <c r="C30" i="93"/>
  <c r="B30" i="93"/>
  <c r="H27" i="93"/>
  <c r="G27" i="93"/>
  <c r="F27" i="93"/>
  <c r="E27" i="93"/>
  <c r="D27" i="93"/>
  <c r="C27" i="93"/>
  <c r="B27" i="93"/>
  <c r="H24" i="93"/>
  <c r="G24" i="93"/>
  <c r="F24" i="93"/>
  <c r="E24" i="93"/>
  <c r="D24" i="93"/>
  <c r="C24" i="93"/>
  <c r="B24" i="93"/>
  <c r="H21" i="93"/>
  <c r="G21" i="93"/>
  <c r="F21" i="93"/>
  <c r="E21" i="93"/>
  <c r="D21" i="93"/>
  <c r="C21" i="93"/>
  <c r="B21" i="93"/>
  <c r="H18" i="93"/>
  <c r="G18" i="93"/>
  <c r="F18" i="93"/>
  <c r="E18" i="93"/>
  <c r="D18" i="93"/>
  <c r="C18" i="93"/>
  <c r="B18" i="93"/>
  <c r="H16" i="93"/>
  <c r="G16" i="93"/>
  <c r="F16" i="93"/>
  <c r="E16" i="93"/>
  <c r="D16" i="93"/>
  <c r="C16" i="93"/>
  <c r="B16" i="93"/>
  <c r="H14" i="93"/>
  <c r="G14" i="93"/>
  <c r="F14" i="93"/>
  <c r="E14" i="93"/>
  <c r="D14" i="93"/>
  <c r="C14" i="93"/>
  <c r="B14" i="93"/>
  <c r="H12" i="93"/>
  <c r="G12" i="93"/>
  <c r="F12" i="93"/>
  <c r="E12" i="93"/>
  <c r="D12" i="93"/>
  <c r="C12" i="93"/>
  <c r="B12" i="93"/>
  <c r="H10" i="93"/>
  <c r="G10" i="93"/>
  <c r="F10" i="93"/>
  <c r="E10" i="93"/>
  <c r="D10" i="93"/>
  <c r="C10" i="93"/>
  <c r="B10" i="93"/>
  <c r="J35" i="91"/>
  <c r="I35" i="91"/>
  <c r="H35" i="91"/>
  <c r="G35" i="91"/>
  <c r="F35" i="91"/>
  <c r="E35" i="91"/>
  <c r="D35" i="91"/>
  <c r="C35" i="91"/>
  <c r="B35" i="91"/>
  <c r="J32" i="91"/>
  <c r="I32" i="91"/>
  <c r="H32" i="91"/>
  <c r="G32" i="91"/>
  <c r="F32" i="91"/>
  <c r="E32" i="91"/>
  <c r="D32" i="91"/>
  <c r="C32" i="91"/>
  <c r="B32" i="91"/>
  <c r="J30" i="91"/>
  <c r="I30" i="91"/>
  <c r="H30" i="91"/>
  <c r="G30" i="91"/>
  <c r="F30" i="91"/>
  <c r="E30" i="91"/>
  <c r="D30" i="91"/>
  <c r="C30" i="91"/>
  <c r="B30" i="91"/>
  <c r="J27" i="91"/>
  <c r="I27" i="91"/>
  <c r="H27" i="91"/>
  <c r="G27" i="91"/>
  <c r="F27" i="91"/>
  <c r="E27" i="91"/>
  <c r="D27" i="91"/>
  <c r="C27" i="91"/>
  <c r="B27" i="91"/>
  <c r="J24" i="91"/>
  <c r="I24" i="91"/>
  <c r="H24" i="91"/>
  <c r="G24" i="91"/>
  <c r="F24" i="91"/>
  <c r="E24" i="91"/>
  <c r="D24" i="91"/>
  <c r="C24" i="91"/>
  <c r="B24" i="91"/>
  <c r="J21" i="91"/>
  <c r="I21" i="91"/>
  <c r="H21" i="91"/>
  <c r="G21" i="91"/>
  <c r="F21" i="91"/>
  <c r="E21" i="91"/>
  <c r="D21" i="91"/>
  <c r="C21" i="91"/>
  <c r="B21" i="91"/>
  <c r="J18" i="91"/>
  <c r="I18" i="91"/>
  <c r="H18" i="91"/>
  <c r="G18" i="91"/>
  <c r="F18" i="91"/>
  <c r="E18" i="91"/>
  <c r="D18" i="91"/>
  <c r="C18" i="91"/>
  <c r="B18" i="91"/>
  <c r="J16" i="91"/>
  <c r="I16" i="91"/>
  <c r="H16" i="91"/>
  <c r="G16" i="91"/>
  <c r="F16" i="91"/>
  <c r="E16" i="91"/>
  <c r="D16" i="91"/>
  <c r="C16" i="91"/>
  <c r="B16" i="91"/>
  <c r="J14" i="91"/>
  <c r="I14" i="91"/>
  <c r="H14" i="91"/>
  <c r="G14" i="91"/>
  <c r="F14" i="91"/>
  <c r="E14" i="91"/>
  <c r="D14" i="91"/>
  <c r="C14" i="91"/>
  <c r="B14" i="91"/>
  <c r="J12" i="91"/>
  <c r="I12" i="91"/>
  <c r="H12" i="91"/>
  <c r="G12" i="91"/>
  <c r="F12" i="91"/>
  <c r="E12" i="91"/>
  <c r="D12" i="91"/>
  <c r="C12" i="91"/>
  <c r="B12" i="91"/>
  <c r="J10" i="91"/>
  <c r="I10" i="91"/>
  <c r="H10" i="91"/>
  <c r="G10" i="91"/>
  <c r="F10" i="91"/>
  <c r="E10" i="91"/>
  <c r="D10" i="91"/>
  <c r="C10" i="91"/>
  <c r="B10" i="91"/>
  <c r="E35" i="92"/>
  <c r="D35" i="92"/>
  <c r="C35" i="92"/>
  <c r="B35" i="92"/>
  <c r="E32" i="92"/>
  <c r="D32" i="92"/>
  <c r="C32" i="92"/>
  <c r="B32" i="92"/>
  <c r="E30" i="92"/>
  <c r="D30" i="92"/>
  <c r="C30" i="92"/>
  <c r="B30" i="92"/>
  <c r="E27" i="92"/>
  <c r="D27" i="92"/>
  <c r="C27" i="92"/>
  <c r="B27" i="92"/>
  <c r="E24" i="92"/>
  <c r="D24" i="92"/>
  <c r="C24" i="92"/>
  <c r="B24" i="92"/>
  <c r="E21" i="92"/>
  <c r="D21" i="92"/>
  <c r="C21" i="92"/>
  <c r="B21" i="92"/>
  <c r="E18" i="92"/>
  <c r="D18" i="92"/>
  <c r="C18" i="92"/>
  <c r="B18" i="92"/>
  <c r="E16" i="92"/>
  <c r="D16" i="92"/>
  <c r="C16" i="92"/>
  <c r="B16" i="92"/>
  <c r="E14" i="92"/>
  <c r="D14" i="92"/>
  <c r="C14" i="92"/>
  <c r="B14" i="92"/>
  <c r="E12" i="92"/>
  <c r="D12" i="92"/>
  <c r="C12" i="92"/>
  <c r="B12" i="92"/>
  <c r="E10" i="92"/>
  <c r="D10" i="92"/>
  <c r="C10" i="92"/>
  <c r="B10" i="92"/>
  <c r="H35" i="90"/>
  <c r="G35" i="90"/>
  <c r="F35" i="90"/>
  <c r="E35" i="90"/>
  <c r="D35" i="90"/>
  <c r="C35" i="90"/>
  <c r="B35" i="90"/>
  <c r="H32" i="90"/>
  <c r="G32" i="90"/>
  <c r="F32" i="90"/>
  <c r="E32" i="90"/>
  <c r="D32" i="90"/>
  <c r="C32" i="90"/>
  <c r="B32" i="90"/>
  <c r="H30" i="90"/>
  <c r="G30" i="90"/>
  <c r="F30" i="90"/>
  <c r="E30" i="90"/>
  <c r="D30" i="90"/>
  <c r="C30" i="90"/>
  <c r="B30" i="90"/>
  <c r="H27" i="90"/>
  <c r="G27" i="90"/>
  <c r="F27" i="90"/>
  <c r="E27" i="90"/>
  <c r="D27" i="90"/>
  <c r="C27" i="90"/>
  <c r="B27" i="90"/>
  <c r="H24" i="90"/>
  <c r="G24" i="90"/>
  <c r="F24" i="90"/>
  <c r="E24" i="90"/>
  <c r="D24" i="90"/>
  <c r="C24" i="90"/>
  <c r="B24" i="90"/>
  <c r="H21" i="90"/>
  <c r="G21" i="90"/>
  <c r="F21" i="90"/>
  <c r="E21" i="90"/>
  <c r="D21" i="90"/>
  <c r="C21" i="90"/>
  <c r="B21" i="90"/>
  <c r="H18" i="90"/>
  <c r="G18" i="90"/>
  <c r="F18" i="90"/>
  <c r="E18" i="90"/>
  <c r="D18" i="90"/>
  <c r="C18" i="90"/>
  <c r="B18" i="90"/>
  <c r="H16" i="90"/>
  <c r="G16" i="90"/>
  <c r="F16" i="90"/>
  <c r="E16" i="90"/>
  <c r="D16" i="90"/>
  <c r="C16" i="90"/>
  <c r="B16" i="90"/>
  <c r="H14" i="90"/>
  <c r="G14" i="90"/>
  <c r="F14" i="90"/>
  <c r="E14" i="90"/>
  <c r="D14" i="90"/>
  <c r="C14" i="90"/>
  <c r="B14" i="90"/>
  <c r="H12" i="90"/>
  <c r="G12" i="90"/>
  <c r="F12" i="90"/>
  <c r="E12" i="90"/>
  <c r="D12" i="90"/>
  <c r="C12" i="90"/>
  <c r="B12" i="90"/>
  <c r="H10" i="90"/>
  <c r="G10" i="90"/>
  <c r="F10" i="90"/>
  <c r="E10" i="90"/>
  <c r="D10" i="90"/>
  <c r="C10" i="90"/>
  <c r="B10" i="90"/>
  <c r="F35" i="89"/>
  <c r="E35" i="89"/>
  <c r="D35" i="89"/>
  <c r="C35" i="89"/>
  <c r="B35" i="89"/>
  <c r="F32" i="89"/>
  <c r="E32" i="89"/>
  <c r="D32" i="89"/>
  <c r="C32" i="89"/>
  <c r="B32" i="89"/>
  <c r="F30" i="89"/>
  <c r="E30" i="89"/>
  <c r="D30" i="89"/>
  <c r="C30" i="89"/>
  <c r="B30" i="89"/>
  <c r="F27" i="89"/>
  <c r="E27" i="89"/>
  <c r="D27" i="89"/>
  <c r="C27" i="89"/>
  <c r="B27" i="89"/>
  <c r="F24" i="89"/>
  <c r="E24" i="89"/>
  <c r="D24" i="89"/>
  <c r="C24" i="89"/>
  <c r="B24" i="89"/>
  <c r="F21" i="89"/>
  <c r="E21" i="89"/>
  <c r="D21" i="89"/>
  <c r="C21" i="89"/>
  <c r="B21" i="89"/>
  <c r="F18" i="89"/>
  <c r="E18" i="89"/>
  <c r="D18" i="89"/>
  <c r="C18" i="89"/>
  <c r="B18" i="89"/>
  <c r="F16" i="89"/>
  <c r="E16" i="89"/>
  <c r="D16" i="89"/>
  <c r="C16" i="89"/>
  <c r="B16" i="89"/>
  <c r="F14" i="89"/>
  <c r="E14" i="89"/>
  <c r="D14" i="89"/>
  <c r="C14" i="89"/>
  <c r="B14" i="89"/>
  <c r="F12" i="89"/>
  <c r="E12" i="89"/>
  <c r="D12" i="89"/>
  <c r="C12" i="89"/>
  <c r="B12" i="89"/>
  <c r="F10" i="89"/>
  <c r="E10" i="89"/>
  <c r="D10" i="89"/>
  <c r="C10" i="89"/>
  <c r="B10" i="89"/>
  <c r="F37" i="73" l="1"/>
  <c r="F36" i="73"/>
  <c r="F35" i="73"/>
  <c r="F34" i="73"/>
  <c r="F33" i="73"/>
  <c r="F32" i="73"/>
  <c r="F31" i="73"/>
  <c r="F30" i="73"/>
  <c r="F29" i="73"/>
  <c r="F28" i="73"/>
  <c r="F27" i="73"/>
  <c r="F26" i="73"/>
  <c r="F25" i="73"/>
  <c r="F24" i="73"/>
  <c r="F23" i="73"/>
  <c r="F22" i="73"/>
  <c r="F21" i="73"/>
  <c r="F20" i="73"/>
  <c r="F19" i="73"/>
  <c r="F18" i="73"/>
  <c r="F17" i="73"/>
  <c r="F16" i="73"/>
  <c r="F15" i="73"/>
  <c r="F14" i="73"/>
  <c r="F13" i="73"/>
  <c r="F12" i="73"/>
  <c r="F11" i="73"/>
  <c r="F10" i="73"/>
  <c r="F8" i="73"/>
  <c r="F7" i="73"/>
  <c r="F4" i="73"/>
  <c r="M37" i="66" l="1"/>
  <c r="M36" i="66"/>
  <c r="M35" i="66"/>
  <c r="M34" i="66"/>
  <c r="M33" i="66"/>
  <c r="M32" i="66"/>
  <c r="M31" i="66"/>
  <c r="M30" i="66"/>
  <c r="M29" i="66"/>
  <c r="M28" i="66"/>
  <c r="M27" i="66"/>
  <c r="M26" i="66"/>
  <c r="M25" i="66"/>
  <c r="M24" i="66"/>
  <c r="M23" i="66"/>
  <c r="M22" i="66"/>
  <c r="M21" i="66"/>
  <c r="M20" i="66"/>
  <c r="M19" i="66"/>
  <c r="M18" i="66"/>
  <c r="M17" i="66"/>
  <c r="M16" i="66"/>
  <c r="M15" i="66"/>
  <c r="M14" i="66"/>
  <c r="M13" i="66"/>
  <c r="M12" i="66"/>
  <c r="M11" i="66"/>
  <c r="M10" i="66"/>
  <c r="M8" i="66"/>
  <c r="M7" i="66"/>
  <c r="M4" i="66"/>
  <c r="M38" i="54"/>
  <c r="M37" i="54"/>
  <c r="M36" i="54"/>
  <c r="M35" i="54"/>
  <c r="M34" i="54"/>
  <c r="M33" i="54"/>
  <c r="M32" i="54"/>
  <c r="M31" i="54"/>
  <c r="M30" i="54"/>
  <c r="M29" i="54"/>
  <c r="M28" i="54"/>
  <c r="M27" i="54"/>
  <c r="M26" i="54"/>
  <c r="M25" i="54"/>
  <c r="M24" i="54"/>
  <c r="M23" i="54"/>
  <c r="M22" i="54"/>
  <c r="M21" i="54"/>
  <c r="M20" i="54"/>
  <c r="M19" i="54"/>
  <c r="M18" i="54"/>
  <c r="M17" i="54"/>
  <c r="M16" i="54"/>
  <c r="M15" i="54"/>
  <c r="M14" i="54"/>
  <c r="M13" i="54"/>
  <c r="M12" i="54"/>
  <c r="M11" i="54"/>
  <c r="M9" i="54"/>
  <c r="M8" i="54"/>
  <c r="M5" i="54"/>
  <c r="M59" i="53"/>
  <c r="M58" i="53"/>
  <c r="M57" i="53"/>
  <c r="M56" i="53"/>
  <c r="M55" i="53"/>
  <c r="M54" i="53"/>
  <c r="M53" i="53"/>
  <c r="M52" i="53"/>
  <c r="M51" i="53"/>
  <c r="M50" i="53"/>
  <c r="M49" i="53"/>
  <c r="M48" i="53"/>
  <c r="M47" i="53"/>
  <c r="M46" i="53"/>
  <c r="M45" i="53"/>
  <c r="M44" i="53"/>
  <c r="M43" i="53"/>
  <c r="M42" i="53"/>
  <c r="M41" i="53"/>
  <c r="M40" i="53"/>
  <c r="M39" i="53"/>
  <c r="M38" i="53"/>
  <c r="M37" i="53"/>
  <c r="M36" i="53"/>
  <c r="M35" i="53"/>
  <c r="M34" i="53"/>
  <c r="M33" i="53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5" i="53"/>
  <c r="M14" i="53"/>
  <c r="M13" i="53"/>
  <c r="M12" i="53"/>
  <c r="M11" i="53"/>
  <c r="M10" i="53"/>
  <c r="M9" i="53"/>
  <c r="M8" i="53"/>
  <c r="M7" i="53"/>
  <c r="M4" i="53"/>
  <c r="M38" i="52"/>
  <c r="M37" i="52"/>
  <c r="M36" i="52"/>
  <c r="M35" i="52"/>
  <c r="M34" i="52"/>
  <c r="M33" i="52"/>
  <c r="M32" i="52"/>
  <c r="M31" i="52"/>
  <c r="M30" i="52"/>
  <c r="M29" i="52"/>
  <c r="M28" i="52"/>
  <c r="M27" i="52"/>
  <c r="M26" i="52"/>
  <c r="M25" i="52"/>
  <c r="M24" i="52"/>
  <c r="M23" i="52"/>
  <c r="M22" i="52"/>
  <c r="M21" i="52"/>
  <c r="M20" i="52"/>
  <c r="M19" i="52"/>
  <c r="M18" i="52"/>
  <c r="M17" i="52"/>
  <c r="M16" i="52"/>
  <c r="M15" i="52"/>
  <c r="M14" i="52"/>
  <c r="M13" i="52"/>
  <c r="M12" i="52"/>
  <c r="M11" i="52"/>
  <c r="M9" i="52"/>
  <c r="M8" i="52"/>
  <c r="M5" i="52"/>
  <c r="Q35" i="47" l="1"/>
  <c r="P35" i="47"/>
  <c r="O35" i="47"/>
  <c r="N35" i="47"/>
  <c r="M35" i="47"/>
  <c r="L35" i="47"/>
  <c r="K35" i="47"/>
  <c r="J35" i="47"/>
  <c r="I35" i="47"/>
  <c r="H35" i="47"/>
  <c r="G35" i="47"/>
  <c r="F35" i="47"/>
  <c r="E35" i="47"/>
  <c r="D35" i="47"/>
  <c r="C35" i="47"/>
  <c r="B35" i="47"/>
  <c r="Q32" i="47"/>
  <c r="P32" i="47"/>
  <c r="O32" i="47"/>
  <c r="N32" i="47"/>
  <c r="M32" i="47"/>
  <c r="L32" i="47"/>
  <c r="K32" i="47"/>
  <c r="J32" i="47"/>
  <c r="I32" i="47"/>
  <c r="H32" i="47"/>
  <c r="G32" i="47"/>
  <c r="F32" i="47"/>
  <c r="E32" i="47"/>
  <c r="D32" i="47"/>
  <c r="C32" i="47"/>
  <c r="B32" i="47"/>
  <c r="Q27" i="47"/>
  <c r="P27" i="47"/>
  <c r="O27" i="47"/>
  <c r="N27" i="47"/>
  <c r="M27" i="47"/>
  <c r="L27" i="47"/>
  <c r="K27" i="47"/>
  <c r="J27" i="47"/>
  <c r="I27" i="47"/>
  <c r="H27" i="47"/>
  <c r="G27" i="47"/>
  <c r="F27" i="47"/>
  <c r="E27" i="47"/>
  <c r="D27" i="47"/>
  <c r="C27" i="47"/>
  <c r="B27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E24" i="47"/>
  <c r="D24" i="47"/>
  <c r="C24" i="47"/>
  <c r="B24" i="47"/>
  <c r="Q21" i="47"/>
  <c r="P21" i="47"/>
  <c r="O21" i="47"/>
  <c r="N21" i="47"/>
  <c r="M21" i="47"/>
  <c r="L21" i="47"/>
  <c r="K21" i="47"/>
  <c r="J21" i="47"/>
  <c r="I21" i="47"/>
  <c r="H21" i="47"/>
  <c r="G21" i="47"/>
  <c r="F21" i="47"/>
  <c r="E21" i="47"/>
  <c r="D21" i="47"/>
  <c r="C21" i="47"/>
  <c r="B21" i="47"/>
  <c r="Q18" i="47"/>
  <c r="P18" i="47"/>
  <c r="O18" i="47"/>
  <c r="N18" i="47"/>
  <c r="M18" i="47"/>
  <c r="L18" i="47"/>
  <c r="K18" i="47"/>
  <c r="J18" i="47"/>
  <c r="I18" i="47"/>
  <c r="H18" i="47"/>
  <c r="G18" i="47"/>
  <c r="F18" i="47"/>
  <c r="E18" i="47"/>
  <c r="D18" i="47"/>
  <c r="C18" i="47"/>
  <c r="B18" i="47"/>
  <c r="L37" i="43"/>
  <c r="H37" i="43"/>
  <c r="D37" i="43"/>
  <c r="L36" i="43"/>
  <c r="H36" i="43"/>
  <c r="D36" i="43"/>
  <c r="C36" i="43"/>
  <c r="N35" i="43"/>
  <c r="M35" i="43"/>
  <c r="L35" i="43" s="1"/>
  <c r="J35" i="43"/>
  <c r="I35" i="43"/>
  <c r="H35" i="43"/>
  <c r="F35" i="43"/>
  <c r="E35" i="43"/>
  <c r="D35" i="43"/>
  <c r="B35" i="43"/>
  <c r="L34" i="43"/>
  <c r="H34" i="43"/>
  <c r="D34" i="43"/>
  <c r="L33" i="43"/>
  <c r="H33" i="43"/>
  <c r="D33" i="43"/>
  <c r="N32" i="43"/>
  <c r="M32" i="43"/>
  <c r="L32" i="43"/>
  <c r="J32" i="43"/>
  <c r="I32" i="43"/>
  <c r="H32" i="43" s="1"/>
  <c r="C32" i="43" s="1"/>
  <c r="F32" i="43"/>
  <c r="E32" i="43"/>
  <c r="D32" i="43"/>
  <c r="B32" i="43"/>
  <c r="L31" i="43"/>
  <c r="H31" i="43"/>
  <c r="D31" i="43"/>
  <c r="C31" i="43" s="1"/>
  <c r="L30" i="43"/>
  <c r="H30" i="43"/>
  <c r="D30" i="43"/>
  <c r="L29" i="43"/>
  <c r="H29" i="43"/>
  <c r="D29" i="43"/>
  <c r="C29" i="43"/>
  <c r="L28" i="43"/>
  <c r="H28" i="43"/>
  <c r="D28" i="43"/>
  <c r="C28" i="43"/>
  <c r="N27" i="43"/>
  <c r="M27" i="43"/>
  <c r="L27" i="43"/>
  <c r="J27" i="43"/>
  <c r="I27" i="43"/>
  <c r="H27" i="43"/>
  <c r="F27" i="43"/>
  <c r="E27" i="43"/>
  <c r="B27" i="43"/>
  <c r="L26" i="43"/>
  <c r="C26" i="43" s="1"/>
  <c r="H26" i="43"/>
  <c r="D26" i="43"/>
  <c r="L25" i="43"/>
  <c r="H25" i="43"/>
  <c r="D25" i="43"/>
  <c r="C25" i="43"/>
  <c r="N24" i="43"/>
  <c r="M24" i="43"/>
  <c r="L24" i="43"/>
  <c r="J24" i="43"/>
  <c r="I24" i="43"/>
  <c r="H24" i="43"/>
  <c r="F24" i="43"/>
  <c r="E24" i="43"/>
  <c r="D24" i="43" s="1"/>
  <c r="B24" i="43"/>
  <c r="L23" i="43"/>
  <c r="H23" i="43"/>
  <c r="D23" i="43"/>
  <c r="C23" i="43"/>
  <c r="L22" i="43"/>
  <c r="H22" i="43"/>
  <c r="D22" i="43"/>
  <c r="N21" i="43"/>
  <c r="M21" i="43"/>
  <c r="L21" i="43"/>
  <c r="J21" i="43"/>
  <c r="I21" i="43"/>
  <c r="H21" i="43"/>
  <c r="F21" i="43"/>
  <c r="D21" i="43" s="1"/>
  <c r="C21" i="43" s="1"/>
  <c r="E21" i="43"/>
  <c r="B21" i="43"/>
  <c r="L20" i="43"/>
  <c r="H20" i="43"/>
  <c r="D20" i="43"/>
  <c r="L19" i="43"/>
  <c r="H19" i="43"/>
  <c r="D19" i="43"/>
  <c r="C19" i="43" s="1"/>
  <c r="N18" i="43"/>
  <c r="L18" i="43" s="1"/>
  <c r="C18" i="43" s="1"/>
  <c r="M18" i="43"/>
  <c r="J18" i="43"/>
  <c r="I18" i="43"/>
  <c r="H18" i="43"/>
  <c r="F18" i="43"/>
  <c r="E18" i="43"/>
  <c r="D18" i="43"/>
  <c r="B18" i="43"/>
  <c r="L17" i="43"/>
  <c r="H17" i="43"/>
  <c r="D17" i="43"/>
  <c r="C17" i="43" s="1"/>
  <c r="L16" i="43"/>
  <c r="H16" i="43"/>
  <c r="D16" i="43"/>
  <c r="C16" i="43"/>
  <c r="L15" i="43"/>
  <c r="H15" i="43"/>
  <c r="D15" i="43"/>
  <c r="C15" i="43" s="1"/>
  <c r="L14" i="43"/>
  <c r="H14" i="43"/>
  <c r="D14" i="43"/>
  <c r="C14" i="43"/>
  <c r="L13" i="43"/>
  <c r="H13" i="43"/>
  <c r="D13" i="43"/>
  <c r="C13" i="43" s="1"/>
  <c r="L12" i="43"/>
  <c r="H12" i="43"/>
  <c r="D12" i="43"/>
  <c r="L11" i="43"/>
  <c r="H11" i="43"/>
  <c r="D11" i="43"/>
  <c r="C11" i="43"/>
  <c r="L10" i="43"/>
  <c r="H10" i="43"/>
  <c r="D10" i="43"/>
  <c r="C10" i="43"/>
  <c r="L8" i="43"/>
  <c r="C8" i="43" s="1"/>
  <c r="H8" i="43"/>
  <c r="D8" i="43"/>
  <c r="L7" i="43"/>
  <c r="H7" i="43"/>
  <c r="D7" i="43"/>
  <c r="C7" i="43" s="1"/>
  <c r="L4" i="43"/>
  <c r="H4" i="43"/>
  <c r="D4" i="43"/>
  <c r="C4" i="43" s="1"/>
  <c r="C8" i="41"/>
  <c r="C7" i="41"/>
  <c r="C4" i="41"/>
  <c r="C33" i="43" l="1"/>
  <c r="C37" i="43"/>
  <c r="C22" i="43"/>
  <c r="C30" i="43"/>
  <c r="C34" i="43"/>
  <c r="C20" i="43"/>
  <c r="D27" i="43"/>
  <c r="C27" i="43" s="1"/>
  <c r="C24" i="43"/>
  <c r="C35" i="43"/>
  <c r="C12" i="43"/>
  <c r="E35" i="38"/>
  <c r="D35" i="38"/>
  <c r="C35" i="38"/>
  <c r="B35" i="38"/>
  <c r="E32" i="38"/>
  <c r="D32" i="38"/>
  <c r="C32" i="38"/>
  <c r="B32" i="38"/>
  <c r="E27" i="38"/>
  <c r="D27" i="38"/>
  <c r="C27" i="38"/>
  <c r="B27" i="38"/>
  <c r="E24" i="38"/>
  <c r="D24" i="38"/>
  <c r="C24" i="38"/>
  <c r="B24" i="38"/>
  <c r="E21" i="38"/>
  <c r="D21" i="38"/>
  <c r="C21" i="38"/>
  <c r="B21" i="38"/>
  <c r="E18" i="38"/>
  <c r="D18" i="38"/>
  <c r="C18" i="38"/>
  <c r="B18" i="38"/>
  <c r="E35" i="35"/>
  <c r="D35" i="35"/>
  <c r="C35" i="35"/>
  <c r="B35" i="35"/>
  <c r="E32" i="35"/>
  <c r="D32" i="35"/>
  <c r="C32" i="35"/>
  <c r="B32" i="35"/>
  <c r="E27" i="35"/>
  <c r="D27" i="35"/>
  <c r="C27" i="35"/>
  <c r="B27" i="35"/>
  <c r="E24" i="35"/>
  <c r="D24" i="35"/>
  <c r="C24" i="35"/>
  <c r="B24" i="35"/>
  <c r="E21" i="35"/>
  <c r="D21" i="35"/>
  <c r="C21" i="35"/>
  <c r="B21" i="35"/>
  <c r="E18" i="35"/>
  <c r="D18" i="35"/>
  <c r="C18" i="35"/>
  <c r="B18" i="35"/>
  <c r="H35" i="33"/>
  <c r="G35" i="33"/>
  <c r="F35" i="33"/>
  <c r="E35" i="33"/>
  <c r="D35" i="33"/>
  <c r="C35" i="33"/>
  <c r="B35" i="33"/>
  <c r="H32" i="33"/>
  <c r="G32" i="33"/>
  <c r="F32" i="33"/>
  <c r="E32" i="33"/>
  <c r="D32" i="33"/>
  <c r="C32" i="33"/>
  <c r="B32" i="33"/>
  <c r="H27" i="33"/>
  <c r="G27" i="33"/>
  <c r="F27" i="33"/>
  <c r="E27" i="33"/>
  <c r="D27" i="33"/>
  <c r="C27" i="33"/>
  <c r="B27" i="33"/>
  <c r="H24" i="33"/>
  <c r="G24" i="33"/>
  <c r="F24" i="33"/>
  <c r="E24" i="33"/>
  <c r="D24" i="33"/>
  <c r="C24" i="33"/>
  <c r="B24" i="33"/>
  <c r="H21" i="33"/>
  <c r="G21" i="33"/>
  <c r="F21" i="33"/>
  <c r="E21" i="33"/>
  <c r="D21" i="33"/>
  <c r="C21" i="33"/>
  <c r="B21" i="33"/>
  <c r="H18" i="33"/>
  <c r="G18" i="33"/>
  <c r="F18" i="33"/>
  <c r="E18" i="33"/>
  <c r="D18" i="33"/>
  <c r="C18" i="33"/>
  <c r="B18" i="33"/>
  <c r="F16" i="3" l="1"/>
  <c r="F17" i="3"/>
  <c r="F18" i="3"/>
  <c r="F19" i="3"/>
  <c r="F20" i="3"/>
  <c r="F21" i="3"/>
  <c r="F22" i="3"/>
  <c r="F23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6" i="3"/>
  <c r="E25" i="3"/>
  <c r="F25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E17" i="3"/>
  <c r="E18" i="3"/>
  <c r="E19" i="3"/>
  <c r="E20" i="3"/>
  <c r="E21" i="3"/>
  <c r="E22" i="3"/>
  <c r="E23" i="3"/>
  <c r="E24" i="3"/>
  <c r="F24" i="3" s="1"/>
  <c r="E6" i="3"/>
  <c r="F6" i="3" s="1"/>
  <c r="K25" i="6" l="1"/>
  <c r="L25" i="6"/>
  <c r="J27" i="6"/>
  <c r="J26" i="6"/>
  <c r="J25" i="6" s="1"/>
  <c r="G25" i="6"/>
  <c r="H25" i="6"/>
  <c r="F27" i="6"/>
  <c r="F26" i="6"/>
  <c r="C25" i="6"/>
  <c r="D25" i="6"/>
  <c r="B27" i="6"/>
  <c r="B26" i="6"/>
  <c r="K19" i="6"/>
  <c r="L19" i="6"/>
  <c r="G19" i="6"/>
  <c r="H19" i="6"/>
  <c r="C19" i="6"/>
  <c r="D19" i="6"/>
  <c r="J21" i="6"/>
  <c r="J20" i="6"/>
  <c r="J19" i="6" s="1"/>
  <c r="F21" i="6"/>
  <c r="F20" i="6"/>
  <c r="F19" i="6" s="1"/>
  <c r="B21" i="6"/>
  <c r="B20" i="6"/>
  <c r="B19" i="6" s="1"/>
  <c r="J17" i="6"/>
  <c r="F17" i="6"/>
  <c r="B17" i="6"/>
  <c r="J15" i="6"/>
  <c r="F15" i="6"/>
  <c r="B15" i="6"/>
  <c r="J14" i="6"/>
  <c r="J13" i="6"/>
  <c r="F14" i="6"/>
  <c r="F13" i="6"/>
  <c r="B14" i="6"/>
  <c r="B13" i="6"/>
  <c r="J12" i="6"/>
  <c r="J11" i="6"/>
  <c r="F12" i="6"/>
  <c r="F11" i="6"/>
  <c r="B12" i="6"/>
  <c r="B11" i="6"/>
  <c r="J9" i="6"/>
  <c r="J8" i="6"/>
  <c r="F9" i="6"/>
  <c r="F8" i="6"/>
  <c r="B9" i="6"/>
  <c r="B8" i="6"/>
  <c r="J5" i="6"/>
  <c r="F5" i="6"/>
  <c r="B5" i="6"/>
  <c r="C34" i="5"/>
  <c r="D34" i="5"/>
  <c r="E34" i="5"/>
  <c r="F34" i="5"/>
  <c r="G34" i="5"/>
  <c r="H34" i="5"/>
  <c r="B34" i="5"/>
  <c r="C31" i="5"/>
  <c r="D31" i="5"/>
  <c r="E31" i="5"/>
  <c r="F31" i="5"/>
  <c r="G31" i="5"/>
  <c r="H31" i="5"/>
  <c r="B31" i="5"/>
  <c r="C26" i="5"/>
  <c r="D26" i="5"/>
  <c r="E26" i="5"/>
  <c r="F26" i="5"/>
  <c r="G26" i="5"/>
  <c r="H26" i="5"/>
  <c r="B26" i="5"/>
  <c r="C23" i="5"/>
  <c r="D23" i="5"/>
  <c r="E23" i="5"/>
  <c r="F23" i="5"/>
  <c r="G23" i="5"/>
  <c r="H23" i="5"/>
  <c r="B23" i="5"/>
  <c r="C20" i="5"/>
  <c r="D20" i="5"/>
  <c r="E20" i="5"/>
  <c r="F20" i="5"/>
  <c r="G20" i="5"/>
  <c r="H20" i="5"/>
  <c r="B20" i="5"/>
  <c r="C17" i="5"/>
  <c r="D17" i="5"/>
  <c r="E17" i="5"/>
  <c r="F17" i="5"/>
  <c r="G17" i="5"/>
  <c r="H17" i="5"/>
  <c r="B17" i="5"/>
  <c r="C35" i="4"/>
  <c r="D35" i="4"/>
  <c r="E35" i="4"/>
  <c r="B35" i="4"/>
  <c r="C32" i="4"/>
  <c r="D32" i="4"/>
  <c r="E32" i="4"/>
  <c r="B32" i="4"/>
  <c r="C27" i="4"/>
  <c r="D27" i="4"/>
  <c r="E27" i="4"/>
  <c r="B27" i="4"/>
  <c r="C24" i="4"/>
  <c r="D24" i="4"/>
  <c r="E24" i="4"/>
  <c r="B24" i="4"/>
  <c r="C21" i="4"/>
  <c r="D21" i="4"/>
  <c r="E21" i="4"/>
  <c r="B21" i="4"/>
  <c r="C18" i="4"/>
  <c r="D18" i="4"/>
  <c r="E18" i="4"/>
  <c r="B18" i="4"/>
  <c r="C34" i="1"/>
  <c r="D34" i="1"/>
  <c r="B34" i="1"/>
  <c r="C31" i="1"/>
  <c r="D31" i="1"/>
  <c r="B31" i="1"/>
  <c r="C26" i="1"/>
  <c r="D26" i="1"/>
  <c r="B26" i="1"/>
  <c r="C23" i="1"/>
  <c r="D23" i="1"/>
  <c r="B23" i="1"/>
  <c r="C20" i="1"/>
  <c r="D20" i="1"/>
  <c r="B20" i="1"/>
  <c r="C17" i="1"/>
  <c r="D17" i="1"/>
  <c r="B17" i="1"/>
  <c r="F25" i="6" l="1"/>
  <c r="B25" i="6"/>
</calcChain>
</file>

<file path=xl/sharedStrings.xml><?xml version="1.0" encoding="utf-8"?>
<sst xmlns="http://schemas.openxmlformats.org/spreadsheetml/2006/main" count="2757" uniqueCount="594">
  <si>
    <t>Total</t>
  </si>
  <si>
    <t>Homens</t>
  </si>
  <si>
    <t>Mulheres</t>
  </si>
  <si>
    <t>Área de residência</t>
  </si>
  <si>
    <t>Urbana</t>
  </si>
  <si>
    <t>Rural</t>
  </si>
  <si>
    <t>Idade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</si>
  <si>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</si>
  <si>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</si>
  <si>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</si>
  <si>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</si>
  <si>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</si>
  <si>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</si>
  <si>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</si>
  <si>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</si>
  <si>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</si>
  <si>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</si>
  <si>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</si>
  <si>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</si>
  <si>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</si>
  <si>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</si>
  <si>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</si>
  <si>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</si>
  <si>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</si>
  <si>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</si>
  <si>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</si>
  <si>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</si>
  <si>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</si>
  <si>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</si>
  <si>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</si>
  <si>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</si>
  <si>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</si>
  <si>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</si>
  <si>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</si>
  <si>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</si>
  <si>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</si>
  <si>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</si>
  <si>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</si>
  <si>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</si>
  <si>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</si>
  <si>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</si>
  <si>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</si>
  <si>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</si>
  <si>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</si>
  <si>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</si>
  <si>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</si>
  <si>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</si>
  <si>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</si>
  <si>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</si>
  <si>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</si>
  <si>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</si>
  <si>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</si>
  <si>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</si>
  <si>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</si>
  <si>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</si>
  <si>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</si>
  <si>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</si>
  <si>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</si>
  <si>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</si>
  <si>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</si>
  <si>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</si>
  <si>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</si>
  <si>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</si>
  <si>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</si>
  <si>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</si>
  <si>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</si>
  <si>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</si>
  <si>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</si>
  <si>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</si>
  <si>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</si>
  <si>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</si>
  <si>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</si>
  <si>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</si>
  <si>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</si>
  <si>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</si>
  <si>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</si>
  <si>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</si>
  <si>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</si>
  <si>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</si>
  <si>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</si>
  <si>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</si>
  <si>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</si>
  <si>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</si>
  <si>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</si>
  <si>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</si>
  <si>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</si>
  <si>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</si>
  <si>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</si>
  <si>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</si>
  <si>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</si>
  <si>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</si>
  <si>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</si>
  <si>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</si>
  <si>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</si>
  <si>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</si>
  <si>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</si>
  <si>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</si>
  <si>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</si>
  <si>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</si>
  <si>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</si>
  <si>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</si>
  <si>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</si>
  <si>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Quadro 1.3 - População por grupos etários quinquenais, 2024</t>
  </si>
  <si>
    <t xml:space="preserve"> Grupos etários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</si>
  <si>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</si>
  <si>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</si>
  <si>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</si>
  <si>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</si>
  <si>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</si>
  <si>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</si>
  <si>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</si>
  <si>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</si>
  <si>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</si>
  <si>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</si>
  <si>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</si>
  <si>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</si>
  <si>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</si>
  <si>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</si>
  <si>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</si>
  <si>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</si>
  <si>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</si>
  <si>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</si>
  <si>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</si>
  <si>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</si>
  <si>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</si>
  <si>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</si>
  <si>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</si>
  <si>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</si>
  <si>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</si>
  <si>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</si>
  <si>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</si>
  <si>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</si>
  <si>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</si>
  <si>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</si>
  <si>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</si>
  <si>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</si>
  <si>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</si>
  <si>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</si>
  <si>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>Média</t>
  </si>
  <si>
    <t>Mediana</t>
  </si>
  <si>
    <t>Área de Residência</t>
  </si>
  <si>
    <t>Sexo</t>
  </si>
  <si>
    <t>Município / comuna</t>
  </si>
  <si>
    <t>Municípios / comuna</t>
  </si>
  <si>
    <t>Município e área de residência</t>
  </si>
  <si>
    <t>Idades Simples</t>
  </si>
  <si>
    <t>95 ou mais</t>
  </si>
  <si>
    <t>Cubango</t>
  </si>
  <si>
    <t>Menongue</t>
  </si>
  <si>
    <t>Cuchi</t>
  </si>
  <si>
    <t>Cuangar</t>
  </si>
  <si>
    <t>Calai</t>
  </si>
  <si>
    <t>Nancova</t>
  </si>
  <si>
    <t>Rito</t>
  </si>
  <si>
    <t>Mavengue</t>
  </si>
  <si>
    <t>Maué</t>
  </si>
  <si>
    <t>Savate</t>
  </si>
  <si>
    <t>Bondo Caíla</t>
  </si>
  <si>
    <t>Longa</t>
  </si>
  <si>
    <t>Baixo Longa</t>
  </si>
  <si>
    <t>Chinguanja</t>
  </si>
  <si>
    <t>Cutato</t>
  </si>
  <si>
    <t>Vissati</t>
  </si>
  <si>
    <t>Caiundo</t>
  </si>
  <si>
    <t>Jamba Cueio</t>
  </si>
  <si>
    <t xml:space="preserve">Homens </t>
  </si>
  <si>
    <t>(-)Homens</t>
  </si>
  <si>
    <t>Quadro 2.1 - População com 12 ou mais por área de residência, município e comuna, segundo o estado civil , 2024</t>
  </si>
  <si>
    <t>Área de residência, 
município e comuna</t>
  </si>
  <si>
    <t>População com 12 ou mais anos</t>
  </si>
  <si>
    <t>Estado Civil</t>
  </si>
  <si>
    <t>Solteiro(a)</t>
  </si>
  <si>
    <t>Casado(união de facto)</t>
  </si>
  <si>
    <t>Separado</t>
  </si>
  <si>
    <t>Divorciado</t>
  </si>
  <si>
    <t>Viuvo</t>
  </si>
  <si>
    <t>Não Declarado</t>
  </si>
  <si>
    <t>Municípios / Comunas</t>
  </si>
  <si>
    <t>Quadro 3.1 - População com registo de nascimento por área de residência, município e comuna, 
segundo sexo, 2024</t>
  </si>
  <si>
    <t>Área de residência, município e 
comuna</t>
  </si>
  <si>
    <t xml:space="preserve">Total da população </t>
  </si>
  <si>
    <t>População com registo de nascimento</t>
  </si>
  <si>
    <t>Quadro 3.2 - População com registo de nascimento por área de residência e grupos etários, segundo sexo, 
2024</t>
  </si>
  <si>
    <t>Área de residência e 
grupo etário</t>
  </si>
  <si>
    <t>Grupos Etários</t>
  </si>
  <si>
    <t>Quadro 3.3 - População com Bilhete de Identidade por área de residência e os grupos etários,2024</t>
  </si>
  <si>
    <t>População com  5 ou mais anos</t>
  </si>
  <si>
    <t>População com Bilhete de Identidade</t>
  </si>
  <si>
    <t>Quadro 3.4 - População com 5 anos ou mais, residente com Bilhete de identidade por , área de 
residência, município e comuna, segundo sexo, 2024</t>
  </si>
  <si>
    <t>Área de residência, município 
e comuna</t>
  </si>
  <si>
    <t>População com 5 ou mais anos</t>
  </si>
  <si>
    <t>População com bilhete de identidade</t>
  </si>
  <si>
    <t xml:space="preserve">       Mulheres</t>
  </si>
  <si>
    <t xml:space="preserve">                Homens</t>
  </si>
  <si>
    <t xml:space="preserve">                     Total</t>
  </si>
  <si>
    <t xml:space="preserve">   População com 5 ou mais anos</t>
  </si>
  <si>
    <t>População com Albinismo</t>
  </si>
  <si>
    <t>Munícipio/Comuna</t>
  </si>
  <si>
    <t xml:space="preserve">                Total</t>
  </si>
  <si>
    <t xml:space="preserve">                Mulheres</t>
  </si>
  <si>
    <t>Total da População</t>
  </si>
  <si>
    <t>Total da população</t>
  </si>
  <si>
    <t>5-14 anos</t>
  </si>
  <si>
    <t>15-64 anos</t>
  </si>
  <si>
    <t>65 ou mais</t>
  </si>
  <si>
    <t xml:space="preserve">População  com 0 -17 anos </t>
  </si>
  <si>
    <t>Popualação com 0 - 17 anos que não vivem com pelo menos um dos pais</t>
  </si>
  <si>
    <t>Mãe vive noutro agregado</t>
  </si>
  <si>
    <t xml:space="preserve"> Pai vive noutro agregado</t>
  </si>
  <si>
    <t>Ambos não vivem noutro agregado</t>
  </si>
  <si>
    <t>População com 0 - 17 anos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</si>
  <si>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</si>
  <si>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</si>
  <si>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</si>
  <si>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</si>
  <si>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</si>
  <si>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Quadro 6.1- População de 2 ou mais anos, segundo grupos étnicos ou tribos, 2024</t>
  </si>
  <si>
    <t>População com 2 ou mais anos</t>
  </si>
  <si>
    <t xml:space="preserve"> Grupo_Étnico da 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</si>
  <si>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</si>
  <si>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</si>
  <si>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</si>
  <si>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</si>
  <si>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</si>
  <si>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</si>
  <si>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</si>
  <si>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Khoisan</t>
  </si>
  <si>
    <t>Vátua</t>
  </si>
  <si>
    <t>Kwoi</t>
  </si>
  <si>
    <t>Xindonga (Oshindonga)</t>
  </si>
  <si>
    <t>Não sabe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</si>
  <si>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</si>
  <si>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</si>
  <si>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</si>
  <si>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</si>
  <si>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</si>
  <si>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</si>
  <si>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</si>
  <si>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</si>
  <si>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</si>
  <si>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</si>
  <si>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</si>
  <si>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</si>
  <si>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línguas Estrangeiras</t>
  </si>
  <si>
    <t>Outras línguas</t>
  </si>
  <si>
    <t>Quadro 7.1 - População com 2 ou mais anos por área de residência e município, segundo a religião ou espiritualidade, 2024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</si>
  <si>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</si>
  <si>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</si>
  <si>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</si>
  <si>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</si>
  <si>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</si>
  <si>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</si>
  <si>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</si>
  <si>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apostolica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</si>
  <si>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</si>
  <si>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</si>
  <si>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</si>
  <si>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</si>
  <si>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</si>
  <si>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</si>
  <si>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</si>
  <si>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</si>
  <si>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</si>
  <si>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</si>
  <si>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</si>
  <si>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</si>
  <si>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</si>
  <si>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Total da população com 15 ou mais anos</t>
  </si>
  <si>
    <t>População com que sabe ler e escrever</t>
  </si>
  <si>
    <t>Taxa de alfabetização</t>
  </si>
  <si>
    <t>Índice de paridade no Género</t>
  </si>
  <si>
    <t>Urbano</t>
  </si>
  <si>
    <t>População que sabe ler e escrever</t>
  </si>
  <si>
    <t>Grupo etário</t>
  </si>
  <si>
    <t>Total da população com 15-24 anos</t>
  </si>
  <si>
    <t>População com 15-24 anos que sabe ler e escrever</t>
  </si>
  <si>
    <t>Aárea de residência</t>
  </si>
  <si>
    <t>Quadro 8.4- População com 5 ou mais anos anos  por província e área de residência, segundo a situação de frequência escolar, 2024</t>
  </si>
  <si>
    <t>A frequentar</t>
  </si>
  <si>
    <t>Alguma vez frequentou</t>
  </si>
  <si>
    <t>Nunca frequentou</t>
  </si>
  <si>
    <t xml:space="preserve">Total da População com 5-11 anos  </t>
  </si>
  <si>
    <t>População com 5-11 anos fora do sistema de ensino</t>
  </si>
  <si>
    <t xml:space="preserve"> População com 12-14 anos</t>
  </si>
  <si>
    <t xml:space="preserve"> População com 12-14 anos fora do sistema do ensino</t>
  </si>
  <si>
    <t xml:space="preserve">Total </t>
  </si>
  <si>
    <t xml:space="preserve"> População com 15-18 anos</t>
  </si>
  <si>
    <t xml:space="preserve"> População com 15-18 anos fora do sistema de ensino</t>
  </si>
  <si>
    <t xml:space="preserve"> População com 5 ou mais anos</t>
  </si>
  <si>
    <t xml:space="preserve">A frequentar </t>
  </si>
  <si>
    <t xml:space="preserve"> População com 5-18 anos</t>
  </si>
  <si>
    <t xml:space="preserve"> População com 5-18 anos fora do sistema do ensino </t>
  </si>
  <si>
    <t>População com 5-11 anos</t>
  </si>
  <si>
    <t xml:space="preserve"> População com 5 ou mais anos a frequentar a escola</t>
  </si>
  <si>
    <t>Iniciação ou alfabetização</t>
  </si>
  <si>
    <t>Ensino Primário</t>
  </si>
  <si>
    <t>I Ciclo do ensino secundário</t>
  </si>
  <si>
    <t>II Ciclo do ensino secundário</t>
  </si>
  <si>
    <t>Ensino Superior</t>
  </si>
  <si>
    <t>População com 12-14 anos</t>
  </si>
  <si>
    <t>Quadro 8.14 - População com 18 ou mais anos por província e área de residência, segundo o nível  de ensino concluído, 2024</t>
  </si>
  <si>
    <t>População com 18 ou mais anos</t>
  </si>
  <si>
    <t>População com 18 ou mais anos que frequenta ou alguma vez frequentou a escola</t>
  </si>
  <si>
    <t>Ensino primário</t>
  </si>
  <si>
    <t>Ensino superior</t>
  </si>
  <si>
    <t>Nenhum nível</t>
  </si>
  <si>
    <t>Não declarado</t>
  </si>
  <si>
    <t>População com 6-11 anos</t>
  </si>
  <si>
    <t>Frequência líquida no ensino primário</t>
  </si>
  <si>
    <t>Taxa líquida de frêquencia no ensino primário</t>
  </si>
  <si>
    <t>População com 12-18 anos</t>
  </si>
  <si>
    <t xml:space="preserve">Frequência líquida no ensino secundário </t>
  </si>
  <si>
    <t>Taxa líquida de frêquencia no ensino secundário</t>
  </si>
  <si>
    <t>Quadro 9.1 - Agregados familiares por área de residência, município e comuna, segundo o principal tipo de iluminação, 2024</t>
  </si>
  <si>
    <t>Área de residência, município e comuna</t>
  </si>
  <si>
    <t>Total de agregados familiares</t>
  </si>
  <si>
    <t>Principal tipo de Iluminação</t>
  </si>
  <si>
    <t>Electricidade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</si>
  <si>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</si>
  <si>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</si>
  <si>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</si>
  <si>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</si>
  <si>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</si>
  <si>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</si>
  <si>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</si>
  <si>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</si>
  <si>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Outro Tipo</t>
  </si>
  <si>
    <t>Municípios/Comunas</t>
  </si>
  <si>
    <t>Quadro 9.2 - Agregados familiares por área de residência, município e comuna, segundo a principal fonte de energia/combustível utilizado para cozinhar, 2024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</si>
  <si>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</si>
  <si>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</si>
  <si>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</si>
  <si>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</si>
  <si>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</si>
  <si>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</si>
  <si>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</si>
  <si>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</si>
  <si>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 xml:space="preserve"> Outro tipo</t>
  </si>
  <si>
    <t>Municipios/comunas</t>
  </si>
  <si>
    <t>Quadro 9.3 - Agregados familiares por área de residência, município e comuna, segundo o tipo de sanitário (casa de banho, retrete) que o agregado familiar utiliza normalmente dentro ou fora de casa, 2024</t>
  </si>
  <si>
    <t>Tipo de sanitario</t>
  </si>
  <si>
    <t xml:space="preserve"> Nenhum sanitário / espaço livre / Ar livre</t>
  </si>
  <si>
    <t xml:space="preserve"> DENTRO DE CASA / Sanita ligada à rede púlica de esgotos</t>
  </si>
  <si>
    <t xml:space="preserve"> DENTRO DE CASA / Sanita ligada à fossa séptica</t>
  </si>
  <si>
    <t xml:space="preserve"> DENTRO DE CASA / Sanita ligada à fossa aberta( vala ou rio)</t>
  </si>
  <si>
    <t xml:space="preserve"> DENTRO DE CASA / Retrete/ Latrina ligada a rede pública de esgotos</t>
  </si>
  <si>
    <t xml:space="preserve"> DENTRO DE CASA / Retrete/ Latrina ligada a fossa séptica</t>
  </si>
  <si>
    <t xml:space="preserve"> DENTRO DE CASA / Retrete/ Latrina ligada a fossa aberta ( vala ou rio)</t>
  </si>
  <si>
    <t>Total de AF com sanitário dentro de casa</t>
  </si>
  <si>
    <t xml:space="preserve"> FORA DA CASA / Sanita ligada à rede púlica de esgotos</t>
  </si>
  <si>
    <t xml:space="preserve"> FORA DA CASA / Sanita ligada à fossa séptica</t>
  </si>
  <si>
    <t xml:space="preserve"> FORA DA CASA / Sanita ligada à fossa aberta( vala ou rio)</t>
  </si>
  <si>
    <t xml:space="preserve"> FORA DA CASA / Retrete/ Latrina ligada a rede pública de esgotos</t>
  </si>
  <si>
    <t xml:space="preserve"> FORA DA CASA / Retrete/ Latrina ligada a fossa séptica</t>
  </si>
  <si>
    <t>FORA DA CASA / Retrete/ Latrina ligada a fossa aberta ( vala ou rio)</t>
  </si>
  <si>
    <t>Total de AF com sanitário Fora de casa</t>
  </si>
  <si>
    <t>Quadro 9.4 - Agregados familiares por área de residência, município e comuna, segundo o modo de tratamento habitual que se dá a água para beber, 2024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</si>
  <si>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</si>
  <si>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</si>
  <si>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</si>
  <si>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</si>
  <si>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</si>
  <si>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</si>
  <si>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</si>
  <si>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</si>
  <si>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</si>
  <si>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</si>
  <si>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 xml:space="preserve">Quadro 9.5 - Agregados familiares por área de residência, município e comuna, segundo a situação de partilha da casa de banho, 2024 </t>
  </si>
  <si>
    <t>Agregados que partilham a casa de banho</t>
  </si>
  <si>
    <t xml:space="preserve"> Sim </t>
  </si>
  <si>
    <t xml:space="preserve"> Não </t>
  </si>
  <si>
    <t>Quadro 9.6 - Agregados familiares por área de residência, município e comuna, segundo o acesso a água da rede pública, 2024</t>
  </si>
  <si>
    <t>Total de Agregados familiares</t>
  </si>
  <si>
    <t>Acesso a Água da rede pública</t>
  </si>
  <si>
    <t>Total de agregados familiares com acesso a água da rede pública</t>
  </si>
  <si>
    <t xml:space="preserve"> Sim, dentro da casa</t>
  </si>
  <si>
    <t xml:space="preserve"> Sim, dentro do quintal da casa</t>
  </si>
  <si>
    <t>Não tem acesso</t>
  </si>
  <si>
    <t xml:space="preserve">Quadro 9.7 - Agregados familiares por área de residência, município e comuna, segundo situação se a água utilizada para beber provém da mesma fonte, 2024 </t>
  </si>
  <si>
    <t>Situação se a água utilizada para beber provém da mesma fonte</t>
  </si>
  <si>
    <t xml:space="preserve">                              Sim</t>
  </si>
  <si>
    <t xml:space="preserve">                            Não</t>
  </si>
  <si>
    <t xml:space="preserve">   Total de agregados familiares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</si>
  <si>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</si>
  <si>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</si>
  <si>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</si>
  <si>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</si>
  <si>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</si>
  <si>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</si>
  <si>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</si>
  <si>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</si>
  <si>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</si>
  <si>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</si>
  <si>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</si>
  <si>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</si>
  <si>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</si>
  <si>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Outra fonte</t>
  </si>
  <si>
    <t xml:space="preserve">Quadro 9.9 - Agregados familiares por área de residência, município e comuna, segundo a posse de parcela/lavra ou a  prática da actividade agrícola, 2024 </t>
  </si>
  <si>
    <t>Situação de posse de parcela/lavra ou prática de actividade agrícola</t>
  </si>
  <si>
    <t>Sim</t>
  </si>
  <si>
    <t>Não</t>
  </si>
  <si>
    <t>Quadro 9.10 - Agregados familiares por área de residência, município e comuna, segundo o regime de ocupação da lavra/ parcela (exploração),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</si>
  <si>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</si>
  <si>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</si>
  <si>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</si>
  <si>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</si>
  <si>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</si>
  <si>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</si>
  <si>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</si>
  <si>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</si>
  <si>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</si>
  <si>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</si>
  <si>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</si>
  <si>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</si>
  <si>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</si>
  <si>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 xml:space="preserve">                         Sim</t>
  </si>
  <si>
    <t xml:space="preserve">                  Não</t>
  </si>
  <si>
    <t>Quadro 9.12 - Agregados familiares criadores de animais por área de residência, município e comuna, segundo o tipo de animais criados nos últimos 12 meses, 2024</t>
  </si>
  <si>
    <t>Total de agregados familiares que praticaram actividade pecuária nos últimos 12 meses</t>
  </si>
  <si>
    <t xml:space="preserve"> Bois/Vacas</t>
  </si>
  <si>
    <t>Cabrito/cabra</t>
  </si>
  <si>
    <t>Porco/leitão</t>
  </si>
  <si>
    <t>Carneiro/ovelha</t>
  </si>
  <si>
    <t>Equino/cavalo</t>
  </si>
  <si>
    <t>Quadro 9.13 - Agregados familiares por área de residência, município e comuna, segundo o tipo de actividade piscatória praticada, 2024</t>
  </si>
  <si>
    <t>Total de agregados familiares que praticaram actividade piscatória nos últimos 12 meses</t>
  </si>
  <si>
    <t>Tipo de actividade piscatória praticada</t>
  </si>
  <si>
    <t>Pesca continental/Fluvial</t>
  </si>
  <si>
    <t>Pesca artesanal marítima/Aquicultura marítima</t>
  </si>
  <si>
    <t>Aquicultura</t>
  </si>
  <si>
    <t>Quadro 9.14 - Agregados familiares por área de residência, município e comuna, segundo a posse de bens que funcionam em casa, 2024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</si>
  <si>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</si>
  <si>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</si>
  <si>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</si>
  <si>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</si>
  <si>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</si>
  <si>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</si>
  <si>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</si>
  <si>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</si>
  <si>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</si>
  <si>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</si>
  <si>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Quadro 9.15 - Agregados familiares por área de residência, município e comuna, segundo a situação se recebe algum tipo de apoio social,2024</t>
  </si>
  <si>
    <t>Situação se o agregado recebe algum tipo de apoio social</t>
  </si>
  <si>
    <t>Recebe</t>
  </si>
  <si>
    <t>Não recebe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</si>
  <si>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</si>
  <si>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</si>
  <si>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</si>
  <si>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</si>
  <si>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</si>
  <si>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</si>
  <si>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9.17 - Agregados familiares por área de residência, município e comuna, segundo o sexo do chefe, 2024</t>
  </si>
  <si>
    <t>Sexo do Chefe</t>
  </si>
  <si>
    <t xml:space="preserve"> Área de residência e município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</si>
  <si>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</si>
  <si>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</si>
  <si>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</si>
  <si>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</si>
  <si>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</si>
  <si>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</si>
  <si>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</si>
  <si>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</si>
  <si>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</si>
  <si>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9.19 - Agregados familiares por grupo etário, segundo o sexo do chefe, 2024</t>
  </si>
  <si>
    <t>Nº</t>
  </si>
  <si>
    <t>%</t>
  </si>
  <si>
    <t>Menor de 24 anos</t>
  </si>
  <si>
    <t>25-34 anos</t>
  </si>
  <si>
    <t>35-44 anos</t>
  </si>
  <si>
    <t>45-54 anos</t>
  </si>
  <si>
    <t>Quadro 9.20 - Agregados familiares por área de residência e município, segundo o tamanho e média de pessoas por agregado, 2024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</si>
  <si>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</si>
  <si>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</si>
  <si>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</si>
  <si>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</si>
  <si>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</si>
  <si>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</si>
  <si>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</si>
  <si>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</si>
  <si>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</si>
  <si>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Quadro 10.1 - População recenseada por município e tipo de habitação, segundo grupos étários,2024</t>
  </si>
  <si>
    <t>0 - 4 anos</t>
  </si>
  <si>
    <t>5 - 14 anos</t>
  </si>
  <si>
    <t>Área residência</t>
  </si>
  <si>
    <t>Quadro 10.2 - Habitações familiares por município e comuna e área de residência, segundo o tipo de habitação, 2024</t>
  </si>
  <si>
    <t>Total de habitações familiares</t>
  </si>
  <si>
    <t>Habitação Familiar</t>
  </si>
  <si>
    <t>Vivenda</t>
  </si>
  <si>
    <t>Casa convencional</t>
  </si>
  <si>
    <t>Apartamento</t>
  </si>
  <si>
    <t>Cubata</t>
  </si>
  <si>
    <t>Barraca ( casa de chapa, lata , madeira rudimentar)</t>
  </si>
  <si>
    <t>Outro</t>
  </si>
  <si>
    <t>Município/Comuna</t>
  </si>
  <si>
    <t>Quadro 10.3 - Habitações familiares por município, comuna e área de residência, segundo o estado de ocupação da habitação, 2024</t>
  </si>
  <si>
    <t>Estado de ocupação da habitação</t>
  </si>
  <si>
    <t xml:space="preserve"> Residência de uso habitual ocupada</t>
  </si>
  <si>
    <t xml:space="preserve"> Residência de uso ocasional / secundária</t>
  </si>
  <si>
    <t xml:space="preserve"> Residência fechada (habitada)</t>
  </si>
  <si>
    <t>Quadro 10.4 - Habitações familiares por municípi, comuna e área de residência, segundo o tipo de material usado principalmente nas paredes exteriores, 2024</t>
  </si>
  <si>
    <t>Tipo de material usado principamente nas paredes exteriores</t>
  </si>
  <si>
    <t xml:space="preserve"> Pedra</t>
  </si>
  <si>
    <t xml:space="preserve"> Cimento/ Bloco</t>
  </si>
  <si>
    <t xml:space="preserve"> Tijolo</t>
  </si>
  <si>
    <t xml:space="preserve"> Adobe</t>
  </si>
  <si>
    <t xml:space="preserve"> Madeira</t>
  </si>
  <si>
    <t xml:space="preserve"> Zinco / Chapa</t>
  </si>
  <si>
    <t xml:space="preserve"> Pau-a-pique</t>
  </si>
  <si>
    <t>Quadro 10.5 - Habitações familiares por município, comuna e área de residência, segundo o tipo de material usado principamente no tecto, 2024</t>
  </si>
  <si>
    <t>Tipo de material usado principamente no tecto</t>
  </si>
  <si>
    <t xml:space="preserve"> Placa de betão</t>
  </si>
  <si>
    <t xml:space="preserve"> Telha</t>
  </si>
  <si>
    <t xml:space="preserve"> Lusalite / Fibrocimento</t>
  </si>
  <si>
    <t xml:space="preserve"> Capim</t>
  </si>
  <si>
    <t xml:space="preserve"> Outro (Especifique)</t>
  </si>
  <si>
    <t>Quadro 10.6 - Habitações familiares por município, comuna  e área de residência, segundo o tipo de material usado principamente no chão, 2024</t>
  </si>
  <si>
    <t xml:space="preserve">Tipo de material usado principamente no chão </t>
  </si>
  <si>
    <t xml:space="preserve"> Terra batida</t>
  </si>
  <si>
    <t xml:space="preserve"> Cimento</t>
  </si>
  <si>
    <t xml:space="preserve"> Mosaicos de cerâmica</t>
  </si>
  <si>
    <t xml:space="preserve"> Gránito</t>
  </si>
  <si>
    <t xml:space="preserve"> Mármore</t>
  </si>
  <si>
    <t xml:space="preserve"> Tacos de madeira</t>
  </si>
  <si>
    <t xml:space="preserve"> Outro </t>
  </si>
  <si>
    <t>Quadro 10.7 - Agregados familiares por área de residência e município, segundo a média de divisões, média de pessoas por divisão, média de quartos para dormir e média de pessoas por quarto só para dormir da habitação</t>
  </si>
  <si>
    <t>Divisões da habitação</t>
  </si>
  <si>
    <t>Quartos só para dormir</t>
  </si>
  <si>
    <t>Média de divisões por habitação</t>
  </si>
  <si>
    <t>Média de pessoas por divisão</t>
  </si>
  <si>
    <t>Média de quartos só para dormir por habitação</t>
  </si>
  <si>
    <t>Média de pessoas por quarto sópara dormir</t>
  </si>
  <si>
    <t>Ovanganguela(Vanganguela ou Nganguela)</t>
  </si>
  <si>
    <t>Área de residência e grupos quinquenais</t>
  </si>
  <si>
    <t>Total da população com albinismo</t>
  </si>
  <si>
    <t xml:space="preserve"> Área de residência e grupos etário</t>
  </si>
  <si>
    <t>15-17 anos</t>
  </si>
  <si>
    <t xml:space="preserve">Área de residência e município </t>
  </si>
  <si>
    <t>Grupo etário e área de 
residência</t>
  </si>
  <si>
    <t>Grupo etário e área de residência</t>
  </si>
  <si>
    <t>Quadro 8.15 - Taxa líquida de frequência do ensino primário  por província e área de residência, segundo o sexo,  2024</t>
  </si>
  <si>
    <t>Quadro 8.15 - Taxa líquida de frequência do ensino secundário por província e área de residência, segundo o sexo,  2024</t>
  </si>
  <si>
    <t>Posse de bens que funcionam</t>
  </si>
  <si>
    <t>Habitações familiares</t>
  </si>
  <si>
    <t>Quadro 1.1 - População por área de residência, município e comuna, segundo o sexo 2024</t>
  </si>
  <si>
    <t>Quadro 1.2 - População por idade simples segundo o sexo, 2024</t>
  </si>
  <si>
    <t>Quadro 1.4 - População por área de residência, municípios e comunas, segundo os grandes grupos etários, 2024</t>
  </si>
  <si>
    <t>Quadro 1.5 - População por área de residência, municípios e comunas, segundo outros grupos etários, 2024</t>
  </si>
  <si>
    <t xml:space="preserve">Quadro 1.7 - Idade média e mediana da população por área de residência, município e comuna, segundo o sexo, 2024     
</t>
  </si>
  <si>
    <t>Quadro 1.6 - População por área de residência, municípios e comunas, segundo os grandes grupos etários e sexo, 2024</t>
  </si>
  <si>
    <t>Domínio Funcional</t>
  </si>
  <si>
    <t>Grau de dificuldade</t>
  </si>
  <si>
    <t xml:space="preserve">                                Censo 2024</t>
  </si>
  <si>
    <t>N.º</t>
  </si>
  <si>
    <t>Dificuldade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</si>
  <si>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</si>
  <si>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</si>
  <si>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</si>
  <si>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</si>
  <si>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População com 5 ou mais anos de idade</t>
  </si>
  <si>
    <t>Dificuldade em ouvir, mesmo quando usa aparelho auditivo</t>
  </si>
  <si>
    <t>Não consegue ouvir de modo algum</t>
  </si>
  <si>
    <t>Dificuldade em andar ou subir escadas</t>
  </si>
  <si>
    <t>Não consegue andar de modo algum</t>
  </si>
  <si>
    <t>Dificuldade em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</si>
  <si>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</si>
  <si>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</si>
  <si>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</si>
  <si>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 em usar as mãos e os dedos (por exemplo, apanhar pequenos objectos, como um botão, lápis, abrir ou fechar recipientes)</t>
  </si>
  <si>
    <t>Não consegue usar os dedos de modo algum</t>
  </si>
  <si>
    <t>Dificuldade em cuidar de si próprio (por exemplo tomar banho da cabeça aos pés ou vestir-se sozinho)</t>
  </si>
  <si>
    <t>Não consegue cuidar da si de modo algum</t>
  </si>
  <si>
    <t>Quadro 4.1- Resumo síntese dos indicadores da deficiência, 2024</t>
  </si>
  <si>
    <t>Quadro 4.2 - Pessoas com albinismo por área de residência, município e comuna, segundo o sexo, 2024</t>
  </si>
  <si>
    <t>Quadro 4.3 - População com albinismo por área de residência, município e comuna, segundo grupo etário, 2024</t>
  </si>
  <si>
    <t>Quadro 5.1 - Crianças com 0-17 anos que não vivem com os pais por área de residência, município e comuna, segundo sexo, 2024</t>
  </si>
  <si>
    <t>Quadro 5.2 - Crianças com 0-17 anos por área de residência, segundo a situação de viver junto com os pais biológicos e taxa de orfandade, 2024</t>
  </si>
  <si>
    <t>Quadro 6.2 – População por área de residência, município e comuna segundo a língua materna, 2024</t>
  </si>
  <si>
    <t>Quadro 8.5 - População com 5-11 anos fora do sistema de ensino por área de residência, município e comuna, segundo o sexo, 2024</t>
  </si>
  <si>
    <t>Quadro 8.3 - População com 15-24 anos que sabe ler e escrever por área de residência, município e comuna, segundo o sexo, 2024</t>
  </si>
  <si>
    <t>Quadro 8.2 - População com 15 ou mais anos que sabe ler e escrever por grupo etário e área de residência, segundo o sexo, 2024</t>
  </si>
  <si>
    <t>Quadro 8.1 - População com 15 ou mais anos que sabe ler e escrever por área de residência, município e comuna, segundo o sexo, 2024</t>
  </si>
  <si>
    <t>Quadro 8.6 - População com 12-14 anos fora do sistema de ensino por área de residência, município e comuna, segundo o sexo, 2024</t>
  </si>
  <si>
    <t>Quadro 8.7 - População com 15-18 anos fora do sistema de ensino por área de residência, município e comuna, segundo o sexo, 2024</t>
  </si>
  <si>
    <t>Quadro 8.8 - População com 5 ou mais anos por área de residência e grupos etários, segundo a situação de frequência escolar e sexo, 2024</t>
  </si>
  <si>
    <t>Quadro 8.9 - População com 5-18 anos fora do sistema de ensino por área de residência, município e comuna, segundo o sexo, 2024</t>
  </si>
  <si>
    <t>Quadro 8.10 - População com 5-18 anos por área de residência, município e comuna, segundo a situação de frequência escolar no ensino primário, 2024</t>
  </si>
  <si>
    <t>Frequência escolar</t>
  </si>
  <si>
    <t>Nível de ensino a frequentar</t>
  </si>
  <si>
    <t>Quadro 8.13 - População com 12-14 anos por área de residência, município e comuna, segundo a situação de frequência escolar no ensino primário, 2024</t>
  </si>
  <si>
    <t>Quadro 8.12 - População com 5 ou mais anos por área de residência, município e comuna, segundo o nível de ensino a frequentar, 2024</t>
  </si>
  <si>
    <t>Quadro 8.11- População com 5-11 anos  por área de residência, município e comuna, segundo a situação de frequência escolar no ensino primário</t>
  </si>
  <si>
    <t>Nível de ensino concluído</t>
  </si>
  <si>
    <t>Quadro 9.18 - Agregados familiares por área de residência e município, segundo o tipo de núcleo familiar, 2024</t>
  </si>
  <si>
    <t>Municípios/comunas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</si>
</sst>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\ _K_z_-;\-* #,##0.00\ _K_z_-;_-* &quot;-&quot;??\ _K_z_-;_-@_-"/>
    <numFmt numFmtId="165" formatCode="###\ ###\ ###"/>
    <numFmt numFmtId="166" formatCode="###0"/>
    <numFmt numFmtId="167" formatCode="###\.\ ###"/>
    <numFmt numFmtId="168" formatCode="###0.00"/>
    <numFmt numFmtId="169" formatCode="0.0"/>
    <numFmt numFmtId="170" formatCode="###0.0"/>
    <numFmt numFmtId="171" formatCode="###.#"/>
    <numFmt numFmtId="172" formatCode="###.0"/>
    <numFmt numFmtId="173" formatCode="#,##0.0"/>
    <numFmt numFmtId="174" formatCode="_-* #,##0_-;\-* #,##0_-;_-* &quot;-&quot;??_-;_-@_-"/>
    <numFmt numFmtId="175" formatCode="###,###,###"/>
    <numFmt numFmtId="176" formatCode="####.0"/>
    <numFmt numFmtId="177" formatCode="_-* #,##0.0_-;\-* #,##0.0_-;_-* &quot;-&quot;??_-;_-@_-"/>
    <numFmt numFmtId="178" formatCode="_-* #,##0.0\ _K_z_-;\-* #,##0.0\ _K_z_-;_-* &quot;-&quot;??\ _K_z_-;_-@_-"/>
    <numFmt numFmtId="179" formatCode="_-* #,##0\ _K_z_-;\-* #,##0\ _K_z_-;_-* &quot;-&quot;??\ _K_z_-;_-@_-"/>
  </numFmts>
  <fonts count="4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Arial"/>
    </font>
    <font>
      <sz val="9"/>
      <color theme="0"/>
      <name val="Arial"/>
      <family val="2"/>
    </font>
    <font>
      <b/>
      <sz val="9"/>
      <color indexed="8"/>
      <name val="Arial Bold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Calibri"/>
      <family val="2"/>
      <scheme val="minor"/>
    </font>
    <font>
      <sz val="9"/>
      <color indexed="8"/>
      <name val="Calibri "/>
    </font>
    <font>
      <sz val="9"/>
      <name val="Calibri "/>
    </font>
    <font>
      <sz val="9"/>
      <color theme="1"/>
      <name val="Calibri "/>
    </font>
    <font>
      <b/>
      <sz val="9"/>
      <color theme="0"/>
      <name val="Calibri "/>
    </font>
    <font>
      <b/>
      <sz val="9"/>
      <color indexed="8"/>
      <name val="Calibri 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033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33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0" fillId="0" borderId="0"/>
    <xf numFmtId="164" fontId="20" fillId="0" borderId="0" applyFont="0" applyFill="0" applyBorder="0" applyAlignment="0" applyProtection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74">
    <xf numFmtId="0" fontId="0" fillId="0" borderId="0" xfId="0"/>
    <xf numFmtId="0" fontId="3" fillId="3" borderId="0" xfId="2" applyFont="1" applyFill="1"/>
    <xf numFmtId="165" fontId="4" fillId="2" borderId="0" xfId="1" applyNumberFormat="1" applyFont="1" applyFill="1" applyAlignment="1">
      <alignment vertical="center"/>
    </xf>
    <xf numFmtId="0" fontId="4" fillId="2" borderId="0" xfId="1" applyFont="1" applyFill="1" applyAlignment="1">
      <alignment horizontal="left" vertical="top" wrapText="1" indent="1"/>
    </xf>
    <xf numFmtId="0" fontId="3" fillId="4" borderId="0" xfId="2" applyFont="1" applyFill="1"/>
    <xf numFmtId="0" fontId="0" fillId="4" borderId="0" xfId="0" applyFill="1"/>
    <xf numFmtId="0" fontId="6" fillId="2" borderId="0" xfId="0" applyFont="1" applyFill="1"/>
    <xf numFmtId="165" fontId="6" fillId="2" borderId="0" xfId="0" applyNumberFormat="1" applyFont="1" applyFill="1"/>
    <xf numFmtId="165" fontId="4" fillId="2" borderId="0" xfId="4" applyNumberFormat="1" applyFont="1" applyFill="1" applyAlignment="1">
      <alignment horizontal="right" vertical="center"/>
    </xf>
    <xf numFmtId="165" fontId="4" fillId="2" borderId="0" xfId="4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6" fillId="2" borderId="0" xfId="0" applyFont="1" applyFill="1" applyAlignment="1">
      <alignment horizontal="right"/>
    </xf>
    <xf numFmtId="0" fontId="4" fillId="2" borderId="0" xfId="5" applyFont="1" applyFill="1" applyAlignment="1">
      <alignment wrapText="1"/>
    </xf>
    <xf numFmtId="0" fontId="2" fillId="2" borderId="0" xfId="5" applyFont="1" applyFill="1" applyAlignment="1">
      <alignment vertical="top" wrapText="1"/>
    </xf>
    <xf numFmtId="166" fontId="2" fillId="2" borderId="0" xfId="5" applyNumberFormat="1" applyFont="1" applyFill="1" applyAlignment="1">
      <alignment horizontal="right" vertical="center"/>
    </xf>
    <xf numFmtId="3" fontId="4" fillId="2" borderId="0" xfId="5" applyNumberFormat="1" applyFont="1" applyFill="1" applyAlignment="1">
      <alignment horizontal="right" vertical="center"/>
    </xf>
    <xf numFmtId="3" fontId="4" fillId="2" borderId="0" xfId="5" applyNumberFormat="1" applyFont="1" applyFill="1" applyBorder="1" applyAlignment="1">
      <alignment horizontal="right" vertical="center"/>
    </xf>
    <xf numFmtId="0" fontId="0" fillId="3" borderId="0" xfId="0" applyFill="1" applyBorder="1"/>
    <xf numFmtId="3" fontId="7" fillId="2" borderId="0" xfId="0" applyNumberFormat="1" applyFont="1" applyFill="1" applyBorder="1"/>
    <xf numFmtId="165" fontId="4" fillId="2" borderId="0" xfId="3" applyNumberFormat="1" applyFont="1" applyFill="1" applyAlignment="1">
      <alignment horizontal="right" vertical="center"/>
    </xf>
    <xf numFmtId="0" fontId="8" fillId="4" borderId="0" xfId="0" applyFont="1" applyFill="1"/>
    <xf numFmtId="0" fontId="2" fillId="4" borderId="0" xfId="8" applyFont="1" applyFill="1" applyAlignment="1">
      <alignment horizontal="center" vertical="center" wrapText="1"/>
    </xf>
    <xf numFmtId="0" fontId="4" fillId="2" borderId="0" xfId="10" applyFont="1" applyFill="1" applyAlignment="1">
      <alignment horizontal="left" wrapText="1"/>
    </xf>
    <xf numFmtId="0" fontId="2" fillId="2" borderId="0" xfId="10" applyFont="1" applyFill="1" applyAlignment="1">
      <alignment horizontal="left" vertical="top" wrapText="1"/>
    </xf>
    <xf numFmtId="168" fontId="2" fillId="2" borderId="0" xfId="1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/>
    <xf numFmtId="165" fontId="4" fillId="2" borderId="0" xfId="3" applyNumberFormat="1" applyFont="1" applyFill="1" applyBorder="1" applyAlignment="1">
      <alignment horizontal="right" vertical="center"/>
    </xf>
    <xf numFmtId="0" fontId="9" fillId="3" borderId="0" xfId="2" applyFont="1" applyFill="1"/>
    <xf numFmtId="165" fontId="4" fillId="2" borderId="0" xfId="3" applyNumberFormat="1" applyFont="1" applyFill="1" applyAlignment="1">
      <alignment vertical="center"/>
    </xf>
    <xf numFmtId="3" fontId="7" fillId="2" borderId="0" xfId="0" applyNumberFormat="1" applyFont="1" applyFill="1"/>
    <xf numFmtId="3" fontId="0" fillId="3" borderId="0" xfId="0" applyNumberFormat="1" applyFill="1"/>
    <xf numFmtId="165" fontId="2" fillId="2" borderId="0" xfId="3" applyNumberFormat="1" applyFont="1" applyFill="1" applyAlignment="1">
      <alignment vertical="center"/>
    </xf>
    <xf numFmtId="169" fontId="3" fillId="3" borderId="0" xfId="2" applyNumberFormat="1" applyFont="1" applyFill="1"/>
    <xf numFmtId="1" fontId="3" fillId="3" borderId="0" xfId="2" applyNumberFormat="1" applyFont="1" applyFill="1"/>
    <xf numFmtId="3" fontId="12" fillId="2" borderId="0" xfId="0" applyNumberFormat="1" applyFont="1" applyFill="1"/>
    <xf numFmtId="0" fontId="4" fillId="2" borderId="0" xfId="10" applyFont="1" applyFill="1" applyAlignment="1">
      <alignment horizontal="left" vertical="top" wrapText="1"/>
    </xf>
    <xf numFmtId="0" fontId="10" fillId="3" borderId="0" xfId="11" applyFont="1" applyFill="1" applyBorder="1" applyAlignment="1">
      <alignment horizontal="left" vertical="top" wrapText="1" indent="1"/>
    </xf>
    <xf numFmtId="0" fontId="11" fillId="3" borderId="0" xfId="11" applyFont="1" applyFill="1" applyBorder="1" applyAlignment="1">
      <alignment horizontal="left" vertical="top" wrapText="1"/>
    </xf>
    <xf numFmtId="3" fontId="3" fillId="3" borderId="0" xfId="2" applyNumberFormat="1" applyFont="1" applyFill="1"/>
    <xf numFmtId="170" fontId="4" fillId="2" borderId="0" xfId="10" applyNumberFormat="1" applyFont="1" applyFill="1" applyAlignment="1">
      <alignment horizontal="right"/>
    </xf>
    <xf numFmtId="0" fontId="15" fillId="3" borderId="0" xfId="0" applyFont="1" applyFill="1"/>
    <xf numFmtId="0" fontId="4" fillId="2" borderId="0" xfId="5" applyFont="1" applyFill="1" applyAlignment="1">
      <alignment vertical="top" wrapText="1"/>
    </xf>
    <xf numFmtId="167" fontId="4" fillId="2" borderId="0" xfId="5" applyNumberFormat="1" applyFont="1" applyFill="1" applyAlignment="1">
      <alignment vertical="center"/>
    </xf>
    <xf numFmtId="0" fontId="4" fillId="2" borderId="0" xfId="5" applyFont="1" applyFill="1" applyBorder="1" applyAlignment="1">
      <alignment vertical="top" wrapText="1"/>
    </xf>
    <xf numFmtId="0" fontId="7" fillId="2" borderId="0" xfId="0" applyFont="1" applyFill="1" applyBorder="1" applyAlignment="1"/>
    <xf numFmtId="0" fontId="0" fillId="3" borderId="0" xfId="0" applyFont="1" applyFill="1"/>
    <xf numFmtId="0" fontId="2" fillId="4" borderId="0" xfId="8" applyFont="1" applyFill="1" applyAlignment="1">
      <alignment horizontal="center" vertical="center" wrapText="1"/>
    </xf>
    <xf numFmtId="165" fontId="5" fillId="2" borderId="0" xfId="1" applyNumberFormat="1" applyFont="1" applyFill="1" applyAlignment="1">
      <alignment vertical="center"/>
    </xf>
    <xf numFmtId="0" fontId="4" fillId="2" borderId="0" xfId="6" applyFont="1" applyFill="1" applyAlignment="1">
      <alignment horizontal="left" vertical="top" wrapText="1" indent="1"/>
    </xf>
    <xf numFmtId="3" fontId="8" fillId="4" borderId="0" xfId="0" applyNumberFormat="1" applyFont="1" applyFill="1"/>
    <xf numFmtId="0" fontId="4" fillId="2" borderId="0" xfId="6" applyFont="1" applyFill="1" applyBorder="1" applyAlignment="1">
      <alignment horizontal="left" vertical="top" wrapText="1" indent="1"/>
    </xf>
    <xf numFmtId="0" fontId="17" fillId="2" borderId="0" xfId="12" applyFont="1" applyFill="1" applyBorder="1" applyAlignment="1">
      <alignment horizontal="left" vertical="top" wrapText="1" indent="1"/>
    </xf>
    <xf numFmtId="3" fontId="3" fillId="3" borderId="0" xfId="2" applyNumberFormat="1" applyFont="1" applyFill="1" applyBorder="1"/>
    <xf numFmtId="165" fontId="10" fillId="2" borderId="0" xfId="1" applyNumberFormat="1" applyFont="1" applyFill="1" applyBorder="1" applyAlignment="1">
      <alignment horizontal="right" vertical="center"/>
    </xf>
    <xf numFmtId="165" fontId="10" fillId="2" borderId="0" xfId="1" applyNumberFormat="1" applyFont="1" applyFill="1" applyAlignment="1">
      <alignment horizontal="right" vertical="center"/>
    </xf>
    <xf numFmtId="165" fontId="11" fillId="2" borderId="0" xfId="1" applyNumberFormat="1" applyFont="1" applyFill="1" applyAlignment="1">
      <alignment horizontal="right" vertical="center"/>
    </xf>
    <xf numFmtId="3" fontId="11" fillId="2" borderId="0" xfId="12" applyNumberFormat="1" applyFont="1" applyFill="1" applyBorder="1" applyAlignment="1">
      <alignment horizontal="right" vertical="center"/>
    </xf>
    <xf numFmtId="165" fontId="4" fillId="3" borderId="0" xfId="1" applyNumberFormat="1" applyFont="1" applyFill="1" applyBorder="1" applyAlignment="1">
      <alignment horizontal="right" vertical="center"/>
    </xf>
    <xf numFmtId="165" fontId="2" fillId="3" borderId="0" xfId="1" applyNumberFormat="1" applyFont="1" applyFill="1" applyBorder="1" applyAlignment="1">
      <alignment horizontal="right" vertical="center"/>
    </xf>
    <xf numFmtId="3" fontId="9" fillId="3" borderId="0" xfId="2" applyNumberFormat="1" applyFont="1" applyFill="1" applyBorder="1"/>
    <xf numFmtId="0" fontId="3" fillId="3" borderId="0" xfId="2" applyFont="1" applyFill="1" applyBorder="1" applyAlignment="1">
      <alignment horizontal="left" indent="1"/>
    </xf>
    <xf numFmtId="0" fontId="3" fillId="3" borderId="0" xfId="2" applyFont="1" applyFill="1" applyBorder="1"/>
    <xf numFmtId="0" fontId="4" fillId="3" borderId="0" xfId="1" applyFont="1" applyFill="1" applyBorder="1" applyAlignment="1">
      <alignment horizontal="left" vertical="top" wrapText="1" indent="1"/>
    </xf>
    <xf numFmtId="0" fontId="2" fillId="3" borderId="0" xfId="1" applyFont="1" applyFill="1" applyBorder="1" applyAlignment="1">
      <alignment horizontal="left" vertical="top" wrapText="1"/>
    </xf>
    <xf numFmtId="165" fontId="3" fillId="3" borderId="0" xfId="2" applyNumberFormat="1" applyFont="1" applyFill="1" applyBorder="1"/>
    <xf numFmtId="165" fontId="9" fillId="3" borderId="0" xfId="2" applyNumberFormat="1" applyFont="1" applyFill="1" applyBorder="1"/>
    <xf numFmtId="0" fontId="2" fillId="3" borderId="0" xfId="1" applyFont="1" applyFill="1" applyAlignment="1">
      <alignment horizontal="left" vertical="top" wrapText="1"/>
    </xf>
    <xf numFmtId="3" fontId="12" fillId="3" borderId="0" xfId="0" applyNumberFormat="1" applyFont="1" applyFill="1"/>
    <xf numFmtId="0" fontId="4" fillId="3" borderId="0" xfId="1" applyFont="1" applyFill="1" applyAlignment="1">
      <alignment horizontal="left" vertical="top" wrapText="1" indent="1"/>
    </xf>
    <xf numFmtId="3" fontId="7" fillId="3" borderId="0" xfId="0" applyNumberFormat="1" applyFont="1" applyFill="1"/>
    <xf numFmtId="3" fontId="4" fillId="3" borderId="0" xfId="8" applyNumberFormat="1" applyFont="1" applyFill="1" applyAlignment="1">
      <alignment vertical="center"/>
    </xf>
    <xf numFmtId="3" fontId="2" fillId="3" borderId="0" xfId="9" applyNumberFormat="1" applyFont="1" applyFill="1" applyAlignment="1">
      <alignment vertical="center"/>
    </xf>
    <xf numFmtId="3" fontId="4" fillId="3" borderId="0" xfId="9" applyNumberFormat="1" applyFont="1" applyFill="1" applyAlignment="1">
      <alignment vertical="center"/>
    </xf>
    <xf numFmtId="3" fontId="4" fillId="3" borderId="0" xfId="9" applyNumberFormat="1" applyFont="1" applyFill="1" applyBorder="1" applyAlignment="1">
      <alignment vertical="center"/>
    </xf>
    <xf numFmtId="3" fontId="4" fillId="3" borderId="0" xfId="8" applyNumberFormat="1" applyFont="1" applyFill="1" applyBorder="1" applyAlignment="1">
      <alignment vertical="center"/>
    </xf>
    <xf numFmtId="3" fontId="6" fillId="3" borderId="0" xfId="0" applyNumberFormat="1" applyFont="1" applyFill="1" applyBorder="1" applyAlignment="1"/>
    <xf numFmtId="3" fontId="6" fillId="3" borderId="0" xfId="0" applyNumberFormat="1" applyFont="1" applyFill="1" applyAlignment="1"/>
    <xf numFmtId="3" fontId="6" fillId="3" borderId="0" xfId="0" applyNumberFormat="1" applyFont="1" applyFill="1"/>
    <xf numFmtId="0" fontId="8" fillId="3" borderId="0" xfId="0" applyFont="1" applyFill="1"/>
    <xf numFmtId="3" fontId="8" fillId="3" borderId="0" xfId="0" applyNumberFormat="1" applyFont="1" applyFill="1"/>
    <xf numFmtId="3" fontId="7" fillId="3" borderId="0" xfId="0" applyNumberFormat="1" applyFont="1" applyFill="1" applyAlignment="1">
      <alignment horizontal="right"/>
    </xf>
    <xf numFmtId="171" fontId="2" fillId="2" borderId="0" xfId="3" applyNumberFormat="1" applyFont="1" applyFill="1" applyAlignment="1">
      <alignment vertical="center"/>
    </xf>
    <xf numFmtId="171" fontId="4" fillId="2" borderId="0" xfId="3" applyNumberFormat="1" applyFont="1" applyFill="1" applyAlignment="1">
      <alignment vertical="center"/>
    </xf>
    <xf numFmtId="172" fontId="4" fillId="2" borderId="0" xfId="3" applyNumberFormat="1" applyFont="1" applyFill="1" applyAlignment="1">
      <alignment vertical="center"/>
    </xf>
    <xf numFmtId="172" fontId="2" fillId="2" borderId="0" xfId="3" applyNumberFormat="1" applyFont="1" applyFill="1" applyAlignment="1">
      <alignment vertic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/>
    </xf>
    <xf numFmtId="165" fontId="0" fillId="4" borderId="0" xfId="0" applyNumberFormat="1" applyFill="1"/>
    <xf numFmtId="3" fontId="10" fillId="2" borderId="0" xfId="12" applyNumberFormat="1" applyFont="1" applyFill="1" applyBorder="1" applyAlignment="1">
      <alignment horizontal="right" vertical="center"/>
    </xf>
    <xf numFmtId="165" fontId="11" fillId="2" borderId="0" xfId="1" applyNumberFormat="1" applyFont="1" applyFill="1" applyBorder="1" applyAlignment="1">
      <alignment horizontal="right" vertical="center"/>
    </xf>
    <xf numFmtId="165" fontId="21" fillId="2" borderId="0" xfId="2" applyNumberFormat="1" applyFont="1" applyFill="1"/>
    <xf numFmtId="0" fontId="18" fillId="3" borderId="0" xfId="12" applyFont="1" applyFill="1" applyBorder="1" applyAlignment="1">
      <alignment horizontal="left" vertical="top" wrapText="1"/>
    </xf>
    <xf numFmtId="165" fontId="11" fillId="3" borderId="0" xfId="1" applyNumberFormat="1" applyFont="1" applyFill="1" applyAlignment="1">
      <alignment horizontal="right" vertical="center"/>
    </xf>
    <xf numFmtId="0" fontId="19" fillId="3" borderId="0" xfId="12" applyFont="1" applyFill="1" applyBorder="1" applyAlignment="1">
      <alignment horizontal="left" vertical="top" wrapText="1" indent="1"/>
    </xf>
    <xf numFmtId="165" fontId="10" fillId="3" borderId="0" xfId="1" applyNumberFormat="1" applyFont="1" applyFill="1" applyAlignment="1">
      <alignment horizontal="right" vertical="center"/>
    </xf>
    <xf numFmtId="0" fontId="0" fillId="3" borderId="0" xfId="0" applyFill="1" applyBorder="1" applyAlignment="1">
      <alignment horizontal="left" indent="1"/>
    </xf>
    <xf numFmtId="165" fontId="10" fillId="3" borderId="0" xfId="1" applyNumberFormat="1" applyFont="1" applyFill="1" applyBorder="1" applyAlignment="1">
      <alignment horizontal="right" vertical="center"/>
    </xf>
    <xf numFmtId="165" fontId="4" fillId="3" borderId="0" xfId="1" applyNumberFormat="1" applyFont="1" applyFill="1" applyAlignment="1">
      <alignment horizontal="right" vertical="center"/>
    </xf>
    <xf numFmtId="165" fontId="2" fillId="3" borderId="0" xfId="3" applyNumberFormat="1" applyFont="1" applyFill="1" applyAlignment="1">
      <alignment vertical="center"/>
    </xf>
    <xf numFmtId="3" fontId="2" fillId="3" borderId="0" xfId="8" applyNumberFormat="1" applyFont="1" applyFill="1" applyAlignment="1">
      <alignment vertical="center"/>
    </xf>
    <xf numFmtId="3" fontId="5" fillId="3" borderId="0" xfId="7" applyNumberFormat="1" applyFont="1" applyFill="1" applyAlignment="1">
      <alignment vertical="center"/>
    </xf>
    <xf numFmtId="165" fontId="4" fillId="3" borderId="0" xfId="3" applyNumberFormat="1" applyFont="1" applyFill="1" applyAlignment="1">
      <alignment vertical="center"/>
    </xf>
    <xf numFmtId="3" fontId="6" fillId="3" borderId="0" xfId="7" applyNumberFormat="1" applyFont="1" applyFill="1" applyAlignment="1">
      <alignment vertical="center"/>
    </xf>
    <xf numFmtId="165" fontId="2" fillId="2" borderId="0" xfId="3" applyNumberFormat="1" applyFont="1" applyFill="1" applyBorder="1" applyAlignment="1">
      <alignment vertical="center"/>
    </xf>
    <xf numFmtId="165" fontId="11" fillId="2" borderId="0" xfId="3" applyNumberFormat="1" applyFont="1" applyFill="1" applyAlignment="1">
      <alignment vertical="center"/>
    </xf>
    <xf numFmtId="165" fontId="10" fillId="2" borderId="0" xfId="3" applyNumberFormat="1" applyFont="1" applyFill="1" applyAlignment="1">
      <alignment vertical="center"/>
    </xf>
    <xf numFmtId="3" fontId="10" fillId="2" borderId="0" xfId="9" applyNumberFormat="1" applyFont="1" applyFill="1" applyAlignment="1">
      <alignment vertical="center"/>
    </xf>
    <xf numFmtId="3" fontId="10" fillId="2" borderId="0" xfId="8" applyNumberFormat="1" applyFont="1" applyFill="1" applyAlignment="1">
      <alignment vertical="center"/>
    </xf>
    <xf numFmtId="3" fontId="7" fillId="2" borderId="0" xfId="7" applyNumberFormat="1" applyFont="1" applyFill="1" applyAlignment="1">
      <alignment vertical="center"/>
    </xf>
    <xf numFmtId="3" fontId="11" fillId="2" borderId="0" xfId="8" applyNumberFormat="1" applyFont="1" applyFill="1" applyAlignment="1">
      <alignment vertical="center"/>
    </xf>
    <xf numFmtId="3" fontId="20" fillId="2" borderId="0" xfId="0" applyNumberFormat="1" applyFont="1" applyFill="1"/>
    <xf numFmtId="3" fontId="11" fillId="2" borderId="0" xfId="9" applyNumberFormat="1" applyFont="1" applyFill="1" applyAlignment="1">
      <alignment vertical="center"/>
    </xf>
    <xf numFmtId="3" fontId="12" fillId="2" borderId="0" xfId="7" applyNumberFormat="1" applyFont="1" applyFill="1" applyAlignment="1">
      <alignment vertical="center"/>
    </xf>
    <xf numFmtId="3" fontId="11" fillId="2" borderId="0" xfId="8" applyNumberFormat="1" applyFont="1" applyFill="1" applyAlignment="1">
      <alignment vertical="center" wrapText="1"/>
    </xf>
    <xf numFmtId="3" fontId="10" fillId="2" borderId="0" xfId="8" applyNumberFormat="1" applyFont="1" applyFill="1" applyAlignment="1">
      <alignment horizontal="center" wrapText="1"/>
    </xf>
    <xf numFmtId="3" fontId="10" fillId="2" borderId="0" xfId="8" applyNumberFormat="1" applyFont="1" applyFill="1" applyAlignment="1">
      <alignment horizontal="right" wrapText="1"/>
    </xf>
    <xf numFmtId="3" fontId="10" fillId="2" borderId="0" xfId="5" applyNumberFormat="1" applyFont="1" applyFill="1" applyAlignment="1">
      <alignment horizontal="right" wrapText="1"/>
    </xf>
    <xf numFmtId="3" fontId="22" fillId="2" borderId="0" xfId="9" applyNumberFormat="1" applyFont="1" applyFill="1" applyAlignment="1">
      <alignment horizontal="right" vertical="center"/>
    </xf>
    <xf numFmtId="3" fontId="23" fillId="2" borderId="0" xfId="9" applyNumberFormat="1" applyFont="1" applyFill="1" applyAlignment="1">
      <alignment vertical="center"/>
    </xf>
    <xf numFmtId="3" fontId="22" fillId="2" borderId="0" xfId="9" applyNumberFormat="1" applyFont="1" applyFill="1" applyAlignment="1">
      <alignment vertical="center"/>
    </xf>
    <xf numFmtId="0" fontId="10" fillId="2" borderId="0" xfId="8" applyFont="1" applyFill="1" applyAlignment="1">
      <alignment vertical="top" wrapText="1"/>
    </xf>
    <xf numFmtId="3" fontId="10" fillId="2" borderId="0" xfId="9" applyNumberFormat="1" applyFont="1" applyFill="1" applyAlignment="1">
      <alignment horizontal="right" vertical="center"/>
    </xf>
    <xf numFmtId="0" fontId="10" fillId="2" borderId="0" xfId="6" applyFont="1" applyFill="1" applyAlignment="1">
      <alignment horizontal="left" wrapText="1"/>
    </xf>
    <xf numFmtId="165" fontId="12" fillId="2" borderId="0" xfId="7" applyNumberFormat="1" applyFont="1" applyFill="1" applyAlignment="1">
      <alignment horizontal="right" vertical="center"/>
    </xf>
    <xf numFmtId="0" fontId="10" fillId="2" borderId="0" xfId="6" applyFont="1" applyFill="1" applyAlignment="1">
      <alignment horizontal="left" vertical="top" wrapText="1" indent="1"/>
    </xf>
    <xf numFmtId="165" fontId="7" fillId="2" borderId="0" xfId="7" applyNumberFormat="1" applyFont="1" applyFill="1" applyAlignment="1">
      <alignment horizontal="right" vertical="center"/>
    </xf>
    <xf numFmtId="165" fontId="10" fillId="2" borderId="0" xfId="3" applyNumberFormat="1" applyFont="1" applyFill="1" applyAlignment="1">
      <alignment horizontal="right" vertical="center"/>
    </xf>
    <xf numFmtId="165" fontId="7" fillId="2" borderId="0" xfId="7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vertical="center"/>
    </xf>
    <xf numFmtId="0" fontId="11" fillId="3" borderId="0" xfId="12" applyFont="1" applyFill="1" applyBorder="1" applyAlignment="1">
      <alignment horizontal="left" vertical="top" wrapText="1"/>
    </xf>
    <xf numFmtId="0" fontId="10" fillId="3" borderId="0" xfId="12" applyFont="1" applyFill="1" applyBorder="1" applyAlignment="1">
      <alignment horizontal="left" vertical="top" wrapText="1" indent="1"/>
    </xf>
    <xf numFmtId="0" fontId="10" fillId="3" borderId="0" xfId="1" applyFont="1" applyFill="1" applyAlignment="1">
      <alignment horizontal="left" vertical="top" wrapText="1" indent="1"/>
    </xf>
    <xf numFmtId="0" fontId="11" fillId="3" borderId="0" xfId="1" applyFont="1" applyFill="1" applyAlignment="1">
      <alignment horizontal="left" vertical="top" wrapText="1"/>
    </xf>
    <xf numFmtId="0" fontId="11" fillId="3" borderId="0" xfId="1" applyFont="1" applyFill="1" applyBorder="1" applyAlignment="1">
      <alignment horizontal="left" vertical="top" wrapText="1"/>
    </xf>
    <xf numFmtId="0" fontId="10" fillId="3" borderId="0" xfId="1" applyFont="1" applyFill="1" applyBorder="1" applyAlignment="1">
      <alignment horizontal="left" vertical="top" wrapText="1" indent="1"/>
    </xf>
    <xf numFmtId="0" fontId="20" fillId="3" borderId="0" xfId="0" applyFont="1" applyFill="1"/>
    <xf numFmtId="0" fontId="20" fillId="4" borderId="0" xfId="0" applyFont="1" applyFill="1"/>
    <xf numFmtId="0" fontId="0" fillId="4" borderId="1" xfId="0" applyFill="1" applyBorder="1" applyAlignment="1">
      <alignment horizontal="center"/>
    </xf>
    <xf numFmtId="169" fontId="0" fillId="4" borderId="0" xfId="0" applyNumberFormat="1" applyFill="1" applyAlignment="1">
      <alignment horizontal="center"/>
    </xf>
    <xf numFmtId="0" fontId="18" fillId="2" borderId="0" xfId="12" applyFont="1" applyFill="1" applyBorder="1" applyAlignment="1">
      <alignment horizontal="left" vertical="top" wrapText="1"/>
    </xf>
    <xf numFmtId="0" fontId="19" fillId="2" borderId="0" xfId="12" applyFont="1" applyFill="1" applyBorder="1" applyAlignment="1">
      <alignment horizontal="left" vertical="top" wrapText="1" indent="1"/>
    </xf>
    <xf numFmtId="3" fontId="2" fillId="2" borderId="0" xfId="9" applyNumberFormat="1" applyFont="1" applyFill="1" applyAlignment="1">
      <alignment vertical="center"/>
    </xf>
    <xf numFmtId="3" fontId="2" fillId="2" borderId="0" xfId="8" applyNumberFormat="1" applyFont="1" applyFill="1" applyAlignment="1">
      <alignment vertical="center"/>
    </xf>
    <xf numFmtId="3" fontId="5" fillId="2" borderId="0" xfId="7" applyNumberFormat="1" applyFont="1" applyFill="1" applyAlignment="1">
      <alignment vertical="center"/>
    </xf>
    <xf numFmtId="3" fontId="4" fillId="2" borderId="0" xfId="9" applyNumberFormat="1" applyFont="1" applyFill="1" applyAlignment="1">
      <alignment vertical="center"/>
    </xf>
    <xf numFmtId="3" fontId="4" fillId="2" borderId="0" xfId="8" applyNumberFormat="1" applyFont="1" applyFill="1" applyAlignment="1">
      <alignment vertical="center"/>
    </xf>
    <xf numFmtId="3" fontId="6" fillId="2" borderId="0" xfId="7" applyNumberFormat="1" applyFont="1" applyFill="1" applyAlignment="1">
      <alignment vertical="center"/>
    </xf>
    <xf numFmtId="172" fontId="7" fillId="2" borderId="0" xfId="0" applyNumberFormat="1" applyFont="1" applyFill="1"/>
    <xf numFmtId="0" fontId="13" fillId="5" borderId="0" xfId="1" applyFont="1" applyFill="1" applyAlignment="1">
      <alignment horizontal="left" vertical="top" wrapText="1"/>
    </xf>
    <xf numFmtId="165" fontId="13" fillId="5" borderId="0" xfId="1" applyNumberFormat="1" applyFont="1" applyFill="1" applyAlignment="1">
      <alignment horizontal="right" vertical="center"/>
    </xf>
    <xf numFmtId="0" fontId="13" fillId="5" borderId="0" xfId="3" applyFont="1" applyFill="1" applyAlignment="1">
      <alignment vertical="center" wrapText="1"/>
    </xf>
    <xf numFmtId="0" fontId="13" fillId="5" borderId="0" xfId="0" applyFont="1" applyFill="1" applyAlignment="1">
      <alignment horizontal="left"/>
    </xf>
    <xf numFmtId="165" fontId="13" fillId="5" borderId="0" xfId="0" applyNumberFormat="1" applyFont="1" applyFill="1" applyAlignment="1">
      <alignment horizontal="right"/>
    </xf>
    <xf numFmtId="165" fontId="6" fillId="5" borderId="0" xfId="0" applyNumberFormat="1" applyFont="1" applyFill="1"/>
    <xf numFmtId="0" fontId="13" fillId="5" borderId="0" xfId="5" applyFont="1" applyFill="1" applyAlignment="1">
      <alignment vertical="top" wrapText="1"/>
    </xf>
    <xf numFmtId="3" fontId="13" fillId="5" borderId="0" xfId="5" applyNumberFormat="1" applyFont="1" applyFill="1" applyAlignment="1">
      <alignment horizontal="right" vertical="center"/>
    </xf>
    <xf numFmtId="0" fontId="13" fillId="5" borderId="0" xfId="5" applyFont="1" applyFill="1" applyAlignment="1">
      <alignment horizontal="left" vertical="top" wrapText="1"/>
    </xf>
    <xf numFmtId="166" fontId="2" fillId="5" borderId="0" xfId="5" applyNumberFormat="1" applyFont="1" applyFill="1" applyAlignment="1">
      <alignment horizontal="right" vertical="center"/>
    </xf>
    <xf numFmtId="0" fontId="13" fillId="5" borderId="0" xfId="6" applyFont="1" applyFill="1" applyAlignment="1">
      <alignment vertical="top" wrapText="1"/>
    </xf>
    <xf numFmtId="165" fontId="13" fillId="5" borderId="0" xfId="3" applyNumberFormat="1" applyFont="1" applyFill="1" applyAlignment="1">
      <alignment vertical="center"/>
    </xf>
    <xf numFmtId="0" fontId="13" fillId="5" borderId="0" xfId="3" applyFont="1" applyFill="1" applyAlignment="1">
      <alignment vertical="top" wrapText="1"/>
    </xf>
    <xf numFmtId="165" fontId="13" fillId="5" borderId="0" xfId="3" applyNumberFormat="1" applyFont="1" applyFill="1" applyAlignment="1">
      <alignment horizontal="right" vertical="center"/>
    </xf>
    <xf numFmtId="165" fontId="14" fillId="5" borderId="0" xfId="3" applyNumberFormat="1" applyFont="1" applyFill="1" applyAlignment="1">
      <alignment horizontal="right" vertical="center"/>
    </xf>
    <xf numFmtId="0" fontId="22" fillId="5" borderId="0" xfId="6" applyFont="1" applyFill="1" applyAlignment="1">
      <alignment vertical="top" wrapText="1"/>
    </xf>
    <xf numFmtId="0" fontId="22" fillId="5" borderId="0" xfId="3" applyFont="1" applyFill="1" applyAlignment="1">
      <alignment vertical="top" wrapText="1"/>
    </xf>
    <xf numFmtId="165" fontId="22" fillId="5" borderId="0" xfId="3" applyNumberFormat="1" applyFont="1" applyFill="1" applyAlignment="1">
      <alignment horizontal="right" vertical="center"/>
    </xf>
    <xf numFmtId="165" fontId="15" fillId="5" borderId="0" xfId="0" applyNumberFormat="1" applyFont="1" applyFill="1"/>
    <xf numFmtId="0" fontId="22" fillId="5" borderId="0" xfId="8" applyFont="1" applyFill="1" applyAlignment="1">
      <alignment horizontal="left" vertical="top" wrapText="1"/>
    </xf>
    <xf numFmtId="3" fontId="22" fillId="5" borderId="0" xfId="9" applyNumberFormat="1" applyFont="1" applyFill="1" applyAlignment="1">
      <alignment horizontal="right" vertical="center"/>
    </xf>
    <xf numFmtId="3" fontId="23" fillId="5" borderId="0" xfId="9" applyNumberFormat="1" applyFont="1" applyFill="1" applyAlignment="1">
      <alignment vertical="center"/>
    </xf>
    <xf numFmtId="3" fontId="10" fillId="5" borderId="0" xfId="8" applyNumberFormat="1" applyFont="1" applyFill="1" applyAlignment="1">
      <alignment vertical="center"/>
    </xf>
    <xf numFmtId="3" fontId="22" fillId="5" borderId="0" xfId="9" applyNumberFormat="1" applyFont="1" applyFill="1" applyAlignment="1">
      <alignment vertical="center"/>
    </xf>
    <xf numFmtId="3" fontId="10" fillId="5" borderId="0" xfId="9" applyNumberFormat="1" applyFont="1" applyFill="1" applyAlignment="1">
      <alignment horizontal="center" vertical="center"/>
    </xf>
    <xf numFmtId="3" fontId="11" fillId="5" borderId="0" xfId="8" applyNumberFormat="1" applyFont="1" applyFill="1" applyAlignment="1">
      <alignment vertical="center"/>
    </xf>
    <xf numFmtId="3" fontId="10" fillId="5" borderId="0" xfId="9" applyNumberFormat="1" applyFont="1" applyFill="1" applyAlignment="1">
      <alignment vertical="center"/>
    </xf>
    <xf numFmtId="0" fontId="13" fillId="5" borderId="0" xfId="10" applyFont="1" applyFill="1" applyAlignment="1">
      <alignment horizontal="left" vertical="top" wrapText="1"/>
    </xf>
    <xf numFmtId="170" fontId="14" fillId="5" borderId="0" xfId="10" applyNumberFormat="1" applyFont="1" applyFill="1" applyAlignment="1">
      <alignment horizontal="right"/>
    </xf>
    <xf numFmtId="168" fontId="14" fillId="5" borderId="0" xfId="10" applyNumberFormat="1" applyFont="1" applyFill="1" applyAlignment="1">
      <alignment horizontal="right"/>
    </xf>
    <xf numFmtId="170" fontId="2" fillId="5" borderId="0" xfId="10" applyNumberFormat="1" applyFont="1" applyFill="1" applyAlignment="1">
      <alignment horizontal="center"/>
    </xf>
    <xf numFmtId="168" fontId="4" fillId="5" borderId="0" xfId="10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right" vertical="center"/>
    </xf>
    <xf numFmtId="165" fontId="22" fillId="5" borderId="0" xfId="7" applyNumberFormat="1" applyFont="1" applyFill="1" applyAlignment="1">
      <alignment horizontal="right" vertical="center"/>
    </xf>
    <xf numFmtId="165" fontId="11" fillId="2" borderId="0" xfId="3" applyNumberFormat="1" applyFont="1" applyFill="1" applyAlignment="1">
      <alignment horizontal="right" vertical="center"/>
    </xf>
    <xf numFmtId="165" fontId="12" fillId="2" borderId="0" xfId="7" applyNumberFormat="1" applyFont="1" applyFill="1" applyAlignment="1">
      <alignment vertical="center"/>
    </xf>
    <xf numFmtId="169" fontId="0" fillId="4" borderId="0" xfId="0" applyNumberFormat="1" applyFill="1"/>
    <xf numFmtId="3" fontId="0" fillId="4" borderId="0" xfId="0" applyNumberFormat="1" applyFill="1"/>
    <xf numFmtId="172" fontId="2" fillId="2" borderId="0" xfId="10" applyNumberFormat="1" applyFont="1" applyFill="1"/>
    <xf numFmtId="172" fontId="4" fillId="2" borderId="0" xfId="10" applyNumberFormat="1" applyFont="1" applyFill="1"/>
    <xf numFmtId="173" fontId="12" fillId="2" borderId="0" xfId="0" applyNumberFormat="1" applyFont="1" applyFill="1"/>
    <xf numFmtId="169" fontId="12" fillId="2" borderId="0" xfId="0" applyNumberFormat="1" applyFont="1" applyFill="1"/>
    <xf numFmtId="169" fontId="7" fillId="2" borderId="0" xfId="0" applyNumberFormat="1" applyFont="1" applyFill="1"/>
    <xf numFmtId="0" fontId="0" fillId="6" borderId="0" xfId="0" applyFill="1"/>
    <xf numFmtId="0" fontId="10" fillId="2" borderId="1" xfId="16" applyFont="1" applyFill="1" applyBorder="1" applyAlignment="1">
      <alignment horizontal="center" vertical="center" wrapText="1"/>
    </xf>
    <xf numFmtId="0" fontId="10" fillId="2" borderId="0" xfId="16" applyFont="1" applyFill="1" applyBorder="1" applyAlignment="1">
      <alignment vertical="top" wrapText="1"/>
    </xf>
    <xf numFmtId="3" fontId="10" fillId="2" borderId="0" xfId="16" applyNumberFormat="1" applyFont="1" applyFill="1" applyBorder="1" applyAlignment="1">
      <alignment horizontal="right" vertical="center"/>
    </xf>
    <xf numFmtId="3" fontId="11" fillId="2" borderId="0" xfId="16" applyNumberFormat="1" applyFont="1" applyFill="1" applyBorder="1" applyAlignment="1">
      <alignment horizontal="right" vertical="center"/>
    </xf>
    <xf numFmtId="3" fontId="10" fillId="2" borderId="1" xfId="16" applyNumberFormat="1" applyFont="1" applyFill="1" applyBorder="1" applyAlignment="1">
      <alignment horizontal="right" vertical="center"/>
    </xf>
    <xf numFmtId="0" fontId="23" fillId="7" borderId="0" xfId="16" applyFont="1" applyFill="1" applyBorder="1" applyAlignment="1">
      <alignment vertical="top" wrapText="1"/>
    </xf>
    <xf numFmtId="0" fontId="23" fillId="5" borderId="0" xfId="16" applyFont="1" applyFill="1" applyBorder="1" applyAlignment="1">
      <alignment vertical="top" wrapText="1"/>
    </xf>
    <xf numFmtId="3" fontId="22" fillId="7" borderId="0" xfId="16" applyNumberFormat="1" applyFont="1" applyFill="1" applyBorder="1" applyAlignment="1">
      <alignment horizontal="right" vertical="center"/>
    </xf>
    <xf numFmtId="0" fontId="22" fillId="7" borderId="0" xfId="16" applyFont="1" applyFill="1" applyBorder="1" applyAlignment="1">
      <alignment vertical="top" wrapText="1"/>
    </xf>
    <xf numFmtId="0" fontId="11" fillId="2" borderId="0" xfId="16" applyFont="1" applyFill="1" applyBorder="1" applyAlignment="1">
      <alignment vertical="top" wrapText="1"/>
    </xf>
    <xf numFmtId="3" fontId="0" fillId="6" borderId="0" xfId="0" applyNumberFormat="1" applyFill="1"/>
    <xf numFmtId="0" fontId="10" fillId="2" borderId="1" xfId="3" applyFont="1" applyFill="1" applyBorder="1" applyAlignment="1">
      <alignment horizontal="center" vertical="center" wrapText="1"/>
    </xf>
    <xf numFmtId="0" fontId="10" fillId="2" borderId="0" xfId="18" applyFont="1" applyFill="1" applyBorder="1" applyAlignment="1">
      <alignment vertical="top" wrapText="1"/>
    </xf>
    <xf numFmtId="174" fontId="10" fillId="2" borderId="0" xfId="14" applyNumberFormat="1" applyFont="1" applyFill="1" applyBorder="1" applyAlignment="1">
      <alignment horizontal="right" vertical="center"/>
    </xf>
    <xf numFmtId="174" fontId="11" fillId="2" borderId="0" xfId="14" applyNumberFormat="1" applyFont="1" applyFill="1" applyBorder="1" applyAlignment="1">
      <alignment horizontal="right" vertical="center"/>
    </xf>
    <xf numFmtId="174" fontId="10" fillId="2" borderId="1" xfId="14" applyNumberFormat="1" applyFont="1" applyFill="1" applyBorder="1" applyAlignment="1">
      <alignment horizontal="right" vertical="center"/>
    </xf>
    <xf numFmtId="0" fontId="11" fillId="2" borderId="0" xfId="18" applyFont="1" applyFill="1" applyBorder="1" applyAlignment="1">
      <alignment vertical="top" wrapText="1"/>
    </xf>
    <xf numFmtId="174" fontId="23" fillId="5" borderId="0" xfId="14" applyNumberFormat="1" applyFont="1" applyFill="1" applyBorder="1" applyAlignment="1">
      <alignment horizontal="right" vertical="center"/>
    </xf>
    <xf numFmtId="0" fontId="22" fillId="5" borderId="0" xfId="15" applyFont="1" applyFill="1" applyBorder="1" applyAlignment="1">
      <alignment horizontal="left" vertical="top" wrapText="1"/>
    </xf>
    <xf numFmtId="174" fontId="10" fillId="5" borderId="0" xfId="14" applyNumberFormat="1" applyFont="1" applyFill="1" applyBorder="1" applyAlignment="1">
      <alignment horizontal="right" vertical="center"/>
    </xf>
    <xf numFmtId="174" fontId="0" fillId="3" borderId="0" xfId="0" applyNumberFormat="1" applyFill="1"/>
    <xf numFmtId="0" fontId="17" fillId="2" borderId="0" xfId="20" applyFont="1" applyFill="1" applyBorder="1" applyAlignment="1">
      <alignment vertical="top" wrapText="1"/>
    </xf>
    <xf numFmtId="174" fontId="17" fillId="2" borderId="0" xfId="14" applyNumberFormat="1" applyFont="1" applyFill="1" applyBorder="1" applyAlignment="1">
      <alignment horizontal="right" vertical="center"/>
    </xf>
    <xf numFmtId="0" fontId="17" fillId="2" borderId="0" xfId="20" applyFont="1" applyFill="1" applyBorder="1" applyAlignment="1">
      <alignment horizontal="left" vertical="top" wrapText="1"/>
    </xf>
    <xf numFmtId="0" fontId="17" fillId="2" borderId="1" xfId="20" applyFont="1" applyFill="1" applyBorder="1" applyAlignment="1">
      <alignment horizontal="left" vertical="top" wrapText="1"/>
    </xf>
    <xf numFmtId="174" fontId="17" fillId="2" borderId="1" xfId="14" applyNumberFormat="1" applyFont="1" applyFill="1" applyBorder="1" applyAlignment="1">
      <alignment horizontal="right" vertical="center"/>
    </xf>
    <xf numFmtId="0" fontId="25" fillId="7" borderId="0" xfId="20" applyFont="1" applyFill="1" applyBorder="1" applyAlignment="1">
      <alignment vertical="top" wrapText="1"/>
    </xf>
    <xf numFmtId="174" fontId="25" fillId="7" borderId="0" xfId="14" applyNumberFormat="1" applyFont="1" applyFill="1" applyBorder="1" applyAlignment="1">
      <alignment horizontal="right" vertical="center"/>
    </xf>
    <xf numFmtId="0" fontId="22" fillId="7" borderId="0" xfId="15" applyFont="1" applyFill="1" applyBorder="1" applyAlignment="1">
      <alignment horizontal="left" vertical="top" wrapText="1"/>
    </xf>
    <xf numFmtId="174" fontId="17" fillId="7" borderId="0" xfId="14" applyNumberFormat="1" applyFont="1" applyFill="1" applyBorder="1" applyAlignment="1">
      <alignment horizontal="right" vertical="center"/>
    </xf>
    <xf numFmtId="0" fontId="10" fillId="2" borderId="0" xfId="22" applyFont="1" applyFill="1" applyBorder="1" applyAlignment="1">
      <alignment vertical="top" wrapText="1"/>
    </xf>
    <xf numFmtId="0" fontId="10" fillId="2" borderId="0" xfId="22" applyFont="1" applyFill="1" applyBorder="1" applyAlignment="1">
      <alignment horizontal="left" vertical="top" wrapText="1"/>
    </xf>
    <xf numFmtId="0" fontId="10" fillId="2" borderId="1" xfId="22" applyFont="1" applyFill="1" applyBorder="1" applyAlignment="1">
      <alignment horizontal="left" vertical="top" wrapText="1"/>
    </xf>
    <xf numFmtId="0" fontId="10" fillId="2" borderId="1" xfId="3" applyFont="1" applyFill="1" applyBorder="1" applyAlignment="1">
      <alignment vertical="center" wrapText="1"/>
    </xf>
    <xf numFmtId="0" fontId="10" fillId="2" borderId="0" xfId="24" applyFont="1" applyFill="1" applyBorder="1" applyAlignment="1">
      <alignment vertical="top" wrapText="1"/>
    </xf>
    <xf numFmtId="174" fontId="10" fillId="2" borderId="0" xfId="14" applyNumberFormat="1" applyFont="1" applyFill="1" applyBorder="1" applyAlignment="1">
      <alignment horizontal="center" vertical="center"/>
    </xf>
    <xf numFmtId="174" fontId="11" fillId="2" borderId="0" xfId="14" applyNumberFormat="1" applyFont="1" applyFill="1" applyBorder="1" applyAlignment="1">
      <alignment horizontal="center" vertical="center"/>
    </xf>
    <xf numFmtId="174" fontId="10" fillId="2" borderId="1" xfId="14" applyNumberFormat="1" applyFont="1" applyFill="1" applyBorder="1" applyAlignment="1">
      <alignment horizontal="center" vertical="center"/>
    </xf>
    <xf numFmtId="0" fontId="11" fillId="2" borderId="0" xfId="24" applyFont="1" applyFill="1" applyBorder="1" applyAlignment="1">
      <alignment vertical="top" wrapText="1"/>
    </xf>
    <xf numFmtId="0" fontId="23" fillId="5" borderId="0" xfId="20" applyFont="1" applyFill="1" applyBorder="1" applyAlignment="1">
      <alignment vertical="top" wrapText="1"/>
    </xf>
    <xf numFmtId="174" fontId="23" fillId="5" borderId="0" xfId="14" applyNumberFormat="1" applyFont="1" applyFill="1" applyBorder="1" applyAlignment="1">
      <alignment vertical="center"/>
    </xf>
    <xf numFmtId="174" fontId="23" fillId="5" borderId="0" xfId="14" applyNumberFormat="1" applyFont="1" applyFill="1" applyBorder="1" applyAlignment="1">
      <alignment horizontal="center" vertical="center"/>
    </xf>
    <xf numFmtId="174" fontId="10" fillId="5" borderId="0" xfId="14" applyNumberFormat="1" applyFont="1" applyFill="1" applyBorder="1" applyAlignment="1">
      <alignment horizontal="center" vertical="center"/>
    </xf>
    <xf numFmtId="0" fontId="17" fillId="2" borderId="3" xfId="3" applyFont="1" applyFill="1" applyBorder="1" applyAlignment="1">
      <alignment horizontal="center" wrapText="1"/>
    </xf>
    <xf numFmtId="0" fontId="17" fillId="2" borderId="3" xfId="3" applyFont="1" applyFill="1" applyBorder="1" applyAlignment="1">
      <alignment horizontal="center"/>
    </xf>
    <xf numFmtId="0" fontId="27" fillId="2" borderId="0" xfId="3" applyFont="1" applyFill="1" applyBorder="1" applyAlignment="1">
      <alignment vertical="top" wrapText="1"/>
    </xf>
    <xf numFmtId="174" fontId="27" fillId="2" borderId="0" xfId="14" applyNumberFormat="1" applyFont="1" applyFill="1" applyBorder="1" applyAlignment="1">
      <alignment horizontal="right" vertical="center"/>
    </xf>
    <xf numFmtId="174" fontId="18" fillId="2" borderId="0" xfId="14" applyNumberFormat="1" applyFont="1" applyFill="1" applyBorder="1" applyAlignment="1">
      <alignment horizontal="right" vertical="center"/>
    </xf>
    <xf numFmtId="0" fontId="18" fillId="2" borderId="0" xfId="3" applyFont="1" applyFill="1" applyBorder="1" applyAlignment="1">
      <alignment horizontal="left" vertical="top" wrapText="1"/>
    </xf>
    <xf numFmtId="169" fontId="17" fillId="2" borderId="0" xfId="14" applyNumberFormat="1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left"/>
    </xf>
    <xf numFmtId="0" fontId="27" fillId="5" borderId="0" xfId="3" applyFont="1" applyFill="1" applyBorder="1" applyAlignment="1">
      <alignment vertical="top" wrapText="1"/>
    </xf>
    <xf numFmtId="174" fontId="27" fillId="5" borderId="0" xfId="14" applyNumberFormat="1" applyFont="1" applyFill="1" applyBorder="1" applyAlignment="1">
      <alignment horizontal="right" vertical="center"/>
    </xf>
    <xf numFmtId="174" fontId="27" fillId="5" borderId="0" xfId="14" applyNumberFormat="1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 wrapText="1"/>
    </xf>
    <xf numFmtId="0" fontId="25" fillId="2" borderId="0" xfId="6" applyFont="1" applyFill="1" applyBorder="1" applyAlignment="1">
      <alignment vertical="top" wrapText="1"/>
    </xf>
    <xf numFmtId="3" fontId="25" fillId="2" borderId="0" xfId="6" applyNumberFormat="1" applyFont="1" applyFill="1" applyBorder="1" applyAlignment="1">
      <alignment horizontal="right" vertical="center"/>
    </xf>
    <xf numFmtId="0" fontId="17" fillId="2" borderId="0" xfId="6" applyFont="1" applyFill="1" applyBorder="1" applyAlignment="1">
      <alignment vertical="top" wrapText="1"/>
    </xf>
    <xf numFmtId="3" fontId="17" fillId="2" borderId="0" xfId="6" applyNumberFormat="1" applyFont="1" applyFill="1" applyBorder="1" applyAlignment="1">
      <alignment horizontal="right" vertical="center"/>
    </xf>
    <xf numFmtId="3" fontId="29" fillId="2" borderId="0" xfId="6" applyNumberFormat="1" applyFont="1" applyFill="1" applyBorder="1" applyAlignment="1">
      <alignment horizontal="right" vertical="center"/>
    </xf>
    <xf numFmtId="3" fontId="18" fillId="2" borderId="0" xfId="6" applyNumberFormat="1" applyFont="1" applyFill="1" applyBorder="1" applyAlignment="1">
      <alignment horizontal="right" vertical="center"/>
    </xf>
    <xf numFmtId="3" fontId="30" fillId="2" borderId="0" xfId="6" applyNumberFormat="1" applyFont="1" applyFill="1" applyBorder="1" applyAlignment="1">
      <alignment horizontal="right" vertical="center"/>
    </xf>
    <xf numFmtId="3" fontId="17" fillId="2" borderId="1" xfId="6" applyNumberFormat="1" applyFont="1" applyFill="1" applyBorder="1" applyAlignment="1">
      <alignment horizontal="right" vertical="center"/>
    </xf>
    <xf numFmtId="3" fontId="29" fillId="2" borderId="1" xfId="6" applyNumberFormat="1" applyFont="1" applyFill="1" applyBorder="1" applyAlignment="1">
      <alignment horizontal="right" vertical="center"/>
    </xf>
    <xf numFmtId="0" fontId="18" fillId="2" borderId="0" xfId="6" applyFont="1" applyFill="1" applyBorder="1" applyAlignment="1">
      <alignment vertical="top" wrapText="1"/>
    </xf>
    <xf numFmtId="0" fontId="27" fillId="5" borderId="0" xfId="6" applyFont="1" applyFill="1" applyBorder="1" applyAlignment="1">
      <alignment vertical="top" wrapText="1"/>
    </xf>
    <xf numFmtId="3" fontId="27" fillId="5" borderId="0" xfId="6" applyNumberFormat="1" applyFont="1" applyFill="1" applyBorder="1" applyAlignment="1">
      <alignment horizontal="right" vertical="center"/>
    </xf>
    <xf numFmtId="3" fontId="25" fillId="5" borderId="0" xfId="6" applyNumberFormat="1" applyFont="1" applyFill="1" applyBorder="1" applyAlignment="1">
      <alignment horizontal="right" vertical="center"/>
    </xf>
    <xf numFmtId="0" fontId="25" fillId="5" borderId="0" xfId="6" applyFont="1" applyFill="1" applyBorder="1" applyAlignment="1">
      <alignment vertical="top" wrapText="1"/>
    </xf>
    <xf numFmtId="3" fontId="17" fillId="5" borderId="0" xfId="6" applyNumberFormat="1" applyFont="1" applyFill="1" applyBorder="1" applyAlignment="1">
      <alignment horizontal="right" vertical="center"/>
    </xf>
    <xf numFmtId="3" fontId="29" fillId="5" borderId="0" xfId="6" applyNumberFormat="1" applyFont="1" applyFill="1" applyBorder="1" applyAlignment="1">
      <alignment horizontal="right" vertical="center"/>
    </xf>
    <xf numFmtId="0" fontId="10" fillId="2" borderId="2" xfId="26" applyFont="1" applyFill="1" applyBorder="1" applyAlignment="1">
      <alignment horizontal="center" wrapText="1"/>
    </xf>
    <xf numFmtId="0" fontId="10" fillId="2" borderId="1" xfId="26" applyFont="1" applyFill="1" applyBorder="1" applyAlignment="1">
      <alignment horizontal="center" vertical="center" wrapText="1"/>
    </xf>
    <xf numFmtId="0" fontId="10" fillId="2" borderId="0" xfId="27" applyFont="1" applyFill="1" applyBorder="1" applyAlignment="1">
      <alignment vertical="top" wrapText="1"/>
    </xf>
    <xf numFmtId="0" fontId="11" fillId="2" borderId="0" xfId="27" applyFont="1" applyFill="1" applyBorder="1" applyAlignment="1">
      <alignment vertical="top" wrapText="1"/>
    </xf>
    <xf numFmtId="0" fontId="23" fillId="5" borderId="0" xfId="27" applyFont="1" applyFill="1" applyBorder="1" applyAlignment="1">
      <alignment vertical="top" wrapText="1"/>
    </xf>
    <xf numFmtId="0" fontId="7" fillId="2" borderId="1" xfId="3" applyFont="1" applyFill="1" applyBorder="1" applyAlignment="1">
      <alignment horizontal="center" vertical="center" wrapText="1"/>
    </xf>
    <xf numFmtId="0" fontId="10" fillId="2" borderId="1" xfId="30" applyFont="1" applyFill="1" applyBorder="1" applyAlignment="1">
      <alignment horizontal="center" vertical="center" wrapText="1"/>
    </xf>
    <xf numFmtId="0" fontId="10" fillId="2" borderId="0" xfId="31" applyFont="1" applyFill="1" applyBorder="1" applyAlignment="1">
      <alignment vertical="top" wrapText="1"/>
    </xf>
    <xf numFmtId="3" fontId="10" fillId="2" borderId="0" xfId="31" applyNumberFormat="1" applyFont="1" applyFill="1" applyBorder="1" applyAlignment="1">
      <alignment horizontal="right" vertical="center"/>
    </xf>
    <xf numFmtId="3" fontId="11" fillId="2" borderId="0" xfId="31" applyNumberFormat="1" applyFont="1" applyFill="1" applyBorder="1" applyAlignment="1">
      <alignment horizontal="right" vertical="center"/>
    </xf>
    <xf numFmtId="0" fontId="10" fillId="2" borderId="0" xfId="31" applyFont="1" applyFill="1" applyBorder="1" applyAlignment="1">
      <alignment horizontal="left" vertical="top" wrapText="1" indent="1"/>
    </xf>
    <xf numFmtId="0" fontId="10" fillId="2" borderId="1" xfId="31" applyFont="1" applyFill="1" applyBorder="1" applyAlignment="1">
      <alignment horizontal="left" vertical="top" wrapText="1" indent="1"/>
    </xf>
    <xf numFmtId="3" fontId="10" fillId="2" borderId="1" xfId="31" applyNumberFormat="1" applyFont="1" applyFill="1" applyBorder="1" applyAlignment="1">
      <alignment horizontal="right" vertical="center"/>
    </xf>
    <xf numFmtId="0" fontId="10" fillId="2" borderId="1" xfId="32" applyFont="1" applyFill="1" applyBorder="1" applyAlignment="1">
      <alignment horizontal="center" vertical="center" wrapText="1"/>
    </xf>
    <xf numFmtId="3" fontId="10" fillId="2" borderId="0" xfId="33" applyNumberFormat="1" applyFont="1" applyFill="1" applyBorder="1" applyAlignment="1">
      <alignment vertical="top" wrapText="1"/>
    </xf>
    <xf numFmtId="3" fontId="10" fillId="2" borderId="0" xfId="33" applyNumberFormat="1" applyFont="1" applyFill="1" applyBorder="1" applyAlignment="1">
      <alignment horizontal="right" vertical="center"/>
    </xf>
    <xf numFmtId="3" fontId="11" fillId="2" borderId="0" xfId="33" applyNumberFormat="1" applyFont="1" applyFill="1" applyBorder="1" applyAlignment="1">
      <alignment horizontal="left" vertical="top" wrapText="1"/>
    </xf>
    <xf numFmtId="3" fontId="11" fillId="2" borderId="0" xfId="33" applyNumberFormat="1" applyFont="1" applyFill="1" applyBorder="1" applyAlignment="1">
      <alignment horizontal="right" vertical="center"/>
    </xf>
    <xf numFmtId="3" fontId="10" fillId="2" borderId="0" xfId="33" applyNumberFormat="1" applyFont="1" applyFill="1" applyBorder="1" applyAlignment="1">
      <alignment horizontal="left" vertical="top" wrapText="1" indent="1"/>
    </xf>
    <xf numFmtId="3" fontId="10" fillId="2" borderId="1" xfId="33" applyNumberFormat="1" applyFont="1" applyFill="1" applyBorder="1" applyAlignment="1">
      <alignment horizontal="left" vertical="top" wrapText="1" indent="1"/>
    </xf>
    <xf numFmtId="3" fontId="10" fillId="2" borderId="1" xfId="33" applyNumberFormat="1" applyFont="1" applyFill="1" applyBorder="1" applyAlignment="1">
      <alignment horizontal="right" vertical="center"/>
    </xf>
    <xf numFmtId="3" fontId="23" fillId="5" borderId="0" xfId="33" applyNumberFormat="1" applyFont="1" applyFill="1" applyBorder="1" applyAlignment="1">
      <alignment vertical="top" wrapText="1"/>
    </xf>
    <xf numFmtId="3" fontId="23" fillId="5" borderId="0" xfId="33" applyNumberFormat="1" applyFont="1" applyFill="1" applyBorder="1" applyAlignment="1">
      <alignment horizontal="right" vertical="center"/>
    </xf>
    <xf numFmtId="3" fontId="22" fillId="5" borderId="0" xfId="14" applyNumberFormat="1" applyFont="1" applyFill="1" applyBorder="1" applyAlignment="1">
      <alignment horizontal="left" vertical="center" wrapText="1"/>
    </xf>
    <xf numFmtId="3" fontId="10" fillId="5" borderId="0" xfId="33" applyNumberFormat="1" applyFont="1" applyFill="1" applyBorder="1" applyAlignment="1">
      <alignment horizontal="right" vertical="center"/>
    </xf>
    <xf numFmtId="3" fontId="22" fillId="5" borderId="0" xfId="15" applyNumberFormat="1" applyFont="1" applyFill="1" applyBorder="1" applyAlignment="1">
      <alignment horizontal="left" vertical="top" wrapText="1"/>
    </xf>
    <xf numFmtId="0" fontId="10" fillId="2" borderId="0" xfId="12" applyFont="1" applyFill="1" applyBorder="1" applyAlignment="1">
      <alignment horizontal="center" vertical="center" wrapText="1"/>
    </xf>
    <xf numFmtId="0" fontId="22" fillId="5" borderId="0" xfId="12" applyFont="1" applyFill="1" applyBorder="1" applyAlignment="1">
      <alignment vertical="top" wrapText="1"/>
    </xf>
    <xf numFmtId="165" fontId="22" fillId="5" borderId="0" xfId="12" applyNumberFormat="1" applyFont="1" applyFill="1" applyBorder="1" applyAlignment="1">
      <alignment horizontal="right" vertical="center"/>
    </xf>
    <xf numFmtId="0" fontId="10" fillId="2" borderId="0" xfId="12" applyFont="1" applyFill="1" applyBorder="1" applyAlignment="1">
      <alignment vertical="top" wrapText="1"/>
    </xf>
    <xf numFmtId="165" fontId="10" fillId="2" borderId="0" xfId="12" applyNumberFormat="1" applyFont="1" applyFill="1" applyBorder="1" applyAlignment="1">
      <alignment horizontal="right" vertical="center"/>
    </xf>
    <xf numFmtId="0" fontId="22" fillId="5" borderId="0" xfId="11" applyFont="1" applyFill="1" applyAlignment="1">
      <alignment horizontal="left" vertical="top" wrapText="1"/>
    </xf>
    <xf numFmtId="165" fontId="10" fillId="5" borderId="0" xfId="12" applyNumberFormat="1" applyFont="1" applyFill="1" applyBorder="1" applyAlignment="1">
      <alignment horizontal="right" vertical="center"/>
    </xf>
    <xf numFmtId="0" fontId="10" fillId="2" borderId="0" xfId="12" applyFont="1" applyFill="1" applyBorder="1" applyAlignment="1">
      <alignment horizontal="left" vertical="top" wrapText="1" indent="1"/>
    </xf>
    <xf numFmtId="175" fontId="10" fillId="2" borderId="0" xfId="12" applyNumberFormat="1" applyFont="1" applyFill="1" applyBorder="1" applyAlignment="1">
      <alignment horizontal="right" vertical="center"/>
    </xf>
    <xf numFmtId="166" fontId="10" fillId="2" borderId="0" xfId="12" applyNumberFormat="1" applyFont="1" applyFill="1" applyBorder="1" applyAlignment="1">
      <alignment horizontal="right" vertical="center"/>
    </xf>
    <xf numFmtId="0" fontId="10" fillId="2" borderId="1" xfId="12" applyFont="1" applyFill="1" applyBorder="1" applyAlignment="1">
      <alignment horizontal="left" vertical="top" wrapText="1" indent="1"/>
    </xf>
    <xf numFmtId="165" fontId="10" fillId="2" borderId="1" xfId="12" applyNumberFormat="1" applyFont="1" applyFill="1" applyBorder="1" applyAlignment="1">
      <alignment horizontal="right" vertical="center"/>
    </xf>
    <xf numFmtId="166" fontId="10" fillId="2" borderId="1" xfId="12" applyNumberFormat="1" applyFont="1" applyFill="1" applyBorder="1" applyAlignment="1">
      <alignment horizontal="right" vertical="center"/>
    </xf>
    <xf numFmtId="175" fontId="10" fillId="2" borderId="1" xfId="12" applyNumberFormat="1" applyFont="1" applyFill="1" applyBorder="1" applyAlignment="1">
      <alignment horizontal="right" vertical="center"/>
    </xf>
    <xf numFmtId="3" fontId="31" fillId="2" borderId="0" xfId="13" applyNumberFormat="1" applyFont="1" applyFill="1" applyBorder="1" applyAlignment="1">
      <alignment horizontal="center" wrapText="1"/>
    </xf>
    <xf numFmtId="3" fontId="10" fillId="2" borderId="0" xfId="3" applyNumberFormat="1" applyFont="1" applyFill="1" applyBorder="1" applyAlignment="1">
      <alignment horizontal="right" vertical="center" wrapText="1"/>
    </xf>
    <xf numFmtId="3" fontId="31" fillId="2" borderId="0" xfId="13" applyNumberFormat="1" applyFont="1" applyFill="1" applyBorder="1" applyAlignment="1">
      <alignment horizontal="right" vertical="center" wrapText="1"/>
    </xf>
    <xf numFmtId="3" fontId="10" fillId="2" borderId="0" xfId="3" applyNumberFormat="1" applyFont="1" applyFill="1" applyBorder="1" applyAlignment="1">
      <alignment horizontal="right" vertical="center"/>
    </xf>
    <xf numFmtId="173" fontId="31" fillId="2" borderId="0" xfId="13" applyNumberFormat="1" applyFont="1" applyFill="1" applyBorder="1" applyAlignment="1">
      <alignment horizontal="right" vertical="center" wrapText="1"/>
    </xf>
    <xf numFmtId="173" fontId="10" fillId="2" borderId="0" xfId="3" applyNumberFormat="1" applyFont="1" applyFill="1" applyBorder="1" applyAlignment="1">
      <alignment horizontal="right" vertical="center"/>
    </xf>
    <xf numFmtId="3" fontId="22" fillId="5" borderId="0" xfId="3" applyNumberFormat="1" applyFont="1" applyFill="1" applyBorder="1" applyAlignment="1">
      <alignment vertical="top" wrapText="1"/>
    </xf>
    <xf numFmtId="3" fontId="22" fillId="5" borderId="0" xfId="3" applyNumberFormat="1" applyFont="1" applyFill="1" applyBorder="1" applyAlignment="1">
      <alignment horizontal="right" vertical="center"/>
    </xf>
    <xf numFmtId="173" fontId="22" fillId="5" borderId="0" xfId="3" applyNumberFormat="1" applyFont="1" applyFill="1" applyBorder="1" applyAlignment="1">
      <alignment horizontal="right" vertical="center"/>
    </xf>
    <xf numFmtId="173" fontId="22" fillId="5" borderId="0" xfId="3" applyNumberFormat="1" applyFont="1" applyFill="1" applyBorder="1"/>
    <xf numFmtId="3" fontId="10" fillId="2" borderId="0" xfId="3" applyNumberFormat="1" applyFont="1" applyFill="1" applyBorder="1" applyAlignment="1">
      <alignment vertical="top" wrapText="1"/>
    </xf>
    <xf numFmtId="173" fontId="7" fillId="2" borderId="0" xfId="3" applyNumberFormat="1" applyFont="1" applyFill="1" applyBorder="1"/>
    <xf numFmtId="173" fontId="7" fillId="5" borderId="0" xfId="3" applyNumberFormat="1" applyFont="1" applyFill="1" applyBorder="1"/>
    <xf numFmtId="3" fontId="11" fillId="2" borderId="0" xfId="3" applyNumberFormat="1" applyFont="1" applyFill="1" applyBorder="1" applyAlignment="1">
      <alignment vertical="top" wrapText="1"/>
    </xf>
    <xf numFmtId="3" fontId="11" fillId="2" borderId="0" xfId="3" applyNumberFormat="1" applyFont="1" applyFill="1" applyBorder="1" applyAlignment="1">
      <alignment horizontal="right" vertical="center"/>
    </xf>
    <xf numFmtId="173" fontId="11" fillId="2" borderId="0" xfId="3" applyNumberFormat="1" applyFont="1" applyFill="1" applyBorder="1" applyAlignment="1">
      <alignment horizontal="right" vertical="center"/>
    </xf>
    <xf numFmtId="3" fontId="10" fillId="2" borderId="4" xfId="3" applyNumberFormat="1" applyFont="1" applyFill="1" applyBorder="1" applyAlignment="1">
      <alignment horizontal="right" vertical="center"/>
    </xf>
    <xf numFmtId="173" fontId="10" fillId="2" borderId="4" xfId="3" applyNumberFormat="1" applyFont="1" applyFill="1" applyBorder="1" applyAlignment="1">
      <alignment horizontal="right" vertical="center"/>
    </xf>
    <xf numFmtId="173" fontId="7" fillId="2" borderId="4" xfId="3" applyNumberFormat="1" applyFont="1" applyFill="1" applyBorder="1"/>
    <xf numFmtId="3" fontId="10" fillId="2" borderId="0" xfId="3" applyNumberFormat="1" applyFont="1" applyFill="1" applyBorder="1" applyAlignment="1">
      <alignment horizontal="left" vertical="top" wrapText="1" indent="1"/>
    </xf>
    <xf numFmtId="3" fontId="10" fillId="2" borderId="4" xfId="3" applyNumberFormat="1" applyFont="1" applyFill="1" applyBorder="1" applyAlignment="1">
      <alignment horizontal="left" vertical="top" wrapText="1" indent="1"/>
    </xf>
    <xf numFmtId="3" fontId="31" fillId="2" borderId="0" xfId="13" applyNumberFormat="1" applyFont="1" applyFill="1" applyBorder="1" applyAlignment="1">
      <alignment horizontal="center" vertical="top" wrapText="1"/>
    </xf>
    <xf numFmtId="3" fontId="31" fillId="2" borderId="0" xfId="13" applyNumberFormat="1" applyFont="1" applyFill="1" applyBorder="1" applyAlignment="1">
      <alignment vertical="center" wrapText="1"/>
    </xf>
    <xf numFmtId="3" fontId="22" fillId="5" borderId="0" xfId="6" applyNumberFormat="1" applyFont="1" applyFill="1" applyBorder="1" applyAlignment="1">
      <alignment vertical="top" wrapText="1"/>
    </xf>
    <xf numFmtId="3" fontId="22" fillId="5" borderId="0" xfId="6" applyNumberFormat="1" applyFont="1" applyFill="1" applyBorder="1" applyAlignment="1">
      <alignment horizontal="right" vertical="center"/>
    </xf>
    <xf numFmtId="173" fontId="22" fillId="5" borderId="0" xfId="6" applyNumberFormat="1" applyFont="1" applyFill="1" applyBorder="1" applyAlignment="1">
      <alignment horizontal="right" vertical="center"/>
    </xf>
    <xf numFmtId="173" fontId="22" fillId="5" borderId="0" xfId="6" applyNumberFormat="1" applyFont="1" applyFill="1" applyBorder="1"/>
    <xf numFmtId="3" fontId="10" fillId="2" borderId="0" xfId="6" applyNumberFormat="1" applyFont="1" applyFill="1" applyBorder="1" applyAlignment="1">
      <alignment vertical="top" wrapText="1"/>
    </xf>
    <xf numFmtId="3" fontId="10" fillId="2" borderId="0" xfId="6" applyNumberFormat="1" applyFont="1" applyFill="1" applyBorder="1" applyAlignment="1">
      <alignment horizontal="right" vertical="center"/>
    </xf>
    <xf numFmtId="173" fontId="10" fillId="2" borderId="0" xfId="6" applyNumberFormat="1" applyFont="1" applyFill="1" applyBorder="1" applyAlignment="1">
      <alignment horizontal="right" vertical="center"/>
    </xf>
    <xf numFmtId="173" fontId="31" fillId="2" borderId="0" xfId="6" applyNumberFormat="1" applyFont="1" applyFill="1" applyBorder="1"/>
    <xf numFmtId="3" fontId="10" fillId="2" borderId="0" xfId="6" applyNumberFormat="1" applyFont="1" applyFill="1" applyBorder="1" applyAlignment="1">
      <alignment horizontal="left" vertical="top" wrapText="1"/>
    </xf>
    <xf numFmtId="3" fontId="10" fillId="2" borderId="4" xfId="6" applyNumberFormat="1" applyFont="1" applyFill="1" applyBorder="1" applyAlignment="1">
      <alignment horizontal="left" vertical="top" wrapText="1"/>
    </xf>
    <xf numFmtId="3" fontId="10" fillId="2" borderId="4" xfId="6" applyNumberFormat="1" applyFont="1" applyFill="1" applyBorder="1" applyAlignment="1">
      <alignment horizontal="right" vertical="center"/>
    </xf>
    <xf numFmtId="173" fontId="10" fillId="2" borderId="4" xfId="6" applyNumberFormat="1" applyFont="1" applyFill="1" applyBorder="1" applyAlignment="1">
      <alignment horizontal="right" vertical="center"/>
    </xf>
    <xf numFmtId="173" fontId="31" fillId="2" borderId="4" xfId="6" applyNumberFormat="1" applyFont="1" applyFill="1" applyBorder="1"/>
    <xf numFmtId="3" fontId="31" fillId="2" borderId="0" xfId="13" applyNumberFormat="1" applyFont="1" applyFill="1" applyBorder="1" applyAlignment="1">
      <alignment horizontal="center" vertical="center" wrapText="1"/>
    </xf>
    <xf numFmtId="3" fontId="31" fillId="2" borderId="0" xfId="13" applyNumberFormat="1" applyFont="1" applyFill="1" applyBorder="1" applyAlignment="1">
      <alignment horizontal="right" wrapText="1"/>
    </xf>
    <xf numFmtId="3" fontId="10" fillId="2" borderId="0" xfId="3" applyNumberFormat="1" applyFont="1" applyFill="1" applyBorder="1" applyAlignment="1">
      <alignment horizontal="right"/>
    </xf>
    <xf numFmtId="173" fontId="31" fillId="2" borderId="0" xfId="13" applyNumberFormat="1" applyFont="1" applyFill="1" applyBorder="1" applyAlignment="1">
      <alignment horizontal="right" wrapText="1"/>
    </xf>
    <xf numFmtId="173" fontId="10" fillId="2" borderId="0" xfId="3" applyNumberFormat="1" applyFont="1" applyFill="1" applyBorder="1" applyAlignment="1">
      <alignment horizontal="right"/>
    </xf>
    <xf numFmtId="3" fontId="22" fillId="5" borderId="0" xfId="36" applyNumberFormat="1" applyFont="1" applyFill="1" applyBorder="1" applyAlignment="1">
      <alignment vertical="top" wrapText="1"/>
    </xf>
    <xf numFmtId="3" fontId="22" fillId="5" borderId="0" xfId="36" applyNumberFormat="1" applyFont="1" applyFill="1" applyBorder="1" applyAlignment="1">
      <alignment horizontal="right" vertical="center"/>
    </xf>
    <xf numFmtId="173" fontId="22" fillId="5" borderId="0" xfId="36" applyNumberFormat="1" applyFont="1" applyFill="1" applyBorder="1" applyAlignment="1">
      <alignment horizontal="right" vertical="center"/>
    </xf>
    <xf numFmtId="173" fontId="22" fillId="5" borderId="0" xfId="36" applyNumberFormat="1" applyFont="1" applyFill="1" applyBorder="1"/>
    <xf numFmtId="3" fontId="10" fillId="2" borderId="0" xfId="36" applyNumberFormat="1" applyFont="1" applyFill="1" applyBorder="1" applyAlignment="1">
      <alignment vertical="top" wrapText="1"/>
    </xf>
    <xf numFmtId="3" fontId="10" fillId="2" borderId="0" xfId="36" applyNumberFormat="1" applyFont="1" applyFill="1" applyBorder="1" applyAlignment="1">
      <alignment horizontal="right" vertical="center"/>
    </xf>
    <xf numFmtId="173" fontId="10" fillId="2" borderId="0" xfId="36" applyNumberFormat="1" applyFont="1" applyFill="1" applyBorder="1" applyAlignment="1">
      <alignment horizontal="right" vertical="center"/>
    </xf>
    <xf numFmtId="173" fontId="31" fillId="2" borderId="0" xfId="36" applyNumberFormat="1" applyFont="1" applyFill="1" applyBorder="1"/>
    <xf numFmtId="3" fontId="11" fillId="2" borderId="0" xfId="36" applyNumberFormat="1" applyFont="1" applyFill="1" applyBorder="1" applyAlignment="1">
      <alignment vertical="top" wrapText="1"/>
    </xf>
    <xf numFmtId="3" fontId="11" fillId="2" borderId="0" xfId="36" applyNumberFormat="1" applyFont="1" applyFill="1" applyBorder="1" applyAlignment="1">
      <alignment horizontal="right" vertical="center"/>
    </xf>
    <xf numFmtId="173" fontId="11" fillId="2" borderId="0" xfId="36" applyNumberFormat="1" applyFont="1" applyFill="1" applyBorder="1" applyAlignment="1">
      <alignment horizontal="right" vertical="center"/>
    </xf>
    <xf numFmtId="3" fontId="10" fillId="2" borderId="4" xfId="36" applyNumberFormat="1" applyFont="1" applyFill="1" applyBorder="1" applyAlignment="1">
      <alignment horizontal="right" vertical="center"/>
    </xf>
    <xf numFmtId="173" fontId="10" fillId="2" borderId="4" xfId="36" applyNumberFormat="1" applyFont="1" applyFill="1" applyBorder="1" applyAlignment="1">
      <alignment horizontal="right" vertical="center"/>
    </xf>
    <xf numFmtId="173" fontId="31" fillId="2" borderId="4" xfId="36" applyNumberFormat="1" applyFont="1" applyFill="1" applyBorder="1"/>
    <xf numFmtId="3" fontId="10" fillId="2" borderId="0" xfId="36" applyNumberFormat="1" applyFont="1" applyFill="1" applyBorder="1" applyAlignment="1">
      <alignment horizontal="left" vertical="top" wrapText="1" indent="1"/>
    </xf>
    <xf numFmtId="3" fontId="10" fillId="2" borderId="4" xfId="36" applyNumberFormat="1" applyFont="1" applyFill="1" applyBorder="1" applyAlignment="1">
      <alignment horizontal="left" vertical="top" wrapText="1" indent="1"/>
    </xf>
    <xf numFmtId="3" fontId="7" fillId="2" borderId="0" xfId="13" applyNumberFormat="1" applyFont="1" applyFill="1" applyBorder="1" applyAlignment="1">
      <alignment horizontal="center" vertical="center" wrapText="1"/>
    </xf>
    <xf numFmtId="3" fontId="31" fillId="2" borderId="0" xfId="13" applyNumberFormat="1" applyFont="1" applyFill="1" applyBorder="1" applyAlignment="1">
      <alignment horizontal="center" vertical="center"/>
    </xf>
    <xf numFmtId="3" fontId="22" fillId="5" borderId="0" xfId="37" applyNumberFormat="1" applyFont="1" applyFill="1" applyBorder="1" applyAlignment="1">
      <alignment vertical="center" wrapText="1"/>
    </xf>
    <xf numFmtId="3" fontId="22" fillId="5" borderId="0" xfId="37" applyNumberFormat="1" applyFont="1" applyFill="1" applyBorder="1" applyAlignment="1">
      <alignment horizontal="right" vertical="center"/>
    </xf>
    <xf numFmtId="3" fontId="10" fillId="2" borderId="0" xfId="37" applyNumberFormat="1" applyFont="1" applyFill="1" applyBorder="1" applyAlignment="1">
      <alignment vertical="top" wrapText="1"/>
    </xf>
    <xf numFmtId="3" fontId="10" fillId="2" borderId="0" xfId="37" applyNumberFormat="1" applyFont="1" applyFill="1" applyBorder="1" applyAlignment="1">
      <alignment horizontal="right" vertical="center"/>
    </xf>
    <xf numFmtId="3" fontId="11" fillId="2" borderId="0" xfId="37" applyNumberFormat="1" applyFont="1" applyFill="1" applyBorder="1" applyAlignment="1">
      <alignment vertical="top" wrapText="1"/>
    </xf>
    <xf numFmtId="3" fontId="11" fillId="2" borderId="0" xfId="37" applyNumberFormat="1" applyFont="1" applyFill="1" applyBorder="1" applyAlignment="1">
      <alignment horizontal="right" vertical="center"/>
    </xf>
    <xf numFmtId="3" fontId="10" fillId="2" borderId="4" xfId="37" applyNumberFormat="1" applyFont="1" applyFill="1" applyBorder="1" applyAlignment="1">
      <alignment horizontal="right" vertical="center"/>
    </xf>
    <xf numFmtId="3" fontId="10" fillId="2" borderId="0" xfId="37" applyNumberFormat="1" applyFont="1" applyFill="1" applyBorder="1" applyAlignment="1">
      <alignment horizontal="left" vertical="top" wrapText="1" indent="1"/>
    </xf>
    <xf numFmtId="3" fontId="10" fillId="2" borderId="4" xfId="37" applyNumberFormat="1" applyFont="1" applyFill="1" applyBorder="1" applyAlignment="1">
      <alignment horizontal="left" vertical="top" wrapText="1" indent="1"/>
    </xf>
    <xf numFmtId="3" fontId="10" fillId="2" borderId="0" xfId="38" applyNumberFormat="1" applyFont="1" applyFill="1" applyBorder="1" applyAlignment="1">
      <alignment wrapText="1"/>
    </xf>
    <xf numFmtId="3" fontId="22" fillId="5" borderId="0" xfId="38" applyNumberFormat="1" applyFont="1" applyFill="1" applyBorder="1" applyAlignment="1">
      <alignment vertical="top" wrapText="1"/>
    </xf>
    <xf numFmtId="3" fontId="22" fillId="5" borderId="0" xfId="38" applyNumberFormat="1" applyFont="1" applyFill="1" applyBorder="1" applyAlignment="1">
      <alignment horizontal="right" vertical="center"/>
    </xf>
    <xf numFmtId="3" fontId="10" fillId="2" borderId="0" xfId="38" applyNumberFormat="1" applyFont="1" applyFill="1" applyBorder="1" applyAlignment="1">
      <alignment vertical="top" wrapText="1"/>
    </xf>
    <xf numFmtId="3" fontId="10" fillId="2" borderId="0" xfId="38" applyNumberFormat="1" applyFont="1" applyFill="1" applyBorder="1" applyAlignment="1">
      <alignment horizontal="right" vertical="center"/>
    </xf>
    <xf numFmtId="3" fontId="11" fillId="2" borderId="0" xfId="38" applyNumberFormat="1" applyFont="1" applyFill="1" applyBorder="1" applyAlignment="1">
      <alignment vertical="top" wrapText="1"/>
    </xf>
    <xf numFmtId="3" fontId="11" fillId="2" borderId="0" xfId="38" applyNumberFormat="1" applyFont="1" applyFill="1" applyBorder="1" applyAlignment="1">
      <alignment horizontal="right" vertical="center"/>
    </xf>
    <xf numFmtId="3" fontId="10" fillId="2" borderId="4" xfId="38" applyNumberFormat="1" applyFont="1" applyFill="1" applyBorder="1" applyAlignment="1">
      <alignment horizontal="right" vertical="center"/>
    </xf>
    <xf numFmtId="3" fontId="10" fillId="2" borderId="0" xfId="38" applyNumberFormat="1" applyFont="1" applyFill="1" applyBorder="1" applyAlignment="1">
      <alignment horizontal="left" vertical="top" wrapText="1" indent="1"/>
    </xf>
    <xf numFmtId="3" fontId="10" fillId="2" borderId="4" xfId="38" applyNumberFormat="1" applyFont="1" applyFill="1" applyBorder="1" applyAlignment="1">
      <alignment horizontal="left" vertical="top" wrapText="1" indent="1"/>
    </xf>
    <xf numFmtId="3" fontId="32" fillId="2" borderId="0" xfId="39" applyNumberFormat="1" applyFont="1" applyFill="1" applyBorder="1" applyAlignment="1">
      <alignment wrapText="1"/>
    </xf>
    <xf numFmtId="3" fontId="32" fillId="2" borderId="0" xfId="40" applyNumberFormat="1" applyFont="1" applyFill="1" applyBorder="1" applyAlignment="1">
      <alignment horizontal="center" vertical="center" wrapText="1"/>
    </xf>
    <xf numFmtId="3" fontId="34" fillId="2" borderId="0" xfId="13" applyNumberFormat="1" applyFont="1" applyFill="1" applyBorder="1" applyAlignment="1">
      <alignment horizontal="center" wrapText="1"/>
    </xf>
    <xf numFmtId="3" fontId="34" fillId="2" borderId="0" xfId="0" applyNumberFormat="1" applyFont="1" applyFill="1" applyBorder="1" applyAlignment="1">
      <alignment horizontal="center"/>
    </xf>
    <xf numFmtId="3" fontId="35" fillId="5" borderId="0" xfId="39" applyNumberFormat="1" applyFont="1" applyFill="1" applyBorder="1" applyAlignment="1">
      <alignment vertical="top" wrapText="1"/>
    </xf>
    <xf numFmtId="3" fontId="35" fillId="5" borderId="0" xfId="39" applyNumberFormat="1" applyFont="1" applyFill="1" applyBorder="1" applyAlignment="1">
      <alignment horizontal="right" vertical="center"/>
    </xf>
    <xf numFmtId="3" fontId="32" fillId="2" borderId="0" xfId="39" applyNumberFormat="1" applyFont="1" applyFill="1" applyBorder="1" applyAlignment="1">
      <alignment vertical="top" wrapText="1"/>
    </xf>
    <xf numFmtId="3" fontId="32" fillId="2" borderId="0" xfId="39" applyNumberFormat="1" applyFont="1" applyFill="1" applyBorder="1" applyAlignment="1">
      <alignment horizontal="right" vertical="center"/>
    </xf>
    <xf numFmtId="3" fontId="36" fillId="2" borderId="0" xfId="39" applyNumberFormat="1" applyFont="1" applyFill="1" applyBorder="1" applyAlignment="1">
      <alignment vertical="top" wrapText="1"/>
    </xf>
    <xf numFmtId="3" fontId="36" fillId="2" borderId="0" xfId="39" applyNumberFormat="1" applyFont="1" applyFill="1" applyBorder="1" applyAlignment="1">
      <alignment horizontal="right" vertical="center"/>
    </xf>
    <xf numFmtId="3" fontId="36" fillId="2" borderId="0" xfId="39" applyNumberFormat="1" applyFont="1" applyFill="1" applyBorder="1" applyAlignment="1">
      <alignment horizontal="left" vertical="top" wrapText="1"/>
    </xf>
    <xf numFmtId="3" fontId="32" fillId="2" borderId="4" xfId="39" applyNumberFormat="1" applyFont="1" applyFill="1" applyBorder="1" applyAlignment="1">
      <alignment horizontal="right" vertical="center"/>
    </xf>
    <xf numFmtId="3" fontId="32" fillId="2" borderId="0" xfId="39" applyNumberFormat="1" applyFont="1" applyFill="1" applyBorder="1" applyAlignment="1">
      <alignment horizontal="left" vertical="top" wrapText="1" indent="1"/>
    </xf>
    <xf numFmtId="3" fontId="32" fillId="2" borderId="4" xfId="39" applyNumberFormat="1" applyFont="1" applyFill="1" applyBorder="1" applyAlignment="1">
      <alignment horizontal="left" vertical="top" wrapText="1" indent="1"/>
    </xf>
    <xf numFmtId="3" fontId="10" fillId="2" borderId="0" xfId="42" applyNumberFormat="1" applyFont="1" applyFill="1" applyBorder="1" applyAlignment="1">
      <alignment wrapText="1"/>
    </xf>
    <xf numFmtId="3" fontId="7" fillId="2" borderId="0" xfId="13" applyNumberFormat="1" applyFont="1" applyFill="1" applyBorder="1" applyAlignment="1">
      <alignment horizontal="center" wrapText="1"/>
    </xf>
    <xf numFmtId="3" fontId="7" fillId="2" borderId="0" xfId="0" applyNumberFormat="1" applyFont="1" applyFill="1" applyBorder="1" applyAlignment="1">
      <alignment horizontal="center"/>
    </xf>
    <xf numFmtId="3" fontId="22" fillId="5" borderId="0" xfId="42" applyNumberFormat="1" applyFont="1" applyFill="1" applyBorder="1" applyAlignment="1">
      <alignment vertical="top" wrapText="1"/>
    </xf>
    <xf numFmtId="3" fontId="22" fillId="5" borderId="0" xfId="42" applyNumberFormat="1" applyFont="1" applyFill="1" applyBorder="1" applyAlignment="1">
      <alignment horizontal="right" vertical="center"/>
    </xf>
    <xf numFmtId="3" fontId="10" fillId="2" borderId="0" xfId="42" applyNumberFormat="1" applyFont="1" applyFill="1" applyBorder="1" applyAlignment="1">
      <alignment vertical="top" wrapText="1"/>
    </xf>
    <xf numFmtId="3" fontId="10" fillId="2" borderId="0" xfId="42" applyNumberFormat="1" applyFont="1" applyFill="1" applyBorder="1" applyAlignment="1">
      <alignment horizontal="right" vertical="center"/>
    </xf>
    <xf numFmtId="3" fontId="11" fillId="2" borderId="0" xfId="42" applyNumberFormat="1" applyFont="1" applyFill="1" applyBorder="1" applyAlignment="1">
      <alignment vertical="top" wrapText="1"/>
    </xf>
    <xf numFmtId="3" fontId="11" fillId="2" borderId="0" xfId="42" applyNumberFormat="1" applyFont="1" applyFill="1" applyBorder="1" applyAlignment="1">
      <alignment horizontal="right" vertical="center"/>
    </xf>
    <xf numFmtId="3" fontId="10" fillId="2" borderId="4" xfId="42" applyNumberFormat="1" applyFont="1" applyFill="1" applyBorder="1" applyAlignment="1">
      <alignment horizontal="right" vertical="center"/>
    </xf>
    <xf numFmtId="3" fontId="10" fillId="2" borderId="0" xfId="42" applyNumberFormat="1" applyFont="1" applyFill="1" applyBorder="1" applyAlignment="1">
      <alignment horizontal="left" vertical="top" wrapText="1" indent="1"/>
    </xf>
    <xf numFmtId="3" fontId="10" fillId="2" borderId="4" xfId="42" applyNumberFormat="1" applyFont="1" applyFill="1" applyBorder="1" applyAlignment="1">
      <alignment horizontal="left" vertical="top" wrapText="1" indent="1"/>
    </xf>
    <xf numFmtId="3" fontId="10" fillId="2" borderId="0" xfId="43" applyNumberFormat="1" applyFont="1" applyFill="1" applyBorder="1" applyAlignment="1">
      <alignment horizontal="center" wrapText="1"/>
    </xf>
    <xf numFmtId="3" fontId="10" fillId="2" borderId="0" xfId="43" applyNumberFormat="1" applyFont="1" applyFill="1" applyBorder="1" applyAlignment="1">
      <alignment horizontal="right"/>
    </xf>
    <xf numFmtId="3" fontId="31" fillId="2" borderId="0" xfId="13" applyNumberFormat="1" applyFont="1" applyFill="1" applyBorder="1" applyAlignment="1">
      <alignment horizontal="right" vertical="center"/>
    </xf>
    <xf numFmtId="3" fontId="22" fillId="5" borderId="0" xfId="43" applyNumberFormat="1" applyFont="1" applyFill="1" applyBorder="1" applyAlignment="1">
      <alignment vertical="top" wrapText="1"/>
    </xf>
    <xf numFmtId="3" fontId="22" fillId="5" borderId="0" xfId="43" applyNumberFormat="1" applyFont="1" applyFill="1" applyBorder="1" applyAlignment="1">
      <alignment horizontal="right" vertical="center"/>
    </xf>
    <xf numFmtId="3" fontId="10" fillId="2" borderId="0" xfId="43" applyNumberFormat="1" applyFont="1" applyFill="1" applyBorder="1" applyAlignment="1">
      <alignment vertical="top" wrapText="1"/>
    </xf>
    <xf numFmtId="3" fontId="10" fillId="2" borderId="0" xfId="43" applyNumberFormat="1" applyFont="1" applyFill="1" applyBorder="1" applyAlignment="1">
      <alignment horizontal="right" vertical="center"/>
    </xf>
    <xf numFmtId="3" fontId="23" fillId="5" borderId="0" xfId="43" applyNumberFormat="1" applyFont="1" applyFill="1" applyBorder="1" applyAlignment="1">
      <alignment vertical="top" wrapText="1"/>
    </xf>
    <xf numFmtId="3" fontId="23" fillId="5" borderId="0" xfId="43" applyNumberFormat="1" applyFont="1" applyFill="1" applyBorder="1" applyAlignment="1">
      <alignment horizontal="right" vertical="center"/>
    </xf>
    <xf numFmtId="3" fontId="10" fillId="2" borderId="0" xfId="43" applyNumberFormat="1" applyFont="1" applyFill="1" applyBorder="1" applyAlignment="1">
      <alignment horizontal="left" vertical="top" wrapText="1"/>
    </xf>
    <xf numFmtId="3" fontId="10" fillId="2" borderId="4" xfId="43" applyNumberFormat="1" applyFont="1" applyFill="1" applyBorder="1" applyAlignment="1">
      <alignment horizontal="left" vertical="top" wrapText="1"/>
    </xf>
    <xf numFmtId="3" fontId="10" fillId="2" borderId="4" xfId="43" applyNumberFormat="1" applyFont="1" applyFill="1" applyBorder="1" applyAlignment="1">
      <alignment horizontal="right" vertical="center"/>
    </xf>
    <xf numFmtId="3" fontId="10" fillId="2" borderId="0" xfId="40" applyNumberFormat="1" applyFont="1" applyFill="1" applyBorder="1" applyAlignment="1">
      <alignment horizontal="center" vertical="center" wrapText="1"/>
    </xf>
    <xf numFmtId="3" fontId="22" fillId="5" borderId="0" xfId="44" applyNumberFormat="1" applyFont="1" applyFill="1" applyBorder="1" applyAlignment="1">
      <alignment vertical="top" wrapText="1"/>
    </xf>
    <xf numFmtId="3" fontId="22" fillId="5" borderId="0" xfId="44" applyNumberFormat="1" applyFont="1" applyFill="1" applyBorder="1" applyAlignment="1">
      <alignment horizontal="right" vertical="center"/>
    </xf>
    <xf numFmtId="3" fontId="10" fillId="2" borderId="0" xfId="44" applyNumberFormat="1" applyFont="1" applyFill="1" applyBorder="1" applyAlignment="1">
      <alignment vertical="top" wrapText="1"/>
    </xf>
    <xf numFmtId="3" fontId="10" fillId="2" borderId="0" xfId="44" applyNumberFormat="1" applyFont="1" applyFill="1" applyBorder="1" applyAlignment="1">
      <alignment horizontal="right" vertical="center"/>
    </xf>
    <xf numFmtId="3" fontId="11" fillId="2" borderId="0" xfId="44" applyNumberFormat="1" applyFont="1" applyFill="1" applyBorder="1" applyAlignment="1">
      <alignment vertical="top" wrapText="1"/>
    </xf>
    <xf numFmtId="3" fontId="11" fillId="2" borderId="0" xfId="44" applyNumberFormat="1" applyFont="1" applyFill="1" applyBorder="1" applyAlignment="1">
      <alignment horizontal="right" vertical="center"/>
    </xf>
    <xf numFmtId="3" fontId="10" fillId="2" borderId="4" xfId="44" applyNumberFormat="1" applyFont="1" applyFill="1" applyBorder="1" applyAlignment="1">
      <alignment horizontal="right" vertical="center"/>
    </xf>
    <xf numFmtId="3" fontId="10" fillId="2" borderId="0" xfId="44" applyNumberFormat="1" applyFont="1" applyFill="1" applyBorder="1" applyAlignment="1">
      <alignment horizontal="left" vertical="top" wrapText="1" indent="1"/>
    </xf>
    <xf numFmtId="3" fontId="10" fillId="2" borderId="4" xfId="44" applyNumberFormat="1" applyFont="1" applyFill="1" applyBorder="1" applyAlignment="1">
      <alignment horizontal="left" vertical="top" wrapText="1" indent="1"/>
    </xf>
    <xf numFmtId="3" fontId="10" fillId="2" borderId="0" xfId="45" applyNumberFormat="1" applyFont="1" applyFill="1" applyBorder="1" applyAlignment="1">
      <alignment horizontal="right" vertical="center" wrapText="1"/>
    </xf>
    <xf numFmtId="3" fontId="7" fillId="2" borderId="0" xfId="0" applyNumberFormat="1" applyFont="1" applyFill="1" applyBorder="1" applyAlignment="1">
      <alignment horizontal="right" vertical="center"/>
    </xf>
    <xf numFmtId="3" fontId="22" fillId="5" borderId="0" xfId="45" applyNumberFormat="1" applyFont="1" applyFill="1" applyBorder="1" applyAlignment="1">
      <alignment vertical="top" wrapText="1"/>
    </xf>
    <xf numFmtId="3" fontId="22" fillId="5" borderId="0" xfId="45" applyNumberFormat="1" applyFont="1" applyFill="1" applyBorder="1" applyAlignment="1">
      <alignment horizontal="right" vertical="center"/>
    </xf>
    <xf numFmtId="3" fontId="10" fillId="2" borderId="0" xfId="45" applyNumberFormat="1" applyFont="1" applyFill="1" applyBorder="1" applyAlignment="1">
      <alignment vertical="top" wrapText="1"/>
    </xf>
    <xf numFmtId="3" fontId="10" fillId="2" borderId="0" xfId="45" applyNumberFormat="1" applyFont="1" applyFill="1" applyBorder="1" applyAlignment="1">
      <alignment horizontal="right" vertical="center"/>
    </xf>
    <xf numFmtId="3" fontId="11" fillId="2" borderId="0" xfId="45" applyNumberFormat="1" applyFont="1" applyFill="1" applyBorder="1" applyAlignment="1">
      <alignment vertical="top" wrapText="1"/>
    </xf>
    <xf numFmtId="3" fontId="11" fillId="2" borderId="0" xfId="45" applyNumberFormat="1" applyFont="1" applyFill="1" applyBorder="1" applyAlignment="1">
      <alignment horizontal="right" vertical="center"/>
    </xf>
    <xf numFmtId="3" fontId="10" fillId="2" borderId="4" xfId="45" applyNumberFormat="1" applyFont="1" applyFill="1" applyBorder="1" applyAlignment="1">
      <alignment horizontal="right" vertical="center"/>
    </xf>
    <xf numFmtId="3" fontId="10" fillId="2" borderId="0" xfId="45" applyNumberFormat="1" applyFont="1" applyFill="1" applyBorder="1" applyAlignment="1">
      <alignment horizontal="left" vertical="top" wrapText="1" indent="1"/>
    </xf>
    <xf numFmtId="3" fontId="10" fillId="2" borderId="4" xfId="45" applyNumberFormat="1" applyFont="1" applyFill="1" applyBorder="1" applyAlignment="1">
      <alignment horizontal="left" vertical="top" wrapText="1" indent="1"/>
    </xf>
    <xf numFmtId="3" fontId="22" fillId="5" borderId="0" xfId="46" applyNumberFormat="1" applyFont="1" applyFill="1" applyBorder="1" applyAlignment="1">
      <alignment vertical="top" wrapText="1"/>
    </xf>
    <xf numFmtId="3" fontId="22" fillId="5" borderId="0" xfId="46" applyNumberFormat="1" applyFont="1" applyFill="1" applyBorder="1" applyAlignment="1">
      <alignment horizontal="right" vertical="center"/>
    </xf>
    <xf numFmtId="3" fontId="10" fillId="2" borderId="0" xfId="46" applyNumberFormat="1" applyFont="1" applyFill="1" applyBorder="1" applyAlignment="1">
      <alignment vertical="top" wrapText="1"/>
    </xf>
    <xf numFmtId="3" fontId="10" fillId="2" borderId="0" xfId="46" applyNumberFormat="1" applyFont="1" applyFill="1" applyBorder="1" applyAlignment="1">
      <alignment horizontal="right" vertical="center"/>
    </xf>
    <xf numFmtId="3" fontId="22" fillId="5" borderId="0" xfId="47" applyNumberFormat="1" applyFont="1" applyFill="1" applyBorder="1" applyAlignment="1">
      <alignment vertical="center" wrapText="1"/>
    </xf>
    <xf numFmtId="3" fontId="11" fillId="2" borderId="0" xfId="46" applyNumberFormat="1" applyFont="1" applyFill="1" applyBorder="1" applyAlignment="1">
      <alignment vertical="top" wrapText="1"/>
    </xf>
    <xf numFmtId="3" fontId="11" fillId="2" borderId="0" xfId="46" applyNumberFormat="1" applyFont="1" applyFill="1" applyBorder="1" applyAlignment="1">
      <alignment horizontal="right" vertical="center"/>
    </xf>
    <xf numFmtId="3" fontId="10" fillId="2" borderId="4" xfId="46" applyNumberFormat="1" applyFont="1" applyFill="1" applyBorder="1" applyAlignment="1">
      <alignment horizontal="right" vertical="center"/>
    </xf>
    <xf numFmtId="3" fontId="10" fillId="2" borderId="0" xfId="46" applyNumberFormat="1" applyFont="1" applyFill="1" applyBorder="1" applyAlignment="1">
      <alignment horizontal="left" vertical="top" wrapText="1" indent="1"/>
    </xf>
    <xf numFmtId="3" fontId="10" fillId="2" borderId="4" xfId="46" applyNumberFormat="1" applyFont="1" applyFill="1" applyBorder="1" applyAlignment="1">
      <alignment horizontal="left" vertical="top" wrapText="1" indent="1"/>
    </xf>
    <xf numFmtId="3" fontId="10" fillId="2" borderId="0" xfId="12" applyNumberFormat="1" applyFont="1" applyFill="1" applyBorder="1" applyAlignment="1">
      <alignment horizontal="center" vertical="center" wrapText="1"/>
    </xf>
    <xf numFmtId="3" fontId="22" fillId="5" borderId="0" xfId="47" applyNumberFormat="1" applyFont="1" applyFill="1" applyBorder="1" applyAlignment="1">
      <alignment vertical="top" wrapText="1"/>
    </xf>
    <xf numFmtId="3" fontId="22" fillId="5" borderId="0" xfId="47" applyNumberFormat="1" applyFont="1" applyFill="1" applyBorder="1" applyAlignment="1">
      <alignment horizontal="right" vertical="center"/>
    </xf>
    <xf numFmtId="3" fontId="10" fillId="2" borderId="0" xfId="47" applyNumberFormat="1" applyFont="1" applyFill="1" applyBorder="1" applyAlignment="1">
      <alignment vertical="top" wrapText="1"/>
    </xf>
    <xf numFmtId="3" fontId="10" fillId="2" borderId="0" xfId="47" applyNumberFormat="1" applyFont="1" applyFill="1" applyBorder="1" applyAlignment="1">
      <alignment horizontal="right" vertical="center"/>
    </xf>
    <xf numFmtId="3" fontId="11" fillId="2" borderId="0" xfId="47" applyNumberFormat="1" applyFont="1" applyFill="1" applyBorder="1" applyAlignment="1">
      <alignment vertical="top" wrapText="1"/>
    </xf>
    <xf numFmtId="3" fontId="11" fillId="2" borderId="0" xfId="47" applyNumberFormat="1" applyFont="1" applyFill="1" applyBorder="1" applyAlignment="1">
      <alignment vertical="center"/>
    </xf>
    <xf numFmtId="3" fontId="11" fillId="2" borderId="0" xfId="47" applyNumberFormat="1" applyFont="1" applyFill="1" applyBorder="1" applyAlignment="1">
      <alignment horizontal="right" vertical="center"/>
    </xf>
    <xf numFmtId="3" fontId="10" fillId="2" borderId="4" xfId="47" applyNumberFormat="1" applyFont="1" applyFill="1" applyBorder="1" applyAlignment="1">
      <alignment horizontal="right" vertical="center"/>
    </xf>
    <xf numFmtId="3" fontId="10" fillId="2" borderId="0" xfId="47" applyNumberFormat="1" applyFont="1" applyFill="1" applyBorder="1" applyAlignment="1">
      <alignment horizontal="left" vertical="top" wrapText="1" indent="1"/>
    </xf>
    <xf numFmtId="3" fontId="10" fillId="2" borderId="4" xfId="47" applyNumberFormat="1" applyFont="1" applyFill="1" applyBorder="1" applyAlignment="1">
      <alignment horizontal="left" vertical="top" wrapText="1" indent="1"/>
    </xf>
    <xf numFmtId="0" fontId="10" fillId="2" borderId="0" xfId="48" applyFont="1" applyFill="1" applyBorder="1" applyAlignment="1">
      <alignment horizontal="right" wrapText="1"/>
    </xf>
    <xf numFmtId="0" fontId="22" fillId="5" borderId="0" xfId="48" applyFont="1" applyFill="1" applyBorder="1" applyAlignment="1">
      <alignment vertical="center" wrapText="1"/>
    </xf>
    <xf numFmtId="0" fontId="10" fillId="2" borderId="0" xfId="48" applyFont="1" applyFill="1" applyBorder="1" applyAlignment="1">
      <alignment vertical="top" wrapText="1"/>
    </xf>
    <xf numFmtId="0" fontId="22" fillId="5" borderId="0" xfId="48" applyFont="1" applyFill="1" applyBorder="1" applyAlignment="1">
      <alignment vertical="top" wrapText="1"/>
    </xf>
    <xf numFmtId="0" fontId="11" fillId="2" borderId="0" xfId="48" applyFont="1" applyFill="1" applyBorder="1" applyAlignment="1">
      <alignment vertical="top" wrapText="1"/>
    </xf>
    <xf numFmtId="0" fontId="10" fillId="2" borderId="0" xfId="48" applyFont="1" applyFill="1" applyBorder="1" applyAlignment="1">
      <alignment horizontal="left" vertical="top" wrapText="1" indent="1"/>
    </xf>
    <xf numFmtId="0" fontId="10" fillId="2" borderId="4" xfId="48" applyFont="1" applyFill="1" applyBorder="1" applyAlignment="1">
      <alignment horizontal="left" vertical="top" wrapText="1" indent="1"/>
    </xf>
    <xf numFmtId="3" fontId="10" fillId="2" borderId="0" xfId="9" applyNumberFormat="1" applyFont="1" applyFill="1" applyBorder="1" applyAlignment="1">
      <alignment horizontal="center" vertical="center" wrapText="1"/>
    </xf>
    <xf numFmtId="3" fontId="23" fillId="5" borderId="0" xfId="49" applyNumberFormat="1" applyFont="1" applyFill="1" applyBorder="1" applyAlignment="1">
      <alignment vertical="top" wrapText="1"/>
    </xf>
    <xf numFmtId="3" fontId="23" fillId="5" borderId="0" xfId="49" applyNumberFormat="1" applyFont="1" applyFill="1" applyBorder="1" applyAlignment="1">
      <alignment horizontal="right" vertical="center"/>
    </xf>
    <xf numFmtId="3" fontId="10" fillId="2" borderId="0" xfId="49" applyNumberFormat="1" applyFont="1" applyFill="1" applyBorder="1" applyAlignment="1">
      <alignment vertical="top" wrapText="1"/>
    </xf>
    <xf numFmtId="3" fontId="10" fillId="2" borderId="0" xfId="49" applyNumberFormat="1" applyFont="1" applyFill="1" applyBorder="1" applyAlignment="1">
      <alignment horizontal="right" vertical="center"/>
    </xf>
    <xf numFmtId="3" fontId="11" fillId="2" borderId="0" xfId="49" applyNumberFormat="1" applyFont="1" applyFill="1" applyBorder="1" applyAlignment="1">
      <alignment vertical="top" wrapText="1"/>
    </xf>
    <xf numFmtId="3" fontId="11" fillId="2" borderId="0" xfId="49" applyNumberFormat="1" applyFont="1" applyFill="1" applyBorder="1" applyAlignment="1">
      <alignment horizontal="right" vertical="center"/>
    </xf>
    <xf numFmtId="3" fontId="10" fillId="2" borderId="4" xfId="49" applyNumberFormat="1" applyFont="1" applyFill="1" applyBorder="1" applyAlignment="1">
      <alignment horizontal="right" vertical="center"/>
    </xf>
    <xf numFmtId="3" fontId="10" fillId="2" borderId="0" xfId="49" applyNumberFormat="1" applyFont="1" applyFill="1" applyBorder="1" applyAlignment="1">
      <alignment horizontal="left" vertical="top" wrapText="1" indent="1"/>
    </xf>
    <xf numFmtId="3" fontId="10" fillId="2" borderId="4" xfId="49" applyNumberFormat="1" applyFont="1" applyFill="1" applyBorder="1" applyAlignment="1">
      <alignment horizontal="left" vertical="top" wrapText="1" indent="1"/>
    </xf>
    <xf numFmtId="173" fontId="31" fillId="2" borderId="0" xfId="13" applyNumberFormat="1" applyFont="1" applyFill="1" applyBorder="1" applyAlignment="1">
      <alignment horizontal="right" vertical="center"/>
    </xf>
    <xf numFmtId="3" fontId="22" fillId="5" borderId="0" xfId="50" applyNumberFormat="1" applyFont="1" applyFill="1" applyBorder="1" applyAlignment="1">
      <alignment vertical="top" wrapText="1"/>
    </xf>
    <xf numFmtId="3" fontId="22" fillId="5" borderId="0" xfId="50" applyNumberFormat="1" applyFont="1" applyFill="1" applyBorder="1" applyAlignment="1">
      <alignment horizontal="right" vertical="center"/>
    </xf>
    <xf numFmtId="173" fontId="22" fillId="5" borderId="0" xfId="50" applyNumberFormat="1" applyFont="1" applyFill="1" applyBorder="1" applyAlignment="1">
      <alignment horizontal="right" vertical="center"/>
    </xf>
    <xf numFmtId="173" fontId="22" fillId="5" borderId="0" xfId="0" applyNumberFormat="1" applyFont="1" applyFill="1" applyBorder="1"/>
    <xf numFmtId="3" fontId="10" fillId="2" borderId="0" xfId="50" applyNumberFormat="1" applyFont="1" applyFill="1" applyBorder="1" applyAlignment="1">
      <alignment vertical="top" wrapText="1"/>
    </xf>
    <xf numFmtId="3" fontId="10" fillId="2" borderId="0" xfId="50" applyNumberFormat="1" applyFont="1" applyFill="1" applyBorder="1" applyAlignment="1">
      <alignment horizontal="right" vertical="center"/>
    </xf>
    <xf numFmtId="173" fontId="10" fillId="2" borderId="0" xfId="50" applyNumberFormat="1" applyFont="1" applyFill="1" applyBorder="1" applyAlignment="1">
      <alignment horizontal="right" vertical="center"/>
    </xf>
    <xf numFmtId="173" fontId="7" fillId="2" borderId="0" xfId="0" applyNumberFormat="1" applyFont="1" applyFill="1" applyBorder="1"/>
    <xf numFmtId="3" fontId="11" fillId="2" borderId="0" xfId="50" applyNumberFormat="1" applyFont="1" applyFill="1" applyBorder="1" applyAlignment="1">
      <alignment vertical="top" wrapText="1"/>
    </xf>
    <xf numFmtId="3" fontId="11" fillId="2" borderId="0" xfId="50" applyNumberFormat="1" applyFont="1" applyFill="1" applyBorder="1" applyAlignment="1">
      <alignment horizontal="right" vertical="center"/>
    </xf>
    <xf numFmtId="173" fontId="11" fillId="2" borderId="0" xfId="50" applyNumberFormat="1" applyFont="1" applyFill="1" applyBorder="1" applyAlignment="1">
      <alignment horizontal="right" vertical="center"/>
    </xf>
    <xf numFmtId="3" fontId="10" fillId="2" borderId="1" xfId="50" applyNumberFormat="1" applyFont="1" applyFill="1" applyBorder="1" applyAlignment="1">
      <alignment horizontal="right" vertical="center"/>
    </xf>
    <xf numFmtId="173" fontId="10" fillId="2" borderId="1" xfId="50" applyNumberFormat="1" applyFont="1" applyFill="1" applyBorder="1" applyAlignment="1">
      <alignment horizontal="right" vertical="center"/>
    </xf>
    <xf numFmtId="173" fontId="7" fillId="2" borderId="1" xfId="0" applyNumberFormat="1" applyFont="1" applyFill="1" applyBorder="1"/>
    <xf numFmtId="3" fontId="10" fillId="2" borderId="0" xfId="50" applyNumberFormat="1" applyFont="1" applyFill="1" applyBorder="1" applyAlignment="1">
      <alignment horizontal="left" vertical="top" wrapText="1" indent="1"/>
    </xf>
    <xf numFmtId="3" fontId="10" fillId="2" borderId="1" xfId="50" applyNumberFormat="1" applyFont="1" applyFill="1" applyBorder="1" applyAlignment="1">
      <alignment horizontal="left" vertical="top" wrapText="1" indent="1"/>
    </xf>
    <xf numFmtId="175" fontId="10" fillId="2" borderId="0" xfId="12" applyNumberFormat="1" applyFont="1" applyFill="1" applyBorder="1" applyAlignment="1">
      <alignment horizontal="center" vertical="center" wrapText="1"/>
    </xf>
    <xf numFmtId="0" fontId="11" fillId="2" borderId="0" xfId="12" applyFont="1" applyFill="1" applyBorder="1" applyAlignment="1">
      <alignment vertical="top" wrapText="1"/>
    </xf>
    <xf numFmtId="165" fontId="11" fillId="2" borderId="0" xfId="12" applyNumberFormat="1" applyFont="1" applyFill="1" applyBorder="1" applyAlignment="1">
      <alignment horizontal="right" vertical="center"/>
    </xf>
    <xf numFmtId="0" fontId="22" fillId="5" borderId="0" xfId="51" applyFont="1" applyFill="1" applyAlignment="1">
      <alignment vertical="top" wrapText="1"/>
    </xf>
    <xf numFmtId="165" fontId="23" fillId="5" borderId="0" xfId="51" applyNumberFormat="1" applyFont="1" applyFill="1" applyAlignment="1">
      <alignment horizontal="right" vertical="center"/>
    </xf>
    <xf numFmtId="165" fontId="11" fillId="5" borderId="0" xfId="12" applyNumberFormat="1" applyFont="1" applyFill="1" applyBorder="1" applyAlignment="1">
      <alignment horizontal="right" vertical="center"/>
    </xf>
    <xf numFmtId="0" fontId="22" fillId="5" borderId="0" xfId="51" applyFont="1" applyFill="1" applyAlignment="1">
      <alignment horizontal="left" vertical="top" wrapText="1"/>
    </xf>
    <xf numFmtId="0" fontId="11" fillId="2" borderId="0" xfId="12" applyFont="1" applyFill="1" applyBorder="1" applyAlignment="1">
      <alignment horizontal="left" vertical="top" wrapText="1" indent="1"/>
    </xf>
    <xf numFmtId="0" fontId="10" fillId="2" borderId="0" xfId="12" applyFont="1" applyFill="1" applyBorder="1" applyAlignment="1">
      <alignment horizontal="left" vertical="top" wrapText="1" indent="2"/>
    </xf>
    <xf numFmtId="166" fontId="11" fillId="2" borderId="0" xfId="12" applyNumberFormat="1" applyFont="1" applyFill="1" applyBorder="1" applyAlignment="1">
      <alignment horizontal="right" vertical="center"/>
    </xf>
    <xf numFmtId="175" fontId="11" fillId="2" borderId="0" xfId="12" applyNumberFormat="1" applyFont="1" applyFill="1" applyBorder="1" applyAlignment="1">
      <alignment horizontal="right" vertical="center"/>
    </xf>
    <xf numFmtId="0" fontId="10" fillId="2" borderId="1" xfId="12" applyFont="1" applyFill="1" applyBorder="1" applyAlignment="1">
      <alignment horizontal="left" vertical="top" wrapText="1" indent="2"/>
    </xf>
    <xf numFmtId="0" fontId="10" fillId="2" borderId="0" xfId="52" applyFont="1" applyFill="1" applyBorder="1" applyAlignment="1">
      <alignment horizontal="center" vertical="center" wrapText="1"/>
    </xf>
    <xf numFmtId="0" fontId="22" fillId="5" borderId="0" xfId="52" applyFont="1" applyFill="1" applyBorder="1" applyAlignment="1">
      <alignment horizontal="left" vertical="top" wrapText="1"/>
    </xf>
    <xf numFmtId="165" fontId="22" fillId="5" borderId="0" xfId="52" applyNumberFormat="1" applyFont="1" applyFill="1" applyBorder="1" applyAlignment="1">
      <alignment horizontal="right" vertical="center"/>
    </xf>
    <xf numFmtId="0" fontId="10" fillId="2" borderId="0" xfId="52" applyFont="1" applyFill="1" applyBorder="1" applyAlignment="1">
      <alignment horizontal="left" vertical="top" wrapText="1"/>
    </xf>
    <xf numFmtId="165" fontId="10" fillId="2" borderId="0" xfId="52" applyNumberFormat="1" applyFont="1" applyFill="1" applyBorder="1" applyAlignment="1">
      <alignment horizontal="right" vertical="center"/>
    </xf>
    <xf numFmtId="3" fontId="22" fillId="5" borderId="0" xfId="6" applyNumberFormat="1" applyFont="1" applyFill="1" applyAlignment="1">
      <alignment vertical="top" wrapText="1"/>
    </xf>
    <xf numFmtId="165" fontId="10" fillId="5" borderId="0" xfId="6" applyNumberFormat="1" applyFont="1" applyFill="1" applyAlignment="1">
      <alignment horizontal="right" vertical="center"/>
    </xf>
    <xf numFmtId="165" fontId="10" fillId="5" borderId="0" xfId="52" applyNumberFormat="1" applyFont="1" applyFill="1" applyBorder="1" applyAlignment="1">
      <alignment horizontal="right" vertical="center"/>
    </xf>
    <xf numFmtId="165" fontId="23" fillId="5" borderId="0" xfId="52" applyNumberFormat="1" applyFont="1" applyFill="1" applyBorder="1" applyAlignment="1">
      <alignment horizontal="right" vertical="center"/>
    </xf>
    <xf numFmtId="0" fontId="10" fillId="2" borderId="0" xfId="52" applyFont="1" applyFill="1" applyBorder="1" applyAlignment="1">
      <alignment horizontal="left" vertical="top" wrapText="1" indent="1"/>
    </xf>
    <xf numFmtId="3" fontId="22" fillId="5" borderId="0" xfId="6" applyNumberFormat="1" applyFont="1" applyFill="1" applyAlignment="1">
      <alignment horizontal="left" vertical="top" wrapText="1"/>
    </xf>
    <xf numFmtId="0" fontId="11" fillId="2" borderId="0" xfId="52" applyFont="1" applyFill="1" applyBorder="1" applyAlignment="1">
      <alignment horizontal="left" vertical="top" wrapText="1" indent="1"/>
    </xf>
    <xf numFmtId="165" fontId="11" fillId="2" borderId="0" xfId="52" applyNumberFormat="1" applyFont="1" applyFill="1" applyBorder="1" applyAlignment="1">
      <alignment horizontal="right" vertical="center"/>
    </xf>
    <xf numFmtId="0" fontId="10" fillId="2" borderId="0" xfId="52" applyFont="1" applyFill="1" applyBorder="1" applyAlignment="1">
      <alignment horizontal="left" vertical="top" wrapText="1" indent="2"/>
    </xf>
    <xf numFmtId="166" fontId="11" fillId="2" borderId="0" xfId="52" applyNumberFormat="1" applyFont="1" applyFill="1" applyBorder="1" applyAlignment="1">
      <alignment horizontal="right" vertical="center"/>
    </xf>
    <xf numFmtId="166" fontId="10" fillId="2" borderId="0" xfId="52" applyNumberFormat="1" applyFont="1" applyFill="1" applyBorder="1" applyAlignment="1">
      <alignment horizontal="right" vertical="center"/>
    </xf>
    <xf numFmtId="0" fontId="10" fillId="2" borderId="1" xfId="52" applyFont="1" applyFill="1" applyBorder="1" applyAlignment="1">
      <alignment horizontal="left" vertical="top" wrapText="1" indent="2"/>
    </xf>
    <xf numFmtId="165" fontId="10" fillId="2" borderId="1" xfId="52" applyNumberFormat="1" applyFont="1" applyFill="1" applyBorder="1" applyAlignment="1">
      <alignment horizontal="right" vertical="center"/>
    </xf>
    <xf numFmtId="166" fontId="10" fillId="2" borderId="1" xfId="52" applyNumberFormat="1" applyFont="1" applyFill="1" applyBorder="1" applyAlignment="1">
      <alignment horizontal="right" vertical="center"/>
    </xf>
    <xf numFmtId="0" fontId="10" fillId="2" borderId="3" xfId="34" applyFont="1" applyFill="1" applyBorder="1" applyAlignment="1">
      <alignment wrapText="1"/>
    </xf>
    <xf numFmtId="0" fontId="10" fillId="2" borderId="0" xfId="34" applyFont="1" applyFill="1" applyBorder="1" applyAlignment="1">
      <alignment horizontal="center" wrapText="1"/>
    </xf>
    <xf numFmtId="0" fontId="10" fillId="2" borderId="0" xfId="34" applyFont="1" applyFill="1" applyBorder="1" applyAlignment="1">
      <alignment horizontal="center" vertical="center" wrapText="1"/>
    </xf>
    <xf numFmtId="0" fontId="22" fillId="5" borderId="0" xfId="34" applyFont="1" applyFill="1" applyBorder="1" applyAlignment="1">
      <alignment horizontal="left" vertical="top" wrapText="1"/>
    </xf>
    <xf numFmtId="165" fontId="22" fillId="5" borderId="0" xfId="34" applyNumberFormat="1" applyFont="1" applyFill="1" applyBorder="1" applyAlignment="1">
      <alignment horizontal="right" vertical="center"/>
    </xf>
    <xf numFmtId="0" fontId="11" fillId="2" borderId="0" xfId="34" applyFont="1" applyFill="1" applyBorder="1" applyAlignment="1">
      <alignment horizontal="left" vertical="top" wrapText="1"/>
    </xf>
    <xf numFmtId="165" fontId="11" fillId="2" borderId="0" xfId="34" applyNumberFormat="1" applyFont="1" applyFill="1" applyBorder="1" applyAlignment="1">
      <alignment horizontal="right" vertical="center"/>
    </xf>
    <xf numFmtId="0" fontId="22" fillId="5" borderId="0" xfId="34" applyFont="1" applyFill="1" applyAlignment="1">
      <alignment vertical="top" wrapText="1"/>
    </xf>
    <xf numFmtId="0" fontId="10" fillId="2" borderId="0" xfId="34" applyFont="1" applyFill="1" applyBorder="1" applyAlignment="1">
      <alignment horizontal="left" vertical="top" wrapText="1" indent="1"/>
    </xf>
    <xf numFmtId="165" fontId="10" fillId="2" borderId="0" xfId="34" applyNumberFormat="1" applyFont="1" applyFill="1" applyBorder="1" applyAlignment="1">
      <alignment horizontal="right" vertical="center"/>
    </xf>
    <xf numFmtId="0" fontId="22" fillId="5" borderId="0" xfId="34" applyFont="1" applyFill="1" applyAlignment="1">
      <alignment horizontal="left" vertical="top" wrapText="1"/>
    </xf>
    <xf numFmtId="0" fontId="11" fillId="2" borderId="0" xfId="34" applyFont="1" applyFill="1" applyBorder="1" applyAlignment="1">
      <alignment horizontal="left" vertical="top" wrapText="1" indent="1"/>
    </xf>
    <xf numFmtId="0" fontId="10" fillId="2" borderId="0" xfId="34" applyFont="1" applyFill="1" applyBorder="1" applyAlignment="1">
      <alignment horizontal="left" vertical="top" wrapText="1" indent="2"/>
    </xf>
    <xf numFmtId="175" fontId="11" fillId="2" borderId="0" xfId="34" applyNumberFormat="1" applyFont="1" applyFill="1" applyBorder="1" applyAlignment="1">
      <alignment horizontal="right" vertical="center"/>
    </xf>
    <xf numFmtId="175" fontId="10" fillId="2" borderId="0" xfId="34" applyNumberFormat="1" applyFont="1" applyFill="1" applyBorder="1" applyAlignment="1">
      <alignment horizontal="right" vertical="center"/>
    </xf>
    <xf numFmtId="166" fontId="11" fillId="2" borderId="0" xfId="34" applyNumberFormat="1" applyFont="1" applyFill="1" applyBorder="1" applyAlignment="1">
      <alignment horizontal="right" vertical="center"/>
    </xf>
    <xf numFmtId="166" fontId="10" fillId="2" borderId="0" xfId="34" applyNumberFormat="1" applyFont="1" applyFill="1" applyBorder="1" applyAlignment="1">
      <alignment horizontal="right" vertical="center"/>
    </xf>
    <xf numFmtId="0" fontId="10" fillId="2" borderId="1" xfId="34" applyFont="1" applyFill="1" applyBorder="1" applyAlignment="1">
      <alignment horizontal="left" vertical="top" wrapText="1" indent="2"/>
    </xf>
    <xf numFmtId="165" fontId="10" fillId="2" borderId="1" xfId="34" applyNumberFormat="1" applyFont="1" applyFill="1" applyBorder="1" applyAlignment="1">
      <alignment horizontal="right" vertical="center"/>
    </xf>
    <xf numFmtId="166" fontId="10" fillId="2" borderId="1" xfId="34" applyNumberFormat="1" applyFont="1" applyFill="1" applyBorder="1" applyAlignment="1">
      <alignment horizontal="right" vertical="center"/>
    </xf>
    <xf numFmtId="0" fontId="10" fillId="2" borderId="0" xfId="53" applyFont="1" applyFill="1" applyBorder="1" applyAlignment="1">
      <alignment horizontal="center" vertical="center" wrapText="1"/>
    </xf>
    <xf numFmtId="0" fontId="22" fillId="5" borderId="0" xfId="53" applyFont="1" applyFill="1" applyBorder="1" applyAlignment="1">
      <alignment horizontal="left" vertical="top" wrapText="1"/>
    </xf>
    <xf numFmtId="165" fontId="22" fillId="5" borderId="0" xfId="53" applyNumberFormat="1" applyFont="1" applyFill="1" applyBorder="1" applyAlignment="1">
      <alignment horizontal="right" vertical="center"/>
    </xf>
    <xf numFmtId="0" fontId="10" fillId="2" borderId="0" xfId="53" applyFont="1" applyFill="1" applyBorder="1" applyAlignment="1">
      <alignment horizontal="left" vertical="top" wrapText="1"/>
    </xf>
    <xf numFmtId="165" fontId="10" fillId="2" borderId="0" xfId="53" applyNumberFormat="1" applyFont="1" applyFill="1" applyBorder="1" applyAlignment="1">
      <alignment horizontal="right" vertical="center"/>
    </xf>
    <xf numFmtId="165" fontId="10" fillId="5" borderId="0" xfId="53" applyNumberFormat="1" applyFont="1" applyFill="1" applyBorder="1" applyAlignment="1">
      <alignment horizontal="right" vertical="center"/>
    </xf>
    <xf numFmtId="0" fontId="10" fillId="2" borderId="0" xfId="53" applyFont="1" applyFill="1" applyBorder="1" applyAlignment="1">
      <alignment horizontal="left" vertical="top" wrapText="1" indent="1"/>
    </xf>
    <xf numFmtId="175" fontId="11" fillId="5" borderId="0" xfId="53" applyNumberFormat="1" applyFont="1" applyFill="1" applyBorder="1" applyAlignment="1">
      <alignment horizontal="right" vertical="center"/>
    </xf>
    <xf numFmtId="0" fontId="11" fillId="2" borderId="0" xfId="53" applyFont="1" applyFill="1" applyBorder="1" applyAlignment="1">
      <alignment horizontal="left" vertical="top" wrapText="1" indent="1"/>
    </xf>
    <xf numFmtId="165" fontId="11" fillId="2" borderId="0" xfId="53" applyNumberFormat="1" applyFont="1" applyFill="1" applyBorder="1" applyAlignment="1">
      <alignment horizontal="right" vertical="center"/>
    </xf>
    <xf numFmtId="175" fontId="11" fillId="2" borderId="0" xfId="53" applyNumberFormat="1" applyFont="1" applyFill="1" applyBorder="1" applyAlignment="1">
      <alignment horizontal="right" vertical="center"/>
    </xf>
    <xf numFmtId="0" fontId="10" fillId="2" borderId="0" xfId="53" applyFont="1" applyFill="1" applyBorder="1" applyAlignment="1">
      <alignment horizontal="left" vertical="top" wrapText="1" indent="2"/>
    </xf>
    <xf numFmtId="175" fontId="10" fillId="2" borderId="0" xfId="53" applyNumberFormat="1" applyFont="1" applyFill="1" applyBorder="1" applyAlignment="1">
      <alignment horizontal="right" vertical="center"/>
    </xf>
    <xf numFmtId="166" fontId="11" fillId="2" borderId="0" xfId="53" applyNumberFormat="1" applyFont="1" applyFill="1" applyBorder="1" applyAlignment="1">
      <alignment horizontal="right" vertical="center"/>
    </xf>
    <xf numFmtId="166" fontId="10" fillId="2" borderId="0" xfId="53" applyNumberFormat="1" applyFont="1" applyFill="1" applyBorder="1" applyAlignment="1">
      <alignment horizontal="right" vertical="center"/>
    </xf>
    <xf numFmtId="0" fontId="10" fillId="2" borderId="1" xfId="53" applyFont="1" applyFill="1" applyBorder="1" applyAlignment="1">
      <alignment horizontal="left" vertical="top" wrapText="1" indent="2"/>
    </xf>
    <xf numFmtId="165" fontId="10" fillId="2" borderId="1" xfId="53" applyNumberFormat="1" applyFont="1" applyFill="1" applyBorder="1" applyAlignment="1">
      <alignment horizontal="right" vertical="center"/>
    </xf>
    <xf numFmtId="166" fontId="10" fillId="2" borderId="1" xfId="53" applyNumberFormat="1" applyFont="1" applyFill="1" applyBorder="1" applyAlignment="1">
      <alignment horizontal="right" vertical="center"/>
    </xf>
    <xf numFmtId="0" fontId="10" fillId="2" borderId="0" xfId="54" applyFont="1" applyFill="1" applyBorder="1" applyAlignment="1">
      <alignment horizontal="center" vertical="center" wrapText="1"/>
    </xf>
    <xf numFmtId="0" fontId="22" fillId="5" borderId="0" xfId="54" applyFont="1" applyFill="1" applyBorder="1" applyAlignment="1">
      <alignment vertical="top" wrapText="1"/>
    </xf>
    <xf numFmtId="165" fontId="22" fillId="5" borderId="0" xfId="54" applyNumberFormat="1" applyFont="1" applyFill="1" applyBorder="1" applyAlignment="1">
      <alignment horizontal="right" vertical="center"/>
    </xf>
    <xf numFmtId="0" fontId="11" fillId="2" borderId="0" xfId="54" applyFont="1" applyFill="1" applyBorder="1" applyAlignment="1">
      <alignment vertical="top" wrapText="1"/>
    </xf>
    <xf numFmtId="165" fontId="11" fillId="2" borderId="0" xfId="54" applyNumberFormat="1" applyFont="1" applyFill="1" applyBorder="1" applyAlignment="1">
      <alignment horizontal="right" vertical="center"/>
    </xf>
    <xf numFmtId="0" fontId="22" fillId="5" borderId="0" xfId="34" applyFont="1" applyFill="1" applyBorder="1" applyAlignment="1">
      <alignment vertical="top" wrapText="1"/>
    </xf>
    <xf numFmtId="165" fontId="11" fillId="5" borderId="0" xfId="54" applyNumberFormat="1" applyFont="1" applyFill="1" applyBorder="1" applyAlignment="1">
      <alignment horizontal="right" vertical="center"/>
    </xf>
    <xf numFmtId="0" fontId="10" fillId="2" borderId="0" xfId="54" applyFont="1" applyFill="1" applyBorder="1" applyAlignment="1">
      <alignment horizontal="left" vertical="top" wrapText="1" indent="1"/>
    </xf>
    <xf numFmtId="165" fontId="10" fillId="2" borderId="0" xfId="54" applyNumberFormat="1" applyFont="1" applyFill="1" applyBorder="1" applyAlignment="1">
      <alignment horizontal="right" vertical="center"/>
    </xf>
    <xf numFmtId="165" fontId="10" fillId="5" borderId="0" xfId="54" applyNumberFormat="1" applyFont="1" applyFill="1" applyBorder="1" applyAlignment="1">
      <alignment horizontal="right" vertical="center"/>
    </xf>
    <xf numFmtId="0" fontId="11" fillId="2" borderId="0" xfId="54" applyFont="1" applyFill="1" applyBorder="1" applyAlignment="1">
      <alignment horizontal="left" vertical="top" wrapText="1" indent="1"/>
    </xf>
    <xf numFmtId="0" fontId="10" fillId="2" borderId="0" xfId="54" applyFont="1" applyFill="1" applyBorder="1" applyAlignment="1">
      <alignment horizontal="left" vertical="top" wrapText="1" indent="2"/>
    </xf>
    <xf numFmtId="0" fontId="11" fillId="2" borderId="0" xfId="54" applyFont="1" applyFill="1" applyBorder="1" applyAlignment="1">
      <alignment horizontal="left" vertical="top" wrapText="1"/>
    </xf>
    <xf numFmtId="0" fontId="10" fillId="2" borderId="1" xfId="54" applyFont="1" applyFill="1" applyBorder="1" applyAlignment="1">
      <alignment horizontal="left" vertical="top" wrapText="1" indent="2"/>
    </xf>
    <xf numFmtId="165" fontId="10" fillId="2" borderId="1" xfId="54" applyNumberFormat="1" applyFont="1" applyFill="1" applyBorder="1" applyAlignment="1">
      <alignment horizontal="right" vertical="center"/>
    </xf>
    <xf numFmtId="0" fontId="10" fillId="2" borderId="0" xfId="55" applyFont="1" applyFill="1" applyBorder="1" applyAlignment="1">
      <alignment horizontal="center" vertical="center" wrapText="1"/>
    </xf>
    <xf numFmtId="0" fontId="22" fillId="5" borderId="0" xfId="55" applyFont="1" applyFill="1" applyBorder="1" applyAlignment="1">
      <alignment vertical="top" wrapText="1"/>
    </xf>
    <xf numFmtId="165" fontId="22" fillId="5" borderId="0" xfId="55" applyNumberFormat="1" applyFont="1" applyFill="1" applyBorder="1" applyAlignment="1">
      <alignment horizontal="right" vertical="center"/>
    </xf>
    <xf numFmtId="0" fontId="11" fillId="2" borderId="0" xfId="55" applyFont="1" applyFill="1" applyBorder="1" applyAlignment="1">
      <alignment vertical="top" wrapText="1"/>
    </xf>
    <xf numFmtId="165" fontId="11" fillId="2" borderId="0" xfId="55" applyNumberFormat="1" applyFont="1" applyFill="1" applyBorder="1" applyAlignment="1">
      <alignment horizontal="right" vertical="center"/>
    </xf>
    <xf numFmtId="165" fontId="11" fillId="5" borderId="0" xfId="55" applyNumberFormat="1" applyFont="1" applyFill="1" applyBorder="1" applyAlignment="1">
      <alignment horizontal="right" vertical="center"/>
    </xf>
    <xf numFmtId="0" fontId="10" fillId="2" borderId="0" xfId="55" applyFont="1" applyFill="1" applyBorder="1" applyAlignment="1">
      <alignment horizontal="left" vertical="top" wrapText="1" indent="1"/>
    </xf>
    <xf numFmtId="165" fontId="10" fillId="2" borderId="0" xfId="55" applyNumberFormat="1" applyFont="1" applyFill="1" applyBorder="1" applyAlignment="1">
      <alignment horizontal="right" vertical="center"/>
    </xf>
    <xf numFmtId="0" fontId="11" fillId="2" borderId="0" xfId="55" applyFont="1" applyFill="1" applyBorder="1" applyAlignment="1">
      <alignment horizontal="left" vertical="top" wrapText="1" indent="1"/>
    </xf>
    <xf numFmtId="0" fontId="10" fillId="2" borderId="0" xfId="55" applyFont="1" applyFill="1" applyBorder="1" applyAlignment="1">
      <alignment horizontal="left" vertical="top" wrapText="1" indent="2"/>
    </xf>
    <xf numFmtId="166" fontId="10" fillId="2" borderId="0" xfId="55" applyNumberFormat="1" applyFont="1" applyFill="1" applyBorder="1" applyAlignment="1">
      <alignment horizontal="right" vertical="center"/>
    </xf>
    <xf numFmtId="0" fontId="10" fillId="2" borderId="1" xfId="55" applyFont="1" applyFill="1" applyBorder="1" applyAlignment="1">
      <alignment horizontal="left" vertical="top" wrapText="1" indent="2"/>
    </xf>
    <xf numFmtId="165" fontId="10" fillId="2" borderId="1" xfId="55" applyNumberFormat="1" applyFont="1" applyFill="1" applyBorder="1" applyAlignment="1">
      <alignment horizontal="right" vertical="center"/>
    </xf>
    <xf numFmtId="0" fontId="10" fillId="2" borderId="0" xfId="56" applyFont="1" applyFill="1" applyBorder="1" applyAlignment="1">
      <alignment horizontal="center" wrapText="1"/>
    </xf>
    <xf numFmtId="0" fontId="22" fillId="5" borderId="0" xfId="56" applyFont="1" applyFill="1" applyBorder="1" applyAlignment="1">
      <alignment vertical="top" wrapText="1"/>
    </xf>
    <xf numFmtId="165" fontId="22" fillId="5" borderId="0" xfId="56" applyNumberFormat="1" applyFont="1" applyFill="1" applyBorder="1" applyAlignment="1">
      <alignment horizontal="right" vertical="center"/>
    </xf>
    <xf numFmtId="0" fontId="11" fillId="2" borderId="0" xfId="56" applyFont="1" applyFill="1" applyBorder="1" applyAlignment="1">
      <alignment vertical="top" wrapText="1"/>
    </xf>
    <xf numFmtId="165" fontId="11" fillId="2" borderId="0" xfId="56" applyNumberFormat="1" applyFont="1" applyFill="1" applyBorder="1" applyAlignment="1">
      <alignment horizontal="right" vertical="center"/>
    </xf>
    <xf numFmtId="165" fontId="11" fillId="5" borderId="0" xfId="56" applyNumberFormat="1" applyFont="1" applyFill="1" applyBorder="1" applyAlignment="1">
      <alignment horizontal="right" vertical="center"/>
    </xf>
    <xf numFmtId="0" fontId="10" fillId="2" borderId="0" xfId="56" applyFont="1" applyFill="1" applyBorder="1" applyAlignment="1">
      <alignment horizontal="left" vertical="top" wrapText="1"/>
    </xf>
    <xf numFmtId="165" fontId="10" fillId="2" borderId="0" xfId="56" applyNumberFormat="1" applyFont="1" applyFill="1" applyBorder="1" applyAlignment="1">
      <alignment horizontal="right" vertical="center"/>
    </xf>
    <xf numFmtId="165" fontId="10" fillId="5" borderId="0" xfId="56" applyNumberFormat="1" applyFont="1" applyFill="1" applyBorder="1" applyAlignment="1">
      <alignment horizontal="right" vertical="center"/>
    </xf>
    <xf numFmtId="0" fontId="11" fillId="2" borderId="0" xfId="56" applyFont="1" applyFill="1" applyBorder="1" applyAlignment="1">
      <alignment horizontal="left" vertical="top" wrapText="1"/>
    </xf>
    <xf numFmtId="165" fontId="10" fillId="2" borderId="1" xfId="56" applyNumberFormat="1" applyFont="1" applyFill="1" applyBorder="1" applyAlignment="1">
      <alignment horizontal="right" vertical="center"/>
    </xf>
    <xf numFmtId="0" fontId="10" fillId="2" borderId="0" xfId="56" applyFont="1" applyFill="1" applyBorder="1" applyAlignment="1">
      <alignment horizontal="left" vertical="top" wrapText="1" indent="1"/>
    </xf>
    <xf numFmtId="0" fontId="10" fillId="2" borderId="1" xfId="56" applyFont="1" applyFill="1" applyBorder="1" applyAlignment="1">
      <alignment horizontal="left" vertical="top" wrapText="1" indent="1"/>
    </xf>
    <xf numFmtId="0" fontId="10" fillId="2" borderId="0" xfId="57" applyFont="1" applyFill="1" applyBorder="1" applyAlignment="1">
      <alignment horizontal="center" vertical="center" wrapText="1"/>
    </xf>
    <xf numFmtId="165" fontId="22" fillId="5" borderId="0" xfId="57" applyNumberFormat="1" applyFont="1" applyFill="1" applyBorder="1" applyAlignment="1">
      <alignment vertical="top" wrapText="1"/>
    </xf>
    <xf numFmtId="165" fontId="22" fillId="5" borderId="0" xfId="57" applyNumberFormat="1" applyFont="1" applyFill="1" applyBorder="1" applyAlignment="1">
      <alignment horizontal="right" vertical="center"/>
    </xf>
    <xf numFmtId="175" fontId="22" fillId="5" borderId="0" xfId="57" applyNumberFormat="1" applyFont="1" applyFill="1" applyBorder="1" applyAlignment="1">
      <alignment horizontal="right" vertical="center"/>
    </xf>
    <xf numFmtId="165" fontId="10" fillId="2" borderId="0" xfId="57" applyNumberFormat="1" applyFont="1" applyFill="1" applyBorder="1" applyAlignment="1">
      <alignment vertical="top" wrapText="1"/>
    </xf>
    <xf numFmtId="165" fontId="10" fillId="2" borderId="0" xfId="57" applyNumberFormat="1" applyFont="1" applyFill="1" applyBorder="1" applyAlignment="1">
      <alignment horizontal="right" vertical="center"/>
    </xf>
    <xf numFmtId="175" fontId="10" fillId="2" borderId="0" xfId="57" applyNumberFormat="1" applyFont="1" applyFill="1" applyBorder="1" applyAlignment="1">
      <alignment horizontal="right" vertical="center"/>
    </xf>
    <xf numFmtId="165" fontId="10" fillId="5" borderId="0" xfId="57" applyNumberFormat="1" applyFont="1" applyFill="1" applyBorder="1" applyAlignment="1">
      <alignment horizontal="right" vertical="center"/>
    </xf>
    <xf numFmtId="175" fontId="10" fillId="5" borderId="0" xfId="57" applyNumberFormat="1" applyFont="1" applyFill="1" applyBorder="1" applyAlignment="1">
      <alignment horizontal="right" vertical="center"/>
    </xf>
    <xf numFmtId="165" fontId="10" fillId="2" borderId="0" xfId="57" applyNumberFormat="1" applyFont="1" applyFill="1" applyBorder="1" applyAlignment="1">
      <alignment horizontal="left" vertical="top" wrapText="1" indent="1"/>
    </xf>
    <xf numFmtId="165" fontId="22" fillId="5" borderId="0" xfId="34" applyNumberFormat="1" applyFont="1" applyFill="1" applyAlignment="1">
      <alignment horizontal="left" vertical="top" wrapText="1"/>
    </xf>
    <xf numFmtId="165" fontId="11" fillId="5" borderId="0" xfId="57" applyNumberFormat="1" applyFont="1" applyFill="1" applyBorder="1" applyAlignment="1">
      <alignment horizontal="right" vertical="center"/>
    </xf>
    <xf numFmtId="175" fontId="11" fillId="5" borderId="0" xfId="57" applyNumberFormat="1" applyFont="1" applyFill="1" applyBorder="1" applyAlignment="1">
      <alignment horizontal="right" vertical="center"/>
    </xf>
    <xf numFmtId="165" fontId="11" fillId="2" borderId="0" xfId="57" applyNumberFormat="1" applyFont="1" applyFill="1" applyBorder="1" applyAlignment="1">
      <alignment horizontal="left" vertical="top" wrapText="1" indent="1"/>
    </xf>
    <xf numFmtId="165" fontId="11" fillId="2" borderId="0" xfId="57" applyNumberFormat="1" applyFont="1" applyFill="1" applyBorder="1" applyAlignment="1">
      <alignment horizontal="right" vertical="center"/>
    </xf>
    <xf numFmtId="165" fontId="10" fillId="2" borderId="0" xfId="57" applyNumberFormat="1" applyFont="1" applyFill="1" applyBorder="1" applyAlignment="1">
      <alignment horizontal="left" vertical="top" wrapText="1" indent="2"/>
    </xf>
    <xf numFmtId="166" fontId="11" fillId="2" borderId="0" xfId="57" applyNumberFormat="1" applyFont="1" applyFill="1" applyBorder="1" applyAlignment="1">
      <alignment horizontal="right" vertical="center"/>
    </xf>
    <xf numFmtId="166" fontId="10" fillId="2" borderId="0" xfId="57" applyNumberFormat="1" applyFont="1" applyFill="1" applyBorder="1" applyAlignment="1">
      <alignment horizontal="right" vertical="center"/>
    </xf>
    <xf numFmtId="0" fontId="10" fillId="2" borderId="0" xfId="57" applyFont="1" applyFill="1" applyBorder="1" applyAlignment="1">
      <alignment horizontal="left" vertical="top" wrapText="1" indent="2"/>
    </xf>
    <xf numFmtId="0" fontId="11" fillId="2" borderId="0" xfId="57" applyFont="1" applyFill="1" applyBorder="1" applyAlignment="1">
      <alignment horizontal="left" vertical="top" wrapText="1" indent="1"/>
    </xf>
    <xf numFmtId="175" fontId="11" fillId="2" borderId="0" xfId="57" applyNumberFormat="1" applyFont="1" applyFill="1" applyBorder="1" applyAlignment="1">
      <alignment horizontal="right" vertical="center"/>
    </xf>
    <xf numFmtId="0" fontId="10" fillId="2" borderId="1" xfId="57" applyFont="1" applyFill="1" applyBorder="1" applyAlignment="1">
      <alignment horizontal="left" vertical="top" wrapText="1" indent="2"/>
    </xf>
    <xf numFmtId="165" fontId="10" fillId="2" borderId="1" xfId="57" applyNumberFormat="1" applyFont="1" applyFill="1" applyBorder="1" applyAlignment="1">
      <alignment horizontal="right" vertical="center"/>
    </xf>
    <xf numFmtId="166" fontId="10" fillId="2" borderId="1" xfId="57" applyNumberFormat="1" applyFont="1" applyFill="1" applyBorder="1" applyAlignment="1">
      <alignment horizontal="right" vertical="center"/>
    </xf>
    <xf numFmtId="175" fontId="10" fillId="2" borderId="1" xfId="57" applyNumberFormat="1" applyFont="1" applyFill="1" applyBorder="1" applyAlignment="1">
      <alignment horizontal="right" vertical="center"/>
    </xf>
    <xf numFmtId="0" fontId="10" fillId="2" borderId="0" xfId="58" applyFont="1" applyFill="1" applyBorder="1" applyAlignment="1">
      <alignment horizontal="center" vertical="center" wrapText="1"/>
    </xf>
    <xf numFmtId="165" fontId="22" fillId="5" borderId="0" xfId="58" applyNumberFormat="1" applyFont="1" applyFill="1" applyBorder="1" applyAlignment="1">
      <alignment vertical="top" wrapText="1"/>
    </xf>
    <xf numFmtId="165" fontId="22" fillId="5" borderId="0" xfId="58" applyNumberFormat="1" applyFont="1" applyFill="1" applyBorder="1" applyAlignment="1">
      <alignment horizontal="right" vertical="center"/>
    </xf>
    <xf numFmtId="166" fontId="22" fillId="5" borderId="0" xfId="58" applyNumberFormat="1" applyFont="1" applyFill="1" applyBorder="1" applyAlignment="1">
      <alignment horizontal="right" vertical="center"/>
    </xf>
    <xf numFmtId="165" fontId="11" fillId="2" borderId="0" xfId="58" applyNumberFormat="1" applyFont="1" applyFill="1" applyBorder="1" applyAlignment="1">
      <alignment vertical="top" wrapText="1"/>
    </xf>
    <xf numFmtId="165" fontId="11" fillId="2" borderId="0" xfId="58" applyNumberFormat="1" applyFont="1" applyFill="1" applyBorder="1" applyAlignment="1">
      <alignment horizontal="right" vertical="center"/>
    </xf>
    <xf numFmtId="166" fontId="11" fillId="2" borderId="0" xfId="58" applyNumberFormat="1" applyFont="1" applyFill="1" applyBorder="1" applyAlignment="1">
      <alignment horizontal="right" vertical="center"/>
    </xf>
    <xf numFmtId="165" fontId="11" fillId="5" borderId="0" xfId="58" applyNumberFormat="1" applyFont="1" applyFill="1" applyBorder="1" applyAlignment="1">
      <alignment horizontal="right" vertical="center"/>
    </xf>
    <xf numFmtId="166" fontId="11" fillId="5" borderId="0" xfId="58" applyNumberFormat="1" applyFont="1" applyFill="1" applyBorder="1" applyAlignment="1">
      <alignment horizontal="right" vertical="center"/>
    </xf>
    <xf numFmtId="165" fontId="10" fillId="2" borderId="0" xfId="58" applyNumberFormat="1" applyFont="1" applyFill="1" applyBorder="1" applyAlignment="1">
      <alignment horizontal="left" vertical="top" wrapText="1" indent="2"/>
    </xf>
    <xf numFmtId="165" fontId="10" fillId="2" borderId="0" xfId="58" applyNumberFormat="1" applyFont="1" applyFill="1" applyBorder="1" applyAlignment="1">
      <alignment horizontal="right" vertical="center"/>
    </xf>
    <xf numFmtId="166" fontId="10" fillId="2" borderId="0" xfId="58" applyNumberFormat="1" applyFont="1" applyFill="1" applyBorder="1" applyAlignment="1">
      <alignment horizontal="right" vertical="center"/>
    </xf>
    <xf numFmtId="165" fontId="11" fillId="2" borderId="0" xfId="58" applyNumberFormat="1" applyFont="1" applyFill="1" applyBorder="1" applyAlignment="1">
      <alignment horizontal="left" vertical="top" wrapText="1" indent="1"/>
    </xf>
    <xf numFmtId="165" fontId="10" fillId="2" borderId="1" xfId="58" applyNumberFormat="1" applyFont="1" applyFill="1" applyBorder="1" applyAlignment="1">
      <alignment horizontal="left" vertical="top" wrapText="1" indent="2"/>
    </xf>
    <xf numFmtId="165" fontId="10" fillId="2" borderId="1" xfId="58" applyNumberFormat="1" applyFont="1" applyFill="1" applyBorder="1" applyAlignment="1">
      <alignment horizontal="right" vertical="center"/>
    </xf>
    <xf numFmtId="166" fontId="10" fillId="2" borderId="1" xfId="58" applyNumberFormat="1" applyFont="1" applyFill="1" applyBorder="1" applyAlignment="1">
      <alignment horizontal="right" vertical="center"/>
    </xf>
    <xf numFmtId="0" fontId="10" fillId="2" borderId="0" xfId="59" applyFont="1" applyFill="1" applyBorder="1" applyAlignment="1">
      <alignment horizontal="center" vertical="center" wrapText="1"/>
    </xf>
    <xf numFmtId="165" fontId="22" fillId="5" borderId="0" xfId="59" applyNumberFormat="1" applyFont="1" applyFill="1" applyBorder="1" applyAlignment="1">
      <alignment vertical="top" wrapText="1"/>
    </xf>
    <xf numFmtId="165" fontId="22" fillId="5" borderId="0" xfId="59" applyNumberFormat="1" applyFont="1" applyFill="1" applyBorder="1" applyAlignment="1">
      <alignment horizontal="right" vertical="center"/>
    </xf>
    <xf numFmtId="175" fontId="22" fillId="5" borderId="0" xfId="59" applyNumberFormat="1" applyFont="1" applyFill="1" applyBorder="1" applyAlignment="1">
      <alignment horizontal="right" vertical="center"/>
    </xf>
    <xf numFmtId="165" fontId="11" fillId="2" borderId="0" xfId="59" applyNumberFormat="1" applyFont="1" applyFill="1" applyBorder="1" applyAlignment="1">
      <alignment vertical="top" wrapText="1"/>
    </xf>
    <xf numFmtId="165" fontId="11" fillId="2" borderId="0" xfId="59" applyNumberFormat="1" applyFont="1" applyFill="1" applyBorder="1" applyAlignment="1">
      <alignment horizontal="right" vertical="center"/>
    </xf>
    <xf numFmtId="175" fontId="11" fillId="2" borderId="0" xfId="59" applyNumberFormat="1" applyFont="1" applyFill="1" applyBorder="1" applyAlignment="1">
      <alignment horizontal="right" vertical="center"/>
    </xf>
    <xf numFmtId="165" fontId="22" fillId="5" borderId="0" xfId="34" applyNumberFormat="1" applyFont="1" applyFill="1" applyAlignment="1">
      <alignment vertical="top" wrapText="1"/>
    </xf>
    <xf numFmtId="165" fontId="11" fillId="5" borderId="0" xfId="59" applyNumberFormat="1" applyFont="1" applyFill="1" applyBorder="1" applyAlignment="1">
      <alignment horizontal="right" vertical="center"/>
    </xf>
    <xf numFmtId="175" fontId="11" fillId="5" borderId="0" xfId="59" applyNumberFormat="1" applyFont="1" applyFill="1" applyBorder="1" applyAlignment="1">
      <alignment horizontal="right" vertical="center"/>
    </xf>
    <xf numFmtId="165" fontId="10" fillId="2" borderId="0" xfId="59" applyNumberFormat="1" applyFont="1" applyFill="1" applyBorder="1" applyAlignment="1">
      <alignment horizontal="left" vertical="top" wrapText="1"/>
    </xf>
    <xf numFmtId="165" fontId="10" fillId="2" borderId="0" xfId="59" applyNumberFormat="1" applyFont="1" applyFill="1" applyBorder="1" applyAlignment="1">
      <alignment horizontal="right" vertical="center"/>
    </xf>
    <xf numFmtId="175" fontId="10" fillId="2" borderId="0" xfId="59" applyNumberFormat="1" applyFont="1" applyFill="1" applyBorder="1" applyAlignment="1">
      <alignment horizontal="right" vertical="center"/>
    </xf>
    <xf numFmtId="166" fontId="11" fillId="5" borderId="0" xfId="59" applyNumberFormat="1" applyFont="1" applyFill="1" applyBorder="1" applyAlignment="1">
      <alignment horizontal="right" vertical="center"/>
    </xf>
    <xf numFmtId="165" fontId="11" fillId="2" borderId="0" xfId="59" applyNumberFormat="1" applyFont="1" applyFill="1" applyBorder="1" applyAlignment="1">
      <alignment horizontal="left" vertical="top" wrapText="1"/>
    </xf>
    <xf numFmtId="166" fontId="11" fillId="2" borderId="0" xfId="59" applyNumberFormat="1" applyFont="1" applyFill="1" applyBorder="1" applyAlignment="1">
      <alignment horizontal="right" vertical="center"/>
    </xf>
    <xf numFmtId="166" fontId="10" fillId="2" borderId="0" xfId="59" applyNumberFormat="1" applyFont="1" applyFill="1" applyBorder="1" applyAlignment="1">
      <alignment horizontal="right" vertical="center"/>
    </xf>
    <xf numFmtId="165" fontId="10" fillId="2" borderId="1" xfId="59" applyNumberFormat="1" applyFont="1" applyFill="1" applyBorder="1" applyAlignment="1">
      <alignment horizontal="right" vertical="center"/>
    </xf>
    <xf numFmtId="166" fontId="10" fillId="2" borderId="1" xfId="59" applyNumberFormat="1" applyFont="1" applyFill="1" applyBorder="1" applyAlignment="1">
      <alignment horizontal="right" vertical="center"/>
    </xf>
    <xf numFmtId="175" fontId="10" fillId="2" borderId="1" xfId="59" applyNumberFormat="1" applyFont="1" applyFill="1" applyBorder="1" applyAlignment="1">
      <alignment horizontal="right" vertical="center"/>
    </xf>
    <xf numFmtId="165" fontId="10" fillId="2" borderId="0" xfId="59" applyNumberFormat="1" applyFont="1" applyFill="1" applyBorder="1" applyAlignment="1">
      <alignment horizontal="left" vertical="top" wrapText="1" indent="1"/>
    </xf>
    <xf numFmtId="165" fontId="10" fillId="2" borderId="1" xfId="59" applyNumberFormat="1" applyFont="1" applyFill="1" applyBorder="1" applyAlignment="1">
      <alignment horizontal="left" vertical="top" wrapText="1" indent="1"/>
    </xf>
    <xf numFmtId="0" fontId="10" fillId="2" borderId="0" xfId="60" applyFont="1" applyFill="1" applyBorder="1" applyAlignment="1">
      <alignment horizontal="center" wrapText="1"/>
    </xf>
    <xf numFmtId="165" fontId="22" fillId="5" borderId="0" xfId="60" applyNumberFormat="1" applyFont="1" applyFill="1" applyBorder="1" applyAlignment="1">
      <alignment vertical="top" wrapText="1"/>
    </xf>
    <xf numFmtId="165" fontId="22" fillId="5" borderId="0" xfId="60" applyNumberFormat="1" applyFont="1" applyFill="1" applyBorder="1" applyAlignment="1">
      <alignment horizontal="right" vertical="center"/>
    </xf>
    <xf numFmtId="165" fontId="10" fillId="2" borderId="0" xfId="60" applyNumberFormat="1" applyFont="1" applyFill="1" applyBorder="1" applyAlignment="1">
      <alignment vertical="top" wrapText="1"/>
    </xf>
    <xf numFmtId="165" fontId="10" fillId="2" borderId="0" xfId="60" applyNumberFormat="1" applyFont="1" applyFill="1" applyBorder="1" applyAlignment="1">
      <alignment horizontal="right" vertical="center"/>
    </xf>
    <xf numFmtId="165" fontId="11" fillId="5" borderId="0" xfId="60" applyNumberFormat="1" applyFont="1" applyFill="1" applyBorder="1" applyAlignment="1">
      <alignment horizontal="right" vertical="center"/>
    </xf>
    <xf numFmtId="165" fontId="10" fillId="2" borderId="0" xfId="60" applyNumberFormat="1" applyFont="1" applyFill="1" applyBorder="1" applyAlignment="1">
      <alignment horizontal="left" vertical="top" wrapText="1" indent="1"/>
    </xf>
    <xf numFmtId="165" fontId="11" fillId="2" borderId="0" xfId="60" applyNumberFormat="1" applyFont="1" applyFill="1" applyBorder="1" applyAlignment="1">
      <alignment horizontal="left" vertical="top" wrapText="1" indent="1"/>
    </xf>
    <xf numFmtId="165" fontId="11" fillId="2" borderId="0" xfId="60" applyNumberFormat="1" applyFont="1" applyFill="1" applyBorder="1" applyAlignment="1">
      <alignment horizontal="right" vertical="center"/>
    </xf>
    <xf numFmtId="165" fontId="10" fillId="2" borderId="0" xfId="60" applyNumberFormat="1" applyFont="1" applyFill="1" applyBorder="1" applyAlignment="1">
      <alignment horizontal="left" vertical="top" wrapText="1" indent="2"/>
    </xf>
    <xf numFmtId="165" fontId="10" fillId="2" borderId="1" xfId="60" applyNumberFormat="1" applyFont="1" applyFill="1" applyBorder="1" applyAlignment="1">
      <alignment horizontal="left" vertical="top" wrapText="1" indent="2"/>
    </xf>
    <xf numFmtId="165" fontId="10" fillId="2" borderId="1" xfId="60" applyNumberFormat="1" applyFont="1" applyFill="1" applyBorder="1" applyAlignment="1">
      <alignment horizontal="right" vertical="center"/>
    </xf>
    <xf numFmtId="165" fontId="22" fillId="5" borderId="0" xfId="61" applyNumberFormat="1" applyFont="1" applyFill="1" applyBorder="1" applyAlignment="1">
      <alignment vertical="top" wrapText="1"/>
    </xf>
    <xf numFmtId="165" fontId="22" fillId="5" borderId="0" xfId="61" applyNumberFormat="1" applyFont="1" applyFill="1" applyBorder="1" applyAlignment="1">
      <alignment horizontal="right" vertical="center"/>
    </xf>
    <xf numFmtId="166" fontId="22" fillId="5" borderId="0" xfId="61" applyNumberFormat="1" applyFont="1" applyFill="1" applyBorder="1" applyAlignment="1">
      <alignment horizontal="right" vertical="center"/>
    </xf>
    <xf numFmtId="165" fontId="11" fillId="2" borderId="0" xfId="61" applyNumberFormat="1" applyFont="1" applyFill="1" applyBorder="1" applyAlignment="1">
      <alignment vertical="top" wrapText="1"/>
    </xf>
    <xf numFmtId="165" fontId="11" fillId="2" borderId="0" xfId="61" applyNumberFormat="1" applyFont="1" applyFill="1" applyBorder="1" applyAlignment="1">
      <alignment horizontal="right" vertical="center"/>
    </xf>
    <xf numFmtId="166" fontId="11" fillId="2" borderId="0" xfId="61" applyNumberFormat="1" applyFont="1" applyFill="1" applyBorder="1" applyAlignment="1">
      <alignment horizontal="right" vertical="center"/>
    </xf>
    <xf numFmtId="165" fontId="11" fillId="5" borderId="0" xfId="61" applyNumberFormat="1" applyFont="1" applyFill="1" applyBorder="1" applyAlignment="1">
      <alignment horizontal="right" vertical="center"/>
    </xf>
    <xf numFmtId="166" fontId="11" fillId="5" borderId="0" xfId="61" applyNumberFormat="1" applyFont="1" applyFill="1" applyBorder="1" applyAlignment="1">
      <alignment horizontal="right" vertical="center"/>
    </xf>
    <xf numFmtId="165" fontId="10" fillId="2" borderId="0" xfId="61" applyNumberFormat="1" applyFont="1" applyFill="1" applyBorder="1" applyAlignment="1">
      <alignment horizontal="left" vertical="top" wrapText="1" indent="1"/>
    </xf>
    <xf numFmtId="165" fontId="10" fillId="2" borderId="0" xfId="61" applyNumberFormat="1" applyFont="1" applyFill="1" applyBorder="1" applyAlignment="1">
      <alignment horizontal="right" vertical="center"/>
    </xf>
    <xf numFmtId="166" fontId="10" fillId="2" borderId="0" xfId="61" applyNumberFormat="1" applyFont="1" applyFill="1" applyBorder="1" applyAlignment="1">
      <alignment horizontal="right" vertical="center"/>
    </xf>
    <xf numFmtId="165" fontId="10" fillId="5" borderId="0" xfId="61" applyNumberFormat="1" applyFont="1" applyFill="1" applyBorder="1" applyAlignment="1">
      <alignment horizontal="right" vertical="center"/>
    </xf>
    <xf numFmtId="166" fontId="10" fillId="5" borderId="0" xfId="61" applyNumberFormat="1" applyFont="1" applyFill="1" applyBorder="1" applyAlignment="1">
      <alignment horizontal="right" vertical="center"/>
    </xf>
    <xf numFmtId="165" fontId="11" fillId="2" borderId="0" xfId="61" applyNumberFormat="1" applyFont="1" applyFill="1" applyBorder="1" applyAlignment="1">
      <alignment horizontal="left" vertical="top" wrapText="1" indent="1"/>
    </xf>
    <xf numFmtId="175" fontId="11" fillId="2" borderId="0" xfId="61" applyNumberFormat="1" applyFont="1" applyFill="1" applyBorder="1" applyAlignment="1">
      <alignment horizontal="right" vertical="center"/>
    </xf>
    <xf numFmtId="165" fontId="10" fillId="2" borderId="0" xfId="61" applyNumberFormat="1" applyFont="1" applyFill="1" applyBorder="1" applyAlignment="1">
      <alignment horizontal="left" vertical="top" wrapText="1" indent="2"/>
    </xf>
    <xf numFmtId="175" fontId="10" fillId="2" borderId="0" xfId="61" applyNumberFormat="1" applyFont="1" applyFill="1" applyBorder="1" applyAlignment="1">
      <alignment horizontal="right" vertical="center"/>
    </xf>
    <xf numFmtId="165" fontId="10" fillId="2" borderId="1" xfId="61" applyNumberFormat="1" applyFont="1" applyFill="1" applyBorder="1" applyAlignment="1">
      <alignment horizontal="left" vertical="top" wrapText="1" indent="2"/>
    </xf>
    <xf numFmtId="165" fontId="10" fillId="2" borderId="1" xfId="61" applyNumberFormat="1" applyFont="1" applyFill="1" applyBorder="1" applyAlignment="1">
      <alignment horizontal="right" vertical="center"/>
    </xf>
    <xf numFmtId="175" fontId="10" fillId="2" borderId="1" xfId="61" applyNumberFormat="1" applyFont="1" applyFill="1" applyBorder="1" applyAlignment="1">
      <alignment horizontal="right" vertical="center"/>
    </xf>
    <xf numFmtId="166" fontId="10" fillId="2" borderId="1" xfId="61" applyNumberFormat="1" applyFont="1" applyFill="1" applyBorder="1" applyAlignment="1">
      <alignment horizontal="right" vertical="center"/>
    </xf>
    <xf numFmtId="165" fontId="22" fillId="5" borderId="0" xfId="62" applyNumberFormat="1" applyFont="1" applyFill="1" applyBorder="1" applyAlignment="1">
      <alignment vertical="top" wrapText="1"/>
    </xf>
    <xf numFmtId="165" fontId="22" fillId="5" borderId="0" xfId="62" applyNumberFormat="1" applyFont="1" applyFill="1" applyBorder="1" applyAlignment="1">
      <alignment horizontal="right" vertical="center"/>
    </xf>
    <xf numFmtId="166" fontId="22" fillId="5" borderId="0" xfId="62" applyNumberFormat="1" applyFont="1" applyFill="1" applyBorder="1" applyAlignment="1">
      <alignment horizontal="right" vertical="center"/>
    </xf>
    <xf numFmtId="165" fontId="11" fillId="2" borderId="0" xfId="62" applyNumberFormat="1" applyFont="1" applyFill="1" applyBorder="1" applyAlignment="1">
      <alignment vertical="top" wrapText="1"/>
    </xf>
    <xf numFmtId="165" fontId="11" fillId="2" borderId="0" xfId="62" applyNumberFormat="1" applyFont="1" applyFill="1" applyBorder="1" applyAlignment="1">
      <alignment horizontal="right" vertical="center"/>
    </xf>
    <xf numFmtId="166" fontId="11" fillId="2" borderId="0" xfId="62" applyNumberFormat="1" applyFont="1" applyFill="1" applyBorder="1" applyAlignment="1">
      <alignment horizontal="right" vertical="center"/>
    </xf>
    <xf numFmtId="165" fontId="11" fillId="5" borderId="0" xfId="62" applyNumberFormat="1" applyFont="1" applyFill="1" applyBorder="1" applyAlignment="1">
      <alignment horizontal="right" vertical="center"/>
    </xf>
    <xf numFmtId="166" fontId="11" fillId="5" borderId="0" xfId="62" applyNumberFormat="1" applyFont="1" applyFill="1" applyBorder="1" applyAlignment="1">
      <alignment horizontal="right" vertical="center"/>
    </xf>
    <xf numFmtId="165" fontId="10" fillId="2" borderId="0" xfId="62" applyNumberFormat="1" applyFont="1" applyFill="1" applyBorder="1" applyAlignment="1">
      <alignment horizontal="left" vertical="top" wrapText="1" indent="1"/>
    </xf>
    <xf numFmtId="165" fontId="10" fillId="2" borderId="0" xfId="62" applyNumberFormat="1" applyFont="1" applyFill="1" applyBorder="1" applyAlignment="1">
      <alignment horizontal="right" vertical="center"/>
    </xf>
    <xf numFmtId="166" fontId="10" fillId="2" borderId="0" xfId="62" applyNumberFormat="1" applyFont="1" applyFill="1" applyBorder="1" applyAlignment="1">
      <alignment horizontal="right" vertical="center"/>
    </xf>
    <xf numFmtId="165" fontId="10" fillId="5" borderId="0" xfId="62" applyNumberFormat="1" applyFont="1" applyFill="1" applyBorder="1" applyAlignment="1">
      <alignment horizontal="right" vertical="center"/>
    </xf>
    <xf numFmtId="166" fontId="10" fillId="5" borderId="0" xfId="62" applyNumberFormat="1" applyFont="1" applyFill="1" applyBorder="1" applyAlignment="1">
      <alignment horizontal="right" vertical="center"/>
    </xf>
    <xf numFmtId="165" fontId="11" fillId="2" borderId="0" xfId="62" applyNumberFormat="1" applyFont="1" applyFill="1" applyBorder="1" applyAlignment="1">
      <alignment horizontal="left" vertical="top" wrapText="1" indent="1"/>
    </xf>
    <xf numFmtId="165" fontId="10" fillId="2" borderId="0" xfId="62" applyNumberFormat="1" applyFont="1" applyFill="1" applyBorder="1" applyAlignment="1">
      <alignment horizontal="left" vertical="top" wrapText="1" indent="2"/>
    </xf>
    <xf numFmtId="0" fontId="10" fillId="2" borderId="0" xfId="62" applyFont="1" applyFill="1" applyBorder="1" applyAlignment="1">
      <alignment horizontal="left" vertical="top" wrapText="1" indent="2"/>
    </xf>
    <xf numFmtId="0" fontId="11" fillId="2" borderId="0" xfId="62" applyFont="1" applyFill="1" applyBorder="1" applyAlignment="1">
      <alignment horizontal="left" vertical="top" wrapText="1" indent="1"/>
    </xf>
    <xf numFmtId="0" fontId="10" fillId="2" borderId="1" xfId="62" applyFont="1" applyFill="1" applyBorder="1" applyAlignment="1">
      <alignment horizontal="left" vertical="top" wrapText="1" indent="2"/>
    </xf>
    <xf numFmtId="165" fontId="10" fillId="2" borderId="1" xfId="62" applyNumberFormat="1" applyFont="1" applyFill="1" applyBorder="1" applyAlignment="1">
      <alignment horizontal="right" vertical="center"/>
    </xf>
    <xf numFmtId="166" fontId="11" fillId="2" borderId="1" xfId="62" applyNumberFormat="1" applyFont="1" applyFill="1" applyBorder="1" applyAlignment="1">
      <alignment horizontal="right" vertical="center"/>
    </xf>
    <xf numFmtId="166" fontId="10" fillId="2" borderId="1" xfId="62" applyNumberFormat="1" applyFont="1" applyFill="1" applyBorder="1" applyAlignment="1">
      <alignment horizontal="right" vertical="center"/>
    </xf>
    <xf numFmtId="165" fontId="22" fillId="5" borderId="0" xfId="63" applyNumberFormat="1" applyFont="1" applyFill="1" applyBorder="1" applyAlignment="1">
      <alignment vertical="top" wrapText="1"/>
    </xf>
    <xf numFmtId="165" fontId="22" fillId="5" borderId="0" xfId="63" applyNumberFormat="1" applyFont="1" applyFill="1" applyBorder="1" applyAlignment="1">
      <alignment horizontal="right" vertical="center"/>
    </xf>
    <xf numFmtId="165" fontId="10" fillId="2" borderId="0" xfId="63" applyNumberFormat="1" applyFont="1" applyFill="1" applyBorder="1" applyAlignment="1">
      <alignment vertical="top" wrapText="1"/>
    </xf>
    <xf numFmtId="165" fontId="10" fillId="2" borderId="0" xfId="63" applyNumberFormat="1" applyFont="1" applyFill="1" applyBorder="1" applyAlignment="1">
      <alignment horizontal="right" vertical="center"/>
    </xf>
    <xf numFmtId="165" fontId="23" fillId="5" borderId="0" xfId="63" applyNumberFormat="1" applyFont="1" applyFill="1" applyBorder="1" applyAlignment="1">
      <alignment horizontal="right" vertical="center"/>
    </xf>
    <xf numFmtId="165" fontId="10" fillId="2" borderId="0" xfId="63" applyNumberFormat="1" applyFont="1" applyFill="1" applyBorder="1" applyAlignment="1">
      <alignment horizontal="left" vertical="top" wrapText="1" indent="1"/>
    </xf>
    <xf numFmtId="165" fontId="11" fillId="5" borderId="0" xfId="63" applyNumberFormat="1" applyFont="1" applyFill="1" applyBorder="1" applyAlignment="1">
      <alignment horizontal="right" vertical="center"/>
    </xf>
    <xf numFmtId="165" fontId="11" fillId="2" borderId="0" xfId="63" applyNumberFormat="1" applyFont="1" applyFill="1" applyBorder="1" applyAlignment="1">
      <alignment horizontal="left" vertical="top" wrapText="1" indent="1"/>
    </xf>
    <xf numFmtId="165" fontId="11" fillId="2" borderId="0" xfId="63" applyNumberFormat="1" applyFont="1" applyFill="1" applyBorder="1" applyAlignment="1">
      <alignment horizontal="right" vertical="center"/>
    </xf>
    <xf numFmtId="165" fontId="10" fillId="2" borderId="0" xfId="63" applyNumberFormat="1" applyFont="1" applyFill="1" applyBorder="1" applyAlignment="1">
      <alignment horizontal="left" vertical="top" wrapText="1" indent="2"/>
    </xf>
    <xf numFmtId="0" fontId="10" fillId="2" borderId="0" xfId="63" applyFont="1" applyFill="1" applyBorder="1" applyAlignment="1">
      <alignment horizontal="left" vertical="top" wrapText="1" indent="2"/>
    </xf>
    <xf numFmtId="175" fontId="10" fillId="2" borderId="0" xfId="63" applyNumberFormat="1" applyFont="1" applyFill="1" applyBorder="1" applyAlignment="1">
      <alignment horizontal="right" vertical="center"/>
    </xf>
    <xf numFmtId="166" fontId="10" fillId="2" borderId="0" xfId="63" applyNumberFormat="1" applyFont="1" applyFill="1" applyBorder="1" applyAlignment="1">
      <alignment horizontal="right" vertical="center"/>
    </xf>
    <xf numFmtId="0" fontId="11" fillId="2" borderId="0" xfId="63" applyFont="1" applyFill="1" applyBorder="1" applyAlignment="1">
      <alignment horizontal="left" vertical="top" wrapText="1" indent="1"/>
    </xf>
    <xf numFmtId="175" fontId="11" fillId="2" borderId="0" xfId="63" applyNumberFormat="1" applyFont="1" applyFill="1" applyBorder="1" applyAlignment="1">
      <alignment horizontal="right" vertical="center"/>
    </xf>
    <xf numFmtId="166" fontId="11" fillId="2" borderId="0" xfId="63" applyNumberFormat="1" applyFont="1" applyFill="1" applyBorder="1" applyAlignment="1">
      <alignment horizontal="right" vertical="center"/>
    </xf>
    <xf numFmtId="0" fontId="10" fillId="2" borderId="1" xfId="63" applyFont="1" applyFill="1" applyBorder="1" applyAlignment="1">
      <alignment horizontal="left" vertical="top" wrapText="1" indent="2"/>
    </xf>
    <xf numFmtId="165" fontId="10" fillId="2" borderId="1" xfId="63" applyNumberFormat="1" applyFont="1" applyFill="1" applyBorder="1" applyAlignment="1">
      <alignment horizontal="right" vertical="center"/>
    </xf>
    <xf numFmtId="0" fontId="10" fillId="2" borderId="0" xfId="64" applyFont="1" applyFill="1" applyBorder="1" applyAlignment="1">
      <alignment horizontal="center" vertical="center" wrapText="1"/>
    </xf>
    <xf numFmtId="165" fontId="22" fillId="5" borderId="0" xfId="64" applyNumberFormat="1" applyFont="1" applyFill="1" applyBorder="1" applyAlignment="1">
      <alignment vertical="top" wrapText="1"/>
    </xf>
    <xf numFmtId="165" fontId="22" fillId="5" borderId="0" xfId="64" applyNumberFormat="1" applyFont="1" applyFill="1" applyBorder="1" applyAlignment="1">
      <alignment horizontal="right" vertical="center"/>
    </xf>
    <xf numFmtId="166" fontId="22" fillId="5" borderId="0" xfId="64" applyNumberFormat="1" applyFont="1" applyFill="1" applyBorder="1" applyAlignment="1">
      <alignment horizontal="right" vertical="center"/>
    </xf>
    <xf numFmtId="165" fontId="22" fillId="2" borderId="0" xfId="64" applyNumberFormat="1" applyFont="1" applyFill="1" applyBorder="1" applyAlignment="1">
      <alignment vertical="top" wrapText="1"/>
    </xf>
    <xf numFmtId="165" fontId="22" fillId="2" borderId="0" xfId="64" applyNumberFormat="1" applyFont="1" applyFill="1" applyBorder="1" applyAlignment="1">
      <alignment horizontal="right" vertical="center"/>
    </xf>
    <xf numFmtId="166" fontId="22" fillId="2" borderId="0" xfId="64" applyNumberFormat="1" applyFont="1" applyFill="1" applyBorder="1" applyAlignment="1">
      <alignment horizontal="right" vertical="center"/>
    </xf>
    <xf numFmtId="165" fontId="10" fillId="2" borderId="0" xfId="64" applyNumberFormat="1" applyFont="1" applyFill="1" applyBorder="1" applyAlignment="1">
      <alignment horizontal="left" vertical="top" wrapText="1" indent="1"/>
    </xf>
    <xf numFmtId="165" fontId="10" fillId="2" borderId="0" xfId="64" applyNumberFormat="1" applyFont="1" applyFill="1" applyBorder="1" applyAlignment="1">
      <alignment horizontal="right" vertical="center"/>
    </xf>
    <xf numFmtId="166" fontId="10" fillId="2" borderId="0" xfId="64" applyNumberFormat="1" applyFont="1" applyFill="1" applyBorder="1" applyAlignment="1">
      <alignment horizontal="right" vertical="center"/>
    </xf>
    <xf numFmtId="165" fontId="10" fillId="5" borderId="0" xfId="64" applyNumberFormat="1" applyFont="1" applyFill="1" applyBorder="1" applyAlignment="1">
      <alignment horizontal="right" vertical="center"/>
    </xf>
    <xf numFmtId="166" fontId="10" fillId="5" borderId="0" xfId="64" applyNumberFormat="1" applyFont="1" applyFill="1" applyBorder="1" applyAlignment="1">
      <alignment horizontal="right" vertical="center"/>
    </xf>
    <xf numFmtId="165" fontId="11" fillId="2" borderId="0" xfId="64" applyNumberFormat="1" applyFont="1" applyFill="1" applyBorder="1" applyAlignment="1">
      <alignment horizontal="left" vertical="top" wrapText="1"/>
    </xf>
    <xf numFmtId="165" fontId="11" fillId="2" borderId="0" xfId="64" applyNumberFormat="1" applyFont="1" applyFill="1" applyBorder="1" applyAlignment="1">
      <alignment horizontal="right" vertical="center"/>
    </xf>
    <xf numFmtId="166" fontId="11" fillId="2" borderId="0" xfId="64" applyNumberFormat="1" applyFont="1" applyFill="1" applyBorder="1" applyAlignment="1">
      <alignment horizontal="right" vertical="center"/>
    </xf>
    <xf numFmtId="165" fontId="10" fillId="2" borderId="0" xfId="64" applyNumberFormat="1" applyFont="1" applyFill="1" applyBorder="1" applyAlignment="1">
      <alignment horizontal="left" vertical="top" wrapText="1" indent="2"/>
    </xf>
    <xf numFmtId="165" fontId="11" fillId="2" borderId="0" xfId="64" applyNumberFormat="1" applyFont="1" applyFill="1" applyBorder="1" applyAlignment="1">
      <alignment horizontal="left" vertical="top" wrapText="1" indent="1"/>
    </xf>
    <xf numFmtId="165" fontId="10" fillId="2" borderId="1" xfId="64" applyNumberFormat="1" applyFont="1" applyFill="1" applyBorder="1" applyAlignment="1">
      <alignment horizontal="left" vertical="top" wrapText="1" indent="2"/>
    </xf>
    <xf numFmtId="165" fontId="10" fillId="2" borderId="1" xfId="64" applyNumberFormat="1" applyFont="1" applyFill="1" applyBorder="1" applyAlignment="1">
      <alignment horizontal="right" vertical="center"/>
    </xf>
    <xf numFmtId="166" fontId="10" fillId="2" borderId="1" xfId="64" applyNumberFormat="1" applyFont="1" applyFill="1" applyBorder="1" applyAlignment="1">
      <alignment horizontal="right" vertical="center"/>
    </xf>
    <xf numFmtId="165" fontId="22" fillId="5" borderId="0" xfId="59" applyNumberFormat="1" applyFont="1" applyFill="1" applyAlignment="1">
      <alignment horizontal="left" vertical="top" wrapText="1"/>
    </xf>
    <xf numFmtId="0" fontId="10" fillId="2" borderId="0" xfId="65" applyFont="1" applyFill="1" applyBorder="1" applyAlignment="1">
      <alignment horizontal="center" vertical="center" wrapText="1"/>
    </xf>
    <xf numFmtId="165" fontId="22" fillId="5" borderId="0" xfId="65" applyNumberFormat="1" applyFont="1" applyFill="1" applyBorder="1" applyAlignment="1">
      <alignment horizontal="left" vertical="top"/>
    </xf>
    <xf numFmtId="165" fontId="22" fillId="5" borderId="0" xfId="65" applyNumberFormat="1" applyFont="1" applyFill="1" applyBorder="1" applyAlignment="1">
      <alignment horizontal="right" vertical="center"/>
    </xf>
    <xf numFmtId="165" fontId="11" fillId="2" borderId="0" xfId="65" applyNumberFormat="1" applyFont="1" applyFill="1" applyBorder="1" applyAlignment="1">
      <alignment horizontal="left" vertical="top"/>
    </xf>
    <xf numFmtId="165" fontId="11" fillId="2" borderId="0" xfId="65" applyNumberFormat="1" applyFont="1" applyFill="1" applyBorder="1" applyAlignment="1">
      <alignment horizontal="right" vertical="center"/>
    </xf>
    <xf numFmtId="166" fontId="11" fillId="2" borderId="0" xfId="65" applyNumberFormat="1" applyFont="1" applyFill="1" applyBorder="1" applyAlignment="1">
      <alignment horizontal="right" vertical="center"/>
    </xf>
    <xf numFmtId="165" fontId="22" fillId="5" borderId="0" xfId="65" applyNumberFormat="1" applyFont="1" applyFill="1" applyAlignment="1">
      <alignment horizontal="left" vertical="top"/>
    </xf>
    <xf numFmtId="165" fontId="11" fillId="5" borderId="0" xfId="65" applyNumberFormat="1" applyFont="1" applyFill="1" applyBorder="1" applyAlignment="1">
      <alignment horizontal="right" vertical="center"/>
    </xf>
    <xf numFmtId="166" fontId="11" fillId="5" borderId="0" xfId="65" applyNumberFormat="1" applyFont="1" applyFill="1" applyBorder="1" applyAlignment="1">
      <alignment horizontal="right" vertical="center"/>
    </xf>
    <xf numFmtId="165" fontId="10" fillId="2" borderId="0" xfId="65" applyNumberFormat="1" applyFont="1" applyFill="1" applyBorder="1" applyAlignment="1">
      <alignment horizontal="left" vertical="top" wrapText="1" indent="1"/>
    </xf>
    <xf numFmtId="165" fontId="10" fillId="2" borderId="0" xfId="65" applyNumberFormat="1" applyFont="1" applyFill="1" applyBorder="1" applyAlignment="1">
      <alignment horizontal="right" vertical="center"/>
    </xf>
    <xf numFmtId="175" fontId="10" fillId="2" borderId="0" xfId="65" applyNumberFormat="1" applyFont="1" applyFill="1" applyBorder="1" applyAlignment="1">
      <alignment horizontal="right" vertical="center"/>
    </xf>
    <xf numFmtId="166" fontId="10" fillId="5" borderId="0" xfId="65" applyNumberFormat="1" applyFont="1" applyFill="1" applyBorder="1" applyAlignment="1">
      <alignment horizontal="right" vertical="center"/>
    </xf>
    <xf numFmtId="165" fontId="10" fillId="5" borderId="0" xfId="65" applyNumberFormat="1" applyFont="1" applyFill="1" applyBorder="1" applyAlignment="1">
      <alignment horizontal="right" vertical="center"/>
    </xf>
    <xf numFmtId="165" fontId="11" fillId="2" borderId="0" xfId="65" applyNumberFormat="1" applyFont="1" applyFill="1" applyBorder="1" applyAlignment="1">
      <alignment horizontal="left" vertical="top" wrapText="1" indent="1"/>
    </xf>
    <xf numFmtId="165" fontId="10" fillId="2" borderId="0" xfId="65" applyNumberFormat="1" applyFont="1" applyFill="1" applyBorder="1" applyAlignment="1">
      <alignment horizontal="left" vertical="top" wrapText="1" indent="2"/>
    </xf>
    <xf numFmtId="166" fontId="10" fillId="2" borderId="0" xfId="65" applyNumberFormat="1" applyFont="1" applyFill="1" applyBorder="1" applyAlignment="1">
      <alignment horizontal="right" vertical="center"/>
    </xf>
    <xf numFmtId="165" fontId="10" fillId="2" borderId="1" xfId="65" applyNumberFormat="1" applyFont="1" applyFill="1" applyBorder="1" applyAlignment="1">
      <alignment horizontal="left" vertical="top" wrapText="1" indent="2"/>
    </xf>
    <xf numFmtId="165" fontId="10" fillId="2" borderId="1" xfId="65" applyNumberFormat="1" applyFont="1" applyFill="1" applyBorder="1" applyAlignment="1">
      <alignment horizontal="right" vertical="center"/>
    </xf>
    <xf numFmtId="166" fontId="10" fillId="2" borderId="1" xfId="65" applyNumberFormat="1" applyFont="1" applyFill="1" applyBorder="1" applyAlignment="1">
      <alignment horizontal="right" vertical="center"/>
    </xf>
    <xf numFmtId="165" fontId="22" fillId="5" borderId="0" xfId="66" applyNumberFormat="1" applyFont="1" applyFill="1" applyBorder="1" applyAlignment="1">
      <alignment vertical="top" wrapText="1"/>
    </xf>
    <xf numFmtId="165" fontId="22" fillId="5" borderId="0" xfId="66" applyNumberFormat="1" applyFont="1" applyFill="1" applyBorder="1" applyAlignment="1">
      <alignment horizontal="right" vertical="center"/>
    </xf>
    <xf numFmtId="165" fontId="11" fillId="2" borderId="0" xfId="66" applyNumberFormat="1" applyFont="1" applyFill="1" applyBorder="1" applyAlignment="1">
      <alignment vertical="top" wrapText="1"/>
    </xf>
    <xf numFmtId="165" fontId="11" fillId="2" borderId="0" xfId="66" applyNumberFormat="1" applyFont="1" applyFill="1" applyBorder="1" applyAlignment="1">
      <alignment horizontal="right" vertical="center"/>
    </xf>
    <xf numFmtId="165" fontId="10" fillId="2" borderId="0" xfId="66" applyNumberFormat="1" applyFont="1" applyFill="1" applyBorder="1" applyAlignment="1">
      <alignment horizontal="left" vertical="top" wrapText="1" indent="1"/>
    </xf>
    <xf numFmtId="165" fontId="10" fillId="2" borderId="0" xfId="66" applyNumberFormat="1" applyFont="1" applyFill="1" applyBorder="1" applyAlignment="1">
      <alignment horizontal="right" vertical="center"/>
    </xf>
    <xf numFmtId="165" fontId="11" fillId="2" borderId="0" xfId="66" applyNumberFormat="1" applyFont="1" applyFill="1" applyBorder="1" applyAlignment="1">
      <alignment horizontal="left" vertical="top" wrapText="1" indent="1"/>
    </xf>
    <xf numFmtId="165" fontId="10" fillId="2" borderId="0" xfId="66" applyNumberFormat="1" applyFont="1" applyFill="1" applyBorder="1" applyAlignment="1">
      <alignment horizontal="left" vertical="top" wrapText="1" indent="2"/>
    </xf>
    <xf numFmtId="165" fontId="10" fillId="2" borderId="1" xfId="66" applyNumberFormat="1" applyFont="1" applyFill="1" applyBorder="1" applyAlignment="1">
      <alignment horizontal="left" vertical="top" wrapText="1" indent="2"/>
    </xf>
    <xf numFmtId="165" fontId="10" fillId="2" borderId="1" xfId="66" applyNumberFormat="1" applyFont="1" applyFill="1" applyBorder="1" applyAlignment="1">
      <alignment horizontal="right" vertical="center"/>
    </xf>
    <xf numFmtId="0" fontId="10" fillId="2" borderId="0" xfId="67" applyFont="1" applyFill="1" applyBorder="1" applyAlignment="1">
      <alignment horizontal="center" vertical="center" wrapText="1"/>
    </xf>
    <xf numFmtId="0" fontId="22" fillId="5" borderId="0" xfId="67" applyFont="1" applyFill="1" applyBorder="1" applyAlignment="1">
      <alignment vertical="top" wrapText="1"/>
    </xf>
    <xf numFmtId="165" fontId="22" fillId="5" borderId="0" xfId="67" applyNumberFormat="1" applyFont="1" applyFill="1" applyBorder="1" applyAlignment="1">
      <alignment horizontal="right" vertical="center"/>
    </xf>
    <xf numFmtId="170" fontId="22" fillId="5" borderId="0" xfId="67" applyNumberFormat="1" applyFont="1" applyFill="1" applyBorder="1" applyAlignment="1">
      <alignment horizontal="right" vertical="center"/>
    </xf>
    <xf numFmtId="0" fontId="11" fillId="2" borderId="0" xfId="67" applyFont="1" applyFill="1" applyBorder="1" applyAlignment="1">
      <alignment vertical="top" wrapText="1"/>
    </xf>
    <xf numFmtId="165" fontId="11" fillId="2" borderId="0" xfId="67" applyNumberFormat="1" applyFont="1" applyFill="1" applyBorder="1" applyAlignment="1">
      <alignment horizontal="right" vertical="center"/>
    </xf>
    <xf numFmtId="170" fontId="11" fillId="2" borderId="0" xfId="67" applyNumberFormat="1" applyFont="1" applyFill="1" applyBorder="1" applyAlignment="1">
      <alignment horizontal="right" vertical="center"/>
    </xf>
    <xf numFmtId="175" fontId="22" fillId="5" borderId="0" xfId="65" applyNumberFormat="1" applyFont="1" applyFill="1" applyAlignment="1">
      <alignment horizontal="left" vertical="top"/>
    </xf>
    <xf numFmtId="165" fontId="11" fillId="5" borderId="0" xfId="67" applyNumberFormat="1" applyFont="1" applyFill="1" applyBorder="1" applyAlignment="1">
      <alignment horizontal="right" vertical="center"/>
    </xf>
    <xf numFmtId="170" fontId="11" fillId="5" borderId="0" xfId="67" applyNumberFormat="1" applyFont="1" applyFill="1" applyBorder="1" applyAlignment="1">
      <alignment horizontal="right" vertical="center"/>
    </xf>
    <xf numFmtId="0" fontId="10" fillId="2" borderId="0" xfId="67" applyFont="1" applyFill="1" applyBorder="1" applyAlignment="1">
      <alignment horizontal="left" vertical="top" wrapText="1" indent="1"/>
    </xf>
    <xf numFmtId="165" fontId="10" fillId="2" borderId="0" xfId="67" applyNumberFormat="1" applyFont="1" applyFill="1" applyBorder="1" applyAlignment="1">
      <alignment horizontal="right" vertical="center"/>
    </xf>
    <xf numFmtId="170" fontId="10" fillId="2" borderId="0" xfId="67" applyNumberFormat="1" applyFont="1" applyFill="1" applyBorder="1" applyAlignment="1">
      <alignment horizontal="right" vertical="center"/>
    </xf>
    <xf numFmtId="0" fontId="10" fillId="2" borderId="1" xfId="67" applyFont="1" applyFill="1" applyBorder="1" applyAlignment="1">
      <alignment horizontal="left" vertical="top" wrapText="1" indent="1"/>
    </xf>
    <xf numFmtId="165" fontId="10" fillId="2" borderId="1" xfId="67" applyNumberFormat="1" applyFont="1" applyFill="1" applyBorder="1" applyAlignment="1">
      <alignment horizontal="right" vertical="center"/>
    </xf>
    <xf numFmtId="170" fontId="10" fillId="2" borderId="1" xfId="67" applyNumberFormat="1" applyFont="1" applyFill="1" applyBorder="1" applyAlignment="1">
      <alignment horizontal="right" vertical="center"/>
    </xf>
    <xf numFmtId="0" fontId="22" fillId="5" borderId="0" xfId="68" applyFont="1" applyFill="1" applyAlignment="1">
      <alignment horizontal="left" vertical="top"/>
    </xf>
    <xf numFmtId="165" fontId="10" fillId="2" borderId="0" xfId="68" applyNumberFormat="1" applyFont="1" applyFill="1" applyBorder="1" applyAlignment="1">
      <alignment horizontal="right" vertical="center"/>
    </xf>
    <xf numFmtId="170" fontId="10" fillId="2" borderId="0" xfId="68" applyNumberFormat="1" applyFont="1" applyFill="1" applyBorder="1" applyAlignment="1">
      <alignment horizontal="right" vertical="center"/>
    </xf>
    <xf numFmtId="165" fontId="10" fillId="2" borderId="1" xfId="68" applyNumberFormat="1" applyFont="1" applyFill="1" applyBorder="1" applyAlignment="1">
      <alignment horizontal="right" vertical="center"/>
    </xf>
    <xf numFmtId="170" fontId="10" fillId="2" borderId="1" xfId="68" applyNumberFormat="1" applyFont="1" applyFill="1" applyBorder="1" applyAlignment="1">
      <alignment horizontal="right" vertical="center"/>
    </xf>
    <xf numFmtId="0" fontId="10" fillId="2" borderId="9" xfId="69" applyFont="1" applyFill="1" applyBorder="1" applyAlignment="1">
      <alignment horizontal="center" vertical="center" wrapText="1"/>
    </xf>
    <xf numFmtId="0" fontId="22" fillId="5" borderId="0" xfId="69" applyFont="1" applyFill="1" applyBorder="1" applyAlignment="1">
      <alignment vertical="top" wrapText="1"/>
    </xf>
    <xf numFmtId="165" fontId="22" fillId="5" borderId="0" xfId="69" applyNumberFormat="1" applyFont="1" applyFill="1" applyBorder="1" applyAlignment="1">
      <alignment horizontal="right" vertical="center"/>
    </xf>
    <xf numFmtId="170" fontId="22" fillId="5" borderId="0" xfId="69" applyNumberFormat="1" applyFont="1" applyFill="1" applyBorder="1" applyAlignment="1">
      <alignment horizontal="right" vertical="center"/>
    </xf>
    <xf numFmtId="0" fontId="10" fillId="2" borderId="0" xfId="69" applyFont="1" applyFill="1" applyBorder="1" applyAlignment="1">
      <alignment vertical="top" wrapText="1"/>
    </xf>
    <xf numFmtId="165" fontId="10" fillId="2" borderId="0" xfId="69" applyNumberFormat="1" applyFont="1" applyFill="1" applyBorder="1" applyAlignment="1">
      <alignment horizontal="right" vertical="center"/>
    </xf>
    <xf numFmtId="170" fontId="10" fillId="2" borderId="0" xfId="69" applyNumberFormat="1" applyFont="1" applyFill="1" applyBorder="1" applyAlignment="1">
      <alignment horizontal="right" vertical="center"/>
    </xf>
    <xf numFmtId="165" fontId="10" fillId="5" borderId="0" xfId="69" applyNumberFormat="1" applyFont="1" applyFill="1" applyBorder="1" applyAlignment="1">
      <alignment horizontal="right" vertical="center"/>
    </xf>
    <xf numFmtId="170" fontId="10" fillId="5" borderId="0" xfId="69" applyNumberFormat="1" applyFont="1" applyFill="1" applyBorder="1" applyAlignment="1">
      <alignment horizontal="right" vertical="center"/>
    </xf>
    <xf numFmtId="0" fontId="10" fillId="2" borderId="0" xfId="69" applyFont="1" applyFill="1" applyBorder="1" applyAlignment="1">
      <alignment horizontal="left" vertical="top" wrapText="1" indent="1"/>
    </xf>
    <xf numFmtId="0" fontId="10" fillId="2" borderId="1" xfId="69" applyFont="1" applyFill="1" applyBorder="1" applyAlignment="1">
      <alignment horizontal="left" vertical="top" wrapText="1" indent="1"/>
    </xf>
    <xf numFmtId="165" fontId="10" fillId="2" borderId="1" xfId="69" applyNumberFormat="1" applyFont="1" applyFill="1" applyBorder="1" applyAlignment="1">
      <alignment horizontal="right" vertical="center"/>
    </xf>
    <xf numFmtId="170" fontId="10" fillId="2" borderId="1" xfId="69" applyNumberFormat="1" applyFont="1" applyFill="1" applyBorder="1" applyAlignment="1">
      <alignment horizontal="right" vertical="center"/>
    </xf>
    <xf numFmtId="0" fontId="17" fillId="2" borderId="0" xfId="70" applyFont="1" applyFill="1" applyBorder="1" applyAlignment="1">
      <alignment horizontal="left" vertical="top" wrapText="1"/>
    </xf>
    <xf numFmtId="0" fontId="17" fillId="2" borderId="0" xfId="70" applyFont="1" applyFill="1" applyBorder="1" applyAlignment="1">
      <alignment vertical="top" wrapText="1"/>
    </xf>
    <xf numFmtId="0" fontId="18" fillId="2" borderId="0" xfId="70" applyFont="1" applyFill="1" applyBorder="1" applyAlignment="1">
      <alignment horizontal="left" vertical="top" wrapText="1"/>
    </xf>
    <xf numFmtId="0" fontId="17" fillId="2" borderId="0" xfId="70" applyFont="1" applyFill="1" applyBorder="1" applyAlignment="1">
      <alignment horizontal="left" vertical="top" wrapText="1" indent="1"/>
    </xf>
    <xf numFmtId="0" fontId="17" fillId="2" borderId="1" xfId="70" applyFont="1" applyFill="1" applyBorder="1" applyAlignment="1">
      <alignment horizontal="left" vertical="top" wrapText="1" indent="1"/>
    </xf>
    <xf numFmtId="0" fontId="17" fillId="2" borderId="3" xfId="71" applyFont="1" applyFill="1" applyBorder="1" applyAlignment="1">
      <alignment horizontal="center" vertical="center" wrapText="1"/>
    </xf>
    <xf numFmtId="0" fontId="27" fillId="5" borderId="0" xfId="71" applyFont="1" applyFill="1" applyBorder="1" applyAlignment="1">
      <alignment vertical="top" wrapText="1"/>
    </xf>
    <xf numFmtId="3" fontId="27" fillId="5" borderId="0" xfId="14" applyNumberFormat="1" applyFont="1" applyFill="1" applyBorder="1" applyAlignment="1">
      <alignment horizontal="right" vertical="center"/>
    </xf>
    <xf numFmtId="0" fontId="17" fillId="2" borderId="0" xfId="71" applyFont="1" applyFill="1" applyBorder="1" applyAlignment="1">
      <alignment vertical="top" wrapText="1"/>
    </xf>
    <xf numFmtId="3" fontId="17" fillId="2" borderId="0" xfId="14" applyNumberFormat="1" applyFont="1" applyFill="1" applyBorder="1" applyAlignment="1">
      <alignment horizontal="right" vertical="center"/>
    </xf>
    <xf numFmtId="0" fontId="27" fillId="5" borderId="0" xfId="71" applyFont="1" applyFill="1" applyBorder="1" applyAlignment="1">
      <alignment horizontal="left" vertical="top" wrapText="1"/>
    </xf>
    <xf numFmtId="0" fontId="17" fillId="2" borderId="0" xfId="71" applyFont="1" applyFill="1" applyBorder="1" applyAlignment="1">
      <alignment horizontal="left" vertical="top" wrapText="1" indent="1"/>
    </xf>
    <xf numFmtId="0" fontId="18" fillId="2" borderId="0" xfId="71" applyFont="1" applyFill="1" applyBorder="1" applyAlignment="1">
      <alignment horizontal="left" vertical="top" wrapText="1"/>
    </xf>
    <xf numFmtId="3" fontId="18" fillId="2" borderId="0" xfId="14" applyNumberFormat="1" applyFont="1" applyFill="1" applyBorder="1" applyAlignment="1">
      <alignment horizontal="right" vertical="center"/>
    </xf>
    <xf numFmtId="0" fontId="17" fillId="2" borderId="1" xfId="71" applyFont="1" applyFill="1" applyBorder="1" applyAlignment="1">
      <alignment horizontal="left" vertical="top" wrapText="1" indent="1"/>
    </xf>
    <xf numFmtId="3" fontId="17" fillId="2" borderId="1" xfId="14" applyNumberFormat="1" applyFont="1" applyFill="1" applyBorder="1" applyAlignment="1">
      <alignment horizontal="right" vertical="center"/>
    </xf>
    <xf numFmtId="0" fontId="37" fillId="5" borderId="0" xfId="0" applyFont="1" applyFill="1" applyBorder="1"/>
    <xf numFmtId="3" fontId="37" fillId="5" borderId="0" xfId="0" applyNumberFormat="1" applyFont="1" applyFill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7" fillId="3" borderId="0" xfId="0" applyFont="1" applyFill="1" applyBorder="1" applyAlignment="1">
      <alignment vertical="center"/>
    </xf>
    <xf numFmtId="0" fontId="23" fillId="8" borderId="0" xfId="31" applyFont="1" applyFill="1" applyBorder="1" applyAlignment="1">
      <alignment vertical="top" wrapText="1"/>
    </xf>
    <xf numFmtId="3" fontId="23" fillId="8" borderId="0" xfId="31" applyNumberFormat="1" applyFont="1" applyFill="1" applyBorder="1" applyAlignment="1">
      <alignment horizontal="right" vertical="center"/>
    </xf>
    <xf numFmtId="174" fontId="22" fillId="8" borderId="0" xfId="14" applyNumberFormat="1" applyFont="1" applyFill="1" applyBorder="1" applyAlignment="1">
      <alignment vertical="center" wrapText="1"/>
    </xf>
    <xf numFmtId="3" fontId="10" fillId="8" borderId="0" xfId="31" applyNumberFormat="1" applyFont="1" applyFill="1" applyBorder="1" applyAlignment="1">
      <alignment horizontal="right" vertical="center"/>
    </xf>
    <xf numFmtId="0" fontId="22" fillId="8" borderId="0" xfId="15" applyFont="1" applyFill="1" applyBorder="1" applyAlignment="1">
      <alignment horizontal="left" vertical="top" wrapText="1"/>
    </xf>
    <xf numFmtId="0" fontId="11" fillId="2" borderId="0" xfId="31" applyFont="1" applyFill="1" applyBorder="1" applyAlignment="1">
      <alignment horizontal="left" vertical="top" wrapText="1"/>
    </xf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5" applyFont="1" applyFill="1" applyAlignment="1">
      <alignment horizontal="center" vertical="center" wrapText="1"/>
    </xf>
    <xf numFmtId="0" fontId="10" fillId="2" borderId="0" xfId="6" applyFont="1" applyFill="1" applyAlignment="1">
      <alignment horizontal="center" vertical="center" wrapText="1"/>
    </xf>
    <xf numFmtId="0" fontId="10" fillId="2" borderId="0" xfId="7" applyFont="1" applyFill="1" applyAlignment="1">
      <alignment horizontal="center" vertical="center" wrapText="1"/>
    </xf>
    <xf numFmtId="0" fontId="4" fillId="2" borderId="0" xfId="10" applyFont="1" applyFill="1" applyAlignment="1">
      <alignment horizontal="center" vertical="center" wrapText="1"/>
    </xf>
    <xf numFmtId="0" fontId="10" fillId="2" borderId="0" xfId="16" applyFont="1" applyFill="1" applyBorder="1" applyAlignment="1">
      <alignment horizontal="left" vertical="top" wrapText="1" indent="1"/>
    </xf>
    <xf numFmtId="0" fontId="10" fillId="2" borderId="1" xfId="16" applyFont="1" applyFill="1" applyBorder="1" applyAlignment="1">
      <alignment horizontal="left" vertical="top" wrapText="1" indent="1"/>
    </xf>
    <xf numFmtId="0" fontId="10" fillId="2" borderId="0" xfId="18" applyFont="1" applyFill="1" applyBorder="1" applyAlignment="1">
      <alignment horizontal="left" vertical="top" wrapText="1" indent="1"/>
    </xf>
    <xf numFmtId="0" fontId="10" fillId="2" borderId="1" xfId="18" applyFont="1" applyFill="1" applyBorder="1" applyAlignment="1">
      <alignment horizontal="left" vertical="top" wrapText="1" indent="1"/>
    </xf>
    <xf numFmtId="0" fontId="10" fillId="2" borderId="0" xfId="24" applyFont="1" applyFill="1" applyBorder="1" applyAlignment="1">
      <alignment horizontal="left" vertical="top" wrapText="1" indent="1"/>
    </xf>
    <xf numFmtId="0" fontId="10" fillId="2" borderId="1" xfId="24" applyFont="1" applyFill="1" applyBorder="1" applyAlignment="1">
      <alignment horizontal="left" vertical="top" wrapText="1" indent="1"/>
    </xf>
    <xf numFmtId="0" fontId="17" fillId="2" borderId="0" xfId="3" applyFont="1" applyFill="1" applyBorder="1" applyAlignment="1">
      <alignment horizontal="left" vertical="top" wrapText="1" indent="1"/>
    </xf>
    <xf numFmtId="0" fontId="17" fillId="2" borderId="1" xfId="3" applyFont="1" applyFill="1" applyBorder="1" applyAlignment="1">
      <alignment horizontal="left" vertical="top" wrapText="1" indent="1"/>
    </xf>
    <xf numFmtId="0" fontId="17" fillId="2" borderId="0" xfId="6" applyFont="1" applyFill="1" applyBorder="1" applyAlignment="1">
      <alignment horizontal="left" vertical="top" wrapText="1" indent="1"/>
    </xf>
    <xf numFmtId="0" fontId="17" fillId="2" borderId="1" xfId="6" applyFont="1" applyFill="1" applyBorder="1" applyAlignment="1">
      <alignment horizontal="left" vertical="top" wrapText="1" indent="1"/>
    </xf>
    <xf numFmtId="0" fontId="10" fillId="2" borderId="0" xfId="27" applyFont="1" applyFill="1" applyBorder="1" applyAlignment="1">
      <alignment horizontal="left" vertical="top" wrapText="1" indent="1"/>
    </xf>
    <xf numFmtId="0" fontId="10" fillId="2" borderId="1" xfId="27" applyFont="1" applyFill="1" applyBorder="1" applyAlignment="1">
      <alignment horizontal="left" vertical="top" wrapText="1" indent="1"/>
    </xf>
    <xf numFmtId="0" fontId="7" fillId="4" borderId="0" xfId="0" applyFont="1" applyFill="1"/>
    <xf numFmtId="0" fontId="7" fillId="2" borderId="2" xfId="28" applyFont="1" applyFill="1" applyBorder="1" applyAlignment="1">
      <alignment horizontal="center" wrapText="1"/>
    </xf>
    <xf numFmtId="0" fontId="7" fillId="2" borderId="1" xfId="29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wrapText="1"/>
    </xf>
    <xf numFmtId="0" fontId="22" fillId="8" borderId="0" xfId="0" applyFont="1" applyFill="1" applyAlignment="1">
      <alignment vertical="center" wrapText="1"/>
    </xf>
    <xf numFmtId="174" fontId="25" fillId="8" borderId="0" xfId="14" applyNumberFormat="1" applyFont="1" applyFill="1" applyBorder="1" applyAlignment="1">
      <alignment horizontal="right" vertical="center"/>
    </xf>
    <xf numFmtId="169" fontId="23" fillId="8" borderId="0" xfId="0" applyNumberFormat="1" applyFont="1" applyFill="1"/>
    <xf numFmtId="0" fontId="22" fillId="2" borderId="0" xfId="0" applyFont="1" applyFill="1" applyAlignment="1">
      <alignment vertical="center" wrapText="1"/>
    </xf>
    <xf numFmtId="174" fontId="17" fillId="8" borderId="0" xfId="14" applyNumberFormat="1" applyFont="1" applyFill="1" applyBorder="1" applyAlignment="1">
      <alignment horizontal="right" vertical="center"/>
    </xf>
    <xf numFmtId="169" fontId="7" fillId="8" borderId="0" xfId="0" applyNumberFormat="1" applyFont="1" applyFill="1"/>
    <xf numFmtId="0" fontId="17" fillId="2" borderId="0" xfId="76" applyFont="1" applyFill="1" applyAlignment="1">
      <alignment horizontal="left" vertical="top" wrapText="1"/>
    </xf>
    <xf numFmtId="0" fontId="17" fillId="2" borderId="1" xfId="76" applyFont="1" applyFill="1" applyBorder="1" applyAlignment="1">
      <alignment horizontal="left" vertical="top" wrapText="1"/>
    </xf>
    <xf numFmtId="3" fontId="22" fillId="5" borderId="0" xfId="48" applyNumberFormat="1" applyFont="1" applyFill="1" applyBorder="1" applyAlignment="1">
      <alignment horizontal="right" vertical="center"/>
    </xf>
    <xf numFmtId="3" fontId="10" fillId="2" borderId="0" xfId="48" applyNumberFormat="1" applyFont="1" applyFill="1" applyBorder="1" applyAlignment="1">
      <alignment horizontal="right" vertical="center"/>
    </xf>
    <xf numFmtId="3" fontId="11" fillId="2" borderId="0" xfId="48" applyNumberFormat="1" applyFont="1" applyFill="1" applyBorder="1" applyAlignment="1">
      <alignment horizontal="right" vertical="center"/>
    </xf>
    <xf numFmtId="3" fontId="10" fillId="2" borderId="4" xfId="48" applyNumberFormat="1" applyFont="1" applyFill="1" applyBorder="1" applyAlignment="1">
      <alignment horizontal="right" vertical="center"/>
    </xf>
    <xf numFmtId="0" fontId="10" fillId="2" borderId="0" xfId="63" applyFont="1" applyFill="1" applyBorder="1" applyAlignment="1">
      <alignment vertical="center" wrapText="1"/>
    </xf>
    <xf numFmtId="0" fontId="10" fillId="2" borderId="1" xfId="68" applyFont="1" applyFill="1" applyBorder="1" applyAlignment="1">
      <alignment horizontal="center" wrapText="1"/>
    </xf>
    <xf numFmtId="0" fontId="10" fillId="2" borderId="0" xfId="68" applyFont="1" applyFill="1" applyBorder="1" applyAlignment="1">
      <alignment vertical="top" wrapText="1"/>
    </xf>
    <xf numFmtId="0" fontId="10" fillId="2" borderId="1" xfId="68" applyFont="1" applyFill="1" applyBorder="1" applyAlignment="1">
      <alignment vertical="top" wrapText="1"/>
    </xf>
    <xf numFmtId="0" fontId="22" fillId="5" borderId="0" xfId="68" applyFont="1" applyFill="1" applyBorder="1" applyAlignment="1">
      <alignment horizontal="left" vertical="top"/>
    </xf>
    <xf numFmtId="165" fontId="22" fillId="5" borderId="0" xfId="68" applyNumberFormat="1" applyFont="1" applyFill="1" applyBorder="1" applyAlignment="1">
      <alignment horizontal="right" vertical="center"/>
    </xf>
    <xf numFmtId="170" fontId="22" fillId="5" borderId="0" xfId="68" applyNumberFormat="1" applyFont="1" applyFill="1" applyBorder="1" applyAlignment="1">
      <alignment horizontal="right" vertical="center"/>
    </xf>
    <xf numFmtId="165" fontId="23" fillId="5" borderId="0" xfId="68" applyNumberFormat="1" applyFont="1" applyFill="1" applyBorder="1" applyAlignment="1">
      <alignment horizontal="right" vertical="center"/>
    </xf>
    <xf numFmtId="170" fontId="23" fillId="5" borderId="0" xfId="68" applyNumberFormat="1" applyFont="1" applyFill="1" applyBorder="1" applyAlignment="1">
      <alignment horizontal="right" vertical="center"/>
    </xf>
    <xf numFmtId="0" fontId="22" fillId="2" borderId="0" xfId="68" applyFont="1" applyFill="1" applyBorder="1" applyAlignment="1">
      <alignment horizontal="left" vertical="top"/>
    </xf>
    <xf numFmtId="165" fontId="22" fillId="2" borderId="0" xfId="68" applyNumberFormat="1" applyFont="1" applyFill="1" applyBorder="1" applyAlignment="1">
      <alignment horizontal="right" vertical="center"/>
    </xf>
    <xf numFmtId="170" fontId="22" fillId="2" borderId="0" xfId="68" applyNumberFormat="1" applyFont="1" applyFill="1" applyBorder="1" applyAlignment="1">
      <alignment horizontal="right" vertical="center"/>
    </xf>
    <xf numFmtId="0" fontId="17" fillId="2" borderId="3" xfId="70" applyFont="1" applyFill="1" applyBorder="1" applyAlignment="1">
      <alignment horizontal="center" vertical="center" wrapText="1"/>
    </xf>
    <xf numFmtId="0" fontId="10" fillId="2" borderId="0" xfId="63" applyFont="1" applyFill="1" applyBorder="1" applyAlignment="1">
      <alignment horizontal="center" vertical="center" wrapText="1"/>
    </xf>
    <xf numFmtId="0" fontId="10" fillId="2" borderId="0" xfId="66" applyFont="1" applyFill="1" applyBorder="1" applyAlignment="1">
      <alignment horizontal="center" wrapText="1"/>
    </xf>
    <xf numFmtId="177" fontId="0" fillId="3" borderId="0" xfId="0" applyNumberFormat="1" applyFill="1"/>
    <xf numFmtId="169" fontId="0" fillId="3" borderId="0" xfId="0" applyNumberFormat="1" applyFill="1"/>
    <xf numFmtId="179" fontId="0" fillId="3" borderId="0" xfId="14" applyNumberFormat="1" applyFont="1" applyFill="1"/>
    <xf numFmtId="178" fontId="0" fillId="3" borderId="0" xfId="0" applyNumberFormat="1" applyFill="1"/>
    <xf numFmtId="179" fontId="7" fillId="4" borderId="0" xfId="14" applyNumberFormat="1" applyFont="1" applyFill="1"/>
    <xf numFmtId="174" fontId="7" fillId="4" borderId="0" xfId="0" applyNumberFormat="1" applyFont="1" applyFill="1"/>
    <xf numFmtId="178" fontId="7" fillId="4" borderId="0" xfId="0" applyNumberFormat="1" applyFont="1" applyFill="1"/>
    <xf numFmtId="165" fontId="0" fillId="3" borderId="0" xfId="0" applyNumberFormat="1" applyFill="1"/>
    <xf numFmtId="173" fontId="23" fillId="5" borderId="0" xfId="49" applyNumberFormat="1" applyFont="1" applyFill="1" applyBorder="1" applyAlignment="1">
      <alignment horizontal="right" vertical="center"/>
    </xf>
    <xf numFmtId="171" fontId="0" fillId="3" borderId="0" xfId="0" applyNumberFormat="1" applyFill="1"/>
    <xf numFmtId="171" fontId="23" fillId="5" borderId="0" xfId="63" applyNumberFormat="1" applyFont="1" applyFill="1" applyBorder="1" applyAlignment="1">
      <alignment horizontal="right" vertical="center"/>
    </xf>
    <xf numFmtId="0" fontId="13" fillId="9" borderId="0" xfId="6" applyFont="1" applyFill="1" applyAlignment="1">
      <alignment vertical="top" wrapText="1"/>
    </xf>
    <xf numFmtId="165" fontId="13" fillId="9" borderId="0" xfId="3" applyNumberFormat="1" applyFont="1" applyFill="1" applyAlignment="1">
      <alignment vertical="center"/>
    </xf>
    <xf numFmtId="0" fontId="8" fillId="2" borderId="0" xfId="0" applyFont="1" applyFill="1"/>
    <xf numFmtId="3" fontId="23" fillId="5" borderId="0" xfId="8" applyNumberFormat="1" applyFont="1" applyFill="1" applyAlignment="1">
      <alignment vertical="center"/>
    </xf>
    <xf numFmtId="165" fontId="13" fillId="5" borderId="0" xfId="1" applyNumberFormat="1" applyFont="1" applyFill="1" applyAlignment="1">
      <alignment vertical="center"/>
    </xf>
    <xf numFmtId="0" fontId="22" fillId="2" borderId="0" xfId="6" applyFont="1" applyFill="1" applyAlignment="1">
      <alignment vertical="top" wrapText="1"/>
    </xf>
    <xf numFmtId="165" fontId="22" fillId="2" borderId="0" xfId="7" applyNumberFormat="1" applyFont="1" applyFill="1" applyAlignment="1">
      <alignment horizontal="right" vertical="center"/>
    </xf>
    <xf numFmtId="0" fontId="10" fillId="2" borderId="0" xfId="22" applyFont="1" applyFill="1" applyBorder="1" applyAlignment="1">
      <alignment horizontal="left" vertical="top" wrapText="1" indent="1"/>
    </xf>
    <xf numFmtId="0" fontId="17" fillId="2" borderId="0" xfId="20" applyFont="1" applyFill="1" applyBorder="1" applyAlignment="1">
      <alignment horizontal="left" vertical="top" wrapText="1" indent="1"/>
    </xf>
    <xf numFmtId="0" fontId="38" fillId="4" borderId="0" xfId="0" applyFont="1" applyFill="1" applyAlignment="1">
      <alignment vertical="center"/>
    </xf>
    <xf numFmtId="0" fontId="0" fillId="4" borderId="0" xfId="0" applyFill="1" applyBorder="1"/>
    <xf numFmtId="0" fontId="40" fillId="2" borderId="9" xfId="0" applyFont="1" applyFill="1" applyBorder="1" applyAlignment="1">
      <alignment horizontal="left" vertical="center" wrapText="1" indent="1"/>
    </xf>
    <xf numFmtId="3" fontId="40" fillId="2" borderId="9" xfId="0" applyNumberFormat="1" applyFont="1" applyFill="1" applyBorder="1" applyAlignment="1">
      <alignment horizontal="right" vertical="center"/>
    </xf>
    <xf numFmtId="169" fontId="40" fillId="2" borderId="9" xfId="0" applyNumberFormat="1" applyFont="1" applyFill="1" applyBorder="1" applyAlignment="1">
      <alignment horizontal="right" vertical="center"/>
    </xf>
    <xf numFmtId="0" fontId="41" fillId="2" borderId="9" xfId="0" applyFont="1" applyFill="1" applyBorder="1" applyAlignment="1">
      <alignment horizontal="left" vertical="center" wrapText="1" indent="1"/>
    </xf>
    <xf numFmtId="3" fontId="41" fillId="2" borderId="9" xfId="0" applyNumberFormat="1" applyFont="1" applyFill="1" applyBorder="1" applyAlignment="1">
      <alignment horizontal="right" vertical="center"/>
    </xf>
    <xf numFmtId="0" fontId="41" fillId="2" borderId="9" xfId="0" applyFont="1" applyFill="1" applyBorder="1" applyAlignment="1">
      <alignment horizontal="right" vertical="center"/>
    </xf>
    <xf numFmtId="0" fontId="40" fillId="2" borderId="9" xfId="0" applyFont="1" applyFill="1" applyBorder="1" applyAlignment="1">
      <alignment horizontal="left" vertical="center" indent="1"/>
    </xf>
    <xf numFmtId="0" fontId="39" fillId="5" borderId="9" xfId="0" applyFont="1" applyFill="1" applyBorder="1" applyAlignment="1">
      <alignment horizontal="right" vertical="center"/>
    </xf>
    <xf numFmtId="0" fontId="13" fillId="5" borderId="9" xfId="0" applyFont="1" applyFill="1" applyBorder="1" applyAlignment="1">
      <alignment horizontal="right"/>
    </xf>
    <xf numFmtId="0" fontId="2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4" fillId="2" borderId="2" xfId="6" applyFont="1" applyFill="1" applyBorder="1" applyAlignment="1">
      <alignment horizontal="center" vertical="center" wrapText="1"/>
    </xf>
    <xf numFmtId="0" fontId="4" fillId="2" borderId="0" xfId="6" applyFont="1" applyFill="1" applyAlignment="1">
      <alignment horizontal="center" vertical="center" wrapText="1"/>
    </xf>
    <xf numFmtId="0" fontId="4" fillId="2" borderId="2" xfId="6" applyFont="1" applyFill="1" applyBorder="1" applyAlignment="1">
      <alignment horizontal="left" vertical="center" wrapText="1"/>
    </xf>
    <xf numFmtId="0" fontId="4" fillId="2" borderId="0" xfId="6" applyFont="1" applyFill="1" applyAlignment="1">
      <alignment horizontal="left" vertical="center" wrapText="1"/>
    </xf>
    <xf numFmtId="0" fontId="11" fillId="2" borderId="1" xfId="6" applyFont="1" applyFill="1" applyBorder="1" applyAlignment="1">
      <alignment horizontal="center" vertical="center" wrapText="1"/>
    </xf>
    <xf numFmtId="0" fontId="11" fillId="2" borderId="1" xfId="8" applyFont="1" applyFill="1" applyBorder="1" applyAlignment="1">
      <alignment horizontal="center" vertical="center" wrapText="1"/>
    </xf>
    <xf numFmtId="3" fontId="11" fillId="2" borderId="3" xfId="8" applyNumberFormat="1" applyFont="1" applyFill="1" applyBorder="1" applyAlignment="1">
      <alignment horizontal="center" vertical="center" wrapText="1"/>
    </xf>
    <xf numFmtId="3" fontId="10" fillId="2" borderId="1" xfId="8" applyNumberFormat="1" applyFont="1" applyFill="1" applyBorder="1" applyAlignment="1">
      <alignment horizontal="center" wrapText="1"/>
    </xf>
    <xf numFmtId="0" fontId="10" fillId="2" borderId="2" xfId="8" applyFont="1" applyFill="1" applyBorder="1" applyAlignment="1">
      <alignment horizontal="center" vertical="center" wrapText="1"/>
    </xf>
    <xf numFmtId="0" fontId="10" fillId="2" borderId="0" xfId="8" applyFont="1" applyFill="1" applyAlignment="1">
      <alignment horizontal="center" vertical="center" wrapText="1"/>
    </xf>
    <xf numFmtId="0" fontId="13" fillId="5" borderId="0" xfId="1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1" fillId="2" borderId="1" xfId="15" applyFont="1" applyFill="1" applyBorder="1" applyAlignment="1">
      <alignment horizontal="center" vertical="center" wrapText="1"/>
    </xf>
    <xf numFmtId="0" fontId="31" fillId="2" borderId="2" xfId="6" applyFont="1" applyFill="1" applyBorder="1" applyAlignment="1">
      <alignment horizontal="left" vertical="center" wrapText="1"/>
    </xf>
    <xf numFmtId="0" fontId="31" fillId="2" borderId="1" xfId="6" applyFont="1" applyFill="1" applyBorder="1" applyAlignment="1">
      <alignment horizontal="left" vertical="center" wrapText="1"/>
    </xf>
    <xf numFmtId="0" fontId="31" fillId="2" borderId="2" xfId="15" applyFont="1" applyFill="1" applyBorder="1" applyAlignment="1">
      <alignment horizontal="center" vertical="center" wrapText="1"/>
    </xf>
    <xf numFmtId="0" fontId="31" fillId="2" borderId="1" xfId="15" applyFont="1" applyFill="1" applyBorder="1" applyAlignment="1">
      <alignment horizontal="center" vertical="center" wrapText="1"/>
    </xf>
    <xf numFmtId="0" fontId="31" fillId="2" borderId="3" xfId="15" applyFont="1" applyFill="1" applyBorder="1" applyAlignment="1">
      <alignment horizontal="center" vertical="center" wrapText="1"/>
    </xf>
    <xf numFmtId="0" fontId="11" fillId="2" borderId="1" xfId="17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left"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vertical="center" wrapText="1"/>
    </xf>
    <xf numFmtId="0" fontId="11" fillId="2" borderId="1" xfId="19" applyFont="1" applyFill="1" applyBorder="1" applyAlignment="1">
      <alignment horizontal="center" vertical="center" wrapText="1"/>
    </xf>
    <xf numFmtId="0" fontId="10" fillId="2" borderId="2" xfId="19" applyFont="1" applyFill="1" applyBorder="1" applyAlignment="1">
      <alignment horizontal="center" vertical="center" wrapText="1"/>
    </xf>
    <xf numFmtId="0" fontId="10" fillId="2" borderId="0" xfId="19" applyFont="1" applyFill="1" applyBorder="1" applyAlignment="1">
      <alignment horizontal="center" vertical="center" wrapText="1"/>
    </xf>
    <xf numFmtId="0" fontId="10" fillId="2" borderId="1" xfId="19" applyFont="1" applyFill="1" applyBorder="1" applyAlignment="1">
      <alignment horizontal="center" vertical="center" wrapText="1"/>
    </xf>
    <xf numFmtId="0" fontId="10" fillId="2" borderId="0" xfId="3" applyFont="1" applyFill="1" applyBorder="1" applyAlignment="1">
      <alignment horizontal="center" vertical="center" wrapText="1"/>
    </xf>
    <xf numFmtId="0" fontId="10" fillId="2" borderId="3" xfId="19" applyFont="1" applyFill="1" applyBorder="1" applyAlignment="1">
      <alignment horizontal="center" vertical="center" wrapText="1"/>
    </xf>
    <xf numFmtId="0" fontId="11" fillId="2" borderId="1" xfId="21" applyFont="1" applyFill="1" applyBorder="1" applyAlignment="1">
      <alignment horizontal="center" vertical="center" wrapText="1"/>
    </xf>
    <xf numFmtId="0" fontId="10" fillId="2" borderId="2" xfId="21" applyFont="1" applyFill="1" applyBorder="1" applyAlignment="1">
      <alignment horizontal="center" vertical="center" wrapText="1"/>
    </xf>
    <xf numFmtId="0" fontId="10" fillId="2" borderId="1" xfId="21" applyFont="1" applyFill="1" applyBorder="1" applyAlignment="1">
      <alignment horizontal="center" vertical="center" wrapText="1"/>
    </xf>
    <xf numFmtId="0" fontId="10" fillId="2" borderId="2" xfId="21" applyFont="1" applyFill="1" applyBorder="1" applyAlignment="1">
      <alignment horizontal="center" wrapText="1"/>
    </xf>
    <xf numFmtId="0" fontId="10" fillId="2" borderId="1" xfId="21" applyFont="1" applyFill="1" applyBorder="1" applyAlignment="1">
      <alignment horizontal="center" wrapText="1"/>
    </xf>
    <xf numFmtId="0" fontId="10" fillId="2" borderId="3" xfId="21" applyFont="1" applyFill="1" applyBorder="1" applyAlignment="1">
      <alignment horizontal="center" vertical="center" wrapText="1"/>
    </xf>
    <xf numFmtId="0" fontId="11" fillId="2" borderId="1" xfId="23" applyFont="1" applyFill="1" applyBorder="1" applyAlignment="1">
      <alignment horizontal="center" vertical="center" wrapText="1"/>
    </xf>
    <xf numFmtId="0" fontId="10" fillId="2" borderId="2" xfId="23" applyFont="1" applyFill="1" applyBorder="1" applyAlignment="1">
      <alignment horizontal="left" vertical="center" wrapText="1"/>
    </xf>
    <xf numFmtId="0" fontId="10" fillId="2" borderId="1" xfId="23" applyFont="1" applyFill="1" applyBorder="1" applyAlignment="1">
      <alignment horizontal="left" vertical="center" wrapText="1"/>
    </xf>
    <xf numFmtId="0" fontId="10" fillId="2" borderId="2" xfId="23" applyFont="1" applyFill="1" applyBorder="1" applyAlignment="1">
      <alignment horizontal="center" vertical="center" wrapText="1"/>
    </xf>
    <xf numFmtId="0" fontId="10" fillId="2" borderId="1" xfId="23" applyFont="1" applyFill="1" applyBorder="1" applyAlignment="1">
      <alignment horizontal="center" vertical="center" wrapText="1"/>
    </xf>
    <xf numFmtId="0" fontId="10" fillId="2" borderId="3" xfId="23" applyFont="1" applyFill="1" applyBorder="1" applyAlignment="1">
      <alignment horizontal="center" vertical="center" wrapText="1"/>
    </xf>
    <xf numFmtId="0" fontId="40" fillId="2" borderId="9" xfId="0" applyFont="1" applyFill="1" applyBorder="1" applyAlignment="1">
      <alignment horizontal="left" vertical="center" wrapText="1" indent="1"/>
    </xf>
    <xf numFmtId="0" fontId="38" fillId="2" borderId="0" xfId="0" applyFont="1" applyFill="1" applyAlignment="1">
      <alignment horizontal="center" vertical="center"/>
    </xf>
    <xf numFmtId="0" fontId="38" fillId="2" borderId="0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left" vertical="center" indent="1"/>
    </xf>
    <xf numFmtId="0" fontId="39" fillId="5" borderId="9" xfId="0" applyFont="1" applyFill="1" applyBorder="1" applyAlignment="1">
      <alignment horizontal="center" vertical="center"/>
    </xf>
    <xf numFmtId="0" fontId="39" fillId="5" borderId="9" xfId="0" applyFont="1" applyFill="1" applyBorder="1"/>
    <xf numFmtId="0" fontId="26" fillId="2" borderId="1" xfId="3" applyFont="1" applyFill="1" applyBorder="1" applyAlignment="1">
      <alignment horizontal="center" vertical="center" wrapText="1"/>
    </xf>
    <xf numFmtId="0" fontId="17" fillId="2" borderId="2" xfId="3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26" fillId="2" borderId="1" xfId="6" applyFont="1" applyFill="1" applyBorder="1" applyAlignment="1">
      <alignment horizontal="center" vertical="center" wrapText="1"/>
    </xf>
    <xf numFmtId="0" fontId="17" fillId="2" borderId="0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0" fontId="17" fillId="2" borderId="3" xfId="6" applyFont="1" applyFill="1" applyBorder="1" applyAlignment="1">
      <alignment horizontal="center" wrapText="1"/>
    </xf>
    <xf numFmtId="0" fontId="17" fillId="2" borderId="2" xfId="6" applyFont="1" applyFill="1" applyBorder="1" applyAlignment="1">
      <alignment horizontal="center" vertical="center" wrapText="1"/>
    </xf>
    <xf numFmtId="0" fontId="11" fillId="2" borderId="1" xfId="25" applyFont="1" applyFill="1" applyBorder="1" applyAlignment="1">
      <alignment horizontal="center" vertical="center" wrapText="1"/>
    </xf>
    <xf numFmtId="0" fontId="10" fillId="2" borderId="2" xfId="26" applyFont="1" applyFill="1" applyBorder="1" applyAlignment="1">
      <alignment horizontal="center" vertical="center" wrapText="1"/>
    </xf>
    <xf numFmtId="0" fontId="10" fillId="2" borderId="1" xfId="26" applyFont="1" applyFill="1" applyBorder="1" applyAlignment="1">
      <alignment horizontal="center" vertical="center" wrapText="1"/>
    </xf>
    <xf numFmtId="0" fontId="10" fillId="2" borderId="2" xfId="25" applyFont="1" applyFill="1" applyBorder="1" applyAlignment="1">
      <alignment horizontal="center" vertical="center" wrapText="1"/>
    </xf>
    <xf numFmtId="0" fontId="10" fillId="2" borderId="1" xfId="25" applyFont="1" applyFill="1" applyBorder="1" applyAlignment="1">
      <alignment horizontal="center" vertical="center" wrapText="1"/>
    </xf>
    <xf numFmtId="0" fontId="10" fillId="2" borderId="3" xfId="26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28" applyFont="1" applyFill="1" applyBorder="1" applyAlignment="1">
      <alignment horizontal="center" vertical="center" wrapText="1"/>
    </xf>
    <xf numFmtId="0" fontId="7" fillId="2" borderId="1" xfId="28" applyFont="1" applyFill="1" applyBorder="1" applyAlignment="1">
      <alignment horizontal="center" vertical="center" wrapText="1"/>
    </xf>
    <xf numFmtId="0" fontId="7" fillId="2" borderId="3" xfId="28" applyFont="1" applyFill="1" applyBorder="1" applyAlignment="1">
      <alignment horizontal="center" wrapText="1"/>
    </xf>
    <xf numFmtId="0" fontId="31" fillId="2" borderId="2" xfId="28" applyFont="1" applyFill="1" applyBorder="1" applyAlignment="1">
      <alignment horizontal="center" vertical="center" wrapText="1"/>
    </xf>
    <xf numFmtId="0" fontId="31" fillId="2" borderId="1" xfId="28" applyFont="1" applyFill="1" applyBorder="1" applyAlignment="1">
      <alignment horizontal="center" vertical="center" wrapText="1"/>
    </xf>
    <xf numFmtId="0" fontId="11" fillId="2" borderId="1" xfId="30" applyFont="1" applyFill="1" applyBorder="1" applyAlignment="1">
      <alignment horizontal="center" vertical="center" wrapText="1"/>
    </xf>
    <xf numFmtId="0" fontId="10" fillId="2" borderId="2" xfId="30" applyFont="1" applyFill="1" applyBorder="1" applyAlignment="1">
      <alignment horizontal="center" vertical="center" wrapText="1"/>
    </xf>
    <xf numFmtId="0" fontId="10" fillId="2" borderId="1" xfId="30" applyFont="1" applyFill="1" applyBorder="1" applyAlignment="1">
      <alignment horizontal="center" vertical="center" wrapText="1"/>
    </xf>
    <xf numFmtId="0" fontId="10" fillId="2" borderId="3" xfId="30" applyFont="1" applyFill="1" applyBorder="1" applyAlignment="1">
      <alignment horizontal="center" vertical="center" wrapText="1"/>
    </xf>
    <xf numFmtId="0" fontId="11" fillId="2" borderId="1" xfId="32" applyFont="1" applyFill="1" applyBorder="1" applyAlignment="1">
      <alignment horizontal="center" vertical="center" wrapText="1"/>
    </xf>
    <xf numFmtId="0" fontId="10" fillId="2" borderId="2" xfId="32" applyFont="1" applyFill="1" applyBorder="1" applyAlignment="1">
      <alignment horizontal="center" vertical="center" wrapText="1"/>
    </xf>
    <xf numFmtId="0" fontId="10" fillId="2" borderId="1" xfId="32" applyFont="1" applyFill="1" applyBorder="1" applyAlignment="1">
      <alignment horizontal="center" vertical="center" wrapText="1"/>
    </xf>
    <xf numFmtId="0" fontId="10" fillId="2" borderId="3" xfId="32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3" fontId="11" fillId="2" borderId="4" xfId="11" applyNumberFormat="1" applyFont="1" applyFill="1" applyBorder="1" applyAlignment="1">
      <alignment horizontal="center" vertical="center" wrapText="1"/>
    </xf>
    <xf numFmtId="3" fontId="31" fillId="2" borderId="5" xfId="13" applyNumberFormat="1" applyFont="1" applyFill="1" applyBorder="1" applyAlignment="1">
      <alignment horizontal="center" wrapText="1"/>
    </xf>
    <xf numFmtId="3" fontId="31" fillId="2" borderId="1" xfId="13" applyNumberFormat="1" applyFont="1" applyFill="1" applyBorder="1" applyAlignment="1">
      <alignment horizontal="center" wrapText="1"/>
    </xf>
    <xf numFmtId="173" fontId="31" fillId="2" borderId="5" xfId="13" applyNumberFormat="1" applyFont="1" applyFill="1" applyBorder="1" applyAlignment="1">
      <alignment horizontal="center" vertical="center"/>
    </xf>
    <xf numFmtId="173" fontId="31" fillId="2" borderId="1" xfId="13" applyNumberFormat="1" applyFont="1" applyFill="1" applyBorder="1" applyAlignment="1">
      <alignment horizontal="center" vertical="center"/>
    </xf>
    <xf numFmtId="3" fontId="31" fillId="2" borderId="0" xfId="13" applyNumberFormat="1" applyFont="1" applyFill="1" applyBorder="1" applyAlignment="1">
      <alignment horizontal="center" vertical="top" wrapText="1"/>
    </xf>
    <xf numFmtId="3" fontId="10" fillId="2" borderId="5" xfId="38" applyNumberFormat="1" applyFont="1" applyFill="1" applyBorder="1" applyAlignment="1">
      <alignment horizontal="center" vertical="center" wrapText="1"/>
    </xf>
    <xf numFmtId="3" fontId="10" fillId="2" borderId="0" xfId="38" applyNumberFormat="1" applyFont="1" applyFill="1" applyBorder="1" applyAlignment="1">
      <alignment horizontal="center" vertical="center" wrapText="1"/>
    </xf>
    <xf numFmtId="3" fontId="11" fillId="2" borderId="4" xfId="35" applyNumberFormat="1" applyFont="1" applyFill="1" applyBorder="1" applyAlignment="1">
      <alignment horizontal="center" vertical="center" wrapText="1"/>
    </xf>
    <xf numFmtId="3" fontId="31" fillId="2" borderId="6" xfId="13" applyNumberFormat="1" applyFont="1" applyFill="1" applyBorder="1" applyAlignment="1">
      <alignment horizontal="center" vertical="top" wrapText="1"/>
    </xf>
    <xf numFmtId="3" fontId="31" fillId="2" borderId="6" xfId="13" applyNumberFormat="1" applyFont="1" applyFill="1" applyBorder="1" applyAlignment="1">
      <alignment vertical="center" wrapText="1"/>
    </xf>
    <xf numFmtId="173" fontId="31" fillId="2" borderId="6" xfId="13" applyNumberFormat="1" applyFont="1" applyFill="1" applyBorder="1" applyAlignment="1">
      <alignment horizontal="center" vertical="center" wrapText="1"/>
    </xf>
    <xf numFmtId="3" fontId="31" fillId="2" borderId="0" xfId="13" applyNumberFormat="1" applyFont="1" applyFill="1" applyBorder="1" applyAlignment="1">
      <alignment horizontal="center" vertical="center" wrapText="1"/>
    </xf>
    <xf numFmtId="3" fontId="10" fillId="2" borderId="5" xfId="6" applyNumberFormat="1" applyFont="1" applyFill="1" applyBorder="1" applyAlignment="1">
      <alignment horizontal="center" vertical="center" wrapText="1"/>
    </xf>
    <xf numFmtId="3" fontId="10" fillId="2" borderId="0" xfId="6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/>
    </xf>
    <xf numFmtId="3" fontId="31" fillId="2" borderId="5" xfId="13" applyNumberFormat="1" applyFont="1" applyFill="1" applyBorder="1" applyAlignment="1">
      <alignment horizontal="center" vertical="center" wrapText="1"/>
    </xf>
    <xf numFmtId="3" fontId="31" fillId="2" borderId="1" xfId="13" applyNumberFormat="1" applyFont="1" applyFill="1" applyBorder="1" applyAlignment="1">
      <alignment horizontal="center" vertical="center" wrapText="1"/>
    </xf>
    <xf numFmtId="173" fontId="31" fillId="2" borderId="5" xfId="13" applyNumberFormat="1" applyFont="1" applyFill="1" applyBorder="1" applyAlignment="1">
      <alignment horizontal="center" vertical="center" wrapText="1"/>
    </xf>
    <xf numFmtId="173" fontId="31" fillId="2" borderId="1" xfId="13" applyNumberFormat="1" applyFont="1" applyFill="1" applyBorder="1" applyAlignment="1">
      <alignment horizontal="center" vertical="center" wrapText="1"/>
    </xf>
    <xf numFmtId="3" fontId="31" fillId="2" borderId="0" xfId="13" applyNumberFormat="1" applyFont="1" applyFill="1" applyBorder="1" applyAlignment="1">
      <alignment horizontal="center" wrapText="1"/>
    </xf>
    <xf numFmtId="3" fontId="10" fillId="2" borderId="5" xfId="36" applyNumberFormat="1" applyFont="1" applyFill="1" applyBorder="1" applyAlignment="1">
      <alignment horizontal="center" vertical="center" wrapText="1"/>
    </xf>
    <xf numFmtId="3" fontId="10" fillId="2" borderId="0" xfId="36" applyNumberFormat="1" applyFont="1" applyFill="1" applyBorder="1" applyAlignment="1">
      <alignment horizontal="center" vertical="center" wrapText="1"/>
    </xf>
    <xf numFmtId="3" fontId="11" fillId="2" borderId="4" xfId="13" applyNumberFormat="1" applyFont="1" applyFill="1" applyBorder="1" applyAlignment="1">
      <alignment horizontal="center" vertical="center" wrapText="1"/>
    </xf>
    <xf numFmtId="3" fontId="7" fillId="2" borderId="0" xfId="13" applyNumberFormat="1" applyFont="1" applyFill="1" applyBorder="1" applyAlignment="1">
      <alignment horizontal="center" vertical="center" wrapText="1"/>
    </xf>
    <xf numFmtId="3" fontId="31" fillId="2" borderId="6" xfId="13" applyNumberFormat="1" applyFont="1" applyFill="1" applyBorder="1" applyAlignment="1">
      <alignment horizontal="center" vertical="center" wrapText="1"/>
    </xf>
    <xf numFmtId="3" fontId="7" fillId="2" borderId="6" xfId="13" applyNumberFormat="1" applyFont="1" applyFill="1" applyBorder="1" applyAlignment="1">
      <alignment horizontal="center" vertical="center" wrapText="1"/>
    </xf>
    <xf numFmtId="3" fontId="32" fillId="2" borderId="6" xfId="40" applyNumberFormat="1" applyFont="1" applyFill="1" applyBorder="1" applyAlignment="1">
      <alignment horizontal="center" vertical="center" wrapText="1"/>
    </xf>
    <xf numFmtId="3" fontId="33" fillId="2" borderId="6" xfId="13" applyNumberFormat="1" applyFont="1" applyFill="1" applyBorder="1" applyAlignment="1">
      <alignment horizontal="center" vertical="center" wrapText="1"/>
    </xf>
    <xf numFmtId="3" fontId="32" fillId="2" borderId="5" xfId="39" applyNumberFormat="1" applyFont="1" applyFill="1" applyBorder="1" applyAlignment="1">
      <alignment horizontal="center" vertical="center" wrapText="1"/>
    </xf>
    <xf numFmtId="3" fontId="32" fillId="2" borderId="0" xfId="39" applyNumberFormat="1" applyFont="1" applyFill="1" applyBorder="1" applyAlignment="1">
      <alignment horizontal="center" vertical="center" wrapText="1"/>
    </xf>
    <xf numFmtId="3" fontId="11" fillId="2" borderId="0" xfId="41" applyNumberFormat="1" applyFont="1" applyFill="1" applyBorder="1" applyAlignment="1">
      <alignment horizontal="center" vertical="center" wrapText="1"/>
    </xf>
    <xf numFmtId="3" fontId="11" fillId="2" borderId="4" xfId="41" applyNumberFormat="1" applyFont="1" applyFill="1" applyBorder="1" applyAlignment="1">
      <alignment horizontal="center" vertical="center" wrapText="1"/>
    </xf>
    <xf numFmtId="3" fontId="31" fillId="2" borderId="6" xfId="13" applyNumberFormat="1" applyFont="1" applyFill="1" applyBorder="1" applyAlignment="1">
      <alignment horizontal="center" wrapText="1"/>
    </xf>
    <xf numFmtId="3" fontId="10" fillId="2" borderId="6" xfId="40" applyNumberFormat="1" applyFont="1" applyFill="1" applyBorder="1" applyAlignment="1">
      <alignment horizontal="center" wrapText="1"/>
    </xf>
    <xf numFmtId="3" fontId="10" fillId="2" borderId="5" xfId="42" applyNumberFormat="1" applyFont="1" applyFill="1" applyBorder="1" applyAlignment="1">
      <alignment horizontal="center" vertical="center" wrapText="1"/>
    </xf>
    <xf numFmtId="3" fontId="10" fillId="2" borderId="0" xfId="42" applyNumberFormat="1" applyFont="1" applyFill="1" applyBorder="1" applyAlignment="1">
      <alignment horizontal="center" vertical="center" wrapText="1"/>
    </xf>
    <xf numFmtId="3" fontId="10" fillId="2" borderId="5" xfId="43" applyNumberFormat="1" applyFont="1" applyFill="1" applyBorder="1" applyAlignment="1">
      <alignment horizontal="center" vertical="center" wrapText="1"/>
    </xf>
    <xf numFmtId="3" fontId="10" fillId="2" borderId="0" xfId="43" applyNumberFormat="1" applyFont="1" applyFill="1" applyBorder="1" applyAlignment="1">
      <alignment horizontal="center" vertical="center" wrapText="1"/>
    </xf>
    <xf numFmtId="3" fontId="10" fillId="2" borderId="6" xfId="40" applyNumberFormat="1" applyFont="1" applyFill="1" applyBorder="1" applyAlignment="1">
      <alignment horizontal="center" vertical="center" wrapText="1"/>
    </xf>
    <xf numFmtId="3" fontId="10" fillId="2" borderId="5" xfId="44" applyNumberFormat="1" applyFont="1" applyFill="1" applyBorder="1" applyAlignment="1">
      <alignment horizontal="center" wrapText="1"/>
    </xf>
    <xf numFmtId="3" fontId="10" fillId="2" borderId="0" xfId="44" applyNumberFormat="1" applyFont="1" applyFill="1" applyBorder="1" applyAlignment="1">
      <alignment horizontal="center" wrapText="1"/>
    </xf>
    <xf numFmtId="3" fontId="11" fillId="2" borderId="0" xfId="13" applyNumberFormat="1" applyFont="1" applyFill="1" applyBorder="1" applyAlignment="1">
      <alignment horizontal="center" vertical="center" wrapText="1"/>
    </xf>
    <xf numFmtId="3" fontId="11" fillId="2" borderId="1" xfId="13" applyNumberFormat="1" applyFont="1" applyFill="1" applyBorder="1" applyAlignment="1">
      <alignment horizontal="center" vertical="center" wrapText="1"/>
    </xf>
    <xf numFmtId="3" fontId="7" fillId="2" borderId="1" xfId="13" applyNumberFormat="1" applyFont="1" applyFill="1" applyBorder="1" applyAlignment="1">
      <alignment horizontal="center" vertical="center" wrapText="1"/>
    </xf>
    <xf numFmtId="0" fontId="4" fillId="2" borderId="1" xfId="12" applyFont="1" applyFill="1" applyBorder="1" applyAlignment="1">
      <alignment horizontal="center" wrapText="1"/>
    </xf>
    <xf numFmtId="3" fontId="10" fillId="2" borderId="2" xfId="45" applyNumberFormat="1" applyFont="1" applyFill="1" applyBorder="1" applyAlignment="1">
      <alignment horizontal="center" vertical="center" wrapText="1"/>
    </xf>
    <xf numFmtId="3" fontId="10" fillId="2" borderId="0" xfId="45" applyNumberFormat="1" applyFont="1" applyFill="1" applyBorder="1" applyAlignment="1">
      <alignment horizontal="center" vertical="center" wrapText="1"/>
    </xf>
    <xf numFmtId="0" fontId="4" fillId="2" borderId="3" xfId="12" applyFont="1" applyFill="1" applyBorder="1" applyAlignment="1">
      <alignment horizontal="center" wrapText="1"/>
    </xf>
    <xf numFmtId="3" fontId="7" fillId="2" borderId="0" xfId="13" applyNumberFormat="1" applyFont="1" applyFill="1" applyAlignment="1">
      <alignment horizontal="center" vertical="center" wrapText="1"/>
    </xf>
    <xf numFmtId="3" fontId="10" fillId="2" borderId="0" xfId="46" applyNumberFormat="1" applyFont="1" applyFill="1" applyBorder="1" applyAlignment="1">
      <alignment horizontal="center" vertical="center" wrapText="1"/>
    </xf>
    <xf numFmtId="3" fontId="11" fillId="2" borderId="0" xfId="9" applyNumberFormat="1" applyFont="1" applyFill="1" applyBorder="1" applyAlignment="1">
      <alignment horizontal="center" vertical="center" wrapText="1"/>
    </xf>
    <xf numFmtId="3" fontId="10" fillId="2" borderId="1" xfId="12" applyNumberFormat="1" applyFont="1" applyFill="1" applyBorder="1" applyAlignment="1">
      <alignment horizontal="center" vertical="center" wrapText="1"/>
    </xf>
    <xf numFmtId="0" fontId="4" fillId="2" borderId="3" xfId="77" applyFont="1" applyFill="1" applyBorder="1" applyAlignment="1">
      <alignment horizontal="center" wrapText="1"/>
    </xf>
    <xf numFmtId="3" fontId="10" fillId="2" borderId="2" xfId="47" applyNumberFormat="1" applyFont="1" applyFill="1" applyBorder="1" applyAlignment="1">
      <alignment horizontal="center" vertical="center" wrapText="1"/>
    </xf>
    <xf numFmtId="3" fontId="10" fillId="2" borderId="0" xfId="47" applyNumberFormat="1" applyFont="1" applyFill="1" applyBorder="1" applyAlignment="1">
      <alignment horizontal="center" vertical="center" wrapText="1"/>
    </xf>
    <xf numFmtId="3" fontId="10" fillId="2" borderId="2" xfId="47" applyNumberFormat="1" applyFont="1" applyFill="1" applyBorder="1" applyAlignment="1">
      <alignment horizontal="center" wrapText="1"/>
    </xf>
    <xf numFmtId="3" fontId="10" fillId="2" borderId="0" xfId="47" applyNumberFormat="1" applyFont="1" applyFill="1" applyBorder="1" applyAlignment="1">
      <alignment horizontal="center" wrapText="1"/>
    </xf>
    <xf numFmtId="0" fontId="2" fillId="2" borderId="0" xfId="13" applyFont="1" applyFill="1" applyBorder="1" applyAlignment="1">
      <alignment horizontal="center" vertical="center" wrapText="1"/>
    </xf>
    <xf numFmtId="0" fontId="2" fillId="2" borderId="1" xfId="13" applyFont="1" applyFill="1" applyBorder="1" applyAlignment="1">
      <alignment horizontal="center" vertical="center" wrapText="1"/>
    </xf>
    <xf numFmtId="0" fontId="4" fillId="2" borderId="3" xfId="41" applyFont="1" applyFill="1" applyBorder="1" applyAlignment="1">
      <alignment horizontal="center" wrapText="1"/>
    </xf>
    <xf numFmtId="0" fontId="10" fillId="2" borderId="0" xfId="48" applyFont="1" applyFill="1" applyBorder="1" applyAlignment="1">
      <alignment horizontal="center" vertical="center" wrapText="1"/>
    </xf>
    <xf numFmtId="3" fontId="11" fillId="2" borderId="7" xfId="9" applyNumberFormat="1" applyFont="1" applyFill="1" applyBorder="1" applyAlignment="1">
      <alignment horizontal="center" vertical="center" wrapText="1"/>
    </xf>
    <xf numFmtId="3" fontId="10" fillId="2" borderId="1" xfId="9" applyNumberFormat="1" applyFont="1" applyFill="1" applyBorder="1" applyAlignment="1">
      <alignment horizontal="center" vertical="center" wrapText="1"/>
    </xf>
    <xf numFmtId="0" fontId="4" fillId="2" borderId="6" xfId="78" applyFont="1" applyFill="1" applyBorder="1" applyAlignment="1">
      <alignment horizontal="center" wrapText="1"/>
    </xf>
    <xf numFmtId="3" fontId="10" fillId="2" borderId="5" xfId="49" applyNumberFormat="1" applyFont="1" applyFill="1" applyBorder="1" applyAlignment="1">
      <alignment horizontal="center" vertical="center" wrapText="1"/>
    </xf>
    <xf numFmtId="3" fontId="10" fillId="2" borderId="0" xfId="49" applyNumberFormat="1" applyFont="1" applyFill="1" applyBorder="1" applyAlignment="1">
      <alignment horizontal="center" vertical="center" wrapText="1"/>
    </xf>
    <xf numFmtId="3" fontId="10" fillId="2" borderId="6" xfId="12" applyNumberFormat="1" applyFont="1" applyFill="1" applyBorder="1" applyAlignment="1">
      <alignment horizontal="center" vertical="center" wrapText="1"/>
    </xf>
    <xf numFmtId="173" fontId="10" fillId="2" borderId="6" xfId="12" applyNumberFormat="1" applyFont="1" applyFill="1" applyBorder="1" applyAlignment="1">
      <alignment horizontal="center" vertical="center" wrapText="1"/>
    </xf>
    <xf numFmtId="173" fontId="10" fillId="2" borderId="0" xfId="12" applyNumberFormat="1" applyFont="1" applyFill="1" applyBorder="1" applyAlignment="1">
      <alignment horizontal="center" vertical="center" wrapText="1"/>
    </xf>
    <xf numFmtId="3" fontId="10" fillId="2" borderId="5" xfId="50" applyNumberFormat="1" applyFont="1" applyFill="1" applyBorder="1" applyAlignment="1">
      <alignment horizontal="center" vertical="center" wrapText="1"/>
    </xf>
    <xf numFmtId="3" fontId="10" fillId="2" borderId="0" xfId="50" applyNumberFormat="1" applyFont="1" applyFill="1" applyBorder="1" applyAlignment="1">
      <alignment horizontal="center" vertical="center" wrapText="1"/>
    </xf>
    <xf numFmtId="3" fontId="10" fillId="2" borderId="5" xfId="12" applyNumberFormat="1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73" fontId="7" fillId="2" borderId="0" xfId="0" applyNumberFormat="1" applyFont="1" applyFill="1" applyBorder="1" applyAlignment="1">
      <alignment horizontal="center" vertical="center" wrapText="1"/>
    </xf>
    <xf numFmtId="0" fontId="11" fillId="2" borderId="1" xfId="12" applyFont="1" applyFill="1" applyBorder="1" applyAlignment="1">
      <alignment horizontal="center" vertical="center" wrapText="1"/>
    </xf>
    <xf numFmtId="0" fontId="10" fillId="2" borderId="0" xfId="12" applyFont="1" applyFill="1" applyBorder="1" applyAlignment="1">
      <alignment horizontal="left" vertical="center" wrapText="1"/>
    </xf>
    <xf numFmtId="175" fontId="10" fillId="2" borderId="0" xfId="12" applyNumberFormat="1" applyFont="1" applyFill="1" applyBorder="1" applyAlignment="1">
      <alignment horizontal="center" vertical="center" wrapText="1"/>
    </xf>
    <xf numFmtId="175" fontId="10" fillId="2" borderId="1" xfId="12" applyNumberFormat="1" applyFont="1" applyFill="1" applyBorder="1" applyAlignment="1">
      <alignment horizontal="center" wrapText="1"/>
    </xf>
    <xf numFmtId="0" fontId="11" fillId="2" borderId="1" xfId="52" applyFont="1" applyFill="1" applyBorder="1" applyAlignment="1">
      <alignment horizontal="center" vertical="center" wrapText="1"/>
    </xf>
    <xf numFmtId="0" fontId="10" fillId="2" borderId="0" xfId="52" applyFont="1" applyFill="1" applyBorder="1" applyAlignment="1">
      <alignment horizontal="left" vertical="center" wrapText="1"/>
    </xf>
    <xf numFmtId="0" fontId="10" fillId="2" borderId="0" xfId="52" applyFont="1" applyFill="1" applyBorder="1" applyAlignment="1">
      <alignment horizontal="center" vertical="center" wrapText="1"/>
    </xf>
    <xf numFmtId="0" fontId="10" fillId="2" borderId="3" xfId="52" applyFont="1" applyFill="1" applyBorder="1" applyAlignment="1">
      <alignment horizontal="center" wrapText="1"/>
    </xf>
    <xf numFmtId="0" fontId="11" fillId="2" borderId="1" xfId="34" applyFont="1" applyFill="1" applyBorder="1" applyAlignment="1">
      <alignment horizontal="center" vertical="center" wrapText="1"/>
    </xf>
    <xf numFmtId="0" fontId="10" fillId="2" borderId="0" xfId="34" applyFont="1" applyFill="1" applyAlignment="1">
      <alignment horizontal="left" vertical="center" wrapText="1"/>
    </xf>
    <xf numFmtId="0" fontId="10" fillId="2" borderId="0" xfId="34" applyFont="1" applyFill="1" applyBorder="1" applyAlignment="1">
      <alignment horizontal="center" vertical="center" wrapText="1"/>
    </xf>
    <xf numFmtId="0" fontId="10" fillId="2" borderId="1" xfId="34" applyFont="1" applyFill="1" applyBorder="1" applyAlignment="1">
      <alignment horizontal="center" wrapText="1"/>
    </xf>
    <xf numFmtId="0" fontId="11" fillId="2" borderId="1" xfId="53" applyFont="1" applyFill="1" applyBorder="1" applyAlignment="1">
      <alignment horizontal="center" vertical="center" wrapText="1"/>
    </xf>
    <xf numFmtId="0" fontId="10" fillId="2" borderId="0" xfId="53" applyFont="1" applyFill="1" applyBorder="1" applyAlignment="1">
      <alignment horizontal="left" vertical="center" wrapText="1" indent="1"/>
    </xf>
    <xf numFmtId="0" fontId="10" fillId="2" borderId="0" xfId="53" applyFont="1" applyFill="1" applyBorder="1" applyAlignment="1">
      <alignment horizontal="center" vertical="center" wrapText="1"/>
    </xf>
    <xf numFmtId="0" fontId="10" fillId="2" borderId="1" xfId="53" applyFont="1" applyFill="1" applyBorder="1" applyAlignment="1">
      <alignment horizontal="center" wrapText="1"/>
    </xf>
    <xf numFmtId="0" fontId="11" fillId="2" borderId="1" xfId="54" applyFont="1" applyFill="1" applyBorder="1" applyAlignment="1">
      <alignment horizontal="center" vertical="center" wrapText="1"/>
    </xf>
    <xf numFmtId="0" fontId="10" fillId="2" borderId="0" xfId="54" applyFont="1" applyFill="1" applyBorder="1" applyAlignment="1">
      <alignment horizontal="left" vertical="center" wrapText="1"/>
    </xf>
    <xf numFmtId="0" fontId="10" fillId="2" borderId="0" xfId="54" applyFont="1" applyFill="1" applyBorder="1" applyAlignment="1">
      <alignment horizontal="center" vertical="center" wrapText="1"/>
    </xf>
    <xf numFmtId="0" fontId="10" fillId="2" borderId="3" xfId="54" applyFont="1" applyFill="1" applyBorder="1" applyAlignment="1">
      <alignment horizontal="center" wrapText="1"/>
    </xf>
    <xf numFmtId="0" fontId="11" fillId="2" borderId="1" xfId="55" applyFont="1" applyFill="1" applyBorder="1" applyAlignment="1">
      <alignment horizontal="center" vertical="center" wrapText="1"/>
    </xf>
    <xf numFmtId="0" fontId="10" fillId="2" borderId="0" xfId="55" applyFont="1" applyFill="1" applyBorder="1" applyAlignment="1">
      <alignment horizontal="left" vertical="center" wrapText="1"/>
    </xf>
    <xf numFmtId="0" fontId="10" fillId="2" borderId="0" xfId="55" applyFont="1" applyFill="1" applyBorder="1" applyAlignment="1">
      <alignment horizontal="center" vertical="center" wrapText="1"/>
    </xf>
    <xf numFmtId="0" fontId="10" fillId="2" borderId="1" xfId="55" applyFont="1" applyFill="1" applyBorder="1" applyAlignment="1">
      <alignment horizontal="center" wrapText="1"/>
    </xf>
    <xf numFmtId="166" fontId="10" fillId="2" borderId="0" xfId="55" applyNumberFormat="1" applyFont="1" applyFill="1" applyBorder="1" applyAlignment="1">
      <alignment horizontal="center" vertical="center" wrapText="1"/>
    </xf>
    <xf numFmtId="0" fontId="11" fillId="2" borderId="1" xfId="56" applyFont="1" applyFill="1" applyBorder="1" applyAlignment="1">
      <alignment horizontal="center" vertical="center" wrapText="1"/>
    </xf>
    <xf numFmtId="0" fontId="10" fillId="2" borderId="0" xfId="56" applyFont="1" applyFill="1" applyBorder="1" applyAlignment="1">
      <alignment horizontal="left" vertical="center" wrapText="1"/>
    </xf>
    <xf numFmtId="0" fontId="10" fillId="2" borderId="0" xfId="56" applyFont="1" applyFill="1" applyBorder="1" applyAlignment="1">
      <alignment horizontal="center" vertical="center" wrapText="1"/>
    </xf>
    <xf numFmtId="0" fontId="10" fillId="2" borderId="1" xfId="56" applyFont="1" applyFill="1" applyBorder="1" applyAlignment="1">
      <alignment horizontal="center" wrapText="1"/>
    </xf>
    <xf numFmtId="0" fontId="11" fillId="2" borderId="1" xfId="57" applyFont="1" applyFill="1" applyBorder="1" applyAlignment="1">
      <alignment horizontal="center" vertical="center" wrapText="1"/>
    </xf>
    <xf numFmtId="0" fontId="10" fillId="2" borderId="0" xfId="57" applyFont="1" applyFill="1" applyBorder="1" applyAlignment="1">
      <alignment horizontal="left" vertical="center" wrapText="1"/>
    </xf>
    <xf numFmtId="0" fontId="10" fillId="2" borderId="0" xfId="57" applyFont="1" applyFill="1" applyBorder="1" applyAlignment="1">
      <alignment horizontal="center" vertical="center" wrapText="1"/>
    </xf>
    <xf numFmtId="0" fontId="10" fillId="2" borderId="1" xfId="57" applyFont="1" applyFill="1" applyBorder="1" applyAlignment="1">
      <alignment horizontal="center" wrapText="1"/>
    </xf>
    <xf numFmtId="165" fontId="22" fillId="5" borderId="0" xfId="57" applyNumberFormat="1" applyFont="1" applyFill="1" applyAlignment="1">
      <alignment horizontal="left" vertical="top" wrapText="1"/>
    </xf>
    <xf numFmtId="0" fontId="11" fillId="2" borderId="1" xfId="58" applyFont="1" applyFill="1" applyBorder="1" applyAlignment="1">
      <alignment horizontal="center" vertical="center" wrapText="1"/>
    </xf>
    <xf numFmtId="0" fontId="10" fillId="2" borderId="0" xfId="58" applyFont="1" applyFill="1" applyBorder="1" applyAlignment="1">
      <alignment horizontal="left" vertical="center" wrapText="1"/>
    </xf>
    <xf numFmtId="0" fontId="10" fillId="2" borderId="0" xfId="58" applyFont="1" applyFill="1" applyBorder="1" applyAlignment="1">
      <alignment horizontal="center" vertical="center" wrapText="1"/>
    </xf>
    <xf numFmtId="0" fontId="10" fillId="2" borderId="1" xfId="58" applyFont="1" applyFill="1" applyBorder="1" applyAlignment="1">
      <alignment horizontal="center" wrapText="1"/>
    </xf>
    <xf numFmtId="165" fontId="27" fillId="5" borderId="0" xfId="57" applyNumberFormat="1" applyFont="1" applyFill="1" applyAlignment="1">
      <alignment horizontal="left" vertical="top" wrapText="1"/>
    </xf>
    <xf numFmtId="165" fontId="22" fillId="5" borderId="0" xfId="59" applyNumberFormat="1" applyFont="1" applyFill="1" applyAlignment="1">
      <alignment horizontal="left" vertical="top" wrapText="1"/>
    </xf>
    <xf numFmtId="0" fontId="11" fillId="2" borderId="1" xfId="59" applyFont="1" applyFill="1" applyBorder="1" applyAlignment="1">
      <alignment horizontal="center" vertical="center" wrapText="1"/>
    </xf>
    <xf numFmtId="0" fontId="10" fillId="2" borderId="0" xfId="59" applyFont="1" applyFill="1" applyBorder="1" applyAlignment="1">
      <alignment horizontal="left" vertical="center" wrapText="1"/>
    </xf>
    <xf numFmtId="0" fontId="10" fillId="2" borderId="0" xfId="59" applyFont="1" applyFill="1" applyBorder="1" applyAlignment="1">
      <alignment horizontal="center" vertical="center" wrapText="1"/>
    </xf>
    <xf numFmtId="0" fontId="10" fillId="2" borderId="3" xfId="59" applyFont="1" applyFill="1" applyBorder="1" applyAlignment="1">
      <alignment horizontal="center" wrapText="1"/>
    </xf>
    <xf numFmtId="0" fontId="11" fillId="2" borderId="1" xfId="60" applyFont="1" applyFill="1" applyBorder="1" applyAlignment="1">
      <alignment horizontal="center" vertical="center" wrapText="1"/>
    </xf>
    <xf numFmtId="0" fontId="10" fillId="2" borderId="0" xfId="60" applyFont="1" applyFill="1" applyBorder="1" applyAlignment="1">
      <alignment horizontal="left" vertical="center" wrapText="1"/>
    </xf>
    <xf numFmtId="0" fontId="10" fillId="2" borderId="0" xfId="60" applyFont="1" applyFill="1" applyBorder="1" applyAlignment="1">
      <alignment horizontal="center" vertical="center" wrapText="1"/>
    </xf>
    <xf numFmtId="0" fontId="10" fillId="2" borderId="1" xfId="60" applyFont="1" applyFill="1" applyBorder="1" applyAlignment="1">
      <alignment horizontal="center" vertical="center" wrapText="1"/>
    </xf>
    <xf numFmtId="0" fontId="11" fillId="2" borderId="1" xfId="61" applyFont="1" applyFill="1" applyBorder="1" applyAlignment="1">
      <alignment horizontal="center" vertical="center" wrapText="1"/>
    </xf>
    <xf numFmtId="0" fontId="10" fillId="2" borderId="0" xfId="61" applyFont="1" applyFill="1" applyBorder="1" applyAlignment="1">
      <alignment horizontal="left" vertical="center" wrapText="1"/>
    </xf>
    <xf numFmtId="0" fontId="10" fillId="2" borderId="0" xfId="61" applyFont="1" applyFill="1" applyBorder="1" applyAlignment="1">
      <alignment horizontal="center" vertical="center" wrapText="1"/>
    </xf>
    <xf numFmtId="0" fontId="10" fillId="2" borderId="2" xfId="61" applyFont="1" applyFill="1" applyBorder="1" applyAlignment="1">
      <alignment horizontal="center" vertical="center" wrapText="1"/>
    </xf>
    <xf numFmtId="0" fontId="11" fillId="2" borderId="1" xfId="62" applyFont="1" applyFill="1" applyBorder="1" applyAlignment="1">
      <alignment horizontal="center" vertical="center" wrapText="1"/>
    </xf>
    <xf numFmtId="0" fontId="10" fillId="2" borderId="2" xfId="61" applyFont="1" applyFill="1" applyBorder="1" applyAlignment="1">
      <alignment horizontal="left" vertical="center" wrapText="1"/>
    </xf>
    <xf numFmtId="0" fontId="10" fillId="2" borderId="0" xfId="62" applyFont="1" applyFill="1" applyBorder="1" applyAlignment="1">
      <alignment horizontal="center" vertical="center" wrapText="1"/>
    </xf>
    <xf numFmtId="0" fontId="10" fillId="2" borderId="3" xfId="62" applyFont="1" applyFill="1" applyBorder="1" applyAlignment="1">
      <alignment horizontal="center" wrapText="1"/>
    </xf>
    <xf numFmtId="0" fontId="4" fillId="2" borderId="3" xfId="63" applyFont="1" applyFill="1" applyBorder="1" applyAlignment="1">
      <alignment horizontal="center" wrapText="1"/>
    </xf>
    <xf numFmtId="0" fontId="11" fillId="2" borderId="1" xfId="63" applyFont="1" applyFill="1" applyBorder="1" applyAlignment="1">
      <alignment horizontal="center" vertical="center" wrapText="1"/>
    </xf>
    <xf numFmtId="0" fontId="10" fillId="2" borderId="2" xfId="63" applyFont="1" applyFill="1" applyBorder="1" applyAlignment="1">
      <alignment horizontal="center" vertical="center" wrapText="1"/>
    </xf>
    <xf numFmtId="0" fontId="10" fillId="2" borderId="0" xfId="63" applyFont="1" applyFill="1" applyBorder="1" applyAlignment="1">
      <alignment horizontal="center" vertical="center" wrapText="1"/>
    </xf>
    <xf numFmtId="0" fontId="11" fillId="2" borderId="1" xfId="64" applyFont="1" applyFill="1" applyBorder="1" applyAlignment="1">
      <alignment horizontal="center" vertical="center" wrapText="1"/>
    </xf>
    <xf numFmtId="0" fontId="10" fillId="2" borderId="0" xfId="64" applyFont="1" applyFill="1" applyBorder="1" applyAlignment="1">
      <alignment horizontal="left" vertical="center" wrapText="1"/>
    </xf>
    <xf numFmtId="0" fontId="10" fillId="2" borderId="0" xfId="64" applyFont="1" applyFill="1" applyBorder="1" applyAlignment="1">
      <alignment horizontal="center" vertical="center" wrapText="1"/>
    </xf>
    <xf numFmtId="0" fontId="10" fillId="2" borderId="1" xfId="64" applyFont="1" applyFill="1" applyBorder="1" applyAlignment="1">
      <alignment horizontal="center" vertical="center" wrapText="1"/>
    </xf>
    <xf numFmtId="0" fontId="11" fillId="2" borderId="1" xfId="65" applyFont="1" applyFill="1" applyBorder="1" applyAlignment="1">
      <alignment horizontal="center" vertical="center" wrapText="1"/>
    </xf>
    <xf numFmtId="0" fontId="10" fillId="2" borderId="0" xfId="65" applyFont="1" applyFill="1" applyBorder="1" applyAlignment="1">
      <alignment horizontal="left" vertical="center" wrapText="1"/>
    </xf>
    <xf numFmtId="0" fontId="10" fillId="2" borderId="0" xfId="65" applyFont="1" applyFill="1" applyBorder="1" applyAlignment="1">
      <alignment horizontal="center" vertical="center" wrapText="1"/>
    </xf>
    <xf numFmtId="0" fontId="10" fillId="2" borderId="3" xfId="65" applyFont="1" applyFill="1" applyBorder="1" applyAlignment="1">
      <alignment horizontal="center" wrapText="1"/>
    </xf>
    <xf numFmtId="0" fontId="11" fillId="2" borderId="8" xfId="66" applyFont="1" applyFill="1" applyBorder="1" applyAlignment="1">
      <alignment horizontal="center" vertical="center" wrapText="1"/>
    </xf>
    <xf numFmtId="0" fontId="10" fillId="2" borderId="0" xfId="66" applyFont="1" applyFill="1" applyBorder="1" applyAlignment="1">
      <alignment horizontal="left" vertical="center" wrapText="1"/>
    </xf>
    <xf numFmtId="0" fontId="10" fillId="2" borderId="0" xfId="66" applyFont="1" applyFill="1" applyBorder="1" applyAlignment="1">
      <alignment horizontal="center" wrapText="1"/>
    </xf>
    <xf numFmtId="0" fontId="10" fillId="2" borderId="1" xfId="66" applyFont="1" applyFill="1" applyBorder="1" applyAlignment="1">
      <alignment horizontal="center" vertical="center" wrapText="1"/>
    </xf>
    <xf numFmtId="0" fontId="11" fillId="2" borderId="1" xfId="67" applyFont="1" applyFill="1" applyBorder="1" applyAlignment="1">
      <alignment horizontal="center" vertical="center" wrapText="1"/>
    </xf>
    <xf numFmtId="0" fontId="10" fillId="2" borderId="0" xfId="67" applyFont="1" applyFill="1" applyBorder="1" applyAlignment="1">
      <alignment vertical="center" wrapText="1"/>
    </xf>
    <xf numFmtId="0" fontId="10" fillId="2" borderId="0" xfId="67" applyFont="1" applyFill="1" applyBorder="1" applyAlignment="1">
      <alignment horizontal="center" vertical="center" wrapText="1"/>
    </xf>
    <xf numFmtId="0" fontId="10" fillId="2" borderId="3" xfId="67" applyFont="1" applyFill="1" applyBorder="1" applyAlignment="1">
      <alignment horizontal="center" wrapText="1"/>
    </xf>
    <xf numFmtId="0" fontId="11" fillId="2" borderId="0" xfId="68" applyFont="1" applyFill="1" applyBorder="1" applyAlignment="1">
      <alignment horizontal="center" vertical="center" wrapText="1"/>
    </xf>
    <xf numFmtId="0" fontId="10" fillId="2" borderId="2" xfId="68" applyFont="1" applyFill="1" applyBorder="1" applyAlignment="1">
      <alignment horizontal="left" vertical="center" wrapText="1"/>
    </xf>
    <xf numFmtId="0" fontId="10" fillId="2" borderId="1" xfId="68" applyFont="1" applyFill="1" applyBorder="1" applyAlignment="1">
      <alignment horizontal="left" vertical="center" wrapText="1"/>
    </xf>
    <xf numFmtId="0" fontId="10" fillId="2" borderId="2" xfId="68" applyFont="1" applyFill="1" applyBorder="1" applyAlignment="1">
      <alignment horizontal="center" vertical="center" wrapText="1"/>
    </xf>
    <xf numFmtId="0" fontId="10" fillId="2" borderId="1" xfId="68" applyFont="1" applyFill="1" applyBorder="1" applyAlignment="1">
      <alignment horizontal="center" vertical="center" wrapText="1"/>
    </xf>
    <xf numFmtId="0" fontId="4" fillId="2" borderId="3" xfId="79" applyFont="1" applyFill="1" applyBorder="1" applyAlignment="1">
      <alignment horizontal="center" wrapText="1"/>
    </xf>
    <xf numFmtId="0" fontId="11" fillId="2" borderId="0" xfId="69" applyFont="1" applyFill="1" applyBorder="1" applyAlignment="1">
      <alignment horizontal="center" vertical="center" wrapText="1"/>
    </xf>
    <xf numFmtId="0" fontId="10" fillId="2" borderId="9" xfId="69" applyFont="1" applyFill="1" applyBorder="1" applyAlignment="1">
      <alignment horizontal="left" vertical="center" wrapText="1"/>
    </xf>
    <xf numFmtId="0" fontId="10" fillId="2" borderId="9" xfId="69" applyFont="1" applyFill="1" applyBorder="1" applyAlignment="1">
      <alignment horizontal="center" vertical="center" wrapText="1"/>
    </xf>
    <xf numFmtId="0" fontId="10" fillId="2" borderId="9" xfId="69" applyFont="1" applyFill="1" applyBorder="1" applyAlignment="1">
      <alignment horizontal="center" wrapText="1"/>
    </xf>
    <xf numFmtId="0" fontId="26" fillId="2" borderId="1" xfId="70" applyFont="1" applyFill="1" applyBorder="1" applyAlignment="1">
      <alignment horizontal="center" vertical="center" wrapText="1"/>
    </xf>
    <xf numFmtId="0" fontId="17" fillId="2" borderId="2" xfId="70" applyFont="1" applyFill="1" applyBorder="1" applyAlignment="1">
      <alignment horizontal="center" vertical="center" wrapText="1"/>
    </xf>
    <xf numFmtId="0" fontId="17" fillId="2" borderId="1" xfId="70" applyFont="1" applyFill="1" applyBorder="1" applyAlignment="1">
      <alignment horizontal="center" vertical="center" wrapText="1"/>
    </xf>
    <xf numFmtId="0" fontId="17" fillId="2" borderId="2" xfId="70" applyFont="1" applyFill="1" applyBorder="1" applyAlignment="1">
      <alignment horizontal="center" wrapText="1"/>
    </xf>
    <xf numFmtId="0" fontId="26" fillId="2" borderId="1" xfId="71" applyFont="1" applyFill="1" applyBorder="1" applyAlignment="1">
      <alignment horizontal="center" vertical="center" wrapText="1"/>
    </xf>
    <xf numFmtId="0" fontId="17" fillId="2" borderId="2" xfId="71" applyFont="1" applyFill="1" applyBorder="1" applyAlignment="1">
      <alignment horizontal="center" vertical="center" wrapText="1"/>
    </xf>
    <xf numFmtId="0" fontId="17" fillId="2" borderId="1" xfId="71" applyFont="1" applyFill="1" applyBorder="1" applyAlignment="1">
      <alignment horizontal="center" vertical="center" wrapText="1"/>
    </xf>
    <xf numFmtId="0" fontId="17" fillId="2" borderId="2" xfId="71" applyFont="1" applyFill="1" applyBorder="1" applyAlignment="1">
      <alignment horizontal="center" wrapText="1"/>
    </xf>
    <xf numFmtId="3" fontId="42" fillId="10" borderId="0" xfId="0" applyNumberFormat="1" applyFont="1" applyFill="1" applyAlignment="1">
      <alignment vertical="top" wrapText="1"/>
    </xf>
    <xf numFmtId="0" fontId="22" fillId="5" borderId="0" xfId="70" applyFont="1" applyFill="1" applyBorder="1" applyAlignment="1">
      <alignment horizontal="left" vertical="top" wrapText="1"/>
    </xf>
    <xf numFmtId="0" fontId="22" fillId="5" borderId="0" xfId="70" applyFont="1" applyFill="1" applyBorder="1" applyAlignment="1">
      <alignment vertical="top" wrapText="1"/>
    </xf>
    <xf numFmtId="0" fontId="11" fillId="2" borderId="1" xfId="72" applyFont="1" applyFill="1" applyBorder="1" applyAlignment="1">
      <alignment horizontal="center" vertical="center" wrapText="1"/>
    </xf>
    <xf numFmtId="0" fontId="10" fillId="2" borderId="2" xfId="72" applyFont="1" applyFill="1" applyBorder="1" applyAlignment="1">
      <alignment horizontal="center" vertical="center" wrapText="1"/>
    </xf>
    <xf numFmtId="0" fontId="10" fillId="2" borderId="2" xfId="72" applyFont="1" applyFill="1" applyBorder="1" applyAlignment="1">
      <alignment horizontal="center" wrapText="1"/>
    </xf>
    <xf numFmtId="0" fontId="10" fillId="2" borderId="1" xfId="72" applyFont="1" applyFill="1" applyBorder="1" applyAlignment="1">
      <alignment horizontal="center" vertical="center" wrapText="1"/>
    </xf>
    <xf numFmtId="0" fontId="10" fillId="2" borderId="3" xfId="72" applyFont="1" applyFill="1" applyBorder="1" applyAlignment="1">
      <alignment horizontal="center" wrapText="1"/>
    </xf>
    <xf numFmtId="0" fontId="22" fillId="5" borderId="0" xfId="72" applyFont="1" applyFill="1" applyBorder="1" applyAlignment="1">
      <alignment horizontal="left" vertical="top" wrapText="1"/>
    </xf>
    <xf numFmtId="3" fontId="22" fillId="5" borderId="0" xfId="72" applyNumberFormat="1" applyFont="1" applyFill="1" applyBorder="1" applyAlignment="1">
      <alignment horizontal="right" vertical="center"/>
    </xf>
    <xf numFmtId="0" fontId="22" fillId="2" borderId="0" xfId="72" applyFont="1" applyFill="1" applyBorder="1" applyAlignment="1">
      <alignment horizontal="left" vertical="top" wrapText="1"/>
    </xf>
    <xf numFmtId="3" fontId="22" fillId="2" borderId="0" xfId="72" applyNumberFormat="1" applyFont="1" applyFill="1" applyBorder="1" applyAlignment="1">
      <alignment horizontal="right" vertical="center"/>
    </xf>
    <xf numFmtId="0" fontId="10" fillId="2" borderId="0" xfId="72" applyFont="1" applyFill="1" applyBorder="1" applyAlignment="1">
      <alignment horizontal="left" vertical="top" wrapText="1" indent="1"/>
    </xf>
    <xf numFmtId="3" fontId="10" fillId="2" borderId="0" xfId="72" applyNumberFormat="1" applyFont="1" applyFill="1" applyBorder="1" applyAlignment="1">
      <alignment horizontal="right" vertical="center"/>
    </xf>
    <xf numFmtId="0" fontId="11" fillId="2" borderId="0" xfId="72" applyFont="1" applyFill="1" applyBorder="1" applyAlignment="1">
      <alignment horizontal="left" vertical="top" wrapText="1"/>
    </xf>
    <xf numFmtId="3" fontId="11" fillId="2" borderId="0" xfId="72" applyNumberFormat="1" applyFont="1" applyFill="1" applyBorder="1" applyAlignment="1">
      <alignment horizontal="right" vertical="center"/>
    </xf>
    <xf numFmtId="0" fontId="10" fillId="2" borderId="1" xfId="72" applyFont="1" applyFill="1" applyBorder="1" applyAlignment="1">
      <alignment horizontal="left" vertical="top" wrapText="1" indent="1"/>
    </xf>
    <xf numFmtId="3" fontId="10" fillId="2" borderId="1" xfId="72" applyNumberFormat="1" applyFont="1" applyFill="1" applyBorder="1" applyAlignment="1">
      <alignment horizontal="right" vertical="center"/>
    </xf>
    <xf numFmtId="0" fontId="11" fillId="2" borderId="1" xfId="73" applyFont="1" applyFill="1" applyBorder="1" applyAlignment="1">
      <alignment horizontal="center" vertical="center" wrapText="1"/>
    </xf>
    <xf numFmtId="0" fontId="10" fillId="2" borderId="2" xfId="73" applyFont="1" applyFill="1" applyBorder="1" applyAlignment="1">
      <alignment horizontal="center" vertical="center" wrapText="1"/>
    </xf>
    <xf numFmtId="0" fontId="10" fillId="2" borderId="2" xfId="73" applyFont="1" applyFill="1" applyBorder="1" applyAlignment="1">
      <alignment horizontal="center" wrapText="1"/>
    </xf>
    <xf numFmtId="0" fontId="10" fillId="2" borderId="1" xfId="73" applyFont="1" applyFill="1" applyBorder="1" applyAlignment="1">
      <alignment horizontal="center" vertical="center" wrapText="1"/>
    </xf>
    <xf numFmtId="0" fontId="10" fillId="2" borderId="3" xfId="73" applyFont="1" applyFill="1" applyBorder="1" applyAlignment="1">
      <alignment horizontal="center" vertical="center" wrapText="1"/>
    </xf>
    <xf numFmtId="0" fontId="22" fillId="5" borderId="0" xfId="73" applyFont="1" applyFill="1" applyBorder="1" applyAlignment="1">
      <alignment horizontal="left" vertical="top" wrapText="1"/>
    </xf>
    <xf numFmtId="3" fontId="22" fillId="5" borderId="0" xfId="73" applyNumberFormat="1" applyFont="1" applyFill="1" applyBorder="1" applyAlignment="1">
      <alignment horizontal="right" vertical="center"/>
    </xf>
    <xf numFmtId="0" fontId="10" fillId="2" borderId="0" xfId="73" applyFont="1" applyFill="1" applyBorder="1" applyAlignment="1">
      <alignment horizontal="left" vertical="top" wrapText="1"/>
    </xf>
    <xf numFmtId="3" fontId="10" fillId="2" borderId="0" xfId="73" applyNumberFormat="1" applyFont="1" applyFill="1" applyBorder="1" applyAlignment="1">
      <alignment horizontal="right" vertical="center"/>
    </xf>
    <xf numFmtId="3" fontId="23" fillId="5" borderId="0" xfId="73" applyNumberFormat="1" applyFont="1" applyFill="1" applyBorder="1" applyAlignment="1">
      <alignment horizontal="right" vertical="center"/>
    </xf>
    <xf numFmtId="0" fontId="10" fillId="2" borderId="0" xfId="73" applyFont="1" applyFill="1" applyBorder="1" applyAlignment="1">
      <alignment horizontal="left" vertical="top" wrapText="1" indent="1"/>
    </xf>
    <xf numFmtId="0" fontId="11" fillId="2" borderId="0" xfId="73" applyFont="1" applyFill="1" applyBorder="1" applyAlignment="1">
      <alignment horizontal="left" vertical="top" wrapText="1"/>
    </xf>
    <xf numFmtId="3" fontId="11" fillId="2" borderId="0" xfId="73" applyNumberFormat="1" applyFont="1" applyFill="1" applyBorder="1" applyAlignment="1">
      <alignment horizontal="right" vertical="center"/>
    </xf>
    <xf numFmtId="0" fontId="10" fillId="2" borderId="1" xfId="73" applyFont="1" applyFill="1" applyBorder="1" applyAlignment="1">
      <alignment horizontal="left" vertical="top" wrapText="1" indent="1"/>
    </xf>
    <xf numFmtId="3" fontId="10" fillId="2" borderId="1" xfId="73" applyNumberFormat="1" applyFont="1" applyFill="1" applyBorder="1" applyAlignment="1">
      <alignment horizontal="right" vertical="center"/>
    </xf>
    <xf numFmtId="0" fontId="11" fillId="2" borderId="1" xfId="74" applyFont="1" applyFill="1" applyBorder="1" applyAlignment="1">
      <alignment horizontal="center" vertical="center" wrapText="1"/>
    </xf>
    <xf numFmtId="0" fontId="10" fillId="2" borderId="2" xfId="74" applyFont="1" applyFill="1" applyBorder="1" applyAlignment="1">
      <alignment horizontal="center" vertical="center" wrapText="1"/>
    </xf>
    <xf numFmtId="0" fontId="10" fillId="2" borderId="2" xfId="74" applyFont="1" applyFill="1" applyBorder="1" applyAlignment="1">
      <alignment horizontal="center" wrapText="1"/>
    </xf>
    <xf numFmtId="0" fontId="10" fillId="2" borderId="1" xfId="74" applyFont="1" applyFill="1" applyBorder="1" applyAlignment="1">
      <alignment horizontal="center" vertical="center" wrapText="1"/>
    </xf>
    <xf numFmtId="0" fontId="10" fillId="2" borderId="1" xfId="74" applyFont="1" applyFill="1" applyBorder="1" applyAlignment="1">
      <alignment horizontal="center" wrapText="1"/>
    </xf>
    <xf numFmtId="0" fontId="10" fillId="2" borderId="3" xfId="74" applyFont="1" applyFill="1" applyBorder="1" applyAlignment="1">
      <alignment horizontal="center" vertical="center" wrapText="1"/>
    </xf>
    <xf numFmtId="0" fontId="22" fillId="5" borderId="0" xfId="74" applyFont="1" applyFill="1" applyBorder="1" applyAlignment="1">
      <alignment vertical="top" wrapText="1"/>
    </xf>
    <xf numFmtId="3" fontId="22" fillId="5" borderId="0" xfId="74" applyNumberFormat="1" applyFont="1" applyFill="1" applyBorder="1" applyAlignment="1">
      <alignment horizontal="right" vertical="center"/>
    </xf>
    <xf numFmtId="0" fontId="23" fillId="2" borderId="0" xfId="74" applyFont="1" applyFill="1" applyBorder="1" applyAlignment="1">
      <alignment vertical="top" wrapText="1"/>
    </xf>
    <xf numFmtId="3" fontId="23" fillId="2" borderId="0" xfId="74" applyNumberFormat="1" applyFont="1" applyFill="1" applyBorder="1" applyAlignment="1">
      <alignment horizontal="right" vertical="center"/>
    </xf>
    <xf numFmtId="0" fontId="10" fillId="2" borderId="0" xfId="74" applyFont="1" applyFill="1" applyBorder="1" applyAlignment="1">
      <alignment horizontal="left" vertical="top" wrapText="1" indent="1"/>
    </xf>
    <xf numFmtId="3" fontId="10" fillId="2" borderId="0" xfId="74" applyNumberFormat="1" applyFont="1" applyFill="1" applyBorder="1" applyAlignment="1">
      <alignment horizontal="right" vertical="center"/>
    </xf>
    <xf numFmtId="0" fontId="22" fillId="5" borderId="0" xfId="74" applyFont="1" applyFill="1" applyBorder="1" applyAlignment="1">
      <alignment horizontal="left" vertical="top" wrapText="1"/>
    </xf>
    <xf numFmtId="0" fontId="11" fillId="2" borderId="0" xfId="74" applyFont="1" applyFill="1" applyBorder="1" applyAlignment="1">
      <alignment horizontal="left" vertical="top" wrapText="1"/>
    </xf>
    <xf numFmtId="3" fontId="11" fillId="2" borderId="0" xfId="74" applyNumberFormat="1" applyFont="1" applyFill="1" applyBorder="1" applyAlignment="1">
      <alignment horizontal="right" vertical="center"/>
    </xf>
    <xf numFmtId="0" fontId="10" fillId="2" borderId="1" xfId="74" applyFont="1" applyFill="1" applyBorder="1" applyAlignment="1">
      <alignment horizontal="left" vertical="top" wrapText="1" indent="1"/>
    </xf>
    <xf numFmtId="3" fontId="10" fillId="2" borderId="1" xfId="74" applyNumberFormat="1" applyFont="1" applyFill="1" applyBorder="1" applyAlignment="1">
      <alignment horizontal="right" vertical="center"/>
    </xf>
    <xf numFmtId="0" fontId="11" fillId="2" borderId="1" xfId="75" applyFont="1" applyFill="1" applyBorder="1" applyAlignment="1">
      <alignment horizontal="center" vertical="center" wrapText="1"/>
    </xf>
    <xf numFmtId="0" fontId="10" fillId="2" borderId="2" xfId="75" applyFont="1" applyFill="1" applyBorder="1" applyAlignment="1">
      <alignment horizontal="left" vertical="center" wrapText="1"/>
    </xf>
    <xf numFmtId="0" fontId="10" fillId="2" borderId="2" xfId="75" applyFont="1" applyFill="1" applyBorder="1" applyAlignment="1">
      <alignment horizontal="center" vertical="center" wrapText="1"/>
    </xf>
    <xf numFmtId="0" fontId="10" fillId="2" borderId="2" xfId="75" applyFont="1" applyFill="1" applyBorder="1" applyAlignment="1">
      <alignment horizontal="center" wrapText="1"/>
    </xf>
    <xf numFmtId="0" fontId="10" fillId="2" borderId="1" xfId="75" applyFont="1" applyFill="1" applyBorder="1" applyAlignment="1">
      <alignment horizontal="left" vertical="center" wrapText="1"/>
    </xf>
    <xf numFmtId="0" fontId="10" fillId="2" borderId="1" xfId="75" applyFont="1" applyFill="1" applyBorder="1" applyAlignment="1">
      <alignment horizontal="center" vertical="center" wrapText="1"/>
    </xf>
    <xf numFmtId="0" fontId="10" fillId="2" borderId="3" xfId="75" applyFont="1" applyFill="1" applyBorder="1" applyAlignment="1">
      <alignment horizontal="center" vertical="center" wrapText="1"/>
    </xf>
    <xf numFmtId="0" fontId="22" fillId="5" borderId="0" xfId="75" applyFont="1" applyFill="1" applyBorder="1" applyAlignment="1">
      <alignment vertical="top" wrapText="1"/>
    </xf>
    <xf numFmtId="3" fontId="22" fillId="5" borderId="0" xfId="75" applyNumberFormat="1" applyFont="1" applyFill="1" applyBorder="1" applyAlignment="1">
      <alignment horizontal="right" vertical="center"/>
    </xf>
    <xf numFmtId="0" fontId="22" fillId="2" borderId="0" xfId="75" applyFont="1" applyFill="1" applyBorder="1" applyAlignment="1">
      <alignment vertical="top" wrapText="1"/>
    </xf>
    <xf numFmtId="3" fontId="22" fillId="2" borderId="0" xfId="75" applyNumberFormat="1" applyFont="1" applyFill="1" applyBorder="1" applyAlignment="1">
      <alignment horizontal="right" vertical="center"/>
    </xf>
    <xf numFmtId="0" fontId="10" fillId="2" borderId="0" xfId="75" applyFont="1" applyFill="1" applyBorder="1" applyAlignment="1">
      <alignment horizontal="left" vertical="top" wrapText="1" indent="1"/>
    </xf>
    <xf numFmtId="3" fontId="10" fillId="2" borderId="0" xfId="75" applyNumberFormat="1" applyFont="1" applyFill="1" applyBorder="1" applyAlignment="1">
      <alignment horizontal="right" vertical="center"/>
    </xf>
    <xf numFmtId="0" fontId="22" fillId="5" borderId="0" xfId="75" applyFont="1" applyFill="1" applyBorder="1" applyAlignment="1">
      <alignment horizontal="left" vertical="top" wrapText="1"/>
    </xf>
    <xf numFmtId="0" fontId="11" fillId="2" borderId="0" xfId="75" applyFont="1" applyFill="1" applyBorder="1" applyAlignment="1">
      <alignment horizontal="left" vertical="top" wrapText="1"/>
    </xf>
    <xf numFmtId="3" fontId="11" fillId="2" borderId="0" xfId="75" applyNumberFormat="1" applyFont="1" applyFill="1" applyBorder="1" applyAlignment="1">
      <alignment horizontal="right" vertical="center"/>
    </xf>
    <xf numFmtId="0" fontId="10" fillId="2" borderId="1" xfId="75" applyFont="1" applyFill="1" applyBorder="1" applyAlignment="1">
      <alignment horizontal="left" vertical="top" wrapText="1" indent="1"/>
    </xf>
    <xf numFmtId="3" fontId="10" fillId="2" borderId="1" xfId="75" applyNumberFormat="1" applyFont="1" applyFill="1" applyBorder="1" applyAlignment="1">
      <alignment horizontal="right" vertical="center"/>
    </xf>
    <xf numFmtId="0" fontId="11" fillId="2" borderId="0" xfId="73" applyFont="1" applyFill="1" applyBorder="1" applyAlignment="1">
      <alignment horizontal="center" vertical="center" wrapText="1"/>
    </xf>
    <xf numFmtId="0" fontId="10" fillId="2" borderId="2" xfId="73" applyFont="1" applyFill="1" applyBorder="1" applyAlignment="1">
      <alignment horizontal="center" wrapText="1"/>
    </xf>
    <xf numFmtId="0" fontId="10" fillId="2" borderId="1" xfId="73" applyFont="1" applyFill="1" applyBorder="1" applyAlignment="1">
      <alignment horizontal="center" vertical="center" wrapText="1"/>
    </xf>
    <xf numFmtId="0" fontId="23" fillId="5" borderId="0" xfId="73" applyFont="1" applyFill="1" applyBorder="1" applyAlignment="1">
      <alignment vertical="top" wrapText="1"/>
    </xf>
    <xf numFmtId="170" fontId="23" fillId="5" borderId="0" xfId="73" applyNumberFormat="1" applyFont="1" applyFill="1" applyBorder="1" applyAlignment="1">
      <alignment horizontal="right" vertical="center"/>
    </xf>
    <xf numFmtId="170" fontId="23" fillId="5" borderId="0" xfId="73" applyNumberFormat="1" applyFont="1" applyFill="1" applyBorder="1" applyAlignment="1">
      <alignment horizontal="center" vertical="center"/>
    </xf>
    <xf numFmtId="0" fontId="23" fillId="2" borderId="0" xfId="73" applyFont="1" applyFill="1" applyBorder="1" applyAlignment="1">
      <alignment vertical="top" wrapText="1"/>
    </xf>
    <xf numFmtId="174" fontId="23" fillId="2" borderId="0" xfId="14" applyNumberFormat="1" applyFont="1" applyFill="1" applyBorder="1" applyAlignment="1">
      <alignment horizontal="right" vertical="center"/>
    </xf>
    <xf numFmtId="170" fontId="23" fillId="2" borderId="0" xfId="73" applyNumberFormat="1" applyFont="1" applyFill="1" applyBorder="1" applyAlignment="1">
      <alignment horizontal="right" vertical="center"/>
    </xf>
    <xf numFmtId="170" fontId="23" fillId="2" borderId="0" xfId="73" applyNumberFormat="1" applyFont="1" applyFill="1" applyBorder="1" applyAlignment="1">
      <alignment horizontal="center" vertical="center"/>
    </xf>
    <xf numFmtId="0" fontId="22" fillId="5" borderId="0" xfId="73" applyFont="1" applyFill="1" applyBorder="1" applyAlignment="1">
      <alignment vertical="top" wrapText="1"/>
    </xf>
    <xf numFmtId="174" fontId="12" fillId="5" borderId="0" xfId="14" applyNumberFormat="1" applyFont="1" applyFill="1" applyBorder="1" applyAlignment="1">
      <alignment horizontal="right" vertical="center"/>
    </xf>
    <xf numFmtId="170" fontId="12" fillId="5" borderId="0" xfId="73" applyNumberFormat="1" applyFont="1" applyFill="1" applyBorder="1" applyAlignment="1">
      <alignment horizontal="right" vertical="center"/>
    </xf>
    <xf numFmtId="170" fontId="12" fillId="5" borderId="0" xfId="73" applyNumberFormat="1" applyFont="1" applyFill="1" applyBorder="1" applyAlignment="1">
      <alignment horizontal="center" vertical="center"/>
    </xf>
    <xf numFmtId="170" fontId="10" fillId="2" borderId="0" xfId="73" applyNumberFormat="1" applyFont="1" applyFill="1" applyBorder="1" applyAlignment="1">
      <alignment horizontal="right" vertical="center"/>
    </xf>
    <xf numFmtId="170" fontId="10" fillId="2" borderId="0" xfId="73" applyNumberFormat="1" applyFont="1" applyFill="1" applyBorder="1" applyAlignment="1">
      <alignment horizontal="center" vertical="center"/>
    </xf>
    <xf numFmtId="174" fontId="22" fillId="5" borderId="0" xfId="14" applyNumberFormat="1" applyFont="1" applyFill="1" applyBorder="1" applyAlignment="1">
      <alignment horizontal="right" vertical="center"/>
    </xf>
    <xf numFmtId="170" fontId="22" fillId="5" borderId="0" xfId="73" applyNumberFormat="1" applyFont="1" applyFill="1" applyBorder="1" applyAlignment="1">
      <alignment horizontal="right" vertical="center"/>
    </xf>
    <xf numFmtId="170" fontId="22" fillId="5" borderId="0" xfId="73" applyNumberFormat="1" applyFont="1" applyFill="1" applyBorder="1" applyAlignment="1">
      <alignment horizontal="center" vertical="center"/>
    </xf>
    <xf numFmtId="176" fontId="10" fillId="2" borderId="0" xfId="73" applyNumberFormat="1" applyFont="1" applyFill="1" applyBorder="1" applyAlignment="1">
      <alignment horizontal="center" vertical="center"/>
    </xf>
    <xf numFmtId="170" fontId="10" fillId="2" borderId="1" xfId="73" applyNumberFormat="1" applyFont="1" applyFill="1" applyBorder="1" applyAlignment="1">
      <alignment horizontal="right" vertical="center"/>
    </xf>
    <xf numFmtId="170" fontId="10" fillId="2" borderId="1" xfId="73" applyNumberFormat="1" applyFont="1" applyFill="1" applyBorder="1" applyAlignment="1">
      <alignment horizontal="center" vertical="center"/>
    </xf>
  </cellXfs>
  <cellStyles count="80">
    <cellStyle name="Comma" xfId="14" builtinId="3"/>
    <cellStyle name="Normal" xfId="0" builtinId="0"/>
    <cellStyle name="Normal 14" xfId="2" xr:uid="{00000000-0005-0000-0000-000001000000}"/>
    <cellStyle name="Normal 2 4" xfId="13" xr:uid="{00000000-0005-0000-0000-000002000000}"/>
    <cellStyle name="Normal_Folha1 2" xfId="3" xr:uid="{00000000-0005-0000-0000-000003000000}"/>
    <cellStyle name="Normal_Folha10" xfId="45" xr:uid="{00000000-0005-0000-0000-000004000000}"/>
    <cellStyle name="Normal_Folha11" xfId="46" xr:uid="{00000000-0005-0000-0000-000005000000}"/>
    <cellStyle name="Normal_Folha12" xfId="47" xr:uid="{00000000-0005-0000-0000-000006000000}"/>
    <cellStyle name="Normal_Folha13" xfId="48" xr:uid="{00000000-0005-0000-0000-000007000000}"/>
    <cellStyle name="Normal_Folha14" xfId="49" xr:uid="{00000000-0005-0000-0000-000008000000}"/>
    <cellStyle name="Normal_Folha15" xfId="50" xr:uid="{00000000-0005-0000-0000-000009000000}"/>
    <cellStyle name="Normal_Folha2 2" xfId="6" xr:uid="{00000000-0005-0000-0000-00000A000000}"/>
    <cellStyle name="Normal_Folha2_1" xfId="72" xr:uid="{00000000-0005-0000-0000-00000B000000}"/>
    <cellStyle name="Normal_Folha3" xfId="36" xr:uid="{00000000-0005-0000-0000-00000C000000}"/>
    <cellStyle name="Normal_Folha4" xfId="37" xr:uid="{00000000-0005-0000-0000-00000D000000}"/>
    <cellStyle name="Normal_Folha5" xfId="38" xr:uid="{00000000-0005-0000-0000-00000E000000}"/>
    <cellStyle name="Normal_Folha6" xfId="39" xr:uid="{00000000-0005-0000-0000-00000F000000}"/>
    <cellStyle name="Normal_Folha7" xfId="42" xr:uid="{00000000-0005-0000-0000-000010000000}"/>
    <cellStyle name="Normal_Folha8" xfId="43" xr:uid="{00000000-0005-0000-0000-000011000000}"/>
    <cellStyle name="Normal_Folha9" xfId="44" xr:uid="{00000000-0005-0000-0000-000012000000}"/>
    <cellStyle name="Normal_gp_idade2" xfId="7" xr:uid="{00000000-0005-0000-0000-000013000000}"/>
    <cellStyle name="Normal_Q 6.1" xfId="31" xr:uid="{00000000-0005-0000-0000-000014000000}"/>
    <cellStyle name="Normal_Q 6.1_1" xfId="30" xr:uid="{00000000-0005-0000-0000-000015000000}"/>
    <cellStyle name="Normal_Q 6.2" xfId="33" xr:uid="{00000000-0005-0000-0000-000016000000}"/>
    <cellStyle name="Normal_Q 6.2_2" xfId="32" xr:uid="{00000000-0005-0000-0000-000017000000}"/>
    <cellStyle name="Normal_Q1" xfId="1" xr:uid="{00000000-0005-0000-0000-000018000000}"/>
    <cellStyle name="Normal_Q1.7" xfId="8" xr:uid="{00000000-0005-0000-0000-000019000000}"/>
    <cellStyle name="Normal_Q1.9" xfId="10" xr:uid="{00000000-0005-0000-0000-00001A000000}"/>
    <cellStyle name="Normal_Q2.1" xfId="15" xr:uid="{00000000-0005-0000-0000-00001B000000}"/>
    <cellStyle name="Normal_Q2.1_1" xfId="16" xr:uid="{00000000-0005-0000-0000-00001C000000}"/>
    <cellStyle name="Normal_Q3.1" xfId="17" xr:uid="{00000000-0005-0000-0000-00001D000000}"/>
    <cellStyle name="Normal_Q3.1_2" xfId="18" xr:uid="{00000000-0005-0000-0000-00001E000000}"/>
    <cellStyle name="Normal_Q3.2" xfId="19" xr:uid="{00000000-0005-0000-0000-00001F000000}"/>
    <cellStyle name="Normal_Q3.2_2" xfId="20" xr:uid="{00000000-0005-0000-0000-000020000000}"/>
    <cellStyle name="Normal_Q3.3" xfId="21" xr:uid="{00000000-0005-0000-0000-000021000000}"/>
    <cellStyle name="Normal_Q3.3_2" xfId="22" xr:uid="{00000000-0005-0000-0000-000022000000}"/>
    <cellStyle name="Normal_Q3.4" xfId="23" xr:uid="{00000000-0005-0000-0000-000023000000}"/>
    <cellStyle name="Normal_Q3.4_2" xfId="24" xr:uid="{00000000-0005-0000-0000-000024000000}"/>
    <cellStyle name="Normal_Q5.1" xfId="26" xr:uid="{00000000-0005-0000-0000-000025000000}"/>
    <cellStyle name="Normal_Q5.1_1" xfId="25" xr:uid="{00000000-0005-0000-0000-000026000000}"/>
    <cellStyle name="Normal_Q5.1_2" xfId="27" xr:uid="{00000000-0005-0000-0000-000027000000}"/>
    <cellStyle name="Normal_Q5.2" xfId="29" xr:uid="{00000000-0005-0000-0000-000028000000}"/>
    <cellStyle name="Normal_Q5.2.2" xfId="76" xr:uid="{BC2341AE-B503-4083-B632-FDF5E1D7ADFB}"/>
    <cellStyle name="Normal_Q8.12" xfId="77" xr:uid="{6ADE57C6-6670-4F16-B1F4-2D7B06539ED9}"/>
    <cellStyle name="Normal_Q8.14" xfId="78" xr:uid="{D06F8EED-CFFE-41D4-8244-20427467EFFF}"/>
    <cellStyle name="Normal_Q9.1" xfId="51" xr:uid="{00000000-0005-0000-0000-00002B000000}"/>
    <cellStyle name="Normal_Q9.10" xfId="59" xr:uid="{00000000-0005-0000-0000-00002C000000}"/>
    <cellStyle name="Normal_Q9.11" xfId="60" xr:uid="{00000000-0005-0000-0000-00002D000000}"/>
    <cellStyle name="Normal_Q9.12" xfId="61" xr:uid="{00000000-0005-0000-0000-00002E000000}"/>
    <cellStyle name="Normal_Q9.13" xfId="62" xr:uid="{00000000-0005-0000-0000-00002F000000}"/>
    <cellStyle name="Normal_Q9.14" xfId="63" xr:uid="{00000000-0005-0000-0000-000030000000}"/>
    <cellStyle name="Normal_Q9.15" xfId="64" xr:uid="{00000000-0005-0000-0000-000031000000}"/>
    <cellStyle name="Normal_Q9.16" xfId="65" xr:uid="{00000000-0005-0000-0000-000032000000}"/>
    <cellStyle name="Normal_Q9.17" xfId="66" xr:uid="{00000000-0005-0000-0000-000033000000}"/>
    <cellStyle name="Normal_Q9.18" xfId="67" xr:uid="{00000000-0005-0000-0000-000034000000}"/>
    <cellStyle name="Normal_Q9.19" xfId="68" xr:uid="{00000000-0005-0000-0000-000035000000}"/>
    <cellStyle name="Normal_Q9.2" xfId="52" xr:uid="{00000000-0005-0000-0000-000036000000}"/>
    <cellStyle name="Normal_Q9.20" xfId="69" xr:uid="{00000000-0005-0000-0000-000037000000}"/>
    <cellStyle name="Normal_Q9.3" xfId="34" xr:uid="{00000000-0005-0000-0000-000038000000}"/>
    <cellStyle name="Normal_Q9.4" xfId="53" xr:uid="{00000000-0005-0000-0000-000039000000}"/>
    <cellStyle name="Normal_Q9.5" xfId="54" xr:uid="{00000000-0005-0000-0000-00003A000000}"/>
    <cellStyle name="Normal_Q9.6" xfId="55" xr:uid="{00000000-0005-0000-0000-00003B000000}"/>
    <cellStyle name="Normal_Q9.7" xfId="56" xr:uid="{00000000-0005-0000-0000-00003C000000}"/>
    <cellStyle name="Normal_Q9.8" xfId="57" xr:uid="{00000000-0005-0000-0000-00003D000000}"/>
    <cellStyle name="Normal_Q9.9" xfId="58" xr:uid="{00000000-0005-0000-0000-00003E000000}"/>
    <cellStyle name="Normal_Q91.9" xfId="79" xr:uid="{81BA8617-195E-4F93-BB65-4E1EF7D031F4}"/>
    <cellStyle name="Normal_Quadro 10.2" xfId="71" xr:uid="{00000000-0005-0000-0000-00003F000000}"/>
    <cellStyle name="Normal_Quadro 10.4" xfId="73" xr:uid="{00000000-0005-0000-0000-000040000000}"/>
    <cellStyle name="Normal_Quadro 10.5" xfId="74" xr:uid="{00000000-0005-0000-0000-000041000000}"/>
    <cellStyle name="Normal_Quadro 10.6" xfId="75" xr:uid="{00000000-0005-0000-0000-000042000000}"/>
    <cellStyle name="Normal_Quadro 10.7_1" xfId="70" xr:uid="{00000000-0005-0000-0000-000043000000}"/>
    <cellStyle name="Normal_Quadro 2_1" xfId="4" xr:uid="{00000000-0005-0000-0000-000044000000}"/>
    <cellStyle name="Normal_Quadro 3" xfId="5" xr:uid="{00000000-0005-0000-0000-000045000000}"/>
    <cellStyle name="Normal_Sheet1" xfId="12" xr:uid="{00000000-0005-0000-0000-000046000000}"/>
    <cellStyle name="Normal_Sheet2" xfId="11" xr:uid="{00000000-0005-0000-0000-000047000000}"/>
    <cellStyle name="Normal_Sheet3" xfId="28" xr:uid="{00000000-0005-0000-0000-000048000000}"/>
    <cellStyle name="Normal_Sheet4" xfId="35" xr:uid="{00000000-0005-0000-0000-000049000000}"/>
    <cellStyle name="Normal_Sheet5" xfId="9" xr:uid="{00000000-0005-0000-0000-00004A000000}"/>
    <cellStyle name="Normal_Sheet6" xfId="40" xr:uid="{00000000-0005-0000-0000-00004B000000}"/>
    <cellStyle name="Normal_Sheet7" xfId="41" xr:uid="{00000000-0005-0000-0000-00004C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F03300"/>
      <color rgb="FF2B3415"/>
      <color rgb="FF556A2C"/>
      <color rgb="FF943634"/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03300"/>
  </sheetPr>
  <dimension ref="A1"/>
  <sheetViews>
    <sheetView workbookViewId="0"/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3"/>
  <sheetViews>
    <sheetView zoomScale="98" zoomScaleNormal="98" workbookViewId="0">
      <selection activeCell="B6" sqref="B6:B7"/>
    </sheetView>
  </sheetViews>
  <sheetFormatPr defaultColWidth="19.7109375" defaultRowHeight="12"/>
  <cols>
    <col min="1" max="1" width="22" style="4" customWidth="1"/>
    <col min="2" max="2" width="10.42578125" style="1" customWidth="1"/>
    <col min="3" max="3" width="12" style="1" customWidth="1"/>
    <col min="4" max="4" width="13.85546875" style="1" customWidth="1"/>
    <col min="5" max="5" width="7.7109375" style="1" customWidth="1"/>
    <col min="6" max="6" width="11.5703125" style="1" customWidth="1"/>
    <col min="7" max="16384" width="19.7109375" style="1"/>
  </cols>
  <sheetData>
    <row r="1" spans="1:6" ht="25.5" customHeight="1">
      <c r="A1" s="933" t="s">
        <v>543</v>
      </c>
      <c r="B1" s="933"/>
      <c r="C1" s="933"/>
      <c r="D1" s="933"/>
    </row>
    <row r="2" spans="1:6" ht="28.5" customHeight="1">
      <c r="A2" s="853" t="s">
        <v>314</v>
      </c>
      <c r="B2" s="854" t="s">
        <v>0</v>
      </c>
      <c r="C2" s="854" t="s">
        <v>1</v>
      </c>
      <c r="D2" s="854" t="s">
        <v>2</v>
      </c>
    </row>
    <row r="3" spans="1:6">
      <c r="A3" s="149" t="s">
        <v>147</v>
      </c>
      <c r="B3" s="150">
        <v>570447.17662695551</v>
      </c>
      <c r="C3" s="150">
        <v>278700.87938373233</v>
      </c>
      <c r="D3" s="150">
        <v>291746.29724206449</v>
      </c>
      <c r="E3" s="33"/>
      <c r="F3" s="33"/>
    </row>
    <row r="4" spans="1:6">
      <c r="A4" s="48"/>
      <c r="B4" s="48"/>
      <c r="C4" s="48"/>
      <c r="D4" s="48"/>
      <c r="E4" s="33"/>
    </row>
    <row r="5" spans="1:6">
      <c r="A5" s="149" t="s">
        <v>3</v>
      </c>
      <c r="B5" s="917"/>
      <c r="C5" s="917"/>
      <c r="D5" s="917"/>
      <c r="E5" s="33"/>
    </row>
    <row r="6" spans="1:6">
      <c r="A6" s="3" t="s">
        <v>4</v>
      </c>
      <c r="B6" s="2">
        <v>391855.92340030614</v>
      </c>
      <c r="C6" s="2">
        <v>189571.8308181235</v>
      </c>
      <c r="D6" s="2">
        <v>202284.09258201855</v>
      </c>
      <c r="E6" s="33"/>
    </row>
    <row r="7" spans="1:6">
      <c r="A7" s="3" t="s">
        <v>5</v>
      </c>
      <c r="B7" s="2">
        <v>178591.25322581443</v>
      </c>
      <c r="C7" s="2">
        <v>89129.04856579192</v>
      </c>
      <c r="D7" s="2">
        <v>89462.204660174888</v>
      </c>
      <c r="E7" s="33"/>
      <c r="F7" s="33"/>
    </row>
    <row r="8" spans="1:6">
      <c r="A8" s="151" t="s">
        <v>142</v>
      </c>
      <c r="B8" s="150"/>
      <c r="C8" s="150"/>
      <c r="D8" s="150"/>
      <c r="E8" s="33"/>
    </row>
    <row r="9" spans="1:6" ht="13.5" customHeight="1">
      <c r="A9" s="140" t="s">
        <v>148</v>
      </c>
      <c r="B9" s="57">
        <v>382634.98871321097</v>
      </c>
      <c r="C9" s="57">
        <v>185488.1984740746</v>
      </c>
      <c r="D9" s="57">
        <v>197146.79023901102</v>
      </c>
      <c r="E9" s="33"/>
    </row>
    <row r="10" spans="1:6" ht="13.5" customHeight="1">
      <c r="A10" s="52" t="s">
        <v>148</v>
      </c>
      <c r="B10" s="89">
        <v>382634.98871321097</v>
      </c>
      <c r="C10" s="89">
        <v>185488.1984740746</v>
      </c>
      <c r="D10" s="89">
        <v>197146.79023901102</v>
      </c>
      <c r="E10" s="33"/>
    </row>
    <row r="11" spans="1:6" ht="13.5" customHeight="1">
      <c r="A11" s="140" t="s">
        <v>149</v>
      </c>
      <c r="B11" s="57">
        <v>30231.271440747085</v>
      </c>
      <c r="C11" s="57">
        <v>14926.083039688841</v>
      </c>
      <c r="D11" s="57">
        <v>15305.188401056388</v>
      </c>
      <c r="E11" s="33"/>
    </row>
    <row r="12" spans="1:6" ht="13.5" customHeight="1">
      <c r="A12" s="52" t="s">
        <v>149</v>
      </c>
      <c r="B12" s="89">
        <v>30231.271440747085</v>
      </c>
      <c r="C12" s="89">
        <v>14926.083039688841</v>
      </c>
      <c r="D12" s="89">
        <v>15305.188401056388</v>
      </c>
      <c r="E12" s="33"/>
    </row>
    <row r="13" spans="1:6" ht="13.5" customHeight="1">
      <c r="A13" s="140" t="s">
        <v>150</v>
      </c>
      <c r="B13" s="57">
        <v>12680.796776416362</v>
      </c>
      <c r="C13" s="57">
        <v>6251.5482901648056</v>
      </c>
      <c r="D13" s="57">
        <v>6429.2484862509182</v>
      </c>
      <c r="E13" s="33"/>
    </row>
    <row r="14" spans="1:6" ht="13.5" customHeight="1">
      <c r="A14" s="52" t="s">
        <v>150</v>
      </c>
      <c r="B14" s="89">
        <v>12680.796776416362</v>
      </c>
      <c r="C14" s="89">
        <v>6251.5482901648056</v>
      </c>
      <c r="D14" s="89">
        <v>6429.2484862509182</v>
      </c>
      <c r="E14" s="33"/>
    </row>
    <row r="15" spans="1:6" ht="13.5" customHeight="1">
      <c r="A15" s="140" t="s">
        <v>151</v>
      </c>
      <c r="B15" s="57">
        <v>27932.073323219793</v>
      </c>
      <c r="C15" s="57">
        <v>13733.918086562298</v>
      </c>
      <c r="D15" s="57">
        <v>14198.155236655777</v>
      </c>
      <c r="E15" s="33"/>
    </row>
    <row r="16" spans="1:6" ht="13.5" customHeight="1">
      <c r="A16" s="52" t="s">
        <v>151</v>
      </c>
      <c r="B16" s="89">
        <v>27932.073323219793</v>
      </c>
      <c r="C16" s="89">
        <v>13733.918086562298</v>
      </c>
      <c r="D16" s="89">
        <v>14198.155236655777</v>
      </c>
      <c r="E16" s="33"/>
    </row>
    <row r="17" spans="1:5" ht="13.5" customHeight="1">
      <c r="A17" s="140" t="s">
        <v>152</v>
      </c>
      <c r="B17" s="57">
        <f>+B18+B19</f>
        <v>8459.7874414902017</v>
      </c>
      <c r="C17" s="57">
        <f t="shared" ref="C17:D17" si="0">+C18+C19</f>
        <v>4248.3036683979499</v>
      </c>
      <c r="D17" s="57">
        <f t="shared" si="0"/>
        <v>4211.4837730923673</v>
      </c>
      <c r="E17" s="33"/>
    </row>
    <row r="18" spans="1:5" ht="13.5" customHeight="1">
      <c r="A18" s="52" t="s">
        <v>152</v>
      </c>
      <c r="B18" s="89">
        <v>6234.8349044034339</v>
      </c>
      <c r="C18" s="89">
        <v>3072.3854116684079</v>
      </c>
      <c r="D18" s="89">
        <v>3162.4494927351757</v>
      </c>
      <c r="E18" s="33"/>
    </row>
    <row r="19" spans="1:5" ht="13.5" customHeight="1">
      <c r="A19" s="52" t="s">
        <v>153</v>
      </c>
      <c r="B19" s="89">
        <v>2224.9525370867677</v>
      </c>
      <c r="C19" s="89">
        <v>1175.9182567295425</v>
      </c>
      <c r="D19" s="89">
        <v>1049.0342803571914</v>
      </c>
      <c r="E19" s="33"/>
    </row>
    <row r="20" spans="1:5" ht="13.5" customHeight="1">
      <c r="A20" s="140" t="s">
        <v>154</v>
      </c>
      <c r="B20" s="90">
        <f>+B21+B22</f>
        <v>2464.5697814306805</v>
      </c>
      <c r="C20" s="90">
        <f t="shared" ref="C20:D20" si="1">+C21+C22</f>
        <v>1323.5586245300617</v>
      </c>
      <c r="D20" s="90">
        <f t="shared" si="1"/>
        <v>1141.0111569006035</v>
      </c>
      <c r="E20" s="33"/>
    </row>
    <row r="21" spans="1:5" ht="13.5" customHeight="1">
      <c r="A21" s="52" t="s">
        <v>154</v>
      </c>
      <c r="B21" s="54">
        <v>1707.3355894837798</v>
      </c>
      <c r="C21" s="54">
        <v>911.28008140210591</v>
      </c>
      <c r="D21" s="54">
        <v>796.0555080816564</v>
      </c>
      <c r="E21" s="33"/>
    </row>
    <row r="22" spans="1:5" ht="13.5" customHeight="1">
      <c r="A22" s="52" t="s">
        <v>155</v>
      </c>
      <c r="B22" s="54">
        <v>757.23419194690041</v>
      </c>
      <c r="C22" s="54">
        <v>412.2785431279558</v>
      </c>
      <c r="D22" s="54">
        <v>344.955648818947</v>
      </c>
      <c r="E22" s="33"/>
    </row>
    <row r="23" spans="1:5" ht="13.5" customHeight="1">
      <c r="A23" s="140" t="s">
        <v>156</v>
      </c>
      <c r="B23" s="90">
        <f>+B24+B25</f>
        <v>17191.579558660887</v>
      </c>
      <c r="C23" s="90">
        <f t="shared" ref="C23:D23" si="2">+C24+C25</f>
        <v>8424.1082728872916</v>
      </c>
      <c r="D23" s="90">
        <f t="shared" si="2"/>
        <v>8767.4712857737832</v>
      </c>
      <c r="E23" s="33"/>
    </row>
    <row r="24" spans="1:5" ht="13.5" customHeight="1">
      <c r="A24" s="52" t="s">
        <v>156</v>
      </c>
      <c r="B24" s="54">
        <v>9638.8855901455609</v>
      </c>
      <c r="C24" s="54">
        <v>4738.2892116204257</v>
      </c>
      <c r="D24" s="54">
        <v>4900.5963785251142</v>
      </c>
      <c r="E24" s="33"/>
    </row>
    <row r="25" spans="1:5" ht="13.5" customHeight="1">
      <c r="A25" s="52" t="s">
        <v>157</v>
      </c>
      <c r="B25" s="54">
        <v>7552.6939685153266</v>
      </c>
      <c r="C25" s="54">
        <v>3685.8190612668664</v>
      </c>
      <c r="D25" s="54">
        <v>3866.8749072486694</v>
      </c>
      <c r="E25" s="33"/>
    </row>
    <row r="26" spans="1:5" ht="13.5" customHeight="1">
      <c r="A26" s="140" t="s">
        <v>158</v>
      </c>
      <c r="B26" s="56">
        <f>+B27+B28</f>
        <v>28013.773732907008</v>
      </c>
      <c r="C26" s="56">
        <f t="shared" ref="C26:D26" si="3">+C27+C28</f>
        <v>14042.777021417911</v>
      </c>
      <c r="D26" s="56">
        <f t="shared" si="3"/>
        <v>13970.99671148706</v>
      </c>
      <c r="E26" s="33"/>
    </row>
    <row r="27" spans="1:5" ht="13.5" customHeight="1">
      <c r="A27" s="52" t="s">
        <v>158</v>
      </c>
      <c r="B27" s="55">
        <v>24782.30617124381</v>
      </c>
      <c r="C27" s="55">
        <v>12408.635646039322</v>
      </c>
      <c r="D27" s="55">
        <v>12373.670525202488</v>
      </c>
      <c r="E27" s="33"/>
    </row>
    <row r="28" spans="1:5" ht="13.5" customHeight="1">
      <c r="A28" s="52" t="s">
        <v>159</v>
      </c>
      <c r="B28" s="55">
        <v>3231.467561663198</v>
      </c>
      <c r="C28" s="55">
        <v>1634.1413753785896</v>
      </c>
      <c r="D28" s="55">
        <v>1597.326186284572</v>
      </c>
      <c r="E28" s="33"/>
    </row>
    <row r="29" spans="1:5" ht="13.5" customHeight="1">
      <c r="A29" s="140" t="s">
        <v>160</v>
      </c>
      <c r="B29" s="56">
        <v>7225.595572019055</v>
      </c>
      <c r="C29" s="56">
        <v>3627.0497236006463</v>
      </c>
      <c r="D29" s="56">
        <v>3598.5458484185742</v>
      </c>
      <c r="E29" s="33"/>
    </row>
    <row r="30" spans="1:5" ht="13.5" customHeight="1">
      <c r="A30" s="52" t="s">
        <v>160</v>
      </c>
      <c r="B30" s="55">
        <v>7225.595572019055</v>
      </c>
      <c r="C30" s="55">
        <v>3627.0497236006463</v>
      </c>
      <c r="D30" s="55">
        <v>3598.5458484185742</v>
      </c>
      <c r="E30" s="33"/>
    </row>
    <row r="31" spans="1:5" ht="13.5" customHeight="1">
      <c r="A31" s="140" t="s">
        <v>161</v>
      </c>
      <c r="B31" s="56">
        <f>+B32+B33</f>
        <v>31419.257342679906</v>
      </c>
      <c r="C31" s="56">
        <f t="shared" ref="C31:D31" si="4">+C32+C33</f>
        <v>15646.076973831514</v>
      </c>
      <c r="D31" s="56">
        <f t="shared" si="4"/>
        <v>15773.180368846664</v>
      </c>
      <c r="E31" s="33"/>
    </row>
    <row r="32" spans="1:5" ht="13.5" customHeight="1">
      <c r="A32" s="52" t="s">
        <v>161</v>
      </c>
      <c r="B32" s="55">
        <v>25793.116447531542</v>
      </c>
      <c r="C32" s="55">
        <v>12813.22345560219</v>
      </c>
      <c r="D32" s="55">
        <v>12979.892991927511</v>
      </c>
      <c r="E32" s="33"/>
    </row>
    <row r="33" spans="1:5" ht="13.5" customHeight="1">
      <c r="A33" s="52" t="s">
        <v>162</v>
      </c>
      <c r="B33" s="55">
        <v>5626.1408951483645</v>
      </c>
      <c r="C33" s="55">
        <v>2832.853518229324</v>
      </c>
      <c r="D33" s="55">
        <v>2793.2873769191533</v>
      </c>
      <c r="E33" s="33"/>
    </row>
    <row r="34" spans="1:5" ht="13.5" customHeight="1">
      <c r="A34" s="140" t="s">
        <v>163</v>
      </c>
      <c r="B34" s="91">
        <f>+B35+B36</f>
        <v>22193.482943585652</v>
      </c>
      <c r="C34" s="91">
        <f t="shared" ref="C34:D34" si="5">+C35+C36</f>
        <v>10989.257208821185</v>
      </c>
      <c r="D34" s="91">
        <f t="shared" si="5"/>
        <v>11204.225734763157</v>
      </c>
      <c r="E34" s="33"/>
    </row>
    <row r="35" spans="1:5" ht="13.5" customHeight="1">
      <c r="A35" s="141" t="s">
        <v>163</v>
      </c>
      <c r="B35" s="55">
        <v>15803.094424051522</v>
      </c>
      <c r="C35" s="55">
        <v>7823.0336351528922</v>
      </c>
      <c r="D35" s="55">
        <v>7980.060788897229</v>
      </c>
      <c r="E35" s="33"/>
    </row>
    <row r="36" spans="1:5" ht="13.5" customHeight="1">
      <c r="A36" s="141" t="s">
        <v>164</v>
      </c>
      <c r="B36" s="55">
        <v>6390.3885195341309</v>
      </c>
      <c r="C36" s="55">
        <v>3166.2235736682933</v>
      </c>
      <c r="D36" s="55">
        <v>3224.1649458659272</v>
      </c>
      <c r="E36" s="33"/>
    </row>
    <row r="37" spans="1:5" ht="13.5" customHeight="1">
      <c r="A37" s="94"/>
      <c r="B37" s="95"/>
      <c r="C37" s="95"/>
      <c r="D37" s="95"/>
      <c r="E37" s="34"/>
    </row>
    <row r="38" spans="1:5" ht="13.5" customHeight="1">
      <c r="A38" s="92"/>
      <c r="B38" s="93"/>
      <c r="C38" s="93"/>
      <c r="D38" s="93"/>
      <c r="E38" s="34"/>
    </row>
    <row r="39" spans="1:5" ht="13.5" customHeight="1">
      <c r="A39" s="96"/>
      <c r="B39" s="97"/>
      <c r="C39" s="97"/>
      <c r="D39" s="97"/>
      <c r="E39" s="34"/>
    </row>
    <row r="40" spans="1:5" ht="13.5" customHeight="1">
      <c r="A40" s="96"/>
      <c r="B40" s="97"/>
      <c r="C40" s="97"/>
      <c r="D40" s="97"/>
      <c r="E40" s="34"/>
    </row>
    <row r="41" spans="1:5" ht="13.5" customHeight="1">
      <c r="A41" s="92"/>
      <c r="B41" s="93"/>
      <c r="C41" s="93"/>
      <c r="D41" s="93"/>
      <c r="E41" s="34"/>
    </row>
    <row r="42" spans="1:5" ht="13.5" customHeight="1">
      <c r="A42" s="94"/>
      <c r="B42" s="95"/>
      <c r="C42" s="95"/>
      <c r="D42" s="95"/>
      <c r="E42" s="34"/>
    </row>
    <row r="43" spans="1:5" ht="13.5" customHeight="1">
      <c r="A43" s="94"/>
      <c r="B43" s="95"/>
      <c r="C43" s="95"/>
      <c r="D43" s="95"/>
      <c r="E43" s="34"/>
    </row>
    <row r="44" spans="1:5" ht="13.5" customHeight="1">
      <c r="A44" s="94"/>
      <c r="B44" s="95"/>
      <c r="C44" s="95"/>
      <c r="D44" s="95"/>
      <c r="E44" s="34"/>
    </row>
    <row r="45" spans="1:5" ht="13.5" customHeight="1">
      <c r="A45" s="92"/>
      <c r="B45" s="93"/>
      <c r="C45" s="93"/>
      <c r="D45" s="93"/>
      <c r="E45" s="34"/>
    </row>
    <row r="46" spans="1:5" ht="13.5" customHeight="1">
      <c r="A46" s="94"/>
      <c r="B46" s="95"/>
      <c r="C46" s="95"/>
      <c r="D46" s="95"/>
      <c r="E46" s="34"/>
    </row>
    <row r="47" spans="1:5" ht="13.5" customHeight="1">
      <c r="A47" s="94"/>
      <c r="B47" s="95"/>
      <c r="C47" s="95"/>
      <c r="D47" s="95"/>
      <c r="E47" s="34"/>
    </row>
    <row r="48" spans="1:5" ht="13.5" customHeight="1">
      <c r="A48" s="92"/>
      <c r="B48" s="93"/>
      <c r="C48" s="93"/>
      <c r="D48" s="93"/>
      <c r="E48" s="34"/>
    </row>
    <row r="49" spans="1:5" ht="13.5" customHeight="1">
      <c r="A49" s="94"/>
      <c r="B49" s="95"/>
      <c r="C49" s="95"/>
      <c r="D49" s="95"/>
      <c r="E49" s="34"/>
    </row>
    <row r="50" spans="1:5" s="28" customFormat="1" ht="13.5" customHeight="1">
      <c r="A50" s="92"/>
      <c r="B50" s="93"/>
      <c r="C50" s="93"/>
      <c r="D50" s="93"/>
      <c r="E50" s="34"/>
    </row>
    <row r="51" spans="1:5" s="28" customFormat="1" ht="13.5" customHeight="1">
      <c r="A51" s="94"/>
      <c r="B51" s="95"/>
      <c r="C51" s="95"/>
      <c r="D51" s="95"/>
      <c r="E51" s="34"/>
    </row>
    <row r="52" spans="1:5" s="28" customFormat="1" ht="13.5" customHeight="1">
      <c r="A52" s="94"/>
      <c r="B52" s="95"/>
      <c r="C52" s="95"/>
      <c r="D52" s="95"/>
      <c r="E52" s="34"/>
    </row>
    <row r="53" spans="1:5" s="28" customFormat="1" ht="13.5" customHeight="1">
      <c r="A53" s="94"/>
      <c r="B53" s="95"/>
      <c r="C53" s="95"/>
      <c r="D53" s="95"/>
      <c r="E53" s="34"/>
    </row>
    <row r="54" spans="1:5" s="28" customFormat="1" ht="13.5" customHeight="1">
      <c r="A54" s="92"/>
      <c r="B54" s="93"/>
      <c r="C54" s="93"/>
      <c r="D54" s="93"/>
      <c r="E54" s="34"/>
    </row>
    <row r="55" spans="1:5" s="28" customFormat="1" ht="13.5" customHeight="1">
      <c r="A55" s="94"/>
      <c r="B55" s="95"/>
      <c r="C55" s="95"/>
      <c r="D55" s="95"/>
      <c r="E55" s="34"/>
    </row>
    <row r="56" spans="1:5" s="28" customFormat="1" ht="13.5" customHeight="1">
      <c r="A56" s="92"/>
      <c r="B56" s="93"/>
      <c r="C56" s="93"/>
      <c r="D56" s="93"/>
      <c r="E56" s="34"/>
    </row>
    <row r="57" spans="1:5" s="28" customFormat="1" ht="13.5" customHeight="1">
      <c r="A57" s="94"/>
      <c r="B57" s="95"/>
      <c r="C57" s="95"/>
      <c r="D57" s="95"/>
      <c r="E57" s="34"/>
    </row>
    <row r="58" spans="1:5" s="28" customFormat="1" ht="13.5" customHeight="1">
      <c r="A58" s="92"/>
      <c r="B58" s="93"/>
      <c r="C58" s="93"/>
      <c r="D58" s="93"/>
      <c r="E58" s="34"/>
    </row>
    <row r="59" spans="1:5" s="28" customFormat="1" ht="13.5" customHeight="1">
      <c r="A59" s="94"/>
      <c r="B59" s="95"/>
      <c r="C59" s="95"/>
      <c r="D59" s="95"/>
      <c r="E59" s="34"/>
    </row>
    <row r="60" spans="1:5" s="28" customFormat="1" ht="13.5" customHeight="1">
      <c r="A60" s="92"/>
      <c r="B60" s="93"/>
      <c r="C60" s="93"/>
      <c r="D60" s="93"/>
      <c r="E60" s="34"/>
    </row>
    <row r="61" spans="1:5" ht="13.5" customHeight="1">
      <c r="A61" s="69"/>
      <c r="B61" s="98"/>
      <c r="C61" s="98"/>
      <c r="D61" s="98"/>
      <c r="E61" s="34"/>
    </row>
    <row r="62" spans="1:5" ht="13.5" customHeight="1">
      <c r="A62" s="63"/>
      <c r="B62" s="58"/>
      <c r="C62" s="58"/>
      <c r="D62" s="58"/>
      <c r="E62" s="34"/>
    </row>
    <row r="63" spans="1:5" ht="13.5" customHeight="1">
      <c r="A63" s="64"/>
      <c r="B63" s="59"/>
      <c r="C63" s="59"/>
      <c r="D63" s="59"/>
      <c r="E63" s="34"/>
    </row>
    <row r="64" spans="1:5" ht="13.5" customHeight="1">
      <c r="A64" s="63"/>
      <c r="B64" s="58"/>
      <c r="C64" s="58"/>
      <c r="D64" s="58"/>
      <c r="E64" s="34"/>
    </row>
    <row r="65" spans="1:5" ht="13.5" customHeight="1">
      <c r="A65" s="63"/>
      <c r="B65" s="58"/>
      <c r="C65" s="58"/>
      <c r="D65" s="58"/>
      <c r="E65" s="34"/>
    </row>
    <row r="66" spans="1:5" ht="13.5" customHeight="1">
      <c r="A66" s="64"/>
      <c r="B66" s="59"/>
      <c r="C66" s="59"/>
      <c r="D66" s="59"/>
      <c r="E66" s="34"/>
    </row>
    <row r="67" spans="1:5" ht="13.5" customHeight="1">
      <c r="A67" s="63"/>
      <c r="B67" s="65"/>
      <c r="C67" s="65"/>
      <c r="D67" s="65"/>
      <c r="E67" s="34"/>
    </row>
    <row r="68" spans="1:5" ht="13.5" customHeight="1">
      <c r="A68" s="63"/>
      <c r="B68" s="65"/>
      <c r="C68" s="65"/>
      <c r="D68" s="65"/>
      <c r="E68" s="34"/>
    </row>
    <row r="69" spans="1:5" ht="13.5" customHeight="1">
      <c r="A69" s="63"/>
      <c r="B69" s="65"/>
      <c r="C69" s="65"/>
      <c r="D69" s="65"/>
      <c r="E69" s="34"/>
    </row>
    <row r="70" spans="1:5" ht="13.5" customHeight="1">
      <c r="A70" s="64"/>
      <c r="B70" s="66"/>
      <c r="C70" s="66"/>
      <c r="D70" s="66"/>
      <c r="E70" s="34"/>
    </row>
    <row r="71" spans="1:5" ht="13.5" customHeight="1">
      <c r="A71" s="63"/>
      <c r="B71" s="58"/>
      <c r="C71" s="58"/>
      <c r="D71" s="58"/>
      <c r="E71" s="34"/>
    </row>
    <row r="72" spans="1:5" ht="13.5" customHeight="1">
      <c r="A72" s="63"/>
      <c r="B72" s="58"/>
      <c r="C72" s="58"/>
      <c r="D72" s="58"/>
      <c r="E72" s="34"/>
    </row>
    <row r="73" spans="1:5" ht="13.5" customHeight="1">
      <c r="A73" s="64"/>
      <c r="B73" s="59"/>
      <c r="C73" s="59"/>
      <c r="D73" s="59"/>
      <c r="E73" s="34"/>
    </row>
    <row r="74" spans="1:5" ht="13.5" customHeight="1">
      <c r="A74" s="63"/>
      <c r="B74" s="58"/>
      <c r="C74" s="58"/>
      <c r="D74" s="58"/>
      <c r="E74" s="34"/>
    </row>
    <row r="75" spans="1:5" ht="13.5" customHeight="1">
      <c r="A75" s="63"/>
      <c r="B75" s="58"/>
      <c r="C75" s="58"/>
      <c r="D75" s="58"/>
      <c r="E75" s="34"/>
    </row>
    <row r="76" spans="1:5" ht="13.5" customHeight="1">
      <c r="A76" s="64"/>
      <c r="B76" s="59"/>
      <c r="C76" s="59"/>
      <c r="D76" s="59"/>
      <c r="E76" s="34"/>
    </row>
    <row r="77" spans="1:5" ht="13.5" customHeight="1">
      <c r="A77" s="63"/>
      <c r="B77" s="65"/>
      <c r="C77" s="65"/>
      <c r="D77" s="65"/>
      <c r="E77" s="34"/>
    </row>
    <row r="78" spans="1:5" ht="13.5" customHeight="1">
      <c r="A78" s="63"/>
      <c r="B78" s="65"/>
      <c r="C78" s="65"/>
      <c r="D78" s="65"/>
      <c r="E78" s="34"/>
    </row>
    <row r="79" spans="1:5" ht="13.5" customHeight="1">
      <c r="A79" s="64"/>
      <c r="B79" s="66"/>
      <c r="C79" s="66"/>
      <c r="D79" s="66"/>
      <c r="E79" s="34"/>
    </row>
    <row r="80" spans="1:5" ht="13.5" customHeight="1">
      <c r="A80" s="63"/>
      <c r="B80" s="58"/>
      <c r="C80" s="58"/>
      <c r="D80" s="58"/>
      <c r="E80" s="34"/>
    </row>
    <row r="81" spans="1:5" ht="13.5" customHeight="1">
      <c r="A81" s="63"/>
      <c r="B81" s="58"/>
      <c r="C81" s="58"/>
      <c r="D81" s="58"/>
      <c r="E81" s="34"/>
    </row>
    <row r="82" spans="1:5" ht="13.5" customHeight="1">
      <c r="A82" s="64"/>
      <c r="B82" s="59"/>
      <c r="C82" s="59"/>
      <c r="D82" s="59"/>
      <c r="E82" s="34"/>
    </row>
    <row r="83" spans="1:5" ht="13.5" customHeight="1">
      <c r="A83" s="63"/>
      <c r="B83" s="65"/>
      <c r="C83" s="65"/>
      <c r="D83" s="65"/>
      <c r="E83" s="34"/>
    </row>
    <row r="84" spans="1:5" ht="13.5" customHeight="1">
      <c r="A84" s="63"/>
      <c r="B84" s="65"/>
      <c r="C84" s="65"/>
      <c r="D84" s="65"/>
      <c r="E84" s="34"/>
    </row>
    <row r="85" spans="1:5" ht="13.5" customHeight="1">
      <c r="A85" s="64"/>
      <c r="B85" s="66"/>
      <c r="C85" s="66"/>
      <c r="D85" s="66"/>
      <c r="E85" s="34"/>
    </row>
    <row r="86" spans="1:5" ht="13.5" customHeight="1">
      <c r="A86" s="63"/>
      <c r="B86" s="58"/>
      <c r="C86" s="58"/>
      <c r="D86" s="58"/>
      <c r="E86" s="34"/>
    </row>
    <row r="87" spans="1:5" ht="13.5" customHeight="1">
      <c r="A87" s="63"/>
      <c r="B87" s="58"/>
      <c r="C87" s="58"/>
      <c r="D87" s="58"/>
      <c r="E87" s="34"/>
    </row>
    <row r="88" spans="1:5" ht="13.5" customHeight="1">
      <c r="A88" s="64"/>
      <c r="B88" s="59"/>
      <c r="C88" s="59"/>
      <c r="D88" s="59"/>
      <c r="E88" s="39"/>
    </row>
    <row r="89" spans="1:5" ht="13.5" customHeight="1">
      <c r="A89" s="63"/>
      <c r="B89" s="58"/>
      <c r="C89" s="58"/>
      <c r="D89" s="58"/>
      <c r="E89" s="34"/>
    </row>
    <row r="90" spans="1:5" ht="13.5" customHeight="1">
      <c r="A90" s="63"/>
      <c r="B90" s="58"/>
      <c r="C90" s="58"/>
      <c r="D90" s="58"/>
      <c r="E90" s="34"/>
    </row>
    <row r="91" spans="1:5" ht="13.5" customHeight="1">
      <c r="A91" s="64"/>
      <c r="B91" s="59"/>
      <c r="C91" s="59"/>
      <c r="D91" s="59"/>
      <c r="E91" s="34"/>
    </row>
    <row r="92" spans="1:5" ht="13.5" customHeight="1">
      <c r="A92" s="63"/>
      <c r="B92" s="58"/>
      <c r="C92" s="58"/>
      <c r="D92" s="58"/>
      <c r="E92" s="34"/>
    </row>
    <row r="93" spans="1:5" ht="13.5" customHeight="1">
      <c r="A93" s="64"/>
      <c r="B93" s="59"/>
      <c r="C93" s="59"/>
      <c r="D93" s="59"/>
      <c r="E93" s="34"/>
    </row>
    <row r="94" spans="1:5" ht="13.5" customHeight="1">
      <c r="A94" s="63"/>
      <c r="B94" s="58"/>
      <c r="C94" s="58"/>
      <c r="D94" s="58"/>
      <c r="E94" s="34"/>
    </row>
    <row r="95" spans="1:5" ht="13.5" customHeight="1">
      <c r="A95" s="63"/>
      <c r="B95" s="58"/>
      <c r="C95" s="58"/>
      <c r="D95" s="58"/>
      <c r="E95" s="34"/>
    </row>
    <row r="96" spans="1:5" ht="13.5" customHeight="1">
      <c r="A96" s="64"/>
      <c r="B96" s="59"/>
      <c r="C96" s="59"/>
      <c r="D96" s="59"/>
      <c r="E96" s="34"/>
    </row>
    <row r="97" spans="1:5" ht="13.5" customHeight="1">
      <c r="A97" s="63"/>
      <c r="B97" s="58"/>
      <c r="C97" s="58"/>
      <c r="D97" s="58"/>
      <c r="E97" s="34"/>
    </row>
    <row r="98" spans="1:5" ht="13.5" customHeight="1">
      <c r="A98" s="64"/>
      <c r="B98" s="59"/>
      <c r="C98" s="59"/>
      <c r="D98" s="59"/>
      <c r="E98" s="34"/>
    </row>
    <row r="99" spans="1:5" ht="13.5" customHeight="1">
      <c r="A99" s="63"/>
      <c r="B99" s="58"/>
      <c r="C99" s="58"/>
      <c r="D99" s="58"/>
      <c r="E99" s="34"/>
    </row>
    <row r="100" spans="1:5" ht="13.5" customHeight="1">
      <c r="A100" s="63"/>
      <c r="B100" s="58"/>
      <c r="C100" s="58"/>
      <c r="D100" s="58"/>
      <c r="E100" s="34"/>
    </row>
    <row r="101" spans="1:5" ht="13.5" customHeight="1">
      <c r="A101" s="63"/>
      <c r="B101" s="58"/>
      <c r="C101" s="58"/>
      <c r="D101" s="58"/>
      <c r="E101" s="34"/>
    </row>
    <row r="102" spans="1:5" ht="13.5" customHeight="1">
      <c r="A102" s="64"/>
      <c r="B102" s="59"/>
      <c r="C102" s="59"/>
      <c r="D102" s="59"/>
      <c r="E102" s="34"/>
    </row>
    <row r="103" spans="1:5" ht="13.5" customHeight="1">
      <c r="A103" s="63"/>
      <c r="B103" s="58"/>
      <c r="C103" s="58"/>
      <c r="D103" s="58"/>
      <c r="E103" s="34"/>
    </row>
    <row r="104" spans="1:5" ht="13.5" customHeight="1">
      <c r="A104" s="63"/>
      <c r="B104" s="58"/>
      <c r="C104" s="58"/>
      <c r="D104" s="58"/>
      <c r="E104" s="34"/>
    </row>
    <row r="105" spans="1:5" ht="13.5" customHeight="1">
      <c r="A105" s="64"/>
      <c r="B105" s="59"/>
      <c r="C105" s="59"/>
      <c r="D105" s="59"/>
      <c r="E105" s="34"/>
    </row>
    <row r="106" spans="1:5" ht="13.5" customHeight="1">
      <c r="A106" s="63"/>
      <c r="B106" s="58"/>
      <c r="C106" s="58"/>
      <c r="D106" s="58"/>
      <c r="E106" s="34"/>
    </row>
    <row r="107" spans="1:5" ht="13.5" customHeight="1">
      <c r="A107" s="64"/>
      <c r="B107" s="59"/>
      <c r="C107" s="59"/>
      <c r="D107" s="59"/>
      <c r="E107" s="34"/>
    </row>
    <row r="108" spans="1:5" ht="13.5" customHeight="1">
      <c r="A108" s="63"/>
      <c r="B108" s="58"/>
      <c r="C108" s="58"/>
      <c r="D108" s="58"/>
      <c r="E108" s="34"/>
    </row>
    <row r="109" spans="1:5" ht="13.5" customHeight="1">
      <c r="A109" s="64"/>
      <c r="B109" s="59"/>
      <c r="C109" s="59"/>
      <c r="D109" s="59"/>
      <c r="E109" s="34"/>
    </row>
    <row r="110" spans="1:5" ht="13.5" customHeight="1">
      <c r="A110" s="63"/>
      <c r="B110" s="58"/>
      <c r="C110" s="58"/>
      <c r="D110" s="58"/>
      <c r="E110" s="34"/>
    </row>
    <row r="111" spans="1:5" ht="13.5" customHeight="1">
      <c r="A111" s="38"/>
      <c r="B111" s="59"/>
      <c r="C111" s="59"/>
      <c r="D111" s="59"/>
      <c r="E111" s="34"/>
    </row>
    <row r="112" spans="1:5" ht="13.5" customHeight="1">
      <c r="A112" s="37"/>
      <c r="B112" s="58"/>
      <c r="C112" s="58"/>
      <c r="D112" s="58"/>
      <c r="E112" s="34"/>
    </row>
    <row r="113" spans="1:5" ht="13.5" customHeight="1">
      <c r="A113" s="38"/>
      <c r="B113" s="59"/>
      <c r="C113" s="59"/>
      <c r="D113" s="59"/>
      <c r="E113" s="34"/>
    </row>
    <row r="114" spans="1:5" ht="13.5" customHeight="1">
      <c r="A114" s="37"/>
      <c r="B114" s="58"/>
      <c r="C114" s="58"/>
      <c r="D114" s="58"/>
      <c r="E114" s="34"/>
    </row>
    <row r="115" spans="1:5" ht="13.5" customHeight="1">
      <c r="A115" s="38"/>
      <c r="B115" s="59"/>
      <c r="C115" s="59"/>
      <c r="D115" s="59"/>
      <c r="E115" s="34"/>
    </row>
    <row r="116" spans="1:5" ht="13.5" customHeight="1">
      <c r="A116" s="37"/>
      <c r="B116" s="58"/>
      <c r="C116" s="58"/>
      <c r="D116" s="58"/>
      <c r="E116" s="34"/>
    </row>
    <row r="117" spans="1:5" ht="13.5" customHeight="1">
      <c r="A117" s="37"/>
      <c r="B117" s="58"/>
      <c r="C117" s="58"/>
      <c r="D117" s="58"/>
      <c r="E117" s="34"/>
    </row>
    <row r="118" spans="1:5" ht="13.5" customHeight="1">
      <c r="A118" s="38"/>
      <c r="B118" s="59"/>
      <c r="C118" s="59"/>
      <c r="D118" s="59"/>
      <c r="E118" s="34"/>
    </row>
    <row r="119" spans="1:5" ht="13.5" customHeight="1">
      <c r="A119" s="37"/>
      <c r="B119" s="58"/>
      <c r="C119" s="58"/>
      <c r="D119" s="58"/>
      <c r="E119" s="34"/>
    </row>
    <row r="120" spans="1:5">
      <c r="A120" s="37"/>
      <c r="B120" s="58"/>
      <c r="C120" s="58"/>
      <c r="D120" s="58"/>
      <c r="E120" s="34"/>
    </row>
    <row r="121" spans="1:5">
      <c r="A121" s="37"/>
      <c r="B121" s="58"/>
      <c r="C121" s="58"/>
      <c r="D121" s="58"/>
      <c r="E121" s="34"/>
    </row>
    <row r="122" spans="1:5">
      <c r="A122" s="38"/>
      <c r="B122" s="59"/>
      <c r="C122" s="59"/>
      <c r="D122" s="59"/>
      <c r="E122" s="34"/>
    </row>
    <row r="123" spans="1:5">
      <c r="A123" s="37"/>
      <c r="B123" s="58"/>
      <c r="C123" s="58"/>
      <c r="D123" s="58"/>
      <c r="E123" s="34"/>
    </row>
    <row r="124" spans="1:5">
      <c r="A124" s="37"/>
      <c r="B124" s="58"/>
      <c r="C124" s="58"/>
      <c r="D124" s="58"/>
      <c r="E124" s="34"/>
    </row>
    <row r="125" spans="1:5">
      <c r="A125" s="38"/>
      <c r="B125" s="59"/>
      <c r="C125" s="59"/>
      <c r="D125" s="59"/>
      <c r="E125" s="34"/>
    </row>
    <row r="126" spans="1:5">
      <c r="A126" s="37"/>
      <c r="B126" s="58"/>
      <c r="C126" s="58"/>
      <c r="D126" s="58"/>
      <c r="E126" s="34"/>
    </row>
    <row r="127" spans="1:5">
      <c r="A127" s="38"/>
      <c r="B127" s="60"/>
      <c r="C127" s="60"/>
      <c r="D127" s="60"/>
      <c r="E127" s="34"/>
    </row>
    <row r="128" spans="1:5">
      <c r="A128" s="37"/>
      <c r="B128" s="53"/>
      <c r="C128" s="53"/>
      <c r="D128" s="53"/>
      <c r="E128" s="34"/>
    </row>
    <row r="129" spans="1:5">
      <c r="A129" s="38"/>
      <c r="B129" s="60"/>
      <c r="C129" s="60"/>
      <c r="D129" s="60"/>
      <c r="E129" s="34"/>
    </row>
    <row r="130" spans="1:5">
      <c r="A130" s="37"/>
      <c r="B130" s="53"/>
      <c r="C130" s="53"/>
      <c r="D130" s="53"/>
      <c r="E130" s="34"/>
    </row>
    <row r="131" spans="1:5">
      <c r="A131" s="38"/>
      <c r="B131" s="60"/>
      <c r="C131" s="60"/>
      <c r="D131" s="60"/>
      <c r="E131" s="34"/>
    </row>
    <row r="132" spans="1:5">
      <c r="A132" s="37"/>
      <c r="B132" s="53"/>
      <c r="C132" s="53"/>
      <c r="D132" s="53"/>
      <c r="E132" s="34"/>
    </row>
    <row r="133" spans="1:5">
      <c r="A133" s="38"/>
      <c r="B133" s="60"/>
      <c r="C133" s="60"/>
      <c r="D133" s="60"/>
      <c r="E133" s="34"/>
    </row>
    <row r="134" spans="1:5">
      <c r="A134" s="61"/>
      <c r="B134" s="53"/>
      <c r="C134" s="53"/>
      <c r="D134" s="53"/>
      <c r="E134" s="34"/>
    </row>
    <row r="135" spans="1:5">
      <c r="A135" s="62"/>
      <c r="B135" s="62"/>
      <c r="C135" s="62"/>
      <c r="D135" s="62"/>
    </row>
    <row r="136" spans="1:5">
      <c r="A136" s="62"/>
      <c r="B136" s="62"/>
      <c r="C136" s="62"/>
      <c r="D136" s="62"/>
    </row>
    <row r="137" spans="1:5">
      <c r="A137" s="62"/>
      <c r="B137" s="62"/>
      <c r="C137" s="62"/>
      <c r="D137" s="62"/>
    </row>
    <row r="138" spans="1:5">
      <c r="A138" s="62"/>
      <c r="B138" s="62"/>
      <c r="C138" s="62"/>
      <c r="D138" s="62"/>
    </row>
    <row r="139" spans="1:5">
      <c r="A139" s="62"/>
      <c r="B139" s="62"/>
      <c r="C139" s="62"/>
      <c r="D139" s="62"/>
    </row>
    <row r="140" spans="1:5">
      <c r="A140" s="62"/>
      <c r="B140" s="62"/>
      <c r="C140" s="62"/>
      <c r="D140" s="62"/>
    </row>
    <row r="141" spans="1:5">
      <c r="A141" s="62"/>
      <c r="B141" s="62"/>
      <c r="C141" s="62"/>
      <c r="D141" s="62"/>
    </row>
    <row r="142" spans="1:5">
      <c r="A142" s="62"/>
      <c r="B142" s="62"/>
      <c r="C142" s="62"/>
      <c r="D142" s="62"/>
    </row>
    <row r="143" spans="1:5">
      <c r="A143" s="62"/>
      <c r="B143" s="62"/>
      <c r="C143" s="62"/>
      <c r="D143" s="62"/>
    </row>
    <row r="144" spans="1:5">
      <c r="A144" s="62"/>
      <c r="B144" s="62"/>
      <c r="C144" s="62"/>
      <c r="D144" s="62"/>
    </row>
    <row r="145" spans="1:4">
      <c r="A145" s="62"/>
      <c r="B145" s="62"/>
      <c r="C145" s="62"/>
      <c r="D145" s="62"/>
    </row>
    <row r="146" spans="1:4">
      <c r="A146" s="62"/>
      <c r="B146" s="62"/>
      <c r="C146" s="62"/>
      <c r="D146" s="62"/>
    </row>
    <row r="147" spans="1:4">
      <c r="A147" s="62"/>
      <c r="B147" s="62"/>
      <c r="C147" s="62"/>
      <c r="D147" s="62"/>
    </row>
    <row r="148" spans="1:4">
      <c r="A148" s="1"/>
    </row>
    <row r="149" spans="1:4">
      <c r="A149" s="1"/>
    </row>
    <row r="150" spans="1:4">
      <c r="A150" s="1"/>
    </row>
    <row r="151" spans="1:4">
      <c r="A151" s="1"/>
    </row>
    <row r="152" spans="1:4">
      <c r="A152" s="1"/>
    </row>
    <row r="153" spans="1:4">
      <c r="A153" s="1"/>
    </row>
    <row r="154" spans="1:4">
      <c r="A154" s="1"/>
    </row>
    <row r="155" spans="1:4">
      <c r="A155" s="1"/>
    </row>
    <row r="156" spans="1:4">
      <c r="A156" s="1"/>
    </row>
    <row r="157" spans="1:4">
      <c r="A157" s="1"/>
    </row>
    <row r="158" spans="1:4">
      <c r="A158" s="1"/>
    </row>
    <row r="159" spans="1:4">
      <c r="A159" s="1"/>
    </row>
    <row r="160" spans="1:4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</sheetData>
  <mergeCells count="1">
    <mergeCell ref="A1:D1"/>
  </mergeCells>
  <conditionalFormatting sqref="A39:A4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zoomScaleNormal="100" workbookViewId="0">
      <selection activeCell="I103" sqref="I103"/>
    </sheetView>
  </sheetViews>
  <sheetFormatPr defaultColWidth="10.28515625" defaultRowHeight="15"/>
  <cols>
    <col min="1" max="1" width="16.42578125" style="5" customWidth="1"/>
    <col min="2" max="2" width="8" style="5" customWidth="1"/>
    <col min="3" max="3" width="13.140625" style="5" customWidth="1"/>
    <col min="4" max="4" width="9.85546875" style="5" customWidth="1"/>
    <col min="5" max="16384" width="10.28515625" style="5"/>
  </cols>
  <sheetData>
    <row r="1" spans="1:6" ht="23.25" customHeight="1">
      <c r="A1" s="934" t="s">
        <v>544</v>
      </c>
      <c r="B1" s="934"/>
      <c r="C1" s="934"/>
      <c r="D1" s="934"/>
    </row>
    <row r="2" spans="1:6">
      <c r="A2" s="6" t="s">
        <v>145</v>
      </c>
      <c r="B2" s="11" t="s">
        <v>0</v>
      </c>
      <c r="C2" s="11" t="s">
        <v>1</v>
      </c>
      <c r="D2" s="11" t="s">
        <v>2</v>
      </c>
    </row>
    <row r="3" spans="1:6">
      <c r="A3" s="152" t="s">
        <v>147</v>
      </c>
      <c r="B3" s="153">
        <v>570447.17662695551</v>
      </c>
      <c r="C3" s="153">
        <v>278700.87938373233</v>
      </c>
      <c r="D3" s="153">
        <v>291746.29724206449</v>
      </c>
    </row>
    <row r="4" spans="1:6">
      <c r="A4" s="6"/>
      <c r="B4" s="7"/>
      <c r="C4" s="7"/>
      <c r="D4" s="7"/>
    </row>
    <row r="5" spans="1:6" ht="14.25" customHeight="1">
      <c r="A5" s="152" t="s">
        <v>6</v>
      </c>
      <c r="B5" s="154"/>
      <c r="C5" s="154"/>
      <c r="D5" s="154"/>
    </row>
    <row r="6" spans="1:6" ht="14.25" customHeight="1">
      <c r="A6" s="86" t="s">
        <v>7</v>
      </c>
      <c r="B6" s="8">
        <v>18536.036492882493</v>
      </c>
      <c r="C6" s="8">
        <v>9318.1010089813299</v>
      </c>
      <c r="D6" s="8">
        <v>9217.9354838993222</v>
      </c>
      <c r="E6" s="88"/>
      <c r="F6" s="88"/>
    </row>
    <row r="7" spans="1:6">
      <c r="A7" s="86" t="s">
        <v>8</v>
      </c>
      <c r="B7" s="8">
        <v>17572.28171101107</v>
      </c>
      <c r="C7" s="8">
        <v>8753.6547392624489</v>
      </c>
      <c r="D7" s="8">
        <v>8818.6269717480754</v>
      </c>
    </row>
    <row r="8" spans="1:6">
      <c r="A8" s="86" t="s">
        <v>9</v>
      </c>
      <c r="B8" s="8">
        <v>16668.084808918218</v>
      </c>
      <c r="C8" s="8">
        <v>8416.6112832432609</v>
      </c>
      <c r="D8" s="8">
        <v>8251.4735256756267</v>
      </c>
    </row>
    <row r="9" spans="1:6">
      <c r="A9" s="86" t="s">
        <v>10</v>
      </c>
      <c r="B9" s="8">
        <v>17596.646298193213</v>
      </c>
      <c r="C9" s="8">
        <v>8465.3404576074809</v>
      </c>
      <c r="D9" s="8">
        <v>9131.3058405851534</v>
      </c>
    </row>
    <row r="10" spans="1:6">
      <c r="A10" s="86" t="s">
        <v>11</v>
      </c>
      <c r="B10" s="8">
        <v>18147.556686144995</v>
      </c>
      <c r="C10" s="8">
        <v>9146.1953105297762</v>
      </c>
      <c r="D10" s="8">
        <v>9001.3613756139002</v>
      </c>
    </row>
    <row r="11" spans="1:6">
      <c r="A11" s="86" t="s">
        <v>12</v>
      </c>
      <c r="B11" s="8">
        <v>16403.775331679775</v>
      </c>
      <c r="C11" s="8">
        <v>8118.932195157613</v>
      </c>
      <c r="D11" s="8">
        <v>8284.8431365220749</v>
      </c>
    </row>
    <row r="12" spans="1:6">
      <c r="A12" s="86" t="s">
        <v>13</v>
      </c>
      <c r="B12" s="8">
        <v>15954.210200240588</v>
      </c>
      <c r="C12" s="8">
        <v>7982.4570659707169</v>
      </c>
      <c r="D12" s="8">
        <v>7971.7531342697839</v>
      </c>
    </row>
    <row r="13" spans="1:6">
      <c r="A13" s="86" t="s">
        <v>14</v>
      </c>
      <c r="B13" s="8">
        <v>14568.051044969761</v>
      </c>
      <c r="C13" s="8">
        <v>7112.7626152699086</v>
      </c>
      <c r="D13" s="8">
        <v>7455.2884296997654</v>
      </c>
    </row>
    <row r="14" spans="1:6">
      <c r="A14" s="86" t="s">
        <v>15</v>
      </c>
      <c r="B14" s="8">
        <v>14820.931431404304</v>
      </c>
      <c r="C14" s="8">
        <v>7309.4473602745529</v>
      </c>
      <c r="D14" s="8">
        <v>7511.4840711296638</v>
      </c>
    </row>
    <row r="15" spans="1:6">
      <c r="A15" s="86" t="s">
        <v>16</v>
      </c>
      <c r="B15" s="8">
        <v>15611.684385810731</v>
      </c>
      <c r="C15" s="8">
        <v>7658.6631320174929</v>
      </c>
      <c r="D15" s="8">
        <v>7953.0212537931511</v>
      </c>
    </row>
    <row r="16" spans="1:6">
      <c r="A16" s="86" t="s">
        <v>17</v>
      </c>
      <c r="B16" s="8">
        <v>15374.859896927588</v>
      </c>
      <c r="C16" s="8">
        <v>7595.7775332745114</v>
      </c>
      <c r="D16" s="8">
        <v>7779.0823636529894</v>
      </c>
    </row>
    <row r="17" spans="1:4">
      <c r="A17" s="86" t="s">
        <v>18</v>
      </c>
      <c r="B17" s="8">
        <v>14669.738396128625</v>
      </c>
      <c r="C17" s="8">
        <v>7048.5390250643104</v>
      </c>
      <c r="D17" s="8">
        <v>7621.1993710642273</v>
      </c>
    </row>
    <row r="18" spans="1:4">
      <c r="A18" s="86" t="s">
        <v>19</v>
      </c>
      <c r="B18" s="8">
        <v>14681.780319292175</v>
      </c>
      <c r="C18" s="8">
        <v>7306.7713773493197</v>
      </c>
      <c r="D18" s="8">
        <v>7375.0089419427677</v>
      </c>
    </row>
    <row r="19" spans="1:4">
      <c r="A19" s="86" t="s">
        <v>20</v>
      </c>
      <c r="B19" s="8">
        <v>14668.400404666008</v>
      </c>
      <c r="C19" s="8">
        <v>7213.1119749661557</v>
      </c>
      <c r="D19" s="8">
        <v>7455.2884296997654</v>
      </c>
    </row>
    <row r="20" spans="1:4">
      <c r="A20" s="86" t="s">
        <v>21</v>
      </c>
      <c r="B20" s="8">
        <v>15439.083487133186</v>
      </c>
      <c r="C20" s="8">
        <v>7565.0037296343289</v>
      </c>
      <c r="D20" s="8">
        <v>7874.0797574987701</v>
      </c>
    </row>
    <row r="21" spans="1:4">
      <c r="A21" s="86" t="s">
        <v>22</v>
      </c>
      <c r="B21" s="8">
        <v>14928.117920479346</v>
      </c>
      <c r="C21" s="8">
        <v>7362.8606526050862</v>
      </c>
      <c r="D21" s="8">
        <v>7565.2572678698598</v>
      </c>
    </row>
    <row r="22" spans="1:4">
      <c r="A22" s="86" t="s">
        <v>23</v>
      </c>
      <c r="B22" s="8">
        <v>14381.100041385</v>
      </c>
      <c r="C22" s="8">
        <v>6955.3323326800692</v>
      </c>
      <c r="D22" s="8">
        <v>7425.7677087008942</v>
      </c>
    </row>
    <row r="23" spans="1:4">
      <c r="A23" s="86" t="s">
        <v>24</v>
      </c>
      <c r="B23" s="8">
        <v>13479.888085577064</v>
      </c>
      <c r="C23" s="8">
        <v>6490.3671354501839</v>
      </c>
      <c r="D23" s="8">
        <v>6989.5209501234431</v>
      </c>
    </row>
    <row r="24" spans="1:4">
      <c r="A24" s="86" t="s">
        <v>25</v>
      </c>
      <c r="B24" s="8">
        <v>13031.3334247197</v>
      </c>
      <c r="C24" s="8">
        <v>6166.2590420869992</v>
      </c>
      <c r="D24" s="8">
        <v>6865.074382629562</v>
      </c>
    </row>
    <row r="25" spans="1:4">
      <c r="A25" s="86" t="s">
        <v>26</v>
      </c>
      <c r="B25" s="8">
        <v>12331.150539478936</v>
      </c>
      <c r="C25" s="8">
        <v>5859.9290297943689</v>
      </c>
      <c r="D25" s="8">
        <v>6471.2215096818945</v>
      </c>
    </row>
    <row r="26" spans="1:4">
      <c r="A26" s="86" t="s">
        <v>27</v>
      </c>
      <c r="B26" s="8">
        <v>12822.836176006334</v>
      </c>
      <c r="C26" s="8">
        <v>6055.8292571564371</v>
      </c>
      <c r="D26" s="8">
        <v>6767.0069188472407</v>
      </c>
    </row>
    <row r="27" spans="1:4">
      <c r="A27" s="86" t="s">
        <v>28</v>
      </c>
      <c r="B27" s="8">
        <v>11531.75299707394</v>
      </c>
      <c r="C27" s="8">
        <v>5468.7109847260981</v>
      </c>
      <c r="D27" s="8">
        <v>6063.042012345999</v>
      </c>
    </row>
    <row r="28" spans="1:4">
      <c r="A28" s="86" t="s">
        <v>29</v>
      </c>
      <c r="B28" s="8">
        <v>10126.708286146395</v>
      </c>
      <c r="C28" s="8">
        <v>4702.7163835946239</v>
      </c>
      <c r="D28" s="8">
        <v>5423.9919025508143</v>
      </c>
    </row>
    <row r="29" spans="1:4">
      <c r="A29" s="86" t="s">
        <v>30</v>
      </c>
      <c r="B29" s="8">
        <v>9926.1936918764477</v>
      </c>
      <c r="C29" s="8">
        <v>4728.6823022770468</v>
      </c>
      <c r="D29" s="8">
        <v>5197.5113895985705</v>
      </c>
    </row>
    <row r="30" spans="1:4">
      <c r="A30" s="86" t="s">
        <v>31</v>
      </c>
      <c r="B30" s="8">
        <v>13268.584446721541</v>
      </c>
      <c r="C30" s="8">
        <v>6354.4373220042999</v>
      </c>
      <c r="D30" s="8">
        <v>6914.1471247143036</v>
      </c>
    </row>
    <row r="31" spans="1:4">
      <c r="A31" s="86" t="s">
        <v>32</v>
      </c>
      <c r="B31" s="8">
        <v>11060.038807676294</v>
      </c>
      <c r="C31" s="8">
        <v>5340.3239423518962</v>
      </c>
      <c r="D31" s="8">
        <v>5719.7148653228523</v>
      </c>
    </row>
    <row r="32" spans="1:4">
      <c r="A32" s="86" t="s">
        <v>33</v>
      </c>
      <c r="B32" s="8">
        <v>9678.0749133553618</v>
      </c>
      <c r="C32" s="8">
        <v>4574.3293412204221</v>
      </c>
      <c r="D32" s="8">
        <v>5103.7455721342658</v>
      </c>
    </row>
    <row r="33" spans="1:4">
      <c r="A33" s="86" t="s">
        <v>34</v>
      </c>
      <c r="B33" s="8">
        <v>9353.5009298248715</v>
      </c>
      <c r="C33" s="8">
        <v>4373.8147469506011</v>
      </c>
      <c r="D33" s="8">
        <v>4979.686182873801</v>
      </c>
    </row>
    <row r="34" spans="1:4">
      <c r="A34" s="86" t="s">
        <v>35</v>
      </c>
      <c r="B34" s="8">
        <v>8492.2979601906372</v>
      </c>
      <c r="C34" s="8">
        <v>4127.138519467584</v>
      </c>
      <c r="D34" s="8">
        <v>4365.1594407231269</v>
      </c>
    </row>
    <row r="35" spans="1:4">
      <c r="A35" s="86" t="s">
        <v>36</v>
      </c>
      <c r="B35" s="8">
        <v>8737.5316366358966</v>
      </c>
      <c r="C35" s="8">
        <v>4200.7086224011155</v>
      </c>
      <c r="D35" s="8">
        <v>4536.8230142347002</v>
      </c>
    </row>
    <row r="36" spans="1:4">
      <c r="A36" s="86" t="s">
        <v>37</v>
      </c>
      <c r="B36" s="8">
        <v>8516.9379739275792</v>
      </c>
      <c r="C36" s="8">
        <v>4087.553296886379</v>
      </c>
      <c r="D36" s="8">
        <v>4429.3846770422642</v>
      </c>
    </row>
    <row r="37" spans="1:4">
      <c r="A37" s="86" t="s">
        <v>38</v>
      </c>
      <c r="B37" s="8">
        <v>8475.11050546966</v>
      </c>
      <c r="C37" s="8">
        <v>4063.0337464110548</v>
      </c>
      <c r="D37" s="8">
        <v>4412.0767590596879</v>
      </c>
    </row>
    <row r="38" spans="1:4">
      <c r="A38" s="86" t="s">
        <v>39</v>
      </c>
      <c r="B38" s="8">
        <v>8814.0572326286601</v>
      </c>
      <c r="C38" s="8">
        <v>4298.1329656743937</v>
      </c>
      <c r="D38" s="8">
        <v>4515.9242669551459</v>
      </c>
    </row>
    <row r="39" spans="1:4">
      <c r="A39" s="86" t="s">
        <v>40</v>
      </c>
      <c r="B39" s="8">
        <v>6311.6207576474399</v>
      </c>
      <c r="C39" s="8">
        <v>3263.9848662151958</v>
      </c>
      <c r="D39" s="8">
        <v>3047.6358914329235</v>
      </c>
    </row>
    <row r="40" spans="1:4">
      <c r="A40" s="86" t="s">
        <v>41</v>
      </c>
      <c r="B40" s="8">
        <v>7560.6755053900315</v>
      </c>
      <c r="C40" s="8">
        <v>3840.9154656345886</v>
      </c>
      <c r="D40" s="8">
        <v>3719.7600397565161</v>
      </c>
    </row>
    <row r="41" spans="1:4">
      <c r="A41" s="86" t="s">
        <v>42</v>
      </c>
      <c r="B41" s="8">
        <v>6441.4301425167623</v>
      </c>
      <c r="C41" s="8">
        <v>3132.7331548472839</v>
      </c>
      <c r="D41" s="8">
        <v>3308.6969876701987</v>
      </c>
    </row>
    <row r="42" spans="1:4">
      <c r="A42" s="86" t="s">
        <v>43</v>
      </c>
      <c r="B42" s="8">
        <v>6427.006877531282</v>
      </c>
      <c r="C42" s="8">
        <v>3113.9829103661536</v>
      </c>
      <c r="D42" s="8">
        <v>3313.0239671658442</v>
      </c>
    </row>
    <row r="43" spans="1:4">
      <c r="A43" s="86" t="s">
        <v>44</v>
      </c>
      <c r="B43" s="8">
        <v>5700.0743222630763</v>
      </c>
      <c r="C43" s="8">
        <v>2786.5747951956482</v>
      </c>
      <c r="D43" s="8">
        <v>2913.4995270679146</v>
      </c>
    </row>
    <row r="44" spans="1:4">
      <c r="A44" s="86" t="s">
        <v>45</v>
      </c>
      <c r="B44" s="8">
        <v>5254.3954342117358</v>
      </c>
      <c r="C44" s="8">
        <v>2568.7834939148274</v>
      </c>
      <c r="D44" s="8">
        <v>2685.6119402972545</v>
      </c>
    </row>
    <row r="45" spans="1:4">
      <c r="A45" s="86" t="s">
        <v>46</v>
      </c>
      <c r="B45" s="8">
        <v>5124.5860493424134</v>
      </c>
      <c r="C45" s="8">
        <v>2564.456514419182</v>
      </c>
      <c r="D45" s="8">
        <v>2560.1295349235365</v>
      </c>
    </row>
    <row r="46" spans="1:4">
      <c r="A46" s="86" t="s">
        <v>47</v>
      </c>
      <c r="B46" s="8">
        <v>4944.29523702391</v>
      </c>
      <c r="C46" s="8">
        <v>2449.0703945353034</v>
      </c>
      <c r="D46" s="8">
        <v>2495.2248424888548</v>
      </c>
    </row>
    <row r="47" spans="1:4">
      <c r="A47" s="86" t="s">
        <v>48</v>
      </c>
      <c r="B47" s="8">
        <v>4231.7859467411845</v>
      </c>
      <c r="C47" s="8">
        <v>2017.8147714693073</v>
      </c>
      <c r="D47" s="8">
        <v>2213.9711752719008</v>
      </c>
    </row>
    <row r="48" spans="1:4">
      <c r="A48" s="86" t="s">
        <v>49</v>
      </c>
      <c r="B48" s="8">
        <v>4081.7839908921851</v>
      </c>
      <c r="C48" s="8">
        <v>2038.007342448986</v>
      </c>
      <c r="D48" s="8">
        <v>2043.77664844318</v>
      </c>
    </row>
    <row r="49" spans="1:4">
      <c r="A49" s="86" t="s">
        <v>50</v>
      </c>
      <c r="B49" s="8">
        <v>3246.676948232614</v>
      </c>
      <c r="C49" s="8">
        <v>1726.4648187625139</v>
      </c>
      <c r="D49" s="8">
        <v>1520.212129470081</v>
      </c>
    </row>
    <row r="50" spans="1:4">
      <c r="A50" s="86" t="s">
        <v>51</v>
      </c>
      <c r="B50" s="8">
        <v>4001.0137069734701</v>
      </c>
      <c r="C50" s="8">
        <v>2061.0845664257617</v>
      </c>
      <c r="D50" s="8">
        <v>1939.9291405476893</v>
      </c>
    </row>
    <row r="51" spans="1:4">
      <c r="A51" s="86" t="s">
        <v>52</v>
      </c>
      <c r="B51" s="8">
        <v>3428.8423297794297</v>
      </c>
      <c r="C51" s="8">
        <v>1602.5803126797362</v>
      </c>
      <c r="D51" s="8">
        <v>1826.2620170996986</v>
      </c>
    </row>
    <row r="52" spans="1:4">
      <c r="A52" s="86" t="s">
        <v>53</v>
      </c>
      <c r="B52" s="8">
        <v>3131.5438618794797</v>
      </c>
      <c r="C52" s="8">
        <v>1570.0190519097416</v>
      </c>
      <c r="D52" s="8">
        <v>1561.524809969743</v>
      </c>
    </row>
    <row r="53" spans="1:4">
      <c r="A53" s="86" t="s">
        <v>54</v>
      </c>
      <c r="B53" s="8">
        <v>3220.7334022494647</v>
      </c>
      <c r="C53" s="8">
        <v>1589.8389497697383</v>
      </c>
      <c r="D53" s="8">
        <v>1630.8944524797314</v>
      </c>
    </row>
    <row r="54" spans="1:4">
      <c r="A54" s="86" t="s">
        <v>55</v>
      </c>
      <c r="B54" s="8">
        <v>3479.8077814194212</v>
      </c>
      <c r="C54" s="8">
        <v>1707.3426299397186</v>
      </c>
      <c r="D54" s="8">
        <v>1772.4651514797076</v>
      </c>
    </row>
    <row r="55" spans="1:4">
      <c r="A55" s="86" t="s">
        <v>56</v>
      </c>
      <c r="B55" s="8">
        <v>4172.0884995293291</v>
      </c>
      <c r="C55" s="8">
        <v>2021.6295817196658</v>
      </c>
      <c r="D55" s="8">
        <v>2150.4589178096444</v>
      </c>
    </row>
    <row r="56" spans="1:4">
      <c r="A56" s="86" t="s">
        <v>57</v>
      </c>
      <c r="B56" s="8">
        <v>3329.7428404794464</v>
      </c>
      <c r="C56" s="8">
        <v>1666.2871272297255</v>
      </c>
      <c r="D56" s="8">
        <v>1663.4557132497259</v>
      </c>
    </row>
    <row r="57" spans="1:4">
      <c r="A57" s="86" t="s">
        <v>58</v>
      </c>
      <c r="B57" s="8">
        <v>2511.4642002595838</v>
      </c>
      <c r="C57" s="8">
        <v>1254.3163931397946</v>
      </c>
      <c r="D57" s="8">
        <v>1257.1478071197942</v>
      </c>
    </row>
    <row r="58" spans="1:4">
      <c r="A58" s="86" t="s">
        <v>59</v>
      </c>
      <c r="B58" s="8">
        <v>2532.6998051095802</v>
      </c>
      <c r="C58" s="8">
        <v>1293.956188859788</v>
      </c>
      <c r="D58" s="8">
        <v>1238.7436162497972</v>
      </c>
    </row>
    <row r="59" spans="1:4">
      <c r="A59" s="86" t="s">
        <v>60</v>
      </c>
      <c r="B59" s="8">
        <v>2054.1908424896606</v>
      </c>
      <c r="C59" s="8">
        <v>1033.4661026998317</v>
      </c>
      <c r="D59" s="8">
        <v>1020.7247397898337</v>
      </c>
    </row>
    <row r="60" spans="1:4">
      <c r="A60" s="86" t="s">
        <v>61</v>
      </c>
      <c r="B60" s="8">
        <v>2858.3124128095255</v>
      </c>
      <c r="C60" s="8">
        <v>1455.3467857197609</v>
      </c>
      <c r="D60" s="8">
        <v>1402.9656270897697</v>
      </c>
    </row>
    <row r="61" spans="1:4">
      <c r="A61" s="86" t="s">
        <v>62</v>
      </c>
      <c r="B61" s="8">
        <v>2167.4474016896415</v>
      </c>
      <c r="C61" s="8">
        <v>1037.713223669831</v>
      </c>
      <c r="D61" s="8">
        <v>1129.7341780198155</v>
      </c>
    </row>
    <row r="62" spans="1:4">
      <c r="A62" s="86" t="s">
        <v>63</v>
      </c>
      <c r="B62" s="8">
        <v>2061.2693774396594</v>
      </c>
      <c r="C62" s="8">
        <v>1050.4545865798289</v>
      </c>
      <c r="D62" s="8">
        <v>1010.8147908598354</v>
      </c>
    </row>
    <row r="63" spans="1:4">
      <c r="A63" s="86" t="s">
        <v>64</v>
      </c>
      <c r="B63" s="8">
        <v>1830.5091380696979</v>
      </c>
      <c r="C63" s="8">
        <v>846.59278001986297</v>
      </c>
      <c r="D63" s="8">
        <v>983.91635804983991</v>
      </c>
    </row>
    <row r="64" spans="1:4">
      <c r="A64" s="86" t="s">
        <v>65</v>
      </c>
      <c r="B64" s="8">
        <v>1892.8002456296874</v>
      </c>
      <c r="C64" s="8">
        <v>947.10797630984609</v>
      </c>
      <c r="D64" s="8">
        <v>945.69226931984633</v>
      </c>
    </row>
    <row r="65" spans="1:4">
      <c r="A65" s="86" t="s">
        <v>66</v>
      </c>
      <c r="B65" s="8">
        <v>1839.0033800096965</v>
      </c>
      <c r="C65" s="8">
        <v>937.19802737984776</v>
      </c>
      <c r="D65" s="8">
        <v>901.8053526298537</v>
      </c>
    </row>
    <row r="66" spans="1:4">
      <c r="A66" s="86" t="s">
        <v>67</v>
      </c>
      <c r="B66" s="8">
        <v>1935.2714553296803</v>
      </c>
      <c r="C66" s="8">
        <v>917.37812951985109</v>
      </c>
      <c r="D66" s="8">
        <v>1017.8933258098342</v>
      </c>
    </row>
    <row r="67" spans="1:4">
      <c r="A67" s="86" t="s">
        <v>68</v>
      </c>
      <c r="B67" s="8">
        <v>1530.3792561897483</v>
      </c>
      <c r="C67" s="8">
        <v>730.50480683988246</v>
      </c>
      <c r="D67" s="8">
        <v>799.87444934987082</v>
      </c>
    </row>
    <row r="68" spans="1:4">
      <c r="A68" s="86" t="s">
        <v>69</v>
      </c>
      <c r="B68" s="8">
        <v>1925.361506399682</v>
      </c>
      <c r="C68" s="8">
        <v>952.77080426984514</v>
      </c>
      <c r="D68" s="8">
        <v>972.59070212984182</v>
      </c>
    </row>
    <row r="69" spans="1:4">
      <c r="A69" s="86" t="s">
        <v>70</v>
      </c>
      <c r="B69" s="8">
        <v>1855.9918638896936</v>
      </c>
      <c r="C69" s="8">
        <v>931.53519941984871</v>
      </c>
      <c r="D69" s="8">
        <v>924.4566644698499</v>
      </c>
    </row>
    <row r="70" spans="1:4">
      <c r="A70" s="86" t="s">
        <v>71</v>
      </c>
      <c r="B70" s="8">
        <v>1981.9897859996724</v>
      </c>
      <c r="C70" s="8">
        <v>917.37812951985109</v>
      </c>
      <c r="D70" s="8">
        <v>1064.6116564798265</v>
      </c>
    </row>
    <row r="71" spans="1:4">
      <c r="A71" s="86" t="s">
        <v>72</v>
      </c>
      <c r="B71" s="8">
        <v>1244.168530059166</v>
      </c>
      <c r="C71" s="8">
        <v>642.79659991575795</v>
      </c>
      <c r="D71" s="8">
        <v>601.3719301434104</v>
      </c>
    </row>
    <row r="72" spans="1:4">
      <c r="A72" s="86" t="s">
        <v>73</v>
      </c>
      <c r="B72" s="8">
        <v>1232.7410349495519</v>
      </c>
      <c r="C72" s="8">
        <v>614.22786214172515</v>
      </c>
      <c r="D72" s="8">
        <v>618.51317280783007</v>
      </c>
    </row>
    <row r="73" spans="1:4">
      <c r="A73" s="86" t="s">
        <v>74</v>
      </c>
      <c r="B73" s="8">
        <v>1004.1911327572728</v>
      </c>
      <c r="C73" s="8">
        <v>478.52635771506806</v>
      </c>
      <c r="D73" s="8">
        <v>525.66477504222348</v>
      </c>
    </row>
    <row r="74" spans="1:4">
      <c r="A74" s="86" t="s">
        <v>75</v>
      </c>
      <c r="B74" s="8">
        <v>992.76363764765972</v>
      </c>
      <c r="C74" s="8">
        <v>452.81449371843752</v>
      </c>
      <c r="D74" s="8">
        <v>539.94914392923988</v>
      </c>
    </row>
    <row r="75" spans="1:4">
      <c r="A75" s="86" t="s">
        <v>76</v>
      </c>
      <c r="B75" s="8">
        <v>1071.3276665262538</v>
      </c>
      <c r="C75" s="8">
        <v>515.665716821312</v>
      </c>
      <c r="D75" s="8">
        <v>555.66194970495792</v>
      </c>
    </row>
    <row r="76" spans="1:4">
      <c r="A76" s="86" t="s">
        <v>77</v>
      </c>
      <c r="B76" s="8">
        <v>1139.8926371839379</v>
      </c>
      <c r="C76" s="8">
        <v>582.80225059028908</v>
      </c>
      <c r="D76" s="8">
        <v>557.09038659365956</v>
      </c>
    </row>
    <row r="77" spans="1:4">
      <c r="A77" s="86" t="s">
        <v>78</v>
      </c>
      <c r="B77" s="8">
        <v>867.06119144191541</v>
      </c>
      <c r="C77" s="8">
        <v>422.81731905570189</v>
      </c>
      <c r="D77" s="8">
        <v>444.24387238622734</v>
      </c>
    </row>
    <row r="78" spans="1:4">
      <c r="A78" s="86" t="s">
        <v>79</v>
      </c>
      <c r="B78" s="8">
        <v>951.33896787531216</v>
      </c>
      <c r="C78" s="8">
        <v>482.81166838117315</v>
      </c>
      <c r="D78" s="8">
        <v>468.52729949415618</v>
      </c>
    </row>
    <row r="79" spans="1:4">
      <c r="A79" s="86" t="s">
        <v>80</v>
      </c>
      <c r="B79" s="8">
        <v>875.63181277412525</v>
      </c>
      <c r="C79" s="8">
        <v>441.38699860882394</v>
      </c>
      <c r="D79" s="8">
        <v>434.24481416531546</v>
      </c>
    </row>
    <row r="80" spans="1:4">
      <c r="A80" s="86" t="s">
        <v>81</v>
      </c>
      <c r="B80" s="8">
        <v>1174.17512251278</v>
      </c>
      <c r="C80" s="8">
        <v>567.08944481457104</v>
      </c>
      <c r="D80" s="8">
        <v>607.08567769821695</v>
      </c>
    </row>
    <row r="81" spans="1:4">
      <c r="A81" s="86" t="s">
        <v>82</v>
      </c>
      <c r="B81" s="8">
        <v>648.51034747056451</v>
      </c>
      <c r="C81" s="8">
        <v>271.40300885332204</v>
      </c>
      <c r="D81" s="8">
        <v>377.10733861724759</v>
      </c>
    </row>
    <row r="82" spans="1:4">
      <c r="A82" s="86" t="s">
        <v>83</v>
      </c>
      <c r="B82" s="8">
        <v>617.08473591912843</v>
      </c>
      <c r="C82" s="8">
        <v>301.40018351605767</v>
      </c>
      <c r="D82" s="8">
        <v>315.68455240307463</v>
      </c>
    </row>
    <row r="83" spans="1:4">
      <c r="A83" s="86" t="s">
        <v>84</v>
      </c>
      <c r="B83" s="8">
        <v>481.38323149247145</v>
      </c>
      <c r="C83" s="8">
        <v>224.26459152616607</v>
      </c>
      <c r="D83" s="8">
        <v>257.11863996630507</v>
      </c>
    </row>
    <row r="84" spans="1:4">
      <c r="A84" s="86" t="s">
        <v>85</v>
      </c>
      <c r="B84" s="8">
        <v>512.80884304390872</v>
      </c>
      <c r="C84" s="8">
        <v>227.12146530356947</v>
      </c>
      <c r="D84" s="8">
        <v>285.687377740339</v>
      </c>
    </row>
    <row r="85" spans="1:4">
      <c r="A85" s="86" t="s">
        <v>86</v>
      </c>
      <c r="B85" s="8">
        <v>634.22597858354811</v>
      </c>
      <c r="C85" s="8">
        <v>259.97551374370846</v>
      </c>
      <c r="D85" s="8">
        <v>374.2504648398442</v>
      </c>
    </row>
    <row r="86" spans="1:4">
      <c r="A86" s="86" t="s">
        <v>87</v>
      </c>
      <c r="B86" s="8">
        <v>517.09415371001364</v>
      </c>
      <c r="C86" s="8">
        <v>225.69302841486777</v>
      </c>
      <c r="D86" s="8">
        <v>291.40112529514579</v>
      </c>
    </row>
    <row r="87" spans="1:4">
      <c r="A87" s="86" t="s">
        <v>88</v>
      </c>
      <c r="B87" s="8">
        <v>465.67042571675279</v>
      </c>
      <c r="C87" s="8">
        <v>235.69208663577965</v>
      </c>
      <c r="D87" s="8">
        <v>229.97833908097286</v>
      </c>
    </row>
    <row r="88" spans="1:4">
      <c r="A88" s="86" t="s">
        <v>89</v>
      </c>
      <c r="B88" s="8">
        <v>591.37287192249892</v>
      </c>
      <c r="C88" s="8">
        <v>274.25988263072543</v>
      </c>
      <c r="D88" s="8">
        <v>317.11298929177633</v>
      </c>
    </row>
    <row r="89" spans="1:4">
      <c r="A89" s="86" t="s">
        <v>90</v>
      </c>
      <c r="B89" s="8">
        <v>551.376639038853</v>
      </c>
      <c r="C89" s="8">
        <v>249.97645552279661</v>
      </c>
      <c r="D89" s="8">
        <v>301.40018351605767</v>
      </c>
    </row>
    <row r="90" spans="1:4">
      <c r="A90" s="86" t="s">
        <v>91</v>
      </c>
      <c r="B90" s="8">
        <v>668.50846391238747</v>
      </c>
      <c r="C90" s="8">
        <v>328.5404844013899</v>
      </c>
      <c r="D90" s="8">
        <v>339.96797951100348</v>
      </c>
    </row>
    <row r="91" spans="1:4">
      <c r="A91" s="86" t="s">
        <v>92</v>
      </c>
      <c r="B91" s="8">
        <v>157.12805775718633</v>
      </c>
      <c r="C91" s="8">
        <v>74.278718212487917</v>
      </c>
      <c r="D91" s="8">
        <v>82.849339544698097</v>
      </c>
    </row>
    <row r="92" spans="1:4">
      <c r="A92" s="86" t="s">
        <v>93</v>
      </c>
      <c r="B92" s="8">
        <v>108.56120354132864</v>
      </c>
      <c r="C92" s="8">
        <v>51.423727993260833</v>
      </c>
      <c r="D92" s="8">
        <v>57.137475548067592</v>
      </c>
    </row>
    <row r="93" spans="1:4">
      <c r="A93" s="86" t="s">
        <v>94</v>
      </c>
      <c r="B93" s="8">
        <v>102.84745598652185</v>
      </c>
      <c r="C93" s="8">
        <v>49.995291104559143</v>
      </c>
      <c r="D93" s="8">
        <v>52.852164881962523</v>
      </c>
    </row>
    <row r="94" spans="1:4">
      <c r="A94" s="86" t="s">
        <v>95</v>
      </c>
      <c r="B94" s="8">
        <v>111.41807731873203</v>
      </c>
      <c r="C94" s="8">
        <v>55.709038659365902</v>
      </c>
      <c r="D94" s="8">
        <v>55.709038659365902</v>
      </c>
    </row>
    <row r="95" spans="1:4">
      <c r="A95" s="86" t="s">
        <v>96</v>
      </c>
      <c r="B95" s="8">
        <v>105.70432976392524</v>
      </c>
      <c r="C95" s="8">
        <v>38.567795994945627</v>
      </c>
      <c r="D95" s="8">
        <v>67.136533768979433</v>
      </c>
    </row>
    <row r="96" spans="1:4">
      <c r="A96" s="86" t="s">
        <v>97</v>
      </c>
      <c r="B96" s="8">
        <v>121.41713553964391</v>
      </c>
      <c r="C96" s="8">
        <v>49.995291104559143</v>
      </c>
      <c r="D96" s="8">
        <v>71.421844435084523</v>
      </c>
    </row>
    <row r="97" spans="1:5">
      <c r="A97" s="86" t="s">
        <v>98</v>
      </c>
      <c r="B97" s="8">
        <v>74.278718212487917</v>
      </c>
      <c r="C97" s="8">
        <v>25.711863996630417</v>
      </c>
      <c r="D97" s="8">
        <v>48.566854215857454</v>
      </c>
    </row>
    <row r="98" spans="1:5">
      <c r="A98" s="86" t="s">
        <v>99</v>
      </c>
      <c r="B98" s="8">
        <v>79.992465767294703</v>
      </c>
      <c r="C98" s="8">
        <v>27.140300885332106</v>
      </c>
      <c r="D98" s="8">
        <v>52.852164881962523</v>
      </c>
    </row>
    <row r="99" spans="1:5">
      <c r="A99" s="86" t="s">
        <v>100</v>
      </c>
      <c r="B99" s="8">
        <v>95.705271543013367</v>
      </c>
      <c r="C99" s="8">
        <v>47.138417327155764</v>
      </c>
      <c r="D99" s="8">
        <v>48.566854215857454</v>
      </c>
    </row>
    <row r="100" spans="1:5">
      <c r="A100" s="86" t="s">
        <v>101</v>
      </c>
      <c r="B100" s="8">
        <v>209.9802226391491</v>
      </c>
      <c r="C100" s="8">
        <v>84.277776433399794</v>
      </c>
      <c r="D100" s="8">
        <v>125.702446205749</v>
      </c>
    </row>
    <row r="101" spans="1:5">
      <c r="A101" s="87" t="s">
        <v>146</v>
      </c>
      <c r="B101" s="9">
        <v>305.68549418216179</v>
      </c>
      <c r="C101" s="9">
        <v>148.55743642497586</v>
      </c>
      <c r="D101" s="9">
        <v>157.12805775718596</v>
      </c>
      <c r="E101" s="88"/>
    </row>
    <row r="102" spans="1:5">
      <c r="A102" s="26"/>
      <c r="B102" s="31"/>
      <c r="C102" s="31"/>
      <c r="D102" s="31"/>
    </row>
    <row r="103" spans="1:5">
      <c r="A103" s="26"/>
      <c r="B103" s="31"/>
      <c r="C103" s="31"/>
      <c r="D103" s="31"/>
    </row>
    <row r="104" spans="1:5">
      <c r="A104" s="26"/>
      <c r="B104" s="31"/>
      <c r="C104" s="31"/>
      <c r="D104" s="31"/>
    </row>
    <row r="105" spans="1:5">
      <c r="A105" s="26"/>
      <c r="B105" s="31"/>
      <c r="C105" s="31"/>
      <c r="D105" s="31"/>
    </row>
    <row r="106" spans="1:5">
      <c r="A106" s="26"/>
      <c r="B106" s="31"/>
      <c r="C106" s="31"/>
      <c r="D106" s="31"/>
    </row>
    <row r="107" spans="1:5">
      <c r="A107" s="26"/>
      <c r="B107" s="31"/>
      <c r="C107" s="31"/>
      <c r="D107" s="31"/>
    </row>
    <row r="108" spans="1:5">
      <c r="A108" s="26"/>
      <c r="B108" s="31"/>
      <c r="C108" s="31"/>
      <c r="D108" s="31"/>
    </row>
    <row r="109" spans="1:5">
      <c r="A109" s="26"/>
      <c r="B109" s="31"/>
      <c r="C109" s="31"/>
      <c r="D109" s="31"/>
    </row>
    <row r="110" spans="1:5">
      <c r="A110" s="26"/>
      <c r="B110" s="31"/>
      <c r="C110" s="31"/>
      <c r="D110" s="31"/>
    </row>
    <row r="111" spans="1:5">
      <c r="A111" s="26"/>
      <c r="B111" s="31"/>
      <c r="C111" s="31"/>
      <c r="D111" s="31"/>
    </row>
    <row r="112" spans="1:5">
      <c r="A112" s="26"/>
      <c r="B112" s="31"/>
      <c r="C112" s="31"/>
      <c r="D112" s="31"/>
    </row>
    <row r="113" spans="1:4">
      <c r="A113" s="26"/>
      <c r="B113" s="31"/>
      <c r="C113" s="31"/>
      <c r="D113" s="31"/>
    </row>
    <row r="114" spans="1:4">
      <c r="A114" s="26"/>
      <c r="B114" s="31"/>
      <c r="C114" s="31"/>
      <c r="D114" s="31"/>
    </row>
    <row r="115" spans="1:4">
      <c r="A115" s="26"/>
      <c r="B115" s="31"/>
      <c r="C115" s="31"/>
      <c r="D115" s="31"/>
    </row>
    <row r="116" spans="1:4">
      <c r="A116" s="26"/>
      <c r="B116" s="31"/>
      <c r="C116" s="31"/>
      <c r="D116" s="31"/>
    </row>
    <row r="117" spans="1:4">
      <c r="A117" s="26"/>
      <c r="B117" s="31"/>
      <c r="C117" s="31"/>
      <c r="D117" s="31"/>
    </row>
    <row r="118" spans="1:4">
      <c r="A118" s="26"/>
      <c r="B118" s="31"/>
      <c r="C118" s="31"/>
      <c r="D118" s="31"/>
    </row>
    <row r="119" spans="1:4">
      <c r="A119" s="26"/>
      <c r="B119" s="31"/>
      <c r="C119" s="31"/>
      <c r="D119" s="31"/>
    </row>
    <row r="120" spans="1:4">
      <c r="A120" s="26"/>
      <c r="B120" s="31"/>
      <c r="C120" s="31"/>
      <c r="D120" s="31"/>
    </row>
    <row r="121" spans="1:4">
      <c r="A121" s="26"/>
      <c r="B121" s="31"/>
      <c r="C121" s="31"/>
      <c r="D121" s="3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B6" sqref="B6"/>
    </sheetView>
  </sheetViews>
  <sheetFormatPr defaultColWidth="17.140625" defaultRowHeight="14.25" customHeight="1"/>
  <cols>
    <col min="1" max="1" width="16.85546875" style="5" customWidth="1"/>
    <col min="2" max="2" width="10.28515625" style="5" customWidth="1"/>
    <col min="3" max="3" width="12.140625" style="5" customWidth="1"/>
    <col min="4" max="4" width="12.5703125" style="5" customWidth="1"/>
    <col min="5" max="7" width="0" style="5" hidden="1" customWidth="1"/>
    <col min="8" max="16384" width="17.140625" style="5"/>
  </cols>
  <sheetData>
    <row r="1" spans="1:9" ht="15">
      <c r="A1" s="935" t="s">
        <v>102</v>
      </c>
      <c r="B1" s="935"/>
      <c r="C1" s="935"/>
      <c r="D1" s="935"/>
    </row>
    <row r="2" spans="1:9" ht="26.25" customHeight="1">
      <c r="A2" s="12" t="s">
        <v>532</v>
      </c>
      <c r="B2" s="855" t="s">
        <v>0</v>
      </c>
      <c r="C2" s="855" t="s">
        <v>1</v>
      </c>
      <c r="D2" s="855" t="s">
        <v>2</v>
      </c>
    </row>
    <row r="3" spans="1:9" ht="15">
      <c r="A3" s="155" t="s">
        <v>147</v>
      </c>
      <c r="B3" s="156">
        <v>570447.17662695551</v>
      </c>
      <c r="C3" s="156">
        <v>278700.87938373233</v>
      </c>
      <c r="D3" s="156">
        <v>291746.29724206449</v>
      </c>
    </row>
    <row r="4" spans="1:9" ht="15">
      <c r="A4" s="13"/>
      <c r="B4" s="14"/>
      <c r="C4" s="14"/>
      <c r="D4" s="14"/>
      <c r="E4" s="138">
        <v>2024</v>
      </c>
      <c r="F4" s="138"/>
      <c r="G4" s="138"/>
    </row>
    <row r="5" spans="1:9" ht="15">
      <c r="A5" s="157" t="s">
        <v>103</v>
      </c>
      <c r="B5" s="158"/>
      <c r="C5" s="158"/>
      <c r="D5" s="158"/>
      <c r="E5" s="25" t="s">
        <v>165</v>
      </c>
      <c r="F5" s="25" t="s">
        <v>166</v>
      </c>
      <c r="G5" s="25" t="s">
        <v>2</v>
      </c>
    </row>
    <row r="6" spans="1:9" ht="14.25" customHeight="1">
      <c r="A6" s="42" t="s">
        <v>105</v>
      </c>
      <c r="B6" s="15">
        <v>88520.605997207575</v>
      </c>
      <c r="C6" s="15">
        <v>44099.902799626885</v>
      </c>
      <c r="D6" s="15">
        <v>44420.703197524235</v>
      </c>
      <c r="E6" s="139">
        <f t="shared" ref="E6:E25" si="0">+C6/$B$3*100</f>
        <v>7.7307601135636892</v>
      </c>
      <c r="F6" s="139">
        <f>+E6*(-1)</f>
        <v>-7.7307601135636892</v>
      </c>
      <c r="G6" s="139">
        <f t="shared" ref="G6:G25" si="1">+D6/$B$3*100</f>
        <v>7.786996766323413</v>
      </c>
      <c r="H6" s="185"/>
    </row>
    <row r="7" spans="1:9" ht="15">
      <c r="A7" s="42" t="s">
        <v>106</v>
      </c>
      <c r="B7" s="15">
        <v>77358.652393984274</v>
      </c>
      <c r="C7" s="15">
        <v>38182.262368675911</v>
      </c>
      <c r="D7" s="15">
        <v>39176.390025397362</v>
      </c>
      <c r="E7" s="139">
        <f t="shared" si="0"/>
        <v>6.6933914187194299</v>
      </c>
      <c r="F7" s="139">
        <f t="shared" ref="F7:F25" si="2">+E7*(-1)</f>
        <v>-6.6933914187194299</v>
      </c>
      <c r="G7" s="139">
        <f t="shared" si="1"/>
        <v>6.8676630598904342</v>
      </c>
      <c r="H7" s="186"/>
      <c r="I7" s="185"/>
    </row>
    <row r="8" spans="1:9" ht="15">
      <c r="A8" s="42" t="s">
        <v>107</v>
      </c>
      <c r="B8" s="15">
        <v>74833.862504033561</v>
      </c>
      <c r="C8" s="15">
        <v>36729.203640278203</v>
      </c>
      <c r="D8" s="15">
        <v>38104.658863844357</v>
      </c>
      <c r="E8" s="139">
        <f t="shared" si="0"/>
        <v>6.4386686699822695</v>
      </c>
      <c r="F8" s="139">
        <f t="shared" si="2"/>
        <v>-6.4386686699822695</v>
      </c>
      <c r="G8" s="139">
        <f t="shared" si="1"/>
        <v>6.6797874413467264</v>
      </c>
      <c r="H8" s="186"/>
      <c r="I8" s="185"/>
    </row>
    <row r="9" spans="1:9" ht="15">
      <c r="A9" s="42" t="s">
        <v>108</v>
      </c>
      <c r="B9" s="15">
        <v>68151.590011647597</v>
      </c>
      <c r="C9" s="15">
        <v>32834.748192632775</v>
      </c>
      <c r="D9" s="15">
        <v>35316.841819023371</v>
      </c>
      <c r="E9" s="139">
        <f t="shared" si="0"/>
        <v>5.7559664659546721</v>
      </c>
      <c r="F9" s="139">
        <f t="shared" si="2"/>
        <v>-5.7559664659546721</v>
      </c>
      <c r="G9" s="139">
        <f t="shared" si="1"/>
        <v>6.1910801325814706</v>
      </c>
    </row>
    <row r="10" spans="1:9" ht="15">
      <c r="A10" s="42" t="s">
        <v>109</v>
      </c>
      <c r="B10" s="15">
        <v>57676.075597855015</v>
      </c>
      <c r="C10" s="15">
        <v>27310.376249755729</v>
      </c>
      <c r="D10" s="15">
        <v>30365.699348052225</v>
      </c>
      <c r="E10" s="139">
        <f t="shared" si="0"/>
        <v>4.7875381575629001</v>
      </c>
      <c r="F10" s="139">
        <f t="shared" si="2"/>
        <v>-4.7875381575629001</v>
      </c>
      <c r="G10" s="139">
        <f t="shared" si="1"/>
        <v>5.3231395635270022</v>
      </c>
    </row>
    <row r="11" spans="1:9" ht="15">
      <c r="A11" s="42" t="s">
        <v>110</v>
      </c>
      <c r="B11" s="15">
        <v>47321.444247700361</v>
      </c>
      <c r="C11" s="15">
        <v>22616.315172391802</v>
      </c>
      <c r="D11" s="15">
        <v>24705.129075287612</v>
      </c>
      <c r="E11" s="139">
        <f t="shared" si="0"/>
        <v>3.9646642316860414</v>
      </c>
      <c r="F11" s="139">
        <f t="shared" si="2"/>
        <v>-3.9646642316860414</v>
      </c>
      <c r="G11" s="139">
        <f t="shared" si="1"/>
        <v>4.330835542279063</v>
      </c>
    </row>
    <row r="12" spans="1:9" ht="15">
      <c r="A12" s="42" t="s">
        <v>111</v>
      </c>
      <c r="B12" s="15">
        <v>39678.401975059925</v>
      </c>
      <c r="C12" s="15">
        <v>19553.620340824044</v>
      </c>
      <c r="D12" s="15">
        <v>20124.781634249422</v>
      </c>
      <c r="E12" s="139">
        <f t="shared" si="0"/>
        <v>3.4277705529974343</v>
      </c>
      <c r="F12" s="139">
        <f t="shared" si="2"/>
        <v>-3.4277705529974343</v>
      </c>
      <c r="G12" s="139">
        <f t="shared" si="1"/>
        <v>3.5278957384357503</v>
      </c>
    </row>
    <row r="13" spans="1:9" ht="15">
      <c r="A13" s="42" t="s">
        <v>112</v>
      </c>
      <c r="B13" s="15">
        <v>28947.492825873269</v>
      </c>
      <c r="C13" s="15">
        <v>14166.530868743765</v>
      </c>
      <c r="D13" s="15">
        <v>14780.961957125612</v>
      </c>
      <c r="E13" s="139">
        <f t="shared" si="0"/>
        <v>2.4834080085224053</v>
      </c>
      <c r="F13" s="139">
        <f t="shared" si="2"/>
        <v>-2.4834080085224053</v>
      </c>
      <c r="G13" s="139">
        <f t="shared" si="1"/>
        <v>2.5911184352818064</v>
      </c>
    </row>
    <row r="14" spans="1:9" ht="15">
      <c r="A14" s="42" t="s">
        <v>113</v>
      </c>
      <c r="B14" s="15">
        <v>20505.555829866342</v>
      </c>
      <c r="C14" s="15">
        <v>10292.44189364132</v>
      </c>
      <c r="D14" s="15">
        <v>10213.113936221129</v>
      </c>
      <c r="E14" s="139">
        <f t="shared" si="0"/>
        <v>1.8042760689079669</v>
      </c>
      <c r="F14" s="139">
        <f t="shared" si="2"/>
        <v>-1.8042760689079669</v>
      </c>
      <c r="G14" s="139">
        <f t="shared" si="1"/>
        <v>1.7903697931526452</v>
      </c>
    </row>
    <row r="15" spans="1:9" ht="15">
      <c r="A15" s="42" t="s">
        <v>114</v>
      </c>
      <c r="B15" s="15">
        <v>17433.015874855428</v>
      </c>
      <c r="C15" s="15">
        <v>8491.4105260197994</v>
      </c>
      <c r="D15" s="15">
        <v>8941.6053488395792</v>
      </c>
      <c r="E15" s="139">
        <f t="shared" si="0"/>
        <v>1.4885533444532701</v>
      </c>
      <c r="F15" s="139">
        <f t="shared" si="2"/>
        <v>-1.4885533444532701</v>
      </c>
      <c r="G15" s="139">
        <f t="shared" si="1"/>
        <v>1.567472978253857</v>
      </c>
    </row>
    <row r="16" spans="1:9" ht="15">
      <c r="A16" s="42" t="s">
        <v>115</v>
      </c>
      <c r="B16" s="15">
        <v>13286.410101147454</v>
      </c>
      <c r="C16" s="15">
        <v>6703.3725976497171</v>
      </c>
      <c r="D16" s="15">
        <v>6583.0375034996987</v>
      </c>
      <c r="E16" s="139">
        <f t="shared" si="0"/>
        <v>1.1751083837922813</v>
      </c>
      <c r="F16" s="139">
        <f t="shared" si="2"/>
        <v>-1.1751083837922813</v>
      </c>
      <c r="G16" s="139">
        <f t="shared" si="1"/>
        <v>1.1540135131222995</v>
      </c>
    </row>
    <row r="17" spans="1:7" ht="15">
      <c r="A17" s="43" t="s">
        <v>116</v>
      </c>
      <c r="B17" s="15">
        <v>9791.0295428391637</v>
      </c>
      <c r="C17" s="15">
        <v>4819.0665939594282</v>
      </c>
      <c r="D17" s="15">
        <v>4971.9629488794517</v>
      </c>
      <c r="E17" s="139">
        <f t="shared" si="0"/>
        <v>0.84478752659527345</v>
      </c>
      <c r="F17" s="139">
        <f t="shared" si="2"/>
        <v>-0.84478752659527345</v>
      </c>
      <c r="G17" s="139">
        <f t="shared" si="1"/>
        <v>0.87159042109360307</v>
      </c>
    </row>
    <row r="18" spans="1:7" ht="15">
      <c r="A18" s="43" t="s">
        <v>117</v>
      </c>
      <c r="B18" s="15">
        <v>9228.9938678094386</v>
      </c>
      <c r="C18" s="15">
        <v>4449.5670695693716</v>
      </c>
      <c r="D18" s="15">
        <v>4779.4267982394222</v>
      </c>
      <c r="E18" s="139">
        <f t="shared" si="0"/>
        <v>0.78001386489097657</v>
      </c>
      <c r="F18" s="139">
        <f t="shared" si="2"/>
        <v>-0.78001386489097657</v>
      </c>
      <c r="G18" s="139">
        <f t="shared" si="1"/>
        <v>0.83783862802163234</v>
      </c>
    </row>
    <row r="19" spans="1:7" ht="15">
      <c r="A19" s="42" t="s">
        <v>118</v>
      </c>
      <c r="B19" s="15">
        <v>5545.1920019400504</v>
      </c>
      <c r="C19" s="15">
        <v>2704.0310303122537</v>
      </c>
      <c r="D19" s="15">
        <v>2841.1609716276002</v>
      </c>
      <c r="E19" s="139">
        <f t="shared" si="0"/>
        <v>0.4740195308356408</v>
      </c>
      <c r="F19" s="139">
        <f t="shared" si="2"/>
        <v>-0.4740195308356408</v>
      </c>
      <c r="G19" s="139">
        <f t="shared" si="1"/>
        <v>0.49805855617120187</v>
      </c>
    </row>
    <row r="20" spans="1:7" ht="15">
      <c r="A20" s="42" t="s">
        <v>119</v>
      </c>
      <c r="B20" s="15">
        <v>5008.0997317881056</v>
      </c>
      <c r="C20" s="15">
        <v>2496.9076814505324</v>
      </c>
      <c r="D20" s="15">
        <v>2511.1920503375477</v>
      </c>
      <c r="E20" s="139">
        <f t="shared" si="0"/>
        <v>0.43771058631838716</v>
      </c>
      <c r="F20" s="139">
        <f t="shared" si="2"/>
        <v>-0.43771058631838716</v>
      </c>
      <c r="G20" s="139">
        <f t="shared" si="1"/>
        <v>0.44021465145750804</v>
      </c>
    </row>
    <row r="21" spans="1:7" ht="15">
      <c r="A21" s="42" t="s">
        <v>120</v>
      </c>
      <c r="B21" s="15">
        <v>2894.0131365095567</v>
      </c>
      <c r="C21" s="15">
        <v>1284.1647629428151</v>
      </c>
      <c r="D21" s="15">
        <v>1609.8483735668149</v>
      </c>
      <c r="E21" s="139">
        <f t="shared" si="0"/>
        <v>0.22511545600699778</v>
      </c>
      <c r="F21" s="139">
        <f t="shared" si="2"/>
        <v>-0.22511545600699778</v>
      </c>
      <c r="G21" s="139">
        <f t="shared" si="1"/>
        <v>0.28220814117896437</v>
      </c>
    </row>
    <row r="22" spans="1:7" ht="15">
      <c r="A22" s="42" t="s">
        <v>121</v>
      </c>
      <c r="B22" s="15">
        <v>2794.0225543004499</v>
      </c>
      <c r="C22" s="15">
        <v>1314.1619376055519</v>
      </c>
      <c r="D22" s="15">
        <v>1479.8606166949553</v>
      </c>
      <c r="E22" s="139">
        <f t="shared" si="0"/>
        <v>0.2303739927991526</v>
      </c>
      <c r="F22" s="139">
        <f t="shared" si="2"/>
        <v>-0.2303739927991526</v>
      </c>
      <c r="G22" s="139">
        <f t="shared" si="1"/>
        <v>0.25942114841296016</v>
      </c>
    </row>
    <row r="23" spans="1:7" ht="14.25" customHeight="1">
      <c r="A23" s="42" t="s">
        <v>122</v>
      </c>
      <c r="B23" s="15">
        <v>585.65912436769236</v>
      </c>
      <c r="C23" s="15">
        <v>269.97457196462034</v>
      </c>
      <c r="D23" s="15">
        <v>315.68455240307463</v>
      </c>
      <c r="E23" s="139">
        <f t="shared" si="0"/>
        <v>4.73268311293914E-2</v>
      </c>
      <c r="F23" s="139">
        <f t="shared" si="2"/>
        <v>-4.73268311293914E-2</v>
      </c>
      <c r="G23" s="139">
        <f t="shared" si="1"/>
        <v>5.5339839574579372E-2</v>
      </c>
    </row>
    <row r="24" spans="1:7" ht="10.5" customHeight="1">
      <c r="A24" s="44" t="s">
        <v>123</v>
      </c>
      <c r="B24" s="16">
        <v>581.37381370158744</v>
      </c>
      <c r="C24" s="16">
        <v>234.26364974707795</v>
      </c>
      <c r="D24" s="16">
        <v>347.11016395451196</v>
      </c>
      <c r="E24" s="139">
        <f t="shared" si="0"/>
        <v>4.1066668281588309E-2</v>
      </c>
      <c r="F24" s="139">
        <f t="shared" si="2"/>
        <v>-4.1066668281588309E-2</v>
      </c>
      <c r="G24" s="139">
        <f t="shared" si="1"/>
        <v>6.0848782880646109E-2</v>
      </c>
    </row>
    <row r="25" spans="1:7" ht="15" customHeight="1">
      <c r="A25" s="45" t="s">
        <v>104</v>
      </c>
      <c r="B25" s="18">
        <v>305.68549418216276</v>
      </c>
      <c r="C25" s="18">
        <v>148.55743642497615</v>
      </c>
      <c r="D25" s="18">
        <v>157.12805775718633</v>
      </c>
      <c r="E25" s="139">
        <f t="shared" si="0"/>
        <v>2.6042277446860856E-2</v>
      </c>
      <c r="F25" s="139">
        <f t="shared" si="2"/>
        <v>-2.6042277446860856E-2</v>
      </c>
      <c r="G25" s="139">
        <f t="shared" si="1"/>
        <v>2.7544716530333604E-2</v>
      </c>
    </row>
    <row r="26" spans="1:7" ht="15" customHeight="1">
      <c r="A26" s="17"/>
      <c r="B26" s="17"/>
      <c r="C26" s="17"/>
      <c r="D26" s="17"/>
    </row>
    <row r="27" spans="1:7" ht="14.25" customHeight="1">
      <c r="E27" s="13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84"/>
  <sheetViews>
    <sheetView zoomScale="98" zoomScaleNormal="98" workbookViewId="0">
      <selection activeCell="G6" sqref="G6"/>
    </sheetView>
  </sheetViews>
  <sheetFormatPr defaultColWidth="14.85546875" defaultRowHeight="12.75" customHeight="1"/>
  <cols>
    <col min="1" max="1" width="18.140625" style="5" customWidth="1"/>
    <col min="2" max="2" width="9.85546875" style="5" customWidth="1"/>
    <col min="3" max="3" width="11" style="5" customWidth="1"/>
    <col min="4" max="4" width="10" style="5" customWidth="1"/>
    <col min="5" max="5" width="10.7109375" style="5" customWidth="1"/>
    <col min="6" max="6" width="7" style="26" customWidth="1"/>
    <col min="7" max="43" width="14.85546875" style="26"/>
    <col min="44" max="16384" width="14.85546875" style="5"/>
  </cols>
  <sheetData>
    <row r="1" spans="1:43" ht="23.25" customHeight="1">
      <c r="A1" s="936" t="s">
        <v>545</v>
      </c>
      <c r="B1" s="936"/>
      <c r="C1" s="936"/>
      <c r="D1" s="936"/>
      <c r="E1" s="936"/>
    </row>
    <row r="2" spans="1:43" ht="15">
      <c r="A2" s="939" t="s">
        <v>314</v>
      </c>
      <c r="B2" s="937" t="s">
        <v>0</v>
      </c>
      <c r="C2" s="937" t="s">
        <v>124</v>
      </c>
      <c r="D2" s="937" t="s">
        <v>125</v>
      </c>
      <c r="E2" s="937" t="s">
        <v>126</v>
      </c>
    </row>
    <row r="3" spans="1:43" ht="15">
      <c r="A3" s="940"/>
      <c r="B3" s="938"/>
      <c r="C3" s="938"/>
      <c r="D3" s="938"/>
      <c r="E3" s="938"/>
    </row>
    <row r="4" spans="1:43" ht="15">
      <c r="A4" s="159" t="s">
        <v>147</v>
      </c>
      <c r="B4" s="160">
        <v>570447.17662695551</v>
      </c>
      <c r="C4" s="160">
        <v>240713.12089483527</v>
      </c>
      <c r="D4" s="160">
        <v>312020.00987445994</v>
      </c>
      <c r="E4" s="160">
        <v>17714.045856792225</v>
      </c>
    </row>
    <row r="5" spans="1:43" ht="15">
      <c r="A5" s="913"/>
      <c r="B5" s="914"/>
      <c r="C5" s="914"/>
      <c r="D5" s="914"/>
      <c r="E5" s="914"/>
    </row>
    <row r="6" spans="1:43" ht="15">
      <c r="A6" s="159" t="s">
        <v>3</v>
      </c>
      <c r="B6" s="162"/>
      <c r="C6" s="162"/>
      <c r="D6" s="162"/>
      <c r="E6" s="162"/>
    </row>
    <row r="7" spans="1:43" s="10" customFormat="1" ht="15">
      <c r="A7" s="51" t="s">
        <v>4</v>
      </c>
      <c r="B7" s="27">
        <v>391855.92340030614</v>
      </c>
      <c r="C7" s="27">
        <v>165806.97744741236</v>
      </c>
      <c r="D7" s="27">
        <v>215791.34065501232</v>
      </c>
      <c r="E7" s="27">
        <v>10257.605297767885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 ht="15">
      <c r="A8" s="49" t="s">
        <v>5</v>
      </c>
      <c r="B8" s="19">
        <v>178591.25322581443</v>
      </c>
      <c r="C8" s="19">
        <v>74906.143447672774</v>
      </c>
      <c r="D8" s="19">
        <v>96228.669219247386</v>
      </c>
      <c r="E8" s="19">
        <v>7456.4405590233009</v>
      </c>
    </row>
    <row r="9" spans="1:43" ht="15">
      <c r="A9" s="161" t="s">
        <v>142</v>
      </c>
      <c r="B9" s="162"/>
      <c r="C9" s="162"/>
      <c r="D9" s="162"/>
      <c r="E9" s="163"/>
    </row>
    <row r="10" spans="1:43" ht="13.5" customHeight="1">
      <c r="A10" s="140" t="s">
        <v>148</v>
      </c>
      <c r="B10" s="32">
        <v>382634.98871321097</v>
      </c>
      <c r="C10" s="32">
        <v>159765.75699379228</v>
      </c>
      <c r="D10" s="32">
        <v>212524.49177135981</v>
      </c>
      <c r="E10" s="32">
        <v>10344.739947978705</v>
      </c>
    </row>
    <row r="11" spans="1:43" ht="13.5" customHeight="1">
      <c r="A11" s="52" t="s">
        <v>148</v>
      </c>
      <c r="B11" s="29">
        <v>382634.98871321097</v>
      </c>
      <c r="C11" s="19">
        <v>159765.75699379228</v>
      </c>
      <c r="D11" s="19">
        <v>212524.49177135981</v>
      </c>
      <c r="E11" s="19">
        <v>10344.739947978705</v>
      </c>
    </row>
    <row r="12" spans="1:43" ht="13.5" customHeight="1">
      <c r="A12" s="140" t="s">
        <v>149</v>
      </c>
      <c r="B12" s="32">
        <v>30231.271440747085</v>
      </c>
      <c r="C12" s="181">
        <v>12413.930900014677</v>
      </c>
      <c r="D12" s="181">
        <v>16794.579728420333</v>
      </c>
      <c r="E12" s="181">
        <v>1022.7608123103942</v>
      </c>
    </row>
    <row r="13" spans="1:43" ht="13.5" customHeight="1">
      <c r="A13" s="52" t="s">
        <v>149</v>
      </c>
      <c r="B13" s="29">
        <v>30231.271440747085</v>
      </c>
      <c r="C13" s="29">
        <v>12413.930900014677</v>
      </c>
      <c r="D13" s="29">
        <v>16794.579728420333</v>
      </c>
      <c r="E13" s="29">
        <v>1022.7608123103942</v>
      </c>
    </row>
    <row r="14" spans="1:43" ht="13.5" customHeight="1">
      <c r="A14" s="140" t="s">
        <v>150</v>
      </c>
      <c r="B14" s="32">
        <v>12680.796776416362</v>
      </c>
      <c r="C14" s="181">
        <v>5518.0770294626227</v>
      </c>
      <c r="D14" s="181">
        <v>6652.7677776865885</v>
      </c>
      <c r="E14" s="181">
        <v>509.95196926650539</v>
      </c>
    </row>
    <row r="15" spans="1:43" ht="13.5" customHeight="1">
      <c r="A15" s="52" t="s">
        <v>150</v>
      </c>
      <c r="B15" s="29">
        <v>12680.796776416362</v>
      </c>
      <c r="C15" s="29">
        <v>5518.0770294626227</v>
      </c>
      <c r="D15" s="29">
        <v>6652.7677776865885</v>
      </c>
      <c r="E15" s="29">
        <v>509.95196926650539</v>
      </c>
    </row>
    <row r="16" spans="1:43" ht="13.5" customHeight="1">
      <c r="A16" s="140" t="s">
        <v>151</v>
      </c>
      <c r="B16" s="32">
        <v>27932.073323219793</v>
      </c>
      <c r="C16" s="32">
        <v>11595.569241879371</v>
      </c>
      <c r="D16" s="32">
        <v>15110.90523083287</v>
      </c>
      <c r="E16" s="32">
        <v>1225.5988505060432</v>
      </c>
    </row>
    <row r="17" spans="1:6" ht="13.5" customHeight="1">
      <c r="A17" s="52" t="s">
        <v>151</v>
      </c>
      <c r="B17" s="29">
        <v>27932.073323219793</v>
      </c>
      <c r="C17" s="19">
        <v>11595.569241879371</v>
      </c>
      <c r="D17" s="19">
        <v>15110.90523083287</v>
      </c>
      <c r="E17" s="19">
        <v>1225.5988505060432</v>
      </c>
    </row>
    <row r="18" spans="1:6" ht="13.5" customHeight="1">
      <c r="A18" s="140" t="s">
        <v>152</v>
      </c>
      <c r="B18" s="32">
        <f>+B19+B20</f>
        <v>8459.7874414902017</v>
      </c>
      <c r="C18" s="32">
        <f t="shared" ref="C18:E18" si="0">+C19+C20</f>
        <v>3695.9433264007494</v>
      </c>
      <c r="D18" s="32">
        <f t="shared" si="0"/>
        <v>4458.1586209073903</v>
      </c>
      <c r="E18" s="32">
        <f t="shared" si="0"/>
        <v>305.68549418216247</v>
      </c>
    </row>
    <row r="19" spans="1:6" ht="13.5" customHeight="1">
      <c r="A19" s="52" t="s">
        <v>152</v>
      </c>
      <c r="B19" s="29">
        <v>6234.8349044034339</v>
      </c>
      <c r="C19" s="19">
        <v>2730.1686566650778</v>
      </c>
      <c r="D19" s="19">
        <v>3284.6869668784334</v>
      </c>
      <c r="E19" s="19">
        <v>219.97928086006098</v>
      </c>
    </row>
    <row r="20" spans="1:6" ht="13.5" customHeight="1">
      <c r="A20" s="52" t="s">
        <v>153</v>
      </c>
      <c r="B20" s="29">
        <v>2224.9525370867677</v>
      </c>
      <c r="C20" s="29">
        <v>965.7746697356713</v>
      </c>
      <c r="D20" s="29">
        <v>1173.4716540289567</v>
      </c>
      <c r="E20" s="29">
        <v>85.70621332210149</v>
      </c>
      <c r="F20" s="46"/>
    </row>
    <row r="21" spans="1:6" ht="13.5" customHeight="1">
      <c r="A21" s="140" t="s">
        <v>154</v>
      </c>
      <c r="B21" s="32">
        <f>+B22+B23</f>
        <v>2464.5697814306805</v>
      </c>
      <c r="C21" s="32">
        <f t="shared" ref="C21:E21" si="1">+C22+C23</f>
        <v>1208.547125563432</v>
      </c>
      <c r="D21" s="32">
        <f t="shared" si="1"/>
        <v>1183.1723745434479</v>
      </c>
      <c r="E21" s="32">
        <f t="shared" si="1"/>
        <v>72.850281323786177</v>
      </c>
    </row>
    <row r="22" spans="1:6" ht="13.5" customHeight="1">
      <c r="A22" s="52" t="s">
        <v>154</v>
      </c>
      <c r="B22" s="29">
        <v>1707.3355894837798</v>
      </c>
      <c r="C22" s="19">
        <v>871.24517731492813</v>
      </c>
      <c r="D22" s="19">
        <v>784.66668417557446</v>
      </c>
      <c r="E22" s="19">
        <v>51.423727993260833</v>
      </c>
    </row>
    <row r="23" spans="1:6" ht="13.5" customHeight="1">
      <c r="A23" s="52" t="s">
        <v>155</v>
      </c>
      <c r="B23" s="29">
        <v>757.23419194690041</v>
      </c>
      <c r="C23" s="29">
        <v>337.30194824850378</v>
      </c>
      <c r="D23" s="29">
        <v>398.5056903678734</v>
      </c>
      <c r="E23" s="29">
        <v>21.426553330525348</v>
      </c>
    </row>
    <row r="24" spans="1:6" ht="13.5" customHeight="1">
      <c r="A24" s="140" t="s">
        <v>156</v>
      </c>
      <c r="B24" s="32">
        <f>+B25+B26</f>
        <v>17191.579558660887</v>
      </c>
      <c r="C24" s="32">
        <f t="shared" ref="C24:E24" si="2">+C25+C26</f>
        <v>7988.9995474218958</v>
      </c>
      <c r="D24" s="32">
        <f t="shared" si="2"/>
        <v>8289.8088393587877</v>
      </c>
      <c r="E24" s="32">
        <f t="shared" si="2"/>
        <v>912.77117188038244</v>
      </c>
    </row>
    <row r="25" spans="1:6" ht="13.5" customHeight="1">
      <c r="A25" s="52" t="s">
        <v>156</v>
      </c>
      <c r="B25" s="29">
        <v>9638.8855901455609</v>
      </c>
      <c r="C25" s="29">
        <v>4792.3331198170326</v>
      </c>
      <c r="D25" s="29">
        <v>4472.3020054886911</v>
      </c>
      <c r="E25" s="29">
        <v>374.2504648398442</v>
      </c>
    </row>
    <row r="26" spans="1:6" ht="13.5" customHeight="1">
      <c r="A26" s="52" t="s">
        <v>157</v>
      </c>
      <c r="B26" s="29">
        <v>7552.6939685153266</v>
      </c>
      <c r="C26" s="29">
        <v>3196.6664276048627</v>
      </c>
      <c r="D26" s="29">
        <v>3817.5068338700971</v>
      </c>
      <c r="E26" s="29">
        <v>538.52070704053824</v>
      </c>
    </row>
    <row r="27" spans="1:6" ht="13.5" customHeight="1">
      <c r="A27" s="140" t="s">
        <v>158</v>
      </c>
      <c r="B27" s="32">
        <f>+B28+B29</f>
        <v>28013.773732907008</v>
      </c>
      <c r="C27" s="32">
        <f t="shared" ref="C27:E27" si="3">+C28+C29</f>
        <v>11350.344775971562</v>
      </c>
      <c r="D27" s="32">
        <f t="shared" si="3"/>
        <v>15436.401669539222</v>
      </c>
      <c r="E27" s="32">
        <f t="shared" si="3"/>
        <v>1227.0272873947379</v>
      </c>
    </row>
    <row r="28" spans="1:6" ht="13.5" customHeight="1">
      <c r="A28" s="52" t="s">
        <v>158</v>
      </c>
      <c r="B28" s="29">
        <v>24782.30617124381</v>
      </c>
      <c r="C28" s="29">
        <v>9851.8868850612234</v>
      </c>
      <c r="D28" s="29">
        <v>13870.519114764504</v>
      </c>
      <c r="E28" s="29">
        <v>1059.9001714166398</v>
      </c>
    </row>
    <row r="29" spans="1:6" ht="13.5" customHeight="1">
      <c r="A29" s="52" t="s">
        <v>159</v>
      </c>
      <c r="B29" s="29">
        <v>3231.467561663198</v>
      </c>
      <c r="C29" s="19">
        <v>1498.4578909103382</v>
      </c>
      <c r="D29" s="19">
        <v>1565.8825547747183</v>
      </c>
      <c r="E29" s="19">
        <v>167.1271159780982</v>
      </c>
    </row>
    <row r="30" spans="1:6" ht="13.5" customHeight="1">
      <c r="A30" s="140" t="s">
        <v>160</v>
      </c>
      <c r="B30" s="104">
        <v>7225.595572019055</v>
      </c>
      <c r="C30" s="104">
        <v>3463.0425575763479</v>
      </c>
      <c r="D30" s="104">
        <v>3525.4324909183879</v>
      </c>
      <c r="E30" s="104">
        <v>237.12052352448134</v>
      </c>
    </row>
    <row r="31" spans="1:6" ht="13.5" customHeight="1">
      <c r="A31" s="52" t="s">
        <v>160</v>
      </c>
      <c r="B31" s="18">
        <v>7225.595572019055</v>
      </c>
      <c r="C31" s="18">
        <v>3463.0425575763479</v>
      </c>
      <c r="D31" s="18">
        <v>3525.4324909183879</v>
      </c>
      <c r="E31" s="18">
        <v>237.12052352448134</v>
      </c>
    </row>
    <row r="32" spans="1:6" ht="13.5" customHeight="1">
      <c r="A32" s="140" t="s">
        <v>161</v>
      </c>
      <c r="B32" s="35">
        <f>+B33+B34</f>
        <v>31419.257342679906</v>
      </c>
      <c r="C32" s="35">
        <f t="shared" ref="C32:E32" si="4">+C33+C34</f>
        <v>13827.746582221773</v>
      </c>
      <c r="D32" s="35">
        <f t="shared" si="4"/>
        <v>16615.888365473289</v>
      </c>
      <c r="E32" s="35">
        <f t="shared" si="4"/>
        <v>975.62239498324629</v>
      </c>
    </row>
    <row r="33" spans="1:5" ht="13.5" customHeight="1">
      <c r="A33" s="52" t="s">
        <v>161</v>
      </c>
      <c r="B33" s="30">
        <v>25793.116447531542</v>
      </c>
      <c r="C33" s="30">
        <v>11255.863106758023</v>
      </c>
      <c r="D33" s="30">
        <v>13727.32962487799</v>
      </c>
      <c r="E33" s="30">
        <v>809.92371589384982</v>
      </c>
    </row>
    <row r="34" spans="1:5" ht="13.5" customHeight="1">
      <c r="A34" s="52" t="s">
        <v>162</v>
      </c>
      <c r="B34" s="30">
        <v>5626.1408951483645</v>
      </c>
      <c r="C34" s="30">
        <v>2571.8834754637496</v>
      </c>
      <c r="D34" s="30">
        <v>2888.5587405952992</v>
      </c>
      <c r="E34" s="30">
        <v>165.69867908939651</v>
      </c>
    </row>
    <row r="35" spans="1:5" ht="13.5" customHeight="1">
      <c r="A35" s="140" t="s">
        <v>163</v>
      </c>
      <c r="B35" s="35">
        <f>+B36+B37</f>
        <v>22193.482943585652</v>
      </c>
      <c r="C35" s="35">
        <f t="shared" ref="C35:E35" si="5">+C36+C37</f>
        <v>9885.16281487999</v>
      </c>
      <c r="D35" s="35">
        <f t="shared" si="5"/>
        <v>11428.40300526413</v>
      </c>
      <c r="E35" s="35">
        <f t="shared" si="5"/>
        <v>879.91712344023881</v>
      </c>
    </row>
    <row r="36" spans="1:5" ht="13.5" customHeight="1">
      <c r="A36" s="141" t="s">
        <v>163</v>
      </c>
      <c r="B36" s="30">
        <v>15803.094424051522</v>
      </c>
      <c r="C36" s="30">
        <v>6899.1971862310229</v>
      </c>
      <c r="D36" s="30">
        <v>8248.2447059050501</v>
      </c>
      <c r="E36" s="30">
        <v>655.65253191407271</v>
      </c>
    </row>
    <row r="37" spans="1:5" ht="13.5" customHeight="1">
      <c r="A37" s="141" t="s">
        <v>164</v>
      </c>
      <c r="B37" s="30">
        <v>6390.3885195341309</v>
      </c>
      <c r="C37" s="30">
        <v>2985.9656286489667</v>
      </c>
      <c r="D37" s="30">
        <v>3180.1582993590805</v>
      </c>
      <c r="E37" s="30">
        <v>224.26459152616607</v>
      </c>
    </row>
    <row r="38" spans="1:5" ht="13.5" customHeight="1">
      <c r="A38" s="92"/>
      <c r="B38" s="68"/>
      <c r="C38" s="68"/>
      <c r="D38" s="68"/>
      <c r="E38" s="68"/>
    </row>
    <row r="39" spans="1:5" ht="13.5" customHeight="1">
      <c r="A39" s="94"/>
      <c r="B39" s="70"/>
      <c r="C39" s="70"/>
      <c r="D39" s="70"/>
      <c r="E39" s="70"/>
    </row>
    <row r="40" spans="1:5" ht="13.5" customHeight="1">
      <c r="A40" s="92"/>
      <c r="B40" s="68"/>
      <c r="C40" s="68"/>
      <c r="D40" s="68"/>
      <c r="E40" s="68"/>
    </row>
    <row r="41" spans="1:5" ht="13.5" customHeight="1">
      <c r="A41" s="94"/>
      <c r="B41" s="70"/>
      <c r="C41" s="70"/>
      <c r="D41" s="70"/>
      <c r="E41" s="70"/>
    </row>
    <row r="42" spans="1:5" ht="13.5" customHeight="1">
      <c r="A42" s="92"/>
      <c r="B42" s="68"/>
      <c r="C42" s="68"/>
      <c r="D42" s="68"/>
      <c r="E42" s="68"/>
    </row>
    <row r="43" spans="1:5" ht="13.5" customHeight="1">
      <c r="A43" s="94"/>
      <c r="B43" s="70"/>
      <c r="C43" s="70"/>
      <c r="D43" s="70"/>
      <c r="E43" s="70"/>
    </row>
    <row r="44" spans="1:5" ht="13.5" customHeight="1">
      <c r="A44" s="92"/>
      <c r="B44" s="68"/>
      <c r="C44" s="68"/>
      <c r="D44" s="68"/>
      <c r="E44" s="68"/>
    </row>
    <row r="45" spans="1:5" ht="13.5" customHeight="1">
      <c r="A45" s="69"/>
      <c r="B45" s="70"/>
      <c r="C45" s="70"/>
      <c r="D45" s="70"/>
      <c r="E45" s="70"/>
    </row>
    <row r="46" spans="1:5" ht="13.5" customHeight="1">
      <c r="A46" s="67"/>
      <c r="B46" s="68"/>
      <c r="C46" s="68"/>
      <c r="D46" s="68"/>
      <c r="E46" s="68"/>
    </row>
    <row r="47" spans="1:5" ht="13.5" customHeight="1">
      <c r="A47" s="69"/>
      <c r="B47" s="70"/>
      <c r="C47" s="70"/>
      <c r="D47" s="70"/>
      <c r="E47" s="70"/>
    </row>
    <row r="48" spans="1:5" ht="13.5" customHeight="1">
      <c r="A48" s="69"/>
      <c r="B48" s="70"/>
      <c r="C48" s="70"/>
      <c r="D48" s="70"/>
      <c r="E48" s="70"/>
    </row>
    <row r="49" spans="1:5" ht="13.5" customHeight="1">
      <c r="A49" s="67"/>
      <c r="B49" s="68"/>
      <c r="C49" s="68"/>
      <c r="D49" s="68"/>
      <c r="E49" s="68"/>
    </row>
    <row r="50" spans="1:5" ht="13.5" customHeight="1">
      <c r="A50" s="69"/>
      <c r="B50" s="70"/>
      <c r="C50" s="70"/>
      <c r="D50" s="70"/>
      <c r="E50" s="70"/>
    </row>
    <row r="51" spans="1:5" ht="13.5" customHeight="1">
      <c r="A51" s="69"/>
      <c r="B51" s="70"/>
      <c r="C51" s="70"/>
      <c r="D51" s="70"/>
      <c r="E51" s="70"/>
    </row>
    <row r="52" spans="1:5" ht="13.5" customHeight="1">
      <c r="A52" s="67"/>
      <c r="B52" s="68"/>
      <c r="C52" s="68"/>
      <c r="D52" s="68"/>
      <c r="E52" s="68"/>
    </row>
    <row r="53" spans="1:5" ht="13.5" customHeight="1">
      <c r="A53" s="69"/>
      <c r="B53" s="70"/>
      <c r="C53" s="70"/>
      <c r="D53" s="70"/>
      <c r="E53" s="70"/>
    </row>
    <row r="54" spans="1:5" ht="13.5" customHeight="1">
      <c r="A54" s="69"/>
      <c r="B54" s="70"/>
      <c r="C54" s="70"/>
      <c r="D54" s="70"/>
      <c r="E54" s="70"/>
    </row>
    <row r="55" spans="1:5" ht="13.5" customHeight="1">
      <c r="A55" s="67"/>
      <c r="B55" s="68"/>
      <c r="C55" s="68"/>
      <c r="D55" s="68"/>
      <c r="E55" s="68"/>
    </row>
    <row r="56" spans="1:5" ht="13.5" customHeight="1">
      <c r="A56" s="69"/>
      <c r="B56" s="70"/>
      <c r="C56" s="70"/>
      <c r="D56" s="70"/>
      <c r="E56" s="70"/>
    </row>
    <row r="57" spans="1:5" ht="13.5" customHeight="1">
      <c r="A57" s="67"/>
      <c r="B57" s="68"/>
      <c r="C57" s="68"/>
      <c r="D57" s="68"/>
      <c r="E57" s="68"/>
    </row>
    <row r="58" spans="1:5" ht="13.5" customHeight="1">
      <c r="A58" s="69"/>
      <c r="B58" s="70"/>
      <c r="C58" s="70"/>
      <c r="D58" s="70"/>
      <c r="E58" s="70"/>
    </row>
    <row r="59" spans="1:5" ht="13.5" customHeight="1">
      <c r="A59" s="69"/>
      <c r="B59" s="70"/>
      <c r="C59" s="70"/>
      <c r="D59" s="70"/>
      <c r="E59" s="70"/>
    </row>
    <row r="60" spans="1:5" ht="13.5" customHeight="1">
      <c r="A60" s="67"/>
      <c r="B60" s="68"/>
      <c r="C60" s="68"/>
      <c r="D60" s="68"/>
      <c r="E60" s="68"/>
    </row>
    <row r="61" spans="1:5" ht="13.5" customHeight="1">
      <c r="A61" s="69"/>
      <c r="B61" s="70"/>
      <c r="C61" s="70"/>
      <c r="D61" s="70"/>
      <c r="E61" s="70"/>
    </row>
    <row r="62" spans="1:5" ht="13.5" customHeight="1">
      <c r="A62" s="67"/>
      <c r="B62" s="68"/>
      <c r="C62" s="68"/>
      <c r="D62" s="68"/>
      <c r="E62" s="68"/>
    </row>
    <row r="63" spans="1:5" ht="13.5" customHeight="1">
      <c r="A63" s="69"/>
      <c r="B63" s="70"/>
      <c r="C63" s="70"/>
      <c r="D63" s="70"/>
      <c r="E63" s="70"/>
    </row>
    <row r="64" spans="1:5" ht="13.5" customHeight="1">
      <c r="A64" s="69"/>
      <c r="B64" s="70"/>
      <c r="C64" s="70"/>
      <c r="D64" s="70"/>
      <c r="E64" s="70"/>
    </row>
    <row r="65" spans="1:5" ht="13.5" customHeight="1">
      <c r="A65" s="69"/>
      <c r="B65" s="70"/>
      <c r="C65" s="70"/>
      <c r="D65" s="70"/>
      <c r="E65" s="70"/>
    </row>
    <row r="66" spans="1:5" ht="13.5" customHeight="1">
      <c r="A66" s="67"/>
      <c r="B66" s="68"/>
      <c r="C66" s="68"/>
      <c r="D66" s="68"/>
      <c r="E66" s="68"/>
    </row>
    <row r="67" spans="1:5" ht="13.5" customHeight="1">
      <c r="A67" s="69"/>
      <c r="B67" s="70"/>
      <c r="C67" s="70"/>
      <c r="D67" s="70"/>
      <c r="E67" s="70"/>
    </row>
    <row r="68" spans="1:5" ht="13.5" customHeight="1">
      <c r="A68" s="69"/>
      <c r="B68" s="70"/>
      <c r="C68" s="70"/>
      <c r="D68" s="70"/>
      <c r="E68" s="70"/>
    </row>
    <row r="69" spans="1:5" ht="13.5" customHeight="1">
      <c r="A69" s="67"/>
      <c r="B69" s="68"/>
      <c r="C69" s="68"/>
      <c r="D69" s="68"/>
      <c r="E69" s="68"/>
    </row>
    <row r="70" spans="1:5" ht="13.5" customHeight="1">
      <c r="A70" s="69"/>
      <c r="B70" s="70"/>
      <c r="C70" s="70"/>
      <c r="D70" s="70"/>
      <c r="E70" s="70"/>
    </row>
    <row r="71" spans="1:5" ht="13.5" customHeight="1">
      <c r="A71" s="67"/>
      <c r="B71" s="68"/>
      <c r="C71" s="68"/>
      <c r="D71" s="68"/>
      <c r="E71" s="68"/>
    </row>
    <row r="72" spans="1:5" ht="13.5" customHeight="1">
      <c r="A72" s="69"/>
      <c r="B72" s="70"/>
      <c r="C72" s="70"/>
      <c r="D72" s="70"/>
      <c r="E72" s="70"/>
    </row>
    <row r="73" spans="1:5" ht="13.5" customHeight="1">
      <c r="A73" s="64"/>
      <c r="B73" s="68"/>
      <c r="C73" s="68"/>
      <c r="D73" s="68"/>
      <c r="E73" s="68"/>
    </row>
    <row r="74" spans="1:5" ht="13.5" customHeight="1">
      <c r="A74" s="63"/>
      <c r="B74" s="70"/>
      <c r="C74" s="70"/>
      <c r="D74" s="70"/>
      <c r="E74" s="70"/>
    </row>
    <row r="75" spans="1:5" ht="13.5" customHeight="1">
      <c r="A75" s="38"/>
      <c r="B75" s="68"/>
      <c r="C75" s="68"/>
      <c r="D75" s="68"/>
      <c r="E75" s="68"/>
    </row>
    <row r="76" spans="1:5" ht="13.5" customHeight="1">
      <c r="A76" s="37"/>
      <c r="B76" s="70"/>
      <c r="C76" s="70"/>
      <c r="D76" s="70"/>
      <c r="E76" s="70"/>
    </row>
    <row r="77" spans="1:5" ht="13.5" customHeight="1">
      <c r="A77" s="38"/>
      <c r="B77" s="68"/>
      <c r="C77" s="68"/>
      <c r="D77" s="68"/>
      <c r="E77" s="68"/>
    </row>
    <row r="78" spans="1:5" ht="13.5" customHeight="1">
      <c r="A78" s="37"/>
      <c r="B78" s="70"/>
      <c r="C78" s="70"/>
      <c r="D78" s="70"/>
      <c r="E78" s="70"/>
    </row>
    <row r="79" spans="1:5" ht="13.5" customHeight="1">
      <c r="A79" s="38"/>
      <c r="B79" s="68"/>
      <c r="C79" s="68"/>
      <c r="D79" s="68"/>
      <c r="E79" s="68"/>
    </row>
    <row r="80" spans="1:5" ht="13.5" customHeight="1">
      <c r="A80" s="37"/>
      <c r="B80" s="70"/>
      <c r="C80" s="70"/>
      <c r="D80" s="70"/>
      <c r="E80" s="70"/>
    </row>
    <row r="81" spans="1:5" ht="13.5" customHeight="1">
      <c r="A81" s="37"/>
      <c r="B81" s="70"/>
      <c r="C81" s="70"/>
      <c r="D81" s="70"/>
      <c r="E81" s="70"/>
    </row>
    <row r="82" spans="1:5" ht="13.5" customHeight="1">
      <c r="A82" s="38"/>
      <c r="B82" s="68"/>
      <c r="C82" s="68"/>
      <c r="D82" s="68"/>
      <c r="E82" s="68"/>
    </row>
    <row r="83" spans="1:5" ht="13.5" customHeight="1">
      <c r="A83" s="37"/>
      <c r="B83" s="70"/>
      <c r="C83" s="70"/>
      <c r="D83" s="70"/>
      <c r="E83" s="70"/>
    </row>
    <row r="84" spans="1:5" ht="12.75" customHeight="1">
      <c r="A84" s="26"/>
      <c r="B84" s="26"/>
      <c r="C84" s="26"/>
      <c r="D84" s="26"/>
      <c r="E84" s="26"/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8"/>
  <sheetViews>
    <sheetView workbookViewId="0">
      <selection activeCell="A8" sqref="A8"/>
    </sheetView>
  </sheetViews>
  <sheetFormatPr defaultColWidth="10.28515625" defaultRowHeight="15"/>
  <cols>
    <col min="1" max="1" width="17.42578125" style="137" customWidth="1"/>
    <col min="2" max="7" width="9.85546875" style="137" customWidth="1"/>
    <col min="8" max="8" width="9.7109375" style="137" customWidth="1"/>
    <col min="9" max="16384" width="10.28515625" style="5"/>
  </cols>
  <sheetData>
    <row r="1" spans="1:8">
      <c r="A1" s="941" t="s">
        <v>546</v>
      </c>
      <c r="B1" s="941"/>
      <c r="C1" s="941"/>
      <c r="D1" s="941"/>
      <c r="E1" s="941"/>
      <c r="F1" s="941"/>
      <c r="G1" s="941"/>
      <c r="H1" s="941"/>
    </row>
    <row r="2" spans="1:8" ht="29.25" customHeight="1">
      <c r="A2" s="123" t="s">
        <v>314</v>
      </c>
      <c r="B2" s="856" t="s">
        <v>0</v>
      </c>
      <c r="C2" s="857" t="s">
        <v>127</v>
      </c>
      <c r="D2" s="857" t="s">
        <v>128</v>
      </c>
      <c r="E2" s="857" t="s">
        <v>129</v>
      </c>
      <c r="F2" s="857" t="s">
        <v>130</v>
      </c>
      <c r="G2" s="857" t="s">
        <v>131</v>
      </c>
      <c r="H2" s="857" t="s">
        <v>132</v>
      </c>
    </row>
    <row r="3" spans="1:8" ht="15.75" customHeight="1">
      <c r="A3" s="164" t="s">
        <v>147</v>
      </c>
      <c r="B3" s="182">
        <v>570447.17662695551</v>
      </c>
      <c r="C3" s="182">
        <v>308864.71090633963</v>
      </c>
      <c r="D3" s="182">
        <v>104997.51984542322</v>
      </c>
      <c r="E3" s="182">
        <v>119850.87660684083</v>
      </c>
      <c r="F3" s="182">
        <v>19020.023410644651</v>
      </c>
      <c r="G3" s="182">
        <v>10553.291733729195</v>
      </c>
      <c r="H3" s="182">
        <v>7160.7541230619909</v>
      </c>
    </row>
    <row r="4" spans="1:8" ht="15.75" customHeight="1">
      <c r="A4" s="918"/>
      <c r="B4" s="919"/>
      <c r="C4" s="919"/>
      <c r="D4" s="919"/>
      <c r="E4" s="919"/>
      <c r="F4" s="919"/>
      <c r="G4" s="919"/>
      <c r="H4" s="919"/>
    </row>
    <row r="5" spans="1:8" ht="13.5" customHeight="1">
      <c r="A5" s="164" t="s">
        <v>3</v>
      </c>
      <c r="B5" s="182"/>
      <c r="C5" s="182"/>
      <c r="D5" s="182"/>
      <c r="E5" s="182"/>
      <c r="F5" s="182"/>
      <c r="G5" s="182"/>
      <c r="H5" s="182"/>
    </row>
    <row r="6" spans="1:8" ht="17.25" customHeight="1">
      <c r="A6" s="125" t="s">
        <v>4</v>
      </c>
      <c r="B6" s="126">
        <v>391855.92340030614</v>
      </c>
      <c r="C6" s="126">
        <v>213887.11393033396</v>
      </c>
      <c r="D6" s="126">
        <v>72332.39414303824</v>
      </c>
      <c r="E6" s="126">
        <v>83128.697444839534</v>
      </c>
      <c r="F6" s="126">
        <v>12250.112584467961</v>
      </c>
      <c r="G6" s="126">
        <v>6289.4076209537825</v>
      </c>
      <c r="H6" s="126">
        <v>3968.1976768131044</v>
      </c>
    </row>
    <row r="7" spans="1:8">
      <c r="A7" s="125" t="s">
        <v>5</v>
      </c>
      <c r="B7" s="126">
        <v>178591.25322581443</v>
      </c>
      <c r="C7" s="126">
        <v>94977.596976323519</v>
      </c>
      <c r="D7" s="126">
        <v>32665.12570248311</v>
      </c>
      <c r="E7" s="126">
        <v>36722.17916195585</v>
      </c>
      <c r="F7" s="126">
        <v>6769.9108261797273</v>
      </c>
      <c r="G7" s="126">
        <v>4263.8841127743735</v>
      </c>
      <c r="H7" s="126">
        <v>3192.5564462481757</v>
      </c>
    </row>
    <row r="8" spans="1:8" ht="15" customHeight="1">
      <c r="A8" s="165" t="s">
        <v>143</v>
      </c>
      <c r="B8" s="166"/>
      <c r="C8" s="166"/>
      <c r="D8" s="166"/>
      <c r="E8" s="167"/>
      <c r="F8" s="167"/>
      <c r="G8" s="167"/>
      <c r="H8" s="167"/>
    </row>
    <row r="9" spans="1:8" ht="15" customHeight="1">
      <c r="A9" s="140" t="s">
        <v>148</v>
      </c>
      <c r="B9" s="105">
        <v>382634.98871321097</v>
      </c>
      <c r="C9" s="105">
        <v>206703.99365410063</v>
      </c>
      <c r="D9" s="105">
        <v>70712.409327467743</v>
      </c>
      <c r="E9" s="105">
        <v>82468.005430467034</v>
      </c>
      <c r="F9" s="105">
        <v>12405.840353367885</v>
      </c>
      <c r="G9" s="105">
        <v>6409.3963196047489</v>
      </c>
      <c r="H9" s="105">
        <v>3935.3436283729693</v>
      </c>
    </row>
    <row r="10" spans="1:8" ht="15" customHeight="1">
      <c r="A10" s="52" t="s">
        <v>148</v>
      </c>
      <c r="B10" s="127">
        <v>382634.98871321097</v>
      </c>
      <c r="C10" s="126">
        <v>206703.99365410063</v>
      </c>
      <c r="D10" s="126">
        <v>70712.409327467743</v>
      </c>
      <c r="E10" s="126">
        <v>82468.005430467034</v>
      </c>
      <c r="F10" s="126">
        <v>12405.840353367885</v>
      </c>
      <c r="G10" s="126">
        <v>6409.3963196047489</v>
      </c>
      <c r="H10" s="126">
        <v>3935.3436283729693</v>
      </c>
    </row>
    <row r="11" spans="1:8" ht="15" customHeight="1">
      <c r="A11" s="140" t="s">
        <v>149</v>
      </c>
      <c r="B11" s="183">
        <v>30231.271440747085</v>
      </c>
      <c r="C11" s="124">
        <v>15932.623407287725</v>
      </c>
      <c r="D11" s="124">
        <v>5963.5059907300447</v>
      </c>
      <c r="E11" s="124">
        <v>6126.0187727953708</v>
      </c>
      <c r="F11" s="124">
        <v>1186.362457619806</v>
      </c>
      <c r="G11" s="124">
        <v>624.22692036263663</v>
      </c>
      <c r="H11" s="124">
        <v>398.53389194777304</v>
      </c>
    </row>
    <row r="12" spans="1:8" ht="15" customHeight="1">
      <c r="A12" s="52" t="s">
        <v>149</v>
      </c>
      <c r="B12" s="127">
        <v>30231.271440747085</v>
      </c>
      <c r="C12" s="126">
        <v>15932.623407287725</v>
      </c>
      <c r="D12" s="126">
        <v>5963.5059907300447</v>
      </c>
      <c r="E12" s="126">
        <v>6126.0187727953708</v>
      </c>
      <c r="F12" s="126">
        <v>1186.362457619806</v>
      </c>
      <c r="G12" s="126">
        <v>624.22692036263663</v>
      </c>
      <c r="H12" s="126">
        <v>398.53389194777304</v>
      </c>
    </row>
    <row r="13" spans="1:8" ht="15" customHeight="1">
      <c r="A13" s="140" t="s">
        <v>150</v>
      </c>
      <c r="B13" s="105">
        <v>12680.7967764164</v>
      </c>
      <c r="C13" s="184">
        <v>6949.8963279910804</v>
      </c>
      <c r="D13" s="184">
        <v>2220.0860473474163</v>
      </c>
      <c r="E13" s="184">
        <v>2536.5105390909553</v>
      </c>
      <c r="F13" s="184">
        <v>464.35189271992709</v>
      </c>
      <c r="G13" s="184">
        <v>284.25894085163731</v>
      </c>
      <c r="H13" s="184">
        <v>225.69302841486777</v>
      </c>
    </row>
    <row r="14" spans="1:8" ht="15" customHeight="1">
      <c r="A14" s="52" t="s">
        <v>150</v>
      </c>
      <c r="B14" s="106">
        <v>12680.7967764164</v>
      </c>
      <c r="C14" s="106">
        <v>6949.8963279910804</v>
      </c>
      <c r="D14" s="106">
        <v>2220.0860473474163</v>
      </c>
      <c r="E14" s="106">
        <v>2536.5105390909553</v>
      </c>
      <c r="F14" s="106">
        <v>464.35189271992709</v>
      </c>
      <c r="G14" s="106">
        <v>284.25894085163731</v>
      </c>
      <c r="H14" s="106">
        <v>225.69302841486777</v>
      </c>
    </row>
    <row r="15" spans="1:8" ht="15" customHeight="1">
      <c r="A15" s="140" t="s">
        <v>151</v>
      </c>
      <c r="B15" s="105">
        <v>27932.073323219793</v>
      </c>
      <c r="C15" s="184">
        <v>14616.47547917671</v>
      </c>
      <c r="D15" s="184">
        <v>5043.1584285419458</v>
      </c>
      <c r="E15" s="184">
        <v>5993.55456443198</v>
      </c>
      <c r="F15" s="184">
        <v>1053.2860005598284</v>
      </c>
      <c r="G15" s="184">
        <v>652.79565813666943</v>
      </c>
      <c r="H15" s="184">
        <v>572.8031923693776</v>
      </c>
    </row>
    <row r="16" spans="1:8" ht="15" customHeight="1">
      <c r="A16" s="52" t="s">
        <v>151</v>
      </c>
      <c r="B16" s="106">
        <v>27932.073323219793</v>
      </c>
      <c r="C16" s="128">
        <v>14616.47547917671</v>
      </c>
      <c r="D16" s="128">
        <v>5043.1584285419458</v>
      </c>
      <c r="E16" s="128">
        <v>5993.55456443198</v>
      </c>
      <c r="F16" s="128">
        <v>1053.2860005598284</v>
      </c>
      <c r="G16" s="128">
        <v>652.79565813666943</v>
      </c>
      <c r="H16" s="128">
        <v>572.8031923693776</v>
      </c>
    </row>
    <row r="17" spans="1:8" ht="15" customHeight="1">
      <c r="A17" s="140" t="s">
        <v>152</v>
      </c>
      <c r="B17" s="105">
        <f>+B18+B19</f>
        <v>8459.7874414902017</v>
      </c>
      <c r="C17" s="105">
        <f t="shared" ref="C17:H17" si="0">+C18+C19</f>
        <v>4686.045687560927</v>
      </c>
      <c r="D17" s="105">
        <f t="shared" si="0"/>
        <v>1531.9892022631134</v>
      </c>
      <c r="E17" s="105">
        <f t="shared" si="0"/>
        <v>1679.8240922942005</v>
      </c>
      <c r="F17" s="105">
        <f t="shared" si="0"/>
        <v>256.24296518996198</v>
      </c>
      <c r="G17" s="105">
        <f t="shared" si="0"/>
        <v>191.41054308602679</v>
      </c>
      <c r="H17" s="105">
        <f t="shared" si="0"/>
        <v>114.27495109613527</v>
      </c>
    </row>
    <row r="18" spans="1:8" ht="15" customHeight="1">
      <c r="A18" s="52" t="s">
        <v>152</v>
      </c>
      <c r="B18" s="106">
        <v>6234.8349044034339</v>
      </c>
      <c r="C18" s="128">
        <v>3478.2156063261441</v>
      </c>
      <c r="D18" s="128">
        <v>1128.074911647599</v>
      </c>
      <c r="E18" s="128">
        <v>1223.1074898798515</v>
      </c>
      <c r="F18" s="128">
        <v>185.4576156899725</v>
      </c>
      <c r="G18" s="128">
        <v>138.55837820406427</v>
      </c>
      <c r="H18" s="128">
        <v>81.4209026559964</v>
      </c>
    </row>
    <row r="19" spans="1:8" ht="15" customHeight="1">
      <c r="A19" s="52" t="s">
        <v>153</v>
      </c>
      <c r="B19" s="106">
        <v>2224.9525370867677</v>
      </c>
      <c r="C19" s="106">
        <v>1207.8300812347834</v>
      </c>
      <c r="D19" s="106">
        <v>403.91429061551429</v>
      </c>
      <c r="E19" s="106">
        <v>456.71660241434904</v>
      </c>
      <c r="F19" s="106">
        <v>70.785349499989465</v>
      </c>
      <c r="G19" s="106">
        <v>52.852164881962523</v>
      </c>
      <c r="H19" s="106">
        <v>32.854048440138868</v>
      </c>
    </row>
    <row r="20" spans="1:8" ht="15" customHeight="1">
      <c r="A20" s="140" t="s">
        <v>154</v>
      </c>
      <c r="B20" s="105">
        <f>+B21+B22</f>
        <v>2464.5697814306805</v>
      </c>
      <c r="C20" s="105">
        <f t="shared" ref="C20:H20" si="1">+C21+C22</f>
        <v>1465.6455287376214</v>
      </c>
      <c r="D20" s="105">
        <f t="shared" si="1"/>
        <v>411.12704580507705</v>
      </c>
      <c r="E20" s="105">
        <f t="shared" si="1"/>
        <v>454.07152499419135</v>
      </c>
      <c r="F20" s="105">
        <f t="shared" si="1"/>
        <v>60.875400569990902</v>
      </c>
      <c r="G20" s="105">
        <f t="shared" si="1"/>
        <v>34.282485328840558</v>
      </c>
      <c r="H20" s="105">
        <f t="shared" si="1"/>
        <v>38.567795994945627</v>
      </c>
    </row>
    <row r="21" spans="1:8" ht="15" customHeight="1">
      <c r="A21" s="52" t="s">
        <v>154</v>
      </c>
      <c r="B21" s="106">
        <v>1707.3355894837798</v>
      </c>
      <c r="C21" s="30">
        <v>1047.6584433227495</v>
      </c>
      <c r="D21" s="30">
        <v>252.44643163469644</v>
      </c>
      <c r="E21" s="30">
        <v>317.58289780306268</v>
      </c>
      <c r="F21" s="30">
        <v>38.224088729994286</v>
      </c>
      <c r="G21" s="30">
        <v>24.283427107928727</v>
      </c>
      <c r="H21" s="30">
        <v>27.140300885332106</v>
      </c>
    </row>
    <row r="22" spans="1:8" ht="15" customHeight="1">
      <c r="A22" s="52" t="s">
        <v>155</v>
      </c>
      <c r="B22" s="106">
        <v>757.23419194690041</v>
      </c>
      <c r="C22" s="30">
        <v>417.9870854148719</v>
      </c>
      <c r="D22" s="30">
        <v>158.68061417038061</v>
      </c>
      <c r="E22" s="30">
        <v>136.48862719112864</v>
      </c>
      <c r="F22" s="30">
        <v>22.651311839996612</v>
      </c>
      <c r="G22" s="30">
        <v>9.9990582209118308</v>
      </c>
      <c r="H22" s="30">
        <v>11.42749510961352</v>
      </c>
    </row>
    <row r="23" spans="1:8" ht="15" customHeight="1">
      <c r="A23" s="140" t="s">
        <v>156</v>
      </c>
      <c r="B23" s="105">
        <f>+B24+B25</f>
        <v>17191.579558660887</v>
      </c>
      <c r="C23" s="105">
        <f t="shared" ref="C23:H23" si="2">+C24+C25</f>
        <v>9803.7313613161896</v>
      </c>
      <c r="D23" s="105">
        <f t="shared" si="2"/>
        <v>2554.7578881431082</v>
      </c>
      <c r="E23" s="105">
        <f t="shared" si="2"/>
        <v>3332.8007364715709</v>
      </c>
      <c r="F23" s="105">
        <f t="shared" si="2"/>
        <v>587.51840084991147</v>
      </c>
      <c r="G23" s="105">
        <f t="shared" si="2"/>
        <v>531.3785225970305</v>
      </c>
      <c r="H23" s="105">
        <f t="shared" si="2"/>
        <v>381.3926492833524</v>
      </c>
    </row>
    <row r="24" spans="1:8" ht="15" customHeight="1">
      <c r="A24" s="52" t="s">
        <v>156</v>
      </c>
      <c r="B24" s="106">
        <v>9638.8855901455609</v>
      </c>
      <c r="C24" s="30">
        <v>5869.9583416321375</v>
      </c>
      <c r="D24" s="30">
        <v>1392.0617515856063</v>
      </c>
      <c r="E24" s="30">
        <v>1712.3950991380436</v>
      </c>
      <c r="F24" s="30">
        <v>290.21993294995633</v>
      </c>
      <c r="G24" s="30">
        <v>215.69397019395589</v>
      </c>
      <c r="H24" s="30">
        <v>158.55649464588802</v>
      </c>
    </row>
    <row r="25" spans="1:8" ht="15" customHeight="1">
      <c r="A25" s="52" t="s">
        <v>157</v>
      </c>
      <c r="B25" s="106">
        <v>7552.6939685153266</v>
      </c>
      <c r="C25" s="106">
        <v>3933.7730196840525</v>
      </c>
      <c r="D25" s="106">
        <v>1162.6961365575016</v>
      </c>
      <c r="E25" s="106">
        <v>1620.4056373335272</v>
      </c>
      <c r="F25" s="106">
        <v>297.29846789995514</v>
      </c>
      <c r="G25" s="106">
        <v>315.68455240307463</v>
      </c>
      <c r="H25" s="106">
        <v>222.83615463746438</v>
      </c>
    </row>
    <row r="26" spans="1:8" ht="15" customHeight="1">
      <c r="A26" s="140" t="s">
        <v>158</v>
      </c>
      <c r="B26" s="105">
        <f>+B27+B28</f>
        <v>28013.773732907008</v>
      </c>
      <c r="C26" s="105">
        <f t="shared" ref="C26:H26" si="3">+C27+C28</f>
        <v>14806.130227148402</v>
      </c>
      <c r="D26" s="105">
        <f t="shared" si="3"/>
        <v>5272.5240435700762</v>
      </c>
      <c r="E26" s="105">
        <f t="shared" si="3"/>
        <v>5729.8386447008043</v>
      </c>
      <c r="F26" s="105">
        <f t="shared" si="3"/>
        <v>978.2535300898428</v>
      </c>
      <c r="G26" s="105">
        <f t="shared" si="3"/>
        <v>621.37004658523665</v>
      </c>
      <c r="H26" s="105">
        <f t="shared" si="3"/>
        <v>605.65724080951804</v>
      </c>
    </row>
    <row r="27" spans="1:8" ht="15" customHeight="1">
      <c r="A27" s="52" t="s">
        <v>158</v>
      </c>
      <c r="B27" s="106">
        <v>24782.30617124381</v>
      </c>
      <c r="C27" s="106">
        <v>12902.879105708487</v>
      </c>
      <c r="D27" s="106">
        <v>4747.4354657699078</v>
      </c>
      <c r="E27" s="106">
        <v>5195.7688015358126</v>
      </c>
      <c r="F27" s="106">
        <v>876.32262680985798</v>
      </c>
      <c r="G27" s="106">
        <v>531.37852259703004</v>
      </c>
      <c r="H27" s="106">
        <v>528.52164881962676</v>
      </c>
    </row>
    <row r="28" spans="1:8" ht="15" customHeight="1">
      <c r="A28" s="52" t="s">
        <v>159</v>
      </c>
      <c r="B28" s="106">
        <v>3231.467561663198</v>
      </c>
      <c r="C28" s="30">
        <v>1903.251121439914</v>
      </c>
      <c r="D28" s="30">
        <v>525.08857780016808</v>
      </c>
      <c r="E28" s="30">
        <v>534.06984316499143</v>
      </c>
      <c r="F28" s="30">
        <v>101.93090327998486</v>
      </c>
      <c r="G28" s="30">
        <v>89.99152398820658</v>
      </c>
      <c r="H28" s="30">
        <v>77.13559198989131</v>
      </c>
    </row>
    <row r="29" spans="1:8" ht="15" customHeight="1">
      <c r="A29" s="140" t="s">
        <v>160</v>
      </c>
      <c r="B29" s="129">
        <v>7225.595572019055</v>
      </c>
      <c r="C29" s="129">
        <v>4234.3377670988948</v>
      </c>
      <c r="D29" s="129">
        <v>1197.3173614674042</v>
      </c>
      <c r="E29" s="129">
        <v>1289.2512988185306</v>
      </c>
      <c r="F29" s="129">
        <v>267.56862110996013</v>
      </c>
      <c r="G29" s="129">
        <v>151.41431020237954</v>
      </c>
      <c r="H29" s="129">
        <v>85.70621332210149</v>
      </c>
    </row>
    <row r="30" spans="1:8" ht="15" customHeight="1">
      <c r="A30" s="52" t="s">
        <v>160</v>
      </c>
      <c r="B30" s="18">
        <v>7225.595572019055</v>
      </c>
      <c r="C30" s="30">
        <v>4234.3377670988948</v>
      </c>
      <c r="D30" s="30">
        <v>1197.3173614674042</v>
      </c>
      <c r="E30" s="30">
        <v>1289.2512988185306</v>
      </c>
      <c r="F30" s="30">
        <v>267.56862110996013</v>
      </c>
      <c r="G30" s="30">
        <v>151.41431020237954</v>
      </c>
      <c r="H30" s="30">
        <v>85.70621332210149</v>
      </c>
    </row>
    <row r="31" spans="1:8" ht="15" customHeight="1">
      <c r="A31" s="140" t="s">
        <v>161</v>
      </c>
      <c r="B31" s="35">
        <f>+B32+B33</f>
        <v>31419.257342679906</v>
      </c>
      <c r="C31" s="35">
        <f t="shared" ref="C31:H31" si="4">+C32+C33</f>
        <v>17354.64435768094</v>
      </c>
      <c r="D31" s="35">
        <f t="shared" si="4"/>
        <v>6187.1014016065665</v>
      </c>
      <c r="E31" s="35">
        <f t="shared" si="4"/>
        <v>5940.6241421964924</v>
      </c>
      <c r="F31" s="35">
        <f t="shared" si="4"/>
        <v>961.26504620984633</v>
      </c>
      <c r="G31" s="35">
        <f t="shared" si="4"/>
        <v>552.805075927556</v>
      </c>
      <c r="H31" s="35">
        <f t="shared" si="4"/>
        <v>422.81731905570155</v>
      </c>
    </row>
    <row r="32" spans="1:8" ht="15" customHeight="1">
      <c r="A32" s="52" t="s">
        <v>161</v>
      </c>
      <c r="B32" s="30">
        <v>25793.116447531542</v>
      </c>
      <c r="C32" s="30">
        <v>14140.014874281715</v>
      </c>
      <c r="D32" s="30">
        <v>5152.7923074232867</v>
      </c>
      <c r="E32" s="30">
        <v>4863.6126677698958</v>
      </c>
      <c r="F32" s="30">
        <v>826.7728821598663</v>
      </c>
      <c r="G32" s="30">
        <v>475.66948393766467</v>
      </c>
      <c r="H32" s="30">
        <v>334.25423195619669</v>
      </c>
    </row>
    <row r="33" spans="1:8" ht="15" customHeight="1">
      <c r="A33" s="52" t="s">
        <v>162</v>
      </c>
      <c r="B33" s="30">
        <v>5626.1408951483645</v>
      </c>
      <c r="C33" s="30">
        <v>3214.6294833992265</v>
      </c>
      <c r="D33" s="30">
        <v>1034.3090941832795</v>
      </c>
      <c r="E33" s="30">
        <v>1077.0114744265966</v>
      </c>
      <c r="F33" s="30">
        <v>134.49216404998003</v>
      </c>
      <c r="G33" s="30">
        <v>77.13559198989131</v>
      </c>
      <c r="H33" s="30">
        <v>88.563087099504884</v>
      </c>
    </row>
    <row r="34" spans="1:8" ht="15" customHeight="1">
      <c r="A34" s="140" t="s">
        <v>163</v>
      </c>
      <c r="B34" s="35">
        <f>+B35+B36</f>
        <v>22193.482943585652</v>
      </c>
      <c r="C34" s="35">
        <f t="shared" ref="C34:H34" si="5">+C35+C36</f>
        <v>12311.187108661832</v>
      </c>
      <c r="D34" s="35">
        <f t="shared" si="5"/>
        <v>3903.5431085912714</v>
      </c>
      <c r="E34" s="35">
        <f t="shared" si="5"/>
        <v>4300.3768605314144</v>
      </c>
      <c r="F34" s="35">
        <f t="shared" si="5"/>
        <v>798.45874235987617</v>
      </c>
      <c r="G34" s="35">
        <f t="shared" si="5"/>
        <v>499.95291104559317</v>
      </c>
      <c r="H34" s="35">
        <f t="shared" si="5"/>
        <v>379.96421239465064</v>
      </c>
    </row>
    <row r="35" spans="1:8" ht="15" customHeight="1">
      <c r="A35" s="141" t="s">
        <v>163</v>
      </c>
      <c r="B35" s="30">
        <v>15803.094424051522</v>
      </c>
      <c r="C35" s="30">
        <v>8635.9789523543914</v>
      </c>
      <c r="D35" s="30">
        <v>2841.8255446876524</v>
      </c>
      <c r="E35" s="30">
        <v>3155.7357577243338</v>
      </c>
      <c r="F35" s="30">
        <v>513.90163736991883</v>
      </c>
      <c r="G35" s="30">
        <v>351.39547462061705</v>
      </c>
      <c r="H35" s="30">
        <v>304.25705729346106</v>
      </c>
    </row>
    <row r="36" spans="1:8" ht="15" customHeight="1">
      <c r="A36" s="141" t="s">
        <v>164</v>
      </c>
      <c r="B36" s="30">
        <v>6390.3885195341309</v>
      </c>
      <c r="C36" s="30">
        <v>3675.2081563074412</v>
      </c>
      <c r="D36" s="30">
        <v>1061.7175639036191</v>
      </c>
      <c r="E36" s="30">
        <v>1144.6411028070806</v>
      </c>
      <c r="F36" s="30">
        <v>284.55710498995728</v>
      </c>
      <c r="G36" s="30">
        <v>148.55743642497615</v>
      </c>
      <c r="H36" s="30">
        <v>75.707155101189613</v>
      </c>
    </row>
    <row r="37" spans="1:8" ht="15" customHeight="1">
      <c r="A37" s="130"/>
      <c r="B37" s="68"/>
      <c r="C37" s="68"/>
      <c r="D37" s="68"/>
      <c r="E37" s="68"/>
      <c r="F37" s="68"/>
      <c r="G37" s="68"/>
      <c r="H37" s="68"/>
    </row>
    <row r="38" spans="1:8" ht="15" customHeight="1">
      <c r="A38" s="131"/>
      <c r="B38" s="70"/>
      <c r="C38" s="70"/>
      <c r="D38" s="70"/>
      <c r="E38" s="70"/>
      <c r="F38" s="70"/>
      <c r="G38" s="70"/>
      <c r="H38" s="70"/>
    </row>
    <row r="39" spans="1:8" ht="15" customHeight="1">
      <c r="A39" s="130"/>
      <c r="B39" s="68"/>
      <c r="C39" s="68"/>
      <c r="D39" s="68"/>
      <c r="E39" s="68"/>
      <c r="F39" s="68"/>
      <c r="G39" s="68"/>
      <c r="H39" s="68"/>
    </row>
    <row r="40" spans="1:8" ht="15" customHeight="1">
      <c r="A40" s="131"/>
      <c r="B40" s="70"/>
      <c r="C40" s="70"/>
      <c r="D40" s="70"/>
      <c r="E40" s="70"/>
      <c r="F40" s="70"/>
      <c r="G40" s="70"/>
      <c r="H40" s="70"/>
    </row>
    <row r="41" spans="1:8" ht="15" customHeight="1">
      <c r="A41" s="130"/>
      <c r="B41" s="68"/>
      <c r="C41" s="68"/>
      <c r="D41" s="68"/>
      <c r="E41" s="68"/>
      <c r="F41" s="68"/>
      <c r="G41" s="68"/>
      <c r="H41" s="68"/>
    </row>
    <row r="42" spans="1:8" ht="15" customHeight="1">
      <c r="A42" s="131"/>
      <c r="B42" s="70"/>
      <c r="C42" s="70"/>
      <c r="D42" s="70"/>
      <c r="E42" s="70"/>
      <c r="F42" s="70"/>
      <c r="G42" s="70"/>
      <c r="H42" s="70"/>
    </row>
    <row r="43" spans="1:8" ht="15" customHeight="1">
      <c r="A43" s="130"/>
      <c r="B43" s="68"/>
      <c r="C43" s="68"/>
      <c r="D43" s="68"/>
      <c r="E43" s="68"/>
      <c r="F43" s="68"/>
      <c r="G43" s="68"/>
      <c r="H43" s="68"/>
    </row>
    <row r="44" spans="1:8" ht="15" customHeight="1">
      <c r="A44" s="132"/>
      <c r="B44" s="70"/>
      <c r="C44" s="70"/>
      <c r="D44" s="70"/>
      <c r="E44" s="70"/>
      <c r="F44" s="70"/>
      <c r="G44" s="70"/>
      <c r="H44" s="70"/>
    </row>
    <row r="45" spans="1:8" ht="15.75" customHeight="1">
      <c r="A45" s="133"/>
      <c r="B45" s="68"/>
      <c r="C45" s="68"/>
      <c r="D45" s="68"/>
      <c r="E45" s="68"/>
      <c r="F45" s="68"/>
      <c r="G45" s="68"/>
      <c r="H45" s="68"/>
    </row>
    <row r="46" spans="1:8" ht="15.75" customHeight="1">
      <c r="A46" s="132"/>
      <c r="B46" s="70"/>
      <c r="C46" s="70"/>
      <c r="D46" s="70"/>
      <c r="E46" s="70"/>
      <c r="F46" s="70"/>
      <c r="G46" s="70"/>
      <c r="H46" s="70"/>
    </row>
    <row r="47" spans="1:8" ht="15.75" customHeight="1">
      <c r="A47" s="132"/>
      <c r="B47" s="70"/>
      <c r="C47" s="70"/>
      <c r="D47" s="70"/>
      <c r="E47" s="70"/>
      <c r="F47" s="70"/>
      <c r="G47" s="70"/>
      <c r="H47" s="70"/>
    </row>
    <row r="48" spans="1:8" ht="15.75" customHeight="1">
      <c r="A48" s="133"/>
      <c r="B48" s="68"/>
      <c r="C48" s="68"/>
      <c r="D48" s="68"/>
      <c r="E48" s="68"/>
      <c r="F48" s="68"/>
      <c r="G48" s="68"/>
      <c r="H48" s="68"/>
    </row>
    <row r="49" spans="1:8" ht="15.75" customHeight="1">
      <c r="A49" s="132"/>
      <c r="B49" s="70"/>
      <c r="C49" s="70"/>
      <c r="D49" s="70"/>
      <c r="E49" s="70"/>
      <c r="F49" s="70"/>
      <c r="G49" s="70"/>
      <c r="H49" s="70"/>
    </row>
    <row r="50" spans="1:8" ht="15.75" customHeight="1">
      <c r="A50" s="132"/>
      <c r="B50" s="70"/>
      <c r="C50" s="70"/>
      <c r="D50" s="70"/>
      <c r="E50" s="70"/>
      <c r="F50" s="70"/>
      <c r="G50" s="70"/>
      <c r="H50" s="70"/>
    </row>
    <row r="51" spans="1:8" ht="15.75" customHeight="1">
      <c r="A51" s="133"/>
      <c r="B51" s="68"/>
      <c r="C51" s="68"/>
      <c r="D51" s="68"/>
      <c r="E51" s="68"/>
      <c r="F51" s="68"/>
      <c r="G51" s="68"/>
      <c r="H51" s="68"/>
    </row>
    <row r="52" spans="1:8" ht="15.75" customHeight="1">
      <c r="A52" s="132"/>
      <c r="B52" s="70"/>
      <c r="C52" s="70"/>
      <c r="D52" s="70"/>
      <c r="E52" s="70"/>
      <c r="F52" s="70"/>
      <c r="G52" s="70"/>
      <c r="H52" s="70"/>
    </row>
    <row r="53" spans="1:8" ht="15.75" customHeight="1">
      <c r="A53" s="132"/>
      <c r="B53" s="70"/>
      <c r="C53" s="70"/>
      <c r="D53" s="70"/>
      <c r="E53" s="70"/>
      <c r="F53" s="70"/>
      <c r="G53" s="70"/>
      <c r="H53" s="70"/>
    </row>
    <row r="54" spans="1:8" ht="15.75" customHeight="1">
      <c r="A54" s="133"/>
      <c r="B54" s="68"/>
      <c r="C54" s="68"/>
      <c r="D54" s="68"/>
      <c r="E54" s="68"/>
      <c r="F54" s="68"/>
      <c r="G54" s="68"/>
      <c r="H54" s="68"/>
    </row>
    <row r="55" spans="1:8" ht="15.75" customHeight="1">
      <c r="A55" s="132"/>
      <c r="B55" s="70"/>
      <c r="C55" s="70"/>
      <c r="D55" s="70"/>
      <c r="E55" s="70"/>
      <c r="F55" s="70"/>
      <c r="G55" s="70"/>
      <c r="H55" s="70"/>
    </row>
    <row r="56" spans="1:8" ht="15.75" customHeight="1">
      <c r="A56" s="133"/>
      <c r="B56" s="68"/>
      <c r="C56" s="68"/>
      <c r="D56" s="68"/>
      <c r="E56" s="68"/>
      <c r="F56" s="68"/>
      <c r="G56" s="68"/>
      <c r="H56" s="68"/>
    </row>
    <row r="57" spans="1:8" ht="15.75" customHeight="1">
      <c r="A57" s="132"/>
      <c r="B57" s="70"/>
      <c r="C57" s="70"/>
      <c r="D57" s="70"/>
      <c r="E57" s="70"/>
      <c r="F57" s="70"/>
      <c r="G57" s="70"/>
      <c r="H57" s="70"/>
    </row>
    <row r="58" spans="1:8" ht="15.75" customHeight="1">
      <c r="A58" s="132"/>
      <c r="B58" s="70"/>
      <c r="C58" s="70"/>
      <c r="D58" s="70"/>
      <c r="E58" s="70"/>
      <c r="F58" s="70"/>
      <c r="G58" s="70"/>
      <c r="H58" s="70"/>
    </row>
    <row r="59" spans="1:8" ht="15.75" customHeight="1">
      <c r="A59" s="133"/>
      <c r="B59" s="68"/>
      <c r="C59" s="68"/>
      <c r="D59" s="68"/>
      <c r="E59" s="68"/>
      <c r="F59" s="68"/>
      <c r="G59" s="68"/>
      <c r="H59" s="68"/>
    </row>
    <row r="60" spans="1:8" ht="15.75" customHeight="1">
      <c r="A60" s="132"/>
      <c r="B60" s="70"/>
      <c r="C60" s="70"/>
      <c r="D60" s="70"/>
      <c r="E60" s="70"/>
      <c r="F60" s="70"/>
      <c r="G60" s="70"/>
      <c r="H60" s="70"/>
    </row>
    <row r="61" spans="1:8" ht="15.75" customHeight="1">
      <c r="A61" s="133"/>
      <c r="B61" s="68"/>
      <c r="C61" s="68"/>
      <c r="D61" s="68"/>
      <c r="E61" s="68"/>
      <c r="F61" s="68"/>
      <c r="G61" s="68"/>
      <c r="H61" s="68"/>
    </row>
    <row r="62" spans="1:8" ht="15.75" customHeight="1">
      <c r="A62" s="132"/>
      <c r="B62" s="70"/>
      <c r="C62" s="70"/>
      <c r="D62" s="70"/>
      <c r="E62" s="70"/>
      <c r="F62" s="70"/>
      <c r="G62" s="70"/>
      <c r="H62" s="70"/>
    </row>
    <row r="63" spans="1:8" ht="15.75" customHeight="1">
      <c r="A63" s="132"/>
      <c r="B63" s="70"/>
      <c r="C63" s="70"/>
      <c r="D63" s="70"/>
      <c r="E63" s="70"/>
      <c r="F63" s="70"/>
      <c r="G63" s="70"/>
      <c r="H63" s="70"/>
    </row>
    <row r="64" spans="1:8" ht="15.75" customHeight="1">
      <c r="A64" s="132"/>
      <c r="B64" s="70"/>
      <c r="C64" s="70"/>
      <c r="D64" s="70"/>
      <c r="E64" s="70"/>
      <c r="F64" s="70"/>
      <c r="G64" s="70"/>
      <c r="H64" s="70"/>
    </row>
    <row r="65" spans="1:8" ht="15.75" customHeight="1">
      <c r="A65" s="133"/>
      <c r="B65" s="68"/>
      <c r="C65" s="68"/>
      <c r="D65" s="68"/>
      <c r="E65" s="68"/>
      <c r="F65" s="68"/>
      <c r="G65" s="68"/>
      <c r="H65" s="68"/>
    </row>
    <row r="66" spans="1:8" ht="15.75" customHeight="1">
      <c r="A66" s="132"/>
      <c r="B66" s="70"/>
      <c r="C66" s="70"/>
      <c r="D66" s="70"/>
      <c r="E66" s="70"/>
      <c r="F66" s="70"/>
      <c r="G66" s="70"/>
      <c r="H66" s="70"/>
    </row>
    <row r="67" spans="1:8" ht="15.75" customHeight="1">
      <c r="A67" s="132"/>
      <c r="B67" s="70"/>
      <c r="C67" s="70"/>
      <c r="D67" s="70"/>
      <c r="E67" s="70"/>
      <c r="F67" s="70"/>
      <c r="G67" s="70"/>
      <c r="H67" s="70"/>
    </row>
    <row r="68" spans="1:8" ht="15.75" customHeight="1">
      <c r="A68" s="133"/>
      <c r="B68" s="68"/>
      <c r="C68" s="68"/>
      <c r="D68" s="68"/>
      <c r="E68" s="68"/>
      <c r="F68" s="68"/>
      <c r="G68" s="68"/>
      <c r="H68" s="68"/>
    </row>
    <row r="69" spans="1:8" ht="15.75" customHeight="1">
      <c r="A69" s="132"/>
      <c r="B69" s="70"/>
      <c r="C69" s="70"/>
      <c r="D69" s="70"/>
      <c r="E69" s="70"/>
      <c r="F69" s="70"/>
      <c r="G69" s="70"/>
      <c r="H69" s="70"/>
    </row>
    <row r="70" spans="1:8" ht="15.75" customHeight="1">
      <c r="A70" s="133"/>
      <c r="B70" s="68"/>
      <c r="C70" s="68"/>
      <c r="D70" s="68"/>
      <c r="E70" s="68"/>
      <c r="F70" s="68"/>
      <c r="G70" s="68"/>
      <c r="H70" s="68"/>
    </row>
    <row r="71" spans="1:8" ht="15.75" customHeight="1">
      <c r="A71" s="132"/>
      <c r="B71" s="70"/>
      <c r="C71" s="70"/>
      <c r="D71" s="70"/>
      <c r="E71" s="70"/>
      <c r="F71" s="70"/>
      <c r="G71" s="70"/>
      <c r="H71" s="70"/>
    </row>
    <row r="72" spans="1:8" ht="15.75" customHeight="1">
      <c r="A72" s="134"/>
      <c r="B72" s="68"/>
      <c r="C72" s="68"/>
      <c r="D72" s="68"/>
      <c r="E72" s="68"/>
      <c r="F72" s="68"/>
      <c r="G72" s="68"/>
      <c r="H72" s="68"/>
    </row>
    <row r="73" spans="1:8" ht="15.75" customHeight="1">
      <c r="A73" s="135"/>
      <c r="B73" s="70"/>
      <c r="C73" s="70"/>
      <c r="D73" s="70"/>
      <c r="E73" s="70"/>
      <c r="F73" s="70"/>
      <c r="G73" s="70"/>
      <c r="H73" s="70"/>
    </row>
    <row r="74" spans="1:8" ht="15.75" customHeight="1">
      <c r="A74" s="38"/>
      <c r="B74" s="68"/>
      <c r="C74" s="68"/>
      <c r="D74" s="68"/>
      <c r="E74" s="68"/>
      <c r="F74" s="68"/>
      <c r="G74" s="68"/>
      <c r="H74" s="68"/>
    </row>
    <row r="75" spans="1:8" ht="15.75" customHeight="1">
      <c r="A75" s="37"/>
      <c r="B75" s="70"/>
      <c r="C75" s="70"/>
      <c r="D75" s="70"/>
      <c r="E75" s="70"/>
      <c r="F75" s="70"/>
      <c r="G75" s="70"/>
      <c r="H75" s="70"/>
    </row>
    <row r="76" spans="1:8" ht="15.75" customHeight="1">
      <c r="A76" s="38"/>
      <c r="B76" s="68"/>
      <c r="C76" s="68"/>
      <c r="D76" s="68"/>
      <c r="E76" s="68"/>
      <c r="F76" s="68"/>
      <c r="G76" s="68"/>
      <c r="H76" s="68"/>
    </row>
    <row r="77" spans="1:8" ht="15.75" customHeight="1">
      <c r="A77" s="37"/>
      <c r="B77" s="70"/>
      <c r="C77" s="70"/>
      <c r="D77" s="70"/>
      <c r="E77" s="70"/>
      <c r="F77" s="70"/>
      <c r="G77" s="70"/>
      <c r="H77" s="70"/>
    </row>
    <row r="78" spans="1:8" ht="15.75" customHeight="1">
      <c r="A78" s="38"/>
      <c r="B78" s="68"/>
      <c r="C78" s="68"/>
      <c r="D78" s="68"/>
      <c r="E78" s="68"/>
      <c r="F78" s="68"/>
      <c r="G78" s="68"/>
      <c r="H78" s="68"/>
    </row>
    <row r="79" spans="1:8" ht="15.75" customHeight="1">
      <c r="A79" s="37"/>
      <c r="B79" s="70"/>
      <c r="C79" s="70"/>
      <c r="D79" s="70"/>
      <c r="E79" s="70"/>
      <c r="F79" s="70"/>
      <c r="G79" s="70"/>
      <c r="H79" s="70"/>
    </row>
    <row r="80" spans="1:8" ht="15.75" customHeight="1">
      <c r="A80" s="37"/>
      <c r="B80" s="70"/>
      <c r="C80" s="70"/>
      <c r="D80" s="70"/>
      <c r="E80" s="70"/>
      <c r="F80" s="70"/>
      <c r="G80" s="70"/>
      <c r="H80" s="70"/>
    </row>
    <row r="81" spans="1:8" ht="15.75" customHeight="1">
      <c r="A81" s="38"/>
      <c r="B81" s="68"/>
      <c r="C81" s="68"/>
      <c r="D81" s="68"/>
      <c r="E81" s="68"/>
      <c r="F81" s="68"/>
      <c r="G81" s="68"/>
      <c r="H81" s="68"/>
    </row>
    <row r="82" spans="1:8">
      <c r="A82" s="37"/>
      <c r="B82" s="81"/>
      <c r="C82" s="81"/>
      <c r="D82" s="81"/>
      <c r="E82" s="81"/>
      <c r="F82" s="81"/>
      <c r="G82" s="81"/>
      <c r="H82" s="81"/>
    </row>
    <row r="83" spans="1:8">
      <c r="A83" s="136"/>
      <c r="B83" s="41"/>
      <c r="C83" s="41"/>
      <c r="D83" s="41"/>
      <c r="E83" s="41"/>
      <c r="F83" s="41"/>
      <c r="G83" s="41"/>
      <c r="H83" s="41"/>
    </row>
    <row r="84" spans="1:8">
      <c r="A84" s="136"/>
      <c r="B84" s="136"/>
      <c r="C84" s="136"/>
      <c r="D84" s="136"/>
      <c r="E84" s="136"/>
      <c r="F84" s="136"/>
      <c r="G84" s="136"/>
      <c r="H84" s="136"/>
    </row>
    <row r="85" spans="1:8">
      <c r="A85" s="136"/>
      <c r="B85" s="136"/>
      <c r="C85" s="136"/>
      <c r="D85" s="136"/>
      <c r="E85" s="136"/>
      <c r="F85" s="136"/>
      <c r="G85" s="136"/>
      <c r="H85" s="136"/>
    </row>
    <row r="86" spans="1:8">
      <c r="A86" s="136"/>
      <c r="B86" s="136"/>
      <c r="C86" s="136"/>
      <c r="D86" s="136"/>
      <c r="E86" s="136"/>
      <c r="F86" s="136"/>
      <c r="G86" s="136"/>
      <c r="H86" s="136"/>
    </row>
    <row r="87" spans="1:8">
      <c r="A87" s="136"/>
      <c r="B87" s="136"/>
      <c r="C87" s="136"/>
      <c r="D87" s="136"/>
      <c r="E87" s="136"/>
      <c r="F87" s="136"/>
      <c r="G87" s="136"/>
      <c r="H87" s="136"/>
    </row>
    <row r="88" spans="1:8">
      <c r="A88" s="136"/>
      <c r="B88" s="136"/>
      <c r="C88" s="136"/>
      <c r="D88" s="136"/>
      <c r="E88" s="136"/>
      <c r="F88" s="136"/>
      <c r="G88" s="136"/>
      <c r="H88" s="136"/>
    </row>
    <row r="89" spans="1:8">
      <c r="A89" s="136"/>
      <c r="B89" s="136"/>
      <c r="C89" s="136"/>
      <c r="D89" s="136"/>
      <c r="E89" s="136"/>
      <c r="F89" s="136"/>
      <c r="G89" s="136"/>
      <c r="H89" s="136"/>
    </row>
    <row r="90" spans="1:8">
      <c r="A90" s="136"/>
      <c r="B90" s="136"/>
      <c r="C90" s="136"/>
      <c r="D90" s="136"/>
      <c r="E90" s="136"/>
      <c r="F90" s="136"/>
      <c r="G90" s="136"/>
      <c r="H90" s="136"/>
    </row>
    <row r="91" spans="1:8">
      <c r="A91" s="136"/>
      <c r="B91" s="136"/>
      <c r="C91" s="136"/>
      <c r="D91" s="136"/>
      <c r="E91" s="136"/>
      <c r="F91" s="136"/>
      <c r="G91" s="136"/>
      <c r="H91" s="136"/>
    </row>
    <row r="92" spans="1:8">
      <c r="A92" s="136"/>
      <c r="B92" s="136"/>
      <c r="C92" s="136"/>
      <c r="D92" s="136"/>
      <c r="E92" s="136"/>
      <c r="F92" s="136"/>
      <c r="G92" s="136"/>
      <c r="H92" s="136"/>
    </row>
    <row r="93" spans="1:8">
      <c r="A93" s="136"/>
      <c r="B93" s="136"/>
      <c r="C93" s="136"/>
      <c r="D93" s="136"/>
      <c r="E93" s="136"/>
      <c r="F93" s="136"/>
      <c r="G93" s="136"/>
      <c r="H93" s="136"/>
    </row>
    <row r="94" spans="1:8">
      <c r="A94" s="136"/>
      <c r="B94" s="136"/>
      <c r="C94" s="136"/>
      <c r="D94" s="136"/>
      <c r="E94" s="136"/>
      <c r="F94" s="136"/>
      <c r="G94" s="136"/>
      <c r="H94" s="136"/>
    </row>
    <row r="95" spans="1:8">
      <c r="A95" s="136"/>
      <c r="B95" s="136"/>
      <c r="C95" s="136"/>
      <c r="D95" s="136"/>
      <c r="E95" s="136"/>
      <c r="F95" s="136"/>
      <c r="G95" s="136"/>
      <c r="H95" s="136"/>
    </row>
    <row r="96" spans="1:8">
      <c r="A96" s="136"/>
      <c r="B96" s="136"/>
      <c r="C96" s="136"/>
      <c r="D96" s="136"/>
      <c r="E96" s="136"/>
      <c r="F96" s="136"/>
      <c r="G96" s="136"/>
      <c r="H96" s="136"/>
    </row>
    <row r="97" spans="1:8">
      <c r="A97" s="136"/>
      <c r="B97" s="136"/>
      <c r="C97" s="136"/>
      <c r="D97" s="136"/>
      <c r="E97" s="136"/>
      <c r="F97" s="136"/>
      <c r="G97" s="136"/>
      <c r="H97" s="136"/>
    </row>
    <row r="98" spans="1:8">
      <c r="A98" s="136"/>
      <c r="B98" s="136"/>
      <c r="C98" s="136"/>
      <c r="D98" s="136"/>
      <c r="E98" s="136"/>
      <c r="F98" s="136"/>
      <c r="G98" s="136"/>
      <c r="H98" s="136"/>
    </row>
    <row r="99" spans="1:8">
      <c r="A99" s="136"/>
      <c r="B99" s="136"/>
      <c r="C99" s="136"/>
      <c r="D99" s="136"/>
      <c r="E99" s="136"/>
      <c r="F99" s="136"/>
      <c r="G99" s="136"/>
      <c r="H99" s="136"/>
    </row>
    <row r="100" spans="1:8">
      <c r="A100" s="136"/>
      <c r="B100" s="136"/>
      <c r="C100" s="136"/>
      <c r="D100" s="136"/>
      <c r="E100" s="136"/>
      <c r="F100" s="136"/>
      <c r="G100" s="136"/>
      <c r="H100" s="136"/>
    </row>
    <row r="101" spans="1:8">
      <c r="A101" s="136"/>
      <c r="B101" s="136"/>
      <c r="C101" s="136"/>
      <c r="D101" s="136"/>
      <c r="E101" s="136"/>
      <c r="F101" s="136"/>
      <c r="G101" s="136"/>
      <c r="H101" s="136"/>
    </row>
    <row r="102" spans="1:8">
      <c r="A102" s="136"/>
      <c r="B102" s="136"/>
      <c r="C102" s="136"/>
      <c r="D102" s="136"/>
      <c r="E102" s="136"/>
      <c r="F102" s="136"/>
      <c r="G102" s="136"/>
      <c r="H102" s="136"/>
    </row>
    <row r="103" spans="1:8">
      <c r="A103" s="136"/>
      <c r="B103" s="136"/>
      <c r="C103" s="136"/>
      <c r="D103" s="136"/>
      <c r="E103" s="136"/>
      <c r="F103" s="136"/>
      <c r="G103" s="136"/>
      <c r="H103" s="136"/>
    </row>
    <row r="104" spans="1:8">
      <c r="A104" s="136"/>
      <c r="B104" s="136"/>
      <c r="C104" s="136"/>
      <c r="D104" s="136"/>
      <c r="E104" s="136"/>
      <c r="F104" s="136"/>
      <c r="G104" s="136"/>
      <c r="H104" s="136"/>
    </row>
    <row r="105" spans="1:8">
      <c r="A105" s="136"/>
      <c r="B105" s="136"/>
      <c r="C105" s="136"/>
      <c r="D105" s="136"/>
      <c r="E105" s="136"/>
      <c r="F105" s="136"/>
      <c r="G105" s="136"/>
      <c r="H105" s="136"/>
    </row>
    <row r="106" spans="1:8">
      <c r="A106" s="136"/>
      <c r="B106" s="136"/>
      <c r="C106" s="136"/>
      <c r="D106" s="136"/>
      <c r="E106" s="136"/>
      <c r="F106" s="136"/>
      <c r="G106" s="136"/>
      <c r="H106" s="136"/>
    </row>
    <row r="107" spans="1:8">
      <c r="A107" s="136"/>
      <c r="B107" s="136"/>
      <c r="C107" s="136"/>
      <c r="D107" s="136"/>
      <c r="E107" s="136"/>
      <c r="F107" s="136"/>
      <c r="G107" s="136"/>
      <c r="H107" s="136"/>
    </row>
    <row r="108" spans="1:8">
      <c r="A108" s="136"/>
      <c r="B108" s="136"/>
      <c r="C108" s="136"/>
      <c r="D108" s="136"/>
      <c r="E108" s="136"/>
      <c r="F108" s="136"/>
      <c r="G108" s="136"/>
      <c r="H108" s="136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5"/>
  <sheetViews>
    <sheetView workbookViewId="0">
      <selection activeCell="A10" sqref="A10"/>
    </sheetView>
  </sheetViews>
  <sheetFormatPr defaultColWidth="10.28515625" defaultRowHeight="15"/>
  <cols>
    <col min="1" max="1" width="18" style="20" customWidth="1"/>
    <col min="2" max="4" width="9.85546875" style="50" customWidth="1"/>
    <col min="5" max="5" width="3" style="50" customWidth="1"/>
    <col min="6" max="8" width="9.85546875" style="50" customWidth="1"/>
    <col min="9" max="9" width="3" style="50" customWidth="1"/>
    <col min="10" max="12" width="9.85546875" style="50" customWidth="1"/>
    <col min="13" max="13" width="9.42578125" style="20" customWidth="1"/>
    <col min="14" max="16384" width="10.28515625" style="20"/>
  </cols>
  <sheetData>
    <row r="1" spans="1:13" ht="21.75" customHeight="1">
      <c r="A1" s="942" t="s">
        <v>548</v>
      </c>
      <c r="B1" s="942"/>
      <c r="C1" s="942"/>
      <c r="D1" s="942"/>
      <c r="E1" s="942"/>
      <c r="F1" s="942"/>
      <c r="G1" s="942"/>
      <c r="H1" s="942"/>
      <c r="I1" s="942"/>
      <c r="J1" s="942"/>
      <c r="K1" s="942"/>
      <c r="L1" s="942"/>
      <c r="M1" s="47"/>
    </row>
    <row r="2" spans="1:13" ht="14.25" customHeight="1">
      <c r="A2" s="945" t="s">
        <v>314</v>
      </c>
      <c r="B2" s="943" t="s">
        <v>133</v>
      </c>
      <c r="C2" s="943"/>
      <c r="D2" s="943"/>
      <c r="E2" s="943"/>
      <c r="F2" s="943"/>
      <c r="G2" s="943"/>
      <c r="H2" s="943"/>
      <c r="I2" s="943"/>
      <c r="J2" s="943"/>
      <c r="K2" s="943"/>
      <c r="L2" s="114"/>
      <c r="M2" s="21"/>
    </row>
    <row r="3" spans="1:13" ht="15" customHeight="1">
      <c r="A3" s="946"/>
      <c r="B3" s="944" t="s">
        <v>134</v>
      </c>
      <c r="C3" s="944"/>
      <c r="D3" s="944"/>
      <c r="E3" s="115"/>
      <c r="F3" s="944" t="s">
        <v>135</v>
      </c>
      <c r="G3" s="944"/>
      <c r="H3" s="944"/>
      <c r="I3" s="115"/>
      <c r="J3" s="944" t="s">
        <v>136</v>
      </c>
      <c r="K3" s="944"/>
      <c r="L3" s="944"/>
    </row>
    <row r="4" spans="1:13">
      <c r="A4" s="946"/>
      <c r="B4" s="116" t="s">
        <v>0</v>
      </c>
      <c r="C4" s="117" t="s">
        <v>1</v>
      </c>
      <c r="D4" s="117" t="s">
        <v>2</v>
      </c>
      <c r="E4" s="115"/>
      <c r="F4" s="116" t="s">
        <v>0</v>
      </c>
      <c r="G4" s="117" t="s">
        <v>1</v>
      </c>
      <c r="H4" s="117" t="s">
        <v>2</v>
      </c>
      <c r="I4" s="116"/>
      <c r="J4" s="116" t="s">
        <v>0</v>
      </c>
      <c r="K4" s="117" t="s">
        <v>1</v>
      </c>
      <c r="L4" s="117" t="s">
        <v>2</v>
      </c>
    </row>
    <row r="5" spans="1:13" ht="15" customHeight="1">
      <c r="A5" s="168" t="s">
        <v>147</v>
      </c>
      <c r="B5" s="169">
        <f>+C5+D5</f>
        <v>240713.12089524401</v>
      </c>
      <c r="C5" s="170">
        <v>119011.36880852706</v>
      </c>
      <c r="D5" s="170">
        <v>121701.75208671697</v>
      </c>
      <c r="E5" s="171"/>
      <c r="F5" s="172">
        <f>+G5+H5</f>
        <v>312020.00987425406</v>
      </c>
      <c r="G5" s="170">
        <v>151237.44950502308</v>
      </c>
      <c r="H5" s="170">
        <v>160782.56036923098</v>
      </c>
      <c r="I5" s="171"/>
      <c r="J5" s="172">
        <f>+K5+L5</f>
        <v>17714.045856791185</v>
      </c>
      <c r="K5" s="170">
        <v>8452.0610704485807</v>
      </c>
      <c r="L5" s="170">
        <v>9261.9847863426039</v>
      </c>
    </row>
    <row r="6" spans="1:13" ht="15" customHeight="1">
      <c r="A6" s="915"/>
      <c r="B6" s="118"/>
      <c r="C6" s="119"/>
      <c r="D6" s="119"/>
      <c r="E6" s="108"/>
      <c r="F6" s="120"/>
      <c r="G6" s="119"/>
      <c r="H6" s="119"/>
      <c r="I6" s="108"/>
      <c r="J6" s="120"/>
      <c r="K6" s="119"/>
      <c r="L6" s="119"/>
    </row>
    <row r="7" spans="1:13" ht="15" customHeight="1">
      <c r="A7" s="168" t="s">
        <v>3</v>
      </c>
      <c r="B7" s="169"/>
      <c r="C7" s="170"/>
      <c r="D7" s="170"/>
      <c r="E7" s="916"/>
      <c r="F7" s="172"/>
      <c r="G7" s="170"/>
      <c r="H7" s="170"/>
      <c r="I7" s="916"/>
      <c r="J7" s="172"/>
      <c r="K7" s="170"/>
      <c r="L7" s="170"/>
    </row>
    <row r="8" spans="1:13" ht="15" customHeight="1">
      <c r="A8" s="121" t="s">
        <v>4</v>
      </c>
      <c r="B8" s="122">
        <f>+C8+D8</f>
        <v>165806.97744751989</v>
      </c>
      <c r="C8" s="107">
        <v>81740.602578891237</v>
      </c>
      <c r="D8" s="107">
        <v>84066.374868628671</v>
      </c>
      <c r="E8" s="108"/>
      <c r="F8" s="107">
        <f>+G8+H8</f>
        <v>215791.34065516974</v>
      </c>
      <c r="G8" s="107">
        <v>103150.24055510295</v>
      </c>
      <c r="H8" s="107">
        <v>112641.10010006677</v>
      </c>
      <c r="I8" s="108"/>
      <c r="J8" s="107">
        <f>+K8+L8</f>
        <v>10257.605297766844</v>
      </c>
      <c r="K8" s="107">
        <v>4680.9876842753501</v>
      </c>
      <c r="L8" s="107">
        <v>5576.617613491494</v>
      </c>
    </row>
    <row r="9" spans="1:13" ht="15.75" customHeight="1">
      <c r="A9" s="121" t="s">
        <v>5</v>
      </c>
      <c r="B9" s="122">
        <f>+C9+D9</f>
        <v>74906.143447734823</v>
      </c>
      <c r="C9" s="108">
        <v>37270.766229641536</v>
      </c>
      <c r="D9" s="108">
        <v>37635.377218093294</v>
      </c>
      <c r="E9" s="108"/>
      <c r="F9" s="107">
        <f>+G9+H9</f>
        <v>96228.669219301635</v>
      </c>
      <c r="G9" s="108">
        <v>48087.208950025051</v>
      </c>
      <c r="H9" s="108">
        <v>48141.460269276591</v>
      </c>
      <c r="I9" s="108"/>
      <c r="J9" s="107">
        <f>+K9+L9</f>
        <v>7456.440559022496</v>
      </c>
      <c r="K9" s="108">
        <v>3771.0733861722938</v>
      </c>
      <c r="L9" s="108">
        <v>3685.3671728502022</v>
      </c>
    </row>
    <row r="10" spans="1:13">
      <c r="A10" s="165" t="s">
        <v>143</v>
      </c>
      <c r="B10" s="173"/>
      <c r="C10" s="174"/>
      <c r="D10" s="174"/>
      <c r="E10" s="174"/>
      <c r="F10" s="175"/>
      <c r="G10" s="174"/>
      <c r="H10" s="174"/>
      <c r="I10" s="174"/>
      <c r="J10" s="175"/>
      <c r="K10" s="174"/>
      <c r="L10" s="174"/>
    </row>
    <row r="11" spans="1:13" ht="15" customHeight="1">
      <c r="A11" s="140" t="s">
        <v>148</v>
      </c>
      <c r="B11" s="105">
        <f>+C11+D11</f>
        <v>159765.75699386362</v>
      </c>
      <c r="C11" s="105">
        <v>78730.452871716683</v>
      </c>
      <c r="D11" s="105">
        <v>81035.304122146918</v>
      </c>
      <c r="E11" s="105"/>
      <c r="F11" s="105">
        <f>+G11+H11</f>
        <v>212524.49177152407</v>
      </c>
      <c r="G11" s="105">
        <v>102023.90575333017</v>
      </c>
      <c r="H11" s="105">
        <v>110500.58601819392</v>
      </c>
      <c r="I11" s="105"/>
      <c r="J11" s="105">
        <f>+K11+L11</f>
        <v>10344.739947977667</v>
      </c>
      <c r="K11" s="105">
        <v>4733.8398491573253</v>
      </c>
      <c r="L11" s="105">
        <v>5610.9000988203416</v>
      </c>
    </row>
    <row r="12" spans="1:13" ht="15" customHeight="1">
      <c r="A12" s="52" t="s">
        <v>148</v>
      </c>
      <c r="B12" s="106">
        <f>+C12+D12</f>
        <v>159765.75699386362</v>
      </c>
      <c r="C12" s="107">
        <v>78730.452871716683</v>
      </c>
      <c r="D12" s="107">
        <v>81035.304122146918</v>
      </c>
      <c r="E12" s="108"/>
      <c r="F12" s="106">
        <f>+G12+H12</f>
        <v>212524.49177152407</v>
      </c>
      <c r="G12" s="107">
        <v>102023.90575333017</v>
      </c>
      <c r="H12" s="107">
        <v>110500.58601819392</v>
      </c>
      <c r="I12" s="108"/>
      <c r="J12" s="106">
        <f>+K12+L12</f>
        <v>10344.739947977667</v>
      </c>
      <c r="K12" s="107">
        <v>4733.8398491573253</v>
      </c>
      <c r="L12" s="107">
        <v>5610.9000988203416</v>
      </c>
    </row>
    <row r="13" spans="1:13" ht="15" customHeight="1">
      <c r="A13" s="140" t="s">
        <v>149</v>
      </c>
      <c r="B13" s="105">
        <f>+C13+D13</f>
        <v>12413.930900015028</v>
      </c>
      <c r="C13" s="112">
        <v>6191.2838735961277</v>
      </c>
      <c r="D13" s="112">
        <v>6222.6470264188993</v>
      </c>
      <c r="E13" s="110"/>
      <c r="F13" s="113">
        <f>+G13+H13</f>
        <v>16794.579728417426</v>
      </c>
      <c r="G13" s="112">
        <v>8230.560944379773</v>
      </c>
      <c r="H13" s="112">
        <v>8564.0187840376511</v>
      </c>
      <c r="I13" s="110"/>
      <c r="J13" s="113">
        <f>+K13+L13</f>
        <v>1022.7608123104139</v>
      </c>
      <c r="K13" s="112">
        <v>504.2382217116986</v>
      </c>
      <c r="L13" s="112">
        <v>518.52259059871528</v>
      </c>
    </row>
    <row r="14" spans="1:13" ht="15" customHeight="1">
      <c r="A14" s="52" t="s">
        <v>149</v>
      </c>
      <c r="B14" s="106">
        <f>+C14+D14</f>
        <v>12413.930900015028</v>
      </c>
      <c r="C14" s="109">
        <v>6191.2838735961277</v>
      </c>
      <c r="D14" s="109">
        <v>6222.6470264188993</v>
      </c>
      <c r="E14" s="109"/>
      <c r="F14" s="109">
        <f>+G14+H14</f>
        <v>16794.579728417426</v>
      </c>
      <c r="G14" s="109">
        <v>8230.560944379773</v>
      </c>
      <c r="H14" s="109">
        <v>8564.0187840376511</v>
      </c>
      <c r="I14" s="109"/>
      <c r="J14" s="109">
        <f>+K14+L14</f>
        <v>1022.7608123104139</v>
      </c>
      <c r="K14" s="109">
        <v>504.2382217116986</v>
      </c>
      <c r="L14" s="109">
        <v>518.52259059871528</v>
      </c>
    </row>
    <row r="15" spans="1:13" ht="15" customHeight="1">
      <c r="A15" s="140" t="s">
        <v>150</v>
      </c>
      <c r="B15" s="105">
        <f>+C15+D15</f>
        <v>5518.07702946266</v>
      </c>
      <c r="C15" s="112">
        <v>2709.0883242607351</v>
      </c>
      <c r="D15" s="112">
        <v>2808.9887052019249</v>
      </c>
      <c r="E15" s="110"/>
      <c r="F15" s="113">
        <f>+G15+H15</f>
        <v>6652.7677776867404</v>
      </c>
      <c r="G15" s="112">
        <v>3263.9147726073024</v>
      </c>
      <c r="H15" s="112">
        <v>3388.8530050794379</v>
      </c>
      <c r="I15" s="110"/>
      <c r="J15" s="113">
        <f>+K15+L15</f>
        <v>509.9519692665051</v>
      </c>
      <c r="K15" s="112">
        <v>278.54519329683052</v>
      </c>
      <c r="L15" s="112">
        <v>231.40677596967456</v>
      </c>
    </row>
    <row r="16" spans="1:13" ht="15" customHeight="1">
      <c r="A16" s="52" t="s">
        <v>150</v>
      </c>
      <c r="B16" s="106">
        <v>5518.07702946266</v>
      </c>
      <c r="C16" s="106">
        <v>2709.0883242607351</v>
      </c>
      <c r="D16" s="106">
        <v>2808.9887052019249</v>
      </c>
      <c r="E16" s="106"/>
      <c r="F16" s="106">
        <v>6652.7677776867404</v>
      </c>
      <c r="G16" s="106">
        <v>3263.9147726073024</v>
      </c>
      <c r="H16" s="106">
        <v>3388.8530050794379</v>
      </c>
      <c r="I16" s="106"/>
      <c r="J16" s="106">
        <v>509.9519692665051</v>
      </c>
      <c r="K16" s="106">
        <v>278.54519329683052</v>
      </c>
      <c r="L16" s="106">
        <v>231.40677596967456</v>
      </c>
    </row>
    <row r="17" spans="1:12" ht="15" customHeight="1">
      <c r="A17" s="140" t="s">
        <v>151</v>
      </c>
      <c r="B17" s="105">
        <f>+C17+D17</f>
        <v>11595.569241879708</v>
      </c>
      <c r="C17" s="113">
        <v>5830.6122019164704</v>
      </c>
      <c r="D17" s="113">
        <v>5764.9570399632366</v>
      </c>
      <c r="E17" s="113"/>
      <c r="F17" s="113">
        <f>+G17+H17</f>
        <v>15110.905230830238</v>
      </c>
      <c r="G17" s="113">
        <v>7300.5055176127935</v>
      </c>
      <c r="H17" s="113">
        <v>7810.3997132174445</v>
      </c>
      <c r="I17" s="113"/>
      <c r="J17" s="113">
        <f>+K17+L17</f>
        <v>1225.598850506047</v>
      </c>
      <c r="K17" s="113">
        <v>602.80036703211204</v>
      </c>
      <c r="L17" s="113">
        <v>622.79848347393499</v>
      </c>
    </row>
    <row r="18" spans="1:12" ht="15" customHeight="1">
      <c r="A18" s="52" t="s">
        <v>151</v>
      </c>
      <c r="B18" s="106">
        <v>11595.569241879708</v>
      </c>
      <c r="C18" s="107">
        <v>5830.6122019164704</v>
      </c>
      <c r="D18" s="107">
        <v>5764.9570399632366</v>
      </c>
      <c r="E18" s="108"/>
      <c r="F18" s="109">
        <v>15110.905230830238</v>
      </c>
      <c r="G18" s="107">
        <v>7300.5055176127935</v>
      </c>
      <c r="H18" s="107">
        <v>7810.3997132174445</v>
      </c>
      <c r="I18" s="108"/>
      <c r="J18" s="109">
        <v>1225.598850506047</v>
      </c>
      <c r="K18" s="107">
        <v>602.80036703211204</v>
      </c>
      <c r="L18" s="107">
        <v>622.79848347393499</v>
      </c>
    </row>
    <row r="19" spans="1:12" ht="15" customHeight="1">
      <c r="A19" s="140" t="s">
        <v>152</v>
      </c>
      <c r="B19" s="105">
        <f>+B20+B21</f>
        <v>3695.9433264006689</v>
      </c>
      <c r="C19" s="105">
        <f t="shared" ref="C19:D19" si="0">+C20+C21</f>
        <v>1796.2406378912476</v>
      </c>
      <c r="D19" s="105">
        <f t="shared" si="0"/>
        <v>1899.7026885094213</v>
      </c>
      <c r="E19" s="110"/>
      <c r="F19" s="113">
        <f>+F20+F21</f>
        <v>4458.1586209074621</v>
      </c>
      <c r="G19" s="113">
        <f t="shared" ref="G19:H19" si="1">+G20+G21</f>
        <v>2297.791846526904</v>
      </c>
      <c r="H19" s="113">
        <f t="shared" si="1"/>
        <v>2160.3667743805586</v>
      </c>
      <c r="I19" s="110"/>
      <c r="J19" s="113">
        <f>+J20+J21</f>
        <v>305.68549418216207</v>
      </c>
      <c r="K19" s="113">
        <f t="shared" ref="K19:L19" si="2">+K20+K21</f>
        <v>154.27118397978273</v>
      </c>
      <c r="L19" s="113">
        <f t="shared" si="2"/>
        <v>151.41431020237934</v>
      </c>
    </row>
    <row r="20" spans="1:12" ht="15" customHeight="1">
      <c r="A20" s="52" t="s">
        <v>152</v>
      </c>
      <c r="B20" s="106">
        <f>+C20+D20</f>
        <v>2730.1686566649919</v>
      </c>
      <c r="C20" s="107">
        <v>1289.7434935005244</v>
      </c>
      <c r="D20" s="107">
        <v>1440.4251631644674</v>
      </c>
      <c r="E20" s="110"/>
      <c r="F20" s="109">
        <f>+G20+H20</f>
        <v>3284.6869668785048</v>
      </c>
      <c r="G20" s="107">
        <v>1672.6522777378384</v>
      </c>
      <c r="H20" s="107">
        <v>1612.0346891406664</v>
      </c>
      <c r="I20" s="110"/>
      <c r="J20" s="109">
        <f>+K20+L20</f>
        <v>219.97928086006067</v>
      </c>
      <c r="K20" s="107">
        <v>109.98964043003033</v>
      </c>
      <c r="L20" s="107">
        <v>109.98964043003033</v>
      </c>
    </row>
    <row r="21" spans="1:12" ht="15" customHeight="1">
      <c r="A21" s="52" t="s">
        <v>153</v>
      </c>
      <c r="B21" s="106">
        <f>+C21+D21</f>
        <v>965.77466973567698</v>
      </c>
      <c r="C21" s="106">
        <v>506.49714439072318</v>
      </c>
      <c r="D21" s="106">
        <v>459.2775253449538</v>
      </c>
      <c r="E21" s="105"/>
      <c r="F21" s="109">
        <f>+G21+H21</f>
        <v>1173.4716540289576</v>
      </c>
      <c r="G21" s="106">
        <v>625.13956878906549</v>
      </c>
      <c r="H21" s="106">
        <v>548.33208523989208</v>
      </c>
      <c r="I21" s="105"/>
      <c r="J21" s="109">
        <f>+K21+L21</f>
        <v>85.706213322101391</v>
      </c>
      <c r="K21" s="106">
        <v>44.281543549752385</v>
      </c>
      <c r="L21" s="106">
        <v>41.424669772349006</v>
      </c>
    </row>
    <row r="22" spans="1:12" ht="15" customHeight="1">
      <c r="A22" s="140" t="s">
        <v>154</v>
      </c>
      <c r="B22" s="105">
        <v>1208.5471255634366</v>
      </c>
      <c r="C22" s="105">
        <v>654.67439498526835</v>
      </c>
      <c r="D22" s="105">
        <v>553.8727305781681</v>
      </c>
      <c r="E22" s="35"/>
      <c r="F22" s="113">
        <v>1183.1723745434476</v>
      </c>
      <c r="G22" s="113">
        <v>624.60268599504366</v>
      </c>
      <c r="H22" s="113">
        <v>558.56968854840397</v>
      </c>
      <c r="I22" s="111"/>
      <c r="J22" s="113">
        <v>72.850281323786191</v>
      </c>
      <c r="K22" s="113">
        <v>44.281543549752385</v>
      </c>
      <c r="L22" s="113">
        <v>28.568737774033799</v>
      </c>
    </row>
    <row r="23" spans="1:12" ht="15" customHeight="1">
      <c r="A23" s="52" t="s">
        <v>154</v>
      </c>
      <c r="B23" s="106">
        <v>871.24517731493324</v>
      </c>
      <c r="C23" s="107">
        <v>474.61930000044111</v>
      </c>
      <c r="D23" s="107">
        <v>396.62587731449213</v>
      </c>
      <c r="E23" s="112"/>
      <c r="F23" s="109">
        <v>784.66668417557457</v>
      </c>
      <c r="G23" s="107">
        <v>406.6636067389328</v>
      </c>
      <c r="H23" s="107">
        <v>378.00307743664177</v>
      </c>
      <c r="I23" s="112"/>
      <c r="J23" s="109">
        <v>51.423727993260833</v>
      </c>
      <c r="K23" s="107">
        <v>29.997174662735485</v>
      </c>
      <c r="L23" s="107">
        <v>21.426553330525348</v>
      </c>
    </row>
    <row r="24" spans="1:12" ht="15" customHeight="1">
      <c r="A24" s="52" t="s">
        <v>155</v>
      </c>
      <c r="B24" s="106">
        <v>337.30194824850321</v>
      </c>
      <c r="C24" s="107">
        <v>180.05509498482726</v>
      </c>
      <c r="D24" s="107">
        <v>157.24685326367597</v>
      </c>
      <c r="E24" s="108"/>
      <c r="F24" s="109">
        <v>398.50569036787311</v>
      </c>
      <c r="G24" s="107">
        <v>217.93907925611086</v>
      </c>
      <c r="H24" s="107">
        <v>180.56661111176226</v>
      </c>
      <c r="I24" s="108"/>
      <c r="J24" s="109">
        <v>21.426553330525351</v>
      </c>
      <c r="K24" s="107">
        <v>14.2843688870169</v>
      </c>
      <c r="L24" s="107">
        <v>7.1421844435084516</v>
      </c>
    </row>
    <row r="25" spans="1:12" ht="15" customHeight="1">
      <c r="A25" s="140" t="s">
        <v>156</v>
      </c>
      <c r="B25" s="105">
        <f>+B26+B27</f>
        <v>7988.999547421703</v>
      </c>
      <c r="C25" s="105">
        <f t="shared" ref="C25:D25" si="3">+C26+C27</f>
        <v>3937.0970499108639</v>
      </c>
      <c r="D25" s="105">
        <f t="shared" si="3"/>
        <v>4051.9024975108387</v>
      </c>
      <c r="E25" s="35"/>
      <c r="F25" s="113">
        <f>+F26+F27</f>
        <v>8289.8088393589569</v>
      </c>
      <c r="G25" s="113">
        <f t="shared" ref="G25:H25" si="4">+G26+G27</f>
        <v>4028.4829817031577</v>
      </c>
      <c r="H25" s="113">
        <f t="shared" si="4"/>
        <v>4261.3258576557982</v>
      </c>
      <c r="I25" s="35"/>
      <c r="J25" s="113">
        <f>+J26+J27</f>
        <v>912.77117188038301</v>
      </c>
      <c r="K25" s="113">
        <f t="shared" ref="K25:L25" si="5">+K26+K27</f>
        <v>458.52824127324402</v>
      </c>
      <c r="L25" s="113">
        <f t="shared" si="5"/>
        <v>454.24293060713887</v>
      </c>
    </row>
    <row r="26" spans="1:12" ht="15" customHeight="1">
      <c r="A26" s="52" t="s">
        <v>156</v>
      </c>
      <c r="B26" s="106">
        <f>+C26+D26</f>
        <v>4792.3331198169599</v>
      </c>
      <c r="C26" s="107">
        <v>2359.5572922786359</v>
      </c>
      <c r="D26" s="107">
        <v>2432.7758275383239</v>
      </c>
      <c r="E26" s="108"/>
      <c r="F26" s="109">
        <f>+G26+H26</f>
        <v>4472.3020054887875</v>
      </c>
      <c r="G26" s="107">
        <v>2190.1782500331838</v>
      </c>
      <c r="H26" s="107">
        <v>2282.1237554556042</v>
      </c>
      <c r="I26" s="108"/>
      <c r="J26" s="109">
        <f>+K26+L26</f>
        <v>374.25046483984391</v>
      </c>
      <c r="K26" s="107">
        <v>188.55366930862365</v>
      </c>
      <c r="L26" s="107">
        <v>185.69679553122026</v>
      </c>
    </row>
    <row r="27" spans="1:12" ht="15" customHeight="1">
      <c r="A27" s="52" t="s">
        <v>157</v>
      </c>
      <c r="B27" s="106">
        <f>+C27+D27</f>
        <v>3196.6664276047431</v>
      </c>
      <c r="C27" s="107">
        <v>1577.539757632228</v>
      </c>
      <c r="D27" s="107">
        <v>1619.1266699725149</v>
      </c>
      <c r="E27" s="108"/>
      <c r="F27" s="109">
        <f>+G27+H27</f>
        <v>3817.5068338701685</v>
      </c>
      <c r="G27" s="107">
        <v>1838.304731669974</v>
      </c>
      <c r="H27" s="107">
        <v>1979.2021022001945</v>
      </c>
      <c r="I27" s="108"/>
      <c r="J27" s="109">
        <f>+K27+L27</f>
        <v>538.52070704053904</v>
      </c>
      <c r="K27" s="107">
        <v>269.97457196462034</v>
      </c>
      <c r="L27" s="107">
        <v>268.54613507591864</v>
      </c>
    </row>
    <row r="28" spans="1:12" ht="15" customHeight="1">
      <c r="A28" s="140" t="s">
        <v>158</v>
      </c>
      <c r="B28" s="105">
        <v>11350.344775971886</v>
      </c>
      <c r="C28" s="105">
        <v>5623.7906257677378</v>
      </c>
      <c r="D28" s="105">
        <v>5726.5541502041469</v>
      </c>
      <c r="E28" s="35"/>
      <c r="F28" s="113">
        <v>15436.401669536854</v>
      </c>
      <c r="G28" s="113">
        <v>7771.9044850675573</v>
      </c>
      <c r="H28" s="113">
        <v>7664.4971844692955</v>
      </c>
      <c r="I28" s="35"/>
      <c r="J28" s="113">
        <v>1227.0272873947536</v>
      </c>
      <c r="K28" s="113">
        <v>647.08191058186526</v>
      </c>
      <c r="L28" s="113">
        <v>579.94537681288818</v>
      </c>
    </row>
    <row r="29" spans="1:12" ht="15" customHeight="1">
      <c r="A29" s="52" t="s">
        <v>158</v>
      </c>
      <c r="B29" s="106">
        <v>9851.8868850615636</v>
      </c>
      <c r="C29" s="107">
        <v>4828.3307896385531</v>
      </c>
      <c r="D29" s="107">
        <v>5023.5560954230104</v>
      </c>
      <c r="E29" s="110"/>
      <c r="F29" s="109">
        <v>13870.519114762134</v>
      </c>
      <c r="G29" s="107">
        <v>7000.3594795871441</v>
      </c>
      <c r="H29" s="107">
        <v>6870.1596351749886</v>
      </c>
      <c r="I29" s="110"/>
      <c r="J29" s="109">
        <v>1059.9001714166557</v>
      </c>
      <c r="K29" s="107">
        <v>579.9453768128858</v>
      </c>
      <c r="L29" s="107">
        <v>479.95479460376976</v>
      </c>
    </row>
    <row r="30" spans="1:12" ht="15" customHeight="1">
      <c r="A30" s="52" t="s">
        <v>159</v>
      </c>
      <c r="B30" s="106">
        <v>1498.4578909103216</v>
      </c>
      <c r="C30" s="107">
        <v>795.45983612918474</v>
      </c>
      <c r="D30" s="107">
        <v>702.99805478113694</v>
      </c>
      <c r="E30" s="108"/>
      <c r="F30" s="109">
        <v>1565.8825547747197</v>
      </c>
      <c r="G30" s="107">
        <v>771.54500548041301</v>
      </c>
      <c r="H30" s="107">
        <v>794.33754929430654</v>
      </c>
      <c r="I30" s="108"/>
      <c r="J30" s="109">
        <v>167.12711597809789</v>
      </c>
      <c r="K30" s="107">
        <v>67.136533768979433</v>
      </c>
      <c r="L30" s="107">
        <v>99.990582209118458</v>
      </c>
    </row>
    <row r="31" spans="1:12" ht="15" customHeight="1">
      <c r="A31" s="140" t="s">
        <v>160</v>
      </c>
      <c r="B31" s="105">
        <v>3463.0425575762047</v>
      </c>
      <c r="C31" s="35">
        <v>1703.2051040748092</v>
      </c>
      <c r="D31" s="35">
        <v>1759.8374535013957</v>
      </c>
      <c r="E31" s="35"/>
      <c r="F31" s="113">
        <v>3525.4324909184652</v>
      </c>
      <c r="G31" s="35">
        <v>1806.7127946522605</v>
      </c>
      <c r="H31" s="35">
        <v>1718.7196962662044</v>
      </c>
      <c r="I31" s="35"/>
      <c r="J31" s="113">
        <v>237.12052352448103</v>
      </c>
      <c r="K31" s="35">
        <v>117.13182487353882</v>
      </c>
      <c r="L31" s="35">
        <v>119.98869865094221</v>
      </c>
    </row>
    <row r="32" spans="1:12" ht="15" customHeight="1">
      <c r="A32" s="52" t="s">
        <v>160</v>
      </c>
      <c r="B32" s="106">
        <v>3463.0425575762047</v>
      </c>
      <c r="C32" s="108">
        <v>1703.2051040748092</v>
      </c>
      <c r="D32" s="108">
        <v>1759.8374535013957</v>
      </c>
      <c r="E32" s="108"/>
      <c r="F32" s="109">
        <v>3525.4324909184652</v>
      </c>
      <c r="G32" s="108">
        <v>1806.7127946522605</v>
      </c>
      <c r="H32" s="108">
        <v>1718.7196962662044</v>
      </c>
      <c r="I32" s="108"/>
      <c r="J32" s="109">
        <v>237.12052352448103</v>
      </c>
      <c r="K32" s="108">
        <v>117.13182487353882</v>
      </c>
      <c r="L32" s="108">
        <v>119.98869865094221</v>
      </c>
    </row>
    <row r="33" spans="1:13" ht="15" customHeight="1">
      <c r="A33" s="140" t="s">
        <v>161</v>
      </c>
      <c r="B33" s="32">
        <v>13827.746582222058</v>
      </c>
      <c r="C33" s="32">
        <v>6953.2660556873816</v>
      </c>
      <c r="D33" s="32">
        <v>6874.4805265346768</v>
      </c>
      <c r="E33" s="143"/>
      <c r="F33" s="144">
        <v>16615.888365471343</v>
      </c>
      <c r="G33" s="144">
        <v>8242.8532982023935</v>
      </c>
      <c r="H33" s="144">
        <v>8373.0350672689492</v>
      </c>
      <c r="I33" s="143"/>
      <c r="J33" s="144">
        <v>975.62239498325789</v>
      </c>
      <c r="K33" s="144">
        <v>449.95761994103418</v>
      </c>
      <c r="L33" s="144">
        <v>525.66477504222371</v>
      </c>
      <c r="M33" s="79"/>
    </row>
    <row r="34" spans="1:13" ht="15" customHeight="1">
      <c r="A34" s="52" t="s">
        <v>161</v>
      </c>
      <c r="B34" s="29">
        <v>11255.86310675839</v>
      </c>
      <c r="C34" s="145">
        <v>5618.5890082121314</v>
      </c>
      <c r="D34" s="145">
        <v>5637.2740985462588</v>
      </c>
      <c r="E34" s="146"/>
      <c r="F34" s="147">
        <v>13727.329624876005</v>
      </c>
      <c r="G34" s="145">
        <v>6813.2417981060398</v>
      </c>
      <c r="H34" s="145">
        <v>6914.0878267699654</v>
      </c>
      <c r="I34" s="146"/>
      <c r="J34" s="147">
        <v>809.92371589386175</v>
      </c>
      <c r="K34" s="145">
        <v>381.39264928335302</v>
      </c>
      <c r="L34" s="145">
        <v>428.53106661050867</v>
      </c>
      <c r="M34" s="79"/>
    </row>
    <row r="35" spans="1:13" ht="15" customHeight="1">
      <c r="A35" s="52" t="s">
        <v>162</v>
      </c>
      <c r="B35" s="29">
        <v>2571.8834754636682</v>
      </c>
      <c r="C35" s="30">
        <v>1334.6770474752498</v>
      </c>
      <c r="D35" s="30">
        <v>1237.2064279884185</v>
      </c>
      <c r="E35" s="30"/>
      <c r="F35" s="147">
        <v>2888.5587405953361</v>
      </c>
      <c r="G35" s="30">
        <v>1429.6115000963528</v>
      </c>
      <c r="H35" s="30">
        <v>1458.9472404989833</v>
      </c>
      <c r="I35" s="30"/>
      <c r="J35" s="147">
        <v>165.69867908939619</v>
      </c>
      <c r="K35" s="30">
        <v>68.56497065768113</v>
      </c>
      <c r="L35" s="30">
        <v>97.133708431715064</v>
      </c>
      <c r="M35" s="79"/>
    </row>
    <row r="36" spans="1:13" ht="15" customHeight="1">
      <c r="A36" s="140" t="s">
        <v>163</v>
      </c>
      <c r="B36" s="32">
        <v>9885.1628148800937</v>
      </c>
      <c r="C36" s="32">
        <v>4881.6576687263851</v>
      </c>
      <c r="D36" s="32">
        <v>5003.5051461537096</v>
      </c>
      <c r="E36" s="146"/>
      <c r="F36" s="144">
        <v>11428.403005264387</v>
      </c>
      <c r="G36" s="142">
        <v>5646.2144250443507</v>
      </c>
      <c r="H36" s="142">
        <v>5782.1885802200341</v>
      </c>
      <c r="I36" s="143"/>
      <c r="J36" s="144">
        <v>879.91712344024381</v>
      </c>
      <c r="K36" s="144">
        <v>461.38511505064741</v>
      </c>
      <c r="L36" s="144">
        <v>418.53200838959651</v>
      </c>
      <c r="M36" s="79"/>
    </row>
    <row r="37" spans="1:13" ht="15" customHeight="1">
      <c r="A37" s="141" t="s">
        <v>163</v>
      </c>
      <c r="B37" s="29">
        <v>6899.1971862312294</v>
      </c>
      <c r="C37" s="145">
        <v>3419.8837030609279</v>
      </c>
      <c r="D37" s="145">
        <v>3479.3134831703014</v>
      </c>
      <c r="E37" s="146"/>
      <c r="F37" s="147">
        <v>8248.2447059052574</v>
      </c>
      <c r="G37" s="145">
        <v>4071.7525739133998</v>
      </c>
      <c r="H37" s="145">
        <v>4176.4921319918567</v>
      </c>
      <c r="I37" s="146"/>
      <c r="J37" s="147">
        <v>655.65253191407805</v>
      </c>
      <c r="K37" s="145">
        <v>331.3973581787933</v>
      </c>
      <c r="L37" s="145">
        <v>324.25517373528481</v>
      </c>
      <c r="M37" s="79"/>
    </row>
    <row r="38" spans="1:13" ht="15" customHeight="1">
      <c r="A38" s="141" t="s">
        <v>164</v>
      </c>
      <c r="B38" s="29">
        <v>2985.9656286488648</v>
      </c>
      <c r="C38" s="30">
        <v>1461.7739656654571</v>
      </c>
      <c r="D38" s="30">
        <v>1524.1916629834077</v>
      </c>
      <c r="E38" s="146"/>
      <c r="F38" s="147">
        <v>3180.1582993591292</v>
      </c>
      <c r="G38" s="145">
        <v>1574.4618511309511</v>
      </c>
      <c r="H38" s="145">
        <v>1605.6964482281778</v>
      </c>
      <c r="I38" s="142"/>
      <c r="J38" s="147">
        <v>224.26459152616576</v>
      </c>
      <c r="K38" s="145">
        <v>129.98775687185409</v>
      </c>
      <c r="L38" s="145">
        <v>94.276834654311671</v>
      </c>
      <c r="M38" s="79"/>
    </row>
    <row r="39" spans="1:13" ht="15" customHeight="1">
      <c r="A39" s="92"/>
      <c r="B39" s="99"/>
      <c r="C39" s="72"/>
      <c r="D39" s="72"/>
      <c r="E39" s="100"/>
      <c r="F39" s="101"/>
      <c r="G39" s="72"/>
      <c r="H39" s="72"/>
      <c r="I39" s="100"/>
      <c r="J39" s="101"/>
      <c r="K39" s="72"/>
      <c r="L39" s="72"/>
      <c r="M39" s="79"/>
    </row>
    <row r="40" spans="1:13" ht="15" customHeight="1">
      <c r="A40" s="94"/>
      <c r="B40" s="102"/>
      <c r="C40" s="73"/>
      <c r="D40" s="73"/>
      <c r="E40" s="71"/>
      <c r="F40" s="103"/>
      <c r="G40" s="73"/>
      <c r="H40" s="73"/>
      <c r="I40" s="71"/>
      <c r="J40" s="103"/>
      <c r="K40" s="73"/>
      <c r="L40" s="73"/>
      <c r="M40" s="79"/>
    </row>
    <row r="41" spans="1:13" ht="15" customHeight="1">
      <c r="A41" s="92"/>
      <c r="B41" s="99"/>
      <c r="C41" s="68"/>
      <c r="D41" s="68"/>
      <c r="E41" s="71"/>
      <c r="F41" s="101"/>
      <c r="G41" s="72"/>
      <c r="H41" s="72"/>
      <c r="I41" s="71"/>
      <c r="J41" s="101"/>
      <c r="K41" s="72"/>
      <c r="L41" s="72"/>
      <c r="M41" s="79"/>
    </row>
    <row r="42" spans="1:13" ht="15" customHeight="1">
      <c r="A42" s="94"/>
      <c r="B42" s="102"/>
      <c r="C42" s="73"/>
      <c r="D42" s="73"/>
      <c r="E42" s="71"/>
      <c r="F42" s="103"/>
      <c r="G42" s="73"/>
      <c r="H42" s="73"/>
      <c r="I42" s="71"/>
      <c r="J42" s="103"/>
      <c r="K42" s="73"/>
      <c r="L42" s="73"/>
      <c r="M42" s="79"/>
    </row>
    <row r="43" spans="1:13" ht="15" customHeight="1">
      <c r="A43" s="92"/>
      <c r="B43" s="99"/>
      <c r="C43" s="72"/>
      <c r="D43" s="72"/>
      <c r="E43" s="100"/>
      <c r="F43" s="101"/>
      <c r="G43" s="72"/>
      <c r="H43" s="72"/>
      <c r="I43" s="100"/>
      <c r="J43" s="101"/>
      <c r="K43" s="72"/>
      <c r="L43" s="72"/>
      <c r="M43" s="79"/>
    </row>
    <row r="44" spans="1:13" ht="15" customHeight="1">
      <c r="A44" s="94"/>
      <c r="B44" s="102"/>
      <c r="C44" s="70"/>
      <c r="D44" s="70"/>
      <c r="E44" s="71"/>
      <c r="F44" s="103"/>
      <c r="G44" s="73"/>
      <c r="H44" s="73"/>
      <c r="I44" s="72"/>
      <c r="J44" s="103"/>
      <c r="K44" s="73"/>
      <c r="L44" s="73"/>
      <c r="M44" s="79"/>
    </row>
    <row r="45" spans="1:13" ht="15" customHeight="1">
      <c r="A45" s="92"/>
      <c r="B45" s="99"/>
      <c r="C45" s="72"/>
      <c r="D45" s="72"/>
      <c r="E45" s="100"/>
      <c r="F45" s="101"/>
      <c r="G45" s="72"/>
      <c r="H45" s="72"/>
      <c r="I45" s="100"/>
      <c r="J45" s="101"/>
      <c r="K45" s="72"/>
      <c r="L45" s="72"/>
      <c r="M45" s="79"/>
    </row>
    <row r="46" spans="1:13" ht="15" customHeight="1">
      <c r="A46" s="69"/>
      <c r="B46" s="102"/>
      <c r="C46" s="73"/>
      <c r="D46" s="73"/>
      <c r="E46" s="71"/>
      <c r="F46" s="103"/>
      <c r="G46" s="73"/>
      <c r="H46" s="73"/>
      <c r="I46" s="71"/>
      <c r="J46" s="103"/>
      <c r="K46" s="73"/>
      <c r="L46" s="73"/>
      <c r="M46" s="79"/>
    </row>
    <row r="47" spans="1:13" ht="15" customHeight="1">
      <c r="A47" s="67"/>
      <c r="B47" s="68"/>
      <c r="C47" s="68"/>
      <c r="D47" s="68"/>
      <c r="E47" s="71"/>
      <c r="F47" s="72"/>
      <c r="G47" s="72"/>
      <c r="H47" s="72"/>
      <c r="I47" s="72"/>
      <c r="J47" s="72"/>
      <c r="K47" s="72"/>
      <c r="L47" s="72"/>
      <c r="M47" s="79"/>
    </row>
    <row r="48" spans="1:13" ht="15" customHeight="1">
      <c r="A48" s="69"/>
      <c r="B48" s="70"/>
      <c r="C48" s="73"/>
      <c r="D48" s="73"/>
      <c r="E48" s="71"/>
      <c r="F48" s="73"/>
      <c r="G48" s="73"/>
      <c r="H48" s="73"/>
      <c r="I48" s="71"/>
      <c r="J48" s="73"/>
      <c r="K48" s="73"/>
      <c r="L48" s="73"/>
    </row>
    <row r="49" spans="1:12" ht="15" customHeight="1">
      <c r="A49" s="69"/>
      <c r="B49" s="70"/>
      <c r="C49" s="73"/>
      <c r="D49" s="73"/>
      <c r="E49" s="71"/>
      <c r="F49" s="73"/>
      <c r="G49" s="73"/>
      <c r="H49" s="73"/>
      <c r="I49" s="71"/>
      <c r="J49" s="73"/>
      <c r="K49" s="73"/>
      <c r="L49" s="73"/>
    </row>
    <row r="50" spans="1:12" ht="15" customHeight="1">
      <c r="A50" s="67"/>
      <c r="B50" s="68"/>
      <c r="C50" s="68"/>
      <c r="D50" s="68"/>
      <c r="E50" s="71"/>
      <c r="F50" s="72"/>
      <c r="G50" s="72"/>
      <c r="H50" s="72"/>
      <c r="I50" s="72"/>
      <c r="J50" s="72"/>
      <c r="K50" s="72"/>
      <c r="L50" s="72"/>
    </row>
    <row r="51" spans="1:12" ht="15" customHeight="1">
      <c r="A51" s="69"/>
      <c r="B51" s="70"/>
      <c r="C51" s="73"/>
      <c r="D51" s="73"/>
      <c r="E51" s="71"/>
      <c r="F51" s="73"/>
      <c r="G51" s="73"/>
      <c r="H51" s="73"/>
      <c r="I51" s="71"/>
      <c r="J51" s="73"/>
      <c r="K51" s="73"/>
      <c r="L51" s="73"/>
    </row>
    <row r="52" spans="1:12" ht="15" customHeight="1">
      <c r="A52" s="69"/>
      <c r="B52" s="70"/>
      <c r="C52" s="73"/>
      <c r="D52" s="73"/>
      <c r="E52" s="71"/>
      <c r="F52" s="73"/>
      <c r="G52" s="73"/>
      <c r="H52" s="73"/>
      <c r="I52" s="71"/>
      <c r="J52" s="73"/>
      <c r="K52" s="73"/>
      <c r="L52" s="73"/>
    </row>
    <row r="53" spans="1:12" ht="15" customHeight="1">
      <c r="A53" s="67"/>
      <c r="B53" s="68"/>
      <c r="C53" s="68"/>
      <c r="D53" s="68"/>
      <c r="E53" s="71"/>
      <c r="F53" s="72"/>
      <c r="G53" s="72"/>
      <c r="H53" s="72"/>
      <c r="I53" s="72"/>
      <c r="J53" s="72"/>
      <c r="K53" s="72"/>
      <c r="L53" s="72"/>
    </row>
    <row r="54" spans="1:12" ht="15" customHeight="1">
      <c r="A54" s="69"/>
      <c r="B54" s="70"/>
      <c r="C54" s="71"/>
      <c r="D54" s="71"/>
      <c r="E54" s="71"/>
      <c r="F54" s="73"/>
      <c r="G54" s="71"/>
      <c r="H54" s="71"/>
      <c r="I54" s="71"/>
      <c r="J54" s="73"/>
      <c r="K54" s="71"/>
      <c r="L54" s="71"/>
    </row>
    <row r="55" spans="1:12" ht="15" customHeight="1">
      <c r="A55" s="69"/>
      <c r="B55" s="70"/>
      <c r="C55" s="73"/>
      <c r="D55" s="73"/>
      <c r="E55" s="71"/>
      <c r="F55" s="73"/>
      <c r="G55" s="73"/>
      <c r="H55" s="73"/>
      <c r="I55" s="71"/>
      <c r="J55" s="73"/>
      <c r="K55" s="73"/>
      <c r="L55" s="73"/>
    </row>
    <row r="56" spans="1:12" ht="15" customHeight="1">
      <c r="A56" s="67"/>
      <c r="B56" s="68"/>
      <c r="C56" s="68"/>
      <c r="D56" s="68"/>
      <c r="E56" s="71"/>
      <c r="F56" s="72"/>
      <c r="G56" s="72"/>
      <c r="H56" s="72"/>
      <c r="I56" s="72"/>
      <c r="J56" s="72"/>
      <c r="K56" s="72"/>
      <c r="L56" s="72"/>
    </row>
    <row r="57" spans="1:12" ht="15" customHeight="1">
      <c r="A57" s="69"/>
      <c r="B57" s="70"/>
      <c r="C57" s="73"/>
      <c r="D57" s="73"/>
      <c r="E57" s="71"/>
      <c r="F57" s="73"/>
      <c r="G57" s="73"/>
      <c r="H57" s="73"/>
      <c r="I57" s="71"/>
      <c r="J57" s="73"/>
      <c r="K57" s="73"/>
      <c r="L57" s="73"/>
    </row>
    <row r="58" spans="1:12" ht="15" customHeight="1">
      <c r="A58" s="67"/>
      <c r="B58" s="68"/>
      <c r="C58" s="68"/>
      <c r="D58" s="68"/>
      <c r="E58" s="71"/>
      <c r="F58" s="72"/>
      <c r="G58" s="72"/>
      <c r="H58" s="72"/>
      <c r="I58" s="72"/>
      <c r="J58" s="72"/>
      <c r="K58" s="72"/>
      <c r="L58" s="72"/>
    </row>
    <row r="59" spans="1:12" ht="15" customHeight="1">
      <c r="A59" s="69"/>
      <c r="B59" s="70"/>
      <c r="C59" s="73"/>
      <c r="D59" s="73"/>
      <c r="E59" s="71"/>
      <c r="F59" s="73"/>
      <c r="G59" s="73"/>
      <c r="H59" s="73"/>
      <c r="I59" s="71"/>
      <c r="J59" s="73"/>
      <c r="K59" s="73"/>
      <c r="L59" s="73"/>
    </row>
    <row r="60" spans="1:12" ht="15" customHeight="1">
      <c r="A60" s="69"/>
      <c r="B60" s="70"/>
      <c r="C60" s="73"/>
      <c r="D60" s="73"/>
      <c r="E60" s="71"/>
      <c r="F60" s="73"/>
      <c r="G60" s="73"/>
      <c r="H60" s="73"/>
      <c r="I60" s="71"/>
      <c r="J60" s="73"/>
      <c r="K60" s="73"/>
      <c r="L60" s="73"/>
    </row>
    <row r="61" spans="1:12" ht="15" customHeight="1">
      <c r="A61" s="67"/>
      <c r="B61" s="68"/>
      <c r="C61" s="68"/>
      <c r="D61" s="68"/>
      <c r="E61" s="71"/>
      <c r="F61" s="72"/>
      <c r="G61" s="72"/>
      <c r="H61" s="72"/>
      <c r="I61" s="72"/>
      <c r="J61" s="72"/>
      <c r="K61" s="72"/>
      <c r="L61" s="72"/>
    </row>
    <row r="62" spans="1:12" ht="15" customHeight="1">
      <c r="A62" s="69"/>
      <c r="B62" s="70"/>
      <c r="C62" s="73"/>
      <c r="D62" s="73"/>
      <c r="E62" s="71"/>
      <c r="F62" s="73"/>
      <c r="G62" s="73"/>
      <c r="H62" s="73"/>
      <c r="I62" s="71"/>
      <c r="J62" s="73"/>
      <c r="K62" s="73"/>
      <c r="L62" s="73"/>
    </row>
    <row r="63" spans="1:12" ht="15" customHeight="1">
      <c r="A63" s="67"/>
      <c r="B63" s="68"/>
      <c r="C63" s="68"/>
      <c r="D63" s="68"/>
      <c r="E63" s="71"/>
      <c r="F63" s="72"/>
      <c r="G63" s="72"/>
      <c r="H63" s="72"/>
      <c r="I63" s="72"/>
      <c r="J63" s="72"/>
      <c r="K63" s="72"/>
      <c r="L63" s="72"/>
    </row>
    <row r="64" spans="1:12" ht="15" customHeight="1">
      <c r="A64" s="69"/>
      <c r="B64" s="70"/>
      <c r="C64" s="73"/>
      <c r="D64" s="73"/>
      <c r="E64" s="71"/>
      <c r="F64" s="73"/>
      <c r="G64" s="73"/>
      <c r="H64" s="73"/>
      <c r="I64" s="71"/>
      <c r="J64" s="73"/>
      <c r="K64" s="73"/>
      <c r="L64" s="73"/>
    </row>
    <row r="65" spans="1:12" ht="15" customHeight="1">
      <c r="A65" s="69"/>
      <c r="B65" s="70"/>
      <c r="C65" s="73"/>
      <c r="D65" s="73"/>
      <c r="E65" s="71"/>
      <c r="F65" s="73"/>
      <c r="G65" s="73"/>
      <c r="H65" s="73"/>
      <c r="I65" s="71"/>
      <c r="J65" s="73"/>
      <c r="K65" s="73"/>
      <c r="L65" s="73"/>
    </row>
    <row r="66" spans="1:12" ht="15" customHeight="1">
      <c r="A66" s="69"/>
      <c r="B66" s="70"/>
      <c r="C66" s="73"/>
      <c r="D66" s="73"/>
      <c r="E66" s="71"/>
      <c r="F66" s="73"/>
      <c r="G66" s="73"/>
      <c r="H66" s="73"/>
      <c r="I66" s="71"/>
      <c r="J66" s="73"/>
      <c r="K66" s="73"/>
      <c r="L66" s="73"/>
    </row>
    <row r="67" spans="1:12" ht="15" customHeight="1">
      <c r="A67" s="67"/>
      <c r="B67" s="68"/>
      <c r="C67" s="68"/>
      <c r="D67" s="68"/>
      <c r="E67" s="71"/>
      <c r="F67" s="72"/>
      <c r="G67" s="72"/>
      <c r="H67" s="72"/>
      <c r="I67" s="72"/>
      <c r="J67" s="72"/>
      <c r="K67" s="72"/>
      <c r="L67" s="72"/>
    </row>
    <row r="68" spans="1:12" ht="15" customHeight="1">
      <c r="A68" s="69"/>
      <c r="B68" s="70"/>
      <c r="C68" s="73"/>
      <c r="D68" s="73"/>
      <c r="E68" s="71"/>
      <c r="F68" s="73"/>
      <c r="G68" s="73"/>
      <c r="H68" s="73"/>
      <c r="I68" s="71"/>
      <c r="J68" s="73"/>
      <c r="K68" s="73"/>
      <c r="L68" s="73"/>
    </row>
    <row r="69" spans="1:12" ht="15" customHeight="1">
      <c r="A69" s="69"/>
      <c r="B69" s="70"/>
      <c r="C69" s="73"/>
      <c r="D69" s="73"/>
      <c r="E69" s="71"/>
      <c r="F69" s="73"/>
      <c r="G69" s="73"/>
      <c r="H69" s="73"/>
      <c r="I69" s="71"/>
      <c r="J69" s="73"/>
      <c r="K69" s="73"/>
      <c r="L69" s="73"/>
    </row>
    <row r="70" spans="1:12" ht="15" customHeight="1">
      <c r="A70" s="67"/>
      <c r="B70" s="68"/>
      <c r="C70" s="68"/>
      <c r="D70" s="68"/>
      <c r="E70" s="71"/>
      <c r="F70" s="72"/>
      <c r="G70" s="72"/>
      <c r="H70" s="72"/>
      <c r="I70" s="72"/>
      <c r="J70" s="72"/>
      <c r="K70" s="72"/>
      <c r="L70" s="72"/>
    </row>
    <row r="71" spans="1:12" ht="15" customHeight="1">
      <c r="A71" s="69"/>
      <c r="B71" s="70"/>
      <c r="C71" s="73"/>
      <c r="D71" s="73"/>
      <c r="E71" s="71"/>
      <c r="F71" s="73"/>
      <c r="G71" s="73"/>
      <c r="H71" s="73"/>
      <c r="I71" s="71"/>
      <c r="J71" s="73"/>
      <c r="K71" s="73"/>
      <c r="L71" s="73"/>
    </row>
    <row r="72" spans="1:12" ht="15" customHeight="1">
      <c r="A72" s="67"/>
      <c r="B72" s="68"/>
      <c r="C72" s="68"/>
      <c r="D72" s="68"/>
      <c r="E72" s="71"/>
      <c r="F72" s="72"/>
      <c r="G72" s="72"/>
      <c r="H72" s="72"/>
      <c r="I72" s="72"/>
      <c r="J72" s="72"/>
      <c r="K72" s="72"/>
      <c r="L72" s="72"/>
    </row>
    <row r="73" spans="1:12" ht="15" customHeight="1">
      <c r="A73" s="69"/>
      <c r="B73" s="70"/>
      <c r="C73" s="73"/>
      <c r="D73" s="73"/>
      <c r="E73" s="71"/>
      <c r="F73" s="73"/>
      <c r="G73" s="73"/>
      <c r="H73" s="73"/>
      <c r="I73" s="71"/>
      <c r="J73" s="73"/>
      <c r="K73" s="73"/>
      <c r="L73" s="73"/>
    </row>
    <row r="74" spans="1:12" ht="15" customHeight="1">
      <c r="A74" s="64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</row>
    <row r="75" spans="1:12" ht="15" customHeight="1">
      <c r="A75" s="63"/>
      <c r="B75" s="70"/>
      <c r="C75" s="74"/>
      <c r="D75" s="74"/>
      <c r="E75" s="75"/>
      <c r="F75" s="73"/>
      <c r="G75" s="74"/>
      <c r="H75" s="74"/>
      <c r="I75" s="75"/>
      <c r="J75" s="74"/>
      <c r="K75" s="74"/>
      <c r="L75" s="74"/>
    </row>
    <row r="76" spans="1:12" ht="15" customHeight="1">
      <c r="A76" s="3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</row>
    <row r="77" spans="1:12" ht="15" customHeight="1">
      <c r="A77" s="37"/>
      <c r="B77" s="70"/>
      <c r="C77" s="76"/>
      <c r="D77" s="76"/>
      <c r="E77" s="76"/>
      <c r="F77" s="73"/>
      <c r="G77" s="76"/>
      <c r="H77" s="76"/>
      <c r="I77" s="76"/>
      <c r="J77" s="76"/>
      <c r="K77" s="76"/>
      <c r="L77" s="76"/>
    </row>
    <row r="78" spans="1:12" ht="15" customHeight="1">
      <c r="A78" s="3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</row>
    <row r="79" spans="1:12" ht="15" customHeight="1">
      <c r="A79" s="37"/>
      <c r="B79" s="70"/>
      <c r="C79" s="77"/>
      <c r="D79" s="77"/>
      <c r="E79" s="77"/>
      <c r="F79" s="73"/>
      <c r="G79" s="77"/>
      <c r="H79" s="77"/>
      <c r="I79" s="77"/>
      <c r="J79" s="77"/>
      <c r="K79" s="77"/>
      <c r="L79" s="77"/>
    </row>
    <row r="80" spans="1:12" ht="15" customHeight="1">
      <c r="A80" s="3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</row>
    <row r="81" spans="1:12" ht="15" customHeight="1">
      <c r="A81" s="37"/>
      <c r="B81" s="70"/>
      <c r="C81" s="77"/>
      <c r="D81" s="77"/>
      <c r="E81" s="77"/>
      <c r="F81" s="73"/>
      <c r="G81" s="77"/>
      <c r="H81" s="77"/>
      <c r="I81" s="77"/>
      <c r="J81" s="77"/>
      <c r="K81" s="77"/>
      <c r="L81" s="77"/>
    </row>
    <row r="82" spans="1:12" ht="15" customHeight="1">
      <c r="A82" s="37"/>
      <c r="B82" s="70"/>
      <c r="C82" s="77"/>
      <c r="D82" s="77"/>
      <c r="E82" s="77"/>
      <c r="F82" s="73"/>
      <c r="G82" s="77"/>
      <c r="H82" s="77"/>
      <c r="I82" s="77"/>
      <c r="J82" s="77"/>
      <c r="K82" s="77"/>
      <c r="L82" s="77"/>
    </row>
    <row r="83" spans="1:12" ht="15" customHeight="1">
      <c r="A83" s="3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</row>
    <row r="84" spans="1:12" ht="15" customHeight="1">
      <c r="A84" s="37"/>
      <c r="B84" s="78"/>
      <c r="C84" s="77"/>
      <c r="D84" s="77"/>
      <c r="E84" s="77"/>
      <c r="F84" s="73"/>
      <c r="G84" s="77"/>
      <c r="H84" s="77"/>
      <c r="I84" s="77"/>
      <c r="J84" s="77"/>
      <c r="K84" s="77"/>
      <c r="L84" s="77"/>
    </row>
    <row r="85" spans="1:12">
      <c r="A85" s="79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</row>
  </sheetData>
  <mergeCells count="6">
    <mergeCell ref="A1:L1"/>
    <mergeCell ref="B2:K2"/>
    <mergeCell ref="B3:D3"/>
    <mergeCell ref="F3:H3"/>
    <mergeCell ref="J3:L3"/>
    <mergeCell ref="A2:A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9"/>
  <sheetViews>
    <sheetView workbookViewId="0">
      <selection activeCell="D20" sqref="D20"/>
    </sheetView>
  </sheetViews>
  <sheetFormatPr defaultRowHeight="15"/>
  <cols>
    <col min="1" max="1" width="28.5703125" style="26" customWidth="1"/>
    <col min="2" max="2" width="22" style="26" customWidth="1"/>
    <col min="3" max="3" width="20.28515625" style="26" customWidth="1"/>
    <col min="4" max="16384" width="9.140625" style="26"/>
  </cols>
  <sheetData>
    <row r="1" spans="1:3">
      <c r="A1" s="948" t="s">
        <v>547</v>
      </c>
      <c r="B1" s="948"/>
      <c r="C1" s="948"/>
    </row>
    <row r="2" spans="1:3" ht="25.5" customHeight="1">
      <c r="A2" s="22" t="s">
        <v>314</v>
      </c>
      <c r="B2" s="858" t="s">
        <v>138</v>
      </c>
      <c r="C2" s="858" t="s">
        <v>139</v>
      </c>
    </row>
    <row r="3" spans="1:3" ht="13.5" customHeight="1">
      <c r="A3" s="176" t="s">
        <v>0</v>
      </c>
      <c r="B3" s="177">
        <v>21.835924529356195</v>
      </c>
      <c r="C3" s="177">
        <v>18</v>
      </c>
    </row>
    <row r="4" spans="1:3">
      <c r="A4" s="23"/>
      <c r="B4" s="24"/>
      <c r="C4" s="24"/>
    </row>
    <row r="5" spans="1:3" ht="15" customHeight="1">
      <c r="A5" s="947" t="s">
        <v>140</v>
      </c>
      <c r="B5" s="947"/>
      <c r="C5" s="178"/>
    </row>
    <row r="6" spans="1:3" ht="15.75" customHeight="1">
      <c r="A6" s="36" t="s">
        <v>4</v>
      </c>
      <c r="B6" s="40">
        <v>21.492046100773258</v>
      </c>
      <c r="C6" s="40">
        <v>17</v>
      </c>
    </row>
    <row r="7" spans="1:3">
      <c r="A7" s="36" t="s">
        <v>5</v>
      </c>
      <c r="B7" s="40">
        <v>22.590445239392064</v>
      </c>
      <c r="C7" s="40">
        <v>18</v>
      </c>
    </row>
    <row r="8" spans="1:3" ht="14.25" customHeight="1">
      <c r="A8" s="176" t="s">
        <v>141</v>
      </c>
      <c r="B8" s="179"/>
      <c r="C8" s="179"/>
    </row>
    <row r="9" spans="1:3">
      <c r="A9" s="36" t="s">
        <v>1</v>
      </c>
      <c r="B9" s="40">
        <v>21.747296790928299</v>
      </c>
      <c r="C9" s="40">
        <v>17</v>
      </c>
    </row>
    <row r="10" spans="1:3">
      <c r="A10" s="36" t="s">
        <v>2</v>
      </c>
      <c r="B10" s="40">
        <v>21.920589283967502</v>
      </c>
      <c r="C10" s="40">
        <v>18</v>
      </c>
    </row>
    <row r="11" spans="1:3" ht="15" customHeight="1">
      <c r="A11" s="165" t="s">
        <v>143</v>
      </c>
      <c r="B11" s="180"/>
      <c r="C11" s="180"/>
    </row>
    <row r="12" spans="1:3" ht="12.75" customHeight="1">
      <c r="A12" s="140" t="s">
        <v>148</v>
      </c>
      <c r="B12" s="82">
        <v>21.747187258913311</v>
      </c>
      <c r="C12" s="187">
        <v>18</v>
      </c>
    </row>
    <row r="13" spans="1:3" ht="12.75" customHeight="1">
      <c r="A13" s="52" t="s">
        <v>148</v>
      </c>
      <c r="B13" s="84">
        <v>21.747187258913311</v>
      </c>
      <c r="C13" s="188">
        <v>18</v>
      </c>
    </row>
    <row r="14" spans="1:3" ht="12.75" customHeight="1">
      <c r="A14" s="140" t="s">
        <v>149</v>
      </c>
      <c r="B14" s="82">
        <v>22.234674514219456</v>
      </c>
      <c r="C14" s="187">
        <v>18</v>
      </c>
    </row>
    <row r="15" spans="1:3" ht="12.75" customHeight="1">
      <c r="A15" s="52" t="s">
        <v>149</v>
      </c>
      <c r="B15" s="83">
        <v>22.234674514219456</v>
      </c>
      <c r="C15" s="188">
        <v>18</v>
      </c>
    </row>
    <row r="16" spans="1:3" ht="12.75" customHeight="1">
      <c r="A16" s="140" t="s">
        <v>150</v>
      </c>
      <c r="B16" s="82">
        <v>22.181716207405511</v>
      </c>
      <c r="C16" s="187">
        <v>17</v>
      </c>
    </row>
    <row r="17" spans="1:3" ht="12.75" customHeight="1">
      <c r="A17" s="52" t="s">
        <v>150</v>
      </c>
      <c r="B17" s="84">
        <v>22.181716207405511</v>
      </c>
      <c r="C17" s="188">
        <v>17</v>
      </c>
    </row>
    <row r="18" spans="1:3" ht="12.75" customHeight="1">
      <c r="A18" s="140" t="s">
        <v>151</v>
      </c>
      <c r="B18" s="82">
        <v>22.893370895302745</v>
      </c>
      <c r="C18" s="187">
        <v>18</v>
      </c>
    </row>
    <row r="19" spans="1:3" ht="12.75" customHeight="1">
      <c r="A19" s="52" t="s">
        <v>151</v>
      </c>
      <c r="B19" s="84">
        <v>22.893370895302745</v>
      </c>
      <c r="C19" s="188">
        <v>18</v>
      </c>
    </row>
    <row r="20" spans="1:3" ht="12.75" customHeight="1">
      <c r="A20" s="140" t="s">
        <v>152</v>
      </c>
      <c r="B20" s="82">
        <v>21.437382948776488</v>
      </c>
      <c r="C20" s="187">
        <v>17</v>
      </c>
    </row>
    <row r="21" spans="1:3" ht="12.75" customHeight="1">
      <c r="A21" s="52" t="s">
        <v>152</v>
      </c>
      <c r="B21" s="84">
        <v>21.228231070833807</v>
      </c>
      <c r="C21" s="188">
        <v>17</v>
      </c>
    </row>
    <row r="22" spans="1:3" ht="12.75" customHeight="1">
      <c r="A22" s="52" t="s">
        <v>153</v>
      </c>
      <c r="B22" s="84">
        <v>22.023475194421795</v>
      </c>
      <c r="C22" s="188">
        <v>17</v>
      </c>
    </row>
    <row r="23" spans="1:3" ht="12.75" customHeight="1">
      <c r="A23" s="140" t="s">
        <v>154</v>
      </c>
      <c r="B23" s="85">
        <v>19.738290365353915</v>
      </c>
      <c r="C23" s="187">
        <v>15</v>
      </c>
    </row>
    <row r="24" spans="1:3" ht="12.75" customHeight="1">
      <c r="A24" s="52" t="s">
        <v>154</v>
      </c>
      <c r="B24" s="84">
        <v>19.318037010487469</v>
      </c>
      <c r="C24" s="188">
        <v>14</v>
      </c>
    </row>
    <row r="25" spans="1:3" ht="12.75" customHeight="1">
      <c r="A25" s="52" t="s">
        <v>155</v>
      </c>
      <c r="B25" s="84">
        <v>20.685835414157768</v>
      </c>
      <c r="C25" s="188">
        <v>17.788806792895457</v>
      </c>
    </row>
    <row r="26" spans="1:3" ht="12.75" customHeight="1">
      <c r="A26" s="140" t="s">
        <v>156</v>
      </c>
      <c r="B26" s="85">
        <v>22.184411426973007</v>
      </c>
      <c r="C26" s="187">
        <v>16</v>
      </c>
    </row>
    <row r="27" spans="1:3" ht="12.75" customHeight="1">
      <c r="A27" s="52" t="s">
        <v>156</v>
      </c>
      <c r="B27" s="84">
        <v>20.420666914847128</v>
      </c>
      <c r="C27" s="188">
        <v>15</v>
      </c>
    </row>
    <row r="28" spans="1:3" ht="12.75" customHeight="1">
      <c r="A28" s="52" t="s">
        <v>157</v>
      </c>
      <c r="B28" s="84">
        <v>24.435334294168367</v>
      </c>
      <c r="C28" s="188">
        <v>18</v>
      </c>
    </row>
    <row r="29" spans="1:3" ht="12.75" customHeight="1">
      <c r="A29" s="140" t="s">
        <v>158</v>
      </c>
      <c r="B29" s="85">
        <v>22.832986446939273</v>
      </c>
      <c r="C29" s="187">
        <v>18</v>
      </c>
    </row>
    <row r="30" spans="1:3" ht="12.75" customHeight="1">
      <c r="A30" s="52" t="s">
        <v>158</v>
      </c>
      <c r="B30" s="84">
        <v>23.01508269882115</v>
      </c>
      <c r="C30" s="188">
        <v>19</v>
      </c>
    </row>
    <row r="31" spans="1:3" ht="12.75" customHeight="1">
      <c r="A31" s="52" t="s">
        <v>159</v>
      </c>
      <c r="B31" s="84">
        <v>21.436480066902021</v>
      </c>
      <c r="C31" s="188">
        <v>16</v>
      </c>
    </row>
    <row r="32" spans="1:3" ht="12.75" customHeight="1">
      <c r="A32" s="140" t="s">
        <v>160</v>
      </c>
      <c r="B32" s="85">
        <v>20.514164334848108</v>
      </c>
      <c r="C32" s="187">
        <v>15</v>
      </c>
    </row>
    <row r="33" spans="1:3" ht="12.75" customHeight="1">
      <c r="A33" s="52" t="s">
        <v>160</v>
      </c>
      <c r="B33" s="148">
        <v>20.514164334848108</v>
      </c>
      <c r="C33" s="188">
        <v>15</v>
      </c>
    </row>
    <row r="34" spans="1:3" ht="12.75" customHeight="1">
      <c r="A34" s="140" t="s">
        <v>161</v>
      </c>
      <c r="B34" s="189">
        <v>20.993742884912972</v>
      </c>
      <c r="C34" s="189">
        <v>17</v>
      </c>
    </row>
    <row r="35" spans="1:3" ht="12.75" customHeight="1">
      <c r="A35" s="52" t="s">
        <v>161</v>
      </c>
      <c r="B35" s="191">
        <v>21.103432854020788</v>
      </c>
      <c r="C35" s="191">
        <v>17</v>
      </c>
    </row>
    <row r="36" spans="1:3" ht="12.75" customHeight="1">
      <c r="A36" s="52" t="s">
        <v>162</v>
      </c>
      <c r="B36" s="191">
        <v>20.49086778828617</v>
      </c>
      <c r="C36" s="191">
        <v>16</v>
      </c>
    </row>
    <row r="37" spans="1:3" ht="12.75" customHeight="1">
      <c r="A37" s="140" t="s">
        <v>163</v>
      </c>
      <c r="B37" s="190">
        <v>21.773191884111789</v>
      </c>
      <c r="C37" s="190">
        <v>17</v>
      </c>
    </row>
    <row r="38" spans="1:3" ht="12.75" customHeight="1">
      <c r="A38" s="141" t="s">
        <v>163</v>
      </c>
      <c r="B38" s="191">
        <v>22.027418400557131</v>
      </c>
      <c r="C38" s="191">
        <v>17</v>
      </c>
    </row>
    <row r="39" spans="1:3" ht="12.75" customHeight="1">
      <c r="A39" s="141" t="s">
        <v>164</v>
      </c>
      <c r="B39" s="191">
        <v>21.144503091221321</v>
      </c>
      <c r="C39" s="191">
        <v>16</v>
      </c>
    </row>
  </sheetData>
  <mergeCells count="2">
    <mergeCell ref="A5:B5"/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03300"/>
  </sheetPr>
  <dimension ref="A1"/>
  <sheetViews>
    <sheetView workbookViewId="0">
      <selection activeCell="N34" sqref="N34"/>
    </sheetView>
  </sheetViews>
  <sheetFormatPr defaultRowHeight="15"/>
  <cols>
    <col min="1" max="16384" width="9.140625" style="192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7"/>
  <sheetViews>
    <sheetView workbookViewId="0">
      <selection activeCell="B7" sqref="B7"/>
    </sheetView>
  </sheetViews>
  <sheetFormatPr defaultRowHeight="15"/>
  <cols>
    <col min="1" max="1" width="23.42578125" style="192" customWidth="1"/>
    <col min="2" max="2" width="15.85546875" style="192" customWidth="1"/>
    <col min="3" max="3" width="9.140625" style="192"/>
    <col min="4" max="4" width="13.140625" style="192" customWidth="1"/>
    <col min="5" max="16384" width="9.140625" style="192"/>
  </cols>
  <sheetData>
    <row r="1" spans="1:8" ht="25.5" customHeight="1">
      <c r="A1" s="949" t="s">
        <v>167</v>
      </c>
      <c r="B1" s="949"/>
      <c r="C1" s="949"/>
      <c r="D1" s="949"/>
      <c r="E1" s="949"/>
      <c r="F1" s="949"/>
      <c r="G1" s="949"/>
      <c r="H1" s="949"/>
    </row>
    <row r="2" spans="1:8">
      <c r="A2" s="950" t="s">
        <v>168</v>
      </c>
      <c r="B2" s="952" t="s">
        <v>169</v>
      </c>
      <c r="C2" s="954" t="s">
        <v>170</v>
      </c>
      <c r="D2" s="954"/>
      <c r="E2" s="954"/>
      <c r="F2" s="954"/>
      <c r="G2" s="954"/>
      <c r="H2" s="954"/>
    </row>
    <row r="3" spans="1:8" ht="24">
      <c r="A3" s="951"/>
      <c r="B3" s="953"/>
      <c r="C3" s="193" t="s">
        <v>171</v>
      </c>
      <c r="D3" s="193" t="s">
        <v>172</v>
      </c>
      <c r="E3" s="193" t="s">
        <v>173</v>
      </c>
      <c r="F3" s="193" t="s">
        <v>174</v>
      </c>
      <c r="G3" s="193" t="s">
        <v>175</v>
      </c>
      <c r="H3" s="193" t="s">
        <v>176</v>
      </c>
    </row>
    <row r="4" spans="1:8">
      <c r="A4" s="201" t="s">
        <v>147</v>
      </c>
      <c r="B4" s="200">
        <v>374523.31994239433</v>
      </c>
      <c r="C4" s="200">
        <v>217128.01729233388</v>
      </c>
      <c r="D4" s="200">
        <v>133908.95935470323</v>
      </c>
      <c r="E4" s="200">
        <v>5498.4486856249378</v>
      </c>
      <c r="F4" s="200">
        <v>668.43718389819378</v>
      </c>
      <c r="G4" s="200">
        <v>5542.397159751722</v>
      </c>
      <c r="H4" s="200">
        <v>11777.060265830243</v>
      </c>
    </row>
    <row r="5" spans="1:8">
      <c r="A5" s="194"/>
      <c r="B5" s="195"/>
      <c r="C5" s="195"/>
      <c r="D5" s="195"/>
      <c r="E5" s="195"/>
      <c r="F5" s="195"/>
      <c r="G5" s="195"/>
      <c r="H5" s="195"/>
    </row>
    <row r="6" spans="1:8" ht="17.25" customHeight="1">
      <c r="A6" s="201" t="s">
        <v>3</v>
      </c>
      <c r="B6" s="198"/>
      <c r="C6" s="198"/>
      <c r="D6" s="198"/>
      <c r="E6" s="198"/>
      <c r="F6" s="198"/>
      <c r="G6" s="198"/>
      <c r="H6" s="198"/>
    </row>
    <row r="7" spans="1:8">
      <c r="A7" s="194" t="s">
        <v>4</v>
      </c>
      <c r="B7" s="195">
        <v>257519.84314487054</v>
      </c>
      <c r="C7" s="195">
        <v>157620.58486901317</v>
      </c>
      <c r="D7" s="195">
        <v>86970.400912820944</v>
      </c>
      <c r="E7" s="195">
        <v>3521.3920193710369</v>
      </c>
      <c r="F7" s="195">
        <v>377.21081183361042</v>
      </c>
      <c r="G7" s="195">
        <v>3887.3588190489045</v>
      </c>
      <c r="H7" s="195">
        <v>5142.895712965792</v>
      </c>
    </row>
    <row r="8" spans="1:8">
      <c r="A8" s="194" t="s">
        <v>5</v>
      </c>
      <c r="B8" s="195">
        <v>117003.47679710458</v>
      </c>
      <c r="C8" s="195">
        <v>59507.432423379949</v>
      </c>
      <c r="D8" s="195">
        <v>46938.558441934023</v>
      </c>
      <c r="E8" s="195">
        <v>1977.0566662539375</v>
      </c>
      <c r="F8" s="195">
        <v>291.22637206458472</v>
      </c>
      <c r="G8" s="195">
        <v>1655.0383407026234</v>
      </c>
      <c r="H8" s="195">
        <v>6634.1645528631989</v>
      </c>
    </row>
    <row r="9" spans="1:8" ht="15.75" customHeight="1">
      <c r="A9" s="201" t="s">
        <v>177</v>
      </c>
      <c r="B9" s="198"/>
      <c r="C9" s="198"/>
      <c r="D9" s="198"/>
      <c r="E9" s="198"/>
      <c r="F9" s="198"/>
      <c r="G9" s="198"/>
      <c r="H9" s="198"/>
    </row>
    <row r="10" spans="1:8">
      <c r="A10" s="202" t="s">
        <v>148</v>
      </c>
      <c r="B10" s="196">
        <v>253630.99343624833</v>
      </c>
      <c r="C10" s="196">
        <v>152174.31938352078</v>
      </c>
      <c r="D10" s="196">
        <v>86749.183853403345</v>
      </c>
      <c r="E10" s="196">
        <v>3188.9951124310915</v>
      </c>
      <c r="F10" s="196">
        <v>387.42396001820697</v>
      </c>
      <c r="G10" s="196">
        <v>3912.7825778083638</v>
      </c>
      <c r="H10" s="196">
        <v>7218.2885492606465</v>
      </c>
    </row>
    <row r="11" spans="1:8">
      <c r="A11" s="859" t="s">
        <v>148</v>
      </c>
      <c r="B11" s="195">
        <v>253630.99343624833</v>
      </c>
      <c r="C11" s="195">
        <v>152174.31938352078</v>
      </c>
      <c r="D11" s="195">
        <v>86749.183853403345</v>
      </c>
      <c r="E11" s="195">
        <v>3188.9951124310915</v>
      </c>
      <c r="F11" s="195">
        <v>387.42396001820697</v>
      </c>
      <c r="G11" s="195">
        <v>3912.7825778083638</v>
      </c>
      <c r="H11" s="195">
        <v>7218.2885492606465</v>
      </c>
    </row>
    <row r="12" spans="1:8">
      <c r="A12" s="202" t="s">
        <v>149</v>
      </c>
      <c r="B12" s="196">
        <v>20045.096325986971</v>
      </c>
      <c r="C12" s="196">
        <v>10455.727156469335</v>
      </c>
      <c r="D12" s="196">
        <v>7466.4836242831971</v>
      </c>
      <c r="E12" s="196">
        <v>414.06441064535926</v>
      </c>
      <c r="F12" s="196">
        <v>35.605833971377841</v>
      </c>
      <c r="G12" s="196">
        <v>214.07506757037046</v>
      </c>
      <c r="H12" s="196">
        <v>1459.1402330456642</v>
      </c>
    </row>
    <row r="13" spans="1:8">
      <c r="A13" s="859" t="s">
        <v>149</v>
      </c>
      <c r="B13" s="195">
        <v>20045.096325986971</v>
      </c>
      <c r="C13" s="195">
        <v>10455.727156469335</v>
      </c>
      <c r="D13" s="195">
        <v>7466.4836242831971</v>
      </c>
      <c r="E13" s="195">
        <v>414.06441064535926</v>
      </c>
      <c r="F13" s="195">
        <v>35.605833971377841</v>
      </c>
      <c r="G13" s="195">
        <v>214.07506757037046</v>
      </c>
      <c r="H13" s="195">
        <v>1459.1402330456642</v>
      </c>
    </row>
    <row r="14" spans="1:8">
      <c r="A14" s="202" t="s">
        <v>150</v>
      </c>
      <c r="B14" s="196">
        <v>8124.735608574405</v>
      </c>
      <c r="C14" s="196">
        <v>4714.9451185979178</v>
      </c>
      <c r="D14" s="196">
        <v>3058.407537815433</v>
      </c>
      <c r="E14" s="196">
        <v>88.625150174121032</v>
      </c>
      <c r="F14" s="196">
        <v>8.6009445135574349</v>
      </c>
      <c r="G14" s="196">
        <v>74.123180836614324</v>
      </c>
      <c r="H14" s="196">
        <v>180.03367663689878</v>
      </c>
    </row>
    <row r="15" spans="1:8">
      <c r="A15" s="859" t="s">
        <v>150</v>
      </c>
      <c r="B15" s="195">
        <v>8124.735608574405</v>
      </c>
      <c r="C15" s="195">
        <v>4714.9451185979178</v>
      </c>
      <c r="D15" s="195">
        <v>3058.407537815433</v>
      </c>
      <c r="E15" s="195">
        <v>88.625150174121032</v>
      </c>
      <c r="F15" s="195">
        <v>8.6009445135574349</v>
      </c>
      <c r="G15" s="195">
        <v>74.123180836614324</v>
      </c>
      <c r="H15" s="195">
        <v>180.03367663689878</v>
      </c>
    </row>
    <row r="16" spans="1:8">
      <c r="A16" s="202" t="s">
        <v>151</v>
      </c>
      <c r="B16" s="196">
        <v>18302.013539922773</v>
      </c>
      <c r="C16" s="196">
        <v>11925.302921167713</v>
      </c>
      <c r="D16" s="196">
        <v>5764.3644331485457</v>
      </c>
      <c r="E16" s="196">
        <v>289.24347182632704</v>
      </c>
      <c r="F16" s="196">
        <v>9.8984268577785617</v>
      </c>
      <c r="G16" s="196">
        <v>165.03557461275287</v>
      </c>
      <c r="H16" s="196">
        <v>148.16871230843748</v>
      </c>
    </row>
    <row r="17" spans="1:8">
      <c r="A17" s="859" t="s">
        <v>151</v>
      </c>
      <c r="B17" s="195">
        <v>18302.013539922773</v>
      </c>
      <c r="C17" s="195">
        <v>11925.302921167713</v>
      </c>
      <c r="D17" s="195">
        <v>5764.3644331485457</v>
      </c>
      <c r="E17" s="195">
        <v>289.24347182632704</v>
      </c>
      <c r="F17" s="195">
        <v>9.8984268577785617</v>
      </c>
      <c r="G17" s="195">
        <v>165.03557461275287</v>
      </c>
      <c r="H17" s="195">
        <v>148.16871230843748</v>
      </c>
    </row>
    <row r="18" spans="1:8">
      <c r="A18" s="202" t="s">
        <v>152</v>
      </c>
      <c r="B18" s="196">
        <f t="shared" ref="B18:H18" si="0">+B19+B20</f>
        <v>5440.8677951735208</v>
      </c>
      <c r="C18" s="196">
        <f>+C19+C20</f>
        <v>3050.3305520398976</v>
      </c>
      <c r="D18" s="196">
        <f t="shared" si="0"/>
        <v>2111.8929428671181</v>
      </c>
      <c r="E18" s="196">
        <f t="shared" si="0"/>
        <v>98.705109521608804</v>
      </c>
      <c r="F18" s="196">
        <f t="shared" si="0"/>
        <v>29.868518251636676</v>
      </c>
      <c r="G18" s="196">
        <f t="shared" si="0"/>
        <v>123.46189673607451</v>
      </c>
      <c r="H18" s="196">
        <f t="shared" si="0"/>
        <v>26.608775757249582</v>
      </c>
    </row>
    <row r="19" spans="1:8">
      <c r="A19" s="859" t="s">
        <v>152</v>
      </c>
      <c r="B19" s="195">
        <v>3991.695140130912</v>
      </c>
      <c r="C19" s="195">
        <v>2289.0118442947874</v>
      </c>
      <c r="D19" s="195">
        <v>1445.1664121132951</v>
      </c>
      <c r="E19" s="195">
        <v>92.988818005148246</v>
      </c>
      <c r="F19" s="195">
        <v>29.868518251636676</v>
      </c>
      <c r="G19" s="195">
        <v>117.7597193688248</v>
      </c>
      <c r="H19" s="195">
        <v>16.89982809729144</v>
      </c>
    </row>
    <row r="20" spans="1:8">
      <c r="A20" s="859" t="s">
        <v>153</v>
      </c>
      <c r="B20" s="195">
        <v>1449.1726550426092</v>
      </c>
      <c r="C20" s="195">
        <v>761.31870774511026</v>
      </c>
      <c r="D20" s="195">
        <v>666.726530753823</v>
      </c>
      <c r="E20" s="195">
        <v>5.7162915164605632</v>
      </c>
      <c r="F20" s="195">
        <v>0</v>
      </c>
      <c r="G20" s="195">
        <v>5.7021773672497034</v>
      </c>
      <c r="H20" s="195">
        <v>9.7089476599581435</v>
      </c>
    </row>
    <row r="21" spans="1:8">
      <c r="A21" s="202" t="s">
        <v>154</v>
      </c>
      <c r="B21" s="196">
        <f t="shared" ref="B21:H21" si="1">+B22+B23</f>
        <v>1448.6934264840118</v>
      </c>
      <c r="C21" s="196">
        <f>+C22+C23</f>
        <v>971.942397146845</v>
      </c>
      <c r="D21" s="196">
        <f t="shared" si="1"/>
        <v>476.75102933716755</v>
      </c>
      <c r="E21" s="196">
        <f t="shared" si="1"/>
        <v>0</v>
      </c>
      <c r="F21" s="196">
        <f t="shared" si="1"/>
        <v>0</v>
      </c>
      <c r="G21" s="196">
        <f t="shared" si="1"/>
        <v>0</v>
      </c>
      <c r="H21" s="196">
        <f t="shared" si="1"/>
        <v>0</v>
      </c>
    </row>
    <row r="22" spans="1:8">
      <c r="A22" s="859" t="s">
        <v>154</v>
      </c>
      <c r="B22" s="195">
        <v>968.55156696786969</v>
      </c>
      <c r="C22" s="195">
        <v>623.13438303459714</v>
      </c>
      <c r="D22" s="195">
        <v>345.41718393327335</v>
      </c>
      <c r="E22" s="195">
        <v>0</v>
      </c>
      <c r="F22" s="195">
        <v>0</v>
      </c>
      <c r="G22" s="195">
        <v>0</v>
      </c>
      <c r="H22" s="195">
        <v>0</v>
      </c>
    </row>
    <row r="23" spans="1:8">
      <c r="A23" s="859" t="s">
        <v>155</v>
      </c>
      <c r="B23" s="195">
        <v>480.14185951614206</v>
      </c>
      <c r="C23" s="195">
        <v>348.80801411224792</v>
      </c>
      <c r="D23" s="195">
        <v>131.3338454038942</v>
      </c>
      <c r="E23" s="195">
        <v>0</v>
      </c>
      <c r="F23" s="195">
        <v>0</v>
      </c>
      <c r="G23" s="195">
        <v>0</v>
      </c>
      <c r="H23" s="195">
        <v>0</v>
      </c>
    </row>
    <row r="24" spans="1:8">
      <c r="A24" s="202" t="s">
        <v>156</v>
      </c>
      <c r="B24" s="196">
        <f t="shared" ref="B24:H24" si="2">+B25+B26</f>
        <v>10570.007286033266</v>
      </c>
      <c r="C24" s="196">
        <f>+C25+C26</f>
        <v>5508.4854288881943</v>
      </c>
      <c r="D24" s="196">
        <f t="shared" si="2"/>
        <v>4540.8897025398255</v>
      </c>
      <c r="E24" s="196">
        <f t="shared" si="2"/>
        <v>162.96763043742166</v>
      </c>
      <c r="F24" s="196">
        <f t="shared" si="2"/>
        <v>21.454086721946794</v>
      </c>
      <c r="G24" s="196">
        <f t="shared" si="2"/>
        <v>69.853630123917398</v>
      </c>
      <c r="H24" s="196">
        <f t="shared" si="2"/>
        <v>266.35680732213279</v>
      </c>
    </row>
    <row r="25" spans="1:8">
      <c r="A25" s="859" t="s">
        <v>156</v>
      </c>
      <c r="B25" s="195">
        <v>5670.7552113003158</v>
      </c>
      <c r="C25" s="195">
        <v>2899.4529497217382</v>
      </c>
      <c r="D25" s="195">
        <v>2517.9514405281802</v>
      </c>
      <c r="E25" s="195">
        <v>33.053329347612532</v>
      </c>
      <c r="F25" s="195">
        <v>20.011535684034243</v>
      </c>
      <c r="G25" s="195">
        <v>45.616259226852783</v>
      </c>
      <c r="H25" s="195">
        <v>154.66969679200102</v>
      </c>
    </row>
    <row r="26" spans="1:8">
      <c r="A26" s="859" t="s">
        <v>157</v>
      </c>
      <c r="B26" s="195">
        <v>4899.2520747329499</v>
      </c>
      <c r="C26" s="195">
        <v>2609.0324791664561</v>
      </c>
      <c r="D26" s="195">
        <v>2022.9382620116455</v>
      </c>
      <c r="E26" s="195">
        <v>129.91430108980913</v>
      </c>
      <c r="F26" s="195">
        <v>1.4425510379125499</v>
      </c>
      <c r="G26" s="195">
        <v>24.237370897064615</v>
      </c>
      <c r="H26" s="195">
        <v>111.68711053013175</v>
      </c>
    </row>
    <row r="27" spans="1:8">
      <c r="A27" s="202" t="s">
        <v>158</v>
      </c>
      <c r="B27" s="196">
        <f t="shared" ref="B27:H27" si="3">+B28+B29</f>
        <v>18860.410938550984</v>
      </c>
      <c r="C27" s="196">
        <f>+C28+C29</f>
        <v>9880.8327745878887</v>
      </c>
      <c r="D27" s="196">
        <f t="shared" si="3"/>
        <v>7437.3787669884559</v>
      </c>
      <c r="E27" s="196">
        <f t="shared" si="3"/>
        <v>678.93311304191025</v>
      </c>
      <c r="F27" s="196">
        <f t="shared" si="3"/>
        <v>90.120394822266221</v>
      </c>
      <c r="G27" s="196">
        <f t="shared" si="3"/>
        <v>489.00141084299429</v>
      </c>
      <c r="H27" s="196">
        <f t="shared" si="3"/>
        <v>284.14447826480102</v>
      </c>
    </row>
    <row r="28" spans="1:8">
      <c r="A28" s="859" t="s">
        <v>158</v>
      </c>
      <c r="B28" s="195">
        <v>16874.520881363631</v>
      </c>
      <c r="C28" s="195">
        <v>8743.6110329627354</v>
      </c>
      <c r="D28" s="195">
        <v>6739.0548555724881</v>
      </c>
      <c r="E28" s="195">
        <v>638.74065059440352</v>
      </c>
      <c r="F28" s="195">
        <v>84.377708336621126</v>
      </c>
      <c r="G28" s="195">
        <v>451.9854225116066</v>
      </c>
      <c r="H28" s="195">
        <v>216.7512113831252</v>
      </c>
    </row>
    <row r="29" spans="1:8">
      <c r="A29" s="859" t="s">
        <v>159</v>
      </c>
      <c r="B29" s="195">
        <v>1985.8900571873517</v>
      </c>
      <c r="C29" s="195">
        <v>1137.221741625154</v>
      </c>
      <c r="D29" s="195">
        <v>698.32391141596747</v>
      </c>
      <c r="E29" s="195">
        <v>40.192462447506756</v>
      </c>
      <c r="F29" s="195">
        <v>5.7426864856450965</v>
      </c>
      <c r="G29" s="195">
        <v>37.015988331387682</v>
      </c>
      <c r="H29" s="195">
        <v>67.393266881675842</v>
      </c>
    </row>
    <row r="30" spans="1:8">
      <c r="A30" s="202" t="s">
        <v>160</v>
      </c>
      <c r="B30" s="196">
        <v>4328.5234031296613</v>
      </c>
      <c r="C30" s="196">
        <v>1973.7543284139617</v>
      </c>
      <c r="D30" s="196">
        <v>2156.7522155320253</v>
      </c>
      <c r="E30" s="196">
        <v>92.966110476516505</v>
      </c>
      <c r="F30" s="196">
        <v>4.2471209699993659</v>
      </c>
      <c r="G30" s="196">
        <v>69.733086055849085</v>
      </c>
      <c r="H30" s="196">
        <v>31.070541681401785</v>
      </c>
    </row>
    <row r="31" spans="1:8">
      <c r="A31" s="859" t="s">
        <v>160</v>
      </c>
      <c r="B31" s="195">
        <v>4328.5234031296613</v>
      </c>
      <c r="C31" s="195">
        <v>1973.7543284139617</v>
      </c>
      <c r="D31" s="195">
        <v>2156.7522155320253</v>
      </c>
      <c r="E31" s="195">
        <v>92.966110476516505</v>
      </c>
      <c r="F31" s="195">
        <v>4.2471209699993659</v>
      </c>
      <c r="G31" s="195">
        <v>69.733086055849085</v>
      </c>
      <c r="H31" s="195">
        <v>31.070541681401785</v>
      </c>
    </row>
    <row r="32" spans="1:8">
      <c r="A32" s="202" t="s">
        <v>161</v>
      </c>
      <c r="B32" s="196">
        <f t="shared" ref="B32:H32" si="4">+B33+B34</f>
        <v>19876.800178606361</v>
      </c>
      <c r="C32" s="196">
        <f>+C33+C34</f>
        <v>9519.5174228538417</v>
      </c>
      <c r="D32" s="196">
        <f t="shared" si="4"/>
        <v>7713.387616590222</v>
      </c>
      <c r="E32" s="196">
        <f t="shared" si="4"/>
        <v>326.4349377783717</v>
      </c>
      <c r="F32" s="196">
        <f t="shared" si="4"/>
        <v>43.983416369612961</v>
      </c>
      <c r="G32" s="196">
        <f t="shared" si="4"/>
        <v>240.6352051301979</v>
      </c>
      <c r="H32" s="196">
        <f t="shared" si="4"/>
        <v>2032.8415798816754</v>
      </c>
    </row>
    <row r="33" spans="1:12">
      <c r="A33" s="859" t="s">
        <v>161</v>
      </c>
      <c r="B33" s="195">
        <v>16423.821303061952</v>
      </c>
      <c r="C33" s="195">
        <v>8450.6254027657378</v>
      </c>
      <c r="D33" s="195">
        <v>6424.5740354939107</v>
      </c>
      <c r="E33" s="195">
        <v>182.2727569065832</v>
      </c>
      <c r="F33" s="195">
        <v>41.11242844299872</v>
      </c>
      <c r="G33" s="195">
        <v>220.61788661585578</v>
      </c>
      <c r="H33" s="195">
        <v>1104.6187928343834</v>
      </c>
      <c r="L33" s="203"/>
    </row>
    <row r="34" spans="1:12">
      <c r="A34" s="859" t="s">
        <v>162</v>
      </c>
      <c r="B34" s="195">
        <v>3452.9788755444088</v>
      </c>
      <c r="C34" s="195">
        <v>1068.8920200881048</v>
      </c>
      <c r="D34" s="195">
        <v>1288.8135810963108</v>
      </c>
      <c r="E34" s="195">
        <v>144.16218087178854</v>
      </c>
      <c r="F34" s="195">
        <v>2.87098792661424</v>
      </c>
      <c r="G34" s="195">
        <v>20.017318514342126</v>
      </c>
      <c r="H34" s="195">
        <v>928.22278704729206</v>
      </c>
    </row>
    <row r="35" spans="1:12">
      <c r="A35" s="202" t="s">
        <v>163</v>
      </c>
      <c r="B35" s="196">
        <f t="shared" ref="B35:H35" si="5">+B36+B37</f>
        <v>13895.17800336821</v>
      </c>
      <c r="C35" s="196">
        <f>+C36+C37</f>
        <v>6952.8598087244127</v>
      </c>
      <c r="D35" s="196">
        <f t="shared" si="5"/>
        <v>6433.4676322448704</v>
      </c>
      <c r="E35" s="196">
        <f t="shared" si="5"/>
        <v>157.51363929224777</v>
      </c>
      <c r="F35" s="196">
        <f t="shared" si="5"/>
        <v>37.234481401812701</v>
      </c>
      <c r="G35" s="196">
        <f t="shared" si="5"/>
        <v>183.69553003439117</v>
      </c>
      <c r="H35" s="196">
        <f t="shared" si="5"/>
        <v>130.40691167013622</v>
      </c>
    </row>
    <row r="36" spans="1:12">
      <c r="A36" s="859" t="s">
        <v>163</v>
      </c>
      <c r="B36" s="195">
        <v>10033.162032268114</v>
      </c>
      <c r="C36" s="195">
        <v>4984.4901322778114</v>
      </c>
      <c r="D36" s="195">
        <v>4675.6728187660719</v>
      </c>
      <c r="E36" s="195">
        <v>101.72356566009476</v>
      </c>
      <c r="F36" s="195">
        <v>27.231494968738112</v>
      </c>
      <c r="G36" s="195">
        <v>146.65176248330999</v>
      </c>
      <c r="H36" s="195">
        <v>97.392258111681898</v>
      </c>
    </row>
    <row r="37" spans="1:12">
      <c r="A37" s="860" t="s">
        <v>164</v>
      </c>
      <c r="B37" s="197">
        <v>3862.0159711000965</v>
      </c>
      <c r="C37" s="197">
        <v>1968.3696764466015</v>
      </c>
      <c r="D37" s="197">
        <v>1757.7948134787985</v>
      </c>
      <c r="E37" s="197">
        <v>55.790073632152996</v>
      </c>
      <c r="F37" s="197">
        <v>10.002986433074591</v>
      </c>
      <c r="G37" s="197">
        <v>37.043767551081174</v>
      </c>
      <c r="H37" s="197">
        <v>33.014653558454327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7"/>
  <sheetViews>
    <sheetView workbookViewId="0">
      <selection activeCell="D22" sqref="D22"/>
    </sheetView>
  </sheetViews>
  <sheetFormatPr defaultRowHeight="15"/>
  <cols>
    <col min="1" max="1" width="26.42578125" style="26" customWidth="1"/>
    <col min="2" max="2" width="12" style="26" customWidth="1"/>
    <col min="3" max="3" width="11.28515625" style="26" customWidth="1"/>
    <col min="4" max="4" width="14.140625" style="26" customWidth="1"/>
    <col min="5" max="5" width="14.42578125" style="26" customWidth="1"/>
    <col min="6" max="16384" width="9.140625" style="26"/>
  </cols>
  <sheetData>
    <row r="1" spans="1:6" ht="24.75" customHeight="1">
      <c r="A1" s="955" t="s">
        <v>178</v>
      </c>
      <c r="B1" s="955"/>
      <c r="C1" s="955"/>
      <c r="D1" s="955"/>
      <c r="E1" s="955"/>
    </row>
    <row r="2" spans="1:6">
      <c r="A2" s="956" t="s">
        <v>179</v>
      </c>
      <c r="B2" s="958" t="s">
        <v>180</v>
      </c>
      <c r="C2" s="960" t="s">
        <v>181</v>
      </c>
      <c r="D2" s="960"/>
      <c r="E2" s="960"/>
    </row>
    <row r="3" spans="1:6" ht="25.5" customHeight="1">
      <c r="A3" s="957"/>
      <c r="B3" s="959"/>
      <c r="C3" s="204" t="s">
        <v>0</v>
      </c>
      <c r="D3" s="204" t="s">
        <v>1</v>
      </c>
      <c r="E3" s="204" t="s">
        <v>2</v>
      </c>
    </row>
    <row r="4" spans="1:6">
      <c r="A4" s="199" t="s">
        <v>147</v>
      </c>
      <c r="B4" s="210">
        <v>570447.17662695551</v>
      </c>
      <c r="C4" s="210">
        <v>369429.88532739918</v>
      </c>
      <c r="D4" s="210">
        <v>179609.56465853276</v>
      </c>
      <c r="E4" s="210">
        <v>189820.32066868554</v>
      </c>
      <c r="F4" s="902"/>
    </row>
    <row r="5" spans="1:6">
      <c r="A5" s="205"/>
      <c r="B5" s="206"/>
      <c r="C5" s="206"/>
      <c r="D5" s="206"/>
      <c r="E5" s="206"/>
      <c r="F5" s="902"/>
    </row>
    <row r="6" spans="1:6">
      <c r="A6" s="211" t="s">
        <v>3</v>
      </c>
      <c r="B6" s="212"/>
      <c r="C6" s="212"/>
      <c r="D6" s="212"/>
      <c r="E6" s="212"/>
      <c r="F6" s="902"/>
    </row>
    <row r="7" spans="1:6">
      <c r="A7" s="861" t="s">
        <v>4</v>
      </c>
      <c r="B7" s="206">
        <v>391855.92340030614</v>
      </c>
      <c r="C7" s="206">
        <v>282597.76734607189</v>
      </c>
      <c r="D7" s="206">
        <v>136129.02661861098</v>
      </c>
      <c r="E7" s="206">
        <v>146468.74072765221</v>
      </c>
      <c r="F7" s="902"/>
    </row>
    <row r="8" spans="1:6">
      <c r="A8" s="861" t="s">
        <v>5</v>
      </c>
      <c r="B8" s="206">
        <v>178591.25322581443</v>
      </c>
      <c r="C8" s="206">
        <v>86832.117981178744</v>
      </c>
      <c r="D8" s="206">
        <v>43480.538040055464</v>
      </c>
      <c r="E8" s="206">
        <v>43351.579941152908</v>
      </c>
      <c r="F8" s="902"/>
    </row>
    <row r="9" spans="1:6">
      <c r="A9" s="211" t="s">
        <v>177</v>
      </c>
      <c r="B9" s="212"/>
      <c r="C9" s="212"/>
      <c r="D9" s="212"/>
      <c r="E9" s="212"/>
    </row>
    <row r="10" spans="1:6">
      <c r="A10" s="209" t="s">
        <v>148</v>
      </c>
      <c r="B10" s="207">
        <v>382634.98871321097</v>
      </c>
      <c r="C10" s="207">
        <v>271241.26730951591</v>
      </c>
      <c r="D10" s="207">
        <v>130730.39086557165</v>
      </c>
      <c r="E10" s="207">
        <v>140510.87644417607</v>
      </c>
      <c r="F10" s="902"/>
    </row>
    <row r="11" spans="1:6">
      <c r="A11" s="861" t="s">
        <v>148</v>
      </c>
      <c r="B11" s="206">
        <v>382634.98871321097</v>
      </c>
      <c r="C11" s="206">
        <v>271241.26730951591</v>
      </c>
      <c r="D11" s="206">
        <v>130730.39086557165</v>
      </c>
      <c r="E11" s="206">
        <v>140510.87644417607</v>
      </c>
      <c r="F11" s="902"/>
    </row>
    <row r="12" spans="1:6">
      <c r="A12" s="209" t="s">
        <v>149</v>
      </c>
      <c r="B12" s="207">
        <v>30231.271440747085</v>
      </c>
      <c r="C12" s="207">
        <v>14512.744882674633</v>
      </c>
      <c r="D12" s="207">
        <v>7205.6370110203034</v>
      </c>
      <c r="E12" s="207">
        <v>7307.1078716530255</v>
      </c>
      <c r="F12" s="902"/>
    </row>
    <row r="13" spans="1:6">
      <c r="A13" s="861" t="s">
        <v>149</v>
      </c>
      <c r="B13" s="206">
        <v>30231.271440747085</v>
      </c>
      <c r="C13" s="206">
        <v>14512.744882674633</v>
      </c>
      <c r="D13" s="206">
        <v>7205.6370110203034</v>
      </c>
      <c r="E13" s="206">
        <v>7307.1078716530255</v>
      </c>
      <c r="F13" s="902"/>
    </row>
    <row r="14" spans="1:6">
      <c r="A14" s="209" t="s">
        <v>150</v>
      </c>
      <c r="B14" s="207">
        <v>12680.796776416362</v>
      </c>
      <c r="C14" s="207">
        <v>7671.3495446069792</v>
      </c>
      <c r="D14" s="207">
        <v>3769.4972270570124</v>
      </c>
      <c r="E14" s="207">
        <v>3901.852317550201</v>
      </c>
      <c r="F14" s="902"/>
    </row>
    <row r="15" spans="1:6">
      <c r="A15" s="861" t="s">
        <v>150</v>
      </c>
      <c r="B15" s="206">
        <v>12680.796776416362</v>
      </c>
      <c r="C15" s="206">
        <v>7671.3495446069792</v>
      </c>
      <c r="D15" s="206">
        <v>3769.4972270570124</v>
      </c>
      <c r="E15" s="206">
        <v>3901.852317550201</v>
      </c>
      <c r="F15" s="902"/>
    </row>
    <row r="16" spans="1:6">
      <c r="A16" s="209" t="s">
        <v>151</v>
      </c>
      <c r="B16" s="207">
        <v>27932.073323219793</v>
      </c>
      <c r="C16" s="207">
        <v>18735.297871532905</v>
      </c>
      <c r="D16" s="207">
        <v>9175.3623312036852</v>
      </c>
      <c r="E16" s="207">
        <v>9559.9355403275185</v>
      </c>
      <c r="F16" s="902"/>
    </row>
    <row r="17" spans="1:6">
      <c r="A17" s="861" t="s">
        <v>151</v>
      </c>
      <c r="B17" s="206">
        <v>27932.073323219793</v>
      </c>
      <c r="C17" s="206">
        <v>18735.297871532905</v>
      </c>
      <c r="D17" s="206">
        <v>9175.3623312036852</v>
      </c>
      <c r="E17" s="206">
        <v>9559.9355403275185</v>
      </c>
      <c r="F17" s="902"/>
    </row>
    <row r="18" spans="1:6">
      <c r="A18" s="209" t="s">
        <v>152</v>
      </c>
      <c r="B18" s="207">
        <f>+B19+B20</f>
        <v>8459.7874414902017</v>
      </c>
      <c r="C18" s="207">
        <f t="shared" ref="C18:E18" si="0">+C19+C20</f>
        <v>6161.8738333104602</v>
      </c>
      <c r="D18" s="207">
        <f t="shared" si="0"/>
        <v>3123.9176525193034</v>
      </c>
      <c r="E18" s="207">
        <f t="shared" si="0"/>
        <v>3037.9561807911537</v>
      </c>
      <c r="F18" s="902"/>
    </row>
    <row r="19" spans="1:6">
      <c r="A19" s="861" t="s">
        <v>152</v>
      </c>
      <c r="B19" s="206">
        <v>6234.8349044034339</v>
      </c>
      <c r="C19" s="206">
        <v>4261.0799724945709</v>
      </c>
      <c r="D19" s="206">
        <v>2104.2711316519199</v>
      </c>
      <c r="E19" s="206">
        <v>2156.8088408426743</v>
      </c>
      <c r="F19" s="902"/>
    </row>
    <row r="20" spans="1:6">
      <c r="A20" s="861" t="s">
        <v>153</v>
      </c>
      <c r="B20" s="206">
        <v>2224.9525370867677</v>
      </c>
      <c r="C20" s="206">
        <v>1900.7938608158893</v>
      </c>
      <c r="D20" s="206">
        <v>1019.6465208673834</v>
      </c>
      <c r="E20" s="206">
        <v>881.14733994847927</v>
      </c>
      <c r="F20" s="902"/>
    </row>
    <row r="21" spans="1:6">
      <c r="A21" s="209" t="s">
        <v>154</v>
      </c>
      <c r="B21" s="207">
        <f>+B22+B23</f>
        <v>2464.5697814306805</v>
      </c>
      <c r="C21" s="207">
        <f t="shared" ref="C21:E21" si="1">+C22+C23</f>
        <v>1407.3411122898219</v>
      </c>
      <c r="D21" s="207">
        <f t="shared" si="1"/>
        <v>746.31536956408638</v>
      </c>
      <c r="E21" s="207">
        <f t="shared" si="1"/>
        <v>661.02574272573736</v>
      </c>
      <c r="F21" s="902"/>
    </row>
    <row r="22" spans="1:6">
      <c r="A22" s="861" t="s">
        <v>154</v>
      </c>
      <c r="B22" s="206">
        <v>1707.3355894837798</v>
      </c>
      <c r="C22" s="206">
        <v>739.15961196709156</v>
      </c>
      <c r="D22" s="206">
        <v>377.91597070314685</v>
      </c>
      <c r="E22" s="206">
        <v>361.24364126394505</v>
      </c>
      <c r="F22" s="902"/>
    </row>
    <row r="23" spans="1:6">
      <c r="A23" s="861" t="s">
        <v>155</v>
      </c>
      <c r="B23" s="206">
        <v>757.23419194690041</v>
      </c>
      <c r="C23" s="206">
        <v>668.18150032273047</v>
      </c>
      <c r="D23" s="206">
        <v>368.39939886093953</v>
      </c>
      <c r="E23" s="206">
        <v>299.78210146179231</v>
      </c>
      <c r="F23" s="902"/>
    </row>
    <row r="24" spans="1:6">
      <c r="A24" s="209" t="s">
        <v>156</v>
      </c>
      <c r="B24" s="207">
        <f>+B25+B26</f>
        <v>17191.579558660887</v>
      </c>
      <c r="C24" s="207">
        <f t="shared" ref="C24:E24" si="2">+C25+C26</f>
        <v>10210.176815764637</v>
      </c>
      <c r="D24" s="207">
        <f t="shared" si="2"/>
        <v>5010.1197455603487</v>
      </c>
      <c r="E24" s="207">
        <f t="shared" si="2"/>
        <v>5200.057070204346</v>
      </c>
      <c r="F24" s="902"/>
    </row>
    <row r="25" spans="1:6">
      <c r="A25" s="861" t="s">
        <v>156</v>
      </c>
      <c r="B25" s="206">
        <v>9638.8855901455609</v>
      </c>
      <c r="C25" s="206">
        <v>5061.3401951391743</v>
      </c>
      <c r="D25" s="206">
        <v>2529.8807529590981</v>
      </c>
      <c r="E25" s="206">
        <v>2531.459442180113</v>
      </c>
      <c r="F25" s="902"/>
    </row>
    <row r="26" spans="1:6">
      <c r="A26" s="861" t="s">
        <v>157</v>
      </c>
      <c r="B26" s="206">
        <v>7552.6939685153266</v>
      </c>
      <c r="C26" s="206">
        <v>5148.8366206254614</v>
      </c>
      <c r="D26" s="206">
        <v>2480.2389926012511</v>
      </c>
      <c r="E26" s="206">
        <v>2668.597628024233</v>
      </c>
      <c r="F26" s="902"/>
    </row>
    <row r="27" spans="1:6">
      <c r="A27" s="209" t="s">
        <v>158</v>
      </c>
      <c r="B27" s="207">
        <f>+B28+B29</f>
        <v>28013.773732907008</v>
      </c>
      <c r="C27" s="207">
        <f t="shared" ref="C27:E27" si="3">+C28+C29</f>
        <v>14244.727918430925</v>
      </c>
      <c r="D27" s="207">
        <f t="shared" si="3"/>
        <v>7089.6648838029178</v>
      </c>
      <c r="E27" s="207">
        <f t="shared" si="3"/>
        <v>7155.0630346270818</v>
      </c>
      <c r="F27" s="902"/>
    </row>
    <row r="28" spans="1:6">
      <c r="A28" s="861" t="s">
        <v>158</v>
      </c>
      <c r="B28" s="206">
        <v>24782.30617124381</v>
      </c>
      <c r="C28" s="206">
        <v>12808.623812931179</v>
      </c>
      <c r="D28" s="206">
        <v>6381.3803185481347</v>
      </c>
      <c r="E28" s="206">
        <v>6427.2434943821254</v>
      </c>
      <c r="F28" s="902"/>
    </row>
    <row r="29" spans="1:6">
      <c r="A29" s="861" t="s">
        <v>159</v>
      </c>
      <c r="B29" s="206">
        <v>3231.467561663198</v>
      </c>
      <c r="C29" s="206">
        <v>1436.1041054997465</v>
      </c>
      <c r="D29" s="206">
        <v>708.2845652547835</v>
      </c>
      <c r="E29" s="206">
        <v>727.81954024495667</v>
      </c>
      <c r="F29" s="902"/>
    </row>
    <row r="30" spans="1:6">
      <c r="A30" s="209" t="s">
        <v>160</v>
      </c>
      <c r="B30" s="207">
        <v>7225.595572019055</v>
      </c>
      <c r="C30" s="207">
        <v>3187.9699808550035</v>
      </c>
      <c r="D30" s="207">
        <v>1627.519665089445</v>
      </c>
      <c r="E30" s="207">
        <v>1560.4503157655427</v>
      </c>
      <c r="F30" s="902"/>
    </row>
    <row r="31" spans="1:6">
      <c r="A31" s="861" t="s">
        <v>160</v>
      </c>
      <c r="B31" s="206">
        <v>7225.595572019055</v>
      </c>
      <c r="C31" s="206">
        <v>3187.9699808550035</v>
      </c>
      <c r="D31" s="206">
        <v>1627.519665089445</v>
      </c>
      <c r="E31" s="206">
        <v>1560.4503157655427</v>
      </c>
      <c r="F31" s="902"/>
    </row>
    <row r="32" spans="1:6">
      <c r="A32" s="209" t="s">
        <v>161</v>
      </c>
      <c r="B32" s="207">
        <f>+B33+B34</f>
        <v>31419.257342679906</v>
      </c>
      <c r="C32" s="207">
        <f t="shared" ref="C32:E32" si="4">+C33+C34</f>
        <v>13290.856665934203</v>
      </c>
      <c r="D32" s="207">
        <f t="shared" si="4"/>
        <v>6731.5100316331009</v>
      </c>
      <c r="E32" s="207">
        <f t="shared" si="4"/>
        <v>6559.3466343003283</v>
      </c>
      <c r="F32" s="902"/>
    </row>
    <row r="33" spans="1:6">
      <c r="A33" s="861" t="s">
        <v>161</v>
      </c>
      <c r="B33" s="206">
        <v>25793.116447531542</v>
      </c>
      <c r="C33" s="206">
        <v>12383.497961491186</v>
      </c>
      <c r="D33" s="206">
        <v>6274.4229688841251</v>
      </c>
      <c r="E33" s="206">
        <v>6109.0749926062863</v>
      </c>
      <c r="F33" s="902"/>
    </row>
    <row r="34" spans="1:6">
      <c r="A34" s="861" t="s">
        <v>162</v>
      </c>
      <c r="B34" s="206">
        <v>5626.1408951483645</v>
      </c>
      <c r="C34" s="206">
        <v>907.35870444301611</v>
      </c>
      <c r="D34" s="206">
        <v>457.08706274897543</v>
      </c>
      <c r="E34" s="206">
        <v>450.27164169404239</v>
      </c>
      <c r="F34" s="902"/>
    </row>
    <row r="35" spans="1:6">
      <c r="A35" s="209" t="s">
        <v>163</v>
      </c>
      <c r="B35" s="207">
        <f>+B36+B37</f>
        <v>22193.482943585652</v>
      </c>
      <c r="C35" s="207">
        <f t="shared" ref="C35:E35" si="5">+C36+C37</f>
        <v>8766.279392372222</v>
      </c>
      <c r="D35" s="207">
        <f t="shared" si="5"/>
        <v>4399.6298756618971</v>
      </c>
      <c r="E35" s="207">
        <f t="shared" si="5"/>
        <v>4366.6495167104276</v>
      </c>
      <c r="F35" s="902"/>
    </row>
    <row r="36" spans="1:6">
      <c r="A36" s="861" t="s">
        <v>163</v>
      </c>
      <c r="B36" s="206">
        <v>15803.094424051522</v>
      </c>
      <c r="C36" s="206">
        <v>6486.8629382485333</v>
      </c>
      <c r="D36" s="206">
        <v>3262.6144522510822</v>
      </c>
      <c r="E36" s="206">
        <v>3224.2484859975743</v>
      </c>
      <c r="F36" s="902"/>
    </row>
    <row r="37" spans="1:6">
      <c r="A37" s="862" t="s">
        <v>164</v>
      </c>
      <c r="B37" s="208">
        <v>6390.3885195341309</v>
      </c>
      <c r="C37" s="208">
        <v>2279.4164541236892</v>
      </c>
      <c r="D37" s="208">
        <v>1137.0154234108147</v>
      </c>
      <c r="E37" s="208">
        <v>1142.4010307128535</v>
      </c>
      <c r="F37" s="902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workbookViewId="0">
      <selection activeCell="A8" sqref="A8:A9"/>
    </sheetView>
  </sheetViews>
  <sheetFormatPr defaultRowHeight="15"/>
  <cols>
    <col min="1" max="1" width="17.7109375" style="26" customWidth="1"/>
    <col min="2" max="2" width="13" style="26" customWidth="1"/>
    <col min="3" max="3" width="12.42578125" style="26" customWidth="1"/>
    <col min="4" max="4" width="11.85546875" style="26" customWidth="1"/>
    <col min="5" max="5" width="11.42578125" style="26" customWidth="1"/>
    <col min="6" max="16384" width="9.140625" style="26"/>
  </cols>
  <sheetData>
    <row r="1" spans="1:5" ht="22.5" customHeight="1">
      <c r="A1" s="961" t="s">
        <v>182</v>
      </c>
      <c r="B1" s="961"/>
      <c r="C1" s="961"/>
      <c r="D1" s="961"/>
      <c r="E1" s="961"/>
    </row>
    <row r="2" spans="1:5">
      <c r="A2" s="962" t="s">
        <v>183</v>
      </c>
      <c r="B2" s="958" t="s">
        <v>180</v>
      </c>
      <c r="C2" s="966" t="s">
        <v>181</v>
      </c>
      <c r="D2" s="966"/>
      <c r="E2" s="966"/>
    </row>
    <row r="3" spans="1:5">
      <c r="A3" s="963"/>
      <c r="B3" s="965"/>
      <c r="C3" s="965" t="s">
        <v>0</v>
      </c>
      <c r="D3" s="965" t="s">
        <v>1</v>
      </c>
      <c r="E3" s="965" t="s">
        <v>2</v>
      </c>
    </row>
    <row r="4" spans="1:5">
      <c r="A4" s="964"/>
      <c r="B4" s="959"/>
      <c r="C4" s="959"/>
      <c r="D4" s="959"/>
      <c r="E4" s="959"/>
    </row>
    <row r="5" spans="1:5">
      <c r="A5" s="219" t="s">
        <v>147</v>
      </c>
      <c r="B5" s="220">
        <v>570447.17662695551</v>
      </c>
      <c r="C5" s="220">
        <v>369429.88532739918</v>
      </c>
      <c r="D5" s="220">
        <v>179609.56465853276</v>
      </c>
      <c r="E5" s="220">
        <v>189820.32066868554</v>
      </c>
    </row>
    <row r="6" spans="1:5">
      <c r="A6" s="214"/>
      <c r="B6" s="215"/>
      <c r="C6" s="215"/>
      <c r="D6" s="215"/>
      <c r="E6" s="215"/>
    </row>
    <row r="7" spans="1:5" ht="18.75" customHeight="1">
      <c r="A7" s="221" t="s">
        <v>3</v>
      </c>
      <c r="B7" s="222"/>
      <c r="C7" s="222"/>
      <c r="D7" s="222"/>
      <c r="E7" s="222"/>
    </row>
    <row r="8" spans="1:5">
      <c r="A8" s="921" t="s">
        <v>4</v>
      </c>
      <c r="B8" s="215">
        <v>391855.92340030614</v>
      </c>
      <c r="C8" s="215">
        <v>282597.76734607189</v>
      </c>
      <c r="D8" s="215">
        <v>136129.02661861098</v>
      </c>
      <c r="E8" s="215">
        <v>146468.74072765221</v>
      </c>
    </row>
    <row r="9" spans="1:5">
      <c r="A9" s="921" t="s">
        <v>5</v>
      </c>
      <c r="B9" s="215">
        <v>178591.25322581443</v>
      </c>
      <c r="C9" s="215">
        <v>86832.117981178744</v>
      </c>
      <c r="D9" s="215">
        <v>43480.538040055464</v>
      </c>
      <c r="E9" s="215">
        <v>43351.579941152908</v>
      </c>
    </row>
    <row r="10" spans="1:5" ht="15" customHeight="1">
      <c r="A10" s="221" t="s">
        <v>184</v>
      </c>
      <c r="B10" s="222"/>
      <c r="C10" s="222"/>
      <c r="D10" s="222"/>
      <c r="E10" s="222"/>
    </row>
    <row r="11" spans="1:5">
      <c r="A11" s="216" t="s">
        <v>105</v>
      </c>
      <c r="B11" s="215">
        <v>88520.605997207575</v>
      </c>
      <c r="C11" s="215">
        <v>39887.536393481088</v>
      </c>
      <c r="D11" s="215">
        <v>19920.75719773427</v>
      </c>
      <c r="E11" s="215">
        <v>19966.779195744984</v>
      </c>
    </row>
    <row r="12" spans="1:5">
      <c r="A12" s="216" t="s">
        <v>106</v>
      </c>
      <c r="B12" s="215">
        <v>77358.652393984274</v>
      </c>
      <c r="C12" s="215">
        <v>46426.965761297157</v>
      </c>
      <c r="D12" s="215">
        <v>22871.626061968556</v>
      </c>
      <c r="E12" s="215">
        <v>23555.339699365653</v>
      </c>
    </row>
    <row r="13" spans="1:5">
      <c r="A13" s="216" t="s">
        <v>107</v>
      </c>
      <c r="B13" s="215">
        <v>74833.862504033561</v>
      </c>
      <c r="C13" s="215">
        <v>47339.475938799216</v>
      </c>
      <c r="D13" s="215">
        <v>23135.210380104032</v>
      </c>
      <c r="E13" s="215">
        <v>24204.265558734718</v>
      </c>
    </row>
    <row r="14" spans="1:5">
      <c r="A14" s="216" t="s">
        <v>108</v>
      </c>
      <c r="B14" s="215">
        <v>68151.590011647597</v>
      </c>
      <c r="C14" s="215">
        <v>45342.311998125006</v>
      </c>
      <c r="D14" s="215">
        <v>21555.239525707351</v>
      </c>
      <c r="E14" s="215">
        <v>23787.072472412285</v>
      </c>
    </row>
    <row r="15" spans="1:5">
      <c r="A15" s="216" t="s">
        <v>109</v>
      </c>
      <c r="B15" s="215">
        <v>57676.075597855015</v>
      </c>
      <c r="C15" s="215">
        <v>39247.486088489495</v>
      </c>
      <c r="D15" s="215">
        <v>18239.615323368398</v>
      </c>
      <c r="E15" s="215">
        <v>21007.870765120511</v>
      </c>
    </row>
    <row r="16" spans="1:5">
      <c r="A16" s="216" t="s">
        <v>110</v>
      </c>
      <c r="B16" s="215">
        <v>47321.444247700361</v>
      </c>
      <c r="C16" s="215">
        <v>34064.400209260508</v>
      </c>
      <c r="D16" s="215">
        <v>16019.529276022186</v>
      </c>
      <c r="E16" s="215">
        <v>18044.870933250349</v>
      </c>
    </row>
    <row r="17" spans="1:5">
      <c r="A17" s="216" t="s">
        <v>111</v>
      </c>
      <c r="B17" s="215">
        <v>39678.401975059925</v>
      </c>
      <c r="C17" s="215">
        <v>29348.459592469873</v>
      </c>
      <c r="D17" s="215">
        <v>14407.399394001437</v>
      </c>
      <c r="E17" s="215">
        <v>14941.060198464544</v>
      </c>
    </row>
    <row r="18" spans="1:5">
      <c r="A18" s="216" t="s">
        <v>112</v>
      </c>
      <c r="B18" s="215">
        <v>28947.492825873269</v>
      </c>
      <c r="C18" s="215">
        <v>22037.306571325313</v>
      </c>
      <c r="D18" s="215">
        <v>10831.872004098623</v>
      </c>
      <c r="E18" s="215">
        <v>11205.434567222797</v>
      </c>
    </row>
    <row r="19" spans="1:5">
      <c r="A19" s="216" t="s">
        <v>113</v>
      </c>
      <c r="B19" s="215">
        <v>20505.555829866342</v>
      </c>
      <c r="C19" s="215">
        <v>15520.875450881216</v>
      </c>
      <c r="D19" s="215">
        <v>7854.9101110938291</v>
      </c>
      <c r="E19" s="215">
        <v>7665.9653397840375</v>
      </c>
    </row>
    <row r="20" spans="1:5">
      <c r="A20" s="216" t="s">
        <v>114</v>
      </c>
      <c r="B20" s="215">
        <v>17433.015874855428</v>
      </c>
      <c r="C20" s="215">
        <v>13334.54413880743</v>
      </c>
      <c r="D20" s="215">
        <v>6547.6448287496933</v>
      </c>
      <c r="E20" s="215">
        <v>6786.8993100597299</v>
      </c>
    </row>
    <row r="21" spans="1:5">
      <c r="A21" s="216" t="s">
        <v>115</v>
      </c>
      <c r="B21" s="215">
        <v>13286.410101147454</v>
      </c>
      <c r="C21" s="215">
        <v>10081.249475789022</v>
      </c>
      <c r="D21" s="215">
        <v>5180.0718764094836</v>
      </c>
      <c r="E21" s="215">
        <v>4901.1775993794408</v>
      </c>
    </row>
    <row r="22" spans="1:5">
      <c r="A22" s="216" t="s">
        <v>116</v>
      </c>
      <c r="B22" s="215">
        <v>9791.0295428391637</v>
      </c>
      <c r="C22" s="215">
        <v>7340.4407431498148</v>
      </c>
      <c r="D22" s="215">
        <v>3683.669587979387</v>
      </c>
      <c r="E22" s="215">
        <v>3656.7711551693915</v>
      </c>
    </row>
    <row r="23" spans="1:5">
      <c r="A23" s="216" t="s">
        <v>117</v>
      </c>
      <c r="B23" s="215">
        <v>9228.9938678094386</v>
      </c>
      <c r="C23" s="215">
        <v>6915.7286461497497</v>
      </c>
      <c r="D23" s="215">
        <v>3331.1585474694461</v>
      </c>
      <c r="E23" s="215">
        <v>3584.5700986794036</v>
      </c>
    </row>
    <row r="24" spans="1:5">
      <c r="A24" s="217" t="s">
        <v>136</v>
      </c>
      <c r="B24" s="218">
        <v>17714.045856792225</v>
      </c>
      <c r="C24" s="218">
        <v>12543.104319691054</v>
      </c>
      <c r="D24" s="218">
        <v>6030.8605440987239</v>
      </c>
      <c r="E24" s="218">
        <v>6512.2437755912915</v>
      </c>
    </row>
  </sheetData>
  <mergeCells count="7">
    <mergeCell ref="A1:E1"/>
    <mergeCell ref="A2:A4"/>
    <mergeCell ref="B2:B4"/>
    <mergeCell ref="C2:E2"/>
    <mergeCell ref="C3:C4"/>
    <mergeCell ref="D3:D4"/>
    <mergeCell ref="E3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"/>
  <sheetViews>
    <sheetView workbookViewId="0">
      <selection activeCell="D12" sqref="D12"/>
    </sheetView>
  </sheetViews>
  <sheetFormatPr defaultRowHeight="15"/>
  <cols>
    <col min="1" max="1" width="18.28515625" style="26" customWidth="1"/>
    <col min="2" max="2" width="14" style="26" customWidth="1"/>
    <col min="3" max="3" width="11.85546875" style="26" customWidth="1"/>
    <col min="4" max="4" width="12.5703125" style="26" customWidth="1"/>
    <col min="5" max="5" width="13.5703125" style="26" customWidth="1"/>
    <col min="6" max="16384" width="9.140625" style="26"/>
  </cols>
  <sheetData>
    <row r="1" spans="1:5" ht="31.5" customHeight="1">
      <c r="A1" s="967" t="s">
        <v>185</v>
      </c>
      <c r="B1" s="967"/>
      <c r="C1" s="967"/>
      <c r="D1" s="967"/>
      <c r="E1" s="967"/>
    </row>
    <row r="2" spans="1:5">
      <c r="A2" s="968" t="s">
        <v>183</v>
      </c>
      <c r="B2" s="970" t="s">
        <v>186</v>
      </c>
      <c r="C2" s="972" t="s">
        <v>187</v>
      </c>
      <c r="D2" s="972"/>
      <c r="E2" s="972"/>
    </row>
    <row r="3" spans="1:5">
      <c r="A3" s="969"/>
      <c r="B3" s="971"/>
      <c r="C3" s="204" t="s">
        <v>0</v>
      </c>
      <c r="D3" s="204" t="s">
        <v>1</v>
      </c>
      <c r="E3" s="204" t="s">
        <v>2</v>
      </c>
    </row>
    <row r="4" spans="1:5">
      <c r="A4" s="199" t="s">
        <v>147</v>
      </c>
      <c r="B4" s="210">
        <v>481926.57062953117</v>
      </c>
      <c r="C4" s="210">
        <v>286855.46441219433</v>
      </c>
      <c r="D4" s="210">
        <v>138896.3719850131</v>
      </c>
      <c r="E4" s="210">
        <v>147959.09242726499</v>
      </c>
    </row>
    <row r="5" spans="1:5">
      <c r="A5" s="223"/>
      <c r="B5" s="206"/>
      <c r="C5" s="206"/>
      <c r="D5" s="206"/>
      <c r="E5" s="206"/>
    </row>
    <row r="6" spans="1:5" ht="16.5" customHeight="1">
      <c r="A6" s="211" t="s">
        <v>3</v>
      </c>
      <c r="B6" s="212"/>
      <c r="C6" s="212"/>
      <c r="D6" s="212"/>
      <c r="E6" s="212"/>
    </row>
    <row r="7" spans="1:5">
      <c r="A7" s="920" t="s">
        <v>4</v>
      </c>
      <c r="B7" s="206">
        <v>332135.61304063356</v>
      </c>
      <c r="C7" s="206">
        <v>222720.28421159647</v>
      </c>
      <c r="D7" s="206">
        <v>106648.04655583932</v>
      </c>
      <c r="E7" s="206">
        <v>116072.23765592116</v>
      </c>
    </row>
    <row r="8" spans="1:5">
      <c r="A8" s="920" t="s">
        <v>5</v>
      </c>
      <c r="B8" s="206">
        <v>149790.95758842072</v>
      </c>
      <c r="C8" s="206">
        <v>64135.180200641327</v>
      </c>
      <c r="D8" s="206">
        <v>32248.325429233748</v>
      </c>
      <c r="E8" s="206">
        <v>31886.85477141392</v>
      </c>
    </row>
    <row r="9" spans="1:5" ht="13.5" customHeight="1">
      <c r="A9" s="211" t="s">
        <v>184</v>
      </c>
      <c r="B9" s="212"/>
      <c r="C9" s="212"/>
      <c r="D9" s="212"/>
      <c r="E9" s="212"/>
    </row>
    <row r="10" spans="1:5">
      <c r="A10" s="224" t="s">
        <v>106</v>
      </c>
      <c r="B10" s="206">
        <v>77358.652393984274</v>
      </c>
      <c r="C10" s="206">
        <v>26840.108740089476</v>
      </c>
      <c r="D10" s="206">
        <v>13167.173983610151</v>
      </c>
      <c r="E10" s="206">
        <v>13672.934756479237</v>
      </c>
    </row>
    <row r="11" spans="1:5">
      <c r="A11" s="224" t="s">
        <v>107</v>
      </c>
      <c r="B11" s="206">
        <v>74833.862504033561</v>
      </c>
      <c r="C11" s="206">
        <v>36254.216671050592</v>
      </c>
      <c r="D11" s="206">
        <v>17670.853246777722</v>
      </c>
      <c r="E11" s="206">
        <v>18583.363424282263</v>
      </c>
    </row>
    <row r="12" spans="1:5">
      <c r="A12" s="224" t="s">
        <v>108</v>
      </c>
      <c r="B12" s="206">
        <v>68151.590011647597</v>
      </c>
      <c r="C12" s="206">
        <v>40793.858333455515</v>
      </c>
      <c r="D12" s="206">
        <v>19298.790774443172</v>
      </c>
      <c r="E12" s="206">
        <v>21495.067559006973</v>
      </c>
    </row>
    <row r="13" spans="1:5">
      <c r="A13" s="224" t="s">
        <v>109</v>
      </c>
      <c r="B13" s="206">
        <v>57676.075597855015</v>
      </c>
      <c r="C13" s="206">
        <v>36935.076774711575</v>
      </c>
      <c r="D13" s="206">
        <v>17146.161636631503</v>
      </c>
      <c r="E13" s="206">
        <v>19788.915138085318</v>
      </c>
    </row>
    <row r="14" spans="1:5">
      <c r="A14" s="224" t="s">
        <v>110</v>
      </c>
      <c r="B14" s="206">
        <v>47321.444247700361</v>
      </c>
      <c r="C14" s="206">
        <v>32642.044885876527</v>
      </c>
      <c r="D14" s="206">
        <v>15380.479166226598</v>
      </c>
      <c r="E14" s="206">
        <v>17261.565719664421</v>
      </c>
    </row>
    <row r="15" spans="1:5">
      <c r="A15" s="224" t="s">
        <v>111</v>
      </c>
      <c r="B15" s="206">
        <v>39678.401975059925</v>
      </c>
      <c r="C15" s="206">
        <v>28211.906311613311</v>
      </c>
      <c r="D15" s="206">
        <v>13869.411610042684</v>
      </c>
      <c r="E15" s="206">
        <v>14342.494701566735</v>
      </c>
    </row>
    <row r="16" spans="1:5">
      <c r="A16" s="224" t="s">
        <v>112</v>
      </c>
      <c r="B16" s="206">
        <v>28947.492825873269</v>
      </c>
      <c r="C16" s="206">
        <v>21304.604710062453</v>
      </c>
      <c r="D16" s="206">
        <v>10514.560174417857</v>
      </c>
      <c r="E16" s="206">
        <v>10790.044535640704</v>
      </c>
    </row>
    <row r="17" spans="1:5">
      <c r="A17" s="224" t="s">
        <v>113</v>
      </c>
      <c r="B17" s="206">
        <v>20505.555829866342</v>
      </c>
      <c r="C17" s="206">
        <v>15046.350032858616</v>
      </c>
      <c r="D17" s="206">
        <v>7642.8881158072691</v>
      </c>
      <c r="E17" s="206">
        <v>7403.4619170482965</v>
      </c>
    </row>
    <row r="18" spans="1:5">
      <c r="A18" s="224" t="s">
        <v>114</v>
      </c>
      <c r="B18" s="206">
        <v>17433.015874855428</v>
      </c>
      <c r="C18" s="206">
        <v>12953.718958497617</v>
      </c>
      <c r="D18" s="206">
        <v>6372.0971619896663</v>
      </c>
      <c r="E18" s="206">
        <v>6581.6217965096985</v>
      </c>
    </row>
    <row r="19" spans="1:5">
      <c r="A19" s="224" t="s">
        <v>115</v>
      </c>
      <c r="B19" s="206">
        <v>13286.410101147454</v>
      </c>
      <c r="C19" s="206">
        <v>9834.9164595291422</v>
      </c>
      <c r="D19" s="206">
        <v>5075.3095591494675</v>
      </c>
      <c r="E19" s="206">
        <v>4759.6069003794191</v>
      </c>
    </row>
    <row r="20" spans="1:5">
      <c r="A20" s="224" t="s">
        <v>116</v>
      </c>
      <c r="B20" s="206">
        <v>9791.0295428391637</v>
      </c>
      <c r="C20" s="206">
        <v>7133.7475226097831</v>
      </c>
      <c r="D20" s="206">
        <v>3598.7271685794012</v>
      </c>
      <c r="E20" s="206">
        <v>3535.0203540294119</v>
      </c>
    </row>
    <row r="21" spans="1:5">
      <c r="A21" s="224" t="s">
        <v>117</v>
      </c>
      <c r="B21" s="206">
        <v>9228.9938678094386</v>
      </c>
      <c r="C21" s="206">
        <v>6721.77678851972</v>
      </c>
      <c r="D21" s="206">
        <v>3249.0475420494599</v>
      </c>
      <c r="E21" s="206">
        <v>3472.7292464694224</v>
      </c>
    </row>
    <row r="22" spans="1:5">
      <c r="A22" s="225" t="s">
        <v>136</v>
      </c>
      <c r="B22" s="208">
        <v>17714.045856792225</v>
      </c>
      <c r="C22" s="208">
        <v>12183.138223738155</v>
      </c>
      <c r="D22" s="208">
        <v>5910.8718454477576</v>
      </c>
      <c r="E22" s="208">
        <v>6272.2663782893587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7"/>
  <sheetViews>
    <sheetView workbookViewId="0">
      <selection activeCell="D13" sqref="D13"/>
    </sheetView>
  </sheetViews>
  <sheetFormatPr defaultRowHeight="15"/>
  <cols>
    <col min="1" max="1" width="24.42578125" style="26" customWidth="1"/>
    <col min="2" max="2" width="14.7109375" style="26" customWidth="1"/>
    <col min="3" max="3" width="14.85546875" style="26" customWidth="1"/>
    <col min="4" max="4" width="15.140625" style="26" customWidth="1"/>
    <col min="5" max="5" width="11.28515625" style="26" customWidth="1"/>
    <col min="6" max="16384" width="9.140625" style="26"/>
  </cols>
  <sheetData>
    <row r="1" spans="1:5" ht="27.75" customHeight="1">
      <c r="A1" s="973" t="s">
        <v>188</v>
      </c>
      <c r="B1" s="973"/>
      <c r="C1" s="973"/>
      <c r="D1" s="973"/>
      <c r="E1" s="973"/>
    </row>
    <row r="2" spans="1:5">
      <c r="A2" s="974" t="s">
        <v>189</v>
      </c>
      <c r="B2" s="976" t="s">
        <v>195</v>
      </c>
      <c r="C2" s="978" t="s">
        <v>191</v>
      </c>
      <c r="D2" s="978"/>
      <c r="E2" s="978"/>
    </row>
    <row r="3" spans="1:5" ht="24">
      <c r="A3" s="975"/>
      <c r="B3" s="977"/>
      <c r="C3" s="226" t="s">
        <v>194</v>
      </c>
      <c r="D3" s="226" t="s">
        <v>193</v>
      </c>
      <c r="E3" s="226" t="s">
        <v>192</v>
      </c>
    </row>
    <row r="4" spans="1:5">
      <c r="A4" s="232" t="s">
        <v>147</v>
      </c>
      <c r="B4" s="233">
        <v>481926.57062953099</v>
      </c>
      <c r="C4" s="233">
        <v>286855.46441219433</v>
      </c>
      <c r="D4" s="234">
        <v>138896.3719850131</v>
      </c>
      <c r="E4" s="234">
        <v>147959.09242726499</v>
      </c>
    </row>
    <row r="5" spans="1:5">
      <c r="A5" s="227"/>
      <c r="B5" s="228"/>
      <c r="C5" s="228"/>
      <c r="D5" s="228"/>
      <c r="E5" s="228"/>
    </row>
    <row r="6" spans="1:5" ht="17.25" customHeight="1">
      <c r="A6" s="211" t="s">
        <v>3</v>
      </c>
      <c r="B6" s="235"/>
      <c r="C6" s="235"/>
      <c r="D6" s="235"/>
      <c r="E6" s="235"/>
    </row>
    <row r="7" spans="1:5">
      <c r="A7" s="863" t="s">
        <v>4</v>
      </c>
      <c r="B7" s="228">
        <v>332135.61304063356</v>
      </c>
      <c r="C7" s="228">
        <v>222720.28421159647</v>
      </c>
      <c r="D7" s="228">
        <v>106648.04655583932</v>
      </c>
      <c r="E7" s="228">
        <v>116072.23765592116</v>
      </c>
    </row>
    <row r="8" spans="1:5">
      <c r="A8" s="863" t="s">
        <v>5</v>
      </c>
      <c r="B8" s="228">
        <v>149790.95758842072</v>
      </c>
      <c r="C8" s="228">
        <v>64135.180200641327</v>
      </c>
      <c r="D8" s="228">
        <v>32248.325429233748</v>
      </c>
      <c r="E8" s="228">
        <v>31886.85477141392</v>
      </c>
    </row>
    <row r="9" spans="1:5" ht="15.75" customHeight="1">
      <c r="A9" s="211" t="s">
        <v>177</v>
      </c>
      <c r="B9" s="235"/>
      <c r="C9" s="235"/>
      <c r="D9" s="235"/>
      <c r="E9" s="235"/>
    </row>
    <row r="10" spans="1:5">
      <c r="A10" s="231" t="s">
        <v>148</v>
      </c>
      <c r="B10" s="229">
        <v>325717.95946770429</v>
      </c>
      <c r="C10" s="229">
        <v>214646.96941920434</v>
      </c>
      <c r="D10" s="229">
        <v>102921.31200326807</v>
      </c>
      <c r="E10" s="229">
        <v>111725.65741609466</v>
      </c>
    </row>
    <row r="11" spans="1:5">
      <c r="A11" s="863" t="s">
        <v>148</v>
      </c>
      <c r="B11" s="228">
        <v>325717.95946770429</v>
      </c>
      <c r="C11" s="228">
        <v>214646.96941920434</v>
      </c>
      <c r="D11" s="228">
        <v>102921.31200326807</v>
      </c>
      <c r="E11" s="228">
        <v>111725.65741609466</v>
      </c>
    </row>
    <row r="12" spans="1:5">
      <c r="A12" s="231" t="s">
        <v>149</v>
      </c>
      <c r="B12" s="229">
        <v>25350.232475261317</v>
      </c>
      <c r="C12" s="229">
        <v>10846.101205609591</v>
      </c>
      <c r="D12" s="229">
        <v>5386.9988543531272</v>
      </c>
      <c r="E12" s="229">
        <v>5459.1023512558777</v>
      </c>
    </row>
    <row r="13" spans="1:5">
      <c r="A13" s="863" t="s">
        <v>149</v>
      </c>
      <c r="B13" s="228">
        <v>25350.232475261317</v>
      </c>
      <c r="C13" s="228">
        <v>10846.101205609591</v>
      </c>
      <c r="D13" s="228">
        <v>5386.9988543531272</v>
      </c>
      <c r="E13" s="228">
        <v>5459.1023512558777</v>
      </c>
    </row>
    <row r="14" spans="1:5">
      <c r="A14" s="231" t="s">
        <v>150</v>
      </c>
      <c r="B14" s="229">
        <v>10573.259985163337</v>
      </c>
      <c r="C14" s="229">
        <v>5205.0617030237163</v>
      </c>
      <c r="D14" s="229">
        <v>2575.9199164729926</v>
      </c>
      <c r="E14" s="229">
        <v>2629.1417865507747</v>
      </c>
    </row>
    <row r="15" spans="1:5">
      <c r="A15" s="863" t="s">
        <v>150</v>
      </c>
      <c r="B15" s="228">
        <v>10573.259985163337</v>
      </c>
      <c r="C15" s="228">
        <v>5205.0617030237163</v>
      </c>
      <c r="D15" s="228">
        <v>2575.9199164729926</v>
      </c>
      <c r="E15" s="228">
        <v>2629.1417865507747</v>
      </c>
    </row>
    <row r="16" spans="1:5">
      <c r="A16" s="231" t="s">
        <v>151</v>
      </c>
      <c r="B16" s="229">
        <v>23356.945285687892</v>
      </c>
      <c r="C16" s="229">
        <v>14697.303323124346</v>
      </c>
      <c r="D16" s="229">
        <v>7124.680483244756</v>
      </c>
      <c r="E16" s="229">
        <v>7572.622839878024</v>
      </c>
    </row>
    <row r="17" spans="1:5">
      <c r="A17" s="863" t="s">
        <v>151</v>
      </c>
      <c r="B17" s="228">
        <v>23356.945285687892</v>
      </c>
      <c r="C17" s="228">
        <v>14697.303323124346</v>
      </c>
      <c r="D17" s="228">
        <v>7124.680483244756</v>
      </c>
      <c r="E17" s="228">
        <v>7572.622839878024</v>
      </c>
    </row>
    <row r="18" spans="1:5">
      <c r="A18" s="231" t="s">
        <v>152</v>
      </c>
      <c r="B18" s="229">
        <f>+B19+B20</f>
        <v>7146.8069100096272</v>
      </c>
      <c r="C18" s="229">
        <f t="shared" ref="C18:E18" si="0">+C19+C20</f>
        <v>4833.6107827930837</v>
      </c>
      <c r="D18" s="229">
        <f t="shared" si="0"/>
        <v>2447.3605344861244</v>
      </c>
      <c r="E18" s="229">
        <f t="shared" si="0"/>
        <v>2386.250248306967</v>
      </c>
    </row>
    <row r="19" spans="1:5">
      <c r="A19" s="863" t="s">
        <v>152</v>
      </c>
      <c r="B19" s="228">
        <v>5248.0691235278455</v>
      </c>
      <c r="C19" s="228">
        <v>3246.6192496812246</v>
      </c>
      <c r="D19" s="228">
        <v>1596.7452700882918</v>
      </c>
      <c r="E19" s="228">
        <v>1649.8739795929605</v>
      </c>
    </row>
    <row r="20" spans="1:5">
      <c r="A20" s="863" t="s">
        <v>153</v>
      </c>
      <c r="B20" s="228">
        <v>1898.737786481782</v>
      </c>
      <c r="C20" s="228">
        <v>1586.9915331118593</v>
      </c>
      <c r="D20" s="228">
        <v>850.61526439783233</v>
      </c>
      <c r="E20" s="228">
        <v>736.37626871400653</v>
      </c>
    </row>
    <row r="21" spans="1:5">
      <c r="A21" s="231" t="s">
        <v>154</v>
      </c>
      <c r="B21" s="228">
        <f>+B22+B23</f>
        <v>1970.5100969044649</v>
      </c>
      <c r="C21" s="228">
        <f t="shared" ref="C21:E21" si="1">+C22+C23</f>
        <v>918.56961304378683</v>
      </c>
      <c r="D21" s="228">
        <f t="shared" si="1"/>
        <v>497.46097887068584</v>
      </c>
      <c r="E21" s="228">
        <f t="shared" si="1"/>
        <v>421.10863417310156</v>
      </c>
    </row>
    <row r="22" spans="1:5">
      <c r="A22" s="863" t="s">
        <v>154</v>
      </c>
      <c r="B22" s="228">
        <v>1340.5131935752731</v>
      </c>
      <c r="C22" s="228">
        <v>448.08746475090322</v>
      </c>
      <c r="D22" s="228">
        <v>240.01316096266225</v>
      </c>
      <c r="E22" s="228">
        <v>208.07430378824174</v>
      </c>
    </row>
    <row r="23" spans="1:5">
      <c r="A23" s="863" t="s">
        <v>155</v>
      </c>
      <c r="B23" s="228">
        <v>629.99690332919181</v>
      </c>
      <c r="C23" s="228">
        <v>470.48214829288355</v>
      </c>
      <c r="D23" s="228">
        <v>257.44781790802358</v>
      </c>
      <c r="E23" s="228">
        <v>213.03433038485986</v>
      </c>
    </row>
    <row r="24" spans="1:5">
      <c r="A24" s="231" t="s">
        <v>156</v>
      </c>
      <c r="B24" s="229">
        <f>+B25+B26</f>
        <v>14185.26021802333</v>
      </c>
      <c r="C24" s="229">
        <f t="shared" ref="C24:E24" si="2">+C25+C26</f>
        <v>7186.125848464324</v>
      </c>
      <c r="D24" s="229">
        <f t="shared" si="2"/>
        <v>3512.2823240031257</v>
      </c>
      <c r="E24" s="229">
        <f t="shared" si="2"/>
        <v>3673.843524461282</v>
      </c>
    </row>
    <row r="25" spans="1:5">
      <c r="A25" s="863" t="s">
        <v>156</v>
      </c>
      <c r="B25" s="228">
        <v>7811.541551486901</v>
      </c>
      <c r="C25" s="228">
        <v>3429.4030912569565</v>
      </c>
      <c r="D25" s="228">
        <v>1723.1194583843901</v>
      </c>
      <c r="E25" s="228">
        <v>1706.2836328726032</v>
      </c>
    </row>
    <row r="26" spans="1:5">
      <c r="A26" s="863" t="s">
        <v>157</v>
      </c>
      <c r="B26" s="228">
        <v>6373.7186665364297</v>
      </c>
      <c r="C26" s="228">
        <v>3756.7227572073671</v>
      </c>
      <c r="D26" s="228">
        <v>1789.1628656187354</v>
      </c>
      <c r="E26" s="228">
        <v>1967.5598915886787</v>
      </c>
    </row>
    <row r="27" spans="1:5">
      <c r="A27" s="231" t="s">
        <v>158</v>
      </c>
      <c r="B27" s="229">
        <f>+B28+B29</f>
        <v>23935.412556255142</v>
      </c>
      <c r="C27" s="229">
        <f t="shared" ref="C27:E27" si="3">+C28+C29</f>
        <v>9986.1338136082777</v>
      </c>
      <c r="D27" s="229">
        <f t="shared" si="3"/>
        <v>4968.2343481773878</v>
      </c>
      <c r="E27" s="229">
        <f t="shared" si="3"/>
        <v>5017.8994654308171</v>
      </c>
    </row>
    <row r="28" spans="1:5">
      <c r="A28" s="863" t="s">
        <v>158</v>
      </c>
      <c r="B28" s="228">
        <v>21276.512793371661</v>
      </c>
      <c r="C28" s="228">
        <v>8937.5402948019037</v>
      </c>
      <c r="D28" s="228">
        <v>4467.9189738103432</v>
      </c>
      <c r="E28" s="228">
        <v>4469.6213209914849</v>
      </c>
    </row>
    <row r="29" spans="1:5">
      <c r="A29" s="863" t="s">
        <v>159</v>
      </c>
      <c r="B29" s="228">
        <v>2658.8997628834818</v>
      </c>
      <c r="C29" s="228">
        <v>1048.593518806375</v>
      </c>
      <c r="D29" s="228">
        <v>500.3153743670444</v>
      </c>
      <c r="E29" s="228">
        <v>548.27814443933244</v>
      </c>
    </row>
    <row r="30" spans="1:5">
      <c r="A30" s="231" t="s">
        <v>160</v>
      </c>
      <c r="B30" s="229">
        <v>5804.3279863957778</v>
      </c>
      <c r="C30" s="229">
        <v>1841.8180490134446</v>
      </c>
      <c r="D30" s="229">
        <v>949.46090471209993</v>
      </c>
      <c r="E30" s="229">
        <v>892.35714430132123</v>
      </c>
    </row>
    <row r="31" spans="1:5">
      <c r="A31" s="863" t="s">
        <v>160</v>
      </c>
      <c r="B31" s="228">
        <v>5804.3279863957778</v>
      </c>
      <c r="C31" s="228">
        <v>1841.8180490134446</v>
      </c>
      <c r="D31" s="228">
        <v>949.46090471209993</v>
      </c>
      <c r="E31" s="228">
        <v>892.35714430132123</v>
      </c>
    </row>
    <row r="32" spans="1:5">
      <c r="A32" s="231" t="s">
        <v>161</v>
      </c>
      <c r="B32" s="229">
        <f>+B33+B34</f>
        <v>25647.557356871199</v>
      </c>
      <c r="C32" s="229">
        <f t="shared" ref="C32:E32" si="4">+C33+C34</f>
        <v>9644.1054575944945</v>
      </c>
      <c r="D32" s="229">
        <f t="shared" si="4"/>
        <v>4957.0341739897221</v>
      </c>
      <c r="E32" s="229">
        <f t="shared" si="4"/>
        <v>4687.0712836045914</v>
      </c>
    </row>
    <row r="33" spans="1:5">
      <c r="A33" s="863" t="s">
        <v>161</v>
      </c>
      <c r="B33" s="228">
        <v>21089.397533205502</v>
      </c>
      <c r="C33" s="228">
        <v>8988.8911874635669</v>
      </c>
      <c r="D33" s="228">
        <v>4621.0414424367082</v>
      </c>
      <c r="E33" s="228">
        <v>4367.8497450266777</v>
      </c>
    </row>
    <row r="34" spans="1:5">
      <c r="A34" s="863" t="s">
        <v>162</v>
      </c>
      <c r="B34" s="228">
        <v>4558.1598236656982</v>
      </c>
      <c r="C34" s="228">
        <v>655.21427013092693</v>
      </c>
      <c r="D34" s="228">
        <v>335.99273155301387</v>
      </c>
      <c r="E34" s="228">
        <v>319.22153857791346</v>
      </c>
    </row>
    <row r="35" spans="1:5">
      <c r="A35" s="231" t="s">
        <v>163</v>
      </c>
      <c r="B35" s="229">
        <f>+B36+B37</f>
        <v>18238.298291022416</v>
      </c>
      <c r="C35" s="229">
        <f t="shared" ref="C35:E35" si="5">+C36+C37</f>
        <v>7049.6651967850712</v>
      </c>
      <c r="D35" s="229">
        <f t="shared" si="5"/>
        <v>3555.6274635006603</v>
      </c>
      <c r="E35" s="229">
        <f t="shared" si="5"/>
        <v>3494.03773328445</v>
      </c>
    </row>
    <row r="36" spans="1:5">
      <c r="A36" s="863" t="s">
        <v>163</v>
      </c>
      <c r="B36" s="228">
        <v>13087.796541422536</v>
      </c>
      <c r="C36" s="228">
        <v>5193.9559924625901</v>
      </c>
      <c r="D36" s="228">
        <v>2625.3846279945374</v>
      </c>
      <c r="E36" s="228">
        <v>2568.5713644681136</v>
      </c>
    </row>
    <row r="37" spans="1:5">
      <c r="A37" s="864" t="s">
        <v>164</v>
      </c>
      <c r="B37" s="230">
        <v>5150.5017495998782</v>
      </c>
      <c r="C37" s="230">
        <v>1855.7092043224809</v>
      </c>
      <c r="D37" s="230">
        <v>930.24283550612313</v>
      </c>
      <c r="E37" s="230">
        <v>925.46636881633617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046E-E487-481B-8EC1-19A6D09B779F}">
  <dimension ref="A1:F39"/>
  <sheetViews>
    <sheetView workbookViewId="0">
      <selection activeCell="F5" sqref="F5"/>
    </sheetView>
  </sheetViews>
  <sheetFormatPr defaultColWidth="9.140625" defaultRowHeight="15"/>
  <cols>
    <col min="1" max="1" width="22.5703125" style="5" customWidth="1"/>
    <col min="2" max="2" width="31.140625" style="5" customWidth="1"/>
    <col min="3" max="3" width="13.140625" style="5" customWidth="1"/>
    <col min="4" max="4" width="17.5703125" style="5" customWidth="1"/>
    <col min="5" max="16384" width="9.140625" style="5"/>
  </cols>
  <sheetData>
    <row r="1" spans="1:6">
      <c r="A1" s="980" t="s">
        <v>571</v>
      </c>
      <c r="B1" s="980"/>
      <c r="C1" s="980"/>
      <c r="D1" s="980"/>
      <c r="E1" s="922"/>
      <c r="F1" s="922"/>
    </row>
    <row r="2" spans="1:6">
      <c r="A2" s="981"/>
      <c r="B2" s="981"/>
      <c r="C2" s="981"/>
      <c r="D2" s="981"/>
    </row>
    <row r="3" spans="1:6">
      <c r="A3" s="982" t="s">
        <v>549</v>
      </c>
      <c r="B3" s="983" t="s">
        <v>550</v>
      </c>
      <c r="C3" s="984" t="s">
        <v>551</v>
      </c>
      <c r="D3" s="984"/>
      <c r="E3" s="923"/>
    </row>
    <row r="4" spans="1:6">
      <c r="A4" s="982"/>
      <c r="B4" s="983"/>
      <c r="C4" s="931" t="s">
        <v>552</v>
      </c>
      <c r="D4" s="932" t="s">
        <v>465</v>
      </c>
      <c r="E4" s="923"/>
    </row>
    <row r="5" spans="1:6">
      <c r="A5" s="979" t="s">
        <v>553</v>
      </c>
      <c r="B5" s="924" t="s">
        <v>554</v>
      </c>
      <c r="C5" s="925">
        <v>336819.83770039718</v>
      </c>
      <c r="D5" s="926">
        <v>98.525910450970528</v>
      </c>
    </row>
    <row r="6" spans="1:6">
      <c r="A6" s="979"/>
      <c r="B6" s="924" t="s">
        <v>555</v>
      </c>
      <c r="C6" s="925">
        <v>4442.2474476640937</v>
      </c>
      <c r="D6" s="926">
        <v>1.299437934587808</v>
      </c>
    </row>
    <row r="7" spans="1:6">
      <c r="A7" s="979"/>
      <c r="B7" s="924" t="s">
        <v>556</v>
      </c>
      <c r="C7" s="925">
        <v>490.187769018209</v>
      </c>
      <c r="D7" s="926">
        <v>0.14338881155037184</v>
      </c>
    </row>
    <row r="8" spans="1:6">
      <c r="A8" s="979"/>
      <c r="B8" s="924" t="s">
        <v>557</v>
      </c>
      <c r="C8" s="925">
        <v>106.87475155288483</v>
      </c>
      <c r="D8" s="926">
        <v>3.1262802906329039E-2</v>
      </c>
    </row>
    <row r="9" spans="1:6">
      <c r="A9" s="979"/>
      <c r="B9" s="927" t="s">
        <v>558</v>
      </c>
      <c r="C9" s="928">
        <v>341859.14766858099</v>
      </c>
      <c r="D9" s="929">
        <v>99.999999999518835</v>
      </c>
    </row>
    <row r="10" spans="1:6">
      <c r="A10" s="979" t="s">
        <v>559</v>
      </c>
      <c r="B10" s="924" t="s">
        <v>554</v>
      </c>
      <c r="C10" s="925">
        <v>339543.20896026626</v>
      </c>
      <c r="D10" s="926">
        <v>99.322545930360789</v>
      </c>
    </row>
    <row r="11" spans="1:6">
      <c r="A11" s="979"/>
      <c r="B11" s="924" t="s">
        <v>555</v>
      </c>
      <c r="C11" s="925">
        <v>2020.9258124296689</v>
      </c>
      <c r="D11" s="926">
        <v>0.59115744780036628</v>
      </c>
    </row>
    <row r="12" spans="1:6">
      <c r="A12" s="979"/>
      <c r="B12" s="924" t="s">
        <v>556</v>
      </c>
      <c r="C12" s="925">
        <v>222.50134063897988</v>
      </c>
      <c r="D12" s="926">
        <v>6.5085676997792719E-2</v>
      </c>
    </row>
    <row r="13" spans="1:6">
      <c r="A13" s="979"/>
      <c r="B13" s="924" t="s">
        <v>560</v>
      </c>
      <c r="C13" s="925">
        <v>72.511555269311827</v>
      </c>
      <c r="D13" s="926">
        <v>2.1210944847849713E-2</v>
      </c>
    </row>
    <row r="14" spans="1:6">
      <c r="A14" s="979"/>
      <c r="B14" s="927" t="s">
        <v>558</v>
      </c>
      <c r="C14" s="928">
        <v>341859.14766858099</v>
      </c>
      <c r="D14" s="929">
        <v>100.00000000007928</v>
      </c>
    </row>
    <row r="15" spans="1:6">
      <c r="A15" s="979" t="s">
        <v>561</v>
      </c>
      <c r="B15" s="924" t="s">
        <v>554</v>
      </c>
      <c r="C15" s="925">
        <v>337507.73066913511</v>
      </c>
      <c r="D15" s="926">
        <v>98.727131618644179</v>
      </c>
    </row>
    <row r="16" spans="1:6">
      <c r="A16" s="979"/>
      <c r="B16" s="924" t="s">
        <v>555</v>
      </c>
      <c r="C16" s="925">
        <v>3620.0125765564931</v>
      </c>
      <c r="D16" s="926">
        <v>1.0589193243019352</v>
      </c>
    </row>
    <row r="17" spans="1:4">
      <c r="A17" s="979"/>
      <c r="B17" s="924" t="s">
        <v>556</v>
      </c>
      <c r="C17" s="925">
        <v>586.22367000913493</v>
      </c>
      <c r="D17" s="926">
        <v>0.17148105411456058</v>
      </c>
    </row>
    <row r="18" spans="1:4">
      <c r="A18" s="979"/>
      <c r="B18" s="930" t="s">
        <v>562</v>
      </c>
      <c r="C18" s="925">
        <v>145.1807529265696</v>
      </c>
      <c r="D18" s="926">
        <v>4.246800295287597E-2</v>
      </c>
    </row>
    <row r="19" spans="1:4">
      <c r="A19" s="979"/>
      <c r="B19" s="927" t="s">
        <v>558</v>
      </c>
      <c r="C19" s="928">
        <v>341859.14766858099</v>
      </c>
      <c r="D19" s="929">
        <v>100.00000000001245</v>
      </c>
    </row>
    <row r="20" spans="1:4">
      <c r="A20" s="979" t="s">
        <v>563</v>
      </c>
      <c r="B20" s="924" t="s">
        <v>554</v>
      </c>
      <c r="C20" s="925">
        <v>340801.2157711935</v>
      </c>
      <c r="D20" s="926">
        <v>99.690535735374525</v>
      </c>
    </row>
    <row r="21" spans="1:4">
      <c r="A21" s="979"/>
      <c r="B21" s="924" t="s">
        <v>555</v>
      </c>
      <c r="C21" s="925">
        <v>861.94207823726697</v>
      </c>
      <c r="D21" s="926">
        <v>0.25213368842564537</v>
      </c>
    </row>
    <row r="22" spans="1:4">
      <c r="A22" s="979"/>
      <c r="B22" s="924" t="s">
        <v>556</v>
      </c>
      <c r="C22" s="925">
        <v>144.59603211502542</v>
      </c>
      <c r="D22" s="926">
        <v>4.2296961512115393E-2</v>
      </c>
    </row>
    <row r="23" spans="1:4" ht="22.5">
      <c r="A23" s="979"/>
      <c r="B23" s="924" t="s">
        <v>564</v>
      </c>
      <c r="C23" s="925">
        <v>51.393787050852865</v>
      </c>
      <c r="D23" s="926">
        <v>1.5033614692293423E-2</v>
      </c>
    </row>
    <row r="24" spans="1:4">
      <c r="A24" s="979"/>
      <c r="B24" s="927" t="s">
        <v>558</v>
      </c>
      <c r="C24" s="928">
        <v>341859.14766858099</v>
      </c>
      <c r="D24" s="929">
        <v>100.00000000003865</v>
      </c>
    </row>
    <row r="25" spans="1:4">
      <c r="A25" s="979" t="s">
        <v>565</v>
      </c>
      <c r="B25" s="924" t="s">
        <v>554</v>
      </c>
      <c r="C25" s="925">
        <v>339894.76500486914</v>
      </c>
      <c r="D25" s="926">
        <v>99.425382448558537</v>
      </c>
    </row>
    <row r="26" spans="1:4">
      <c r="A26" s="979"/>
      <c r="B26" s="924" t="s">
        <v>555</v>
      </c>
      <c r="C26" s="925">
        <v>1735.3245689682249</v>
      </c>
      <c r="D26" s="926">
        <v>0.50761390496724512</v>
      </c>
    </row>
    <row r="27" spans="1:4">
      <c r="A27" s="979"/>
      <c r="B27" s="924" t="s">
        <v>556</v>
      </c>
      <c r="C27" s="925">
        <v>168.74578402775668</v>
      </c>
      <c r="D27" s="926">
        <v>4.9361201880532703E-2</v>
      </c>
    </row>
    <row r="28" spans="1:4" ht="22.5">
      <c r="A28" s="979"/>
      <c r="B28" s="924" t="s">
        <v>566</v>
      </c>
      <c r="C28" s="925">
        <v>60.312310736522377</v>
      </c>
      <c r="D28" s="926">
        <v>1.7642444599725263E-2</v>
      </c>
    </row>
    <row r="29" spans="1:4">
      <c r="A29" s="979"/>
      <c r="B29" s="927" t="s">
        <v>558</v>
      </c>
      <c r="C29" s="928">
        <v>341859.14766858099</v>
      </c>
      <c r="D29" s="929">
        <v>100.00000000007384</v>
      </c>
    </row>
    <row r="30" spans="1:4">
      <c r="A30" s="979" t="s">
        <v>567</v>
      </c>
      <c r="B30" s="924" t="s">
        <v>554</v>
      </c>
      <c r="C30" s="925">
        <v>340098.16861733905</v>
      </c>
      <c r="D30" s="926">
        <v>99.484881693746814</v>
      </c>
    </row>
    <row r="31" spans="1:4">
      <c r="A31" s="979"/>
      <c r="B31" s="924" t="s">
        <v>555</v>
      </c>
      <c r="C31" s="925">
        <v>1531.5209751462592</v>
      </c>
      <c r="D31" s="926">
        <v>0.44799765798018326</v>
      </c>
    </row>
    <row r="32" spans="1:4">
      <c r="A32" s="979"/>
      <c r="B32" s="924" t="s">
        <v>556</v>
      </c>
      <c r="C32" s="925">
        <v>184.42014127318822</v>
      </c>
      <c r="D32" s="926">
        <v>5.3946235615135951E-2</v>
      </c>
    </row>
    <row r="33" spans="1:4" ht="22.5">
      <c r="A33" s="979"/>
      <c r="B33" s="924" t="s">
        <v>568</v>
      </c>
      <c r="C33" s="925">
        <v>45.037934840683199</v>
      </c>
      <c r="D33" s="926">
        <v>1.3174412663178377E-2</v>
      </c>
    </row>
    <row r="34" spans="1:4">
      <c r="A34" s="979"/>
      <c r="B34" s="927" t="s">
        <v>558</v>
      </c>
      <c r="C34" s="928">
        <v>341859.14766858099</v>
      </c>
      <c r="D34" s="929">
        <v>100.00000000003276</v>
      </c>
    </row>
    <row r="35" spans="1:4">
      <c r="A35" s="979" t="s">
        <v>569</v>
      </c>
      <c r="B35" s="924" t="s">
        <v>554</v>
      </c>
      <c r="C35" s="925">
        <v>340775.10168305034</v>
      </c>
      <c r="D35" s="926">
        <v>99.682896891037245</v>
      </c>
    </row>
    <row r="36" spans="1:4">
      <c r="A36" s="979"/>
      <c r="B36" s="924" t="s">
        <v>555</v>
      </c>
      <c r="C36" s="925">
        <v>850.00969102218096</v>
      </c>
      <c r="D36" s="926">
        <v>0.24864324878216565</v>
      </c>
    </row>
    <row r="37" spans="1:4">
      <c r="A37" s="979"/>
      <c r="B37" s="924" t="s">
        <v>556</v>
      </c>
      <c r="C37" s="925">
        <v>182.26916101114301</v>
      </c>
      <c r="D37" s="926">
        <v>5.3317034882403032E-2</v>
      </c>
    </row>
    <row r="38" spans="1:4">
      <c r="A38" s="979"/>
      <c r="B38" s="924" t="s">
        <v>570</v>
      </c>
      <c r="C38" s="925">
        <v>51.767133512821367</v>
      </c>
      <c r="D38" s="926">
        <v>1.5142825302720162E-2</v>
      </c>
    </row>
    <row r="39" spans="1:4">
      <c r="A39" s="979"/>
      <c r="B39" s="927" t="s">
        <v>558</v>
      </c>
      <c r="C39" s="928">
        <v>341859.14766858099</v>
      </c>
      <c r="D39" s="929">
        <v>100.00000000003834</v>
      </c>
    </row>
  </sheetData>
  <mergeCells count="11">
    <mergeCell ref="A10:A14"/>
    <mergeCell ref="A1:D2"/>
    <mergeCell ref="A3:A4"/>
    <mergeCell ref="B3:B4"/>
    <mergeCell ref="C3:D3"/>
    <mergeCell ref="A5:A9"/>
    <mergeCell ref="A15:A19"/>
    <mergeCell ref="A20:A24"/>
    <mergeCell ref="A25:A29"/>
    <mergeCell ref="A30:A34"/>
    <mergeCell ref="A35:A3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8"/>
  <sheetViews>
    <sheetView workbookViewId="0">
      <selection activeCell="C14" sqref="C14"/>
    </sheetView>
  </sheetViews>
  <sheetFormatPr defaultRowHeight="15"/>
  <cols>
    <col min="1" max="1" width="27" style="26" customWidth="1"/>
    <col min="2" max="2" width="17.7109375" style="26" customWidth="1"/>
    <col min="3" max="3" width="13.7109375" style="26" customWidth="1"/>
    <col min="4" max="4" width="14.28515625" style="26" customWidth="1"/>
    <col min="5" max="5" width="14.5703125" style="26" customWidth="1"/>
    <col min="6" max="16384" width="9.140625" style="26"/>
  </cols>
  <sheetData>
    <row r="1" spans="1:5" ht="30.75" customHeight="1">
      <c r="A1" s="985" t="s">
        <v>572</v>
      </c>
      <c r="B1" s="985"/>
      <c r="C1" s="985"/>
      <c r="D1" s="985"/>
      <c r="E1" s="985"/>
    </row>
    <row r="2" spans="1:5">
      <c r="A2" s="986" t="s">
        <v>314</v>
      </c>
      <c r="B2" s="986" t="s">
        <v>200</v>
      </c>
      <c r="C2" s="986" t="s">
        <v>196</v>
      </c>
      <c r="D2" s="986"/>
      <c r="E2" s="986"/>
    </row>
    <row r="3" spans="1:5">
      <c r="A3" s="987"/>
      <c r="B3" s="987"/>
      <c r="C3" s="236" t="s">
        <v>198</v>
      </c>
      <c r="D3" s="237" t="s">
        <v>193</v>
      </c>
      <c r="E3" s="237" t="s">
        <v>199</v>
      </c>
    </row>
    <row r="4" spans="1:5">
      <c r="A4" s="244" t="s">
        <v>147</v>
      </c>
      <c r="B4" s="246">
        <v>570447.17662695551</v>
      </c>
      <c r="C4" s="245">
        <v>15692.417308304681</v>
      </c>
      <c r="D4" s="246">
        <v>7521.1200326955113</v>
      </c>
      <c r="E4" s="245">
        <v>8171.2972756091694</v>
      </c>
    </row>
    <row r="5" spans="1:5">
      <c r="A5" s="238"/>
      <c r="B5" s="239"/>
      <c r="C5" s="239"/>
      <c r="D5" s="239"/>
      <c r="E5" s="239"/>
    </row>
    <row r="6" spans="1:5" ht="14.25" customHeight="1">
      <c r="A6" s="244" t="s">
        <v>3</v>
      </c>
      <c r="B6" s="245"/>
      <c r="C6" s="245"/>
      <c r="D6" s="245"/>
      <c r="E6" s="245"/>
    </row>
    <row r="7" spans="1:5">
      <c r="A7" s="865" t="s">
        <v>4</v>
      </c>
      <c r="B7" s="215">
        <v>391855.92340030614</v>
      </c>
      <c r="C7" s="215">
        <v>9173.4880093892898</v>
      </c>
      <c r="D7" s="215">
        <v>4363.9071507230101</v>
      </c>
      <c r="E7" s="215">
        <v>4809.5808586662788</v>
      </c>
    </row>
    <row r="8" spans="1:5">
      <c r="A8" s="865" t="s">
        <v>5</v>
      </c>
      <c r="B8" s="215">
        <v>178591.25322581443</v>
      </c>
      <c r="C8" s="215">
        <v>6518.9292989158166</v>
      </c>
      <c r="D8" s="215">
        <v>3157.2128819727141</v>
      </c>
      <c r="E8" s="215">
        <v>3361.7164169431026</v>
      </c>
    </row>
    <row r="9" spans="1:5" ht="17.25" customHeight="1">
      <c r="A9" s="244" t="s">
        <v>197</v>
      </c>
      <c r="B9" s="245"/>
      <c r="C9" s="245"/>
      <c r="D9" s="245"/>
      <c r="E9" s="245"/>
    </row>
    <row r="10" spans="1:5">
      <c r="A10" s="243" t="s">
        <v>148</v>
      </c>
      <c r="B10" s="240">
        <v>382634.98871321097</v>
      </c>
      <c r="C10" s="240">
        <v>10035.207571793966</v>
      </c>
      <c r="D10" s="240">
        <v>4711.4399280622047</v>
      </c>
      <c r="E10" s="240">
        <v>5323.7676437317614</v>
      </c>
    </row>
    <row r="11" spans="1:5">
      <c r="A11" s="865" t="s">
        <v>148</v>
      </c>
      <c r="B11" s="215">
        <v>382634.98871321097</v>
      </c>
      <c r="C11" s="215">
        <v>10035.207571793966</v>
      </c>
      <c r="D11" s="215">
        <v>4711.4399280622047</v>
      </c>
      <c r="E11" s="215">
        <v>5323.7676437317614</v>
      </c>
    </row>
    <row r="12" spans="1:5">
      <c r="A12" s="241" t="s">
        <v>149</v>
      </c>
      <c r="B12" s="240">
        <v>30231.271440747085</v>
      </c>
      <c r="C12" s="240">
        <v>1571.9971170997869</v>
      </c>
      <c r="D12" s="240">
        <v>747.35658378399899</v>
      </c>
      <c r="E12" s="240">
        <v>824.64053331578793</v>
      </c>
    </row>
    <row r="13" spans="1:5">
      <c r="A13" s="865" t="s">
        <v>149</v>
      </c>
      <c r="B13" s="215">
        <v>30231.271440747085</v>
      </c>
      <c r="C13" s="215">
        <v>1571.9971170997869</v>
      </c>
      <c r="D13" s="215">
        <v>747.35658378399899</v>
      </c>
      <c r="E13" s="215">
        <v>824.64053331578793</v>
      </c>
    </row>
    <row r="14" spans="1:5">
      <c r="A14" s="241" t="s">
        <v>150</v>
      </c>
      <c r="B14" s="240">
        <v>12680.796776416362</v>
      </c>
      <c r="C14" s="240">
        <v>393.8205207735125</v>
      </c>
      <c r="D14" s="240">
        <v>194.64019790295902</v>
      </c>
      <c r="E14" s="240">
        <v>199.18032287055351</v>
      </c>
    </row>
    <row r="15" spans="1:5">
      <c r="A15" s="865" t="s">
        <v>150</v>
      </c>
      <c r="B15" s="215">
        <v>12680.796776416362</v>
      </c>
      <c r="C15" s="215">
        <v>393.8205207735125</v>
      </c>
      <c r="D15" s="215">
        <v>194.64019790295902</v>
      </c>
      <c r="E15" s="215">
        <v>199.18032287055351</v>
      </c>
    </row>
    <row r="16" spans="1:5">
      <c r="A16" s="241" t="s">
        <v>151</v>
      </c>
      <c r="B16" s="240">
        <v>27932.073323219793</v>
      </c>
      <c r="C16" s="240">
        <v>550.21989814777339</v>
      </c>
      <c r="D16" s="240">
        <v>260.15508417165637</v>
      </c>
      <c r="E16" s="240">
        <v>290.06481397611697</v>
      </c>
    </row>
    <row r="17" spans="1:10">
      <c r="A17" s="865" t="s">
        <v>151</v>
      </c>
      <c r="B17" s="215">
        <v>27932.073323219793</v>
      </c>
      <c r="C17" s="215">
        <v>550.21989814777339</v>
      </c>
      <c r="D17" s="215">
        <v>260.15508417165637</v>
      </c>
      <c r="E17" s="215">
        <v>290.06481397611697</v>
      </c>
    </row>
    <row r="18" spans="1:10">
      <c r="A18" s="241" t="s">
        <v>152</v>
      </c>
      <c r="B18" s="240">
        <v>8459.7874414902017</v>
      </c>
      <c r="C18" s="240">
        <v>115.80116379539413</v>
      </c>
      <c r="D18" s="240">
        <v>65.008469047356215</v>
      </c>
      <c r="E18" s="240">
        <v>50.79269474803791</v>
      </c>
    </row>
    <row r="19" spans="1:10">
      <c r="A19" s="865" t="s">
        <v>152</v>
      </c>
      <c r="B19" s="215">
        <v>6234.8349044034339</v>
      </c>
      <c r="C19" s="215">
        <v>102.04540812603443</v>
      </c>
      <c r="D19" s="215">
        <v>53.944293017397193</v>
      </c>
      <c r="E19" s="215">
        <v>48.101115108637238</v>
      </c>
    </row>
    <row r="20" spans="1:10">
      <c r="A20" s="865" t="s">
        <v>153</v>
      </c>
      <c r="B20" s="215">
        <v>2224.9525370867677</v>
      </c>
      <c r="C20" s="215">
        <v>13.755755669359695</v>
      </c>
      <c r="D20" s="215">
        <v>11.064176029959025</v>
      </c>
      <c r="E20" s="215">
        <v>2.6915796394006701</v>
      </c>
    </row>
    <row r="21" spans="1:10">
      <c r="A21" s="241" t="s">
        <v>154</v>
      </c>
      <c r="B21" s="240">
        <v>2464.5697814306805</v>
      </c>
      <c r="C21" s="240">
        <v>7.0329647347251036</v>
      </c>
      <c r="D21" s="240">
        <v>4.2228689990775052</v>
      </c>
      <c r="E21" s="240">
        <v>2.8100957356475984</v>
      </c>
      <c r="J21" s="213"/>
    </row>
    <row r="22" spans="1:10">
      <c r="A22" s="865" t="s">
        <v>154</v>
      </c>
      <c r="B22" s="215">
        <v>1707.3355894837798</v>
      </c>
      <c r="C22" s="215">
        <v>2.7805425005290694</v>
      </c>
      <c r="D22" s="215">
        <v>2.7805425005290694</v>
      </c>
      <c r="E22" s="242">
        <v>0</v>
      </c>
    </row>
    <row r="23" spans="1:10">
      <c r="A23" s="865" t="s">
        <v>155</v>
      </c>
      <c r="B23" s="215">
        <v>757.23419194690041</v>
      </c>
      <c r="C23" s="215">
        <v>4.2524222341960343</v>
      </c>
      <c r="D23" s="215">
        <v>1.4423264985484361</v>
      </c>
      <c r="E23" s="215">
        <v>2.8100957356475984</v>
      </c>
    </row>
    <row r="24" spans="1:10">
      <c r="A24" s="241" t="s">
        <v>156</v>
      </c>
      <c r="B24" s="240">
        <v>17191.579558660887</v>
      </c>
      <c r="C24" s="240">
        <v>143.85000853331766</v>
      </c>
      <c r="D24" s="240">
        <v>71.669748983288841</v>
      </c>
      <c r="E24" s="240">
        <v>72.180259550028822</v>
      </c>
    </row>
    <row r="25" spans="1:10">
      <c r="A25" s="865" t="s">
        <v>156</v>
      </c>
      <c r="B25" s="215">
        <v>9638.8855901455609</v>
      </c>
      <c r="C25" s="215">
        <v>65.942414974408138</v>
      </c>
      <c r="D25" s="215">
        <v>28.702727003323595</v>
      </c>
      <c r="E25" s="215">
        <v>37.23968797108455</v>
      </c>
    </row>
    <row r="26" spans="1:10">
      <c r="A26" s="865" t="s">
        <v>157</v>
      </c>
      <c r="B26" s="215">
        <v>7552.6939685153266</v>
      </c>
      <c r="C26" s="215">
        <v>77.907593558909525</v>
      </c>
      <c r="D26" s="215">
        <v>42.967021979965246</v>
      </c>
      <c r="E26" s="215">
        <v>34.940571578944272</v>
      </c>
    </row>
    <row r="27" spans="1:10">
      <c r="A27" s="241" t="s">
        <v>158</v>
      </c>
      <c r="B27" s="240">
        <v>28013.773732907008</v>
      </c>
      <c r="C27" s="240">
        <v>347.57431583468224</v>
      </c>
      <c r="D27" s="240">
        <v>186.1567559698496</v>
      </c>
      <c r="E27" s="240">
        <v>161.41755986483258</v>
      </c>
    </row>
    <row r="28" spans="1:10">
      <c r="A28" s="865" t="s">
        <v>158</v>
      </c>
      <c r="B28" s="215">
        <v>24782.30617124381</v>
      </c>
      <c r="C28" s="215">
        <v>343.45143249111413</v>
      </c>
      <c r="D28" s="215">
        <v>183.38746080306566</v>
      </c>
      <c r="E28" s="215">
        <v>160.06397168804844</v>
      </c>
    </row>
    <row r="29" spans="1:10">
      <c r="A29" s="865" t="s">
        <v>159</v>
      </c>
      <c r="B29" s="215">
        <v>3231.467561663198</v>
      </c>
      <c r="C29" s="215">
        <v>4.1228833435680903</v>
      </c>
      <c r="D29" s="215">
        <v>2.7692951667839396</v>
      </c>
      <c r="E29" s="215">
        <v>1.3535881767841509</v>
      </c>
    </row>
    <row r="30" spans="1:10">
      <c r="A30" s="241" t="s">
        <v>160</v>
      </c>
      <c r="B30" s="240">
        <v>7225.595572019055</v>
      </c>
      <c r="C30" s="240">
        <v>102.0896005805658</v>
      </c>
      <c r="D30" s="240">
        <v>57.753820488889119</v>
      </c>
      <c r="E30" s="240">
        <v>44.335780091676682</v>
      </c>
    </row>
    <row r="31" spans="1:10">
      <c r="A31" s="865" t="s">
        <v>160</v>
      </c>
      <c r="B31" s="215">
        <v>7225.595572019055</v>
      </c>
      <c r="C31" s="215">
        <v>102.0896005805658</v>
      </c>
      <c r="D31" s="215">
        <v>57.753820488889119</v>
      </c>
      <c r="E31" s="215">
        <v>44.335780091676682</v>
      </c>
    </row>
    <row r="32" spans="1:10">
      <c r="A32" s="241" t="s">
        <v>161</v>
      </c>
      <c r="B32" s="240">
        <v>31419.257342679906</v>
      </c>
      <c r="C32" s="240">
        <v>864.86416748508555</v>
      </c>
      <c r="D32" s="240">
        <v>430.52761410613454</v>
      </c>
      <c r="E32" s="240">
        <v>434.33655337895095</v>
      </c>
    </row>
    <row r="33" spans="1:5">
      <c r="A33" s="865" t="s">
        <v>161</v>
      </c>
      <c r="B33" s="215">
        <v>25793.116447531542</v>
      </c>
      <c r="C33" s="215">
        <v>813.7581512886926</v>
      </c>
      <c r="D33" s="215">
        <v>402.90955112709645</v>
      </c>
      <c r="E33" s="215">
        <v>410.84860016159615</v>
      </c>
    </row>
    <row r="34" spans="1:5">
      <c r="A34" s="865" t="s">
        <v>162</v>
      </c>
      <c r="B34" s="215">
        <v>5626.1408951483645</v>
      </c>
      <c r="C34" s="215">
        <v>51.106016196392886</v>
      </c>
      <c r="D34" s="215">
        <v>27.618062979038072</v>
      </c>
      <c r="E34" s="215">
        <v>23.487953217354814</v>
      </c>
    </row>
    <row r="35" spans="1:5">
      <c r="A35" s="241" t="s">
        <v>163</v>
      </c>
      <c r="B35" s="240">
        <v>22193.482943585652</v>
      </c>
      <c r="C35" s="240">
        <v>1559.9599795261761</v>
      </c>
      <c r="D35" s="240">
        <v>792.18896118024213</v>
      </c>
      <c r="E35" s="240">
        <v>767.77101834593373</v>
      </c>
    </row>
    <row r="36" spans="1:5">
      <c r="A36" s="865" t="s">
        <v>163</v>
      </c>
      <c r="B36" s="215">
        <v>15803.094424051522</v>
      </c>
      <c r="C36" s="215">
        <v>1050.740352473455</v>
      </c>
      <c r="D36" s="215">
        <v>545.72114783035897</v>
      </c>
      <c r="E36" s="215">
        <v>505.01920464309592</v>
      </c>
    </row>
    <row r="37" spans="1:5">
      <c r="A37" s="866" t="s">
        <v>164</v>
      </c>
      <c r="B37" s="218">
        <v>6390.3885195341309</v>
      </c>
      <c r="C37" s="218">
        <v>509.21962705272108</v>
      </c>
      <c r="D37" s="218">
        <v>246.46781334988322</v>
      </c>
      <c r="E37" s="218">
        <v>262.75181370283786</v>
      </c>
    </row>
    <row r="38" spans="1:5">
      <c r="A38" s="17"/>
      <c r="B38" s="17"/>
      <c r="C38" s="17"/>
      <c r="D38" s="17"/>
      <c r="E38" s="17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7"/>
  <sheetViews>
    <sheetView workbookViewId="0">
      <selection activeCell="D15" sqref="D15"/>
    </sheetView>
  </sheetViews>
  <sheetFormatPr defaultRowHeight="15"/>
  <cols>
    <col min="1" max="1" width="19.7109375" style="26" customWidth="1"/>
    <col min="2" max="2" width="9.140625" style="26"/>
    <col min="3" max="3" width="16" style="26" customWidth="1"/>
    <col min="4" max="4" width="10.7109375" style="26" customWidth="1"/>
    <col min="5" max="5" width="12.140625" style="26" customWidth="1"/>
    <col min="6" max="6" width="12.85546875" style="26" customWidth="1"/>
    <col min="7" max="7" width="11.7109375" style="26" customWidth="1"/>
    <col min="8" max="16384" width="9.140625" style="26"/>
  </cols>
  <sheetData>
    <row r="1" spans="1:7" ht="21.75" customHeight="1">
      <c r="A1" s="988" t="s">
        <v>573</v>
      </c>
      <c r="B1" s="988"/>
      <c r="C1" s="988"/>
      <c r="D1" s="988"/>
      <c r="E1" s="988"/>
      <c r="F1" s="988"/>
      <c r="G1" s="988"/>
    </row>
    <row r="2" spans="1:7" ht="15" customHeight="1">
      <c r="A2" s="989" t="s">
        <v>314</v>
      </c>
      <c r="B2" s="989" t="s">
        <v>201</v>
      </c>
      <c r="C2" s="992" t="s">
        <v>533</v>
      </c>
      <c r="D2" s="991" t="s">
        <v>133</v>
      </c>
      <c r="E2" s="991"/>
      <c r="F2" s="991"/>
      <c r="G2" s="991"/>
    </row>
    <row r="3" spans="1:7" ht="48" customHeight="1">
      <c r="A3" s="990"/>
      <c r="B3" s="990"/>
      <c r="C3" s="990"/>
      <c r="D3" s="247" t="s">
        <v>105</v>
      </c>
      <c r="E3" s="247" t="s">
        <v>202</v>
      </c>
      <c r="F3" s="247" t="s">
        <v>203</v>
      </c>
      <c r="G3" s="247" t="s">
        <v>204</v>
      </c>
    </row>
    <row r="4" spans="1:7">
      <c r="A4" s="258" t="s">
        <v>147</v>
      </c>
      <c r="B4" s="259">
        <v>570447.17662695551</v>
      </c>
      <c r="C4" s="259">
        <f>+D4+E4+F4+G4</f>
        <v>15692.417308305068</v>
      </c>
      <c r="D4" s="259">
        <v>2363.3649566651343</v>
      </c>
      <c r="E4" s="259">
        <v>3707.5743429105901</v>
      </c>
      <c r="F4" s="259">
        <v>9138.6663403481707</v>
      </c>
      <c r="G4" s="259">
        <v>482.81166838117315</v>
      </c>
    </row>
    <row r="5" spans="1:7">
      <c r="A5" s="248"/>
      <c r="B5" s="249"/>
      <c r="C5" s="249"/>
      <c r="D5" s="249"/>
      <c r="E5" s="249"/>
      <c r="F5" s="249"/>
      <c r="G5" s="249"/>
    </row>
    <row r="6" spans="1:7" ht="14.25" customHeight="1">
      <c r="A6" s="258" t="s">
        <v>3</v>
      </c>
      <c r="B6" s="260"/>
      <c r="C6" s="260"/>
      <c r="D6" s="260"/>
      <c r="E6" s="260"/>
      <c r="F6" s="260"/>
      <c r="G6" s="260"/>
    </row>
    <row r="7" spans="1:7">
      <c r="A7" s="250" t="s">
        <v>4</v>
      </c>
      <c r="B7" s="251">
        <v>391855.92340030614</v>
      </c>
      <c r="C7" s="252">
        <f t="shared" ref="C7:C8" si="0">+D7+E7+F7+G7</f>
        <v>9173.4880093891643</v>
      </c>
      <c r="D7" s="251">
        <v>1451.0465255125882</v>
      </c>
      <c r="E7" s="251">
        <v>2318.7392047145299</v>
      </c>
      <c r="F7" s="251">
        <v>5145.155202307039</v>
      </c>
      <c r="G7" s="251">
        <v>258.54707685500676</v>
      </c>
    </row>
    <row r="8" spans="1:7">
      <c r="A8" s="250" t="s">
        <v>5</v>
      </c>
      <c r="B8" s="251">
        <v>178591.25322581443</v>
      </c>
      <c r="C8" s="252">
        <f t="shared" si="0"/>
        <v>6518.929298915662</v>
      </c>
      <c r="D8" s="251">
        <v>912.31843115251047</v>
      </c>
      <c r="E8" s="251">
        <v>1388.8351381959735</v>
      </c>
      <c r="F8" s="251">
        <v>3993.5111380410117</v>
      </c>
      <c r="G8" s="251">
        <v>224.26459152616607</v>
      </c>
    </row>
    <row r="9" spans="1:7" ht="15.75" customHeight="1">
      <c r="A9" s="261" t="s">
        <v>142</v>
      </c>
      <c r="B9" s="262"/>
      <c r="C9" s="263"/>
      <c r="D9" s="262"/>
      <c r="E9" s="262"/>
      <c r="F9" s="262"/>
      <c r="G9" s="262"/>
    </row>
    <row r="10" spans="1:7">
      <c r="A10" s="257" t="s">
        <v>148</v>
      </c>
      <c r="B10" s="253">
        <v>382634.98871321097</v>
      </c>
      <c r="C10" s="252">
        <v>10035.207571793824</v>
      </c>
      <c r="D10" s="253">
        <v>1503.8364644071687</v>
      </c>
      <c r="E10" s="253">
        <v>2447.1863851257262</v>
      </c>
      <c r="F10" s="253">
        <v>5758.5011116369424</v>
      </c>
      <c r="G10" s="253">
        <v>325.68361062398651</v>
      </c>
    </row>
    <row r="11" spans="1:7">
      <c r="A11" s="867" t="s">
        <v>148</v>
      </c>
      <c r="B11" s="251">
        <v>382634.98871321097</v>
      </c>
      <c r="C11" s="252">
        <v>10035.207571793824</v>
      </c>
      <c r="D11" s="251">
        <v>1503.8364644071687</v>
      </c>
      <c r="E11" s="251">
        <v>2447.1863851257262</v>
      </c>
      <c r="F11" s="251">
        <v>5758.5011116369424</v>
      </c>
      <c r="G11" s="251">
        <v>325.68361062398651</v>
      </c>
    </row>
    <row r="12" spans="1:7">
      <c r="A12" s="257" t="s">
        <v>149</v>
      </c>
      <c r="B12" s="253">
        <v>30231.271440747085</v>
      </c>
      <c r="C12" s="254">
        <v>1571.9971170997885</v>
      </c>
      <c r="D12" s="253">
        <v>232.81716640687364</v>
      </c>
      <c r="E12" s="253">
        <v>327.80790834104636</v>
      </c>
      <c r="F12" s="253">
        <v>965.66206191341439</v>
      </c>
      <c r="G12" s="253">
        <v>45.709980438454075</v>
      </c>
    </row>
    <row r="13" spans="1:7">
      <c r="A13" s="867" t="s">
        <v>149</v>
      </c>
      <c r="B13" s="251">
        <v>30231.271440747085</v>
      </c>
      <c r="C13" s="252">
        <v>1571.9971170997885</v>
      </c>
      <c r="D13" s="251">
        <v>232.81716640687364</v>
      </c>
      <c r="E13" s="251">
        <v>327.80790834104636</v>
      </c>
      <c r="F13" s="251">
        <v>965.66206191341439</v>
      </c>
      <c r="G13" s="251">
        <v>45.709980438454075</v>
      </c>
    </row>
    <row r="14" spans="1:7">
      <c r="A14" s="257" t="s">
        <v>150</v>
      </c>
      <c r="B14" s="253">
        <v>12680.796776416362</v>
      </c>
      <c r="C14" s="254">
        <v>393.82052077351273</v>
      </c>
      <c r="D14" s="253">
        <v>59.557879778502617</v>
      </c>
      <c r="E14" s="253">
        <v>94.997393845772805</v>
      </c>
      <c r="F14" s="253">
        <v>227.83775203962378</v>
      </c>
      <c r="G14" s="253">
        <v>11.42749510961352</v>
      </c>
    </row>
    <row r="15" spans="1:7">
      <c r="A15" s="867" t="s">
        <v>150</v>
      </c>
      <c r="B15" s="251">
        <v>12680.796776416362</v>
      </c>
      <c r="C15" s="252">
        <v>393.82052077351273</v>
      </c>
      <c r="D15" s="251">
        <v>59.557879778502617</v>
      </c>
      <c r="E15" s="251">
        <v>94.997393845772805</v>
      </c>
      <c r="F15" s="251">
        <v>227.83775203962378</v>
      </c>
      <c r="G15" s="251">
        <v>11.42749510961352</v>
      </c>
    </row>
    <row r="16" spans="1:7">
      <c r="A16" s="257" t="s">
        <v>151</v>
      </c>
      <c r="B16" s="253">
        <v>27932.073323219793</v>
      </c>
      <c r="C16" s="254">
        <v>550.21989814777362</v>
      </c>
      <c r="D16" s="253">
        <v>106.9334659659481</v>
      </c>
      <c r="E16" s="253">
        <v>152.53102673828295</v>
      </c>
      <c r="F16" s="253">
        <v>279.32791033392897</v>
      </c>
      <c r="G16" s="253">
        <v>11.42749510961352</v>
      </c>
    </row>
    <row r="17" spans="1:11">
      <c r="A17" s="867" t="s">
        <v>151</v>
      </c>
      <c r="B17" s="251">
        <v>27932.073323219793</v>
      </c>
      <c r="C17" s="252">
        <v>550.21989814777362</v>
      </c>
      <c r="D17" s="251">
        <v>106.9334659659481</v>
      </c>
      <c r="E17" s="251">
        <v>152.53102673828295</v>
      </c>
      <c r="F17" s="251">
        <v>279.32791033392897</v>
      </c>
      <c r="G17" s="251">
        <v>11.42749510961352</v>
      </c>
    </row>
    <row r="18" spans="1:11">
      <c r="A18" s="257" t="s">
        <v>152</v>
      </c>
      <c r="B18" s="253">
        <v>8459.7874414902017</v>
      </c>
      <c r="C18" s="254">
        <v>115.80116379539412</v>
      </c>
      <c r="D18" s="253">
        <v>29.778939889251312</v>
      </c>
      <c r="E18" s="253">
        <v>34.787778028029493</v>
      </c>
      <c r="F18" s="253">
        <v>49.806008989411609</v>
      </c>
      <c r="G18" s="253">
        <v>1.4284368887016903</v>
      </c>
    </row>
    <row r="19" spans="1:11">
      <c r="A19" s="867" t="s">
        <v>152</v>
      </c>
      <c r="B19" s="251">
        <v>6234.8349044034339</v>
      </c>
      <c r="C19" s="252">
        <v>102.0454081260344</v>
      </c>
      <c r="D19" s="251">
        <v>24.364587182114708</v>
      </c>
      <c r="E19" s="251">
        <v>30.773803640179935</v>
      </c>
      <c r="F19" s="251">
        <v>45.478580415038074</v>
      </c>
      <c r="G19" s="251">
        <v>1.4284368887016903</v>
      </c>
    </row>
    <row r="20" spans="1:11">
      <c r="A20" s="867" t="s">
        <v>153</v>
      </c>
      <c r="B20" s="251">
        <v>2224.9525370867677</v>
      </c>
      <c r="C20" s="252">
        <v>13.755755669359699</v>
      </c>
      <c r="D20" s="251">
        <v>5.4143527071366035</v>
      </c>
      <c r="E20" s="251">
        <v>4.013974387849558</v>
      </c>
      <c r="F20" s="251">
        <v>4.3274285743735366</v>
      </c>
      <c r="G20" s="251">
        <v>0</v>
      </c>
    </row>
    <row r="21" spans="1:11">
      <c r="A21" s="257" t="s">
        <v>154</v>
      </c>
      <c r="B21" s="253">
        <v>2464.5697814306805</v>
      </c>
      <c r="C21" s="254">
        <v>7.0329647347251045</v>
      </c>
      <c r="D21" s="253">
        <v>0</v>
      </c>
      <c r="E21" s="253">
        <v>1.3379914626165192</v>
      </c>
      <c r="F21" s="253">
        <v>5.6949732721085855</v>
      </c>
      <c r="G21" s="253">
        <v>0</v>
      </c>
    </row>
    <row r="22" spans="1:11">
      <c r="A22" s="867" t="s">
        <v>154</v>
      </c>
      <c r="B22" s="251">
        <v>1707.3355894837798</v>
      </c>
      <c r="C22" s="252">
        <v>2.7805425005290694</v>
      </c>
      <c r="D22" s="251">
        <v>0</v>
      </c>
      <c r="E22" s="251">
        <v>1.3379914626165192</v>
      </c>
      <c r="F22" s="251">
        <v>1.4425510379125499</v>
      </c>
      <c r="G22" s="251">
        <v>0</v>
      </c>
      <c r="K22" s="31"/>
    </row>
    <row r="23" spans="1:11">
      <c r="A23" s="867" t="s">
        <v>155</v>
      </c>
      <c r="B23" s="251">
        <v>757.23419194690041</v>
      </c>
      <c r="C23" s="252">
        <v>4.2524222341960352</v>
      </c>
      <c r="D23" s="251">
        <v>0</v>
      </c>
      <c r="E23" s="251">
        <v>0</v>
      </c>
      <c r="F23" s="251">
        <v>4.2524222341960352</v>
      </c>
      <c r="G23" s="251">
        <v>0</v>
      </c>
    </row>
    <row r="24" spans="1:11">
      <c r="A24" s="257" t="s">
        <v>156</v>
      </c>
      <c r="B24" s="253">
        <v>17191.579558660887</v>
      </c>
      <c r="C24" s="254">
        <v>143.85000853331766</v>
      </c>
      <c r="D24" s="253">
        <v>31.132528066035462</v>
      </c>
      <c r="E24" s="253">
        <v>41.477735341112094</v>
      </c>
      <c r="F24" s="253">
        <v>66.954434460065045</v>
      </c>
      <c r="G24" s="253">
        <v>4.2853106661050706</v>
      </c>
    </row>
    <row r="25" spans="1:11">
      <c r="A25" s="867" t="s">
        <v>156</v>
      </c>
      <c r="B25" s="251">
        <v>9638.8855901455609</v>
      </c>
      <c r="C25" s="252">
        <v>65.942414974408152</v>
      </c>
      <c r="D25" s="251">
        <v>17.596646298193956</v>
      </c>
      <c r="E25" s="251">
        <v>25.421837789713862</v>
      </c>
      <c r="F25" s="251">
        <v>22.92393088650033</v>
      </c>
      <c r="G25" s="251">
        <v>0</v>
      </c>
    </row>
    <row r="26" spans="1:11">
      <c r="A26" s="867" t="s">
        <v>157</v>
      </c>
      <c r="B26" s="251">
        <v>7552.6939685153266</v>
      </c>
      <c r="C26" s="252">
        <v>77.907593558909539</v>
      </c>
      <c r="D26" s="251">
        <v>13.535881767841506</v>
      </c>
      <c r="E26" s="251">
        <v>16.055897551398235</v>
      </c>
      <c r="F26" s="251">
        <v>44.030503573564722</v>
      </c>
      <c r="G26" s="251">
        <v>4.2853106661050706</v>
      </c>
    </row>
    <row r="27" spans="1:11">
      <c r="A27" s="257" t="s">
        <v>158</v>
      </c>
      <c r="B27" s="253">
        <v>28013.773732907008</v>
      </c>
      <c r="C27" s="254">
        <v>347.57431583468235</v>
      </c>
      <c r="D27" s="253">
        <v>54.143527071366016</v>
      </c>
      <c r="E27" s="253">
        <v>62.885598742976455</v>
      </c>
      <c r="F27" s="253">
        <v>207.69019980111281</v>
      </c>
      <c r="G27" s="253">
        <v>22.854990219227037</v>
      </c>
    </row>
    <row r="28" spans="1:11">
      <c r="A28" s="867" t="s">
        <v>158</v>
      </c>
      <c r="B28" s="251">
        <v>24782.30617124381</v>
      </c>
      <c r="C28" s="252">
        <v>343.45143249111425</v>
      </c>
      <c r="D28" s="251">
        <v>51.436350717797716</v>
      </c>
      <c r="E28" s="251">
        <v>62.885598742976455</v>
      </c>
      <c r="F28" s="251">
        <v>206.27449281111302</v>
      </c>
      <c r="G28" s="251">
        <v>22.854990219227037</v>
      </c>
    </row>
    <row r="29" spans="1:11">
      <c r="A29" s="867" t="s">
        <v>159</v>
      </c>
      <c r="B29" s="251">
        <v>3231.467561663198</v>
      </c>
      <c r="C29" s="252">
        <v>4.1228833435680903</v>
      </c>
      <c r="D29" s="251">
        <v>2.7071763535683018</v>
      </c>
      <c r="E29" s="251">
        <v>0</v>
      </c>
      <c r="F29" s="251">
        <v>1.4157069899997887</v>
      </c>
      <c r="G29" s="251">
        <v>0</v>
      </c>
    </row>
    <row r="30" spans="1:11">
      <c r="A30" s="257" t="s">
        <v>160</v>
      </c>
      <c r="B30" s="253">
        <v>7225.595572019055</v>
      </c>
      <c r="C30" s="254">
        <v>102.08960058056577</v>
      </c>
      <c r="D30" s="253">
        <v>31.132528066035459</v>
      </c>
      <c r="E30" s="253">
        <v>24.083846327097344</v>
      </c>
      <c r="F30" s="253">
        <v>39.731041743924514</v>
      </c>
      <c r="G30" s="253">
        <v>7.1421844435084516</v>
      </c>
    </row>
    <row r="31" spans="1:11">
      <c r="A31" s="867" t="s">
        <v>160</v>
      </c>
      <c r="B31" s="251">
        <v>7225.595572019055</v>
      </c>
      <c r="C31" s="252">
        <v>102.08960058056577</v>
      </c>
      <c r="D31" s="251">
        <v>31.132528066035459</v>
      </c>
      <c r="E31" s="251">
        <v>24.083846327097344</v>
      </c>
      <c r="F31" s="251">
        <v>39.731041743924514</v>
      </c>
      <c r="G31" s="251">
        <v>7.1421844435084516</v>
      </c>
    </row>
    <row r="32" spans="1:11">
      <c r="A32" s="257" t="s">
        <v>161</v>
      </c>
      <c r="B32" s="253">
        <v>31419.257342679906</v>
      </c>
      <c r="C32" s="254">
        <v>864.86416748508509</v>
      </c>
      <c r="D32" s="253">
        <v>165.13775756766654</v>
      </c>
      <c r="E32" s="253">
        <v>239.50047180835645</v>
      </c>
      <c r="F32" s="253">
        <v>444.51313233334355</v>
      </c>
      <c r="G32" s="253">
        <v>15.712805775718589</v>
      </c>
    </row>
    <row r="33" spans="1:7">
      <c r="A33" s="867" t="s">
        <v>161</v>
      </c>
      <c r="B33" s="251">
        <v>25793.116447531542</v>
      </c>
      <c r="C33" s="252">
        <v>813.75815128869226</v>
      </c>
      <c r="D33" s="251">
        <v>154.30905215339334</v>
      </c>
      <c r="E33" s="251">
        <v>222.1065827943417</v>
      </c>
      <c r="F33" s="251">
        <v>423.05814745394031</v>
      </c>
      <c r="G33" s="251">
        <v>14.2843688870169</v>
      </c>
    </row>
    <row r="34" spans="1:7">
      <c r="A34" s="867" t="s">
        <v>162</v>
      </c>
      <c r="B34" s="251">
        <v>5626.1408951483645</v>
      </c>
      <c r="C34" s="252">
        <v>51.106016196392893</v>
      </c>
      <c r="D34" s="251">
        <v>10.828705414273205</v>
      </c>
      <c r="E34" s="251">
        <v>17.393889014014754</v>
      </c>
      <c r="F34" s="251">
        <v>21.454984879403248</v>
      </c>
      <c r="G34" s="251">
        <v>1.4284368887016903</v>
      </c>
    </row>
    <row r="35" spans="1:7">
      <c r="A35" s="257" t="s">
        <v>163</v>
      </c>
      <c r="B35" s="253">
        <v>22193.482943585652</v>
      </c>
      <c r="C35" s="254">
        <v>1559.9599795261768</v>
      </c>
      <c r="D35" s="253">
        <v>148.89469944625668</v>
      </c>
      <c r="E35" s="253">
        <v>280.97820714946863</v>
      </c>
      <c r="F35" s="253">
        <v>1092.9477138242073</v>
      </c>
      <c r="G35" s="253">
        <v>37.139359106243937</v>
      </c>
    </row>
    <row r="36" spans="1:7">
      <c r="A36" s="867" t="s">
        <v>163</v>
      </c>
      <c r="B36" s="251">
        <v>15803.094424051522</v>
      </c>
      <c r="C36" s="252">
        <v>1050.740352473455</v>
      </c>
      <c r="D36" s="251">
        <v>92.043996021322371</v>
      </c>
      <c r="E36" s="251">
        <v>149.85504381304992</v>
      </c>
      <c r="F36" s="251">
        <v>791.70006997466237</v>
      </c>
      <c r="G36" s="251">
        <v>17.141242664420279</v>
      </c>
    </row>
    <row r="37" spans="1:7">
      <c r="A37" s="868" t="s">
        <v>164</v>
      </c>
      <c r="B37" s="255">
        <v>6390.3885195341309</v>
      </c>
      <c r="C37" s="256">
        <v>509.21962705272153</v>
      </c>
      <c r="D37" s="255">
        <v>56.850703424934316</v>
      </c>
      <c r="E37" s="255">
        <v>131.12316333641871</v>
      </c>
      <c r="F37" s="255">
        <v>301.24764384954483</v>
      </c>
      <c r="G37" s="255">
        <v>19.998116441823658</v>
      </c>
    </row>
  </sheetData>
  <mergeCells count="5">
    <mergeCell ref="A1:G1"/>
    <mergeCell ref="A2:A3"/>
    <mergeCell ref="B2:B3"/>
    <mergeCell ref="D2:G2"/>
    <mergeCell ref="C2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37"/>
  <sheetViews>
    <sheetView workbookViewId="0">
      <selection activeCell="E14" sqref="E14"/>
    </sheetView>
  </sheetViews>
  <sheetFormatPr defaultRowHeight="15"/>
  <cols>
    <col min="1" max="1" width="21.42578125" style="26" customWidth="1"/>
    <col min="2" max="2" width="10.5703125" style="26" customWidth="1"/>
    <col min="3" max="3" width="16.140625" style="26" customWidth="1"/>
    <col min="4" max="6" width="9.140625" style="26"/>
    <col min="7" max="7" width="3.28515625" style="26" customWidth="1"/>
    <col min="8" max="10" width="9.140625" style="26"/>
    <col min="11" max="11" width="2.28515625" style="26" customWidth="1"/>
    <col min="12" max="13" width="9.140625" style="26"/>
    <col min="14" max="14" width="11.5703125" style="26" customWidth="1"/>
    <col min="15" max="16384" width="9.140625" style="26"/>
  </cols>
  <sheetData>
    <row r="1" spans="1:14">
      <c r="A1" s="993" t="s">
        <v>574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</row>
    <row r="2" spans="1:14">
      <c r="A2" s="994" t="s">
        <v>314</v>
      </c>
      <c r="B2" s="996" t="s">
        <v>205</v>
      </c>
      <c r="C2" s="996" t="s">
        <v>206</v>
      </c>
      <c r="D2" s="998" t="s">
        <v>207</v>
      </c>
      <c r="E2" s="998"/>
      <c r="F2" s="998"/>
      <c r="G2" s="264"/>
      <c r="H2" s="998" t="s">
        <v>208</v>
      </c>
      <c r="I2" s="998"/>
      <c r="J2" s="998"/>
      <c r="K2" s="264"/>
      <c r="L2" s="998" t="s">
        <v>209</v>
      </c>
      <c r="M2" s="998"/>
      <c r="N2" s="998"/>
    </row>
    <row r="3" spans="1:14" ht="33.75" customHeight="1">
      <c r="A3" s="995"/>
      <c r="B3" s="997"/>
      <c r="C3" s="997"/>
      <c r="D3" s="265" t="s">
        <v>0</v>
      </c>
      <c r="E3" s="204" t="s">
        <v>1</v>
      </c>
      <c r="F3" s="204" t="s">
        <v>2</v>
      </c>
      <c r="G3" s="204"/>
      <c r="H3" s="265" t="s">
        <v>0</v>
      </c>
      <c r="I3" s="204" t="s">
        <v>1</v>
      </c>
      <c r="J3" s="204" t="s">
        <v>2</v>
      </c>
      <c r="K3" s="204"/>
      <c r="L3" s="265" t="s">
        <v>0</v>
      </c>
      <c r="M3" s="204" t="s">
        <v>1</v>
      </c>
      <c r="N3" s="204" t="s">
        <v>2</v>
      </c>
    </row>
    <row r="4" spans="1:14">
      <c r="A4" s="268" t="s">
        <v>147</v>
      </c>
      <c r="B4" s="210">
        <v>283502.22694223473</v>
      </c>
      <c r="C4" s="210">
        <f>+D4+H4+L4</f>
        <v>123847.0535444352</v>
      </c>
      <c r="D4" s="210">
        <f>+E4+F4</f>
        <v>18929.069168016162</v>
      </c>
      <c r="E4" s="210">
        <v>9129.6276309323766</v>
      </c>
      <c r="F4" s="210">
        <v>9799.4415370837833</v>
      </c>
      <c r="G4" s="210"/>
      <c r="H4" s="210">
        <f>+I4+J4</f>
        <v>91697.735600260974</v>
      </c>
      <c r="I4" s="210">
        <v>44394.783164568638</v>
      </c>
      <c r="J4" s="210">
        <v>47302.952435692336</v>
      </c>
      <c r="K4" s="210"/>
      <c r="L4" s="210">
        <f>+M4+N4</f>
        <v>13220.248776158072</v>
      </c>
      <c r="M4" s="210">
        <v>6289.2646902890519</v>
      </c>
      <c r="N4" s="210">
        <v>6930.9840858690204</v>
      </c>
    </row>
    <row r="5" spans="1:14">
      <c r="A5" s="266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</row>
    <row r="6" spans="1:14" ht="14.25" customHeight="1">
      <c r="A6" s="211" t="s">
        <v>3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</row>
    <row r="7" spans="1:14">
      <c r="A7" s="863" t="s">
        <v>4</v>
      </c>
      <c r="B7" s="206">
        <v>196074.84424233457</v>
      </c>
      <c r="C7" s="206">
        <f t="shared" ref="C7:C37" si="0">+D7+H7+L7</f>
        <v>85935.280621686892</v>
      </c>
      <c r="D7" s="206">
        <f t="shared" ref="D7:D36" si="1">+E7+F7</f>
        <v>11875.086311750361</v>
      </c>
      <c r="E7" s="206">
        <v>5729.5752082235704</v>
      </c>
      <c r="F7" s="206">
        <v>6145.5111035267901</v>
      </c>
      <c r="G7" s="206"/>
      <c r="H7" s="206">
        <f t="shared" ref="H7:H37" si="2">+I7+J7</f>
        <v>66118.842159105508</v>
      </c>
      <c r="I7" s="206">
        <v>31950.079326166535</v>
      </c>
      <c r="J7" s="206">
        <v>34168.762832938977</v>
      </c>
      <c r="K7" s="206"/>
      <c r="L7" s="206">
        <f t="shared" ref="L7:L37" si="3">+M7+N7</f>
        <v>7941.352150831015</v>
      </c>
      <c r="M7" s="206">
        <v>3766.6026516270545</v>
      </c>
      <c r="N7" s="206">
        <v>4174.7494992039601</v>
      </c>
    </row>
    <row r="8" spans="1:14">
      <c r="A8" s="863" t="s">
        <v>5</v>
      </c>
      <c r="B8" s="206">
        <v>87427.382700134738</v>
      </c>
      <c r="C8" s="206">
        <f t="shared" si="0"/>
        <v>37911.77292279301</v>
      </c>
      <c r="D8" s="206">
        <f t="shared" si="1"/>
        <v>7053.9828562655121</v>
      </c>
      <c r="E8" s="206">
        <v>3400.0524227087171</v>
      </c>
      <c r="F8" s="206">
        <v>3653.9304335567949</v>
      </c>
      <c r="G8" s="206"/>
      <c r="H8" s="206">
        <f t="shared" si="2"/>
        <v>25578.893441200296</v>
      </c>
      <c r="I8" s="206">
        <v>12444.703838423073</v>
      </c>
      <c r="J8" s="206">
        <v>13134.189602777224</v>
      </c>
      <c r="K8" s="206"/>
      <c r="L8" s="206">
        <f t="shared" si="3"/>
        <v>5278.8966253272029</v>
      </c>
      <c r="M8" s="206">
        <v>2522.6620386620548</v>
      </c>
      <c r="N8" s="206">
        <v>2756.2345866651485</v>
      </c>
    </row>
    <row r="9" spans="1:14" ht="15.75" customHeight="1">
      <c r="A9" s="211" t="s">
        <v>177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</row>
    <row r="10" spans="1:14">
      <c r="A10" s="267" t="s">
        <v>148</v>
      </c>
      <c r="B10" s="207">
        <v>189429.16903230691</v>
      </c>
      <c r="C10" s="207">
        <f t="shared" si="0"/>
        <v>76449.694745946268</v>
      </c>
      <c r="D10" s="207">
        <f t="shared" si="1"/>
        <v>10120.413110220323</v>
      </c>
      <c r="E10" s="207">
        <v>4823.4360270714087</v>
      </c>
      <c r="F10" s="207">
        <v>5296.9770831489141</v>
      </c>
      <c r="G10" s="207"/>
      <c r="H10" s="207">
        <f t="shared" si="2"/>
        <v>59961.927748963564</v>
      </c>
      <c r="I10" s="207">
        <v>28832.965151992499</v>
      </c>
      <c r="J10" s="207">
        <v>31128.962596971065</v>
      </c>
      <c r="K10" s="207"/>
      <c r="L10" s="207">
        <f t="shared" si="3"/>
        <v>6367.3538867623838</v>
      </c>
      <c r="M10" s="207">
        <v>2954.983197062857</v>
      </c>
      <c r="N10" s="207">
        <v>3412.3706896995268</v>
      </c>
    </row>
    <row r="11" spans="1:14">
      <c r="A11" s="869" t="s">
        <v>148</v>
      </c>
      <c r="B11" s="206">
        <v>189429.16903230691</v>
      </c>
      <c r="C11" s="206">
        <f t="shared" si="0"/>
        <v>76449.694745946268</v>
      </c>
      <c r="D11" s="206">
        <f t="shared" si="1"/>
        <v>10120.413110220323</v>
      </c>
      <c r="E11" s="206">
        <v>4823.4360270714087</v>
      </c>
      <c r="F11" s="206">
        <v>5296.9770831489141</v>
      </c>
      <c r="G11" s="206"/>
      <c r="H11" s="206">
        <f t="shared" si="2"/>
        <v>59961.927748963564</v>
      </c>
      <c r="I11" s="206">
        <v>28832.965151992499</v>
      </c>
      <c r="J11" s="206">
        <v>31128.962596971065</v>
      </c>
      <c r="K11" s="206"/>
      <c r="L11" s="206">
        <f t="shared" si="3"/>
        <v>6367.3538867623838</v>
      </c>
      <c r="M11" s="206">
        <v>2954.983197062857</v>
      </c>
      <c r="N11" s="206">
        <v>3412.3706896995268</v>
      </c>
    </row>
    <row r="12" spans="1:14">
      <c r="A12" s="267" t="s">
        <v>149</v>
      </c>
      <c r="B12" s="207">
        <v>14615.677863368523</v>
      </c>
      <c r="C12" s="207">
        <f t="shared" si="0"/>
        <v>7718.8156568154918</v>
      </c>
      <c r="D12" s="207">
        <f t="shared" si="1"/>
        <v>1535.749076450255</v>
      </c>
      <c r="E12" s="207">
        <v>745.78455754622109</v>
      </c>
      <c r="F12" s="207">
        <v>789.96451890403387</v>
      </c>
      <c r="G12" s="207"/>
      <c r="H12" s="207">
        <f t="shared" si="2"/>
        <v>4965.4452429763105</v>
      </c>
      <c r="I12" s="207">
        <v>2423.2981041194648</v>
      </c>
      <c r="J12" s="207">
        <v>2542.1471388568457</v>
      </c>
      <c r="K12" s="207"/>
      <c r="L12" s="207">
        <f t="shared" si="3"/>
        <v>1217.6213373889259</v>
      </c>
      <c r="M12" s="207">
        <v>583.86532799878682</v>
      </c>
      <c r="N12" s="207">
        <v>633.75600939013896</v>
      </c>
    </row>
    <row r="13" spans="1:14">
      <c r="A13" s="869" t="s">
        <v>149</v>
      </c>
      <c r="B13" s="206">
        <v>14615.677863368523</v>
      </c>
      <c r="C13" s="206">
        <f t="shared" si="0"/>
        <v>7718.8156568154918</v>
      </c>
      <c r="D13" s="206">
        <f t="shared" si="1"/>
        <v>1535.749076450255</v>
      </c>
      <c r="E13" s="206">
        <v>745.78455754622109</v>
      </c>
      <c r="F13" s="206">
        <v>789.96451890403387</v>
      </c>
      <c r="G13" s="206"/>
      <c r="H13" s="206">
        <f t="shared" si="2"/>
        <v>4965.4452429763105</v>
      </c>
      <c r="I13" s="206">
        <v>2423.2981041194648</v>
      </c>
      <c r="J13" s="206">
        <v>2542.1471388568457</v>
      </c>
      <c r="K13" s="206"/>
      <c r="L13" s="206">
        <f t="shared" si="3"/>
        <v>1217.6213373889259</v>
      </c>
      <c r="M13" s="206">
        <v>583.86532799878682</v>
      </c>
      <c r="N13" s="206">
        <v>633.75600939013896</v>
      </c>
    </row>
    <row r="14" spans="1:14">
      <c r="A14" s="267" t="s">
        <v>150</v>
      </c>
      <c r="B14" s="207">
        <v>6435.6995216427504</v>
      </c>
      <c r="C14" s="207">
        <f t="shared" si="0"/>
        <v>2648.2080833189966</v>
      </c>
      <c r="D14" s="207">
        <f t="shared" si="1"/>
        <v>396.45203264566618</v>
      </c>
      <c r="E14" s="207">
        <v>183.53232540191124</v>
      </c>
      <c r="F14" s="207">
        <v>212.91970724375494</v>
      </c>
      <c r="G14" s="207"/>
      <c r="H14" s="207">
        <f t="shared" si="2"/>
        <v>2010.4241132628417</v>
      </c>
      <c r="I14" s="207">
        <v>953.96037643659213</v>
      </c>
      <c r="J14" s="207">
        <v>1056.4637368262495</v>
      </c>
      <c r="K14" s="207"/>
      <c r="L14" s="207">
        <f t="shared" si="3"/>
        <v>241.33193741048839</v>
      </c>
      <c r="M14" s="207">
        <v>99.906166253261887</v>
      </c>
      <c r="N14" s="207">
        <v>141.42577115722651</v>
      </c>
    </row>
    <row r="15" spans="1:14">
      <c r="A15" s="869" t="s">
        <v>150</v>
      </c>
      <c r="B15" s="206">
        <v>6435.6995216427504</v>
      </c>
      <c r="C15" s="206">
        <f t="shared" si="0"/>
        <v>2648.2080833189966</v>
      </c>
      <c r="D15" s="206">
        <f t="shared" si="1"/>
        <v>396.45203264566618</v>
      </c>
      <c r="E15" s="206">
        <v>183.53232540191124</v>
      </c>
      <c r="F15" s="206">
        <v>212.91970724375494</v>
      </c>
      <c r="G15" s="206"/>
      <c r="H15" s="206">
        <f t="shared" si="2"/>
        <v>2010.4241132628417</v>
      </c>
      <c r="I15" s="206">
        <v>953.96037643659213</v>
      </c>
      <c r="J15" s="206">
        <v>1056.4637368262495</v>
      </c>
      <c r="K15" s="206"/>
      <c r="L15" s="206">
        <f t="shared" si="3"/>
        <v>241.33193741048839</v>
      </c>
      <c r="M15" s="206">
        <v>99.906166253261887</v>
      </c>
      <c r="N15" s="206">
        <v>141.42577115722651</v>
      </c>
    </row>
    <row r="16" spans="1:14">
      <c r="A16" s="267" t="s">
        <v>151</v>
      </c>
      <c r="B16" s="207">
        <v>13354.231723166989</v>
      </c>
      <c r="C16" s="207">
        <f t="shared" si="0"/>
        <v>7591.2463628849582</v>
      </c>
      <c r="D16" s="207">
        <f t="shared" si="1"/>
        <v>1231.6127586846942</v>
      </c>
      <c r="E16" s="207">
        <v>646.74928654854602</v>
      </c>
      <c r="F16" s="207">
        <v>584.86347213614818</v>
      </c>
      <c r="G16" s="207"/>
      <c r="H16" s="207">
        <f t="shared" si="2"/>
        <v>5312.6112267430799</v>
      </c>
      <c r="I16" s="207">
        <v>2682.8216735367382</v>
      </c>
      <c r="J16" s="207">
        <v>2629.7895532063421</v>
      </c>
      <c r="K16" s="207"/>
      <c r="L16" s="207">
        <f t="shared" si="3"/>
        <v>1047.0223774571841</v>
      </c>
      <c r="M16" s="207">
        <v>559.19289213775244</v>
      </c>
      <c r="N16" s="207">
        <v>487.82948531943163</v>
      </c>
    </row>
    <row r="17" spans="1:18">
      <c r="A17" s="869" t="s">
        <v>151</v>
      </c>
      <c r="B17" s="206">
        <v>13354.231723166989</v>
      </c>
      <c r="C17" s="206">
        <f t="shared" si="0"/>
        <v>7591.2463628849582</v>
      </c>
      <c r="D17" s="206">
        <f t="shared" si="1"/>
        <v>1231.6127586846942</v>
      </c>
      <c r="E17" s="206">
        <v>646.74928654854602</v>
      </c>
      <c r="F17" s="206">
        <v>584.86347213614818</v>
      </c>
      <c r="G17" s="206"/>
      <c r="H17" s="206">
        <f t="shared" si="2"/>
        <v>5312.6112267430799</v>
      </c>
      <c r="I17" s="206">
        <v>2682.8216735367382</v>
      </c>
      <c r="J17" s="206">
        <v>2629.7895532063421</v>
      </c>
      <c r="K17" s="206"/>
      <c r="L17" s="206">
        <f t="shared" si="3"/>
        <v>1047.0223774571841</v>
      </c>
      <c r="M17" s="206">
        <v>559.19289213775244</v>
      </c>
      <c r="N17" s="206">
        <v>487.82948531943163</v>
      </c>
    </row>
    <row r="18" spans="1:18">
      <c r="A18" s="267" t="s">
        <v>152</v>
      </c>
      <c r="B18" s="207">
        <f>+B19+B20</f>
        <v>4331.8516108475505</v>
      </c>
      <c r="C18" s="207">
        <f t="shared" si="0"/>
        <v>2583.3845868251901</v>
      </c>
      <c r="D18" s="207">
        <f t="shared" si="1"/>
        <v>504.54211481630375</v>
      </c>
      <c r="E18" s="207">
        <f t="shared" ref="E18:N18" si="4">+E19+E20</f>
        <v>250.92690778166829</v>
      </c>
      <c r="F18" s="207">
        <f t="shared" si="4"/>
        <v>253.61520703463549</v>
      </c>
      <c r="G18" s="207"/>
      <c r="H18" s="207">
        <f t="shared" si="2"/>
        <v>1717.0739609717255</v>
      </c>
      <c r="I18" s="207">
        <f t="shared" si="4"/>
        <v>819.51603909641995</v>
      </c>
      <c r="J18" s="207">
        <f t="shared" si="4"/>
        <v>897.55792187530551</v>
      </c>
      <c r="K18" s="207"/>
      <c r="L18" s="207">
        <f t="shared" si="3"/>
        <v>361.76851103716058</v>
      </c>
      <c r="M18" s="207">
        <f t="shared" si="4"/>
        <v>176.96058102930306</v>
      </c>
      <c r="N18" s="207">
        <f t="shared" si="4"/>
        <v>184.80793000785749</v>
      </c>
    </row>
    <row r="19" spans="1:18">
      <c r="A19" s="869" t="s">
        <v>152</v>
      </c>
      <c r="B19" s="206">
        <v>3212.9119349655493</v>
      </c>
      <c r="C19" s="206">
        <f t="shared" si="0"/>
        <v>1886.600968071351</v>
      </c>
      <c r="D19" s="206">
        <f t="shared" si="1"/>
        <v>372.36571115013521</v>
      </c>
      <c r="E19" s="206">
        <v>184.78657773882239</v>
      </c>
      <c r="F19" s="206">
        <v>187.5791334113128</v>
      </c>
      <c r="G19" s="206"/>
      <c r="H19" s="206">
        <f t="shared" si="2"/>
        <v>1271.174575218703</v>
      </c>
      <c r="I19" s="206">
        <v>580.8896676035007</v>
      </c>
      <c r="J19" s="206">
        <v>690.2849076152022</v>
      </c>
      <c r="K19" s="206"/>
      <c r="L19" s="206">
        <f t="shared" si="3"/>
        <v>243.06068170251274</v>
      </c>
      <c r="M19" s="206">
        <v>117.53976153465828</v>
      </c>
      <c r="N19" s="206">
        <v>125.52092016785447</v>
      </c>
    </row>
    <row r="20" spans="1:18">
      <c r="A20" s="869" t="s">
        <v>153</v>
      </c>
      <c r="B20" s="206">
        <v>1118.9396758820008</v>
      </c>
      <c r="C20" s="206">
        <f t="shared" si="0"/>
        <v>696.78361875383894</v>
      </c>
      <c r="D20" s="206">
        <f t="shared" si="1"/>
        <v>132.1764036661686</v>
      </c>
      <c r="E20" s="206">
        <v>66.140330042845903</v>
      </c>
      <c r="F20" s="206">
        <v>66.036073623322679</v>
      </c>
      <c r="G20" s="206"/>
      <c r="H20" s="206">
        <f t="shared" si="2"/>
        <v>445.89938575302256</v>
      </c>
      <c r="I20" s="206">
        <v>238.62637149291922</v>
      </c>
      <c r="J20" s="206">
        <v>207.27301426010334</v>
      </c>
      <c r="K20" s="206"/>
      <c r="L20" s="206">
        <f t="shared" si="3"/>
        <v>118.70782933464781</v>
      </c>
      <c r="M20" s="206">
        <v>59.420819494644775</v>
      </c>
      <c r="N20" s="206">
        <v>59.28700984000303</v>
      </c>
    </row>
    <row r="21" spans="1:18">
      <c r="A21" s="267" t="s">
        <v>154</v>
      </c>
      <c r="B21" s="207">
        <f>+B22+B23</f>
        <v>1358.977042314287</v>
      </c>
      <c r="C21" s="207">
        <f t="shared" si="0"/>
        <v>1532.4646273170292</v>
      </c>
      <c r="D21" s="207">
        <f t="shared" si="1"/>
        <v>375.57682761013467</v>
      </c>
      <c r="E21" s="207">
        <f t="shared" ref="E21:N21" si="5">+E22+E23</f>
        <v>208.56093519378368</v>
      </c>
      <c r="F21" s="207">
        <f t="shared" si="5"/>
        <v>167.01589241635099</v>
      </c>
      <c r="G21" s="207"/>
      <c r="H21" s="207">
        <f t="shared" si="2"/>
        <v>827.04730867275339</v>
      </c>
      <c r="I21" s="207">
        <f t="shared" si="5"/>
        <v>453.7696974366122</v>
      </c>
      <c r="J21" s="207">
        <f t="shared" si="5"/>
        <v>373.27761123614113</v>
      </c>
      <c r="K21" s="207"/>
      <c r="L21" s="207">
        <f t="shared" si="3"/>
        <v>329.84049103414122</v>
      </c>
      <c r="M21" s="207">
        <f t="shared" si="5"/>
        <v>180.33998095871252</v>
      </c>
      <c r="N21" s="207">
        <f t="shared" si="5"/>
        <v>149.50051007542868</v>
      </c>
    </row>
    <row r="22" spans="1:18">
      <c r="A22" s="869" t="s">
        <v>154</v>
      </c>
      <c r="B22" s="206">
        <v>980.6487531337317</v>
      </c>
      <c r="C22" s="206">
        <f t="shared" si="0"/>
        <v>1237.5309622266084</v>
      </c>
      <c r="D22" s="206">
        <f t="shared" si="1"/>
        <v>305.56864916181519</v>
      </c>
      <c r="E22" s="206">
        <v>170.87306468730708</v>
      </c>
      <c r="F22" s="206">
        <v>134.69558447450808</v>
      </c>
      <c r="G22" s="206"/>
      <c r="H22" s="206">
        <f t="shared" si="2"/>
        <v>658.68933918935249</v>
      </c>
      <c r="I22" s="206">
        <v>364.91554093283776</v>
      </c>
      <c r="J22" s="206">
        <v>293.77379825651468</v>
      </c>
      <c r="K22" s="206"/>
      <c r="L22" s="206">
        <f t="shared" si="3"/>
        <v>273.2729738754407</v>
      </c>
      <c r="M22" s="206">
        <v>150.69565594210266</v>
      </c>
      <c r="N22" s="206">
        <v>122.57731793333801</v>
      </c>
      <c r="R22" s="213"/>
    </row>
    <row r="23" spans="1:18">
      <c r="A23" s="869" t="s">
        <v>155</v>
      </c>
      <c r="B23" s="206">
        <v>378.32828918055532</v>
      </c>
      <c r="C23" s="206">
        <f t="shared" si="0"/>
        <v>294.9336650904209</v>
      </c>
      <c r="D23" s="206">
        <f t="shared" si="1"/>
        <v>70.008178448319512</v>
      </c>
      <c r="E23" s="206">
        <v>37.687870506476614</v>
      </c>
      <c r="F23" s="206">
        <v>32.320307941842898</v>
      </c>
      <c r="G23" s="206"/>
      <c r="H23" s="206">
        <f t="shared" si="2"/>
        <v>168.35796948340089</v>
      </c>
      <c r="I23" s="206">
        <v>88.854156503774419</v>
      </c>
      <c r="J23" s="206">
        <v>79.50381297962646</v>
      </c>
      <c r="K23" s="206"/>
      <c r="L23" s="206">
        <f t="shared" si="3"/>
        <v>56.567517158700511</v>
      </c>
      <c r="M23" s="206">
        <v>29.644325016609855</v>
      </c>
      <c r="N23" s="206">
        <v>26.923192142090659</v>
      </c>
    </row>
    <row r="24" spans="1:18">
      <c r="A24" s="267" t="s">
        <v>156</v>
      </c>
      <c r="B24" s="207">
        <f>+B25+B26</f>
        <v>9185.6011579399838</v>
      </c>
      <c r="C24" s="207">
        <f t="shared" si="0"/>
        <v>4403.2029849651262</v>
      </c>
      <c r="D24" s="207">
        <f t="shared" si="1"/>
        <v>714.59539817838026</v>
      </c>
      <c r="E24" s="207">
        <f t="shared" ref="E24:N24" si="6">+E25+E26</f>
        <v>323.74899417151278</v>
      </c>
      <c r="F24" s="207">
        <f t="shared" si="6"/>
        <v>390.84640400686754</v>
      </c>
      <c r="G24" s="207"/>
      <c r="H24" s="207">
        <f t="shared" si="2"/>
        <v>3156.1195030355216</v>
      </c>
      <c r="I24" s="207">
        <f t="shared" si="6"/>
        <v>1594.8979371612918</v>
      </c>
      <c r="J24" s="207">
        <f t="shared" si="6"/>
        <v>1561.2215658742298</v>
      </c>
      <c r="K24" s="207"/>
      <c r="L24" s="207">
        <f t="shared" si="3"/>
        <v>532.48808375122474</v>
      </c>
      <c r="M24" s="207">
        <f t="shared" si="6"/>
        <v>235.96109445942125</v>
      </c>
      <c r="N24" s="207">
        <f t="shared" si="6"/>
        <v>296.52698929180349</v>
      </c>
    </row>
    <row r="25" spans="1:18">
      <c r="A25" s="869" t="s">
        <v>156</v>
      </c>
      <c r="B25" s="206">
        <v>5506.1914520346472</v>
      </c>
      <c r="C25" s="206">
        <f t="shared" si="0"/>
        <v>2883.7595478484054</v>
      </c>
      <c r="D25" s="206">
        <f t="shared" si="1"/>
        <v>480.18984396192275</v>
      </c>
      <c r="E25" s="206">
        <v>217.21197707540537</v>
      </c>
      <c r="F25" s="206">
        <v>262.97786688651735</v>
      </c>
      <c r="G25" s="206"/>
      <c r="H25" s="206">
        <f t="shared" si="2"/>
        <v>2036.8325840801808</v>
      </c>
      <c r="I25" s="206">
        <v>1019.5835397434719</v>
      </c>
      <c r="J25" s="206">
        <v>1017.2490443367088</v>
      </c>
      <c r="K25" s="206"/>
      <c r="L25" s="206">
        <f t="shared" si="3"/>
        <v>366.73711980630219</v>
      </c>
      <c r="M25" s="206">
        <v>160.3924373215892</v>
      </c>
      <c r="N25" s="206">
        <v>206.34468248471299</v>
      </c>
    </row>
    <row r="26" spans="1:18">
      <c r="A26" s="869" t="s">
        <v>157</v>
      </c>
      <c r="B26" s="206">
        <v>3679.409705905337</v>
      </c>
      <c r="C26" s="206">
        <f t="shared" si="0"/>
        <v>1519.443437116721</v>
      </c>
      <c r="D26" s="206">
        <f t="shared" si="1"/>
        <v>234.40555421645763</v>
      </c>
      <c r="E26" s="206">
        <v>106.53701709610742</v>
      </c>
      <c r="F26" s="206">
        <v>127.86853712035021</v>
      </c>
      <c r="G26" s="206"/>
      <c r="H26" s="206">
        <f t="shared" si="2"/>
        <v>1119.286918955341</v>
      </c>
      <c r="I26" s="206">
        <v>575.31439741781992</v>
      </c>
      <c r="J26" s="206">
        <v>543.97252153752106</v>
      </c>
      <c r="K26" s="206"/>
      <c r="L26" s="206">
        <f t="shared" si="3"/>
        <v>165.75096394492252</v>
      </c>
      <c r="M26" s="206">
        <v>75.568657137832034</v>
      </c>
      <c r="N26" s="206">
        <v>90.182306807090484</v>
      </c>
    </row>
    <row r="27" spans="1:18">
      <c r="A27" s="267" t="s">
        <v>158</v>
      </c>
      <c r="B27" s="207">
        <f>+B28+B29</f>
        <v>13509.69785369537</v>
      </c>
      <c r="C27" s="207">
        <f t="shared" si="0"/>
        <v>6401.1644385477803</v>
      </c>
      <c r="D27" s="207">
        <f t="shared" si="1"/>
        <v>1037.6302694539841</v>
      </c>
      <c r="E27" s="207">
        <f t="shared" ref="E27:N27" si="7">+E28+E29</f>
        <v>487.16546270967376</v>
      </c>
      <c r="F27" s="207">
        <f t="shared" si="7"/>
        <v>550.46480674431029</v>
      </c>
      <c r="G27" s="207"/>
      <c r="H27" s="207">
        <f t="shared" si="2"/>
        <v>4577.8765469193459</v>
      </c>
      <c r="I27" s="207">
        <f t="shared" si="7"/>
        <v>2177.601728375756</v>
      </c>
      <c r="J27" s="207">
        <f t="shared" si="7"/>
        <v>2400.2748185435903</v>
      </c>
      <c r="K27" s="207"/>
      <c r="L27" s="207">
        <f t="shared" si="3"/>
        <v>785.65762217444978</v>
      </c>
      <c r="M27" s="207">
        <f t="shared" si="7"/>
        <v>357.75945722896074</v>
      </c>
      <c r="N27" s="207">
        <f t="shared" si="7"/>
        <v>427.89816494548904</v>
      </c>
    </row>
    <row r="28" spans="1:18">
      <c r="A28" s="869" t="s">
        <v>158</v>
      </c>
      <c r="B28" s="206">
        <v>11763.714372494986</v>
      </c>
      <c r="C28" s="206">
        <f t="shared" si="0"/>
        <v>5246.3630921731628</v>
      </c>
      <c r="D28" s="206">
        <f t="shared" si="1"/>
        <v>855.13712277707032</v>
      </c>
      <c r="E28" s="206">
        <v>385.74070519665071</v>
      </c>
      <c r="F28" s="206">
        <v>469.39641758041955</v>
      </c>
      <c r="G28" s="206"/>
      <c r="H28" s="206">
        <f t="shared" si="2"/>
        <v>3766.5025839346663</v>
      </c>
      <c r="I28" s="206">
        <v>1745.0691357031633</v>
      </c>
      <c r="J28" s="206">
        <v>2021.4334482315028</v>
      </c>
      <c r="K28" s="206"/>
      <c r="L28" s="206">
        <f t="shared" si="3"/>
        <v>624.72338546142635</v>
      </c>
      <c r="M28" s="206">
        <v>265.7909398528256</v>
      </c>
      <c r="N28" s="206">
        <v>358.93244560860074</v>
      </c>
    </row>
    <row r="29" spans="1:18">
      <c r="A29" s="869" t="s">
        <v>159</v>
      </c>
      <c r="B29" s="206">
        <v>1745.9834812003842</v>
      </c>
      <c r="C29" s="206">
        <f t="shared" si="0"/>
        <v>1154.8013463746174</v>
      </c>
      <c r="D29" s="206">
        <f t="shared" si="1"/>
        <v>182.49314667691377</v>
      </c>
      <c r="E29" s="206">
        <v>101.42475751302304</v>
      </c>
      <c r="F29" s="206">
        <v>81.068389163890728</v>
      </c>
      <c r="G29" s="206"/>
      <c r="H29" s="206">
        <f t="shared" si="2"/>
        <v>811.37396298468036</v>
      </c>
      <c r="I29" s="206">
        <v>432.53259267259273</v>
      </c>
      <c r="J29" s="206">
        <v>378.84137031208763</v>
      </c>
      <c r="K29" s="206"/>
      <c r="L29" s="206">
        <f t="shared" si="3"/>
        <v>160.93423671302344</v>
      </c>
      <c r="M29" s="206">
        <v>91.968517376135125</v>
      </c>
      <c r="N29" s="206">
        <v>68.965719336888299</v>
      </c>
    </row>
    <row r="30" spans="1:18">
      <c r="A30" s="267" t="s">
        <v>160</v>
      </c>
      <c r="B30" s="207">
        <v>3959.4612828541767</v>
      </c>
      <c r="C30" s="207">
        <f t="shared" si="0"/>
        <v>1710.0122627708547</v>
      </c>
      <c r="D30" s="207">
        <f t="shared" si="1"/>
        <v>362.92178734098138</v>
      </c>
      <c r="E30" s="207">
        <v>172.65435467670142</v>
      </c>
      <c r="F30" s="207">
        <v>190.26743266427997</v>
      </c>
      <c r="G30" s="207"/>
      <c r="H30" s="207">
        <f t="shared" si="2"/>
        <v>1089.2765788485931</v>
      </c>
      <c r="I30" s="207">
        <v>512.13902187852614</v>
      </c>
      <c r="J30" s="207">
        <v>577.13755697006707</v>
      </c>
      <c r="K30" s="207"/>
      <c r="L30" s="207">
        <f t="shared" si="3"/>
        <v>257.81389658128018</v>
      </c>
      <c r="M30" s="207">
        <v>118.73738256976613</v>
      </c>
      <c r="N30" s="207">
        <v>139.07651401151406</v>
      </c>
    </row>
    <row r="31" spans="1:18">
      <c r="A31" s="869" t="s">
        <v>160</v>
      </c>
      <c r="B31" s="206">
        <v>3959.4612828541767</v>
      </c>
      <c r="C31" s="206">
        <f t="shared" si="0"/>
        <v>1710.0122627708547</v>
      </c>
      <c r="D31" s="206">
        <f t="shared" si="1"/>
        <v>362.92178734098138</v>
      </c>
      <c r="E31" s="206">
        <v>172.65435467670142</v>
      </c>
      <c r="F31" s="206">
        <v>190.26743266427997</v>
      </c>
      <c r="G31" s="206"/>
      <c r="H31" s="206">
        <f t="shared" si="2"/>
        <v>1089.2765788485931</v>
      </c>
      <c r="I31" s="206">
        <v>512.13902187852614</v>
      </c>
      <c r="J31" s="206">
        <v>577.13755697006707</v>
      </c>
      <c r="K31" s="206"/>
      <c r="L31" s="206">
        <f t="shared" si="3"/>
        <v>257.81389658128018</v>
      </c>
      <c r="M31" s="206">
        <v>118.73738256976613</v>
      </c>
      <c r="N31" s="206">
        <v>139.07651401151406</v>
      </c>
    </row>
    <row r="32" spans="1:18">
      <c r="A32" s="267" t="s">
        <v>161</v>
      </c>
      <c r="B32" s="207">
        <f>+B33+B34</f>
        <v>15939.235595524917</v>
      </c>
      <c r="C32" s="207">
        <f t="shared" si="0"/>
        <v>8338.2086964164228</v>
      </c>
      <c r="D32" s="207">
        <f t="shared" si="1"/>
        <v>1974.5455053020937</v>
      </c>
      <c r="E32" s="207">
        <f t="shared" ref="E32:N32" si="8">+E33+E34</f>
        <v>952.57645956390604</v>
      </c>
      <c r="F32" s="207">
        <f t="shared" si="8"/>
        <v>1021.9690457381877</v>
      </c>
      <c r="G32" s="207"/>
      <c r="H32" s="207">
        <f t="shared" si="2"/>
        <v>4748.9801033894382</v>
      </c>
      <c r="I32" s="207">
        <f t="shared" si="8"/>
        <v>2351.1950016907213</v>
      </c>
      <c r="J32" s="207">
        <f t="shared" si="8"/>
        <v>2397.7851016987165</v>
      </c>
      <c r="K32" s="207"/>
      <c r="L32" s="207">
        <f t="shared" si="3"/>
        <v>1614.6830877248894</v>
      </c>
      <c r="M32" s="207">
        <f t="shared" si="8"/>
        <v>781.40294194576541</v>
      </c>
      <c r="N32" s="207">
        <f t="shared" si="8"/>
        <v>833.28014577912415</v>
      </c>
    </row>
    <row r="33" spans="1:14">
      <c r="A33" s="869" t="s">
        <v>161</v>
      </c>
      <c r="B33" s="206">
        <v>12978.969425904406</v>
      </c>
      <c r="C33" s="206">
        <f t="shared" si="0"/>
        <v>7549.140540398661</v>
      </c>
      <c r="D33" s="206">
        <f t="shared" si="1"/>
        <v>1847.6447241087699</v>
      </c>
      <c r="E33" s="206">
        <v>885.17120104963158</v>
      </c>
      <c r="F33" s="206">
        <v>962.47352305913819</v>
      </c>
      <c r="G33" s="206"/>
      <c r="H33" s="206">
        <f t="shared" si="2"/>
        <v>4176.0100425376813</v>
      </c>
      <c r="I33" s="206">
        <v>2069.3900636065673</v>
      </c>
      <c r="J33" s="206">
        <v>2106.619978931114</v>
      </c>
      <c r="K33" s="206"/>
      <c r="L33" s="206">
        <f t="shared" si="3"/>
        <v>1525.48577375221</v>
      </c>
      <c r="M33" s="206">
        <v>738.24653284156534</v>
      </c>
      <c r="N33" s="206">
        <v>787.23924091064464</v>
      </c>
    </row>
    <row r="34" spans="1:14">
      <c r="A34" s="869" t="s">
        <v>162</v>
      </c>
      <c r="B34" s="206">
        <v>2960.2661696205105</v>
      </c>
      <c r="C34" s="206">
        <f t="shared" si="0"/>
        <v>789.06815601775997</v>
      </c>
      <c r="D34" s="206">
        <f t="shared" si="1"/>
        <v>126.90078119332391</v>
      </c>
      <c r="E34" s="206">
        <v>67.40525851427445</v>
      </c>
      <c r="F34" s="206">
        <v>59.495522679049458</v>
      </c>
      <c r="G34" s="206"/>
      <c r="H34" s="206">
        <f t="shared" si="2"/>
        <v>572.97006085175633</v>
      </c>
      <c r="I34" s="206">
        <v>281.80493808415395</v>
      </c>
      <c r="J34" s="206">
        <v>291.16512276760238</v>
      </c>
      <c r="K34" s="206"/>
      <c r="L34" s="206">
        <f t="shared" si="3"/>
        <v>89.197313972679638</v>
      </c>
      <c r="M34" s="206">
        <v>43.15640910420008</v>
      </c>
      <c r="N34" s="206">
        <v>46.040904868479558</v>
      </c>
    </row>
    <row r="35" spans="1:14">
      <c r="A35" s="267" t="s">
        <v>163</v>
      </c>
      <c r="B35" s="207">
        <f>+B36+B37</f>
        <v>11382.624258899761</v>
      </c>
      <c r="C35" s="207">
        <f t="shared" si="0"/>
        <v>4470.6510986706489</v>
      </c>
      <c r="D35" s="207">
        <f t="shared" si="1"/>
        <v>675.03028731287077</v>
      </c>
      <c r="E35" s="207">
        <f t="shared" ref="E35:N35" si="9">+E36+E37</f>
        <v>334.49232026686383</v>
      </c>
      <c r="F35" s="207">
        <f t="shared" si="9"/>
        <v>340.53796704600688</v>
      </c>
      <c r="G35" s="207"/>
      <c r="H35" s="207">
        <f t="shared" si="2"/>
        <v>3330.9532665219026</v>
      </c>
      <c r="I35" s="207">
        <f t="shared" si="9"/>
        <v>1592.6184328631184</v>
      </c>
      <c r="J35" s="207">
        <f t="shared" si="9"/>
        <v>1738.3348336587842</v>
      </c>
      <c r="K35" s="207"/>
      <c r="L35" s="207">
        <f t="shared" si="3"/>
        <v>464.66754483587533</v>
      </c>
      <c r="M35" s="207">
        <f t="shared" si="9"/>
        <v>240.15566864441544</v>
      </c>
      <c r="N35" s="207">
        <f t="shared" si="9"/>
        <v>224.51187619145989</v>
      </c>
    </row>
    <row r="36" spans="1:14">
      <c r="A36" s="869" t="s">
        <v>163</v>
      </c>
      <c r="B36" s="206">
        <v>7989.1303103257442</v>
      </c>
      <c r="C36" s="206">
        <f t="shared" si="0"/>
        <v>3163.0905601573168</v>
      </c>
      <c r="D36" s="206">
        <f t="shared" si="1"/>
        <v>505.04123942688466</v>
      </c>
      <c r="E36" s="206">
        <v>249.55608269749945</v>
      </c>
      <c r="F36" s="206">
        <v>255.48515672938518</v>
      </c>
      <c r="G36" s="206"/>
      <c r="H36" s="206">
        <f t="shared" si="2"/>
        <v>2317.592617641697</v>
      </c>
      <c r="I36" s="206">
        <v>1110.3051707735642</v>
      </c>
      <c r="J36" s="206">
        <v>1207.2874468681325</v>
      </c>
      <c r="K36" s="206"/>
      <c r="L36" s="206">
        <f t="shared" si="3"/>
        <v>340.45670308873537</v>
      </c>
      <c r="M36" s="206">
        <v>176.79229755989235</v>
      </c>
      <c r="N36" s="206">
        <v>163.66440552884302</v>
      </c>
    </row>
    <row r="37" spans="1:14">
      <c r="A37" s="870" t="s">
        <v>164</v>
      </c>
      <c r="B37" s="208">
        <v>3393.4939485740174</v>
      </c>
      <c r="C37" s="208">
        <f t="shared" si="0"/>
        <v>1307.5605385133319</v>
      </c>
      <c r="D37" s="208">
        <f>+E37+F37</f>
        <v>169.98904788598611</v>
      </c>
      <c r="E37" s="208">
        <v>84.93623756936438</v>
      </c>
      <c r="F37" s="208">
        <v>85.052810316621731</v>
      </c>
      <c r="G37" s="208"/>
      <c r="H37" s="208">
        <f t="shared" si="2"/>
        <v>1013.3606488802059</v>
      </c>
      <c r="I37" s="208">
        <v>482.31326208955426</v>
      </c>
      <c r="J37" s="208">
        <v>531.04738679065156</v>
      </c>
      <c r="K37" s="208"/>
      <c r="L37" s="208">
        <f t="shared" si="3"/>
        <v>124.21084174713997</v>
      </c>
      <c r="M37" s="208">
        <v>63.363371084523102</v>
      </c>
      <c r="N37" s="208">
        <v>60.847470662616871</v>
      </c>
    </row>
  </sheetData>
  <mergeCells count="7">
    <mergeCell ref="A1:N1"/>
    <mergeCell ref="A2:A3"/>
    <mergeCell ref="B2:B3"/>
    <mergeCell ref="C2:C3"/>
    <mergeCell ref="D2:F2"/>
    <mergeCell ref="H2:J2"/>
    <mergeCell ref="L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9"/>
  <sheetViews>
    <sheetView workbookViewId="0">
      <selection activeCell="C29" sqref="C29"/>
    </sheetView>
  </sheetViews>
  <sheetFormatPr defaultRowHeight="12"/>
  <cols>
    <col min="1" max="1" width="17" style="871" customWidth="1"/>
    <col min="2" max="2" width="11.85546875" style="871" bestFit="1" customWidth="1"/>
    <col min="3" max="3" width="16.5703125" style="871" customWidth="1"/>
    <col min="4" max="4" width="11" style="871" customWidth="1"/>
    <col min="5" max="5" width="10.85546875" style="871" customWidth="1"/>
    <col min="6" max="6" width="9.42578125" style="871" bestFit="1" customWidth="1"/>
    <col min="7" max="7" width="2.7109375" style="871" customWidth="1"/>
    <col min="8" max="8" width="8" style="871" customWidth="1"/>
    <col min="9" max="10" width="10" style="871" bestFit="1" customWidth="1"/>
    <col min="11" max="11" width="2.42578125" style="871" customWidth="1"/>
    <col min="12" max="12" width="9.28515625" style="871" bestFit="1" customWidth="1"/>
    <col min="13" max="13" width="9.140625" style="871"/>
    <col min="14" max="14" width="9.42578125" style="871" bestFit="1" customWidth="1"/>
    <col min="15" max="17" width="9.140625" style="871"/>
    <col min="18" max="18" width="11.28515625" style="871" customWidth="1"/>
    <col min="19" max="16384" width="9.140625" style="871"/>
  </cols>
  <sheetData>
    <row r="1" spans="1:15" ht="18" customHeight="1">
      <c r="A1" s="999" t="s">
        <v>575</v>
      </c>
      <c r="B1" s="999"/>
      <c r="C1" s="999"/>
      <c r="D1" s="999"/>
      <c r="E1" s="999"/>
      <c r="F1" s="999"/>
      <c r="G1" s="999"/>
      <c r="H1" s="999"/>
      <c r="I1" s="999"/>
      <c r="J1" s="999"/>
      <c r="K1" s="999"/>
      <c r="L1" s="999"/>
      <c r="M1" s="999"/>
      <c r="N1" s="999"/>
      <c r="O1" s="999"/>
    </row>
    <row r="2" spans="1:15" ht="15" customHeight="1">
      <c r="A2" s="1000" t="s">
        <v>534</v>
      </c>
      <c r="B2" s="1000" t="s">
        <v>210</v>
      </c>
      <c r="C2" s="1000" t="s">
        <v>211</v>
      </c>
      <c r="D2" s="1002" t="s">
        <v>212</v>
      </c>
      <c r="E2" s="1002"/>
      <c r="F2" s="1002"/>
      <c r="G2" s="872"/>
      <c r="H2" s="1002" t="s">
        <v>213</v>
      </c>
      <c r="I2" s="1002"/>
      <c r="J2" s="1002"/>
      <c r="K2" s="872"/>
      <c r="L2" s="1002" t="s">
        <v>214</v>
      </c>
      <c r="M2" s="1002"/>
      <c r="N2" s="1002"/>
      <c r="O2" s="1003" t="s">
        <v>215</v>
      </c>
    </row>
    <row r="3" spans="1:15" ht="21.75" customHeight="1">
      <c r="A3" s="1001"/>
      <c r="B3" s="1001"/>
      <c r="C3" s="1001"/>
      <c r="D3" s="873" t="s">
        <v>0</v>
      </c>
      <c r="E3" s="269" t="s">
        <v>1</v>
      </c>
      <c r="F3" s="269" t="s">
        <v>2</v>
      </c>
      <c r="G3" s="874"/>
      <c r="H3" s="873" t="s">
        <v>0</v>
      </c>
      <c r="I3" s="269" t="s">
        <v>1</v>
      </c>
      <c r="J3" s="269" t="s">
        <v>2</v>
      </c>
      <c r="K3" s="874"/>
      <c r="L3" s="873" t="s">
        <v>0</v>
      </c>
      <c r="M3" s="269" t="s">
        <v>1</v>
      </c>
      <c r="N3" s="269" t="s">
        <v>2</v>
      </c>
      <c r="O3" s="1004"/>
    </row>
    <row r="4" spans="1:15">
      <c r="A4" s="875" t="s">
        <v>147</v>
      </c>
      <c r="B4" s="876">
        <v>283502.22694223473</v>
      </c>
      <c r="C4" s="876">
        <f>D4+H4+L4</f>
        <v>33500.131540052942</v>
      </c>
      <c r="D4" s="876">
        <f>F4+E4</f>
        <v>5843.4366836317758</v>
      </c>
      <c r="E4" s="876">
        <v>2834.1680381484475</v>
      </c>
      <c r="F4" s="876">
        <v>3009.2686454833283</v>
      </c>
      <c r="G4" s="876"/>
      <c r="H4" s="876">
        <f>J4+I4</f>
        <v>24194.285257078271</v>
      </c>
      <c r="I4" s="876">
        <v>11881.896401808457</v>
      </c>
      <c r="J4" s="876">
        <v>12312.388855269814</v>
      </c>
      <c r="K4" s="876"/>
      <c r="L4" s="876">
        <f>N4+M4</f>
        <v>3462.4095993428937</v>
      </c>
      <c r="M4" s="876">
        <v>1667.4847320846752</v>
      </c>
      <c r="N4" s="876">
        <v>1794.9248672582182</v>
      </c>
      <c r="O4" s="877">
        <f>C4/B4*100</f>
        <v>11.816532060920563</v>
      </c>
    </row>
    <row r="5" spans="1:15">
      <c r="A5" s="878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191"/>
    </row>
    <row r="6" spans="1:15" ht="13.5" customHeight="1">
      <c r="A6" s="849" t="s">
        <v>3</v>
      </c>
      <c r="B6" s="879"/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  <c r="O6" s="880"/>
    </row>
    <row r="7" spans="1:15">
      <c r="A7" s="881" t="s">
        <v>4</v>
      </c>
      <c r="B7" s="215">
        <v>196074.84424233457</v>
      </c>
      <c r="C7" s="215">
        <f t="shared" ref="C7:C13" si="0">D7+H7+L7</f>
        <v>22793.993530982745</v>
      </c>
      <c r="D7" s="215">
        <f t="shared" ref="D7:D12" si="1">F7+E7</f>
        <v>3628.9767808191455</v>
      </c>
      <c r="E7" s="215">
        <v>1754.1572287230188</v>
      </c>
      <c r="F7" s="215">
        <v>1874.8195520961267</v>
      </c>
      <c r="G7" s="215"/>
      <c r="H7" s="215">
        <f t="shared" ref="H7:H13" si="2">J7+I7</f>
        <v>17230.915108807138</v>
      </c>
      <c r="I7" s="215">
        <v>8455.509868419027</v>
      </c>
      <c r="J7" s="215">
        <v>8775.4052403881087</v>
      </c>
      <c r="K7" s="215"/>
      <c r="L7" s="215">
        <f t="shared" ref="L7:L13" si="3">N7+M7</f>
        <v>1934.1016413564626</v>
      </c>
      <c r="M7" s="215">
        <v>931.21889080365361</v>
      </c>
      <c r="N7" s="215">
        <v>1002.8827505528089</v>
      </c>
      <c r="O7" s="191">
        <f t="shared" ref="O7:O13" si="4">C7/B7*100</f>
        <v>11.62514937551652</v>
      </c>
    </row>
    <row r="8" spans="1:15">
      <c r="A8" s="881" t="s">
        <v>5</v>
      </c>
      <c r="B8" s="215">
        <v>87427.382700134738</v>
      </c>
      <c r="C8" s="215">
        <f t="shared" si="0"/>
        <v>10706.138009069748</v>
      </c>
      <c r="D8" s="215">
        <f t="shared" si="1"/>
        <v>2214.4599028124953</v>
      </c>
      <c r="E8" s="215">
        <v>1080.0108094253617</v>
      </c>
      <c r="F8" s="215">
        <v>1134.4490933871336</v>
      </c>
      <c r="G8" s="215"/>
      <c r="H8" s="215">
        <f t="shared" si="2"/>
        <v>6963.3701482708466</v>
      </c>
      <c r="I8" s="215">
        <v>3426.38653338929</v>
      </c>
      <c r="J8" s="215">
        <v>3536.9836148815566</v>
      </c>
      <c r="K8" s="215"/>
      <c r="L8" s="215">
        <f t="shared" si="3"/>
        <v>1528.3079579864068</v>
      </c>
      <c r="M8" s="215">
        <v>736.26584128101092</v>
      </c>
      <c r="N8" s="215">
        <v>792.04211670539587</v>
      </c>
      <c r="O8" s="191">
        <f t="shared" si="4"/>
        <v>12.245749190262845</v>
      </c>
    </row>
    <row r="9" spans="1:15" ht="12.75" customHeight="1">
      <c r="A9" s="849" t="s">
        <v>184</v>
      </c>
      <c r="B9" s="879"/>
      <c r="C9" s="879"/>
      <c r="D9" s="879"/>
      <c r="E9" s="879"/>
      <c r="F9" s="879"/>
      <c r="G9" s="879"/>
      <c r="H9" s="879"/>
      <c r="I9" s="879"/>
      <c r="J9" s="879"/>
      <c r="K9" s="879"/>
      <c r="L9" s="879"/>
      <c r="M9" s="879"/>
      <c r="N9" s="879"/>
      <c r="O9" s="880"/>
    </row>
    <row r="10" spans="1:15">
      <c r="A10" s="881" t="s">
        <v>105</v>
      </c>
      <c r="B10" s="215">
        <v>88520.605997207575</v>
      </c>
      <c r="C10" s="215">
        <f t="shared" si="0"/>
        <v>7507.0000284450998</v>
      </c>
      <c r="D10" s="215">
        <f t="shared" si="1"/>
        <v>870.35719767221349</v>
      </c>
      <c r="E10" s="215">
        <v>433.14821657093051</v>
      </c>
      <c r="F10" s="215">
        <v>437.20898110128303</v>
      </c>
      <c r="G10" s="215"/>
      <c r="H10" s="215">
        <f t="shared" si="2"/>
        <v>6004.5171522146875</v>
      </c>
      <c r="I10" s="215">
        <v>3023.9159869358932</v>
      </c>
      <c r="J10" s="215">
        <v>2980.6011652787943</v>
      </c>
      <c r="K10" s="215"/>
      <c r="L10" s="215">
        <f t="shared" si="3"/>
        <v>632.1256785581993</v>
      </c>
      <c r="M10" s="215">
        <v>316.73963336749176</v>
      </c>
      <c r="N10" s="215">
        <v>315.38604519070759</v>
      </c>
      <c r="O10" s="191">
        <f t="shared" si="4"/>
        <v>8.4805113384356083</v>
      </c>
    </row>
    <row r="11" spans="1:15">
      <c r="A11" s="881" t="s">
        <v>106</v>
      </c>
      <c r="B11" s="215">
        <v>77358.652393984274</v>
      </c>
      <c r="C11" s="215">
        <f t="shared" si="0"/>
        <v>8680.8886094562768</v>
      </c>
      <c r="D11" s="215">
        <f t="shared" si="1"/>
        <v>1756.7827904154842</v>
      </c>
      <c r="E11" s="215">
        <v>858.9905189998027</v>
      </c>
      <c r="F11" s="215">
        <v>897.79227141568163</v>
      </c>
      <c r="G11" s="215"/>
      <c r="H11" s="215">
        <f t="shared" si="2"/>
        <v>5920.6122220784064</v>
      </c>
      <c r="I11" s="215">
        <v>3011.8187823499434</v>
      </c>
      <c r="J11" s="215">
        <v>2908.793439728463</v>
      </c>
      <c r="K11" s="215"/>
      <c r="L11" s="215">
        <f t="shared" si="3"/>
        <v>1003.4935969623865</v>
      </c>
      <c r="M11" s="215">
        <v>504.42278140642628</v>
      </c>
      <c r="N11" s="215">
        <v>499.07081555596022</v>
      </c>
      <c r="O11" s="191">
        <f t="shared" si="4"/>
        <v>11.221613020408999</v>
      </c>
    </row>
    <row r="12" spans="1:15">
      <c r="A12" s="881" t="s">
        <v>107</v>
      </c>
      <c r="B12" s="215">
        <v>74833.862504033561</v>
      </c>
      <c r="C12" s="215">
        <f t="shared" si="0"/>
        <v>9636.214513764593</v>
      </c>
      <c r="D12" s="215">
        <f t="shared" si="1"/>
        <v>1431.6508649996713</v>
      </c>
      <c r="E12" s="215">
        <v>706.45949226152004</v>
      </c>
      <c r="F12" s="215">
        <v>725.19137273815124</v>
      </c>
      <c r="G12" s="215"/>
      <c r="H12" s="215">
        <f t="shared" si="2"/>
        <v>7388.3888565688476</v>
      </c>
      <c r="I12" s="215">
        <v>3595.1830600507933</v>
      </c>
      <c r="J12" s="215">
        <v>3793.2057965180543</v>
      </c>
      <c r="K12" s="215"/>
      <c r="L12" s="215">
        <f t="shared" si="3"/>
        <v>816.17479219607446</v>
      </c>
      <c r="M12" s="215">
        <v>379.98957538309043</v>
      </c>
      <c r="N12" s="215">
        <v>436.18521681298404</v>
      </c>
      <c r="O12" s="191">
        <f t="shared" si="4"/>
        <v>12.876810298606728</v>
      </c>
    </row>
    <row r="13" spans="1:15">
      <c r="A13" s="882" t="s">
        <v>535</v>
      </c>
      <c r="B13" s="218">
        <v>42789.106047452144</v>
      </c>
      <c r="C13" s="218">
        <f t="shared" si="0"/>
        <v>7676.0283883866832</v>
      </c>
      <c r="D13" s="218">
        <f>F13+E13</f>
        <v>1784.6458305442566</v>
      </c>
      <c r="E13" s="218">
        <v>835.56981031612293</v>
      </c>
      <c r="F13" s="218">
        <v>949.07602022813376</v>
      </c>
      <c r="G13" s="218"/>
      <c r="H13" s="218">
        <f t="shared" si="2"/>
        <v>4880.7670262162201</v>
      </c>
      <c r="I13" s="218">
        <v>2250.9785724718186</v>
      </c>
      <c r="J13" s="218">
        <v>2629.7884537444015</v>
      </c>
      <c r="K13" s="218"/>
      <c r="L13" s="218">
        <f t="shared" si="3"/>
        <v>1010.6155316262069</v>
      </c>
      <c r="M13" s="218">
        <v>466.33274192765396</v>
      </c>
      <c r="N13" s="218">
        <v>544.28278969855296</v>
      </c>
      <c r="O13" s="191">
        <f t="shared" si="4"/>
        <v>17.939211863585424</v>
      </c>
    </row>
    <row r="15" spans="1:15">
      <c r="F15" s="907"/>
      <c r="H15" s="907"/>
    </row>
    <row r="17" spans="1:8">
      <c r="A17" s="906"/>
      <c r="B17" s="906"/>
    </row>
    <row r="18" spans="1:8">
      <c r="A18" s="906"/>
      <c r="B18" s="906"/>
    </row>
    <row r="19" spans="1:8">
      <c r="F19" s="908"/>
      <c r="G19" s="908"/>
      <c r="H19" s="908"/>
    </row>
  </sheetData>
  <mergeCells count="8">
    <mergeCell ref="A1:O1"/>
    <mergeCell ref="A2:A3"/>
    <mergeCell ref="B2:B3"/>
    <mergeCell ref="C2:C3"/>
    <mergeCell ref="D2:F2"/>
    <mergeCell ref="H2:J2"/>
    <mergeCell ref="L2:N2"/>
    <mergeCell ref="O2:O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7"/>
  <sheetViews>
    <sheetView workbookViewId="0">
      <selection activeCell="F18" sqref="F18"/>
    </sheetView>
  </sheetViews>
  <sheetFormatPr defaultRowHeight="12"/>
  <cols>
    <col min="1" max="1" width="18" style="844" customWidth="1"/>
    <col min="2" max="2" width="13.42578125" style="844" customWidth="1"/>
    <col min="3" max="3" width="14.7109375" style="844" customWidth="1"/>
    <col min="4" max="4" width="14.5703125" style="845" customWidth="1"/>
    <col min="5" max="5" width="14.42578125" style="845" customWidth="1"/>
    <col min="6" max="6" width="15.85546875" style="845" customWidth="1"/>
    <col min="7" max="7" width="12.42578125" style="845" customWidth="1"/>
    <col min="8" max="8" width="11.140625" style="845" bestFit="1" customWidth="1"/>
    <col min="9" max="9" width="14.28515625" style="845" customWidth="1"/>
    <col min="10" max="10" width="12.28515625" style="845" customWidth="1"/>
    <col min="11" max="11" width="13.140625" style="845" customWidth="1"/>
    <col min="12" max="14" width="9.140625" style="845"/>
    <col min="15" max="15" width="11.85546875" style="845" customWidth="1"/>
    <col min="16" max="16" width="9.140625" style="846"/>
    <col min="17" max="16384" width="9.140625" style="845"/>
  </cols>
  <sheetData>
    <row r="1" spans="1:16" ht="15" customHeight="1">
      <c r="A1" s="1005" t="s">
        <v>216</v>
      </c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</row>
    <row r="2" spans="1:16">
      <c r="A2" s="1006" t="s">
        <v>314</v>
      </c>
      <c r="B2" s="1006" t="s">
        <v>217</v>
      </c>
      <c r="C2" s="1008" t="s">
        <v>218</v>
      </c>
      <c r="D2" s="1008"/>
      <c r="E2" s="1008"/>
      <c r="F2" s="1008"/>
      <c r="G2" s="1008"/>
      <c r="H2" s="1008"/>
      <c r="I2" s="1008"/>
      <c r="J2" s="1008"/>
      <c r="K2" s="1008"/>
      <c r="L2" s="1008"/>
      <c r="M2" s="1008"/>
      <c r="N2" s="1008"/>
      <c r="O2" s="1008"/>
      <c r="P2" s="1008"/>
    </row>
    <row r="3" spans="1:16" ht="48">
      <c r="A3" s="1007"/>
      <c r="B3" s="1007"/>
      <c r="C3" s="270" t="s">
        <v>531</v>
      </c>
      <c r="D3" s="270" t="s">
        <v>219</v>
      </c>
      <c r="E3" s="270" t="s">
        <v>220</v>
      </c>
      <c r="F3" s="270" t="s">
        <v>221</v>
      </c>
      <c r="G3" s="270" t="s">
        <v>222</v>
      </c>
      <c r="H3" s="270" t="s">
        <v>223</v>
      </c>
      <c r="I3" s="270" t="s">
        <v>224</v>
      </c>
      <c r="J3" s="270" t="s">
        <v>225</v>
      </c>
      <c r="K3" s="270" t="s">
        <v>150</v>
      </c>
      <c r="L3" s="270" t="s">
        <v>226</v>
      </c>
      <c r="M3" s="270" t="s">
        <v>227</v>
      </c>
      <c r="N3" s="270" t="s">
        <v>228</v>
      </c>
      <c r="O3" s="270" t="s">
        <v>229</v>
      </c>
      <c r="P3" s="270" t="s">
        <v>230</v>
      </c>
    </row>
    <row r="4" spans="1:16">
      <c r="A4" s="847" t="s">
        <v>147</v>
      </c>
      <c r="B4" s="848">
        <v>534338.85842275259</v>
      </c>
      <c r="C4" s="848">
        <v>166561.79665350745</v>
      </c>
      <c r="D4" s="848">
        <v>15115.026111162888</v>
      </c>
      <c r="E4" s="848">
        <v>39507.001366056</v>
      </c>
      <c r="F4" s="848">
        <v>89457.630686291915</v>
      </c>
      <c r="G4" s="848">
        <v>86737.615433231578</v>
      </c>
      <c r="H4" s="848">
        <v>4507.1113636970094</v>
      </c>
      <c r="I4" s="848">
        <v>1256.3448498065575</v>
      </c>
      <c r="J4" s="848">
        <v>830.21578605368438</v>
      </c>
      <c r="K4" s="848">
        <v>36000.91154965719</v>
      </c>
      <c r="L4" s="848">
        <v>7049.1517813726568</v>
      </c>
      <c r="M4" s="848">
        <v>3047.6925802191718</v>
      </c>
      <c r="N4" s="848">
        <v>124.57613791253652</v>
      </c>
      <c r="O4" s="848">
        <v>188.13783777316272</v>
      </c>
      <c r="P4" s="848">
        <v>83955.646285771552</v>
      </c>
    </row>
    <row r="5" spans="1:16" ht="17.25" customHeight="1">
      <c r="A5" s="271"/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</row>
    <row r="6" spans="1:16">
      <c r="A6" s="849" t="s">
        <v>3</v>
      </c>
      <c r="B6" s="850"/>
      <c r="C6" s="850"/>
      <c r="D6" s="850"/>
      <c r="E6" s="850"/>
      <c r="F6" s="850"/>
      <c r="G6" s="850"/>
      <c r="H6" s="850"/>
      <c r="I6" s="850"/>
      <c r="J6" s="850"/>
      <c r="K6" s="850"/>
      <c r="L6" s="850"/>
      <c r="M6" s="850"/>
      <c r="N6" s="850"/>
      <c r="O6" s="850"/>
      <c r="P6" s="850"/>
    </row>
    <row r="7" spans="1:16">
      <c r="A7" s="271" t="s">
        <v>4</v>
      </c>
      <c r="B7" s="272">
        <v>367457.49651384098</v>
      </c>
      <c r="C7" s="272">
        <v>100267.60045592509</v>
      </c>
      <c r="D7" s="272">
        <v>11903.00785270865</v>
      </c>
      <c r="E7" s="272">
        <v>23166.193064213774</v>
      </c>
      <c r="F7" s="272">
        <v>62182.14055467552</v>
      </c>
      <c r="G7" s="272">
        <v>80115.675077260079</v>
      </c>
      <c r="H7" s="272">
        <v>4052.9514803270963</v>
      </c>
      <c r="I7" s="272">
        <v>603.09622810699375</v>
      </c>
      <c r="J7" s="272">
        <v>563.42852072670712</v>
      </c>
      <c r="K7" s="272">
        <v>21271.51435861563</v>
      </c>
      <c r="L7" s="272">
        <v>4421.3092862590529</v>
      </c>
      <c r="M7" s="272">
        <v>1331.1565515201689</v>
      </c>
      <c r="N7" s="272">
        <v>101.70860430906748</v>
      </c>
      <c r="O7" s="272">
        <v>129.40245507096719</v>
      </c>
      <c r="P7" s="272">
        <v>57348.312024332787</v>
      </c>
    </row>
    <row r="8" spans="1:16" ht="15" customHeight="1">
      <c r="A8" s="271" t="s">
        <v>5</v>
      </c>
      <c r="B8" s="272">
        <v>166881.36190847791</v>
      </c>
      <c r="C8" s="272">
        <v>66294.196197704165</v>
      </c>
      <c r="D8" s="272">
        <v>3212.0182584535487</v>
      </c>
      <c r="E8" s="272">
        <v>16340.808301843841</v>
      </c>
      <c r="F8" s="272">
        <v>27275.490131655297</v>
      </c>
      <c r="G8" s="272">
        <v>6621.940355982837</v>
      </c>
      <c r="H8" s="272">
        <v>454.15988336993092</v>
      </c>
      <c r="I8" s="272">
        <v>653.24862169955861</v>
      </c>
      <c r="J8" s="272">
        <v>266.78726532697942</v>
      </c>
      <c r="K8" s="272">
        <v>14729.397191043836</v>
      </c>
      <c r="L8" s="272">
        <v>2627.842495113714</v>
      </c>
      <c r="M8" s="272">
        <v>1716.5360286989826</v>
      </c>
      <c r="N8" s="272">
        <v>22.867533603469042</v>
      </c>
      <c r="O8" s="272">
        <v>58.735382702195679</v>
      </c>
      <c r="P8" s="272">
        <v>26607.334261474552</v>
      </c>
    </row>
    <row r="9" spans="1:16">
      <c r="A9" s="851" t="s">
        <v>177</v>
      </c>
      <c r="B9" s="850"/>
      <c r="C9" s="850"/>
      <c r="D9" s="850"/>
      <c r="E9" s="850"/>
      <c r="F9" s="850"/>
      <c r="G9" s="850"/>
      <c r="H9" s="850"/>
      <c r="I9" s="850"/>
      <c r="J9" s="850"/>
      <c r="K9" s="850"/>
      <c r="L9" s="850"/>
      <c r="M9" s="850"/>
      <c r="N9" s="850"/>
      <c r="O9" s="850"/>
      <c r="P9" s="850"/>
    </row>
    <row r="10" spans="1:16">
      <c r="A10" s="852" t="s">
        <v>148</v>
      </c>
      <c r="B10" s="273">
        <v>359399.2940705684</v>
      </c>
      <c r="C10" s="273">
        <v>86602.548414194083</v>
      </c>
      <c r="D10" s="273">
        <v>11634.597648048559</v>
      </c>
      <c r="E10" s="273">
        <v>26118.551779967409</v>
      </c>
      <c r="F10" s="273">
        <v>68204.820920101745</v>
      </c>
      <c r="G10" s="273">
        <v>80057.195990362627</v>
      </c>
      <c r="H10" s="273">
        <v>4062.6675307708597</v>
      </c>
      <c r="I10" s="273">
        <v>842.81490928297148</v>
      </c>
      <c r="J10" s="273">
        <v>551.25659783141089</v>
      </c>
      <c r="K10" s="273">
        <v>19883.025576463904</v>
      </c>
      <c r="L10" s="273">
        <v>3482.1355797408305</v>
      </c>
      <c r="M10" s="273">
        <v>454.39008216845781</v>
      </c>
      <c r="N10" s="273">
        <v>111.97201726614642</v>
      </c>
      <c r="O10" s="273">
        <v>115.34124504881648</v>
      </c>
      <c r="P10" s="273">
        <v>57277.97577957726</v>
      </c>
    </row>
    <row r="11" spans="1:16">
      <c r="A11" s="274" t="s">
        <v>148</v>
      </c>
      <c r="B11" s="272">
        <v>359399.2940705684</v>
      </c>
      <c r="C11" s="272">
        <v>86602.548414194083</v>
      </c>
      <c r="D11" s="272">
        <v>11634.597648048559</v>
      </c>
      <c r="E11" s="272">
        <v>26118.551779967409</v>
      </c>
      <c r="F11" s="272">
        <v>68204.820920101745</v>
      </c>
      <c r="G11" s="272">
        <v>80057.195990362627</v>
      </c>
      <c r="H11" s="272">
        <v>4062.6675307708597</v>
      </c>
      <c r="I11" s="272">
        <v>842.81490928297148</v>
      </c>
      <c r="J11" s="272">
        <v>551.25659783141089</v>
      </c>
      <c r="K11" s="272">
        <v>19883.025576463904</v>
      </c>
      <c r="L11" s="272">
        <v>3482.1355797408305</v>
      </c>
      <c r="M11" s="272">
        <v>454.39008216845781</v>
      </c>
      <c r="N11" s="272">
        <v>111.97201726614642</v>
      </c>
      <c r="O11" s="272">
        <v>115.34124504881648</v>
      </c>
      <c r="P11" s="272">
        <v>57277.97577957726</v>
      </c>
    </row>
    <row r="12" spans="1:16">
      <c r="A12" s="852" t="s">
        <v>149</v>
      </c>
      <c r="B12" s="273">
        <v>28126.441825846636</v>
      </c>
      <c r="C12" s="273">
        <v>7638.4881730194002</v>
      </c>
      <c r="D12" s="273">
        <v>599.21792826579713</v>
      </c>
      <c r="E12" s="273">
        <v>3462.2730832690586</v>
      </c>
      <c r="F12" s="273">
        <v>4768.4102842454176</v>
      </c>
      <c r="G12" s="273">
        <v>510.32348328382756</v>
      </c>
      <c r="H12" s="273">
        <v>32.536778501293107</v>
      </c>
      <c r="I12" s="273">
        <v>2.8851020758250998</v>
      </c>
      <c r="J12" s="273">
        <v>107.25985865915293</v>
      </c>
      <c r="K12" s="273">
        <v>3298.9861107913953</v>
      </c>
      <c r="L12" s="273">
        <v>614.24749784247626</v>
      </c>
      <c r="M12" s="273">
        <v>104.50883026645897</v>
      </c>
      <c r="N12" s="273">
        <v>2.7692951667839396</v>
      </c>
      <c r="O12" s="273">
        <v>9.7540976092443046</v>
      </c>
      <c r="P12" s="273">
        <v>6974.7813028475557</v>
      </c>
    </row>
    <row r="13" spans="1:16">
      <c r="A13" s="274" t="s">
        <v>149</v>
      </c>
      <c r="B13" s="272">
        <v>28126.441825846636</v>
      </c>
      <c r="C13" s="272">
        <v>7638.4881730194002</v>
      </c>
      <c r="D13" s="272">
        <v>599.21792826579713</v>
      </c>
      <c r="E13" s="272">
        <v>3462.2730832690586</v>
      </c>
      <c r="F13" s="272">
        <v>4768.4102842454176</v>
      </c>
      <c r="G13" s="272">
        <v>510.32348328382756</v>
      </c>
      <c r="H13" s="272">
        <v>32.536778501293107</v>
      </c>
      <c r="I13" s="272">
        <v>2.8851020758250998</v>
      </c>
      <c r="J13" s="272">
        <v>107.25985865915293</v>
      </c>
      <c r="K13" s="272">
        <v>3298.9861107913953</v>
      </c>
      <c r="L13" s="272">
        <v>614.24749784247626</v>
      </c>
      <c r="M13" s="272">
        <v>104.50883026645897</v>
      </c>
      <c r="N13" s="272">
        <v>2.7692951667839396</v>
      </c>
      <c r="O13" s="272">
        <v>9.7540976092443046</v>
      </c>
      <c r="P13" s="272">
        <v>6974.7813028475557</v>
      </c>
    </row>
    <row r="14" spans="1:16">
      <c r="A14" s="852" t="s">
        <v>150</v>
      </c>
      <c r="B14" s="273">
        <v>11932.262514654749</v>
      </c>
      <c r="C14" s="273">
        <v>3617.4641536230988</v>
      </c>
      <c r="D14" s="273">
        <v>41.12670281107264</v>
      </c>
      <c r="E14" s="273">
        <v>1023.3161321850911</v>
      </c>
      <c r="F14" s="273">
        <v>445.75888309647405</v>
      </c>
      <c r="G14" s="273">
        <v>986.66508337291941</v>
      </c>
      <c r="H14" s="273">
        <v>42.554674822170391</v>
      </c>
      <c r="I14" s="273">
        <v>16.65294953355485</v>
      </c>
      <c r="J14" s="273">
        <v>15.261494514476921</v>
      </c>
      <c r="K14" s="273">
        <v>4934.0841499407743</v>
      </c>
      <c r="L14" s="273">
        <v>25.047088707829303</v>
      </c>
      <c r="M14" s="273">
        <v>0</v>
      </c>
      <c r="N14" s="273">
        <v>1.4157069899997887</v>
      </c>
      <c r="O14" s="273">
        <v>0</v>
      </c>
      <c r="P14" s="273">
        <v>782.91549505675664</v>
      </c>
    </row>
    <row r="15" spans="1:16">
      <c r="A15" s="274" t="s">
        <v>150</v>
      </c>
      <c r="B15" s="272">
        <v>11932.262514654749</v>
      </c>
      <c r="C15" s="272">
        <v>3617.4641536230988</v>
      </c>
      <c r="D15" s="272">
        <v>41.12670281107264</v>
      </c>
      <c r="E15" s="272">
        <v>1023.3161321850911</v>
      </c>
      <c r="F15" s="272">
        <v>445.75888309647405</v>
      </c>
      <c r="G15" s="272">
        <v>986.66508337291941</v>
      </c>
      <c r="H15" s="272">
        <v>42.554674822170391</v>
      </c>
      <c r="I15" s="272">
        <v>16.65294953355485</v>
      </c>
      <c r="J15" s="272">
        <v>15.261494514476921</v>
      </c>
      <c r="K15" s="272">
        <v>4934.0841499407743</v>
      </c>
      <c r="L15" s="272">
        <v>25.047088707829303</v>
      </c>
      <c r="M15" s="272">
        <v>0</v>
      </c>
      <c r="N15" s="272">
        <v>1.4157069899997887</v>
      </c>
      <c r="O15" s="272">
        <v>0</v>
      </c>
      <c r="P15" s="272">
        <v>782.91549505675664</v>
      </c>
    </row>
    <row r="16" spans="1:16">
      <c r="A16" s="852" t="s">
        <v>151</v>
      </c>
      <c r="B16" s="273">
        <v>26192.712516051452</v>
      </c>
      <c r="C16" s="273">
        <v>14702.926516718289</v>
      </c>
      <c r="D16" s="273">
        <v>293.20025243775302</v>
      </c>
      <c r="E16" s="273">
        <v>1055.0649076470213</v>
      </c>
      <c r="F16" s="273">
        <v>2525.9934548113201</v>
      </c>
      <c r="G16" s="273">
        <v>1668.7789488947792</v>
      </c>
      <c r="H16" s="273">
        <v>116.90434775208938</v>
      </c>
      <c r="I16" s="273">
        <v>15.384214068190934</v>
      </c>
      <c r="J16" s="273">
        <v>1.4423264985484361</v>
      </c>
      <c r="K16" s="273">
        <v>2944.1669300897247</v>
      </c>
      <c r="L16" s="273">
        <v>152.69711149878708</v>
      </c>
      <c r="M16" s="273">
        <v>31.626315836703284</v>
      </c>
      <c r="N16" s="273">
        <v>1.3379914626165192</v>
      </c>
      <c r="O16" s="273">
        <v>15.240176270124941</v>
      </c>
      <c r="P16" s="273">
        <v>2667.9490220639668</v>
      </c>
    </row>
    <row r="17" spans="1:16">
      <c r="A17" s="274" t="s">
        <v>151</v>
      </c>
      <c r="B17" s="272">
        <v>26192.712516051452</v>
      </c>
      <c r="C17" s="272">
        <v>14702.926516718289</v>
      </c>
      <c r="D17" s="272">
        <v>293.20025243775302</v>
      </c>
      <c r="E17" s="272">
        <v>1055.0649076470213</v>
      </c>
      <c r="F17" s="272">
        <v>2525.9934548113201</v>
      </c>
      <c r="G17" s="272">
        <v>1668.7789488947792</v>
      </c>
      <c r="H17" s="272">
        <v>116.90434775208938</v>
      </c>
      <c r="I17" s="272">
        <v>15.384214068190934</v>
      </c>
      <c r="J17" s="272">
        <v>1.4423264985484361</v>
      </c>
      <c r="K17" s="272">
        <v>2944.1669300897247</v>
      </c>
      <c r="L17" s="272">
        <v>152.69711149878708</v>
      </c>
      <c r="M17" s="272">
        <v>31.626315836703284</v>
      </c>
      <c r="N17" s="272">
        <v>1.3379914626165192</v>
      </c>
      <c r="O17" s="272">
        <v>15.240176270124941</v>
      </c>
      <c r="P17" s="272">
        <v>2667.9490220639668</v>
      </c>
    </row>
    <row r="18" spans="1:16">
      <c r="A18" s="852" t="s">
        <v>152</v>
      </c>
      <c r="B18" s="273">
        <f>+B19+B20</f>
        <v>7975.2028742014918</v>
      </c>
      <c r="C18" s="273">
        <f t="shared" ref="C18:P18" si="0">+C19+C20</f>
        <v>6724.5567060595558</v>
      </c>
      <c r="D18" s="273">
        <f t="shared" si="0"/>
        <v>14.215385641927737</v>
      </c>
      <c r="E18" s="273">
        <f t="shared" si="0"/>
        <v>164.70930837186555</v>
      </c>
      <c r="F18" s="273">
        <f t="shared" si="0"/>
        <v>30.160507186813934</v>
      </c>
      <c r="G18" s="273">
        <f t="shared" si="0"/>
        <v>181.17764286082132</v>
      </c>
      <c r="H18" s="273">
        <f t="shared" si="0"/>
        <v>24.014661617756186</v>
      </c>
      <c r="I18" s="273">
        <f t="shared" si="0"/>
        <v>8.6277885614701955</v>
      </c>
      <c r="J18" s="273">
        <f t="shared" si="0"/>
        <v>4.1480871982641183</v>
      </c>
      <c r="K18" s="273">
        <f t="shared" si="0"/>
        <v>673.4553864214904</v>
      </c>
      <c r="L18" s="273">
        <f t="shared" si="0"/>
        <v>106.78269408427441</v>
      </c>
      <c r="M18" s="273">
        <f t="shared" si="0"/>
        <v>1.3379914626165192</v>
      </c>
      <c r="N18" s="273">
        <f t="shared" si="0"/>
        <v>0</v>
      </c>
      <c r="O18" s="273">
        <f t="shared" si="0"/>
        <v>0</v>
      </c>
      <c r="P18" s="273">
        <f t="shared" si="0"/>
        <v>42.016714734702759</v>
      </c>
    </row>
    <row r="19" spans="1:16">
      <c r="A19" s="274" t="s">
        <v>152</v>
      </c>
      <c r="B19" s="272">
        <v>5874.7804493788708</v>
      </c>
      <c r="C19" s="272">
        <v>4741.4603402905768</v>
      </c>
      <c r="D19" s="272">
        <v>12.799678651927948</v>
      </c>
      <c r="E19" s="272">
        <v>122.47643465959004</v>
      </c>
      <c r="F19" s="272">
        <v>28.718180688265498</v>
      </c>
      <c r="G19" s="272">
        <v>135.38458837674591</v>
      </c>
      <c r="H19" s="272">
        <v>24.014661617756186</v>
      </c>
      <c r="I19" s="272">
        <v>5.7431355643733237</v>
      </c>
      <c r="J19" s="272">
        <v>4.1480871982641183</v>
      </c>
      <c r="K19" s="272">
        <v>672.01283538357791</v>
      </c>
      <c r="L19" s="272">
        <v>91.611802624142626</v>
      </c>
      <c r="M19" s="272">
        <v>1.3379914626165192</v>
      </c>
      <c r="N19" s="272">
        <v>0</v>
      </c>
      <c r="O19" s="272">
        <v>0</v>
      </c>
      <c r="P19" s="272">
        <v>35.072712861106055</v>
      </c>
    </row>
    <row r="20" spans="1:16">
      <c r="A20" s="274" t="s">
        <v>153</v>
      </c>
      <c r="B20" s="272">
        <v>2100.4224248226205</v>
      </c>
      <c r="C20" s="272">
        <v>1983.0963657689792</v>
      </c>
      <c r="D20" s="272">
        <v>1.4157069899997887</v>
      </c>
      <c r="E20" s="272">
        <v>42.232873712275499</v>
      </c>
      <c r="F20" s="272">
        <v>1.4423264985484361</v>
      </c>
      <c r="G20" s="272">
        <v>45.793054484075412</v>
      </c>
      <c r="H20" s="272">
        <v>0</v>
      </c>
      <c r="I20" s="272">
        <v>2.8846529970968722</v>
      </c>
      <c r="J20" s="272">
        <v>0</v>
      </c>
      <c r="K20" s="272">
        <v>1.4425510379125499</v>
      </c>
      <c r="L20" s="272">
        <v>15.170891460131788</v>
      </c>
      <c r="M20" s="272">
        <v>0</v>
      </c>
      <c r="N20" s="272">
        <v>0</v>
      </c>
      <c r="O20" s="272">
        <v>0</v>
      </c>
      <c r="P20" s="272">
        <v>6.9440018735967044</v>
      </c>
    </row>
    <row r="21" spans="1:16">
      <c r="A21" s="852" t="s">
        <v>154</v>
      </c>
      <c r="B21" s="273">
        <f>+B22+B23</f>
        <v>2271.0066721505464</v>
      </c>
      <c r="C21" s="273">
        <f t="shared" ref="C21:P21" si="1">+C22+C23</f>
        <v>1658.6856407845921</v>
      </c>
      <c r="D21" s="273">
        <f t="shared" si="1"/>
        <v>0</v>
      </c>
      <c r="E21" s="273">
        <f t="shared" si="1"/>
        <v>4.2245761033983911</v>
      </c>
      <c r="F21" s="273">
        <f t="shared" si="1"/>
        <v>7.1854620629217596</v>
      </c>
      <c r="G21" s="273">
        <f t="shared" si="1"/>
        <v>19.602832001293748</v>
      </c>
      <c r="H21" s="273">
        <f t="shared" si="1"/>
        <v>0</v>
      </c>
      <c r="I21" s="273">
        <f t="shared" si="1"/>
        <v>0</v>
      </c>
      <c r="J21" s="273">
        <f t="shared" si="1"/>
        <v>0</v>
      </c>
      <c r="K21" s="273">
        <f t="shared" si="1"/>
        <v>61.255058714693583</v>
      </c>
      <c r="L21" s="273">
        <f t="shared" si="1"/>
        <v>127.83745972464494</v>
      </c>
      <c r="M21" s="273">
        <f t="shared" si="1"/>
        <v>0</v>
      </c>
      <c r="N21" s="273">
        <f t="shared" si="1"/>
        <v>1.4423264985484361</v>
      </c>
      <c r="O21" s="273">
        <f t="shared" si="1"/>
        <v>0</v>
      </c>
      <c r="P21" s="273">
        <f t="shared" si="1"/>
        <v>390.77331626045168</v>
      </c>
    </row>
    <row r="22" spans="1:16">
      <c r="A22" s="274" t="s">
        <v>154</v>
      </c>
      <c r="B22" s="272">
        <v>1561.1480663910904</v>
      </c>
      <c r="C22" s="272">
        <v>1475.8555138459856</v>
      </c>
      <c r="D22" s="272">
        <v>0</v>
      </c>
      <c r="E22" s="272">
        <v>4.2245761033983911</v>
      </c>
      <c r="F22" s="272">
        <v>7.1854620629217596</v>
      </c>
      <c r="G22" s="272">
        <v>6.8986273849464297</v>
      </c>
      <c r="H22" s="272">
        <v>0</v>
      </c>
      <c r="I22" s="272">
        <v>0</v>
      </c>
      <c r="J22" s="272">
        <v>0</v>
      </c>
      <c r="K22" s="272">
        <v>37.666342298308585</v>
      </c>
      <c r="L22" s="272">
        <v>12.526503433454634</v>
      </c>
      <c r="M22" s="272">
        <v>0</v>
      </c>
      <c r="N22" s="272">
        <v>1.4423264985484361</v>
      </c>
      <c r="O22" s="272">
        <v>0</v>
      </c>
      <c r="P22" s="272">
        <v>15.348714763523944</v>
      </c>
    </row>
    <row r="23" spans="1:16">
      <c r="A23" s="274" t="s">
        <v>155</v>
      </c>
      <c r="B23" s="272">
        <v>709.85860575945583</v>
      </c>
      <c r="C23" s="272">
        <v>182.83012693860664</v>
      </c>
      <c r="D23" s="272">
        <v>0</v>
      </c>
      <c r="E23" s="272">
        <v>0</v>
      </c>
      <c r="F23" s="272">
        <v>0</v>
      </c>
      <c r="G23" s="272">
        <v>12.704204616347321</v>
      </c>
      <c r="H23" s="272">
        <v>0</v>
      </c>
      <c r="I23" s="272">
        <v>0</v>
      </c>
      <c r="J23" s="272">
        <v>0</v>
      </c>
      <c r="K23" s="272">
        <v>23.588716416384997</v>
      </c>
      <c r="L23" s="272">
        <v>115.31095629119031</v>
      </c>
      <c r="M23" s="272">
        <v>0</v>
      </c>
      <c r="N23" s="272">
        <v>0</v>
      </c>
      <c r="O23" s="272">
        <v>0</v>
      </c>
      <c r="P23" s="272">
        <v>375.42460149692772</v>
      </c>
    </row>
    <row r="24" spans="1:16">
      <c r="A24" s="852" t="s">
        <v>156</v>
      </c>
      <c r="B24" s="273">
        <f>+B25+B26</f>
        <v>15958.460729610531</v>
      </c>
      <c r="C24" s="273">
        <f t="shared" ref="C24:P24" si="2">+C25+C26</f>
        <v>10295.17938649393</v>
      </c>
      <c r="D24" s="273">
        <f t="shared" si="2"/>
        <v>17.124173499731601</v>
      </c>
      <c r="E24" s="273">
        <f t="shared" si="2"/>
        <v>1849.6409076195516</v>
      </c>
      <c r="F24" s="273">
        <f t="shared" si="2"/>
        <v>1269.8600683707971</v>
      </c>
      <c r="G24" s="273">
        <f t="shared" si="2"/>
        <v>1148.6329287667959</v>
      </c>
      <c r="H24" s="273">
        <f t="shared" si="2"/>
        <v>39.061710803867214</v>
      </c>
      <c r="I24" s="273">
        <f t="shared" si="2"/>
        <v>364.2371997988954</v>
      </c>
      <c r="J24" s="273">
        <f t="shared" si="2"/>
        <v>5.351965850466077</v>
      </c>
      <c r="K24" s="273">
        <f t="shared" si="2"/>
        <v>835.4621298988302</v>
      </c>
      <c r="L24" s="273">
        <f t="shared" si="2"/>
        <v>13.727271428230203</v>
      </c>
      <c r="M24" s="273">
        <f t="shared" si="2"/>
        <v>0</v>
      </c>
      <c r="N24" s="273">
        <f t="shared" si="2"/>
        <v>0</v>
      </c>
      <c r="O24" s="273">
        <f t="shared" si="2"/>
        <v>38.00315029829796</v>
      </c>
      <c r="P24" s="273">
        <f t="shared" si="2"/>
        <v>82.179836781150556</v>
      </c>
    </row>
    <row r="25" spans="1:16">
      <c r="A25" s="274" t="s">
        <v>156</v>
      </c>
      <c r="B25" s="272">
        <v>8894.4120929142337</v>
      </c>
      <c r="C25" s="272">
        <v>6719.7987605687267</v>
      </c>
      <c r="D25" s="272">
        <v>2.8314139799995774</v>
      </c>
      <c r="E25" s="272">
        <v>618.78698897645972</v>
      </c>
      <c r="F25" s="272">
        <v>633.46741522158766</v>
      </c>
      <c r="G25" s="272">
        <v>676.72539198152003</v>
      </c>
      <c r="H25" s="272">
        <v>20.78471267324128</v>
      </c>
      <c r="I25" s="272">
        <v>9.8377592061760346</v>
      </c>
      <c r="J25" s="272">
        <v>0</v>
      </c>
      <c r="K25" s="272">
        <v>192.98048127764758</v>
      </c>
      <c r="L25" s="272">
        <v>9.6199847988297442</v>
      </c>
      <c r="M25" s="272">
        <v>0</v>
      </c>
      <c r="N25" s="272">
        <v>0</v>
      </c>
      <c r="O25" s="272">
        <v>0</v>
      </c>
      <c r="P25" s="272">
        <v>9.5791842299660832</v>
      </c>
    </row>
    <row r="26" spans="1:16">
      <c r="A26" s="274" t="s">
        <v>157</v>
      </c>
      <c r="B26" s="272">
        <v>7064.0486366962969</v>
      </c>
      <c r="C26" s="272">
        <v>3575.3806259252033</v>
      </c>
      <c r="D26" s="272">
        <v>14.292759519732023</v>
      </c>
      <c r="E26" s="272">
        <v>1230.8539186430919</v>
      </c>
      <c r="F26" s="272">
        <v>636.39265314920942</v>
      </c>
      <c r="G26" s="272">
        <v>471.90753678527591</v>
      </c>
      <c r="H26" s="272">
        <v>18.27699813062593</v>
      </c>
      <c r="I26" s="272">
        <v>354.39944059271937</v>
      </c>
      <c r="J26" s="272">
        <v>5.351965850466077</v>
      </c>
      <c r="K26" s="272">
        <v>642.48164862118267</v>
      </c>
      <c r="L26" s="272">
        <v>4.1072866294004591</v>
      </c>
      <c r="M26" s="272">
        <v>0</v>
      </c>
      <c r="N26" s="272">
        <v>0</v>
      </c>
      <c r="O26" s="272">
        <v>38.00315029829796</v>
      </c>
      <c r="P26" s="272">
        <v>72.600652551184467</v>
      </c>
    </row>
    <row r="27" spans="1:16">
      <c r="A27" s="852" t="s">
        <v>158</v>
      </c>
      <c r="B27" s="273">
        <f>+B28+B29</f>
        <v>26371.87127446731</v>
      </c>
      <c r="C27" s="273">
        <f t="shared" ref="C27:P27" si="3">+C28+C29</f>
        <v>11832.172175601128</v>
      </c>
      <c r="D27" s="273">
        <f t="shared" si="3"/>
        <v>333.48433072446431</v>
      </c>
      <c r="E27" s="273">
        <f t="shared" si="3"/>
        <v>796.52942065280297</v>
      </c>
      <c r="F27" s="273">
        <f t="shared" si="3"/>
        <v>6464.1822796898832</v>
      </c>
      <c r="G27" s="273">
        <f t="shared" si="3"/>
        <v>159.45112654290318</v>
      </c>
      <c r="H27" s="273">
        <f t="shared" si="3"/>
        <v>8.6009445135574349</v>
      </c>
      <c r="I27" s="273">
        <f t="shared" si="3"/>
        <v>1.4423264985484361</v>
      </c>
      <c r="J27" s="273">
        <f t="shared" si="3"/>
        <v>1.3379914626165192</v>
      </c>
      <c r="K27" s="273">
        <f t="shared" si="3"/>
        <v>9.6679894628345213</v>
      </c>
      <c r="L27" s="273">
        <f t="shared" si="3"/>
        <v>116.70942116186345</v>
      </c>
      <c r="M27" s="273">
        <f t="shared" si="3"/>
        <v>2355.921916565118</v>
      </c>
      <c r="N27" s="273">
        <f t="shared" si="3"/>
        <v>2.8851020758250998</v>
      </c>
      <c r="O27" s="273">
        <f t="shared" si="3"/>
        <v>7.0186260461501302</v>
      </c>
      <c r="P27" s="273">
        <f t="shared" si="3"/>
        <v>4282.467623466946</v>
      </c>
    </row>
    <row r="28" spans="1:16">
      <c r="A28" s="274" t="s">
        <v>158</v>
      </c>
      <c r="B28" s="272">
        <v>23362.392173796718</v>
      </c>
      <c r="C28" s="272">
        <v>9154.4915742282046</v>
      </c>
      <c r="D28" s="272">
        <v>333.48433072446431</v>
      </c>
      <c r="E28" s="272">
        <v>696.25769867550935</v>
      </c>
      <c r="F28" s="272">
        <v>6464.1822796898832</v>
      </c>
      <c r="G28" s="272">
        <v>150.79671847288435</v>
      </c>
      <c r="H28" s="272">
        <v>5.7426864856450965</v>
      </c>
      <c r="I28" s="272">
        <v>1.4423264985484361</v>
      </c>
      <c r="J28" s="272">
        <v>1.3379914626165192</v>
      </c>
      <c r="K28" s="272">
        <v>9.6679894628345213</v>
      </c>
      <c r="L28" s="272">
        <v>4.1478626589000038</v>
      </c>
      <c r="M28" s="272">
        <v>2258.0895731838432</v>
      </c>
      <c r="N28" s="272">
        <v>2.8851020758250998</v>
      </c>
      <c r="O28" s="272">
        <v>7.0186260461501302</v>
      </c>
      <c r="P28" s="272">
        <v>4272.8474141287525</v>
      </c>
    </row>
    <row r="29" spans="1:16">
      <c r="A29" s="274" t="s">
        <v>159</v>
      </c>
      <c r="B29" s="272">
        <v>3009.4791006705914</v>
      </c>
      <c r="C29" s="272">
        <v>2677.6806013729247</v>
      </c>
      <c r="D29" s="272">
        <v>0</v>
      </c>
      <c r="E29" s="272">
        <v>100.27172197729359</v>
      </c>
      <c r="F29" s="272">
        <v>0</v>
      </c>
      <c r="G29" s="272">
        <v>8.6544080700188442</v>
      </c>
      <c r="H29" s="272">
        <v>2.8582580279123384</v>
      </c>
      <c r="I29" s="272">
        <v>0</v>
      </c>
      <c r="J29" s="272">
        <v>0</v>
      </c>
      <c r="K29" s="272">
        <v>0</v>
      </c>
      <c r="L29" s="272">
        <v>112.56155850296344</v>
      </c>
      <c r="M29" s="272">
        <v>97.832343381274768</v>
      </c>
      <c r="N29" s="272">
        <v>0</v>
      </c>
      <c r="O29" s="272">
        <v>0</v>
      </c>
      <c r="P29" s="272">
        <v>9.620209338193856</v>
      </c>
    </row>
    <row r="30" spans="1:16">
      <c r="A30" s="852" t="s">
        <v>160</v>
      </c>
      <c r="B30" s="273">
        <v>6667.9172431840243</v>
      </c>
      <c r="C30" s="273">
        <v>5030.8861260940521</v>
      </c>
      <c r="D30" s="273">
        <v>203.15381519003006</v>
      </c>
      <c r="E30" s="273">
        <v>141.65391085021557</v>
      </c>
      <c r="F30" s="273">
        <v>56.941430516088602</v>
      </c>
      <c r="G30" s="273">
        <v>8.4076466164971198</v>
      </c>
      <c r="H30" s="273">
        <v>0</v>
      </c>
      <c r="I30" s="273">
        <v>0</v>
      </c>
      <c r="J30" s="273">
        <v>2.7803179611649553</v>
      </c>
      <c r="K30" s="273">
        <v>920.0451971834658</v>
      </c>
      <c r="L30" s="273">
        <v>5.6197423925669696</v>
      </c>
      <c r="M30" s="273">
        <v>0</v>
      </c>
      <c r="N30" s="273">
        <v>0</v>
      </c>
      <c r="O30" s="273">
        <v>0</v>
      </c>
      <c r="P30" s="273">
        <v>298.42905637998211</v>
      </c>
    </row>
    <row r="31" spans="1:16">
      <c r="A31" s="274" t="s">
        <v>160</v>
      </c>
      <c r="B31" s="272">
        <v>6667.9172431840243</v>
      </c>
      <c r="C31" s="272">
        <v>5030.8861260940521</v>
      </c>
      <c r="D31" s="272">
        <v>203.15381519003006</v>
      </c>
      <c r="E31" s="272">
        <v>141.65391085021557</v>
      </c>
      <c r="F31" s="272">
        <v>56.941430516088602</v>
      </c>
      <c r="G31" s="272">
        <v>8.4076466164971198</v>
      </c>
      <c r="H31" s="272">
        <v>0</v>
      </c>
      <c r="I31" s="272">
        <v>0</v>
      </c>
      <c r="J31" s="272">
        <v>2.7803179611649553</v>
      </c>
      <c r="K31" s="272">
        <v>920.0451971834658</v>
      </c>
      <c r="L31" s="272">
        <v>5.6197423925669696</v>
      </c>
      <c r="M31" s="272">
        <v>0</v>
      </c>
      <c r="N31" s="272">
        <v>0</v>
      </c>
      <c r="O31" s="272">
        <v>0</v>
      </c>
      <c r="P31" s="272">
        <v>298.42905637998211</v>
      </c>
    </row>
    <row r="32" spans="1:16">
      <c r="A32" s="852" t="s">
        <v>161</v>
      </c>
      <c r="B32" s="273">
        <f>+B33+B34</f>
        <v>28798.71063242514</v>
      </c>
      <c r="C32" s="273">
        <f t="shared" ref="C32:P32" si="4">+C33+C34</f>
        <v>9029.1444871681924</v>
      </c>
      <c r="D32" s="273">
        <f t="shared" si="4"/>
        <v>1950.8107703435314</v>
      </c>
      <c r="E32" s="273">
        <f t="shared" si="4"/>
        <v>3784.5118673400375</v>
      </c>
      <c r="F32" s="273">
        <f t="shared" si="4"/>
        <v>3368.6139224120543</v>
      </c>
      <c r="G32" s="273">
        <f t="shared" si="4"/>
        <v>264.9147020792746</v>
      </c>
      <c r="H32" s="273">
        <f t="shared" si="4"/>
        <v>47.258584891769118</v>
      </c>
      <c r="I32" s="273">
        <f t="shared" si="4"/>
        <v>4.3003599870966607</v>
      </c>
      <c r="J32" s="273">
        <f t="shared" si="4"/>
        <v>139.96143908758611</v>
      </c>
      <c r="K32" s="273">
        <f t="shared" si="4"/>
        <v>2161.5294793549051</v>
      </c>
      <c r="L32" s="273">
        <f t="shared" si="4"/>
        <v>2343.6179419720029</v>
      </c>
      <c r="M32" s="273">
        <f t="shared" si="4"/>
        <v>83.71773671376674</v>
      </c>
      <c r="N32" s="273">
        <f t="shared" si="4"/>
        <v>0</v>
      </c>
      <c r="O32" s="273">
        <f t="shared" si="4"/>
        <v>1.4425510379125499</v>
      </c>
      <c r="P32" s="273">
        <f t="shared" si="4"/>
        <v>5618.8867900346313</v>
      </c>
    </row>
    <row r="33" spans="1:16">
      <c r="A33" s="274" t="s">
        <v>161</v>
      </c>
      <c r="B33" s="272">
        <v>23676.104539040458</v>
      </c>
      <c r="C33" s="272">
        <v>8018.3139084765426</v>
      </c>
      <c r="D33" s="272">
        <v>1945.3386482036017</v>
      </c>
      <c r="E33" s="272">
        <v>2434.3917612672244</v>
      </c>
      <c r="F33" s="272">
        <v>3141.5012634792379</v>
      </c>
      <c r="G33" s="272">
        <v>264.9147020792746</v>
      </c>
      <c r="H33" s="272">
        <v>47.258584891769118</v>
      </c>
      <c r="I33" s="272">
        <v>4.3003599870966607</v>
      </c>
      <c r="J33" s="272">
        <v>139.96143908758611</v>
      </c>
      <c r="K33" s="272">
        <v>1647.903535502832</v>
      </c>
      <c r="L33" s="272">
        <v>494.26227266350497</v>
      </c>
      <c r="M33" s="272">
        <v>78.365770863300668</v>
      </c>
      <c r="N33" s="272">
        <v>0</v>
      </c>
      <c r="O33" s="272">
        <v>1.4425510379125499</v>
      </c>
      <c r="P33" s="272">
        <v>5458.149741498165</v>
      </c>
    </row>
    <row r="34" spans="1:16">
      <c r="A34" s="274" t="s">
        <v>162</v>
      </c>
      <c r="B34" s="272">
        <v>5122.6060933846811</v>
      </c>
      <c r="C34" s="272">
        <v>1010.8305786916508</v>
      </c>
      <c r="D34" s="272">
        <v>5.4721221399297395</v>
      </c>
      <c r="E34" s="272">
        <v>1350.1201060728131</v>
      </c>
      <c r="F34" s="272">
        <v>227.11265893281629</v>
      </c>
      <c r="G34" s="272">
        <v>0</v>
      </c>
      <c r="H34" s="272">
        <v>0</v>
      </c>
      <c r="I34" s="272">
        <v>0</v>
      </c>
      <c r="J34" s="272">
        <v>0</v>
      </c>
      <c r="K34" s="272">
        <v>513.62594385207319</v>
      </c>
      <c r="L34" s="272">
        <v>1849.3556693084977</v>
      </c>
      <c r="M34" s="272">
        <v>5.351965850466077</v>
      </c>
      <c r="N34" s="272">
        <v>0</v>
      </c>
      <c r="O34" s="272">
        <v>0</v>
      </c>
      <c r="P34" s="272">
        <v>160.73704853646615</v>
      </c>
    </row>
    <row r="35" spans="1:16">
      <c r="A35" s="852" t="s">
        <v>163</v>
      </c>
      <c r="B35" s="273">
        <f>+B36+B37</f>
        <v>20644.978069344659</v>
      </c>
      <c r="C35" s="273">
        <f t="shared" ref="C35:P35" si="5">+C36+C37</f>
        <v>9429.7448739171832</v>
      </c>
      <c r="D35" s="273">
        <f t="shared" si="5"/>
        <v>28.095104199243877</v>
      </c>
      <c r="E35" s="273">
        <f t="shared" si="5"/>
        <v>1106.5254720499017</v>
      </c>
      <c r="F35" s="273">
        <f t="shared" si="5"/>
        <v>2315.7034738268403</v>
      </c>
      <c r="G35" s="273">
        <f t="shared" si="5"/>
        <v>1732.4650484585798</v>
      </c>
      <c r="H35" s="273">
        <f t="shared" si="5"/>
        <v>133.51213002366865</v>
      </c>
      <c r="I35" s="273">
        <f t="shared" si="5"/>
        <v>0</v>
      </c>
      <c r="J35" s="273">
        <f t="shared" si="5"/>
        <v>1.4157069899997887</v>
      </c>
      <c r="K35" s="273">
        <f t="shared" si="5"/>
        <v>279.23354133611929</v>
      </c>
      <c r="L35" s="273">
        <f t="shared" si="5"/>
        <v>60.729972819267395</v>
      </c>
      <c r="M35" s="273">
        <f t="shared" si="5"/>
        <v>16.18970720603998</v>
      </c>
      <c r="N35" s="273">
        <f t="shared" si="5"/>
        <v>2.753698452616308</v>
      </c>
      <c r="O35" s="273">
        <f t="shared" si="5"/>
        <v>1.3379914626165192</v>
      </c>
      <c r="P35" s="273">
        <f t="shared" si="5"/>
        <v>5537.2713486013927</v>
      </c>
    </row>
    <row r="36" spans="1:16">
      <c r="A36" s="274" t="s">
        <v>163</v>
      </c>
      <c r="B36" s="272">
        <v>14771.660233342052</v>
      </c>
      <c r="C36" s="272">
        <v>8565.1970825804947</v>
      </c>
      <c r="D36" s="272">
        <v>25.38956803889231</v>
      </c>
      <c r="E36" s="272">
        <v>946.95705384413429</v>
      </c>
      <c r="F36" s="272">
        <v>1012.6677419282967</v>
      </c>
      <c r="G36" s="272">
        <v>620.33819455164144</v>
      </c>
      <c r="H36" s="272">
        <v>113.73681909182763</v>
      </c>
      <c r="I36" s="272">
        <v>0</v>
      </c>
      <c r="J36" s="272">
        <v>1.4157069899997887</v>
      </c>
      <c r="K36" s="272">
        <v>191.95101322316401</v>
      </c>
      <c r="L36" s="272">
        <v>48.120550908680634</v>
      </c>
      <c r="M36" s="272">
        <v>0</v>
      </c>
      <c r="N36" s="272">
        <v>0</v>
      </c>
      <c r="O36" s="272">
        <v>1.3379914626165192</v>
      </c>
      <c r="P36" s="272">
        <v>3244.5485107211025</v>
      </c>
    </row>
    <row r="37" spans="1:16">
      <c r="A37" s="275" t="s">
        <v>164</v>
      </c>
      <c r="B37" s="276">
        <v>5873.317836002605</v>
      </c>
      <c r="C37" s="276">
        <v>864.54779133668853</v>
      </c>
      <c r="D37" s="276">
        <v>2.705536160351568</v>
      </c>
      <c r="E37" s="276">
        <v>159.5684182057675</v>
      </c>
      <c r="F37" s="276">
        <v>1303.0357318985434</v>
      </c>
      <c r="G37" s="276">
        <v>1112.1268539069383</v>
      </c>
      <c r="H37" s="276">
        <v>19.77531093184103</v>
      </c>
      <c r="I37" s="276">
        <v>0</v>
      </c>
      <c r="J37" s="276">
        <v>0</v>
      </c>
      <c r="K37" s="276">
        <v>87.282528112955262</v>
      </c>
      <c r="L37" s="276">
        <v>12.609421910586761</v>
      </c>
      <c r="M37" s="276">
        <v>16.18970720603998</v>
      </c>
      <c r="N37" s="276">
        <v>2.753698452616308</v>
      </c>
      <c r="O37" s="276">
        <v>0</v>
      </c>
      <c r="P37" s="276">
        <v>2292.7228378802906</v>
      </c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7"/>
  <sheetViews>
    <sheetView workbookViewId="0">
      <selection activeCell="E14" sqref="E14"/>
    </sheetView>
  </sheetViews>
  <sheetFormatPr defaultRowHeight="15"/>
  <cols>
    <col min="1" max="1" width="18.28515625" style="26" customWidth="1"/>
    <col min="2" max="2" width="14" style="26" customWidth="1"/>
    <col min="3" max="7" width="9.140625" style="26"/>
    <col min="8" max="8" width="11.28515625" style="26" customWidth="1"/>
    <col min="9" max="9" width="9.140625" style="26"/>
    <col min="10" max="10" width="13.5703125" style="26" customWidth="1"/>
    <col min="11" max="14" width="9.140625" style="26"/>
    <col min="15" max="15" width="13" style="26" customWidth="1"/>
    <col min="16" max="16384" width="9.140625" style="26"/>
  </cols>
  <sheetData>
    <row r="1" spans="1:17">
      <c r="A1" s="1009" t="s">
        <v>576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</row>
    <row r="2" spans="1:17">
      <c r="A2" s="1010" t="s">
        <v>314</v>
      </c>
      <c r="B2" s="1010" t="s">
        <v>217</v>
      </c>
      <c r="C2" s="1012" t="s">
        <v>231</v>
      </c>
      <c r="D2" s="1012"/>
      <c r="E2" s="1012"/>
      <c r="F2" s="1012"/>
      <c r="G2" s="1012"/>
      <c r="H2" s="1012"/>
      <c r="I2" s="1012"/>
      <c r="J2" s="1012"/>
      <c r="K2" s="1012"/>
      <c r="L2" s="1012"/>
      <c r="M2" s="1012"/>
      <c r="N2" s="1012"/>
      <c r="O2" s="1012"/>
      <c r="P2" s="1012"/>
      <c r="Q2" s="1012"/>
    </row>
    <row r="3" spans="1:17" ht="36">
      <c r="A3" s="1011"/>
      <c r="B3" s="1011"/>
      <c r="C3" s="277" t="s">
        <v>232</v>
      </c>
      <c r="D3" s="277" t="s">
        <v>233</v>
      </c>
      <c r="E3" s="277" t="s">
        <v>234</v>
      </c>
      <c r="F3" s="277" t="s">
        <v>235</v>
      </c>
      <c r="G3" s="277" t="s">
        <v>236</v>
      </c>
      <c r="H3" s="277" t="s">
        <v>237</v>
      </c>
      <c r="I3" s="277" t="s">
        <v>238</v>
      </c>
      <c r="J3" s="277" t="s">
        <v>239</v>
      </c>
      <c r="K3" s="277" t="s">
        <v>240</v>
      </c>
      <c r="L3" s="277" t="s">
        <v>241</v>
      </c>
      <c r="M3" s="277" t="s">
        <v>242</v>
      </c>
      <c r="N3" s="277" t="s">
        <v>226</v>
      </c>
      <c r="O3" s="277" t="s">
        <v>243</v>
      </c>
      <c r="P3" s="277" t="s">
        <v>244</v>
      </c>
      <c r="Q3" s="277" t="s">
        <v>230</v>
      </c>
    </row>
    <row r="4" spans="1:17">
      <c r="A4" s="285" t="s">
        <v>147</v>
      </c>
      <c r="B4" s="286">
        <v>534338.85842275259</v>
      </c>
      <c r="C4" s="286">
        <v>111768.58427639288</v>
      </c>
      <c r="D4" s="286">
        <v>7237.2590554785083</v>
      </c>
      <c r="E4" s="286">
        <v>64213.656702522203</v>
      </c>
      <c r="F4" s="286">
        <v>76208.325133861668</v>
      </c>
      <c r="G4" s="286">
        <v>4609.1382704847992</v>
      </c>
      <c r="H4" s="286">
        <v>2413.20335801591</v>
      </c>
      <c r="I4" s="286">
        <v>254075.1778708096</v>
      </c>
      <c r="J4" s="286">
        <v>1239.284372530055</v>
      </c>
      <c r="K4" s="286">
        <v>811.33871260532192</v>
      </c>
      <c r="L4" s="286">
        <v>642.41163679065846</v>
      </c>
      <c r="M4" s="286">
        <v>273.7811385226542</v>
      </c>
      <c r="N4" s="286">
        <v>1168.4546690167781</v>
      </c>
      <c r="O4" s="286">
        <v>696.97478723537972</v>
      </c>
      <c r="P4" s="286">
        <v>5782.1582184451145</v>
      </c>
      <c r="Q4" s="286">
        <v>3199.1102195649205</v>
      </c>
    </row>
    <row r="5" spans="1:17">
      <c r="A5" s="278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</row>
    <row r="6" spans="1:17" ht="17.25" customHeight="1">
      <c r="A6" s="287" t="s">
        <v>3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</row>
    <row r="7" spans="1:17">
      <c r="A7" s="278" t="s">
        <v>4</v>
      </c>
      <c r="B7" s="279">
        <v>367457.49651384098</v>
      </c>
      <c r="C7" s="279">
        <v>80656.280833286597</v>
      </c>
      <c r="D7" s="279">
        <v>6670.6709858330187</v>
      </c>
      <c r="E7" s="279">
        <v>59091.258237677306</v>
      </c>
      <c r="F7" s="279">
        <v>50315.484486460584</v>
      </c>
      <c r="G7" s="279">
        <v>4485.7464326061508</v>
      </c>
      <c r="H7" s="279">
        <v>2192.3780174676976</v>
      </c>
      <c r="I7" s="279">
        <v>155704.79090524718</v>
      </c>
      <c r="J7" s="279">
        <v>747.34959148108305</v>
      </c>
      <c r="K7" s="279">
        <v>729.22352088731304</v>
      </c>
      <c r="L7" s="279">
        <v>576.11396751346217</v>
      </c>
      <c r="M7" s="279">
        <v>229.59014216396722</v>
      </c>
      <c r="N7" s="279">
        <v>414.10553826668388</v>
      </c>
      <c r="O7" s="279">
        <v>622.01731640384367</v>
      </c>
      <c r="P7" s="279">
        <v>2821.5868837282264</v>
      </c>
      <c r="Q7" s="279">
        <v>2200.8996549185681</v>
      </c>
    </row>
    <row r="8" spans="1:17">
      <c r="A8" s="278" t="s">
        <v>5</v>
      </c>
      <c r="B8" s="279">
        <v>166881.36190847791</v>
      </c>
      <c r="C8" s="279">
        <v>31112.303443154353</v>
      </c>
      <c r="D8" s="279">
        <v>566.58806964551138</v>
      </c>
      <c r="E8" s="279">
        <v>5122.3984648479436</v>
      </c>
      <c r="F8" s="279">
        <v>25892.840647432517</v>
      </c>
      <c r="G8" s="279">
        <v>123.39183787865093</v>
      </c>
      <c r="H8" s="279">
        <v>220.82534054821463</v>
      </c>
      <c r="I8" s="279">
        <v>98370.386965775731</v>
      </c>
      <c r="J8" s="279">
        <v>491.93478104896877</v>
      </c>
      <c r="K8" s="279">
        <v>82.115191718008845</v>
      </c>
      <c r="L8" s="279">
        <v>66.297669277197045</v>
      </c>
      <c r="M8" s="279">
        <v>44.190996358687023</v>
      </c>
      <c r="N8" s="279">
        <v>754.34913075009263</v>
      </c>
      <c r="O8" s="279">
        <v>74.957470831536412</v>
      </c>
      <c r="P8" s="279">
        <v>2960.5713347169949</v>
      </c>
      <c r="Q8" s="279">
        <v>998.21056464634432</v>
      </c>
    </row>
    <row r="9" spans="1:17" ht="13.5" customHeight="1">
      <c r="A9" s="289" t="s">
        <v>177</v>
      </c>
      <c r="B9" s="288"/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</row>
    <row r="10" spans="1:17">
      <c r="A10" s="280" t="s">
        <v>148</v>
      </c>
      <c r="B10" s="281">
        <v>359399.2940705684</v>
      </c>
      <c r="C10" s="281">
        <v>84106.041014501563</v>
      </c>
      <c r="D10" s="281">
        <v>6703.455027950261</v>
      </c>
      <c r="E10" s="281">
        <v>58086.871463555763</v>
      </c>
      <c r="F10" s="281">
        <v>57988.713650487662</v>
      </c>
      <c r="G10" s="281">
        <v>4418.5543488733438</v>
      </c>
      <c r="H10" s="281">
        <v>2065.4560122300036</v>
      </c>
      <c r="I10" s="281">
        <v>138230.96630724584</v>
      </c>
      <c r="J10" s="281">
        <v>705.8494723309642</v>
      </c>
      <c r="K10" s="281">
        <v>746.85407202694489</v>
      </c>
      <c r="L10" s="281">
        <v>582.98376548049316</v>
      </c>
      <c r="M10" s="281">
        <v>235.20480783170157</v>
      </c>
      <c r="N10" s="281">
        <v>486.18820096580208</v>
      </c>
      <c r="O10" s="281">
        <v>599.55652041570886</v>
      </c>
      <c r="P10" s="281">
        <v>2739.3508896068429</v>
      </c>
      <c r="Q10" s="281">
        <v>1703.2485172306667</v>
      </c>
    </row>
    <row r="11" spans="1:17">
      <c r="A11" s="282" t="s">
        <v>148</v>
      </c>
      <c r="B11" s="279">
        <v>359399.2940705684</v>
      </c>
      <c r="C11" s="279">
        <v>84106.041014501563</v>
      </c>
      <c r="D11" s="279">
        <v>6703.455027950261</v>
      </c>
      <c r="E11" s="279">
        <v>58086.871463555763</v>
      </c>
      <c r="F11" s="279">
        <v>57988.713650487662</v>
      </c>
      <c r="G11" s="279">
        <v>4418.5543488733438</v>
      </c>
      <c r="H11" s="279">
        <v>2065.4560122300036</v>
      </c>
      <c r="I11" s="279">
        <v>138230.96630724584</v>
      </c>
      <c r="J11" s="279">
        <v>705.8494723309642</v>
      </c>
      <c r="K11" s="279">
        <v>746.85407202694489</v>
      </c>
      <c r="L11" s="279">
        <v>582.98376548049316</v>
      </c>
      <c r="M11" s="279">
        <v>235.20480783170157</v>
      </c>
      <c r="N11" s="279">
        <v>486.18820096580208</v>
      </c>
      <c r="O11" s="279">
        <v>599.55652041570886</v>
      </c>
      <c r="P11" s="279">
        <v>2739.3508896068429</v>
      </c>
      <c r="Q11" s="279">
        <v>1703.2485172306667</v>
      </c>
    </row>
    <row r="12" spans="1:17">
      <c r="A12" s="280" t="s">
        <v>149</v>
      </c>
      <c r="B12" s="281">
        <v>28126.441825846636</v>
      </c>
      <c r="C12" s="281">
        <v>7931.5397489094457</v>
      </c>
      <c r="D12" s="281">
        <v>95.150808259421922</v>
      </c>
      <c r="E12" s="281">
        <v>414.96827221283468</v>
      </c>
      <c r="F12" s="281">
        <v>4967.5925862006916</v>
      </c>
      <c r="G12" s="281">
        <v>21.260011281365706</v>
      </c>
      <c r="H12" s="281">
        <v>30.107717248444867</v>
      </c>
      <c r="I12" s="281">
        <v>14178.789240122011</v>
      </c>
      <c r="J12" s="281">
        <v>27.686156674542723</v>
      </c>
      <c r="K12" s="281">
        <v>22.438525860008561</v>
      </c>
      <c r="L12" s="281">
        <v>15.457726138107116</v>
      </c>
      <c r="M12" s="281">
        <v>1.4425510379125499</v>
      </c>
      <c r="N12" s="281">
        <v>38.378762425321057</v>
      </c>
      <c r="O12" s="281">
        <v>7.0622934304795191</v>
      </c>
      <c r="P12" s="281">
        <v>201.03704277964488</v>
      </c>
      <c r="Q12" s="281">
        <v>173.53038326455223</v>
      </c>
    </row>
    <row r="13" spans="1:17">
      <c r="A13" s="282" t="s">
        <v>149</v>
      </c>
      <c r="B13" s="279">
        <v>28126.441825846636</v>
      </c>
      <c r="C13" s="279">
        <v>7931.5397489094457</v>
      </c>
      <c r="D13" s="279">
        <v>95.150808259421922</v>
      </c>
      <c r="E13" s="279">
        <v>414.96827221283468</v>
      </c>
      <c r="F13" s="279">
        <v>4967.5925862006916</v>
      </c>
      <c r="G13" s="279">
        <v>21.260011281365706</v>
      </c>
      <c r="H13" s="279">
        <v>30.107717248444867</v>
      </c>
      <c r="I13" s="279">
        <v>14178.789240122011</v>
      </c>
      <c r="J13" s="279">
        <v>27.686156674542723</v>
      </c>
      <c r="K13" s="279">
        <v>22.438525860008561</v>
      </c>
      <c r="L13" s="279">
        <v>15.457726138107116</v>
      </c>
      <c r="M13" s="279">
        <v>1.4425510379125499</v>
      </c>
      <c r="N13" s="279">
        <v>38.378762425321057</v>
      </c>
      <c r="O13" s="279">
        <v>7.0622934304795191</v>
      </c>
      <c r="P13" s="279">
        <v>201.03704277964488</v>
      </c>
      <c r="Q13" s="279">
        <v>173.53038326455223</v>
      </c>
    </row>
    <row r="14" spans="1:17">
      <c r="A14" s="280" t="s">
        <v>150</v>
      </c>
      <c r="B14" s="281">
        <v>11932.262514654749</v>
      </c>
      <c r="C14" s="281">
        <v>1269.3767863008252</v>
      </c>
      <c r="D14" s="281">
        <v>29.630518399979099</v>
      </c>
      <c r="E14" s="281">
        <v>919.29776144150105</v>
      </c>
      <c r="F14" s="281">
        <v>610.05415815484457</v>
      </c>
      <c r="G14" s="281">
        <v>14.263547934192477</v>
      </c>
      <c r="H14" s="281">
        <v>38.101368428148838</v>
      </c>
      <c r="I14" s="281">
        <v>7742.4053128502455</v>
      </c>
      <c r="J14" s="281">
        <v>20.980378107928381</v>
      </c>
      <c r="K14" s="281">
        <v>10.08262041935642</v>
      </c>
      <c r="L14" s="281">
        <v>4.3272040350094221</v>
      </c>
      <c r="M14" s="281">
        <v>4.1185339631455884</v>
      </c>
      <c r="N14" s="281">
        <v>12.529114306212589</v>
      </c>
      <c r="O14" s="281">
        <v>30.965757566741644</v>
      </c>
      <c r="P14" s="281">
        <v>1146.0423724768434</v>
      </c>
      <c r="Q14" s="281">
        <v>80.087080269088005</v>
      </c>
    </row>
    <row r="15" spans="1:17">
      <c r="A15" s="282" t="s">
        <v>150</v>
      </c>
      <c r="B15" s="279">
        <v>11932.262514654749</v>
      </c>
      <c r="C15" s="279">
        <v>1269.3767863008252</v>
      </c>
      <c r="D15" s="279">
        <v>29.630518399979099</v>
      </c>
      <c r="E15" s="279">
        <v>919.29776144150105</v>
      </c>
      <c r="F15" s="279">
        <v>610.05415815484457</v>
      </c>
      <c r="G15" s="279">
        <v>14.263547934192477</v>
      </c>
      <c r="H15" s="279">
        <v>38.101368428148838</v>
      </c>
      <c r="I15" s="279">
        <v>7742.4053128502455</v>
      </c>
      <c r="J15" s="279">
        <v>20.980378107928381</v>
      </c>
      <c r="K15" s="279">
        <v>10.08262041935642</v>
      </c>
      <c r="L15" s="279">
        <v>4.3272040350094221</v>
      </c>
      <c r="M15" s="279">
        <v>4.1185339631455884</v>
      </c>
      <c r="N15" s="279">
        <v>12.529114306212589</v>
      </c>
      <c r="O15" s="279">
        <v>30.965757566741644</v>
      </c>
      <c r="P15" s="279">
        <v>1146.0423724768434</v>
      </c>
      <c r="Q15" s="279">
        <v>80.087080269088005</v>
      </c>
    </row>
    <row r="16" spans="1:17">
      <c r="A16" s="280" t="s">
        <v>151</v>
      </c>
      <c r="B16" s="281">
        <v>26192.712516051452</v>
      </c>
      <c r="C16" s="281">
        <v>2700.9422760876378</v>
      </c>
      <c r="D16" s="281">
        <v>164.02775521626208</v>
      </c>
      <c r="E16" s="281">
        <v>1713.3978153111884</v>
      </c>
      <c r="F16" s="281">
        <v>2579.4711556273842</v>
      </c>
      <c r="G16" s="281">
        <v>91.216167474451765</v>
      </c>
      <c r="H16" s="281">
        <v>107.46957178250882</v>
      </c>
      <c r="I16" s="281">
        <v>16872.586788447523</v>
      </c>
      <c r="J16" s="281">
        <v>43.190369403937368</v>
      </c>
      <c r="K16" s="281">
        <v>13.947188833839165</v>
      </c>
      <c r="L16" s="281">
        <v>17.060310567870804</v>
      </c>
      <c r="M16" s="281">
        <v>5.5201268039345175</v>
      </c>
      <c r="N16" s="281">
        <v>123.8046032295054</v>
      </c>
      <c r="O16" s="281">
        <v>16.816694195496634</v>
      </c>
      <c r="P16" s="281">
        <v>940.750972537302</v>
      </c>
      <c r="Q16" s="281">
        <v>802.51072053163603</v>
      </c>
    </row>
    <row r="17" spans="1:17">
      <c r="A17" s="282" t="s">
        <v>151</v>
      </c>
      <c r="B17" s="279">
        <v>26192.712516051452</v>
      </c>
      <c r="C17" s="279">
        <v>2700.9422760876378</v>
      </c>
      <c r="D17" s="279">
        <v>164.02775521626208</v>
      </c>
      <c r="E17" s="279">
        <v>1713.3978153111884</v>
      </c>
      <c r="F17" s="279">
        <v>2579.4711556273842</v>
      </c>
      <c r="G17" s="279">
        <v>91.216167474451765</v>
      </c>
      <c r="H17" s="279">
        <v>107.46957178250882</v>
      </c>
      <c r="I17" s="279">
        <v>16872.586788447523</v>
      </c>
      <c r="J17" s="279">
        <v>43.190369403937368</v>
      </c>
      <c r="K17" s="279">
        <v>13.947188833839165</v>
      </c>
      <c r="L17" s="279">
        <v>17.060310567870804</v>
      </c>
      <c r="M17" s="279">
        <v>5.5201268039345175</v>
      </c>
      <c r="N17" s="279">
        <v>123.8046032295054</v>
      </c>
      <c r="O17" s="279">
        <v>16.816694195496634</v>
      </c>
      <c r="P17" s="279">
        <v>940.750972537302</v>
      </c>
      <c r="Q17" s="279">
        <v>802.51072053163625</v>
      </c>
    </row>
    <row r="18" spans="1:17">
      <c r="A18" s="280" t="s">
        <v>152</v>
      </c>
      <c r="B18" s="281">
        <f>+B19+B20</f>
        <v>7975.2028742014918</v>
      </c>
      <c r="C18" s="281">
        <f>+C19+C20</f>
        <v>252.77993796086454</v>
      </c>
      <c r="D18" s="281">
        <f t="shared" ref="D18:P18" si="0">+D19+D20</f>
        <v>15.708466509731814</v>
      </c>
      <c r="E18" s="281">
        <f t="shared" si="0"/>
        <v>139.7964771803727</v>
      </c>
      <c r="F18" s="281">
        <f t="shared" si="0"/>
        <v>15.866040562761023</v>
      </c>
      <c r="G18" s="281">
        <f t="shared" si="0"/>
        <v>9.9671049607835265</v>
      </c>
      <c r="H18" s="281">
        <f t="shared" si="0"/>
        <v>26.977703760328666</v>
      </c>
      <c r="I18" s="281">
        <f t="shared" si="0"/>
        <v>7355.672203078695</v>
      </c>
      <c r="J18" s="281">
        <f t="shared" si="0"/>
        <v>10.070339599382745</v>
      </c>
      <c r="K18" s="281">
        <f t="shared" si="0"/>
        <v>0</v>
      </c>
      <c r="L18" s="281">
        <f t="shared" si="0"/>
        <v>1.4423264985484361</v>
      </c>
      <c r="M18" s="281">
        <f t="shared" si="0"/>
        <v>1.3379914626165192</v>
      </c>
      <c r="N18" s="281">
        <f t="shared" si="0"/>
        <v>121.73699123484064</v>
      </c>
      <c r="O18" s="281">
        <f t="shared" si="0"/>
        <v>8.3443366887929749</v>
      </c>
      <c r="P18" s="281">
        <f t="shared" si="0"/>
        <v>12.797418543450407</v>
      </c>
      <c r="Q18" s="281">
        <f>+Q19+Q20</f>
        <v>2.705536160351568</v>
      </c>
    </row>
    <row r="19" spans="1:17">
      <c r="A19" s="282" t="s">
        <v>152</v>
      </c>
      <c r="B19" s="279">
        <v>5874.7804493788708</v>
      </c>
      <c r="C19" s="279">
        <v>196.38210100740358</v>
      </c>
      <c r="D19" s="279">
        <v>11.381262474722391</v>
      </c>
      <c r="E19" s="279">
        <v>96.693968849469428</v>
      </c>
      <c r="F19" s="279">
        <v>14.423714064212588</v>
      </c>
      <c r="G19" s="279">
        <v>9.9671049607835265</v>
      </c>
      <c r="H19" s="279">
        <v>25.53537726178023</v>
      </c>
      <c r="I19" s="279">
        <v>5425.6697483946291</v>
      </c>
      <c r="J19" s="279">
        <v>5.7431355643733237</v>
      </c>
      <c r="K19" s="279">
        <v>0</v>
      </c>
      <c r="L19" s="279">
        <v>1.4423264985484361</v>
      </c>
      <c r="M19" s="279">
        <v>1.3379914626165192</v>
      </c>
      <c r="N19" s="279">
        <v>68.099787551508896</v>
      </c>
      <c r="O19" s="279">
        <v>4.043527622968087</v>
      </c>
      <c r="P19" s="279">
        <v>11.354867505537857</v>
      </c>
      <c r="Q19" s="279">
        <v>2.705536160351568</v>
      </c>
    </row>
    <row r="20" spans="1:17">
      <c r="A20" s="282" t="s">
        <v>153</v>
      </c>
      <c r="B20" s="279">
        <v>2100.4224248226205</v>
      </c>
      <c r="C20" s="279">
        <v>56.397836953460967</v>
      </c>
      <c r="D20" s="279">
        <v>4.3272040350094221</v>
      </c>
      <c r="E20" s="279">
        <v>43.102508330903284</v>
      </c>
      <c r="F20" s="279">
        <v>1.4423264985484361</v>
      </c>
      <c r="G20" s="279">
        <v>0</v>
      </c>
      <c r="H20" s="279">
        <v>1.4423264985484361</v>
      </c>
      <c r="I20" s="279">
        <v>1930.0024546840657</v>
      </c>
      <c r="J20" s="279">
        <v>4.3272040350094221</v>
      </c>
      <c r="K20" s="279">
        <v>0</v>
      </c>
      <c r="L20" s="279">
        <v>0</v>
      </c>
      <c r="M20" s="279">
        <v>0</v>
      </c>
      <c r="N20" s="279">
        <v>53.637203683331755</v>
      </c>
      <c r="O20" s="279">
        <v>4.3008090658248888</v>
      </c>
      <c r="P20" s="279">
        <v>1.4425510379125499</v>
      </c>
      <c r="Q20" s="279">
        <v>0</v>
      </c>
    </row>
    <row r="21" spans="1:17">
      <c r="A21" s="280" t="s">
        <v>154</v>
      </c>
      <c r="B21" s="281">
        <f>+B22+B23</f>
        <v>2271.0066721505464</v>
      </c>
      <c r="C21" s="281">
        <f t="shared" ref="C21:P21" si="1">+C22+C23</f>
        <v>28.26946457436544</v>
      </c>
      <c r="D21" s="281">
        <f t="shared" si="1"/>
        <v>9.8020353621449292</v>
      </c>
      <c r="E21" s="281">
        <f t="shared" si="1"/>
        <v>54.438619465577879</v>
      </c>
      <c r="F21" s="281">
        <f t="shared" si="1"/>
        <v>9.9660045634508307</v>
      </c>
      <c r="G21" s="281">
        <f t="shared" si="1"/>
        <v>1.4157069899997887</v>
      </c>
      <c r="H21" s="281">
        <f t="shared" si="1"/>
        <v>6.9358337939343055</v>
      </c>
      <c r="I21" s="281">
        <f t="shared" si="1"/>
        <v>2010.0176021032094</v>
      </c>
      <c r="J21" s="281">
        <f t="shared" si="1"/>
        <v>0</v>
      </c>
      <c r="K21" s="281">
        <f t="shared" si="1"/>
        <v>0</v>
      </c>
      <c r="L21" s="281">
        <f t="shared" si="1"/>
        <v>0</v>
      </c>
      <c r="M21" s="281">
        <f t="shared" si="1"/>
        <v>0</v>
      </c>
      <c r="N21" s="281">
        <f t="shared" si="1"/>
        <v>119.53701495954547</v>
      </c>
      <c r="O21" s="281">
        <f t="shared" si="1"/>
        <v>0</v>
      </c>
      <c r="P21" s="281">
        <f t="shared" si="1"/>
        <v>24.929417066207286</v>
      </c>
      <c r="Q21" s="281">
        <f>+Q22+Q23</f>
        <v>5.6949732721085846</v>
      </c>
    </row>
    <row r="22" spans="1:17">
      <c r="A22" s="282" t="s">
        <v>154</v>
      </c>
      <c r="B22" s="279">
        <v>1561.1480663910904</v>
      </c>
      <c r="C22" s="279">
        <v>25.489146613200486</v>
      </c>
      <c r="D22" s="279">
        <v>8.448447185360779</v>
      </c>
      <c r="E22" s="279">
        <v>36.158182212733017</v>
      </c>
      <c r="F22" s="279">
        <v>9.9660045634508307</v>
      </c>
      <c r="G22" s="279">
        <v>1.4157069899997887</v>
      </c>
      <c r="H22" s="279">
        <v>1.3379914626165192</v>
      </c>
      <c r="I22" s="279">
        <v>1447.9947757606776</v>
      </c>
      <c r="J22" s="279">
        <v>0</v>
      </c>
      <c r="K22" s="279">
        <v>0</v>
      </c>
      <c r="L22" s="279">
        <v>0</v>
      </c>
      <c r="M22" s="279">
        <v>0</v>
      </c>
      <c r="N22" s="279">
        <v>9.6823595547531554</v>
      </c>
      <c r="O22" s="279">
        <v>0</v>
      </c>
      <c r="P22" s="279">
        <v>20.65545204829516</v>
      </c>
      <c r="Q22" s="279">
        <v>0</v>
      </c>
    </row>
    <row r="23" spans="1:17">
      <c r="A23" s="282" t="s">
        <v>155</v>
      </c>
      <c r="B23" s="279">
        <v>709.85860575945583</v>
      </c>
      <c r="C23" s="279">
        <v>2.7803179611649553</v>
      </c>
      <c r="D23" s="279">
        <v>1.3535881767841509</v>
      </c>
      <c r="E23" s="279">
        <v>18.280437252844862</v>
      </c>
      <c r="F23" s="279">
        <v>0</v>
      </c>
      <c r="G23" s="279">
        <v>0</v>
      </c>
      <c r="H23" s="279">
        <v>5.5978423313177865</v>
      </c>
      <c r="I23" s="279">
        <v>562.02282634253163</v>
      </c>
      <c r="J23" s="279">
        <v>0</v>
      </c>
      <c r="K23" s="279">
        <v>0</v>
      </c>
      <c r="L23" s="279">
        <v>0</v>
      </c>
      <c r="M23" s="279">
        <v>0</v>
      </c>
      <c r="N23" s="279">
        <v>109.85465540479231</v>
      </c>
      <c r="O23" s="279">
        <v>0</v>
      </c>
      <c r="P23" s="279">
        <v>4.2739650179121274</v>
      </c>
      <c r="Q23" s="279">
        <v>5.6949732721085846</v>
      </c>
    </row>
    <row r="24" spans="1:17">
      <c r="A24" s="280" t="s">
        <v>156</v>
      </c>
      <c r="B24" s="281">
        <f>+B25+B26</f>
        <v>15958.460729610531</v>
      </c>
      <c r="C24" s="281">
        <f>+C25+C26</f>
        <v>2259.2074216385136</v>
      </c>
      <c r="D24" s="281">
        <f t="shared" ref="D24:Q24" si="2">+D25+D26</f>
        <v>57.21932668482944</v>
      </c>
      <c r="E24" s="281">
        <f>+E25+E26</f>
        <v>1199.3115982844749</v>
      </c>
      <c r="F24" s="281">
        <f t="shared" si="2"/>
        <v>1301.4470790164232</v>
      </c>
      <c r="G24" s="281">
        <f t="shared" si="2"/>
        <v>14.292534980367909</v>
      </c>
      <c r="H24" s="281">
        <f t="shared" si="2"/>
        <v>56.917865371531676</v>
      </c>
      <c r="I24" s="281">
        <f t="shared" si="2"/>
        <v>10058.565162869476</v>
      </c>
      <c r="J24" s="281">
        <f t="shared" si="2"/>
        <v>406.46133204071577</v>
      </c>
      <c r="K24" s="281">
        <f t="shared" si="2"/>
        <v>0</v>
      </c>
      <c r="L24" s="281">
        <f t="shared" si="2"/>
        <v>4.3276531137376502</v>
      </c>
      <c r="M24" s="281">
        <f t="shared" si="2"/>
        <v>20.596266961649405</v>
      </c>
      <c r="N24" s="281">
        <f t="shared" si="2"/>
        <v>4.1776404333826473</v>
      </c>
      <c r="O24" s="281">
        <f t="shared" si="2"/>
        <v>8.5505221128151554</v>
      </c>
      <c r="P24" s="281">
        <f t="shared" si="2"/>
        <v>513.68696308802782</v>
      </c>
      <c r="Q24" s="281">
        <f t="shared" si="2"/>
        <v>53.699363014592478</v>
      </c>
    </row>
    <row r="25" spans="1:17">
      <c r="A25" s="282" t="s">
        <v>156</v>
      </c>
      <c r="B25" s="279">
        <v>8894.4120929142337</v>
      </c>
      <c r="C25" s="279">
        <v>835.23883409223561</v>
      </c>
      <c r="D25" s="279">
        <v>13.944596756848266</v>
      </c>
      <c r="E25" s="279">
        <v>654.59282584646587</v>
      </c>
      <c r="F25" s="279">
        <v>653.62549778746256</v>
      </c>
      <c r="G25" s="279">
        <v>1.4423264985484361</v>
      </c>
      <c r="H25" s="279">
        <v>30.50880796863882</v>
      </c>
      <c r="I25" s="279">
        <v>6657.6984270345183</v>
      </c>
      <c r="J25" s="279">
        <v>8.4702145084409857</v>
      </c>
      <c r="K25" s="279">
        <v>0</v>
      </c>
      <c r="L25" s="279">
        <v>0</v>
      </c>
      <c r="M25" s="279">
        <v>0</v>
      </c>
      <c r="N25" s="279">
        <v>1.3675446977350487</v>
      </c>
      <c r="O25" s="279">
        <v>4.3274285743735366</v>
      </c>
      <c r="P25" s="279">
        <v>29.122508290802141</v>
      </c>
      <c r="Q25" s="279">
        <v>4.0730808580866169</v>
      </c>
    </row>
    <row r="26" spans="1:17">
      <c r="A26" s="282" t="s">
        <v>157</v>
      </c>
      <c r="B26" s="279">
        <v>7064.0486366962969</v>
      </c>
      <c r="C26" s="279">
        <v>1423.9685875462781</v>
      </c>
      <c r="D26" s="279">
        <v>43.27472992798117</v>
      </c>
      <c r="E26" s="279">
        <v>544.71877243800907</v>
      </c>
      <c r="F26" s="279">
        <v>647.82158122896067</v>
      </c>
      <c r="G26" s="279">
        <v>12.850208481819474</v>
      </c>
      <c r="H26" s="279">
        <v>26.409057402892852</v>
      </c>
      <c r="I26" s="279">
        <v>3400.8667358349571</v>
      </c>
      <c r="J26" s="279">
        <v>397.99111753227481</v>
      </c>
      <c r="K26" s="279">
        <v>0</v>
      </c>
      <c r="L26" s="279">
        <v>4.3276531137376502</v>
      </c>
      <c r="M26" s="279">
        <v>20.596266961649405</v>
      </c>
      <c r="N26" s="279">
        <v>2.8100957356475984</v>
      </c>
      <c r="O26" s="279">
        <v>4.2230935384416188</v>
      </c>
      <c r="P26" s="279">
        <v>484.56445479722572</v>
      </c>
      <c r="Q26" s="279">
        <v>49.626282156505859</v>
      </c>
    </row>
    <row r="27" spans="1:17">
      <c r="A27" s="280" t="s">
        <v>158</v>
      </c>
      <c r="B27" s="281">
        <f>+B28+B29</f>
        <v>26371.87127446731</v>
      </c>
      <c r="C27" s="281">
        <f t="shared" ref="C27:Q27" si="3">+C28+C29</f>
        <v>1412.1309617610939</v>
      </c>
      <c r="D27" s="281">
        <f t="shared" si="3"/>
        <v>29.542453696307156</v>
      </c>
      <c r="E27" s="281">
        <f t="shared" si="3"/>
        <v>197.14551721188539</v>
      </c>
      <c r="F27" s="281">
        <f t="shared" si="3"/>
        <v>3489.1220563086758</v>
      </c>
      <c r="G27" s="281">
        <f t="shared" si="3"/>
        <v>20.006458959201684</v>
      </c>
      <c r="H27" s="281">
        <f t="shared" si="3"/>
        <v>17.920284036416366</v>
      </c>
      <c r="I27" s="281">
        <f t="shared" si="3"/>
        <v>20966.821979384007</v>
      </c>
      <c r="J27" s="281">
        <f t="shared" si="3"/>
        <v>4.2383080849851753</v>
      </c>
      <c r="K27" s="281">
        <f t="shared" si="3"/>
        <v>5.5385903335678792</v>
      </c>
      <c r="L27" s="281">
        <f t="shared" si="3"/>
        <v>1.4423264985484361</v>
      </c>
      <c r="M27" s="281">
        <f t="shared" si="3"/>
        <v>1.4423264985484361</v>
      </c>
      <c r="N27" s="281">
        <f t="shared" si="3"/>
        <v>89.229418507999242</v>
      </c>
      <c r="O27" s="281">
        <f t="shared" si="3"/>
        <v>11.41081570984092</v>
      </c>
      <c r="P27" s="281">
        <f t="shared" si="3"/>
        <v>74.036305240331885</v>
      </c>
      <c r="Q27" s="281">
        <f t="shared" si="3"/>
        <v>51.843472235298535</v>
      </c>
    </row>
    <row r="28" spans="1:17">
      <c r="A28" s="282" t="s">
        <v>158</v>
      </c>
      <c r="B28" s="279">
        <v>23362.392173796718</v>
      </c>
      <c r="C28" s="279">
        <v>1306.0890356321502</v>
      </c>
      <c r="D28" s="279">
        <v>26.762135735142202</v>
      </c>
      <c r="E28" s="279">
        <v>192.81853771624009</v>
      </c>
      <c r="F28" s="279">
        <v>3486.3683578560594</v>
      </c>
      <c r="G28" s="279">
        <v>20.006458959201684</v>
      </c>
      <c r="H28" s="279">
        <v>15.062026008504027</v>
      </c>
      <c r="I28" s="279">
        <v>18169.660681322708</v>
      </c>
      <c r="J28" s="279">
        <v>4.2383080849851753</v>
      </c>
      <c r="K28" s="279">
        <v>5.5385903335678792</v>
      </c>
      <c r="L28" s="279">
        <v>1.4423264985484361</v>
      </c>
      <c r="M28" s="279">
        <v>1.4423264985484361</v>
      </c>
      <c r="N28" s="279">
        <v>0</v>
      </c>
      <c r="O28" s="279">
        <v>11.41081570984092</v>
      </c>
      <c r="P28" s="279">
        <v>71.151652243235006</v>
      </c>
      <c r="Q28" s="279">
        <v>50.400921197385983</v>
      </c>
    </row>
    <row r="29" spans="1:17">
      <c r="A29" s="282" t="s">
        <v>159</v>
      </c>
      <c r="B29" s="279">
        <v>3009.4791006705914</v>
      </c>
      <c r="C29" s="279">
        <v>106.0419261289438</v>
      </c>
      <c r="D29" s="279">
        <v>2.7803179611649553</v>
      </c>
      <c r="E29" s="279">
        <v>4.3269794956453085</v>
      </c>
      <c r="F29" s="279">
        <v>2.753698452616308</v>
      </c>
      <c r="G29" s="279">
        <v>0</v>
      </c>
      <c r="H29" s="279">
        <v>2.8582580279123384</v>
      </c>
      <c r="I29" s="279">
        <v>2797.1612980612977</v>
      </c>
      <c r="J29" s="279">
        <v>0</v>
      </c>
      <c r="K29" s="279">
        <v>0</v>
      </c>
      <c r="L29" s="279">
        <v>0</v>
      </c>
      <c r="M29" s="279">
        <v>0</v>
      </c>
      <c r="N29" s="279">
        <v>89.229418507999242</v>
      </c>
      <c r="O29" s="279">
        <v>0</v>
      </c>
      <c r="P29" s="279">
        <v>2.8846529970968722</v>
      </c>
      <c r="Q29" s="279">
        <v>1.4425510379125499</v>
      </c>
    </row>
    <row r="30" spans="1:17">
      <c r="A30" s="280" t="s">
        <v>160</v>
      </c>
      <c r="B30" s="281">
        <v>6667.9172431840243</v>
      </c>
      <c r="C30" s="281">
        <v>672.94818265789525</v>
      </c>
      <c r="D30" s="281">
        <v>1.4423264985484361</v>
      </c>
      <c r="E30" s="281">
        <v>7.158618015009</v>
      </c>
      <c r="F30" s="281">
        <v>84.928523917070407</v>
      </c>
      <c r="G30" s="281">
        <v>0</v>
      </c>
      <c r="H30" s="281">
        <v>1.3379914626165192</v>
      </c>
      <c r="I30" s="281">
        <v>5770.6114280030179</v>
      </c>
      <c r="J30" s="281">
        <v>0</v>
      </c>
      <c r="K30" s="281">
        <v>0</v>
      </c>
      <c r="L30" s="281">
        <v>0</v>
      </c>
      <c r="M30" s="281">
        <v>0</v>
      </c>
      <c r="N30" s="281">
        <v>99.302405110532078</v>
      </c>
      <c r="O30" s="281">
        <v>4.2737404785480138</v>
      </c>
      <c r="P30" s="281">
        <v>10.912523156387291</v>
      </c>
      <c r="Q30" s="281">
        <v>15.001503884414353</v>
      </c>
    </row>
    <row r="31" spans="1:17">
      <c r="A31" s="282" t="s">
        <v>160</v>
      </c>
      <c r="B31" s="279">
        <v>6667.9172431840243</v>
      </c>
      <c r="C31" s="279">
        <v>672.94818265789525</v>
      </c>
      <c r="D31" s="279">
        <v>1.4423264985484361</v>
      </c>
      <c r="E31" s="279">
        <v>7.158618015009</v>
      </c>
      <c r="F31" s="279">
        <v>84.928523917070407</v>
      </c>
      <c r="G31" s="279">
        <v>0</v>
      </c>
      <c r="H31" s="279">
        <v>1.3379914626165192</v>
      </c>
      <c r="I31" s="279">
        <v>5770.6114280030179</v>
      </c>
      <c r="J31" s="279">
        <v>0</v>
      </c>
      <c r="K31" s="279">
        <v>0</v>
      </c>
      <c r="L31" s="279">
        <v>0</v>
      </c>
      <c r="M31" s="279">
        <v>0</v>
      </c>
      <c r="N31" s="279">
        <v>99.302405110532078</v>
      </c>
      <c r="O31" s="279">
        <v>4.2737404785480138</v>
      </c>
      <c r="P31" s="279">
        <v>10.912523156387291</v>
      </c>
      <c r="Q31" s="279">
        <v>15.001503884414353</v>
      </c>
    </row>
    <row r="32" spans="1:17">
      <c r="A32" s="280" t="s">
        <v>161</v>
      </c>
      <c r="B32" s="281">
        <f>+B33+B34</f>
        <v>28798.71063242514</v>
      </c>
      <c r="C32" s="281">
        <f t="shared" ref="C32:Q32" si="4">+C33+C34</f>
        <v>8577.9637122254171</v>
      </c>
      <c r="D32" s="281">
        <f t="shared" si="4"/>
        <v>98.778637438442857</v>
      </c>
      <c r="E32" s="281">
        <f t="shared" si="4"/>
        <v>142.72965215779595</v>
      </c>
      <c r="F32" s="281">
        <f t="shared" si="4"/>
        <v>2629.2765589342634</v>
      </c>
      <c r="G32" s="281">
        <f t="shared" si="4"/>
        <v>9.614683534633075</v>
      </c>
      <c r="H32" s="281">
        <f t="shared" si="4"/>
        <v>30.753084774318896</v>
      </c>
      <c r="I32" s="281">
        <f t="shared" si="4"/>
        <v>17084.027186996274</v>
      </c>
      <c r="J32" s="281">
        <f t="shared" si="4"/>
        <v>5.4860786608806364</v>
      </c>
      <c r="K32" s="281">
        <f t="shared" si="4"/>
        <v>8.2255174367732362</v>
      </c>
      <c r="L32" s="281">
        <f t="shared" si="4"/>
        <v>8.3301556284779643</v>
      </c>
      <c r="M32" s="281">
        <f t="shared" si="4"/>
        <v>4.1185339631455884</v>
      </c>
      <c r="N32" s="281">
        <f t="shared" si="4"/>
        <v>47.189688739166513</v>
      </c>
      <c r="O32" s="281">
        <f t="shared" si="4"/>
        <v>0</v>
      </c>
      <c r="P32" s="281">
        <f t="shared" si="4"/>
        <v>23.832108249395056</v>
      </c>
      <c r="Q32" s="281">
        <f t="shared" si="4"/>
        <v>128.38503368485749</v>
      </c>
    </row>
    <row r="33" spans="1:17">
      <c r="A33" s="282" t="s">
        <v>161</v>
      </c>
      <c r="B33" s="279">
        <v>23676.104539040458</v>
      </c>
      <c r="C33" s="279">
        <v>7062.2068571211039</v>
      </c>
      <c r="D33" s="279">
        <v>91.995367883809365</v>
      </c>
      <c r="E33" s="279">
        <v>142.72965215779595</v>
      </c>
      <c r="F33" s="279">
        <v>2431.3524127158089</v>
      </c>
      <c r="G33" s="279">
        <v>9.614683534633075</v>
      </c>
      <c r="H33" s="279">
        <v>30.753084774318896</v>
      </c>
      <c r="I33" s="279">
        <v>13721.831262238466</v>
      </c>
      <c r="J33" s="279">
        <v>5.4860786608806364</v>
      </c>
      <c r="K33" s="279">
        <v>8.2255174367732362</v>
      </c>
      <c r="L33" s="279">
        <v>8.3301556284779643</v>
      </c>
      <c r="M33" s="279">
        <v>4.1185339631455884</v>
      </c>
      <c r="N33" s="279">
        <v>12.626950268439391</v>
      </c>
      <c r="O33" s="279">
        <v>0</v>
      </c>
      <c r="P33" s="279">
        <v>22.494116786778537</v>
      </c>
      <c r="Q33" s="279">
        <v>124.33986586867266</v>
      </c>
    </row>
    <row r="34" spans="1:17">
      <c r="A34" s="282" t="s">
        <v>162</v>
      </c>
      <c r="B34" s="279">
        <v>5122.6060933846811</v>
      </c>
      <c r="C34" s="279">
        <v>1515.7568551043134</v>
      </c>
      <c r="D34" s="279">
        <v>6.7832695546334971</v>
      </c>
      <c r="E34" s="279">
        <v>0</v>
      </c>
      <c r="F34" s="279">
        <v>197.92414621845455</v>
      </c>
      <c r="G34" s="279">
        <v>0</v>
      </c>
      <c r="H34" s="279">
        <v>0</v>
      </c>
      <c r="I34" s="279">
        <v>3362.1959247578093</v>
      </c>
      <c r="J34" s="279">
        <v>0</v>
      </c>
      <c r="K34" s="279">
        <v>0</v>
      </c>
      <c r="L34" s="279">
        <v>0</v>
      </c>
      <c r="M34" s="279">
        <v>0</v>
      </c>
      <c r="N34" s="279">
        <v>34.562738470727119</v>
      <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 <v>163</v>
      </c>
      <c r="B35" s="281">
        <f>+B36+B37</f>
        <v>20644.978069344659</v>
      </c>
      <c r="C35" s="281">
        <f t="shared" ref="C35:Q35" si="5">+C36+C37</f>
        <v>2557.3847698112891</v>
      </c>
      <c r="D35" s="281">
        <f t="shared" si="5"/>
        <v>32.5016994626138</v>
      </c>
      <c r="E35" s="281">
        <f t="shared" si="5"/>
        <v>1338.5409076899905</v>
      </c>
      <c r="F35" s="281">
        <f t="shared" si="5"/>
        <v>2531.8873201087717</v>
      </c>
      <c r="G35" s="281">
        <f t="shared" si="5"/>
        <v>8.5477054964601411</v>
      </c>
      <c r="H35" s="281">
        <f t="shared" si="5"/>
        <v>31.22592512766073</v>
      </c>
      <c r="I35" s="281">
        <f t="shared" si="5"/>
        <v>13804.71466003617</v>
      </c>
      <c r="J35" s="281">
        <f t="shared" si="5"/>
        <v>15.321937626715332</v>
      </c>
      <c r="K35" s="281">
        <f t="shared" si="5"/>
        <v>4.2521976948319207</v>
      </c>
      <c r="L35" s="281">
        <f t="shared" si="5"/>
        <v>7.0401688298662233</v>
      </c>
      <c r="M35" s="281">
        <f t="shared" si="5"/>
        <v>0</v>
      </c>
      <c r="N35" s="281">
        <f t="shared" si="5"/>
        <v>26.380829104471129</v>
      </c>
      <c r="O35" s="281">
        <f t="shared" si="5"/>
        <v>9.9941066369562499</v>
      </c>
      <c r="P35" s="281">
        <f t="shared" si="5"/>
        <v>94.782205700757885</v>
      </c>
      <c r="Q35" s="281">
        <f t="shared" si="5"/>
        <v>182.40363601732639</v>
      </c>
    </row>
    <row r="36" spans="1:17">
      <c r="A36" s="282" t="s">
        <v>163</v>
      </c>
      <c r="B36" s="279">
        <v>14771.660233342052</v>
      </c>
      <c r="C36" s="279">
        <v>2235.4005606737519</v>
      </c>
      <c r="D36" s="279">
        <v>25.474035992085362</v>
      </c>
      <c r="E36" s="279">
        <v>282.76148148892611</v>
      </c>
      <c r="F36" s="279">
        <v>1182.2891168889519</v>
      </c>
      <c r="G36" s="279">
        <v>7.1319985064603522</v>
      </c>
      <c r="H36" s="279">
        <v>11.23192341245973</v>
      </c>
      <c r="I36" s="279">
        <v>10851.472444676081</v>
      </c>
      <c r="J36" s="279">
        <v>4.3269794956453085</v>
      </c>
      <c r="K36" s="279">
        <v>0</v>
      </c>
      <c r="L36" s="279">
        <v>0</v>
      </c>
      <c r="M36" s="279">
        <v>0</v>
      </c>
      <c r="N36" s="279">
        <v>13.771407193884368</v>
      </c>
      <c r="O36" s="279">
        <v>8.5656697482545603</v>
      </c>
      <c r="P36" s="279">
        <v>86.310508627360122</v>
      </c>
      <c r="Q36" s="279">
        <v>62.924106637397799</v>
      </c>
    </row>
    <row r="37" spans="1:17">
      <c r="A37" s="283" t="s">
        <v>164</v>
      </c>
      <c r="B37" s="284">
        <v>5873.317836002605</v>
      </c>
      <c r="C37" s="284">
        <v>321.98420913753728</v>
      </c>
      <c r="D37" s="284">
        <v>7.0276634705284353</v>
      </c>
      <c r="E37" s="284">
        <v>1055.7794262010643</v>
      </c>
      <c r="F37" s="284">
        <v>1349.5982032198199</v>
      </c>
      <c r="G37" s="284">
        <v>1.4157069899997887</v>
      </c>
      <c r="H37" s="284">
        <v>19.994001715201001</v>
      </c>
      <c r="I37" s="284">
        <v>2953.2422153600896</v>
      </c>
      <c r="J37" s="284">
        <v>10.994958131070025</v>
      </c>
      <c r="K37" s="284">
        <v>4.2521976948319207</v>
      </c>
      <c r="L37" s="284">
        <v>7.0401688298662233</v>
      </c>
      <c r="M37" s="284">
        <v>0</v>
      </c>
      <c r="N37" s="284">
        <v>12.609421910586761</v>
      </c>
      <c r="O37" s="284">
        <v>1.4284368887016903</v>
      </c>
      <c r="P37" s="284">
        <v>8.4716970733977579</v>
      </c>
      <c r="Q37" s="284">
        <v>119.47952937992859</v>
      </c>
    </row>
  </sheetData>
  <mergeCells count="4">
    <mergeCell ref="A1:Q1"/>
    <mergeCell ref="A2:A3"/>
    <mergeCell ref="B2:B3"/>
    <mergeCell ref="C2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19"/>
  <sheetViews>
    <sheetView workbookViewId="0">
      <selection activeCell="E12" sqref="E12"/>
    </sheetView>
  </sheetViews>
  <sheetFormatPr defaultRowHeight="15"/>
  <cols>
    <col min="1" max="1" width="17.28515625" style="26" customWidth="1"/>
    <col min="2" max="4" width="9.140625" style="26"/>
    <col min="5" max="5" width="10.140625" style="26" customWidth="1"/>
    <col min="6" max="7" width="9.140625" style="26"/>
    <col min="8" max="8" width="10.140625" style="26" customWidth="1"/>
    <col min="9" max="11" width="9.140625" style="26"/>
    <col min="12" max="12" width="11.5703125" style="26" customWidth="1"/>
    <col min="13" max="14" width="10" style="26" customWidth="1"/>
    <col min="15" max="15" width="10.42578125" style="26" customWidth="1"/>
    <col min="16" max="16" width="9.140625" style="26"/>
    <col min="17" max="17" width="10" style="26" customWidth="1"/>
    <col min="18" max="16384" width="9.140625" style="26"/>
  </cols>
  <sheetData>
    <row r="1" spans="1:23">
      <c r="A1" s="1013" t="s">
        <v>245</v>
      </c>
      <c r="B1" s="999"/>
      <c r="C1" s="999"/>
      <c r="D1" s="999"/>
      <c r="E1" s="999"/>
      <c r="F1" s="999"/>
      <c r="G1" s="999"/>
      <c r="H1" s="999"/>
      <c r="I1" s="999"/>
      <c r="J1" s="999"/>
      <c r="K1" s="999"/>
      <c r="L1" s="999"/>
      <c r="M1" s="999"/>
      <c r="N1" s="999"/>
      <c r="O1" s="999"/>
      <c r="P1" s="999"/>
      <c r="Q1" s="999"/>
      <c r="R1" s="999"/>
      <c r="S1" s="999"/>
      <c r="T1" s="999"/>
      <c r="U1" s="999"/>
      <c r="V1" s="999"/>
      <c r="W1" s="999"/>
    </row>
    <row r="2" spans="1:23" ht="48">
      <c r="A2" s="290" t="s">
        <v>536</v>
      </c>
      <c r="B2" s="290" t="s">
        <v>217</v>
      </c>
      <c r="C2" s="290" t="s">
        <v>246</v>
      </c>
      <c r="D2" s="290" t="s">
        <v>247</v>
      </c>
      <c r="E2" s="290" t="s">
        <v>248</v>
      </c>
      <c r="F2" s="290" t="s">
        <v>249</v>
      </c>
      <c r="G2" s="290" t="s">
        <v>250</v>
      </c>
      <c r="H2" s="290" t="s">
        <v>251</v>
      </c>
      <c r="I2" s="290" t="s">
        <v>252</v>
      </c>
      <c r="J2" s="290" t="s">
        <v>253</v>
      </c>
      <c r="K2" s="290" t="s">
        <v>254</v>
      </c>
      <c r="L2" s="290" t="s">
        <v>255</v>
      </c>
      <c r="M2" s="290" t="s">
        <v>256</v>
      </c>
      <c r="N2" s="290" t="s">
        <v>257</v>
      </c>
      <c r="O2" s="290" t="s">
        <v>258</v>
      </c>
      <c r="P2" s="290" t="s">
        <v>259</v>
      </c>
      <c r="Q2" s="290" t="s">
        <v>260</v>
      </c>
      <c r="R2" s="290" t="s">
        <v>261</v>
      </c>
      <c r="S2" s="290" t="s">
        <v>262</v>
      </c>
      <c r="T2" s="290" t="s">
        <v>263</v>
      </c>
      <c r="U2" s="290" t="s">
        <v>264</v>
      </c>
      <c r="V2" s="290" t="s">
        <v>265</v>
      </c>
      <c r="W2" s="290" t="s">
        <v>266</v>
      </c>
    </row>
    <row r="3" spans="1:23">
      <c r="A3" s="291" t="s">
        <v>147</v>
      </c>
      <c r="B3" s="292">
        <v>534338.85842256004</v>
      </c>
      <c r="C3" s="292">
        <v>238370.29808248399</v>
      </c>
      <c r="D3" s="292">
        <v>4102.7082895654748</v>
      </c>
      <c r="E3" s="292">
        <v>816.24737028872937</v>
      </c>
      <c r="F3" s="292">
        <v>554.22468957277829</v>
      </c>
      <c r="G3" s="292">
        <v>590.70031406925375</v>
      </c>
      <c r="H3" s="292">
        <v>74304.496570580872</v>
      </c>
      <c r="I3" s="292">
        <v>2822.3153254610888</v>
      </c>
      <c r="J3" s="292">
        <v>17879.47999286537</v>
      </c>
      <c r="K3" s="292">
        <v>980.17087003932852</v>
      </c>
      <c r="L3" s="292">
        <v>797.39779061635659</v>
      </c>
      <c r="M3" s="292">
        <v>689.48400264732163</v>
      </c>
      <c r="N3" s="292">
        <v>56564.365822381544</v>
      </c>
      <c r="O3" s="292">
        <v>3279.4272056546156</v>
      </c>
      <c r="P3" s="292">
        <v>2356.893810621375</v>
      </c>
      <c r="Q3" s="292">
        <v>60908.129472605375</v>
      </c>
      <c r="R3" s="292">
        <v>16295.854835485288</v>
      </c>
      <c r="S3" s="292">
        <v>2655.9220976951856</v>
      </c>
      <c r="T3" s="292">
        <v>378.73530942980813</v>
      </c>
      <c r="U3" s="292">
        <v>30649.068250714496</v>
      </c>
      <c r="V3" s="292">
        <v>10584.643412249148</v>
      </c>
      <c r="W3" s="292">
        <v>8758.2949072290794</v>
      </c>
    </row>
    <row r="4" spans="1:23">
      <c r="A4" s="293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</row>
    <row r="5" spans="1:23">
      <c r="A5" s="295" t="s">
        <v>3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</row>
    <row r="6" spans="1:23">
      <c r="A6" s="297" t="s">
        <v>4</v>
      </c>
      <c r="B6" s="294">
        <v>367457.49651381728</v>
      </c>
      <c r="C6" s="294">
        <v>134958.44699303023</v>
      </c>
      <c r="D6" s="294">
        <v>3865.7286604744195</v>
      </c>
      <c r="E6" s="294">
        <v>615.93039767820221</v>
      </c>
      <c r="F6" s="294">
        <v>416.18788665055217</v>
      </c>
      <c r="G6" s="294">
        <v>433.89648323753602</v>
      </c>
      <c r="H6" s="294">
        <v>50807.051354428011</v>
      </c>
      <c r="I6" s="294">
        <v>2659.2341258285919</v>
      </c>
      <c r="J6" s="294">
        <v>12520.878851325544</v>
      </c>
      <c r="K6" s="294">
        <v>920.05748956116747</v>
      </c>
      <c r="L6" s="294">
        <v>781.94277366545509</v>
      </c>
      <c r="M6" s="294">
        <v>657.09353617396289</v>
      </c>
      <c r="N6" s="294">
        <v>51260.464704592079</v>
      </c>
      <c r="O6" s="294">
        <v>3125.6116731322336</v>
      </c>
      <c r="P6" s="294">
        <v>2016.2266781748983</v>
      </c>
      <c r="Q6" s="294">
        <v>51094.779567947138</v>
      </c>
      <c r="R6" s="294">
        <v>14730.558262418792</v>
      </c>
      <c r="S6" s="294">
        <v>1472.6133707896511</v>
      </c>
      <c r="T6" s="294">
        <v>368.96305184214594</v>
      </c>
      <c r="U6" s="294">
        <v>20016.467719050972</v>
      </c>
      <c r="V6" s="294">
        <v>7736.0286195319131</v>
      </c>
      <c r="W6" s="294">
        <v>6999.3343145136978</v>
      </c>
    </row>
    <row r="7" spans="1:23">
      <c r="A7" s="297" t="s">
        <v>5</v>
      </c>
      <c r="B7" s="294">
        <v>166881.36190847741</v>
      </c>
      <c r="C7" s="294">
        <v>103411.85108987226</v>
      </c>
      <c r="D7" s="294">
        <v>236.97962909105448</v>
      </c>
      <c r="E7" s="294">
        <v>200.31697261052742</v>
      </c>
      <c r="F7" s="294">
        <v>138.03680292222663</v>
      </c>
      <c r="G7" s="294">
        <v>156.80383083171893</v>
      </c>
      <c r="H7" s="294">
        <v>23497.445216176609</v>
      </c>
      <c r="I7" s="294">
        <v>163.08119963248751</v>
      </c>
      <c r="J7" s="294">
        <v>5358.6011415389148</v>
      </c>
      <c r="K7" s="294">
        <v>60.113380478161645</v>
      </c>
      <c r="L7" s="294">
        <v>15.455016950901349</v>
      </c>
      <c r="M7" s="294">
        <v>32.390466473359247</v>
      </c>
      <c r="N7" s="294">
        <v>5303.9011177926595</v>
      </c>
      <c r="O7" s="294">
        <v>153.81553252238055</v>
      </c>
      <c r="P7" s="294">
        <v>340.667132446457</v>
      </c>
      <c r="Q7" s="294">
        <v>9813.3499046725792</v>
      </c>
      <c r="R7" s="294">
        <v>1565.2965730662017</v>
      </c>
      <c r="S7" s="294">
        <v>1183.308726905467</v>
      </c>
      <c r="T7" s="294">
        <v>9.7722575876622866</v>
      </c>
      <c r="U7" s="294">
        <v>10632.60053166252</v>
      </c>
      <c r="V7" s="294">
        <v>2848.6147927268266</v>
      </c>
      <c r="W7" s="294">
        <v>1758.9605927154537</v>
      </c>
    </row>
    <row r="8" spans="1:23">
      <c r="A8" s="289" t="s">
        <v>137</v>
      </c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</row>
    <row r="9" spans="1:23">
      <c r="A9" s="297" t="s">
        <v>148</v>
      </c>
      <c r="B9" s="294">
        <v>359399.29407028039</v>
      </c>
      <c r="C9" s="294">
        <v>130056.1683424777</v>
      </c>
      <c r="D9" s="294">
        <v>3627.9399588312112</v>
      </c>
      <c r="E9" s="294">
        <v>607.60112961299751</v>
      </c>
      <c r="F9" s="294">
        <v>439.26752685750074</v>
      </c>
      <c r="G9" s="294">
        <v>393.08022124108868</v>
      </c>
      <c r="H9" s="294">
        <v>46462.384324314771</v>
      </c>
      <c r="I9" s="294">
        <v>2643.0892903296412</v>
      </c>
      <c r="J9" s="294">
        <v>12276.310195956674</v>
      </c>
      <c r="K9" s="294">
        <v>895.79581953523552</v>
      </c>
      <c r="L9" s="294">
        <v>780.65339357383164</v>
      </c>
      <c r="M9" s="294">
        <v>657.11035951037968</v>
      </c>
      <c r="N9" s="294">
        <v>51561.673770693713</v>
      </c>
      <c r="O9" s="294">
        <v>3051.2599227478813</v>
      </c>
      <c r="P9" s="294">
        <v>1416.6477085159029</v>
      </c>
      <c r="Q9" s="294">
        <v>51794.193107119136</v>
      </c>
      <c r="R9" s="294">
        <v>14595.324803484087</v>
      </c>
      <c r="S9" s="294">
        <v>1292.1645000891565</v>
      </c>
      <c r="T9" s="294">
        <v>367.52050080423339</v>
      </c>
      <c r="U9" s="294">
        <v>22527.942754824853</v>
      </c>
      <c r="V9" s="294">
        <v>7059.6245818014431</v>
      </c>
      <c r="W9" s="294">
        <v>6893.5418585226444</v>
      </c>
    </row>
    <row r="10" spans="1:23">
      <c r="A10" s="297" t="s">
        <v>149</v>
      </c>
      <c r="B10" s="294">
        <v>28126.441825849026</v>
      </c>
      <c r="C10" s="294">
        <v>19391.531311482027</v>
      </c>
      <c r="D10" s="298">
        <v>103.15037000091388</v>
      </c>
      <c r="E10" s="298">
        <v>28.002623204045285</v>
      </c>
      <c r="F10" s="299">
        <v>20.591917581226902</v>
      </c>
      <c r="G10" s="299">
        <v>34.651252253127296</v>
      </c>
      <c r="H10" s="294">
        <v>3127.1768448857765</v>
      </c>
      <c r="I10" s="298">
        <v>21.011492524412379</v>
      </c>
      <c r="J10" s="294">
        <v>625.12257217419028</v>
      </c>
      <c r="K10" s="298">
        <v>37.424404217514727</v>
      </c>
      <c r="L10" s="298">
        <v>7.0327401953609892</v>
      </c>
      <c r="M10" s="298">
        <v>7.1317739670962386</v>
      </c>
      <c r="N10" s="298">
        <v>726.40646653683086</v>
      </c>
      <c r="O10" s="298">
        <v>15.451858684967354</v>
      </c>
      <c r="P10" s="298">
        <v>80.459488489641018</v>
      </c>
      <c r="Q10" s="294">
        <v>961.89652145126593</v>
      </c>
      <c r="R10" s="298">
        <v>274.85995872533414</v>
      </c>
      <c r="S10" s="298">
        <v>308.71347788075457</v>
      </c>
      <c r="T10" s="89">
        <v>0</v>
      </c>
      <c r="U10" s="294">
        <v>1985.3444976531407</v>
      </c>
      <c r="V10" s="294">
        <v>109.75463412572094</v>
      </c>
      <c r="W10" s="294">
        <v>260.72761981318126</v>
      </c>
    </row>
    <row r="11" spans="1:23">
      <c r="A11" s="297" t="s">
        <v>150</v>
      </c>
      <c r="B11" s="294">
        <v>11932.262514654027</v>
      </c>
      <c r="C11" s="294">
        <v>7825.9688298447309</v>
      </c>
      <c r="D11" s="298">
        <v>131.20751377046463</v>
      </c>
      <c r="E11" s="298">
        <v>4.3005845264607743</v>
      </c>
      <c r="F11" s="299">
        <v>0</v>
      </c>
      <c r="G11" s="299">
        <v>0</v>
      </c>
      <c r="H11" s="294">
        <v>1292.9004747937547</v>
      </c>
      <c r="I11" s="299">
        <v>2.7803179611649553</v>
      </c>
      <c r="J11" s="294">
        <v>511.75412489440282</v>
      </c>
      <c r="K11" s="299">
        <v>0</v>
      </c>
      <c r="L11" s="299">
        <v>1.4423264985484361</v>
      </c>
      <c r="M11" s="299">
        <v>0</v>
      </c>
      <c r="N11" s="299">
        <v>283.19435260962479</v>
      </c>
      <c r="O11" s="299">
        <v>54.017972937800295</v>
      </c>
      <c r="P11" s="299">
        <v>0</v>
      </c>
      <c r="Q11" s="294">
        <v>537.7569749223569</v>
      </c>
      <c r="R11" s="298">
        <v>208.11970562386091</v>
      </c>
      <c r="S11" s="298">
        <v>43.042998999683981</v>
      </c>
      <c r="T11" s="299">
        <v>0</v>
      </c>
      <c r="U11" s="294">
        <v>344.93240214569505</v>
      </c>
      <c r="V11" s="294">
        <v>426.73320940981921</v>
      </c>
      <c r="W11" s="294">
        <v>264.11072571569719</v>
      </c>
    </row>
    <row r="12" spans="1:23">
      <c r="A12" s="297" t="s">
        <v>151</v>
      </c>
      <c r="B12" s="294">
        <v>26192.712516054398</v>
      </c>
      <c r="C12" s="294">
        <v>12538.695635936472</v>
      </c>
      <c r="D12" s="298">
        <v>109.01283730341849</v>
      </c>
      <c r="E12" s="298">
        <v>28.198327132538552</v>
      </c>
      <c r="F12" s="299">
        <v>32.115328207857274</v>
      </c>
      <c r="G12" s="299">
        <v>21.72265462583221</v>
      </c>
      <c r="H12" s="294">
        <v>6401.2190065853511</v>
      </c>
      <c r="I12" s="299">
        <v>48.655907363986806</v>
      </c>
      <c r="J12" s="294">
        <v>367.59676208731486</v>
      </c>
      <c r="K12" s="299">
        <v>27.558877892392317</v>
      </c>
      <c r="L12" s="299">
        <v>1.4425510379125499</v>
      </c>
      <c r="M12" s="299">
        <v>13.986035436043775</v>
      </c>
      <c r="N12" s="299">
        <v>950.26305752760834</v>
      </c>
      <c r="O12" s="299">
        <v>74.247932844817242</v>
      </c>
      <c r="P12" s="299">
        <v>689.5149964084884</v>
      </c>
      <c r="Q12" s="294">
        <v>2058.495216693721</v>
      </c>
      <c r="R12" s="298">
        <v>342.46309384221922</v>
      </c>
      <c r="S12" s="298">
        <v>271.02989098275509</v>
      </c>
      <c r="T12" s="299">
        <v>0</v>
      </c>
      <c r="U12" s="294">
        <v>610.51341216372782</v>
      </c>
      <c r="V12" s="294">
        <v>1066.8692051253511</v>
      </c>
      <c r="W12" s="294">
        <v>539.11178685089556</v>
      </c>
    </row>
    <row r="13" spans="1:23">
      <c r="A13" s="297" t="s">
        <v>152</v>
      </c>
      <c r="B13" s="294">
        <v>7975.2028742013463</v>
      </c>
      <c r="C13" s="294">
        <v>5305.3366842944079</v>
      </c>
      <c r="D13" s="299">
        <v>5.7693059941937443</v>
      </c>
      <c r="E13" s="299">
        <v>2.8848775364609862</v>
      </c>
      <c r="F13" s="299">
        <v>0</v>
      </c>
      <c r="G13" s="299">
        <v>0</v>
      </c>
      <c r="H13" s="294">
        <v>753.28836227149634</v>
      </c>
      <c r="I13" s="299">
        <v>1.4423264985484361</v>
      </c>
      <c r="J13" s="294">
        <v>20.94536598035322</v>
      </c>
      <c r="K13" s="299">
        <v>1.3675446977350487</v>
      </c>
      <c r="L13" s="299">
        <v>0</v>
      </c>
      <c r="M13" s="299">
        <v>0</v>
      </c>
      <c r="N13" s="299">
        <v>334.16138694711015</v>
      </c>
      <c r="O13" s="299">
        <v>25.04641508973695</v>
      </c>
      <c r="P13" s="299">
        <v>1.4423264985484361</v>
      </c>
      <c r="Q13" s="294">
        <v>1174.6612422396902</v>
      </c>
      <c r="R13" s="298">
        <v>34.313877430717504</v>
      </c>
      <c r="S13" s="298">
        <v>1.4425510379125499</v>
      </c>
      <c r="T13" s="299">
        <v>0</v>
      </c>
      <c r="U13" s="294">
        <v>193.37702603835433</v>
      </c>
      <c r="V13" s="294">
        <v>109.96669623338579</v>
      </c>
      <c r="W13" s="294">
        <v>9.7568854128587699</v>
      </c>
    </row>
    <row r="14" spans="1:23">
      <c r="A14" s="297" t="s">
        <v>154</v>
      </c>
      <c r="B14" s="294">
        <v>2271.00667215059</v>
      </c>
      <c r="C14" s="294">
        <v>1349.9083092704079</v>
      </c>
      <c r="D14" s="299">
        <v>0</v>
      </c>
      <c r="E14" s="299">
        <v>6.8737149807186686</v>
      </c>
      <c r="F14" s="299">
        <v>2.7805425005290694</v>
      </c>
      <c r="G14" s="299">
        <v>9.7991016355750489</v>
      </c>
      <c r="H14" s="294">
        <v>653.47147003147347</v>
      </c>
      <c r="I14" s="299">
        <v>0</v>
      </c>
      <c r="J14" s="294">
        <v>5.6244618398664343</v>
      </c>
      <c r="K14" s="299">
        <v>0</v>
      </c>
      <c r="L14" s="299">
        <v>0</v>
      </c>
      <c r="M14" s="299">
        <v>0</v>
      </c>
      <c r="N14" s="299">
        <v>0</v>
      </c>
      <c r="O14" s="299">
        <v>5.7697550729219715</v>
      </c>
      <c r="P14" s="299">
        <v>68.7840153763497</v>
      </c>
      <c r="Q14" s="294">
        <v>59.621434380437762</v>
      </c>
      <c r="R14" s="299">
        <v>1.4423264985484361</v>
      </c>
      <c r="S14" s="299">
        <v>0</v>
      </c>
      <c r="T14" s="299">
        <v>0</v>
      </c>
      <c r="U14" s="294">
        <v>98.597047655564666</v>
      </c>
      <c r="V14" s="89">
        <v>0</v>
      </c>
      <c r="W14" s="294">
        <v>11.082469830585316</v>
      </c>
    </row>
    <row r="15" spans="1:23">
      <c r="A15" s="297" t="s">
        <v>156</v>
      </c>
      <c r="B15" s="294">
        <v>15958.460729610948</v>
      </c>
      <c r="C15" s="294">
        <v>11408.565566453002</v>
      </c>
      <c r="D15" s="299">
        <v>9.876659534698355</v>
      </c>
      <c r="E15" s="299">
        <v>8.4474451024758945</v>
      </c>
      <c r="F15" s="299">
        <v>0</v>
      </c>
      <c r="G15" s="299">
        <v>9.5904315637112134</v>
      </c>
      <c r="H15" s="294">
        <v>1578.8619412637413</v>
      </c>
      <c r="I15" s="298">
        <v>10.096959107931394</v>
      </c>
      <c r="J15" s="294">
        <v>467.51945155252179</v>
      </c>
      <c r="K15" s="299">
        <v>0</v>
      </c>
      <c r="L15" s="299">
        <v>0</v>
      </c>
      <c r="M15" s="299">
        <v>1.4423264985484361</v>
      </c>
      <c r="N15" s="299">
        <v>193.51854380746596</v>
      </c>
      <c r="O15" s="299">
        <v>8.5097884550556486</v>
      </c>
      <c r="P15" s="299">
        <v>4.091689915232827</v>
      </c>
      <c r="Q15" s="294">
        <v>1113.7746148599153</v>
      </c>
      <c r="R15" s="298">
        <v>217.25721482816283</v>
      </c>
      <c r="S15" s="299">
        <v>205.48605424535475</v>
      </c>
      <c r="T15" s="299">
        <v>8.3565505976624976</v>
      </c>
      <c r="U15" s="294">
        <v>448.24754920442172</v>
      </c>
      <c r="V15" s="298">
        <v>192.1285147567919</v>
      </c>
      <c r="W15" s="294">
        <v>72.689427863786904</v>
      </c>
    </row>
    <row r="16" spans="1:23">
      <c r="A16" s="297" t="s">
        <v>158</v>
      </c>
      <c r="B16" s="294">
        <v>26371.871274469911</v>
      </c>
      <c r="C16" s="294">
        <v>10700.006502115737</v>
      </c>
      <c r="D16" s="299">
        <v>15.745897458083803</v>
      </c>
      <c r="E16" s="299">
        <v>16.671334051336945</v>
      </c>
      <c r="F16" s="299">
        <v>17.89095534066195</v>
      </c>
      <c r="G16" s="299">
        <v>28.891517891701447</v>
      </c>
      <c r="H16" s="294">
        <v>8104.8676338925925</v>
      </c>
      <c r="I16" s="298">
        <v>33.553561268690984</v>
      </c>
      <c r="J16" s="294">
        <v>1217.3735815913685</v>
      </c>
      <c r="K16" s="299">
        <v>2.7071763535683018</v>
      </c>
      <c r="L16" s="299">
        <v>5.4887878480864059</v>
      </c>
      <c r="M16" s="299">
        <v>4.2230935384416188</v>
      </c>
      <c r="N16" s="299">
        <v>1800.6530679854011</v>
      </c>
      <c r="O16" s="299">
        <v>26.503371727328627</v>
      </c>
      <c r="P16" s="299">
        <v>17.796002905894316</v>
      </c>
      <c r="Q16" s="294">
        <v>1914.774153351349</v>
      </c>
      <c r="R16" s="298">
        <v>238.17538518832814</v>
      </c>
      <c r="S16" s="299">
        <v>5.5920538900292884</v>
      </c>
      <c r="T16" s="299">
        <v>2.8582580279123384</v>
      </c>
      <c r="U16" s="294">
        <v>1082.7048806713306</v>
      </c>
      <c r="V16" s="298">
        <v>796.40301711173242</v>
      </c>
      <c r="W16" s="294">
        <v>338.9910422547768</v>
      </c>
    </row>
    <row r="17" spans="1:23">
      <c r="A17" s="297" t="s">
        <v>160</v>
      </c>
      <c r="B17" s="294">
        <v>6667.9172431839097</v>
      </c>
      <c r="C17" s="294">
        <v>5598.6129618559316</v>
      </c>
      <c r="D17" s="299">
        <v>0</v>
      </c>
      <c r="E17" s="299">
        <v>9.6041635452979985</v>
      </c>
      <c r="F17" s="299">
        <v>0</v>
      </c>
      <c r="G17" s="299">
        <v>2.8098711962834848</v>
      </c>
      <c r="H17" s="294">
        <v>379.01350175827935</v>
      </c>
      <c r="I17" s="298">
        <v>5.6949732721085837</v>
      </c>
      <c r="J17" s="294">
        <v>12.582802402038114</v>
      </c>
      <c r="K17" s="299">
        <v>2.7961392146967006</v>
      </c>
      <c r="L17" s="299">
        <v>0</v>
      </c>
      <c r="M17" s="299">
        <v>0</v>
      </c>
      <c r="N17" s="299">
        <v>5.7426864856450974</v>
      </c>
      <c r="O17" s="299">
        <v>0</v>
      </c>
      <c r="P17" s="299">
        <v>0</v>
      </c>
      <c r="Q17" s="294">
        <v>235.13777417491372</v>
      </c>
      <c r="R17" s="298">
        <v>1.4425510379125499</v>
      </c>
      <c r="S17" s="299">
        <v>252.58846601226509</v>
      </c>
      <c r="T17" s="299">
        <v>0</v>
      </c>
      <c r="U17" s="294">
        <v>115.15532748915706</v>
      </c>
      <c r="V17" s="298">
        <v>34.391894723112785</v>
      </c>
      <c r="W17" s="294">
        <v>12.344130016327522</v>
      </c>
    </row>
    <row r="18" spans="1:23">
      <c r="A18" s="297" t="s">
        <v>161</v>
      </c>
      <c r="B18" s="294">
        <v>28798.710632428436</v>
      </c>
      <c r="C18" s="294">
        <v>18561.747815051756</v>
      </c>
      <c r="D18" s="299">
        <v>12.713981485882789</v>
      </c>
      <c r="E18" s="299">
        <v>90.915590046188939</v>
      </c>
      <c r="F18" s="299">
        <v>33.129491417570151</v>
      </c>
      <c r="G18" s="299">
        <v>80.237421390749461</v>
      </c>
      <c r="H18" s="294">
        <v>4044.2310067829944</v>
      </c>
      <c r="I18" s="298">
        <v>32.087706616423738</v>
      </c>
      <c r="J18" s="294">
        <v>1816.1048489064246</v>
      </c>
      <c r="K18" s="299">
        <v>9.6358060523614899</v>
      </c>
      <c r="L18" s="299">
        <v>1.3379914626165192</v>
      </c>
      <c r="M18" s="299">
        <v>2.8848775364609862</v>
      </c>
      <c r="N18" s="299">
        <v>362.01956898086286</v>
      </c>
      <c r="O18" s="299">
        <v>5.7426864856450965</v>
      </c>
      <c r="P18" s="299">
        <v>1.3379914626165192</v>
      </c>
      <c r="Q18" s="294">
        <v>411.49092494068583</v>
      </c>
      <c r="R18" s="298">
        <v>106.67639998267857</v>
      </c>
      <c r="S18" s="299">
        <v>0</v>
      </c>
      <c r="T18" s="299">
        <v>0</v>
      </c>
      <c r="U18" s="294">
        <v>2824.0392801922703</v>
      </c>
      <c r="V18" s="298">
        <v>207.89167833043388</v>
      </c>
      <c r="W18" s="294">
        <v>194.48556530043942</v>
      </c>
    </row>
    <row r="19" spans="1:23">
      <c r="A19" s="300" t="s">
        <v>163</v>
      </c>
      <c r="B19" s="301">
        <v>20644.978069346882</v>
      </c>
      <c r="C19" s="301">
        <v>15633.756124161884</v>
      </c>
      <c r="D19" s="302">
        <v>87.291765186606753</v>
      </c>
      <c r="E19" s="302">
        <v>12.747580550208443</v>
      </c>
      <c r="F19" s="302">
        <v>8.4489276674326685</v>
      </c>
      <c r="G19" s="302">
        <v>9.9178422711860907</v>
      </c>
      <c r="H19" s="301">
        <v>1507.0820040251226</v>
      </c>
      <c r="I19" s="303">
        <v>23.90279051816978</v>
      </c>
      <c r="J19" s="301">
        <v>558.54582547932091</v>
      </c>
      <c r="K19" s="302">
        <v>2.8851020758250998</v>
      </c>
      <c r="L19" s="302">
        <v>0</v>
      </c>
      <c r="M19" s="302">
        <v>2.705536160351568</v>
      </c>
      <c r="N19" s="302">
        <v>346.73292081080018</v>
      </c>
      <c r="O19" s="302">
        <v>12.877501608460463</v>
      </c>
      <c r="P19" s="302">
        <v>76.819591048661295</v>
      </c>
      <c r="Q19" s="301">
        <v>646.32750848583794</v>
      </c>
      <c r="R19" s="303">
        <v>275.77951884306208</v>
      </c>
      <c r="S19" s="302">
        <v>275.86210455719998</v>
      </c>
      <c r="T19" s="302">
        <v>0</v>
      </c>
      <c r="U19" s="301">
        <v>418.21407267523347</v>
      </c>
      <c r="V19" s="303">
        <v>583.62795757064646</v>
      </c>
      <c r="W19" s="301">
        <v>161.45339564792866</v>
      </c>
    </row>
  </sheetData>
  <mergeCells count="1">
    <mergeCell ref="A1:W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8"/>
  <sheetViews>
    <sheetView workbookViewId="0">
      <selection activeCell="A10" sqref="A10"/>
    </sheetView>
  </sheetViews>
  <sheetFormatPr defaultRowHeight="15"/>
  <cols>
    <col min="1" max="1" width="17.7109375" style="26" customWidth="1"/>
    <col min="2" max="4" width="9.140625" style="26"/>
    <col min="5" max="5" width="4.140625" style="26" customWidth="1"/>
    <col min="6" max="8" width="9.140625" style="26"/>
    <col min="9" max="9" width="2.85546875" style="26" customWidth="1"/>
    <col min="10" max="12" width="9.140625" style="26"/>
    <col min="13" max="13" width="10.5703125" style="26" customWidth="1"/>
    <col min="14" max="16384" width="9.140625" style="26"/>
  </cols>
  <sheetData>
    <row r="1" spans="1:13" ht="15.75" thickBot="1">
      <c r="A1" s="1014" t="s">
        <v>580</v>
      </c>
      <c r="B1" s="1014"/>
      <c r="C1" s="1014"/>
      <c r="D1" s="1014"/>
      <c r="E1" s="1014"/>
      <c r="F1" s="1014"/>
      <c r="G1" s="1014"/>
      <c r="H1" s="1014"/>
      <c r="I1" s="1014"/>
      <c r="J1" s="1014"/>
      <c r="K1" s="1014"/>
      <c r="L1" s="1014"/>
      <c r="M1" s="1014"/>
    </row>
    <row r="2" spans="1:13" ht="15" customHeight="1">
      <c r="A2" s="1020" t="s">
        <v>314</v>
      </c>
      <c r="B2" s="1015" t="s">
        <v>267</v>
      </c>
      <c r="C2" s="1015"/>
      <c r="D2" s="1015"/>
      <c r="E2" s="304"/>
      <c r="F2" s="1015" t="s">
        <v>268</v>
      </c>
      <c r="G2" s="1015"/>
      <c r="H2" s="1015"/>
      <c r="I2" s="304"/>
      <c r="J2" s="1017" t="s">
        <v>269</v>
      </c>
      <c r="K2" s="1017"/>
      <c r="L2" s="1017"/>
      <c r="M2" s="1019" t="s">
        <v>270</v>
      </c>
    </row>
    <row r="3" spans="1:13">
      <c r="A3" s="1021"/>
      <c r="B3" s="1016"/>
      <c r="C3" s="1016"/>
      <c r="D3" s="1016"/>
      <c r="E3" s="304"/>
      <c r="F3" s="1016"/>
      <c r="G3" s="1016"/>
      <c r="H3" s="1016"/>
      <c r="I3" s="304"/>
      <c r="J3" s="1018"/>
      <c r="K3" s="1018"/>
      <c r="L3" s="1018"/>
      <c r="M3" s="1019"/>
    </row>
    <row r="4" spans="1:13">
      <c r="A4" s="1021"/>
      <c r="B4" s="305" t="s">
        <v>0</v>
      </c>
      <c r="C4" s="305" t="s">
        <v>1</v>
      </c>
      <c r="D4" s="305" t="s">
        <v>2</v>
      </c>
      <c r="E4" s="305"/>
      <c r="F4" s="306" t="s">
        <v>0</v>
      </c>
      <c r="G4" s="307" t="s">
        <v>1</v>
      </c>
      <c r="H4" s="307" t="s">
        <v>2</v>
      </c>
      <c r="I4" s="307"/>
      <c r="J4" s="308" t="s">
        <v>0</v>
      </c>
      <c r="K4" s="309" t="s">
        <v>1</v>
      </c>
      <c r="L4" s="309" t="s">
        <v>2</v>
      </c>
      <c r="M4" s="1019"/>
    </row>
    <row r="5" spans="1:13">
      <c r="A5" s="310" t="s">
        <v>147</v>
      </c>
      <c r="B5" s="311">
        <v>329734.05573124648</v>
      </c>
      <c r="C5" s="311">
        <v>159689.51057546219</v>
      </c>
      <c r="D5" s="311">
        <v>170044.54515556569</v>
      </c>
      <c r="E5" s="311"/>
      <c r="F5" s="311">
        <v>218676.3101495436</v>
      </c>
      <c r="G5" s="311">
        <v>118923.98426984614</v>
      </c>
      <c r="H5" s="311">
        <v>99752.325879848737</v>
      </c>
      <c r="I5" s="311"/>
      <c r="J5" s="312">
        <v>66.31899445907969</v>
      </c>
      <c r="K5" s="312">
        <v>74.472007485857119</v>
      </c>
      <c r="L5" s="312">
        <v>58.662467407351308</v>
      </c>
      <c r="M5" s="313">
        <f>L5/K5</f>
        <v>0.7877116434452478</v>
      </c>
    </row>
    <row r="6" spans="1:13">
      <c r="A6" s="314"/>
      <c r="B6" s="307"/>
      <c r="C6" s="307"/>
      <c r="D6" s="307"/>
      <c r="E6" s="307"/>
      <c r="F6" s="307"/>
      <c r="G6" s="307"/>
      <c r="H6" s="307"/>
      <c r="I6" s="307"/>
      <c r="J6" s="309"/>
      <c r="K6" s="309"/>
      <c r="L6" s="309"/>
      <c r="M6" s="315"/>
    </row>
    <row r="7" spans="1:13" ht="16.5" customHeight="1">
      <c r="A7" s="310" t="s">
        <v>3</v>
      </c>
      <c r="B7" s="311"/>
      <c r="C7" s="311"/>
      <c r="D7" s="311"/>
      <c r="E7" s="311"/>
      <c r="F7" s="311"/>
      <c r="G7" s="311"/>
      <c r="H7" s="311"/>
      <c r="I7" s="311"/>
      <c r="J7" s="312"/>
      <c r="K7" s="312"/>
      <c r="L7" s="312"/>
      <c r="M7" s="316"/>
    </row>
    <row r="8" spans="1:13">
      <c r="A8" s="314" t="s">
        <v>271</v>
      </c>
      <c r="B8" s="307">
        <v>226048.94595276954</v>
      </c>
      <c r="C8" s="307">
        <v>107831.22823937336</v>
      </c>
      <c r="D8" s="307">
        <v>118217.71771355328</v>
      </c>
      <c r="E8" s="307"/>
      <c r="F8" s="307">
        <v>173444.29361775308</v>
      </c>
      <c r="G8" s="307">
        <v>91130.881328621399</v>
      </c>
      <c r="H8" s="307">
        <v>82313.4122892788</v>
      </c>
      <c r="I8" s="307"/>
      <c r="J8" s="309">
        <v>76.728645155545834</v>
      </c>
      <c r="K8" s="309">
        <v>84.512513505189631</v>
      </c>
      <c r="L8" s="309">
        <v>69.628659630116474</v>
      </c>
      <c r="M8" s="315">
        <f t="shared" ref="M8:M38" si="0">L8/K8</f>
        <v>0.82388579799890593</v>
      </c>
    </row>
    <row r="9" spans="1:13">
      <c r="A9" s="314" t="s">
        <v>5</v>
      </c>
      <c r="B9" s="307">
        <v>103685.10977826219</v>
      </c>
      <c r="C9" s="307">
        <v>51858.282336199489</v>
      </c>
      <c r="D9" s="307">
        <v>51826.827442128539</v>
      </c>
      <c r="E9" s="307"/>
      <c r="F9" s="307">
        <v>45232.016531879068</v>
      </c>
      <c r="G9" s="307">
        <v>27793.102941268673</v>
      </c>
      <c r="H9" s="307">
        <v>17438.913590607739</v>
      </c>
      <c r="I9" s="307"/>
      <c r="J9" s="309">
        <v>43.62440916405717</v>
      </c>
      <c r="K9" s="309">
        <v>53.594337662567476</v>
      </c>
      <c r="L9" s="309">
        <v>33.648429686498076</v>
      </c>
      <c r="M9" s="315">
        <f t="shared" si="0"/>
        <v>0.62783553550657167</v>
      </c>
    </row>
    <row r="10" spans="1:13" ht="18.75" customHeight="1">
      <c r="A10" s="1184" t="s">
        <v>593</v>
      </c>
      <c r="B10" s="311"/>
      <c r="C10" s="311"/>
      <c r="D10" s="311"/>
      <c r="E10" s="311"/>
      <c r="F10" s="311"/>
      <c r="G10" s="311"/>
      <c r="H10" s="311"/>
      <c r="I10" s="311"/>
      <c r="J10" s="312"/>
      <c r="K10" s="312"/>
      <c r="L10" s="312"/>
      <c r="M10" s="316"/>
    </row>
    <row r="11" spans="1:13">
      <c r="A11" s="317" t="s">
        <v>148</v>
      </c>
      <c r="B11" s="318">
        <v>222869.23171932664</v>
      </c>
      <c r="C11" s="318">
        <v>106757.74560248274</v>
      </c>
      <c r="D11" s="318">
        <v>116111.48611700871</v>
      </c>
      <c r="E11" s="318"/>
      <c r="F11" s="318">
        <v>169098.68925950676</v>
      </c>
      <c r="G11" s="318">
        <v>89657.535238480923</v>
      </c>
      <c r="H11" s="318">
        <v>79441.154021157607</v>
      </c>
      <c r="I11" s="318"/>
      <c r="J11" s="319">
        <v>75.87350122542378</v>
      </c>
      <c r="K11" s="319">
        <v>83.98222979746032</v>
      </c>
      <c r="L11" s="319">
        <v>68.417997803492696</v>
      </c>
      <c r="M11" s="315">
        <f t="shared" si="0"/>
        <v>0.81467231780456606</v>
      </c>
    </row>
    <row r="12" spans="1:13">
      <c r="A12" s="323" t="s">
        <v>148</v>
      </c>
      <c r="B12" s="307">
        <v>222869.23171932664</v>
      </c>
      <c r="C12" s="307">
        <v>106757.74560248274</v>
      </c>
      <c r="D12" s="307">
        <v>116111.48611700871</v>
      </c>
      <c r="E12" s="307"/>
      <c r="F12" s="307">
        <v>169098.68925950676</v>
      </c>
      <c r="G12" s="307">
        <v>89657.535238480923</v>
      </c>
      <c r="H12" s="307">
        <v>79441.154021157607</v>
      </c>
      <c r="I12" s="307"/>
      <c r="J12" s="309">
        <v>75.87350122542378</v>
      </c>
      <c r="K12" s="309">
        <v>83.98222979746032</v>
      </c>
      <c r="L12" s="309">
        <v>68.417997803492696</v>
      </c>
      <c r="M12" s="315">
        <f t="shared" si="0"/>
        <v>0.81467231780456606</v>
      </c>
    </row>
    <row r="13" spans="1:13">
      <c r="A13" s="317" t="s">
        <v>149</v>
      </c>
      <c r="B13" s="318">
        <v>17817.340540730624</v>
      </c>
      <c r="C13" s="318">
        <v>8734.7991660917087</v>
      </c>
      <c r="D13" s="318">
        <v>9082.5413746365903</v>
      </c>
      <c r="E13" s="318"/>
      <c r="F13" s="318">
        <v>8520.7731426265691</v>
      </c>
      <c r="G13" s="318">
        <v>5031.1158886892536</v>
      </c>
      <c r="H13" s="318">
        <v>3489.6572539372992</v>
      </c>
      <c r="I13" s="318"/>
      <c r="J13" s="319">
        <v>47.822923534229936</v>
      </c>
      <c r="K13" s="319">
        <v>57.598529663052325</v>
      </c>
      <c r="L13" s="319">
        <v>38.421594903849076</v>
      </c>
      <c r="M13" s="315">
        <f t="shared" si="0"/>
        <v>0.66705860598548128</v>
      </c>
    </row>
    <row r="14" spans="1:13">
      <c r="A14" s="323" t="s">
        <v>149</v>
      </c>
      <c r="B14" s="307">
        <v>17817.340540730624</v>
      </c>
      <c r="C14" s="307">
        <v>8734.7991660917087</v>
      </c>
      <c r="D14" s="307">
        <v>9082.5413746365903</v>
      </c>
      <c r="E14" s="307"/>
      <c r="F14" s="307">
        <v>8520.7731426265691</v>
      </c>
      <c r="G14" s="307">
        <v>5031.1158886892536</v>
      </c>
      <c r="H14" s="307">
        <v>3489.6572539372992</v>
      </c>
      <c r="I14" s="307"/>
      <c r="J14" s="309">
        <v>47.822923534229936</v>
      </c>
      <c r="K14" s="309">
        <v>57.598529663052325</v>
      </c>
      <c r="L14" s="309">
        <v>38.421594903849076</v>
      </c>
      <c r="M14" s="315">
        <f t="shared" si="0"/>
        <v>0.66705860598548128</v>
      </c>
    </row>
    <row r="15" spans="1:13">
      <c r="A15" s="317" t="s">
        <v>150</v>
      </c>
      <c r="B15" s="318">
        <v>7162.7197469530911</v>
      </c>
      <c r="C15" s="318">
        <v>3542.4599659041141</v>
      </c>
      <c r="D15" s="318">
        <v>3620.2597810490938</v>
      </c>
      <c r="E15" s="318"/>
      <c r="F15" s="318">
        <v>4762.2119333012934</v>
      </c>
      <c r="G15" s="318">
        <v>2583.3569352474274</v>
      </c>
      <c r="H15" s="318">
        <v>2178.8549980539606</v>
      </c>
      <c r="I15" s="318"/>
      <c r="J15" s="319">
        <v>66.486084916656949</v>
      </c>
      <c r="K15" s="319">
        <v>72.925508265782241</v>
      </c>
      <c r="L15" s="319">
        <v>60.185045544509229</v>
      </c>
      <c r="M15" s="315">
        <f t="shared" si="0"/>
        <v>0.82529483819516924</v>
      </c>
    </row>
    <row r="16" spans="1:13">
      <c r="A16" s="323" t="s">
        <v>150</v>
      </c>
      <c r="B16" s="307">
        <v>7162.7197469530911</v>
      </c>
      <c r="C16" s="307">
        <v>3542.4599659041141</v>
      </c>
      <c r="D16" s="307">
        <v>3620.2597810490938</v>
      </c>
      <c r="E16" s="307"/>
      <c r="F16" s="307">
        <v>4762.2119333012934</v>
      </c>
      <c r="G16" s="307">
        <v>2583.3569352474274</v>
      </c>
      <c r="H16" s="307">
        <v>2178.8549980539606</v>
      </c>
      <c r="I16" s="307"/>
      <c r="J16" s="309">
        <v>66.486084916656949</v>
      </c>
      <c r="K16" s="309">
        <v>72.925508265782241</v>
      </c>
      <c r="L16" s="309">
        <v>60.185045544509229</v>
      </c>
      <c r="M16" s="315">
        <f t="shared" si="0"/>
        <v>0.82529483819516924</v>
      </c>
    </row>
    <row r="17" spans="1:13">
      <c r="A17" s="317" t="s">
        <v>151</v>
      </c>
      <c r="B17" s="318">
        <v>16336.504081339272</v>
      </c>
      <c r="C17" s="318">
        <v>7903.3058846449294</v>
      </c>
      <c r="D17" s="318">
        <v>8433.1981966915537</v>
      </c>
      <c r="E17" s="318"/>
      <c r="F17" s="318">
        <v>9807.3210469263813</v>
      </c>
      <c r="G17" s="318">
        <v>5282.0859281494932</v>
      </c>
      <c r="H17" s="318">
        <v>4525.2351187764489</v>
      </c>
      <c r="I17" s="318"/>
      <c r="J17" s="319">
        <v>60.03316865160307</v>
      </c>
      <c r="K17" s="319">
        <v>66.833879458113941</v>
      </c>
      <c r="L17" s="319">
        <v>53.659774301899496</v>
      </c>
      <c r="M17" s="315">
        <f t="shared" si="0"/>
        <v>0.80288283033950014</v>
      </c>
    </row>
    <row r="18" spans="1:13">
      <c r="A18" s="323" t="s">
        <v>151</v>
      </c>
      <c r="B18" s="307">
        <v>16336.504081339272</v>
      </c>
      <c r="C18" s="307">
        <v>7903.3058846449294</v>
      </c>
      <c r="D18" s="307">
        <v>8433.1981966915537</v>
      </c>
      <c r="E18" s="307"/>
      <c r="F18" s="307">
        <v>9807.3210469263813</v>
      </c>
      <c r="G18" s="307">
        <v>5282.0859281494932</v>
      </c>
      <c r="H18" s="307">
        <v>4525.2351187764489</v>
      </c>
      <c r="I18" s="307"/>
      <c r="J18" s="309">
        <v>60.03316865160307</v>
      </c>
      <c r="K18" s="309">
        <v>66.833879458113941</v>
      </c>
      <c r="L18" s="309">
        <v>53.659774301899496</v>
      </c>
      <c r="M18" s="315">
        <f t="shared" si="0"/>
        <v>0.80288283033950014</v>
      </c>
    </row>
    <row r="19" spans="1:13">
      <c r="A19" s="317" t="s">
        <v>152</v>
      </c>
      <c r="B19" s="318">
        <v>4763.8441150894459</v>
      </c>
      <c r="C19" s="318">
        <v>2452.0630305066643</v>
      </c>
      <c r="D19" s="318">
        <v>2311.7810845829254</v>
      </c>
      <c r="E19" s="318"/>
      <c r="F19" s="318">
        <v>2576.1826080385272</v>
      </c>
      <c r="G19" s="318">
        <v>1542.7259049517734</v>
      </c>
      <c r="H19" s="318">
        <v>1033.4567030867881</v>
      </c>
      <c r="I19" s="318"/>
      <c r="J19" s="319">
        <v>54.077810814138289</v>
      </c>
      <c r="K19" s="319">
        <v>62.915426143551855</v>
      </c>
      <c r="L19" s="319">
        <v>44.703917251456978</v>
      </c>
      <c r="M19" s="315">
        <f t="shared" si="0"/>
        <v>0.71053984676917969</v>
      </c>
    </row>
    <row r="20" spans="1:13">
      <c r="A20" s="323" t="s">
        <v>152</v>
      </c>
      <c r="B20" s="307">
        <v>3504.6662477384839</v>
      </c>
      <c r="C20" s="307">
        <v>1782.6419181678668</v>
      </c>
      <c r="D20" s="307">
        <v>1722.0243295706955</v>
      </c>
      <c r="E20" s="307"/>
      <c r="F20" s="307">
        <v>1773.8919352702744</v>
      </c>
      <c r="G20" s="307">
        <v>1046.4215460012888</v>
      </c>
      <c r="H20" s="307">
        <v>727.47038926897733</v>
      </c>
      <c r="I20" s="307"/>
      <c r="J20" s="309">
        <v>50.615145919099298</v>
      </c>
      <c r="K20" s="309">
        <v>58.70060247863816</v>
      </c>
      <c r="L20" s="309">
        <v>42.245070338253512</v>
      </c>
      <c r="M20" s="315">
        <f t="shared" si="0"/>
        <v>0.71967013206767327</v>
      </c>
    </row>
    <row r="21" spans="1:13">
      <c r="A21" s="323" t="s">
        <v>153</v>
      </c>
      <c r="B21" s="307">
        <v>1259.177867351058</v>
      </c>
      <c r="C21" s="307">
        <v>669.4211123388169</v>
      </c>
      <c r="D21" s="307">
        <v>589.75675501224111</v>
      </c>
      <c r="E21" s="307"/>
      <c r="F21" s="307">
        <v>802.29067276828687</v>
      </c>
      <c r="G21" s="307">
        <v>496.30435895047788</v>
      </c>
      <c r="H21" s="307">
        <v>305.98631381781172</v>
      </c>
      <c r="I21" s="307"/>
      <c r="J21" s="309">
        <v>63.715436362939926</v>
      </c>
      <c r="K21" s="309">
        <v>74.139334688219833</v>
      </c>
      <c r="L21" s="309">
        <v>51.883477589241181</v>
      </c>
      <c r="M21" s="315">
        <f t="shared" si="0"/>
        <v>0.699810401690657</v>
      </c>
    </row>
    <row r="22" spans="1:13">
      <c r="A22" s="317" t="s">
        <v>154</v>
      </c>
      <c r="B22" s="318">
        <v>1256.0226558672341</v>
      </c>
      <c r="C22" s="318">
        <v>668.88422954479597</v>
      </c>
      <c r="D22" s="318">
        <v>587.13842632243791</v>
      </c>
      <c r="E22" s="318"/>
      <c r="F22" s="318">
        <v>470.33180680299824</v>
      </c>
      <c r="G22" s="318">
        <v>288.70492413520986</v>
      </c>
      <c r="H22" s="318">
        <v>181.62688266778807</v>
      </c>
      <c r="I22" s="318"/>
      <c r="J22" s="319">
        <v>37.446124447353576</v>
      </c>
      <c r="K22" s="319">
        <v>43.162166393381163</v>
      </c>
      <c r="L22" s="319">
        <v>30.934252388387247</v>
      </c>
      <c r="M22" s="315">
        <f t="shared" si="0"/>
        <v>0.7166983257154339</v>
      </c>
    </row>
    <row r="23" spans="1:13">
      <c r="A23" s="323" t="s">
        <v>154</v>
      </c>
      <c r="B23" s="307">
        <v>836.0904121688352</v>
      </c>
      <c r="C23" s="307">
        <v>436.66078140166849</v>
      </c>
      <c r="D23" s="307">
        <v>399.42963076716728</v>
      </c>
      <c r="E23" s="307"/>
      <c r="F23" s="307">
        <v>299.81280697990854</v>
      </c>
      <c r="G23" s="307">
        <v>189.01715669640998</v>
      </c>
      <c r="H23" s="307">
        <v>110.79565028349879</v>
      </c>
      <c r="I23" s="307"/>
      <c r="J23" s="309">
        <v>35.858897867539056</v>
      </c>
      <c r="K23" s="309">
        <v>43.286955171396492</v>
      </c>
      <c r="L23" s="309">
        <v>27.738465489077072</v>
      </c>
      <c r="M23" s="315">
        <f t="shared" si="0"/>
        <v>0.64080426491642728</v>
      </c>
    </row>
    <row r="24" spans="1:13">
      <c r="A24" s="323" t="s">
        <v>155</v>
      </c>
      <c r="B24" s="307">
        <v>419.93224369839874</v>
      </c>
      <c r="C24" s="307">
        <v>232.22344814312777</v>
      </c>
      <c r="D24" s="307">
        <v>187.70879555527068</v>
      </c>
      <c r="E24" s="307"/>
      <c r="F24" s="307">
        <v>170.5189998230897</v>
      </c>
      <c r="G24" s="307">
        <v>99.687767438800293</v>
      </c>
      <c r="H24" s="307">
        <v>70.831232384289549</v>
      </c>
      <c r="I24" s="307"/>
      <c r="J24" s="309">
        <v>40.606312656848239</v>
      </c>
      <c r="K24" s="309">
        <v>42.927520125943126</v>
      </c>
      <c r="L24" s="309">
        <v>37.734636874505625</v>
      </c>
      <c r="M24" s="315">
        <f t="shared" si="0"/>
        <v>0.87903137110640606</v>
      </c>
    </row>
    <row r="25" spans="1:13">
      <c r="A25" s="317" t="s">
        <v>156</v>
      </c>
      <c r="B25" s="318">
        <v>9202.5800112393572</v>
      </c>
      <c r="C25" s="318">
        <v>4487.0112229762926</v>
      </c>
      <c r="D25" s="318">
        <v>4715.5687882628345</v>
      </c>
      <c r="E25" s="318"/>
      <c r="F25" s="318">
        <v>5557.4300435689411</v>
      </c>
      <c r="G25" s="318">
        <v>3112.0893621837963</v>
      </c>
      <c r="H25" s="318">
        <v>2445.3406813852721</v>
      </c>
      <c r="I25" s="318"/>
      <c r="J25" s="319">
        <v>60.389912793822155</v>
      </c>
      <c r="K25" s="319">
        <v>69.357735194598774</v>
      </c>
      <c r="L25" s="319">
        <v>51.856749231858863</v>
      </c>
      <c r="M25" s="315">
        <f t="shared" si="0"/>
        <v>0.74767074049293936</v>
      </c>
    </row>
    <row r="26" spans="1:13">
      <c r="A26" s="323" t="s">
        <v>156</v>
      </c>
      <c r="B26" s="307">
        <v>4846.5524703285082</v>
      </c>
      <c r="C26" s="307">
        <v>2378.7319193418002</v>
      </c>
      <c r="D26" s="307">
        <v>2467.8205509868167</v>
      </c>
      <c r="E26" s="307"/>
      <c r="F26" s="307">
        <v>2376.7294400677929</v>
      </c>
      <c r="G26" s="307">
        <v>1391.4186505046268</v>
      </c>
      <c r="H26" s="307">
        <v>985.3107895631797</v>
      </c>
      <c r="I26" s="307"/>
      <c r="J26" s="309">
        <v>49.039589576684875</v>
      </c>
      <c r="K26" s="309">
        <v>58.494134592923167</v>
      </c>
      <c r="L26" s="309">
        <v>39.926354822241059</v>
      </c>
      <c r="M26" s="315">
        <f t="shared" si="0"/>
        <v>0.68257022862376859</v>
      </c>
    </row>
    <row r="27" spans="1:13">
      <c r="A27" s="323" t="s">
        <v>157</v>
      </c>
      <c r="B27" s="307">
        <v>4356.0275409105971</v>
      </c>
      <c r="C27" s="307">
        <v>2108.2793036345929</v>
      </c>
      <c r="D27" s="307">
        <v>2247.7482372761033</v>
      </c>
      <c r="E27" s="307"/>
      <c r="F27" s="307">
        <v>3180.7006035012646</v>
      </c>
      <c r="G27" s="307">
        <v>1720.6707116792149</v>
      </c>
      <c r="H27" s="307">
        <v>1460.0298918221008</v>
      </c>
      <c r="I27" s="307"/>
      <c r="J27" s="309">
        <v>73.018376803843609</v>
      </c>
      <c r="K27" s="309">
        <v>81.614931603836112</v>
      </c>
      <c r="L27" s="309">
        <v>64.955223525896471</v>
      </c>
      <c r="M27" s="315">
        <f t="shared" si="0"/>
        <v>0.79587426282721296</v>
      </c>
    </row>
    <row r="28" spans="1:13">
      <c r="A28" s="317" t="s">
        <v>158</v>
      </c>
      <c r="B28" s="318">
        <v>16663.428956935015</v>
      </c>
      <c r="C28" s="318">
        <v>8418.9863956494737</v>
      </c>
      <c r="D28" s="318">
        <v>8244.4425612821815</v>
      </c>
      <c r="E28" s="318"/>
      <c r="F28" s="318">
        <v>5481.8334187336495</v>
      </c>
      <c r="G28" s="318">
        <v>3849.361251938451</v>
      </c>
      <c r="H28" s="318">
        <v>1632.4721667953174</v>
      </c>
      <c r="I28" s="318"/>
      <c r="J28" s="319">
        <v>32.897391244629674</v>
      </c>
      <c r="K28" s="319">
        <v>45.722383563034015</v>
      </c>
      <c r="L28" s="319">
        <v>19.800879861323494</v>
      </c>
      <c r="M28" s="315">
        <f t="shared" si="0"/>
        <v>0.43306753319247909</v>
      </c>
    </row>
    <row r="29" spans="1:13">
      <c r="A29" s="323" t="s">
        <v>158</v>
      </c>
      <c r="B29" s="307">
        <v>14930.419286181679</v>
      </c>
      <c r="C29" s="307">
        <v>7580.3048564000292</v>
      </c>
      <c r="D29" s="307">
        <v>7350.1144297787687</v>
      </c>
      <c r="E29" s="307"/>
      <c r="F29" s="307">
        <v>4919.8898939892451</v>
      </c>
      <c r="G29" s="307">
        <v>3438.5707458898091</v>
      </c>
      <c r="H29" s="307">
        <v>1481.3191480995376</v>
      </c>
      <c r="I29" s="307"/>
      <c r="J29" s="309">
        <v>32.952121435349127</v>
      </c>
      <c r="K29" s="309">
        <v>45.361905768033431</v>
      </c>
      <c r="L29" s="309">
        <v>20.153688248689143</v>
      </c>
      <c r="M29" s="315">
        <f t="shared" si="0"/>
        <v>0.44428663010211228</v>
      </c>
    </row>
    <row r="30" spans="1:13">
      <c r="A30" s="323" t="s">
        <v>159</v>
      </c>
      <c r="B30" s="307">
        <v>1733.0096707528171</v>
      </c>
      <c r="C30" s="307">
        <v>838.68153924939134</v>
      </c>
      <c r="D30" s="307">
        <v>894.32813150342372</v>
      </c>
      <c r="E30" s="307"/>
      <c r="F30" s="307">
        <v>561.94352474444645</v>
      </c>
      <c r="G30" s="307">
        <v>410.79050604866597</v>
      </c>
      <c r="H30" s="307">
        <v>151.15301869578042</v>
      </c>
      <c r="I30" s="307"/>
      <c r="J30" s="309">
        <v>32.425873567130225</v>
      </c>
      <c r="K30" s="309">
        <v>48.980511293514212</v>
      </c>
      <c r="L30" s="309">
        <v>16.901293090454637</v>
      </c>
      <c r="M30" s="315">
        <f t="shared" si="0"/>
        <v>0.34506158968358164</v>
      </c>
    </row>
    <row r="31" spans="1:13">
      <c r="A31" s="317" t="s">
        <v>160</v>
      </c>
      <c r="B31" s="318">
        <v>3762.5530144428512</v>
      </c>
      <c r="C31" s="318">
        <v>1923.8446195258016</v>
      </c>
      <c r="D31" s="318">
        <v>1838.7083949171479</v>
      </c>
      <c r="E31" s="318"/>
      <c r="F31" s="318">
        <v>767.23536752970813</v>
      </c>
      <c r="G31" s="318">
        <v>552.3183141152399</v>
      </c>
      <c r="H31" s="318">
        <v>214.91705341447008</v>
      </c>
      <c r="I31" s="318"/>
      <c r="J31" s="319">
        <v>20.391350356649291</v>
      </c>
      <c r="K31" s="319">
        <v>28.709091602802122</v>
      </c>
      <c r="L31" s="319">
        <v>11.688479478778588</v>
      </c>
      <c r="M31" s="315">
        <f t="shared" si="0"/>
        <v>0.40713512083530173</v>
      </c>
    </row>
    <row r="32" spans="1:13">
      <c r="A32" s="323" t="s">
        <v>160</v>
      </c>
      <c r="B32" s="307">
        <v>3762.5530144428512</v>
      </c>
      <c r="C32" s="307">
        <v>1923.8446195258016</v>
      </c>
      <c r="D32" s="307">
        <v>1838.7083949171479</v>
      </c>
      <c r="E32" s="307"/>
      <c r="F32" s="307">
        <v>767.23536752970813</v>
      </c>
      <c r="G32" s="307">
        <v>552.3183141152399</v>
      </c>
      <c r="H32" s="307">
        <v>214.91705341447008</v>
      </c>
      <c r="I32" s="307"/>
      <c r="J32" s="309">
        <v>20.391350356649291</v>
      </c>
      <c r="K32" s="309">
        <v>28.709091602802122</v>
      </c>
      <c r="L32" s="309">
        <v>11.688479478778588</v>
      </c>
      <c r="M32" s="315">
        <f t="shared" si="0"/>
        <v>0.40713512083530173</v>
      </c>
    </row>
    <row r="33" spans="1:13">
      <c r="A33" s="317" t="s">
        <v>161</v>
      </c>
      <c r="B33" s="318">
        <v>17591.510760457408</v>
      </c>
      <c r="C33" s="318">
        <v>8692.810918143552</v>
      </c>
      <c r="D33" s="318">
        <v>8898.699842311391</v>
      </c>
      <c r="E33" s="318"/>
      <c r="F33" s="318">
        <v>6256.0736474450823</v>
      </c>
      <c r="G33" s="318">
        <v>3715.0050992709757</v>
      </c>
      <c r="H33" s="318">
        <v>2541.0685481742298</v>
      </c>
      <c r="I33" s="318"/>
      <c r="J33" s="319">
        <v>35.563026579319583</v>
      </c>
      <c r="K33" s="319">
        <v>42.736522561615914</v>
      </c>
      <c r="L33" s="319">
        <v>28.555503536505384</v>
      </c>
      <c r="M33" s="315">
        <f t="shared" si="0"/>
        <v>0.66817564520686334</v>
      </c>
    </row>
    <row r="34" spans="1:13">
      <c r="A34" s="323" t="s">
        <v>161</v>
      </c>
      <c r="B34" s="307">
        <v>14537.253340772189</v>
      </c>
      <c r="C34" s="307">
        <v>7194.6344473894014</v>
      </c>
      <c r="D34" s="307">
        <v>7342.618893380476</v>
      </c>
      <c r="E34" s="307"/>
      <c r="F34" s="307">
        <v>5050.8505989044443</v>
      </c>
      <c r="G34" s="307">
        <v>3029.5442038149527</v>
      </c>
      <c r="H34" s="307">
        <v>2021.3063950895823</v>
      </c>
      <c r="I34" s="307"/>
      <c r="J34" s="309">
        <v>34.744187780910352</v>
      </c>
      <c r="K34" s="309">
        <v>42.108382656109171</v>
      </c>
      <c r="L34" s="309">
        <v>27.528412197884986</v>
      </c>
      <c r="M34" s="315">
        <f t="shared" si="0"/>
        <v>0.65375135451541988</v>
      </c>
    </row>
    <row r="35" spans="1:13">
      <c r="A35" s="323" t="s">
        <v>162</v>
      </c>
      <c r="B35" s="307">
        <v>3054.2574196846845</v>
      </c>
      <c r="C35" s="307">
        <v>1498.1764707540344</v>
      </c>
      <c r="D35" s="307">
        <v>1556.0809489306996</v>
      </c>
      <c r="E35" s="307"/>
      <c r="F35" s="307">
        <v>1205.2230485407342</v>
      </c>
      <c r="G35" s="307">
        <v>685.46089545605753</v>
      </c>
      <c r="H35" s="307">
        <v>519.76215308468056</v>
      </c>
      <c r="I35" s="307"/>
      <c r="J35" s="309">
        <v>39.460427951261366</v>
      </c>
      <c r="K35" s="309">
        <v>45.753014336893699</v>
      </c>
      <c r="L35" s="309">
        <v>33.401999648016385</v>
      </c>
      <c r="M35" s="315">
        <f t="shared" si="0"/>
        <v>0.73005025203513485</v>
      </c>
    </row>
    <row r="36" spans="1:13">
      <c r="A36" s="317" t="s">
        <v>163</v>
      </c>
      <c r="B36" s="318">
        <v>12308.320128705753</v>
      </c>
      <c r="C36" s="318">
        <v>6107.5995400948996</v>
      </c>
      <c r="D36" s="318">
        <v>6200.7205886095344</v>
      </c>
      <c r="E36" s="318"/>
      <c r="F36" s="318">
        <v>5378.2278751701178</v>
      </c>
      <c r="G36" s="318">
        <v>3309.6854227300832</v>
      </c>
      <c r="H36" s="318">
        <v>2068.542452440156</v>
      </c>
      <c r="I36" s="318"/>
      <c r="J36" s="319">
        <v>43.695872539316341</v>
      </c>
      <c r="K36" s="319">
        <v>54.189627217744786</v>
      </c>
      <c r="L36" s="319">
        <v>33.359710744586046</v>
      </c>
      <c r="M36" s="315">
        <f t="shared" si="0"/>
        <v>0.61561063357273227</v>
      </c>
    </row>
    <row r="37" spans="1:13">
      <c r="A37" s="323" t="s">
        <v>163</v>
      </c>
      <c r="B37" s="307">
        <v>8903.897237819383</v>
      </c>
      <c r="C37" s="307">
        <v>4403.1499320921757</v>
      </c>
      <c r="D37" s="307">
        <v>4500.7473057271263</v>
      </c>
      <c r="E37" s="307"/>
      <c r="F37" s="307">
        <v>3760.2798288222111</v>
      </c>
      <c r="G37" s="307">
        <v>2296.6663633186167</v>
      </c>
      <c r="H37" s="307">
        <v>1463.6134655036713</v>
      </c>
      <c r="I37" s="307"/>
      <c r="J37" s="309">
        <v>42.231842174126342</v>
      </c>
      <c r="K37" s="309">
        <v>52.159622060094939</v>
      </c>
      <c r="L37" s="309">
        <v>32.519343257534985</v>
      </c>
      <c r="M37" s="315">
        <f t="shared" si="0"/>
        <v>0.62345818418830379</v>
      </c>
    </row>
    <row r="38" spans="1:13" ht="15.75" thickBot="1">
      <c r="A38" s="324" t="s">
        <v>164</v>
      </c>
      <c r="B38" s="320">
        <v>3404.4228908852297</v>
      </c>
      <c r="C38" s="320">
        <v>1704.4496080028066</v>
      </c>
      <c r="D38" s="320">
        <v>1699.9732828824913</v>
      </c>
      <c r="E38" s="320"/>
      <c r="F38" s="320">
        <v>1617.9480463480061</v>
      </c>
      <c r="G38" s="320">
        <v>1013.0190594115186</v>
      </c>
      <c r="H38" s="320">
        <v>604.92898693648192</v>
      </c>
      <c r="I38" s="320"/>
      <c r="J38" s="321">
        <v>47.524884487170347</v>
      </c>
      <c r="K38" s="321">
        <v>59.433793445998532</v>
      </c>
      <c r="L38" s="321">
        <v>35.584617301206166</v>
      </c>
      <c r="M38" s="322">
        <f t="shared" si="0"/>
        <v>0.59872700761626974</v>
      </c>
    </row>
  </sheetData>
  <mergeCells count="6">
    <mergeCell ref="A1:M1"/>
    <mergeCell ref="B2:D3"/>
    <mergeCell ref="F2:H3"/>
    <mergeCell ref="J2:L3"/>
    <mergeCell ref="M2:M4"/>
    <mergeCell ref="A2:A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9"/>
  <sheetViews>
    <sheetView workbookViewId="0">
      <selection activeCell="C14" sqref="C14"/>
    </sheetView>
  </sheetViews>
  <sheetFormatPr defaultRowHeight="15"/>
  <cols>
    <col min="1" max="1" width="19.28515625" style="26" customWidth="1"/>
    <col min="2" max="4" width="9.140625" style="26"/>
    <col min="5" max="5" width="5.28515625" style="26" customWidth="1"/>
    <col min="6" max="8" width="9.140625" style="26"/>
    <col min="9" max="9" width="5" style="26" customWidth="1"/>
    <col min="10" max="11" width="9.140625" style="26"/>
    <col min="12" max="12" width="11.140625" style="26" customWidth="1"/>
    <col min="13" max="16384" width="9.140625" style="26"/>
  </cols>
  <sheetData>
    <row r="1" spans="1:13" ht="15.75" thickBot="1">
      <c r="A1" s="1022" t="s">
        <v>579</v>
      </c>
      <c r="B1" s="1022"/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2"/>
    </row>
    <row r="2" spans="1:13" ht="15" customHeight="1">
      <c r="A2" s="1027" t="s">
        <v>537</v>
      </c>
      <c r="B2" s="1023" t="s">
        <v>267</v>
      </c>
      <c r="C2" s="1023"/>
      <c r="D2" s="1023"/>
      <c r="E2" s="325"/>
      <c r="F2" s="1024" t="s">
        <v>272</v>
      </c>
      <c r="G2" s="1024"/>
      <c r="H2" s="1024"/>
      <c r="I2" s="326"/>
      <c r="J2" s="1025" t="s">
        <v>269</v>
      </c>
      <c r="K2" s="1025"/>
      <c r="L2" s="1025"/>
      <c r="M2" s="1026" t="s">
        <v>270</v>
      </c>
    </row>
    <row r="3" spans="1:13" ht="24.75" customHeight="1">
      <c r="A3" s="1028"/>
      <c r="B3" s="306" t="s">
        <v>0</v>
      </c>
      <c r="C3" s="307" t="s">
        <v>1</v>
      </c>
      <c r="D3" s="307" t="s">
        <v>2</v>
      </c>
      <c r="E3" s="307"/>
      <c r="F3" s="306" t="s">
        <v>0</v>
      </c>
      <c r="G3" s="307" t="s">
        <v>1</v>
      </c>
      <c r="H3" s="307" t="s">
        <v>2</v>
      </c>
      <c r="I3" s="307"/>
      <c r="J3" s="308" t="s">
        <v>0</v>
      </c>
      <c r="K3" s="309" t="s">
        <v>1</v>
      </c>
      <c r="L3" s="309" t="s">
        <v>2</v>
      </c>
      <c r="M3" s="1026"/>
    </row>
    <row r="4" spans="1:13">
      <c r="A4" s="327" t="s">
        <v>147</v>
      </c>
      <c r="B4" s="328">
        <v>329734.05573124648</v>
      </c>
      <c r="C4" s="328">
        <v>159689.51057546219</v>
      </c>
      <c r="D4" s="328">
        <v>170044.54515556569</v>
      </c>
      <c r="E4" s="328"/>
      <c r="F4" s="328">
        <v>218676.3101495436</v>
      </c>
      <c r="G4" s="328">
        <v>118923.98426984614</v>
      </c>
      <c r="H4" s="328">
        <v>99752.325879848737</v>
      </c>
      <c r="I4" s="328"/>
      <c r="J4" s="329">
        <v>66.31899445907969</v>
      </c>
      <c r="K4" s="329">
        <v>74.472007485857119</v>
      </c>
      <c r="L4" s="329">
        <v>58.662467407351308</v>
      </c>
      <c r="M4" s="330">
        <f>L4/K4</f>
        <v>0.7877116434452478</v>
      </c>
    </row>
    <row r="5" spans="1:13">
      <c r="A5" s="331"/>
      <c r="B5" s="332"/>
      <c r="C5" s="332"/>
      <c r="D5" s="332"/>
      <c r="E5" s="332"/>
      <c r="F5" s="332"/>
      <c r="G5" s="332"/>
      <c r="H5" s="332"/>
      <c r="I5" s="332"/>
      <c r="J5" s="333"/>
      <c r="K5" s="333"/>
      <c r="L5" s="333"/>
      <c r="M5" s="334"/>
    </row>
    <row r="6" spans="1:13" ht="15.75" customHeight="1">
      <c r="A6" s="327" t="s">
        <v>273</v>
      </c>
      <c r="B6" s="328"/>
      <c r="C6" s="328"/>
      <c r="D6" s="328"/>
      <c r="E6" s="328"/>
      <c r="F6" s="328"/>
      <c r="G6" s="328"/>
      <c r="H6" s="328"/>
      <c r="I6" s="328"/>
      <c r="J6" s="329"/>
      <c r="K6" s="329"/>
      <c r="L6" s="329"/>
      <c r="M6" s="330"/>
    </row>
    <row r="7" spans="1:13">
      <c r="A7" s="331" t="s">
        <v>108</v>
      </c>
      <c r="B7" s="332">
        <v>68151.590011647597</v>
      </c>
      <c r="C7" s="332">
        <v>32834.748192632775</v>
      </c>
      <c r="D7" s="332">
        <v>35316.841819023371</v>
      </c>
      <c r="E7" s="332"/>
      <c r="F7" s="332">
        <v>47434.655385660881</v>
      </c>
      <c r="G7" s="332">
        <v>23731.003139805114</v>
      </c>
      <c r="H7" s="332">
        <v>23703.652245850397</v>
      </c>
      <c r="I7" s="332"/>
      <c r="J7" s="333">
        <v>69.601685562397194</v>
      </c>
      <c r="K7" s="333">
        <v>72.2740524781142</v>
      </c>
      <c r="L7" s="333">
        <v>67.117134559515961</v>
      </c>
      <c r="M7" s="334">
        <f t="shared" ref="M7:M59" si="0">L7/K7</f>
        <v>0.92864772706415155</v>
      </c>
    </row>
    <row r="8" spans="1:13">
      <c r="A8" s="331" t="s">
        <v>109</v>
      </c>
      <c r="B8" s="332">
        <v>57676.075597855015</v>
      </c>
      <c r="C8" s="332">
        <v>27310.376249755729</v>
      </c>
      <c r="D8" s="332">
        <v>30365.699348052225</v>
      </c>
      <c r="E8" s="332"/>
      <c r="F8" s="332">
        <v>39704.774767508585</v>
      </c>
      <c r="G8" s="332">
        <v>19931.727690838554</v>
      </c>
      <c r="H8" s="332">
        <v>19773.047076668292</v>
      </c>
      <c r="I8" s="332"/>
      <c r="J8" s="333">
        <v>68.840978440241472</v>
      </c>
      <c r="K8" s="333">
        <v>72.982252271324171</v>
      </c>
      <c r="L8" s="333">
        <v>65.116389548730567</v>
      </c>
      <c r="M8" s="334">
        <f t="shared" si="0"/>
        <v>0.89222225297527269</v>
      </c>
    </row>
    <row r="9" spans="1:13">
      <c r="A9" s="331" t="s">
        <v>110</v>
      </c>
      <c r="B9" s="332">
        <v>47321.444247700361</v>
      </c>
      <c r="C9" s="332">
        <v>22616.315172391802</v>
      </c>
      <c r="D9" s="332">
        <v>24705.129075287612</v>
      </c>
      <c r="E9" s="332"/>
      <c r="F9" s="332">
        <v>33648.945510340956</v>
      </c>
      <c r="G9" s="332">
        <v>17389.952762038542</v>
      </c>
      <c r="H9" s="332">
        <v>16258.992748315792</v>
      </c>
      <c r="I9" s="332"/>
      <c r="J9" s="333">
        <v>71.107182050937098</v>
      </c>
      <c r="K9" s="333">
        <v>76.891185100165828</v>
      </c>
      <c r="L9" s="333">
        <v>65.812215345112818</v>
      </c>
      <c r="M9" s="334">
        <f t="shared" si="0"/>
        <v>0.85591365589409918</v>
      </c>
    </row>
    <row r="10" spans="1:13">
      <c r="A10" s="331" t="s">
        <v>111</v>
      </c>
      <c r="B10" s="332">
        <v>39678.401975059925</v>
      </c>
      <c r="C10" s="332">
        <v>19553.620340824044</v>
      </c>
      <c r="D10" s="332">
        <v>20124.781634249422</v>
      </c>
      <c r="E10" s="332"/>
      <c r="F10" s="332">
        <v>27349.395065481047</v>
      </c>
      <c r="G10" s="332">
        <v>14936.733218968897</v>
      </c>
      <c r="H10" s="332">
        <v>12412.661846508257</v>
      </c>
      <c r="I10" s="332"/>
      <c r="J10" s="333">
        <v>68.92766266813679</v>
      </c>
      <c r="K10" s="333">
        <v>76.388581544581427</v>
      </c>
      <c r="L10" s="333">
        <v>61.678492080549255</v>
      </c>
      <c r="M10" s="334">
        <f t="shared" si="0"/>
        <v>0.80743078132106483</v>
      </c>
    </row>
    <row r="11" spans="1:13">
      <c r="A11" s="331" t="s">
        <v>112</v>
      </c>
      <c r="B11" s="332">
        <v>28947.492825873269</v>
      </c>
      <c r="C11" s="332">
        <v>14166.530868743765</v>
      </c>
      <c r="D11" s="332">
        <v>14780.961957125612</v>
      </c>
      <c r="E11" s="332"/>
      <c r="F11" s="332">
        <v>19406.503037972052</v>
      </c>
      <c r="G11" s="332">
        <v>11143.414527785193</v>
      </c>
      <c r="H11" s="332">
        <v>8263.0885101829663</v>
      </c>
      <c r="I11" s="332"/>
      <c r="J11" s="333">
        <v>67.040358744383227</v>
      </c>
      <c r="K11" s="333">
        <v>78.660150682139701</v>
      </c>
      <c r="L11" s="333">
        <v>55.90359094457213</v>
      </c>
      <c r="M11" s="334">
        <f t="shared" si="0"/>
        <v>0.71069773525447111</v>
      </c>
    </row>
    <row r="12" spans="1:13">
      <c r="A12" s="331" t="s">
        <v>113</v>
      </c>
      <c r="B12" s="332">
        <v>20505.555829866342</v>
      </c>
      <c r="C12" s="332">
        <v>10292.44189364132</v>
      </c>
      <c r="D12" s="332">
        <v>10213.113936221129</v>
      </c>
      <c r="E12" s="332"/>
      <c r="F12" s="332">
        <v>12970.842201446696</v>
      </c>
      <c r="G12" s="332">
        <v>7748.1779502012751</v>
      </c>
      <c r="H12" s="332">
        <v>5222.6642512436792</v>
      </c>
      <c r="I12" s="332"/>
      <c r="J12" s="333">
        <v>63.255257789962457</v>
      </c>
      <c r="K12" s="333">
        <v>75.280269058301329</v>
      </c>
      <c r="L12" s="333">
        <v>51.13684507838245</v>
      </c>
      <c r="M12" s="334">
        <f t="shared" si="0"/>
        <v>0.67928616247079521</v>
      </c>
    </row>
    <row r="13" spans="1:13">
      <c r="A13" s="331" t="s">
        <v>114</v>
      </c>
      <c r="B13" s="332">
        <v>17433.015874855428</v>
      </c>
      <c r="C13" s="332">
        <v>8491.4105260197994</v>
      </c>
      <c r="D13" s="332">
        <v>8941.6053488395792</v>
      </c>
      <c r="E13" s="332"/>
      <c r="F13" s="332">
        <v>10879.708218148631</v>
      </c>
      <c r="G13" s="332">
        <v>6560.3861916596952</v>
      </c>
      <c r="H13" s="332">
        <v>4319.3220264893516</v>
      </c>
      <c r="I13" s="332"/>
      <c r="J13" s="333">
        <v>62.408640571725527</v>
      </c>
      <c r="K13" s="333">
        <v>77.259086362115255</v>
      </c>
      <c r="L13" s="333">
        <v>48.305889803667043</v>
      </c>
      <c r="M13" s="334">
        <f t="shared" si="0"/>
        <v>0.62524541873633011</v>
      </c>
    </row>
    <row r="14" spans="1:13">
      <c r="A14" s="331" t="s">
        <v>115</v>
      </c>
      <c r="B14" s="332">
        <v>13286.410101147454</v>
      </c>
      <c r="C14" s="332">
        <v>6703.3725976497171</v>
      </c>
      <c r="D14" s="332">
        <v>6583.0375034996987</v>
      </c>
      <c r="E14" s="332"/>
      <c r="F14" s="332">
        <v>8055.3727730999244</v>
      </c>
      <c r="G14" s="332">
        <v>5116.3650618594738</v>
      </c>
      <c r="H14" s="332">
        <v>2939.007711239512</v>
      </c>
      <c r="I14" s="332"/>
      <c r="J14" s="333">
        <v>60.628662759732521</v>
      </c>
      <c r="K14" s="333">
        <v>76.325237592386856</v>
      </c>
      <c r="L14" s="333">
        <v>44.645161290316949</v>
      </c>
      <c r="M14" s="334">
        <f t="shared" si="0"/>
        <v>0.58493314529518259</v>
      </c>
    </row>
    <row r="15" spans="1:13">
      <c r="A15" s="331" t="s">
        <v>116</v>
      </c>
      <c r="B15" s="332">
        <v>9791.0295428391637</v>
      </c>
      <c r="C15" s="332">
        <v>4819.0665939594282</v>
      </c>
      <c r="D15" s="332">
        <v>4971.9629488794517</v>
      </c>
      <c r="E15" s="332"/>
      <c r="F15" s="332">
        <v>5815.724314919581</v>
      </c>
      <c r="G15" s="332">
        <v>3707.7366068093829</v>
      </c>
      <c r="H15" s="332">
        <v>2107.9877081096515</v>
      </c>
      <c r="I15" s="332"/>
      <c r="J15" s="333">
        <v>59.398496240598519</v>
      </c>
      <c r="K15" s="333">
        <v>76.938895417152054</v>
      </c>
      <c r="L15" s="333">
        <v>42.397494305236712</v>
      </c>
      <c r="M15" s="334">
        <f t="shared" si="0"/>
        <v>0.55105410696843726</v>
      </c>
    </row>
    <row r="16" spans="1:13">
      <c r="A16" s="331" t="s">
        <v>117</v>
      </c>
      <c r="B16" s="332">
        <v>9228.9938678094386</v>
      </c>
      <c r="C16" s="332">
        <v>4449.5670695693716</v>
      </c>
      <c r="D16" s="332">
        <v>4779.4267982394222</v>
      </c>
      <c r="E16" s="332"/>
      <c r="F16" s="332">
        <v>4899.7618923894406</v>
      </c>
      <c r="G16" s="332">
        <v>3254.710370009459</v>
      </c>
      <c r="H16" s="332">
        <v>1645.051522379729</v>
      </c>
      <c r="I16" s="332"/>
      <c r="J16" s="333">
        <v>53.090964871906785</v>
      </c>
      <c r="K16" s="333">
        <v>73.146675151127198</v>
      </c>
      <c r="L16" s="333">
        <v>34.419431279619332</v>
      </c>
      <c r="M16" s="334">
        <f t="shared" si="0"/>
        <v>0.47055359944257047</v>
      </c>
    </row>
    <row r="17" spans="1:13">
      <c r="A17" s="331" t="s">
        <v>118</v>
      </c>
      <c r="B17" s="332">
        <v>5545.1920019400504</v>
      </c>
      <c r="C17" s="332">
        <v>2704.0310303122537</v>
      </c>
      <c r="D17" s="332">
        <v>2841.1609716276002</v>
      </c>
      <c r="E17" s="332"/>
      <c r="F17" s="332">
        <v>2949.7221751689162</v>
      </c>
      <c r="G17" s="332">
        <v>1972.6713432970603</v>
      </c>
      <c r="H17" s="332">
        <v>977.05083187194168</v>
      </c>
      <c r="I17" s="332"/>
      <c r="J17" s="333">
        <v>53.194229778465058</v>
      </c>
      <c r="K17" s="333">
        <v>72.952984680402707</v>
      </c>
      <c r="L17" s="333">
        <v>34.389140271493957</v>
      </c>
      <c r="M17" s="334">
        <f t="shared" si="0"/>
        <v>0.47138770842821842</v>
      </c>
    </row>
    <row r="18" spans="1:13">
      <c r="A18" s="331" t="s">
        <v>119</v>
      </c>
      <c r="B18" s="332">
        <v>5008.0997317881056</v>
      </c>
      <c r="C18" s="332">
        <v>2496.9076814505324</v>
      </c>
      <c r="D18" s="332">
        <v>2511.1920503375477</v>
      </c>
      <c r="E18" s="332"/>
      <c r="F18" s="332">
        <v>2324.0668179176478</v>
      </c>
      <c r="G18" s="332">
        <v>1522.7137233560079</v>
      </c>
      <c r="H18" s="332">
        <v>801.35309456163998</v>
      </c>
      <c r="I18" s="332"/>
      <c r="J18" s="333">
        <v>46.406160867085184</v>
      </c>
      <c r="K18" s="333">
        <v>60.983981693364385</v>
      </c>
      <c r="L18" s="333">
        <v>31.911262798635111</v>
      </c>
      <c r="M18" s="334">
        <f t="shared" si="0"/>
        <v>0.52327286465303635</v>
      </c>
    </row>
    <row r="19" spans="1:13">
      <c r="A19" s="331" t="s">
        <v>120</v>
      </c>
      <c r="B19" s="332">
        <v>2894.0131365095567</v>
      </c>
      <c r="C19" s="332">
        <v>1284.1647629428151</v>
      </c>
      <c r="D19" s="332">
        <v>1609.8483735668149</v>
      </c>
      <c r="E19" s="332"/>
      <c r="F19" s="332">
        <v>1532.7127815769202</v>
      </c>
      <c r="G19" s="332">
        <v>894.20149232724657</v>
      </c>
      <c r="H19" s="332">
        <v>638.51128924965303</v>
      </c>
      <c r="I19" s="332"/>
      <c r="J19" s="333">
        <v>52.961500493584651</v>
      </c>
      <c r="K19" s="333">
        <v>69.632925472747729</v>
      </c>
      <c r="L19" s="333">
        <v>39.662821650399039</v>
      </c>
      <c r="M19" s="334">
        <f t="shared" si="0"/>
        <v>0.56959866874933895</v>
      </c>
    </row>
    <row r="20" spans="1:13">
      <c r="A20" s="331" t="s">
        <v>121</v>
      </c>
      <c r="B20" s="332">
        <v>2794.0225543004499</v>
      </c>
      <c r="C20" s="332">
        <v>1314.1619376055519</v>
      </c>
      <c r="D20" s="332">
        <v>1479.8606166949553</v>
      </c>
      <c r="E20" s="332"/>
      <c r="F20" s="332">
        <v>1412.7240829259729</v>
      </c>
      <c r="G20" s="332">
        <v>804.20996833904326</v>
      </c>
      <c r="H20" s="332">
        <v>608.51411458691859</v>
      </c>
      <c r="I20" s="332"/>
      <c r="J20" s="333">
        <v>50.562372188140074</v>
      </c>
      <c r="K20" s="333">
        <v>61.195652173913189</v>
      </c>
      <c r="L20" s="333">
        <v>41.119691119690998</v>
      </c>
      <c r="M20" s="334">
        <f t="shared" si="0"/>
        <v>0.67193811421164529</v>
      </c>
    </row>
    <row r="21" spans="1:13">
      <c r="A21" s="331" t="s">
        <v>122</v>
      </c>
      <c r="B21" s="332">
        <v>585.65912436769236</v>
      </c>
      <c r="C21" s="332">
        <v>269.97457196462034</v>
      </c>
      <c r="D21" s="332">
        <v>315.68455240307463</v>
      </c>
      <c r="E21" s="332"/>
      <c r="F21" s="332">
        <v>141.41525198146766</v>
      </c>
      <c r="G21" s="332">
        <v>102.84745598652185</v>
      </c>
      <c r="H21" s="332">
        <v>38.567795994945627</v>
      </c>
      <c r="I21" s="332"/>
      <c r="J21" s="333">
        <v>24.146341463414657</v>
      </c>
      <c r="K21" s="333">
        <v>38.095238095237967</v>
      </c>
      <c r="L21" s="333">
        <v>12.217194570135703</v>
      </c>
      <c r="M21" s="334">
        <f t="shared" si="0"/>
        <v>0.32070135746606326</v>
      </c>
    </row>
    <row r="22" spans="1:13">
      <c r="A22" s="331" t="s">
        <v>123</v>
      </c>
      <c r="B22" s="332">
        <v>581.37381370158744</v>
      </c>
      <c r="C22" s="332">
        <v>234.26364974707795</v>
      </c>
      <c r="D22" s="332">
        <v>347.11016395451196</v>
      </c>
      <c r="E22" s="332"/>
      <c r="F22" s="332">
        <v>99.990582209118458</v>
      </c>
      <c r="G22" s="332">
        <v>68.56497065768113</v>
      </c>
      <c r="H22" s="332">
        <v>31.425611551437175</v>
      </c>
      <c r="I22" s="332"/>
      <c r="J22" s="333">
        <v>17.199017199017213</v>
      </c>
      <c r="K22" s="333">
        <v>29.268292682926731</v>
      </c>
      <c r="L22" s="333">
        <v>9.0534979423867981</v>
      </c>
      <c r="M22" s="334">
        <f t="shared" si="0"/>
        <v>0.30932784636488331</v>
      </c>
    </row>
    <row r="23" spans="1:13">
      <c r="A23" s="331" t="s">
        <v>104</v>
      </c>
      <c r="B23" s="332">
        <v>305.68549418216276</v>
      </c>
      <c r="C23" s="332">
        <v>148.55743642497615</v>
      </c>
      <c r="D23" s="332">
        <v>157.12805775718633</v>
      </c>
      <c r="E23" s="332"/>
      <c r="F23" s="332">
        <v>49.995291104559143</v>
      </c>
      <c r="G23" s="332">
        <v>38.567795994945627</v>
      </c>
      <c r="H23" s="332">
        <v>11.42749510961352</v>
      </c>
      <c r="I23" s="332"/>
      <c r="J23" s="333">
        <v>16.355140186915833</v>
      </c>
      <c r="K23" s="333">
        <v>25.961538461538396</v>
      </c>
      <c r="L23" s="333">
        <v>7.2727272727272538</v>
      </c>
      <c r="M23" s="334">
        <f t="shared" si="0"/>
        <v>0.28013468013468013</v>
      </c>
    </row>
    <row r="24" spans="1:13">
      <c r="A24" s="327" t="s">
        <v>4</v>
      </c>
      <c r="B24" s="328">
        <v>226048.94595276954</v>
      </c>
      <c r="C24" s="328">
        <v>107831.22823937336</v>
      </c>
      <c r="D24" s="328">
        <v>118217.71771355328</v>
      </c>
      <c r="E24" s="328"/>
      <c r="F24" s="328">
        <v>173444.29361775308</v>
      </c>
      <c r="G24" s="328">
        <v>91130.881328621399</v>
      </c>
      <c r="H24" s="328">
        <v>82313.4122892788</v>
      </c>
      <c r="I24" s="328"/>
      <c r="J24" s="329">
        <v>76.728645155545834</v>
      </c>
      <c r="K24" s="329">
        <v>84.512513505189631</v>
      </c>
      <c r="L24" s="329">
        <v>69.628659630116474</v>
      </c>
      <c r="M24" s="330">
        <f t="shared" si="0"/>
        <v>0.82388579799890593</v>
      </c>
    </row>
    <row r="25" spans="1:13">
      <c r="A25" s="335" t="s">
        <v>108</v>
      </c>
      <c r="B25" s="332">
        <v>48080.136482992209</v>
      </c>
      <c r="C25" s="332">
        <v>22970.648287863973</v>
      </c>
      <c r="D25" s="332">
        <v>25109.488195122867</v>
      </c>
      <c r="E25" s="332"/>
      <c r="F25" s="332">
        <v>38928.527365743794</v>
      </c>
      <c r="G25" s="332">
        <v>19033.487103082414</v>
      </c>
      <c r="H25" s="332">
        <v>19895.04026265601</v>
      </c>
      <c r="I25" s="332"/>
      <c r="J25" s="333">
        <v>80.965925251741808</v>
      </c>
      <c r="K25" s="333">
        <v>82.860034529942212</v>
      </c>
      <c r="L25" s="333">
        <v>79.233157235411184</v>
      </c>
      <c r="M25" s="334">
        <f t="shared" si="0"/>
        <v>0.95622887058753969</v>
      </c>
    </row>
    <row r="26" spans="1:13">
      <c r="A26" s="335" t="s">
        <v>109</v>
      </c>
      <c r="B26" s="332">
        <v>39054.184249408871</v>
      </c>
      <c r="C26" s="332">
        <v>18116.998485145923</v>
      </c>
      <c r="D26" s="332">
        <v>20937.185764262849</v>
      </c>
      <c r="E26" s="332"/>
      <c r="F26" s="332">
        <v>31607.735791694002</v>
      </c>
      <c r="G26" s="332">
        <v>15302.58141017928</v>
      </c>
      <c r="H26" s="332">
        <v>16305.154381529017</v>
      </c>
      <c r="I26" s="332"/>
      <c r="J26" s="333">
        <v>80.933032911009761</v>
      </c>
      <c r="K26" s="333">
        <v>84.465323672274721</v>
      </c>
      <c r="L26" s="333">
        <v>77.876533002637132</v>
      </c>
      <c r="M26" s="334">
        <f t="shared" si="0"/>
        <v>0.92199413459655843</v>
      </c>
    </row>
    <row r="27" spans="1:13">
      <c r="A27" s="335" t="s">
        <v>110</v>
      </c>
      <c r="B27" s="332">
        <v>33278.209893596773</v>
      </c>
      <c r="C27" s="332">
        <v>15305.466512255107</v>
      </c>
      <c r="D27" s="332">
        <v>17972.743381354776</v>
      </c>
      <c r="E27" s="332"/>
      <c r="F27" s="332">
        <v>26982.917164149825</v>
      </c>
      <c r="G27" s="332">
        <v>13212.324956242923</v>
      </c>
      <c r="H27" s="332">
        <v>13770.592207915366</v>
      </c>
      <c r="I27" s="332"/>
      <c r="J27" s="333">
        <v>81.082838441224808</v>
      </c>
      <c r="K27" s="333">
        <v>86.324222431662577</v>
      </c>
      <c r="L27" s="333">
        <v>76.619311341200998</v>
      </c>
      <c r="M27" s="334">
        <f t="shared" si="0"/>
        <v>0.88757603813756514</v>
      </c>
    </row>
    <row r="28" spans="1:13">
      <c r="A28" s="335" t="s">
        <v>111</v>
      </c>
      <c r="B28" s="332">
        <v>28092.193212233749</v>
      </c>
      <c r="C28" s="332">
        <v>13380.462927034594</v>
      </c>
      <c r="D28" s="332">
        <v>14711.730285195263</v>
      </c>
      <c r="E28" s="332"/>
      <c r="F28" s="332">
        <v>21917.593471945751</v>
      </c>
      <c r="G28" s="332">
        <v>11440.533786486274</v>
      </c>
      <c r="H28" s="332">
        <v>10477.059685455584</v>
      </c>
      <c r="I28" s="332"/>
      <c r="J28" s="333">
        <v>78.020228988024257</v>
      </c>
      <c r="K28" s="333">
        <v>85.50177859221607</v>
      </c>
      <c r="L28" s="333">
        <v>71.215686274506865</v>
      </c>
      <c r="M28" s="334">
        <f t="shared" si="0"/>
        <v>0.83291467671282116</v>
      </c>
    </row>
    <row r="29" spans="1:13">
      <c r="A29" s="335" t="s">
        <v>112</v>
      </c>
      <c r="B29" s="332">
        <v>20584.883787286533</v>
      </c>
      <c r="C29" s="332">
        <v>9998.2072879373372</v>
      </c>
      <c r="D29" s="332">
        <v>10586.676499345303</v>
      </c>
      <c r="E29" s="332"/>
      <c r="F29" s="332">
        <v>15730.012793170812</v>
      </c>
      <c r="G29" s="332">
        <v>8746.2678871968601</v>
      </c>
      <c r="H29" s="332">
        <v>6983.7449059708206</v>
      </c>
      <c r="I29" s="332"/>
      <c r="J29" s="333">
        <v>76.415358744385784</v>
      </c>
      <c r="K29" s="333">
        <v>87.478361223319425</v>
      </c>
      <c r="L29" s="333">
        <v>65.967302452320055</v>
      </c>
      <c r="M29" s="334">
        <f t="shared" si="0"/>
        <v>0.75409851681966478</v>
      </c>
    </row>
    <row r="30" spans="1:13">
      <c r="A30" s="335" t="s">
        <v>113</v>
      </c>
      <c r="B30" s="332">
        <v>13981.913076929501</v>
      </c>
      <c r="C30" s="332">
        <v>7028.4570274258094</v>
      </c>
      <c r="D30" s="332">
        <v>6953.456049501312</v>
      </c>
      <c r="E30" s="332"/>
      <c r="F30" s="332">
        <v>10318.403770615201</v>
      </c>
      <c r="G30" s="332">
        <v>6024.5977844363824</v>
      </c>
      <c r="H30" s="332">
        <v>4293.8059861787497</v>
      </c>
      <c r="I30" s="332"/>
      <c r="J30" s="333">
        <v>73.798225706620627</v>
      </c>
      <c r="K30" s="333">
        <v>85.717217319938243</v>
      </c>
      <c r="L30" s="333">
        <v>61.750674134005578</v>
      </c>
      <c r="M30" s="334">
        <f t="shared" si="0"/>
        <v>0.720399892398771</v>
      </c>
    </row>
    <row r="31" spans="1:13">
      <c r="A31" s="335" t="s">
        <v>114</v>
      </c>
      <c r="B31" s="332">
        <v>11816.906245528173</v>
      </c>
      <c r="C31" s="332">
        <v>5859.6112316095878</v>
      </c>
      <c r="D31" s="332">
        <v>5957.2950139196028</v>
      </c>
      <c r="E31" s="332"/>
      <c r="F31" s="332">
        <v>8485.7476980598021</v>
      </c>
      <c r="G31" s="332">
        <v>5039.9168843994621</v>
      </c>
      <c r="H31" s="332">
        <v>3445.8308136594269</v>
      </c>
      <c r="I31" s="332"/>
      <c r="J31" s="333">
        <v>71.810231220807523</v>
      </c>
      <c r="K31" s="333">
        <v>86.011113795593758</v>
      </c>
      <c r="L31" s="333">
        <v>57.842205323187756</v>
      </c>
      <c r="M31" s="334">
        <f t="shared" si="0"/>
        <v>0.67249687593454854</v>
      </c>
    </row>
    <row r="32" spans="1:13">
      <c r="A32" s="335" t="s">
        <v>115</v>
      </c>
      <c r="B32" s="332">
        <v>8652.8011228797204</v>
      </c>
      <c r="C32" s="332">
        <v>4484.959744319377</v>
      </c>
      <c r="D32" s="332">
        <v>4167.8413785593284</v>
      </c>
      <c r="E32" s="332"/>
      <c r="F32" s="332">
        <v>6192.3023742596388</v>
      </c>
      <c r="G32" s="332">
        <v>3866.2957896893563</v>
      </c>
      <c r="H32" s="332">
        <v>2326.0065845696149</v>
      </c>
      <c r="I32" s="332"/>
      <c r="J32" s="333">
        <v>71.564136125648645</v>
      </c>
      <c r="K32" s="333">
        <v>86.205808080805056</v>
      </c>
      <c r="L32" s="333">
        <v>55.808423913043008</v>
      </c>
      <c r="M32" s="334">
        <f t="shared" si="0"/>
        <v>0.64738589145560765</v>
      </c>
    </row>
    <row r="33" spans="1:13">
      <c r="A33" s="335" t="s">
        <v>116</v>
      </c>
      <c r="B33" s="332">
        <v>6396.16418081967</v>
      </c>
      <c r="C33" s="332">
        <v>3200.913504389468</v>
      </c>
      <c r="D33" s="332">
        <v>3195.250676429469</v>
      </c>
      <c r="E33" s="332"/>
      <c r="F33" s="332">
        <v>4443.9042416093707</v>
      </c>
      <c r="G33" s="332">
        <v>2779.0328213695389</v>
      </c>
      <c r="H33" s="332">
        <v>1664.8714202397257</v>
      </c>
      <c r="I33" s="332"/>
      <c r="J33" s="333">
        <v>69.477644975644381</v>
      </c>
      <c r="K33" s="333">
        <v>86.819991154356032</v>
      </c>
      <c r="L33" s="333">
        <v>52.104563579973465</v>
      </c>
      <c r="M33" s="334">
        <f t="shared" si="0"/>
        <v>0.60014476950749163</v>
      </c>
    </row>
    <row r="34" spans="1:13">
      <c r="A34" s="335" t="s">
        <v>117</v>
      </c>
      <c r="B34" s="332">
        <v>5853.9484036495869</v>
      </c>
      <c r="C34" s="332">
        <v>2804.5155471895346</v>
      </c>
      <c r="D34" s="332">
        <v>3049.4328564594935</v>
      </c>
      <c r="E34" s="332"/>
      <c r="F34" s="332">
        <v>3560.5030798494076</v>
      </c>
      <c r="G34" s="332">
        <v>2309.0181006896178</v>
      </c>
      <c r="H34" s="332">
        <v>1251.4849791597951</v>
      </c>
      <c r="I34" s="332"/>
      <c r="J34" s="333">
        <v>60.822249093101362</v>
      </c>
      <c r="K34" s="333">
        <v>82.332155477031506</v>
      </c>
      <c r="L34" s="333">
        <v>41.0399257195917</v>
      </c>
      <c r="M34" s="334">
        <f t="shared" si="0"/>
        <v>0.49846776732379799</v>
      </c>
    </row>
    <row r="35" spans="1:13">
      <c r="A35" s="335" t="s">
        <v>118</v>
      </c>
      <c r="B35" s="332">
        <v>3429.676969772629</v>
      </c>
      <c r="C35" s="332">
        <v>1655.558354005271</v>
      </c>
      <c r="D35" s="332">
        <v>1774.1186157675165</v>
      </c>
      <c r="E35" s="332"/>
      <c r="F35" s="332">
        <v>1998.3832072936918</v>
      </c>
      <c r="G35" s="332">
        <v>1337.0169278247799</v>
      </c>
      <c r="H35" s="332">
        <v>661.36627946887927</v>
      </c>
      <c r="I35" s="332"/>
      <c r="J35" s="333">
        <v>58.267388588090483</v>
      </c>
      <c r="K35" s="333">
        <v>80.759275237272931</v>
      </c>
      <c r="L35" s="333">
        <v>37.278582930756478</v>
      </c>
      <c r="M35" s="334">
        <f t="shared" si="0"/>
        <v>0.46160125658917811</v>
      </c>
    </row>
    <row r="36" spans="1:13">
      <c r="A36" s="335" t="s">
        <v>119</v>
      </c>
      <c r="B36" s="332">
        <v>2859.7306511807201</v>
      </c>
      <c r="C36" s="332">
        <v>1341.3022384908852</v>
      </c>
      <c r="D36" s="332">
        <v>1518.4284126899026</v>
      </c>
      <c r="E36" s="332"/>
      <c r="F36" s="332">
        <v>1429.8653255903939</v>
      </c>
      <c r="G36" s="332">
        <v>932.76928832219085</v>
      </c>
      <c r="H36" s="332">
        <v>497.09603726819012</v>
      </c>
      <c r="I36" s="332"/>
      <c r="J36" s="333">
        <v>50.000000000001116</v>
      </c>
      <c r="K36" s="333">
        <v>69.542066027689131</v>
      </c>
      <c r="L36" s="333">
        <v>32.737535277516329</v>
      </c>
      <c r="M36" s="334">
        <f t="shared" si="0"/>
        <v>0.4707587385235496</v>
      </c>
    </row>
    <row r="37" spans="1:13">
      <c r="A37" s="335" t="s">
        <v>120</v>
      </c>
      <c r="B37" s="332">
        <v>1618.4189948990254</v>
      </c>
      <c r="C37" s="332">
        <v>702.79094924122683</v>
      </c>
      <c r="D37" s="332">
        <v>915.62804565777117</v>
      </c>
      <c r="E37" s="332"/>
      <c r="F37" s="332">
        <v>885.63087099503673</v>
      </c>
      <c r="G37" s="332">
        <v>531.37852259703004</v>
      </c>
      <c r="H37" s="332">
        <v>354.25234839802044</v>
      </c>
      <c r="I37" s="332"/>
      <c r="J37" s="333">
        <v>54.721977052073782</v>
      </c>
      <c r="K37" s="333">
        <v>75.609756097561487</v>
      </c>
      <c r="L37" s="333">
        <v>38.689547581903796</v>
      </c>
      <c r="M37" s="334">
        <f t="shared" si="0"/>
        <v>0.51170046801872415</v>
      </c>
    </row>
    <row r="38" spans="1:13">
      <c r="A38" s="335" t="s">
        <v>121</v>
      </c>
      <c r="B38" s="332">
        <v>1514.1431020237974</v>
      </c>
      <c r="C38" s="332">
        <v>667.08002702368583</v>
      </c>
      <c r="D38" s="332">
        <v>847.06307500009245</v>
      </c>
      <c r="E38" s="332"/>
      <c r="F38" s="332">
        <v>754.21467723448586</v>
      </c>
      <c r="G38" s="332">
        <v>435.67325105401716</v>
      </c>
      <c r="H38" s="332">
        <v>318.54142618047803</v>
      </c>
      <c r="I38" s="332"/>
      <c r="J38" s="333">
        <v>49.811320754716789</v>
      </c>
      <c r="K38" s="333">
        <v>65.310492505353665</v>
      </c>
      <c r="L38" s="333">
        <v>37.605396290051026</v>
      </c>
      <c r="M38" s="334">
        <f t="shared" si="0"/>
        <v>0.57579410057225366</v>
      </c>
    </row>
    <row r="39" spans="1:13">
      <c r="A39" s="335" t="s">
        <v>122</v>
      </c>
      <c r="B39" s="332">
        <v>367.10828039633572</v>
      </c>
      <c r="C39" s="332">
        <v>145.70056264757275</v>
      </c>
      <c r="D39" s="332">
        <v>221.40771774876268</v>
      </c>
      <c r="E39" s="332"/>
      <c r="F39" s="332">
        <v>105.70432976392524</v>
      </c>
      <c r="G39" s="332">
        <v>69.993407546382826</v>
      </c>
      <c r="H39" s="332">
        <v>35.710922217542247</v>
      </c>
      <c r="I39" s="332"/>
      <c r="J39" s="333">
        <v>28.793774319066042</v>
      </c>
      <c r="K39" s="333">
        <v>48.039215686274389</v>
      </c>
      <c r="L39" s="333">
        <v>16.129032258064463</v>
      </c>
      <c r="M39" s="334">
        <f t="shared" si="0"/>
        <v>0.33574720210664882</v>
      </c>
    </row>
    <row r="40" spans="1:13">
      <c r="A40" s="335" t="s">
        <v>123</v>
      </c>
      <c r="B40" s="332">
        <v>297.11487284995258</v>
      </c>
      <c r="C40" s="332">
        <v>102.84745598652185</v>
      </c>
      <c r="D40" s="332">
        <v>194.26741686343044</v>
      </c>
      <c r="E40" s="332"/>
      <c r="F40" s="332">
        <v>68.56497065768113</v>
      </c>
      <c r="G40" s="332">
        <v>45.709980438454075</v>
      </c>
      <c r="H40" s="332">
        <v>22.854990219227037</v>
      </c>
      <c r="I40" s="332"/>
      <c r="J40" s="333">
        <v>23.076923076922995</v>
      </c>
      <c r="K40" s="333">
        <v>44.444444444444379</v>
      </c>
      <c r="L40" s="333">
        <v>11.764705882352906</v>
      </c>
      <c r="M40" s="334">
        <f t="shared" si="0"/>
        <v>0.26470588235294079</v>
      </c>
    </row>
    <row r="41" spans="1:13">
      <c r="A41" s="335" t="s">
        <v>104</v>
      </c>
      <c r="B41" s="332">
        <v>171.41242664420329</v>
      </c>
      <c r="C41" s="332">
        <v>65.708096880277736</v>
      </c>
      <c r="D41" s="332">
        <v>105.70432976392524</v>
      </c>
      <c r="E41" s="332"/>
      <c r="F41" s="332">
        <v>34.282485328840558</v>
      </c>
      <c r="G41" s="332">
        <v>24.283427107928727</v>
      </c>
      <c r="H41" s="332">
        <v>9.9990582209118308</v>
      </c>
      <c r="I41" s="332"/>
      <c r="J41" s="333">
        <v>19.999999999999943</v>
      </c>
      <c r="K41" s="333">
        <v>36.956521739130444</v>
      </c>
      <c r="L41" s="333">
        <v>9.4594594594594437</v>
      </c>
      <c r="M41" s="334">
        <f t="shared" si="0"/>
        <v>0.2559618441971378</v>
      </c>
    </row>
    <row r="42" spans="1:13">
      <c r="A42" s="327" t="s">
        <v>5</v>
      </c>
      <c r="B42" s="328">
        <v>103685.10977826219</v>
      </c>
      <c r="C42" s="328">
        <v>51858.282336199489</v>
      </c>
      <c r="D42" s="328">
        <v>51826.827442128539</v>
      </c>
      <c r="E42" s="328"/>
      <c r="F42" s="328">
        <v>45232.016531879068</v>
      </c>
      <c r="G42" s="328">
        <v>27793.102941268673</v>
      </c>
      <c r="H42" s="328">
        <v>17438.913590607739</v>
      </c>
      <c r="I42" s="328"/>
      <c r="J42" s="329">
        <v>43.62440916405717</v>
      </c>
      <c r="K42" s="329">
        <v>53.594337662567476</v>
      </c>
      <c r="L42" s="329">
        <v>33.648429686498076</v>
      </c>
      <c r="M42" s="330">
        <f t="shared" si="0"/>
        <v>0.62783553550657167</v>
      </c>
    </row>
    <row r="43" spans="1:13">
      <c r="A43" s="335" t="s">
        <v>108</v>
      </c>
      <c r="B43" s="332">
        <v>20071.453528663937</v>
      </c>
      <c r="C43" s="332">
        <v>9864.0999047634341</v>
      </c>
      <c r="D43" s="332">
        <v>10207.353623895136</v>
      </c>
      <c r="E43" s="332"/>
      <c r="F43" s="332">
        <v>8506.1280199117191</v>
      </c>
      <c r="G43" s="332">
        <v>4697.5160367196559</v>
      </c>
      <c r="H43" s="332">
        <v>3808.6119831919341</v>
      </c>
      <c r="I43" s="332"/>
      <c r="J43" s="333">
        <v>42.379232813229663</v>
      </c>
      <c r="K43" s="333">
        <v>47.622348537358938</v>
      </c>
      <c r="L43" s="333">
        <v>37.312433011786048</v>
      </c>
      <c r="M43" s="334">
        <f t="shared" si="0"/>
        <v>0.78350678111800942</v>
      </c>
    </row>
    <row r="44" spans="1:13">
      <c r="A44" s="335" t="s">
        <v>109</v>
      </c>
      <c r="B44" s="332">
        <v>18621.891348414938</v>
      </c>
      <c r="C44" s="332">
        <v>9193.3777646164963</v>
      </c>
      <c r="D44" s="332">
        <v>9428.5135837963626</v>
      </c>
      <c r="E44" s="332"/>
      <c r="F44" s="332">
        <v>8097.0389758024558</v>
      </c>
      <c r="G44" s="332">
        <v>4629.1462806610925</v>
      </c>
      <c r="H44" s="332">
        <v>3467.8926951416256</v>
      </c>
      <c r="I44" s="332"/>
      <c r="J44" s="333">
        <v>43.481292121769592</v>
      </c>
      <c r="K44" s="333">
        <v>50.353051937862112</v>
      </c>
      <c r="L44" s="333">
        <v>36.780905752753029</v>
      </c>
      <c r="M44" s="334">
        <f t="shared" si="0"/>
        <v>0.73046030652009508</v>
      </c>
    </row>
    <row r="45" spans="1:13">
      <c r="A45" s="335" t="s">
        <v>110</v>
      </c>
      <c r="B45" s="332">
        <v>14043.234354080978</v>
      </c>
      <c r="C45" s="332">
        <v>7310.8486601402083</v>
      </c>
      <c r="D45" s="332">
        <v>6732.3856939373436</v>
      </c>
      <c r="E45" s="332"/>
      <c r="F45" s="332">
        <v>6666.0283461933741</v>
      </c>
      <c r="G45" s="332">
        <v>4177.6278057945174</v>
      </c>
      <c r="H45" s="332">
        <v>2488.4005403991191</v>
      </c>
      <c r="I45" s="332"/>
      <c r="J45" s="333">
        <v>47.467899332296568</v>
      </c>
      <c r="K45" s="333">
        <v>57.142857142859839</v>
      </c>
      <c r="L45" s="333">
        <v>36.961645596744908</v>
      </c>
      <c r="M45" s="334">
        <f t="shared" si="0"/>
        <v>0.64682879794300541</v>
      </c>
    </row>
    <row r="46" spans="1:13">
      <c r="A46" s="335" t="s">
        <v>111</v>
      </c>
      <c r="B46" s="332">
        <v>11586.208762839717</v>
      </c>
      <c r="C46" s="332">
        <v>6173.1574137868292</v>
      </c>
      <c r="D46" s="332">
        <v>5413.0513490520188</v>
      </c>
      <c r="E46" s="332"/>
      <c r="F46" s="332">
        <v>5431.8015935331432</v>
      </c>
      <c r="G46" s="332">
        <v>3496.1994324815014</v>
      </c>
      <c r="H46" s="332">
        <v>1935.6021610520438</v>
      </c>
      <c r="I46" s="332"/>
      <c r="J46" s="333">
        <v>46.881613344953351</v>
      </c>
      <c r="K46" s="333">
        <v>56.635514018697961</v>
      </c>
      <c r="L46" s="333">
        <v>35.758060218494592</v>
      </c>
      <c r="M46" s="334">
        <f t="shared" si="0"/>
        <v>0.63137169032648366</v>
      </c>
    </row>
    <row r="47" spans="1:13">
      <c r="A47" s="335" t="s">
        <v>112</v>
      </c>
      <c r="B47" s="332">
        <v>8362.6090385828429</v>
      </c>
      <c r="C47" s="332">
        <v>4168.3235808050713</v>
      </c>
      <c r="D47" s="332">
        <v>4194.2854577789358</v>
      </c>
      <c r="E47" s="332"/>
      <c r="F47" s="332">
        <v>3676.4902448000616</v>
      </c>
      <c r="G47" s="332">
        <v>2397.1466405875581</v>
      </c>
      <c r="H47" s="332">
        <v>1279.3436042124845</v>
      </c>
      <c r="I47" s="332"/>
      <c r="J47" s="333">
        <v>43.963435667478308</v>
      </c>
      <c r="K47" s="333">
        <v>57.508650519031661</v>
      </c>
      <c r="L47" s="333">
        <v>30.502063273727618</v>
      </c>
      <c r="M47" s="334">
        <f t="shared" si="0"/>
        <v>0.53039087160693155</v>
      </c>
    </row>
    <row r="48" spans="1:13">
      <c r="A48" s="335" t="s">
        <v>113</v>
      </c>
      <c r="B48" s="332">
        <v>6523.6427529339999</v>
      </c>
      <c r="C48" s="332">
        <v>3263.9848662151958</v>
      </c>
      <c r="D48" s="332">
        <v>3259.6578867195503</v>
      </c>
      <c r="E48" s="332"/>
      <c r="F48" s="332">
        <v>2652.4384308306394</v>
      </c>
      <c r="G48" s="332">
        <v>1723.580165765417</v>
      </c>
      <c r="H48" s="332">
        <v>928.85826506520345</v>
      </c>
      <c r="I48" s="332"/>
      <c r="J48" s="333">
        <v>40.658854742432496</v>
      </c>
      <c r="K48" s="333">
        <v>52.806009721608461</v>
      </c>
      <c r="L48" s="333">
        <v>28.495575221238465</v>
      </c>
      <c r="M48" s="334">
        <f t="shared" si="0"/>
        <v>0.53962750398044079</v>
      </c>
    </row>
    <row r="49" spans="1:13">
      <c r="A49" s="335" t="s">
        <v>114</v>
      </c>
      <c r="B49" s="332">
        <v>5616.1096293295504</v>
      </c>
      <c r="C49" s="332">
        <v>2631.7992944095636</v>
      </c>
      <c r="D49" s="332">
        <v>2984.3103349195044</v>
      </c>
      <c r="E49" s="332"/>
      <c r="F49" s="332">
        <v>2393.9605200896035</v>
      </c>
      <c r="G49" s="332">
        <v>1520.4693072597499</v>
      </c>
      <c r="H49" s="332">
        <v>873.49121282985845</v>
      </c>
      <c r="I49" s="332"/>
      <c r="J49" s="333">
        <v>42.626670027724934</v>
      </c>
      <c r="K49" s="333">
        <v>57.772996234534816</v>
      </c>
      <c r="L49" s="333">
        <v>29.269449715370452</v>
      </c>
      <c r="M49" s="334">
        <f t="shared" si="0"/>
        <v>0.50662855699137388</v>
      </c>
    </row>
    <row r="50" spans="1:13">
      <c r="A50" s="335" t="s">
        <v>115</v>
      </c>
      <c r="B50" s="332">
        <v>4633.6089782693998</v>
      </c>
      <c r="C50" s="332">
        <v>2218.412853329633</v>
      </c>
      <c r="D50" s="332">
        <v>2415.1961249395999</v>
      </c>
      <c r="E50" s="332"/>
      <c r="F50" s="332">
        <v>1863.0703988396924</v>
      </c>
      <c r="G50" s="332">
        <v>1250.0692721697953</v>
      </c>
      <c r="H50" s="332">
        <v>613.00112666990219</v>
      </c>
      <c r="I50" s="332"/>
      <c r="J50" s="333">
        <v>40.207760464404245</v>
      </c>
      <c r="K50" s="333">
        <v>56.349712827058369</v>
      </c>
      <c r="L50" s="333">
        <v>25.381008206331192</v>
      </c>
      <c r="M50" s="334">
        <f t="shared" si="0"/>
        <v>0.45041947745550132</v>
      </c>
    </row>
    <row r="51" spans="1:13">
      <c r="A51" s="335" t="s">
        <v>116</v>
      </c>
      <c r="B51" s="332">
        <v>3394.8653620194355</v>
      </c>
      <c r="C51" s="332">
        <v>1618.1530895697335</v>
      </c>
      <c r="D51" s="332">
        <v>1776.7122724497069</v>
      </c>
      <c r="E51" s="332"/>
      <c r="F51" s="332">
        <v>1371.8200733097749</v>
      </c>
      <c r="G51" s="332">
        <v>928.70378543984918</v>
      </c>
      <c r="H51" s="332">
        <v>443.11628786993066</v>
      </c>
      <c r="I51" s="332"/>
      <c r="J51" s="333">
        <v>40.408673894912603</v>
      </c>
      <c r="K51" s="333">
        <v>57.392825896763576</v>
      </c>
      <c r="L51" s="333">
        <v>24.940239043825144</v>
      </c>
      <c r="M51" s="334">
        <f t="shared" si="0"/>
        <v>0.43455325041298487</v>
      </c>
    </row>
    <row r="52" spans="1:13">
      <c r="A52" s="335" t="s">
        <v>117</v>
      </c>
      <c r="B52" s="332">
        <v>3375.0454641594388</v>
      </c>
      <c r="C52" s="332">
        <v>1645.051522379729</v>
      </c>
      <c r="D52" s="332">
        <v>1729.9939417797148</v>
      </c>
      <c r="E52" s="332"/>
      <c r="F52" s="332">
        <v>1339.2588125397804</v>
      </c>
      <c r="G52" s="332">
        <v>945.69226931984633</v>
      </c>
      <c r="H52" s="332">
        <v>393.56654321993898</v>
      </c>
      <c r="I52" s="332"/>
      <c r="J52" s="333">
        <v>39.681208053691471</v>
      </c>
      <c r="K52" s="333">
        <v>57.487091222031623</v>
      </c>
      <c r="L52" s="333">
        <v>22.749590834697567</v>
      </c>
      <c r="M52" s="334">
        <f t="shared" si="0"/>
        <v>0.39573390044787843</v>
      </c>
    </row>
    <row r="53" spans="1:13">
      <c r="A53" s="335" t="s">
        <v>118</v>
      </c>
      <c r="B53" s="332">
        <v>2115.5150321672249</v>
      </c>
      <c r="C53" s="332">
        <v>1048.4726763070257</v>
      </c>
      <c r="D53" s="332">
        <v>1067.0423558601485</v>
      </c>
      <c r="E53" s="332"/>
      <c r="F53" s="332">
        <v>951.33896787531216</v>
      </c>
      <c r="G53" s="332">
        <v>635.65441547224975</v>
      </c>
      <c r="H53" s="332">
        <v>315.68455240307463</v>
      </c>
      <c r="I53" s="332"/>
      <c r="J53" s="333">
        <v>44.96961512491513</v>
      </c>
      <c r="K53" s="333">
        <v>60.626702997276062</v>
      </c>
      <c r="L53" s="333">
        <v>29.585006693440814</v>
      </c>
      <c r="M53" s="334">
        <f t="shared" si="0"/>
        <v>0.48798640253899439</v>
      </c>
    </row>
    <row r="54" spans="1:13">
      <c r="A54" s="335" t="s">
        <v>119</v>
      </c>
      <c r="B54" s="332">
        <v>2148.36908060736</v>
      </c>
      <c r="C54" s="332">
        <v>1155.6054429596572</v>
      </c>
      <c r="D54" s="332">
        <v>992.76363764765972</v>
      </c>
      <c r="E54" s="332"/>
      <c r="F54" s="332">
        <v>894.20149232724657</v>
      </c>
      <c r="G54" s="332">
        <v>589.94443503379728</v>
      </c>
      <c r="H54" s="332">
        <v>304.25705729346106</v>
      </c>
      <c r="I54" s="332"/>
      <c r="J54" s="333">
        <v>41.622340425531561</v>
      </c>
      <c r="K54" s="333">
        <v>51.050679851669173</v>
      </c>
      <c r="L54" s="333">
        <v>30.647482014388949</v>
      </c>
      <c r="M54" s="334">
        <f t="shared" si="0"/>
        <v>0.60033445398645136</v>
      </c>
    </row>
    <row r="55" spans="1:13">
      <c r="A55" s="335" t="s">
        <v>120</v>
      </c>
      <c r="B55" s="332">
        <v>1275.5941416106045</v>
      </c>
      <c r="C55" s="332">
        <v>581.37381370158744</v>
      </c>
      <c r="D55" s="332">
        <v>694.22032790901699</v>
      </c>
      <c r="E55" s="332"/>
      <c r="F55" s="332">
        <v>647.08191058186287</v>
      </c>
      <c r="G55" s="332">
        <v>362.82296973023062</v>
      </c>
      <c r="H55" s="332">
        <v>284.25894085163731</v>
      </c>
      <c r="I55" s="332"/>
      <c r="J55" s="333">
        <v>50.727883538634003</v>
      </c>
      <c r="K55" s="333">
        <v>62.40786240786246</v>
      </c>
      <c r="L55" s="333">
        <v>40.946502057613429</v>
      </c>
      <c r="M55" s="334">
        <f t="shared" si="0"/>
        <v>0.65611127312789963</v>
      </c>
    </row>
    <row r="56" spans="1:13">
      <c r="A56" s="335" t="s">
        <v>121</v>
      </c>
      <c r="B56" s="332">
        <v>1279.8794522767098</v>
      </c>
      <c r="C56" s="332">
        <v>647.08191058186287</v>
      </c>
      <c r="D56" s="332">
        <v>632.79754169484647</v>
      </c>
      <c r="E56" s="332"/>
      <c r="F56" s="332">
        <v>658.50940569147599</v>
      </c>
      <c r="G56" s="332">
        <v>368.53671728503741</v>
      </c>
      <c r="H56" s="332">
        <v>289.97268840644409</v>
      </c>
      <c r="I56" s="332"/>
      <c r="J56" s="333">
        <v>51.450892857143046</v>
      </c>
      <c r="K56" s="333">
        <v>56.953642384106203</v>
      </c>
      <c r="L56" s="333">
        <v>45.82392776523718</v>
      </c>
      <c r="M56" s="334">
        <f t="shared" si="0"/>
        <v>0.80458291773846335</v>
      </c>
    </row>
    <row r="57" spans="1:13">
      <c r="A57" s="335" t="s">
        <v>122</v>
      </c>
      <c r="B57" s="332">
        <v>218.55084397135928</v>
      </c>
      <c r="C57" s="332">
        <v>124.2740093170473</v>
      </c>
      <c r="D57" s="332">
        <v>94.276834654311671</v>
      </c>
      <c r="E57" s="332"/>
      <c r="F57" s="332">
        <v>35.710922217542247</v>
      </c>
      <c r="G57" s="332">
        <v>32.854048440138868</v>
      </c>
      <c r="H57" s="332">
        <v>2.8568737774033806</v>
      </c>
      <c r="I57" s="332"/>
      <c r="J57" s="333">
        <v>16.339869281045701</v>
      </c>
      <c r="K57" s="333">
        <v>26.436781609195346</v>
      </c>
      <c r="L57" s="333">
        <v>3.0303030303030263</v>
      </c>
      <c r="M57" s="334">
        <f t="shared" si="0"/>
        <v>0.11462450592885384</v>
      </c>
    </row>
    <row r="58" spans="1:13">
      <c r="A58" s="335" t="s">
        <v>123</v>
      </c>
      <c r="B58" s="332">
        <v>284.25894085163731</v>
      </c>
      <c r="C58" s="332">
        <v>131.41619376055579</v>
      </c>
      <c r="D58" s="332">
        <v>152.84274709108124</v>
      </c>
      <c r="E58" s="332"/>
      <c r="F58" s="332">
        <v>31.425611551437175</v>
      </c>
      <c r="G58" s="332">
        <v>22.854990219227037</v>
      </c>
      <c r="H58" s="332">
        <v>8.5706213322101412</v>
      </c>
      <c r="I58" s="332"/>
      <c r="J58" s="333">
        <v>11.055276381909509</v>
      </c>
      <c r="K58" s="333">
        <v>17.391304347826051</v>
      </c>
      <c r="L58" s="333">
        <v>5.6074766355140042</v>
      </c>
      <c r="M58" s="334">
        <f t="shared" si="0"/>
        <v>0.32242990654205594</v>
      </c>
    </row>
    <row r="59" spans="1:13" ht="15.75" thickBot="1">
      <c r="A59" s="336" t="s">
        <v>104</v>
      </c>
      <c r="B59" s="337">
        <v>134.27306753795918</v>
      </c>
      <c r="C59" s="337">
        <v>82.849339544698097</v>
      </c>
      <c r="D59" s="337">
        <v>51.423727993260833</v>
      </c>
      <c r="E59" s="337"/>
      <c r="F59" s="337">
        <v>15.712805775718589</v>
      </c>
      <c r="G59" s="337">
        <v>14.2843688870169</v>
      </c>
      <c r="H59" s="337">
        <v>1.4284368887016903</v>
      </c>
      <c r="I59" s="337"/>
      <c r="J59" s="338">
        <v>11.70212765957444</v>
      </c>
      <c r="K59" s="338">
        <v>17.241379310344811</v>
      </c>
      <c r="L59" s="338">
        <v>2.7777777777777786</v>
      </c>
      <c r="M59" s="339">
        <f t="shared" si="0"/>
        <v>0.16111111111111132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8"/>
  <sheetViews>
    <sheetView workbookViewId="0">
      <selection activeCell="A10" sqref="A10"/>
    </sheetView>
  </sheetViews>
  <sheetFormatPr defaultRowHeight="15"/>
  <cols>
    <col min="1" max="1" width="17.7109375" style="26" customWidth="1"/>
    <col min="2" max="3" width="9.140625" style="26"/>
    <col min="4" max="4" width="10.42578125" style="26" customWidth="1"/>
    <col min="5" max="5" width="2.5703125" style="26" customWidth="1"/>
    <col min="6" max="6" width="9.140625" style="26"/>
    <col min="7" max="7" width="11.85546875" style="26" customWidth="1"/>
    <col min="8" max="8" width="10.5703125" style="26" customWidth="1"/>
    <col min="9" max="9" width="2.85546875" style="26" customWidth="1"/>
    <col min="10" max="16384" width="9.140625" style="26"/>
  </cols>
  <sheetData>
    <row r="1" spans="1:13" ht="15.75" thickBot="1">
      <c r="A1" s="1029" t="s">
        <v>578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  <c r="L1" s="1029"/>
      <c r="M1" s="1029"/>
    </row>
    <row r="2" spans="1:13" ht="24.75" customHeight="1">
      <c r="A2" s="1035" t="s">
        <v>314</v>
      </c>
      <c r="B2" s="1030" t="s">
        <v>274</v>
      </c>
      <c r="C2" s="1030"/>
      <c r="D2" s="1030"/>
      <c r="E2" s="340"/>
      <c r="F2" s="1030" t="s">
        <v>275</v>
      </c>
      <c r="G2" s="1030"/>
      <c r="H2" s="1030"/>
      <c r="I2" s="340"/>
      <c r="J2" s="1032" t="s">
        <v>269</v>
      </c>
      <c r="K2" s="1032"/>
      <c r="L2" s="1032"/>
      <c r="M2" s="1034" t="s">
        <v>270</v>
      </c>
    </row>
    <row r="3" spans="1:13">
      <c r="A3" s="1036"/>
      <c r="B3" s="1031"/>
      <c r="C3" s="1031"/>
      <c r="D3" s="1031"/>
      <c r="E3" s="340"/>
      <c r="F3" s="1031"/>
      <c r="G3" s="1031"/>
      <c r="H3" s="1031"/>
      <c r="I3" s="340"/>
      <c r="J3" s="1033"/>
      <c r="K3" s="1033"/>
      <c r="L3" s="1033"/>
      <c r="M3" s="1034"/>
    </row>
    <row r="4" spans="1:13">
      <c r="A4" s="1036"/>
      <c r="B4" s="341" t="s">
        <v>0</v>
      </c>
      <c r="C4" s="342" t="s">
        <v>1</v>
      </c>
      <c r="D4" s="342" t="s">
        <v>2</v>
      </c>
      <c r="E4" s="342"/>
      <c r="F4" s="341" t="s">
        <v>0</v>
      </c>
      <c r="G4" s="342" t="s">
        <v>1</v>
      </c>
      <c r="H4" s="342" t="s">
        <v>2</v>
      </c>
      <c r="I4" s="342"/>
      <c r="J4" s="343" t="s">
        <v>0</v>
      </c>
      <c r="K4" s="344" t="s">
        <v>1</v>
      </c>
      <c r="L4" s="344" t="s">
        <v>2</v>
      </c>
      <c r="M4" s="1034"/>
    </row>
    <row r="5" spans="1:13">
      <c r="A5" s="345" t="s">
        <v>147</v>
      </c>
      <c r="B5" s="346">
        <v>125827.66560924276</v>
      </c>
      <c r="C5" s="346">
        <v>60145.124442414308</v>
      </c>
      <c r="D5" s="346">
        <v>65682.541167107673</v>
      </c>
      <c r="E5" s="346"/>
      <c r="F5" s="346">
        <v>87139.430153095818</v>
      </c>
      <c r="G5" s="346">
        <v>43662.730830650755</v>
      </c>
      <c r="H5" s="346">
        <v>43476.699322525164</v>
      </c>
      <c r="I5" s="346"/>
      <c r="J5" s="347">
        <v>69.252997527410997</v>
      </c>
      <c r="K5" s="347">
        <v>72.595628050371246</v>
      </c>
      <c r="L5" s="347">
        <v>66.192170019596986</v>
      </c>
      <c r="M5" s="348">
        <f>L5/K5</f>
        <v>0.91179278693847576</v>
      </c>
    </row>
    <row r="6" spans="1:13">
      <c r="A6" s="349"/>
      <c r="B6" s="350"/>
      <c r="C6" s="350"/>
      <c r="D6" s="350"/>
      <c r="E6" s="350"/>
      <c r="F6" s="350"/>
      <c r="G6" s="350"/>
      <c r="H6" s="350"/>
      <c r="I6" s="350"/>
      <c r="J6" s="351"/>
      <c r="K6" s="351"/>
      <c r="L6" s="351"/>
      <c r="M6" s="352"/>
    </row>
    <row r="7" spans="1:13" ht="16.5" customHeight="1">
      <c r="A7" s="345" t="s">
        <v>276</v>
      </c>
      <c r="B7" s="346"/>
      <c r="C7" s="346"/>
      <c r="D7" s="346"/>
      <c r="E7" s="346"/>
      <c r="F7" s="346"/>
      <c r="G7" s="346"/>
      <c r="H7" s="346"/>
      <c r="I7" s="346"/>
      <c r="J7" s="347"/>
      <c r="K7" s="347"/>
      <c r="L7" s="347"/>
      <c r="M7" s="348"/>
    </row>
    <row r="8" spans="1:13">
      <c r="A8" s="349" t="s">
        <v>4</v>
      </c>
      <c r="B8" s="350">
        <v>87134.320732327062</v>
      </c>
      <c r="C8" s="350">
        <v>41087.646773012784</v>
      </c>
      <c r="D8" s="350">
        <v>46046.673959395666</v>
      </c>
      <c r="E8" s="350"/>
      <c r="F8" s="350">
        <v>70536.263157448338</v>
      </c>
      <c r="G8" s="350">
        <v>34336.068513258215</v>
      </c>
      <c r="H8" s="350">
        <v>36200.194644183</v>
      </c>
      <c r="I8" s="350"/>
      <c r="J8" s="351">
        <v>80.951182685111874</v>
      </c>
      <c r="K8" s="351">
        <v>83.567863360369458</v>
      </c>
      <c r="L8" s="351">
        <v>78.616307175861849</v>
      </c>
      <c r="M8" s="352">
        <f t="shared" ref="M8:M38" si="0">L8/K8</f>
        <v>0.94074808203298166</v>
      </c>
    </row>
    <row r="9" spans="1:13">
      <c r="A9" s="349" t="s">
        <v>5</v>
      </c>
      <c r="B9" s="350">
        <v>38693.344877079842</v>
      </c>
      <c r="C9" s="350">
        <v>19057.477669383567</v>
      </c>
      <c r="D9" s="350">
        <v>19635.867207694697</v>
      </c>
      <c r="E9" s="350"/>
      <c r="F9" s="350">
        <v>16603.166995719122</v>
      </c>
      <c r="G9" s="350">
        <v>9326.6623173813114</v>
      </c>
      <c r="H9" s="350">
        <v>7276.5046783333837</v>
      </c>
      <c r="I9" s="350"/>
      <c r="J9" s="351">
        <v>42.90961933754074</v>
      </c>
      <c r="K9" s="351">
        <v>48.939647099072758</v>
      </c>
      <c r="L9" s="351">
        <v>37.057210671511228</v>
      </c>
      <c r="M9" s="352">
        <f t="shared" si="0"/>
        <v>0.75720224537976566</v>
      </c>
    </row>
    <row r="10" spans="1:13" ht="18.75" customHeight="1">
      <c r="A10" s="1184" t="s">
        <v>593</v>
      </c>
      <c r="B10" s="346"/>
      <c r="C10" s="346"/>
      <c r="D10" s="346"/>
      <c r="E10" s="346"/>
      <c r="F10" s="346"/>
      <c r="G10" s="346"/>
      <c r="H10" s="346"/>
      <c r="I10" s="346"/>
      <c r="J10" s="347"/>
      <c r="K10" s="347"/>
      <c r="L10" s="347"/>
      <c r="M10" s="348"/>
    </row>
    <row r="11" spans="1:13">
      <c r="A11" s="353" t="s">
        <v>148</v>
      </c>
      <c r="B11" s="354">
        <v>85128.332838017814</v>
      </c>
      <c r="C11" s="354">
        <v>40183.251268216351</v>
      </c>
      <c r="D11" s="354">
        <v>44945.081569870876</v>
      </c>
      <c r="E11" s="354"/>
      <c r="F11" s="354">
        <v>68555.929009926971</v>
      </c>
      <c r="G11" s="354">
        <v>33649.158044635245</v>
      </c>
      <c r="H11" s="354">
        <v>34906.770965274831</v>
      </c>
      <c r="I11" s="354"/>
      <c r="J11" s="355">
        <v>80.532446395227083</v>
      </c>
      <c r="K11" s="355">
        <v>83.739261962744592</v>
      </c>
      <c r="L11" s="355">
        <v>77.665385724160757</v>
      </c>
      <c r="M11" s="352">
        <f t="shared" si="0"/>
        <v>0.92746680474344179</v>
      </c>
    </row>
    <row r="12" spans="1:13">
      <c r="A12" s="359" t="s">
        <v>148</v>
      </c>
      <c r="B12" s="350">
        <v>85128.332838017814</v>
      </c>
      <c r="C12" s="350">
        <v>40183.251268216351</v>
      </c>
      <c r="D12" s="350">
        <v>44945.081569870876</v>
      </c>
      <c r="E12" s="350"/>
      <c r="F12" s="350">
        <v>68555.929009926971</v>
      </c>
      <c r="G12" s="350">
        <v>33649.158044635245</v>
      </c>
      <c r="H12" s="350">
        <v>34906.770965274831</v>
      </c>
      <c r="I12" s="350"/>
      <c r="J12" s="351">
        <v>80.532446395227083</v>
      </c>
      <c r="K12" s="351">
        <v>83.739261962744592</v>
      </c>
      <c r="L12" s="351">
        <v>77.665385724160757</v>
      </c>
      <c r="M12" s="352">
        <f t="shared" si="0"/>
        <v>0.92746680474344179</v>
      </c>
    </row>
    <row r="13" spans="1:13">
      <c r="A13" s="353" t="s">
        <v>149</v>
      </c>
      <c r="B13" s="354">
        <v>6859.6407110772934</v>
      </c>
      <c r="C13" s="354">
        <v>3358.7341771183228</v>
      </c>
      <c r="D13" s="354">
        <v>3500.9065339591361</v>
      </c>
      <c r="E13" s="354"/>
      <c r="F13" s="354">
        <v>3354.7989862800132</v>
      </c>
      <c r="G13" s="354">
        <v>1804.7913804964171</v>
      </c>
      <c r="H13" s="354">
        <v>1550.0076057837016</v>
      </c>
      <c r="I13" s="354"/>
      <c r="J13" s="355">
        <v>48.906336754088976</v>
      </c>
      <c r="K13" s="355">
        <v>53.73427265520732</v>
      </c>
      <c r="L13" s="355">
        <v>44.274464078045419</v>
      </c>
      <c r="M13" s="352">
        <f t="shared" si="0"/>
        <v>0.82395204941431055</v>
      </c>
    </row>
    <row r="14" spans="1:13">
      <c r="A14" s="359" t="s">
        <v>149</v>
      </c>
      <c r="B14" s="350">
        <v>6859.6407110772934</v>
      </c>
      <c r="C14" s="350">
        <v>3358.7341771183228</v>
      </c>
      <c r="D14" s="350">
        <v>3500.9065339591361</v>
      </c>
      <c r="E14" s="350"/>
      <c r="F14" s="350">
        <v>3354.7989862800132</v>
      </c>
      <c r="G14" s="350">
        <v>1804.7913804964171</v>
      </c>
      <c r="H14" s="350">
        <v>1550.0076057837016</v>
      </c>
      <c r="I14" s="350"/>
      <c r="J14" s="351">
        <v>48.906336754088976</v>
      </c>
      <c r="K14" s="351">
        <v>53.73427265520732</v>
      </c>
      <c r="L14" s="351">
        <v>44.274464078045419</v>
      </c>
      <c r="M14" s="352">
        <f t="shared" si="0"/>
        <v>0.82395204941431055</v>
      </c>
    </row>
    <row r="15" spans="1:13">
      <c r="A15" s="353" t="s">
        <v>150</v>
      </c>
      <c r="B15" s="354">
        <v>2617.5962516926324</v>
      </c>
      <c r="C15" s="354">
        <v>1245.3171648909281</v>
      </c>
      <c r="D15" s="354">
        <v>1372.2790868017703</v>
      </c>
      <c r="E15" s="354"/>
      <c r="F15" s="354">
        <v>1790.3431555007339</v>
      </c>
      <c r="G15" s="354">
        <v>870.78950749894682</v>
      </c>
      <c r="H15" s="354">
        <v>919.5536480018045</v>
      </c>
      <c r="I15" s="354"/>
      <c r="J15" s="355">
        <v>68.396459321906903</v>
      </c>
      <c r="K15" s="355">
        <v>69.925118841127755</v>
      </c>
      <c r="L15" s="355">
        <v>67.009229889592504</v>
      </c>
      <c r="M15" s="352">
        <f t="shared" si="0"/>
        <v>0.95829983559755905</v>
      </c>
    </row>
    <row r="16" spans="1:13">
      <c r="A16" s="359" t="s">
        <v>150</v>
      </c>
      <c r="B16" s="350">
        <v>2617.5962516926324</v>
      </c>
      <c r="C16" s="350">
        <v>1245.3171648909281</v>
      </c>
      <c r="D16" s="350">
        <v>1372.2790868017703</v>
      </c>
      <c r="E16" s="350"/>
      <c r="F16" s="350">
        <v>1790.3431555007339</v>
      </c>
      <c r="G16" s="350">
        <v>870.78950749894682</v>
      </c>
      <c r="H16" s="350">
        <v>919.5536480018045</v>
      </c>
      <c r="I16" s="350"/>
      <c r="J16" s="351">
        <v>68.396459321906903</v>
      </c>
      <c r="K16" s="351">
        <v>69.925118841127755</v>
      </c>
      <c r="L16" s="351">
        <v>67.009229889592504</v>
      </c>
      <c r="M16" s="352">
        <f t="shared" si="0"/>
        <v>0.95829983559755905</v>
      </c>
    </row>
    <row r="17" spans="1:13">
      <c r="A17" s="353" t="s">
        <v>151</v>
      </c>
      <c r="B17" s="354">
        <v>5755.983005178573</v>
      </c>
      <c r="C17" s="354">
        <v>2769.5490098635919</v>
      </c>
      <c r="D17" s="354">
        <v>2986.4339953151384</v>
      </c>
      <c r="E17" s="354"/>
      <c r="F17" s="354">
        <v>3878.1639967045394</v>
      </c>
      <c r="G17" s="354">
        <v>1909.8097274358436</v>
      </c>
      <c r="H17" s="354">
        <v>1968.3542692688366</v>
      </c>
      <c r="I17" s="354"/>
      <c r="J17" s="355">
        <v>67.376223891131545</v>
      </c>
      <c r="K17" s="355">
        <v>68.957426665285169</v>
      </c>
      <c r="L17" s="355">
        <v>65.909853435789827</v>
      </c>
      <c r="M17" s="352">
        <f t="shared" si="0"/>
        <v>0.95580500350907727</v>
      </c>
    </row>
    <row r="18" spans="1:13">
      <c r="A18" s="359" t="s">
        <v>151</v>
      </c>
      <c r="B18" s="350">
        <v>5755.983005178573</v>
      </c>
      <c r="C18" s="350">
        <v>2769.5490098635919</v>
      </c>
      <c r="D18" s="350">
        <v>2986.4339953151384</v>
      </c>
      <c r="E18" s="350"/>
      <c r="F18" s="350">
        <v>3878.1639967045394</v>
      </c>
      <c r="G18" s="350">
        <v>1909.8097274358436</v>
      </c>
      <c r="H18" s="350">
        <v>1968.3542692688366</v>
      </c>
      <c r="I18" s="350"/>
      <c r="J18" s="351">
        <v>67.376223891131545</v>
      </c>
      <c r="K18" s="351">
        <v>68.957426665285169</v>
      </c>
      <c r="L18" s="351">
        <v>65.909853435789827</v>
      </c>
      <c r="M18" s="352">
        <f t="shared" si="0"/>
        <v>0.95580500350907727</v>
      </c>
    </row>
    <row r="19" spans="1:13">
      <c r="A19" s="353" t="s">
        <v>152</v>
      </c>
      <c r="B19" s="354">
        <v>1848.4202287181233</v>
      </c>
      <c r="C19" s="354">
        <v>901.38310465582049</v>
      </c>
      <c r="D19" s="354">
        <v>947.0371240623183</v>
      </c>
      <c r="E19" s="354"/>
      <c r="F19" s="354">
        <v>1079.2040605524719</v>
      </c>
      <c r="G19" s="354">
        <v>560.14398862508369</v>
      </c>
      <c r="H19" s="354">
        <v>519.06007192739514</v>
      </c>
      <c r="I19" s="354"/>
      <c r="J19" s="355">
        <v>58.385211532817387</v>
      </c>
      <c r="K19" s="355">
        <v>62.14272108405769</v>
      </c>
      <c r="L19" s="355">
        <v>54.808841041086893</v>
      </c>
      <c r="M19" s="352">
        <f t="shared" si="0"/>
        <v>0.88198328114646629</v>
      </c>
    </row>
    <row r="20" spans="1:13">
      <c r="A20" s="359" t="s">
        <v>152</v>
      </c>
      <c r="B20" s="350">
        <v>1401.5225698354468</v>
      </c>
      <c r="C20" s="350">
        <v>674.21538810943184</v>
      </c>
      <c r="D20" s="350">
        <v>727.30718172602553</v>
      </c>
      <c r="E20" s="350"/>
      <c r="F20" s="350">
        <v>765.37341424207409</v>
      </c>
      <c r="G20" s="350">
        <v>394.42334656205207</v>
      </c>
      <c r="H20" s="350">
        <v>370.95006768002361</v>
      </c>
      <c r="I20" s="350"/>
      <c r="J20" s="351">
        <v>54.610138339187635</v>
      </c>
      <c r="K20" s="351">
        <v>58.501089342985274</v>
      </c>
      <c r="L20" s="351">
        <v>51.003218035011912</v>
      </c>
      <c r="M20" s="352">
        <f t="shared" si="0"/>
        <v>0.87183364631017057</v>
      </c>
    </row>
    <row r="21" spans="1:13">
      <c r="A21" s="359" t="s">
        <v>153</v>
      </c>
      <c r="B21" s="350">
        <v>446.89765888268715</v>
      </c>
      <c r="C21" s="350">
        <v>227.16771654639015</v>
      </c>
      <c r="D21" s="350">
        <v>219.72994233629484</v>
      </c>
      <c r="E21" s="350"/>
      <c r="F21" s="350">
        <v>313.83064631040122</v>
      </c>
      <c r="G21" s="350">
        <v>165.72064206303062</v>
      </c>
      <c r="H21" s="350">
        <v>148.11000424736997</v>
      </c>
      <c r="I21" s="350"/>
      <c r="J21" s="351">
        <v>70.224276201183812</v>
      </c>
      <c r="K21" s="351">
        <v>72.950789215327916</v>
      </c>
      <c r="L21" s="351">
        <v>67.405471768016483</v>
      </c>
      <c r="M21" s="352">
        <f t="shared" si="0"/>
        <v>0.92398550437962512</v>
      </c>
    </row>
    <row r="22" spans="1:13">
      <c r="A22" s="353" t="s">
        <v>154</v>
      </c>
      <c r="B22" s="354">
        <v>486.46401820228601</v>
      </c>
      <c r="C22" s="354">
        <v>236.51551041000289</v>
      </c>
      <c r="D22" s="354">
        <v>249.94850779228091</v>
      </c>
      <c r="E22" s="354"/>
      <c r="F22" s="354">
        <v>192.84651699719893</v>
      </c>
      <c r="G22" s="354">
        <v>97.603287345890863</v>
      </c>
      <c r="H22" s="354">
        <v>95.243229651308283</v>
      </c>
      <c r="I22" s="354"/>
      <c r="J22" s="355">
        <v>39.642503819677813</v>
      </c>
      <c r="K22" s="355">
        <v>41.267182510227023</v>
      </c>
      <c r="L22" s="355">
        <v>38.105140331727839</v>
      </c>
      <c r="M22" s="352">
        <f t="shared" si="0"/>
        <v>0.92337634928879497</v>
      </c>
    </row>
    <row r="23" spans="1:13">
      <c r="A23" s="359" t="s">
        <v>154</v>
      </c>
      <c r="B23" s="350">
        <v>320.66836979907663</v>
      </c>
      <c r="C23" s="350">
        <v>155.09774041640028</v>
      </c>
      <c r="D23" s="350">
        <v>165.57062938267561</v>
      </c>
      <c r="E23" s="350"/>
      <c r="F23" s="350">
        <v>121.45159792880666</v>
      </c>
      <c r="G23" s="350">
        <v>63.957144858297276</v>
      </c>
      <c r="H23" s="350">
        <v>57.494453070509536</v>
      </c>
      <c r="I23" s="350"/>
      <c r="J23" s="351">
        <v>37.874517528780729</v>
      </c>
      <c r="K23" s="351">
        <v>41.236670944778204</v>
      </c>
      <c r="L23" s="351">
        <v>34.725031417030664</v>
      </c>
      <c r="M23" s="352">
        <f t="shared" si="0"/>
        <v>0.84209104715393834</v>
      </c>
    </row>
    <row r="24" spans="1:13">
      <c r="A24" s="359" t="s">
        <v>155</v>
      </c>
      <c r="B24" s="350">
        <v>165.79564840320805</v>
      </c>
      <c r="C24" s="350">
        <v>81.417769993602818</v>
      </c>
      <c r="D24" s="350">
        <v>84.37787840960543</v>
      </c>
      <c r="E24" s="350"/>
      <c r="F24" s="350">
        <v>71.394919068392497</v>
      </c>
      <c r="G24" s="350">
        <v>33.646142487593686</v>
      </c>
      <c r="H24" s="350">
        <v>37.748776580798832</v>
      </c>
      <c r="I24" s="350"/>
      <c r="J24" s="351">
        <v>43.06199816219727</v>
      </c>
      <c r="K24" s="351">
        <v>41.325305876392008</v>
      </c>
      <c r="L24" s="351">
        <v>44.73776455666556</v>
      </c>
      <c r="M24" s="352">
        <f t="shared" si="0"/>
        <v>1.0825755214124861</v>
      </c>
    </row>
    <row r="25" spans="1:13">
      <c r="A25" s="353" t="s">
        <v>156</v>
      </c>
      <c r="B25" s="354">
        <v>3140.4362177359226</v>
      </c>
      <c r="C25" s="354">
        <v>1566.0203958390769</v>
      </c>
      <c r="D25" s="354">
        <v>1574.4158218969403</v>
      </c>
      <c r="E25" s="354"/>
      <c r="F25" s="354">
        <v>1844.8199243896017</v>
      </c>
      <c r="G25" s="354">
        <v>976.44805035089325</v>
      </c>
      <c r="H25" s="354">
        <v>868.37187403872724</v>
      </c>
      <c r="I25" s="354"/>
      <c r="J25" s="355">
        <v>58.744065998563407</v>
      </c>
      <c r="K25" s="355">
        <v>62.352192407283653</v>
      </c>
      <c r="L25" s="355">
        <v>55.155179588608526</v>
      </c>
      <c r="M25" s="352">
        <f t="shared" si="0"/>
        <v>0.88457482342137483</v>
      </c>
    </row>
    <row r="26" spans="1:13">
      <c r="A26" s="359" t="s">
        <v>156</v>
      </c>
      <c r="B26" s="350">
        <v>1849.3900270984134</v>
      </c>
      <c r="C26" s="350">
        <v>926.40880206502027</v>
      </c>
      <c r="D26" s="350">
        <v>922.98122503341074</v>
      </c>
      <c r="E26" s="350"/>
      <c r="F26" s="350">
        <v>872.69952715246541</v>
      </c>
      <c r="G26" s="350">
        <v>456.4704717668327</v>
      </c>
      <c r="H26" s="350">
        <v>416.2290553856356</v>
      </c>
      <c r="I26" s="350"/>
      <c r="J26" s="351">
        <v>47.188506175826923</v>
      </c>
      <c r="K26" s="351">
        <v>49.273114714512026</v>
      </c>
      <c r="L26" s="351">
        <v>45.09615624852718</v>
      </c>
      <c r="M26" s="352">
        <f t="shared" si="0"/>
        <v>0.91522844678713522</v>
      </c>
    </row>
    <row r="27" spans="1:13">
      <c r="A27" s="359" t="s">
        <v>157</v>
      </c>
      <c r="B27" s="350">
        <v>1291.0461906376058</v>
      </c>
      <c r="C27" s="350">
        <v>639.61159377407137</v>
      </c>
      <c r="D27" s="350">
        <v>651.4345968635414</v>
      </c>
      <c r="E27" s="350"/>
      <c r="F27" s="350">
        <v>972.12039723715623</v>
      </c>
      <c r="G27" s="350">
        <v>519.97757858406544</v>
      </c>
      <c r="H27" s="350">
        <v>452.14281865309493</v>
      </c>
      <c r="I27" s="350"/>
      <c r="J27" s="351">
        <v>75.297104339624752</v>
      </c>
      <c r="K27" s="351">
        <v>81.295833853777452</v>
      </c>
      <c r="L27" s="351">
        <v>69.407246841052952</v>
      </c>
      <c r="M27" s="352">
        <f t="shared" si="0"/>
        <v>0.85376142356682294</v>
      </c>
    </row>
    <row r="28" spans="1:13">
      <c r="A28" s="353" t="s">
        <v>158</v>
      </c>
      <c r="B28" s="354">
        <v>6653.9211022281579</v>
      </c>
      <c r="C28" s="354">
        <v>3351.5214219287545</v>
      </c>
      <c r="D28" s="354">
        <v>3302.3996802995598</v>
      </c>
      <c r="E28" s="354"/>
      <c r="F28" s="354">
        <v>2092.1136331686021</v>
      </c>
      <c r="G28" s="354">
        <v>1347.5708453278201</v>
      </c>
      <c r="H28" s="354">
        <v>744.54278784079884</v>
      </c>
      <c r="I28" s="354"/>
      <c r="J28" s="355">
        <v>31.441816051410665</v>
      </c>
      <c r="K28" s="355">
        <v>40.207734806967096</v>
      </c>
      <c r="L28" s="355">
        <v>22.545508112853945</v>
      </c>
      <c r="M28" s="352">
        <f t="shared" si="0"/>
        <v>0.56072564697047578</v>
      </c>
    </row>
    <row r="29" spans="1:13">
      <c r="A29" s="359" t="s">
        <v>158</v>
      </c>
      <c r="B29" s="350">
        <v>5944.7496026990984</v>
      </c>
      <c r="C29" s="350">
        <v>2986.4165647405916</v>
      </c>
      <c r="D29" s="350">
        <v>2958.3330379586632</v>
      </c>
      <c r="E29" s="350"/>
      <c r="F29" s="350">
        <v>1851.6455013457567</v>
      </c>
      <c r="G29" s="350">
        <v>1179.3401328898544</v>
      </c>
      <c r="H29" s="350">
        <v>672.30536845591382</v>
      </c>
      <c r="I29" s="350"/>
      <c r="J29" s="351">
        <v>31.147577696208213</v>
      </c>
      <c r="K29" s="351">
        <v>39.490141690674875</v>
      </c>
      <c r="L29" s="351">
        <v>22.725817540807657</v>
      </c>
      <c r="M29" s="352">
        <f t="shared" si="0"/>
        <v>0.57548077995815572</v>
      </c>
    </row>
    <row r="30" spans="1:13">
      <c r="A30" s="359" t="s">
        <v>159</v>
      </c>
      <c r="B30" s="350">
        <v>709.17149952912382</v>
      </c>
      <c r="C30" s="350">
        <v>365.10485718819621</v>
      </c>
      <c r="D30" s="350">
        <v>344.0666423409275</v>
      </c>
      <c r="E30" s="350"/>
      <c r="F30" s="350">
        <v>240.46813182285297</v>
      </c>
      <c r="G30" s="350">
        <v>168.23071243796818</v>
      </c>
      <c r="H30" s="350">
        <v>72.237419384885044</v>
      </c>
      <c r="I30" s="350"/>
      <c r="J30" s="351">
        <v>33.9083186482424</v>
      </c>
      <c r="K30" s="351">
        <v>46.077369042300212</v>
      </c>
      <c r="L30" s="351">
        <v>20.995182472035953</v>
      </c>
      <c r="M30" s="352">
        <f t="shared" si="0"/>
        <v>0.45565063519060378</v>
      </c>
    </row>
    <row r="31" spans="1:13">
      <c r="A31" s="353" t="s">
        <v>160</v>
      </c>
      <c r="B31" s="354">
        <v>1469.4899118722301</v>
      </c>
      <c r="C31" s="354">
        <v>762.99592597295191</v>
      </c>
      <c r="D31" s="354">
        <v>706.4939858992891</v>
      </c>
      <c r="E31" s="354"/>
      <c r="F31" s="354">
        <v>250.02351413245839</v>
      </c>
      <c r="G31" s="354">
        <v>176.961025005621</v>
      </c>
      <c r="H31" s="354">
        <v>73.062489126837576</v>
      </c>
      <c r="I31" s="354"/>
      <c r="J31" s="355">
        <v>17.014306264539957</v>
      </c>
      <c r="K31" s="355">
        <v>23.192918727575805</v>
      </c>
      <c r="L31" s="355">
        <v>10.341558539077592</v>
      </c>
      <c r="M31" s="352">
        <f t="shared" si="0"/>
        <v>0.44589293225874743</v>
      </c>
    </row>
    <row r="32" spans="1:13">
      <c r="A32" s="359" t="s">
        <v>160</v>
      </c>
      <c r="B32" s="350">
        <v>1469.4899118722301</v>
      </c>
      <c r="C32" s="350">
        <v>762.99592597295191</v>
      </c>
      <c r="D32" s="350">
        <v>706.4939858992891</v>
      </c>
      <c r="E32" s="350"/>
      <c r="F32" s="350">
        <v>250.02351413245839</v>
      </c>
      <c r="G32" s="350">
        <v>176.961025005621</v>
      </c>
      <c r="H32" s="350">
        <v>73.062489126837576</v>
      </c>
      <c r="I32" s="350"/>
      <c r="J32" s="351">
        <v>17.014306264539957</v>
      </c>
      <c r="K32" s="351">
        <v>23.192918727575805</v>
      </c>
      <c r="L32" s="351">
        <v>10.341558539077592</v>
      </c>
      <c r="M32" s="352">
        <f t="shared" si="0"/>
        <v>0.44589293225874743</v>
      </c>
    </row>
    <row r="33" spans="1:13">
      <c r="A33" s="353" t="s">
        <v>161</v>
      </c>
      <c r="B33" s="354">
        <v>7359.755883191825</v>
      </c>
      <c r="C33" s="354">
        <v>3576.7321111400115</v>
      </c>
      <c r="D33" s="354">
        <v>3783.0237720519881</v>
      </c>
      <c r="E33" s="354"/>
      <c r="F33" s="354">
        <v>2345.6851599059441</v>
      </c>
      <c r="G33" s="354">
        <v>1257.4280468085826</v>
      </c>
      <c r="H33" s="354">
        <v>1088.2571130973913</v>
      </c>
      <c r="I33" s="354"/>
      <c r="J33" s="355">
        <v>31.871779405930933</v>
      </c>
      <c r="K33" s="355">
        <v>35.155779290604791</v>
      </c>
      <c r="L33" s="355">
        <v>28.766858964438658</v>
      </c>
      <c r="M33" s="352">
        <f t="shared" si="0"/>
        <v>0.81826827750413311</v>
      </c>
    </row>
    <row r="34" spans="1:13">
      <c r="A34" s="359" t="s">
        <v>161</v>
      </c>
      <c r="B34" s="350">
        <v>6145.7596642430926</v>
      </c>
      <c r="C34" s="350">
        <v>2987.8871144370869</v>
      </c>
      <c r="D34" s="350">
        <v>3157.8725498061804</v>
      </c>
      <c r="E34" s="350"/>
      <c r="F34" s="350">
        <v>1882.9368701807905</v>
      </c>
      <c r="G34" s="350">
        <v>1008.4720520131513</v>
      </c>
      <c r="H34" s="350">
        <v>874.4648181676431</v>
      </c>
      <c r="I34" s="350"/>
      <c r="J34" s="351">
        <v>30.637984123198851</v>
      </c>
      <c r="K34" s="351">
        <v>33.75201315807216</v>
      </c>
      <c r="L34" s="351">
        <v>27.691580466770684</v>
      </c>
      <c r="M34" s="352">
        <f t="shared" si="0"/>
        <v>0.82044233441962688</v>
      </c>
    </row>
    <row r="35" spans="1:13">
      <c r="A35" s="359" t="s">
        <v>162</v>
      </c>
      <c r="B35" s="350">
        <v>1213.9962189488356</v>
      </c>
      <c r="C35" s="350">
        <v>588.84499670297919</v>
      </c>
      <c r="D35" s="350">
        <v>625.15122224586503</v>
      </c>
      <c r="E35" s="350"/>
      <c r="F35" s="350">
        <v>462.74828972518503</v>
      </c>
      <c r="G35" s="350">
        <v>248.95599479543341</v>
      </c>
      <c r="H35" s="350">
        <v>213.79229492974974</v>
      </c>
      <c r="I35" s="350"/>
      <c r="J35" s="351">
        <v>38.117770261744894</v>
      </c>
      <c r="K35" s="351">
        <v>42.278697482252866</v>
      </c>
      <c r="L35" s="351">
        <v>34.198492672172719</v>
      </c>
      <c r="M35" s="352">
        <f t="shared" si="0"/>
        <v>0.80888236177398942</v>
      </c>
    </row>
    <row r="36" spans="1:13">
      <c r="A36" s="353" t="s">
        <v>163</v>
      </c>
      <c r="B36" s="354">
        <v>4507.6254414895457</v>
      </c>
      <c r="C36" s="354">
        <v>2193.1043523549965</v>
      </c>
      <c r="D36" s="354">
        <v>2314.5210891347083</v>
      </c>
      <c r="E36" s="354"/>
      <c r="F36" s="354">
        <v>1755.5021956123223</v>
      </c>
      <c r="G36" s="354">
        <v>1012.0269271085588</v>
      </c>
      <c r="H36" s="354">
        <v>743.47526850377346</v>
      </c>
      <c r="I36" s="354"/>
      <c r="J36" s="355">
        <v>38.945165662038463</v>
      </c>
      <c r="K36" s="355">
        <v>46.145862873411374</v>
      </c>
      <c r="L36" s="355">
        <v>32.12220757002158</v>
      </c>
      <c r="M36" s="352">
        <f t="shared" si="0"/>
        <v>0.69610156945466861</v>
      </c>
    </row>
    <row r="37" spans="1:13">
      <c r="A37" s="359" t="s">
        <v>163</v>
      </c>
      <c r="B37" s="350">
        <v>3202.4136206425405</v>
      </c>
      <c r="C37" s="350">
        <v>1562.0329132771471</v>
      </c>
      <c r="D37" s="350">
        <v>1640.3807073654848</v>
      </c>
      <c r="E37" s="350"/>
      <c r="F37" s="350">
        <v>1138.2562161921676</v>
      </c>
      <c r="G37" s="350">
        <v>655.36978770185033</v>
      </c>
      <c r="H37" s="350">
        <v>482.88642849032357</v>
      </c>
      <c r="I37" s="350"/>
      <c r="J37" s="351">
        <v>35.543697692735108</v>
      </c>
      <c r="K37" s="351">
        <v>41.956208613228824</v>
      </c>
      <c r="L37" s="351">
        <v>29.437460848089319</v>
      </c>
      <c r="M37" s="352">
        <f t="shared" si="0"/>
        <v>0.70162347411933845</v>
      </c>
    </row>
    <row r="38" spans="1:13" ht="15.75" thickBot="1">
      <c r="A38" s="360" t="s">
        <v>164</v>
      </c>
      <c r="B38" s="356">
        <v>1305.2118208471136</v>
      </c>
      <c r="C38" s="356">
        <v>631.07143907787031</v>
      </c>
      <c r="D38" s="356">
        <v>674.14038176925419</v>
      </c>
      <c r="E38" s="356"/>
      <c r="F38" s="356">
        <v>617.24597942016464</v>
      </c>
      <c r="G38" s="356">
        <v>356.65713940671299</v>
      </c>
      <c r="H38" s="356">
        <v>260.58884001345126</v>
      </c>
      <c r="I38" s="356"/>
      <c r="J38" s="357">
        <v>47.29086647557034</v>
      </c>
      <c r="K38" s="357">
        <v>56.516127544587718</v>
      </c>
      <c r="L38" s="357">
        <v>38.654981523217401</v>
      </c>
      <c r="M38" s="358">
        <f t="shared" si="0"/>
        <v>0.68396373217045026</v>
      </c>
    </row>
  </sheetData>
  <mergeCells count="6">
    <mergeCell ref="A1:M1"/>
    <mergeCell ref="B2:D3"/>
    <mergeCell ref="F2:H3"/>
    <mergeCell ref="J2:L3"/>
    <mergeCell ref="M2:M4"/>
    <mergeCell ref="A2:A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7"/>
  <sheetViews>
    <sheetView workbookViewId="0">
      <selection activeCell="A9" sqref="A9"/>
    </sheetView>
  </sheetViews>
  <sheetFormatPr defaultRowHeight="15"/>
  <cols>
    <col min="1" max="1" width="18.140625" style="26" customWidth="1"/>
    <col min="2" max="5" width="9.140625" style="26"/>
    <col min="6" max="6" width="2.85546875" style="26" customWidth="1"/>
    <col min="7" max="9" width="9.140625" style="26"/>
    <col min="10" max="10" width="2.85546875" style="26" customWidth="1"/>
    <col min="11" max="13" width="9.140625" style="26"/>
    <col min="14" max="14" width="14.140625" style="26" bestFit="1" customWidth="1"/>
    <col min="15" max="15" width="14" style="26" bestFit="1" customWidth="1"/>
    <col min="16" max="16384" width="9.140625" style="26"/>
  </cols>
  <sheetData>
    <row r="1" spans="1:15" ht="24" customHeight="1" thickBot="1">
      <c r="A1" s="1037" t="s">
        <v>277</v>
      </c>
      <c r="B1" s="1037"/>
      <c r="C1" s="1037"/>
      <c r="D1" s="1037"/>
      <c r="E1" s="1037"/>
      <c r="F1" s="1037"/>
      <c r="G1" s="1037"/>
      <c r="H1" s="1037"/>
      <c r="I1" s="1037"/>
      <c r="J1" s="1037"/>
      <c r="K1" s="1037"/>
      <c r="L1" s="1037"/>
      <c r="M1" s="1037"/>
      <c r="N1" s="904"/>
      <c r="O1" s="905"/>
    </row>
    <row r="2" spans="1:15">
      <c r="A2" s="1020" t="s">
        <v>314</v>
      </c>
      <c r="B2" s="1038" t="s">
        <v>190</v>
      </c>
      <c r="C2" s="1039" t="s">
        <v>278</v>
      </c>
      <c r="D2" s="1039"/>
      <c r="E2" s="1039"/>
      <c r="F2" s="340"/>
      <c r="G2" s="1040" t="s">
        <v>279</v>
      </c>
      <c r="H2" s="1040"/>
      <c r="I2" s="1040"/>
      <c r="J2" s="361"/>
      <c r="K2" s="1040" t="s">
        <v>280</v>
      </c>
      <c r="L2" s="1040"/>
      <c r="M2" s="1040"/>
      <c r="N2" s="904"/>
      <c r="O2" s="905"/>
    </row>
    <row r="3" spans="1:15" ht="24" customHeight="1">
      <c r="A3" s="1021"/>
      <c r="B3" s="1038"/>
      <c r="C3" s="362" t="s">
        <v>0</v>
      </c>
      <c r="D3" s="362" t="s">
        <v>1</v>
      </c>
      <c r="E3" s="362" t="s">
        <v>2</v>
      </c>
      <c r="F3" s="362"/>
      <c r="G3" s="362" t="s">
        <v>0</v>
      </c>
      <c r="H3" s="362" t="s">
        <v>1</v>
      </c>
      <c r="I3" s="362" t="s">
        <v>2</v>
      </c>
      <c r="J3" s="362"/>
      <c r="K3" s="362" t="s">
        <v>0</v>
      </c>
      <c r="L3" s="362" t="s">
        <v>1</v>
      </c>
      <c r="M3" s="362" t="s">
        <v>2</v>
      </c>
    </row>
    <row r="4" spans="1:15">
      <c r="A4" s="363" t="s">
        <v>147</v>
      </c>
      <c r="B4" s="364">
        <v>481926.57062953117</v>
      </c>
      <c r="C4" s="364">
        <v>186934.98695171738</v>
      </c>
      <c r="D4" s="364">
        <v>94814.02814115338</v>
      </c>
      <c r="E4" s="364">
        <v>92120.958810645912</v>
      </c>
      <c r="F4" s="364"/>
      <c r="G4" s="364">
        <v>143257.38701768761</v>
      </c>
      <c r="H4" s="364">
        <v>75126.472543342359</v>
      </c>
      <c r="I4" s="364">
        <v>68130.914474451434</v>
      </c>
      <c r="J4" s="364"/>
      <c r="K4" s="364">
        <v>151734.19665959978</v>
      </c>
      <c r="L4" s="364">
        <v>64660.475899966856</v>
      </c>
      <c r="M4" s="364">
        <v>87073.720759764794</v>
      </c>
      <c r="N4" s="903"/>
    </row>
    <row r="5" spans="1:15">
      <c r="A5" s="365"/>
      <c r="B5" s="366"/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903"/>
    </row>
    <row r="6" spans="1:15" ht="18" customHeight="1">
      <c r="A6" s="363" t="s">
        <v>3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903"/>
    </row>
    <row r="7" spans="1:15">
      <c r="A7" s="365" t="s">
        <v>4</v>
      </c>
      <c r="B7" s="366">
        <v>332135.61304063356</v>
      </c>
      <c r="C7" s="366">
        <v>147080.10476785366</v>
      </c>
      <c r="D7" s="366">
        <v>73492.837723641191</v>
      </c>
      <c r="E7" s="366">
        <v>73587.267044356049</v>
      </c>
      <c r="F7" s="366"/>
      <c r="G7" s="366">
        <v>112411.14910824726</v>
      </c>
      <c r="H7" s="366">
        <v>56916.942520385113</v>
      </c>
      <c r="I7" s="366">
        <v>55494.206587915382</v>
      </c>
      <c r="J7" s="366"/>
      <c r="K7" s="366">
        <v>72644.359164578113</v>
      </c>
      <c r="L7" s="366">
        <v>29316.784864407266</v>
      </c>
      <c r="M7" s="366">
        <v>43327.574300200045</v>
      </c>
      <c r="N7" s="903"/>
      <c r="O7" s="905"/>
    </row>
    <row r="8" spans="1:15">
      <c r="A8" s="365" t="s">
        <v>5</v>
      </c>
      <c r="B8" s="366">
        <v>149790.95758842072</v>
      </c>
      <c r="C8" s="366">
        <v>39854.882183904934</v>
      </c>
      <c r="D8" s="366">
        <v>21321.190417572077</v>
      </c>
      <c r="E8" s="366">
        <v>18533.691766340657</v>
      </c>
      <c r="F8" s="366"/>
      <c r="G8" s="366">
        <v>30846.237909507858</v>
      </c>
      <c r="H8" s="366">
        <v>18209.530022969575</v>
      </c>
      <c r="I8" s="366">
        <v>12636.707886540757</v>
      </c>
      <c r="J8" s="366"/>
      <c r="K8" s="366">
        <v>79089.837495153843</v>
      </c>
      <c r="L8" s="366">
        <v>35343.691035580741</v>
      </c>
      <c r="M8" s="366">
        <v>43746.14645960871</v>
      </c>
      <c r="N8" s="903"/>
    </row>
    <row r="9" spans="1:15" ht="19.5" customHeight="1">
      <c r="A9" s="1184" t="s">
        <v>593</v>
      </c>
      <c r="B9" s="364"/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364"/>
    </row>
    <row r="10" spans="1:15">
      <c r="A10" s="367" t="s">
        <v>148</v>
      </c>
      <c r="B10" s="368">
        <v>325717.95946770429</v>
      </c>
      <c r="C10" s="368">
        <v>142393.76243150196</v>
      </c>
      <c r="D10" s="368">
        <v>71539.035762855448</v>
      </c>
      <c r="E10" s="368">
        <v>70854.726668789008</v>
      </c>
      <c r="F10" s="368"/>
      <c r="G10" s="368">
        <v>110488.9466511919</v>
      </c>
      <c r="H10" s="368">
        <v>56344.096454731385</v>
      </c>
      <c r="I10" s="368">
        <v>54144.850196507134</v>
      </c>
      <c r="J10" s="368"/>
      <c r="K10" s="368">
        <v>72835.25038502313</v>
      </c>
      <c r="L10" s="368">
        <v>29240.626012184195</v>
      </c>
      <c r="M10" s="368">
        <v>43594.624372871949</v>
      </c>
    </row>
    <row r="11" spans="1:15">
      <c r="A11" s="370" t="s">
        <v>148</v>
      </c>
      <c r="B11" s="366">
        <v>325717.95946770429</v>
      </c>
      <c r="C11" s="366">
        <v>142393.76243150196</v>
      </c>
      <c r="D11" s="366">
        <v>71539.035762855448</v>
      </c>
      <c r="E11" s="366">
        <v>70854.726668789008</v>
      </c>
      <c r="F11" s="366"/>
      <c r="G11" s="366">
        <v>110488.9466511919</v>
      </c>
      <c r="H11" s="366">
        <v>56344.096454731385</v>
      </c>
      <c r="I11" s="366">
        <v>54144.850196507134</v>
      </c>
      <c r="J11" s="366"/>
      <c r="K11" s="366">
        <v>72835.25038502313</v>
      </c>
      <c r="L11" s="366">
        <v>29240.626012184195</v>
      </c>
      <c r="M11" s="366">
        <v>43594.624372871949</v>
      </c>
    </row>
    <row r="12" spans="1:15">
      <c r="A12" s="367" t="s">
        <v>149</v>
      </c>
      <c r="B12" s="368">
        <v>25350.232475261317</v>
      </c>
      <c r="C12" s="368">
        <v>8130.6897529825337</v>
      </c>
      <c r="D12" s="368">
        <v>4342.1957029901378</v>
      </c>
      <c r="E12" s="368">
        <v>3788.4940499924155</v>
      </c>
      <c r="F12" s="368"/>
      <c r="G12" s="368">
        <v>5415.3581121332527</v>
      </c>
      <c r="H12" s="368">
        <v>2875.177857833361</v>
      </c>
      <c r="I12" s="368">
        <v>2540.1802543000204</v>
      </c>
      <c r="J12" s="368"/>
      <c r="K12" s="368">
        <v>11804.184610144406</v>
      </c>
      <c r="L12" s="368">
        <v>5235.7038798797093</v>
      </c>
      <c r="M12" s="368">
        <v>6568.4807302639201</v>
      </c>
    </row>
    <row r="13" spans="1:15">
      <c r="A13" s="370" t="s">
        <v>149</v>
      </c>
      <c r="B13" s="366">
        <v>25350.232475261317</v>
      </c>
      <c r="C13" s="366">
        <v>8130.6897529825337</v>
      </c>
      <c r="D13" s="366">
        <v>4342.1957029901378</v>
      </c>
      <c r="E13" s="366">
        <v>3788.4940499924155</v>
      </c>
      <c r="F13" s="366"/>
      <c r="G13" s="366">
        <v>5415.3581121332527</v>
      </c>
      <c r="H13" s="366">
        <v>2875.177857833361</v>
      </c>
      <c r="I13" s="366">
        <v>2540.1802543000204</v>
      </c>
      <c r="J13" s="366"/>
      <c r="K13" s="366">
        <v>11804.184610144406</v>
      </c>
      <c r="L13" s="366">
        <v>5235.7038798797093</v>
      </c>
      <c r="M13" s="366">
        <v>6568.4807302639201</v>
      </c>
    </row>
    <row r="14" spans="1:15">
      <c r="A14" s="367" t="s">
        <v>150</v>
      </c>
      <c r="B14" s="368">
        <v>10573.259985163337</v>
      </c>
      <c r="C14" s="368">
        <v>4723.6785650587863</v>
      </c>
      <c r="D14" s="368">
        <v>2368.8197170779981</v>
      </c>
      <c r="E14" s="368">
        <v>2354.8588479807813</v>
      </c>
      <c r="F14" s="368"/>
      <c r="G14" s="368">
        <v>2684.9877736265144</v>
      </c>
      <c r="H14" s="368">
        <v>1472.7743754076319</v>
      </c>
      <c r="I14" s="368">
        <v>1212.2133982189005</v>
      </c>
      <c r="J14" s="368"/>
      <c r="K14" s="368">
        <v>3164.5936464776532</v>
      </c>
      <c r="L14" s="368">
        <v>1394.7630650911258</v>
      </c>
      <c r="M14" s="368">
        <v>1769.8305813865429</v>
      </c>
    </row>
    <row r="15" spans="1:15">
      <c r="A15" s="370" t="s">
        <v>150</v>
      </c>
      <c r="B15" s="366">
        <v>10573.259985163337</v>
      </c>
      <c r="C15" s="366">
        <v>4723.6785650587863</v>
      </c>
      <c r="D15" s="366">
        <v>2368.8197170779981</v>
      </c>
      <c r="E15" s="366">
        <v>2354.8588479807813</v>
      </c>
      <c r="F15" s="366"/>
      <c r="G15" s="366">
        <v>2684.9877736265144</v>
      </c>
      <c r="H15" s="366">
        <v>1472.7743754076319</v>
      </c>
      <c r="I15" s="366">
        <v>1212.2133982189005</v>
      </c>
      <c r="J15" s="366"/>
      <c r="K15" s="366">
        <v>3164.5936464776532</v>
      </c>
      <c r="L15" s="366">
        <v>1394.7630650911258</v>
      </c>
      <c r="M15" s="366">
        <v>1769.8305813865429</v>
      </c>
    </row>
    <row r="16" spans="1:15">
      <c r="A16" s="367" t="s">
        <v>151</v>
      </c>
      <c r="B16" s="368">
        <v>23356.945285687892</v>
      </c>
      <c r="C16" s="368">
        <v>7992.9200023979629</v>
      </c>
      <c r="D16" s="368">
        <v>3985.7009404383593</v>
      </c>
      <c r="E16" s="368">
        <v>4007.2190619596258</v>
      </c>
      <c r="F16" s="368"/>
      <c r="G16" s="368">
        <v>6432.3400775767968</v>
      </c>
      <c r="H16" s="368">
        <v>3479.390476949779</v>
      </c>
      <c r="I16" s="368">
        <v>2952.949600627207</v>
      </c>
      <c r="J16" s="368"/>
      <c r="K16" s="368">
        <v>8931.6852057111864</v>
      </c>
      <c r="L16" s="368">
        <v>3977.2018858778406</v>
      </c>
      <c r="M16" s="368">
        <v>4954.4833198332035</v>
      </c>
    </row>
    <row r="17" spans="1:13">
      <c r="A17" s="370" t="s">
        <v>151</v>
      </c>
      <c r="B17" s="366">
        <v>23356.945285687892</v>
      </c>
      <c r="C17" s="366">
        <v>7992.9200023979629</v>
      </c>
      <c r="D17" s="366">
        <v>3985.7009404383593</v>
      </c>
      <c r="E17" s="366">
        <v>4007.2190619596258</v>
      </c>
      <c r="F17" s="366"/>
      <c r="G17" s="366">
        <v>6432.3400775767968</v>
      </c>
      <c r="H17" s="366">
        <v>3479.390476949779</v>
      </c>
      <c r="I17" s="366">
        <v>2952.949600627207</v>
      </c>
      <c r="J17" s="366"/>
      <c r="K17" s="366">
        <v>8931.6852057111864</v>
      </c>
      <c r="L17" s="366">
        <v>3977.2018858778406</v>
      </c>
      <c r="M17" s="366">
        <v>4954.4833198332035</v>
      </c>
    </row>
    <row r="18" spans="1:13">
      <c r="A18" s="367" t="s">
        <v>152</v>
      </c>
      <c r="B18" s="368">
        <v>7146.8069100095308</v>
      </c>
      <c r="C18" s="368">
        <v>2337.5278844873692</v>
      </c>
      <c r="D18" s="368">
        <v>1198.8597428162871</v>
      </c>
      <c r="E18" s="368">
        <v>1138.6681416710539</v>
      </c>
      <c r="F18" s="368"/>
      <c r="G18" s="368">
        <v>1969.6419800550934</v>
      </c>
      <c r="H18" s="368">
        <v>1136.1783112367368</v>
      </c>
      <c r="I18" s="368">
        <v>833.46366881833467</v>
      </c>
      <c r="J18" s="368"/>
      <c r="K18" s="368">
        <v>2839.6370454672542</v>
      </c>
      <c r="L18" s="368">
        <v>1275.725583079575</v>
      </c>
      <c r="M18" s="368">
        <v>1563.9114623876762</v>
      </c>
    </row>
    <row r="19" spans="1:13">
      <c r="A19" s="370" t="s">
        <v>152</v>
      </c>
      <c r="B19" s="366">
        <v>5248.0691235278455</v>
      </c>
      <c r="C19" s="366">
        <v>1666.9636573259713</v>
      </c>
      <c r="D19" s="366">
        <v>837.67552987198519</v>
      </c>
      <c r="E19" s="366">
        <v>829.28812745396101</v>
      </c>
      <c r="F19" s="366"/>
      <c r="G19" s="366">
        <v>1440.0780654893993</v>
      </c>
      <c r="H19" s="366">
        <v>811.57162389284963</v>
      </c>
      <c r="I19" s="366">
        <v>628.50644159653609</v>
      </c>
      <c r="J19" s="366"/>
      <c r="K19" s="366">
        <v>2141.0274007125713</v>
      </c>
      <c r="L19" s="366">
        <v>965.62545415049726</v>
      </c>
      <c r="M19" s="366">
        <v>1175.4019465620447</v>
      </c>
    </row>
    <row r="20" spans="1:13">
      <c r="A20" s="370" t="s">
        <v>153</v>
      </c>
      <c r="B20" s="366">
        <v>1898.737786481782</v>
      </c>
      <c r="C20" s="366">
        <v>670.56422716138343</v>
      </c>
      <c r="D20" s="366">
        <v>361.18421294429476</v>
      </c>
      <c r="E20" s="366">
        <v>309.3800142170889</v>
      </c>
      <c r="F20" s="366"/>
      <c r="G20" s="366">
        <v>529.56391456568156</v>
      </c>
      <c r="H20" s="366">
        <v>324.60668734388304</v>
      </c>
      <c r="I20" s="366">
        <v>204.95722722179914</v>
      </c>
      <c r="J20" s="366"/>
      <c r="K20" s="366">
        <v>698.60964475468711</v>
      </c>
      <c r="L20" s="366">
        <v>310.10012892907037</v>
      </c>
      <c r="M20" s="366">
        <v>388.50951582561771</v>
      </c>
    </row>
    <row r="21" spans="1:13">
      <c r="A21" s="367" t="s">
        <v>154</v>
      </c>
      <c r="B21" s="368">
        <v>1970.5100969044915</v>
      </c>
      <c r="C21" s="368">
        <v>350.9831449694114</v>
      </c>
      <c r="D21" s="368">
        <v>207.26676789856512</v>
      </c>
      <c r="E21" s="368">
        <v>143.71637707084599</v>
      </c>
      <c r="F21" s="368"/>
      <c r="G21" s="368">
        <v>365.37788769489481</v>
      </c>
      <c r="H21" s="368">
        <v>219.50349699408977</v>
      </c>
      <c r="I21" s="368">
        <v>145.87439070080541</v>
      </c>
      <c r="J21" s="368"/>
      <c r="K21" s="368">
        <v>1254.1490642401575</v>
      </c>
      <c r="L21" s="368">
        <v>630.13148881093082</v>
      </c>
      <c r="M21" s="368">
        <v>624.01757542921587</v>
      </c>
    </row>
    <row r="22" spans="1:13">
      <c r="A22" s="370" t="s">
        <v>154</v>
      </c>
      <c r="B22" s="366">
        <v>1340.5131935752731</v>
      </c>
      <c r="C22" s="366">
        <v>143.86345792304178</v>
      </c>
      <c r="D22" s="366">
        <v>84.9821664493372</v>
      </c>
      <c r="E22" s="366">
        <v>58.881291473704749</v>
      </c>
      <c r="F22" s="366"/>
      <c r="G22" s="366">
        <v>266.98684777521163</v>
      </c>
      <c r="H22" s="366">
        <v>162.37828100305842</v>
      </c>
      <c r="I22" s="366">
        <v>104.60856677215368</v>
      </c>
      <c r="J22" s="366"/>
      <c r="K22" s="366">
        <v>929.66288787700717</v>
      </c>
      <c r="L22" s="366">
        <v>463.58858378565895</v>
      </c>
      <c r="M22" s="366">
        <v>466.07430409134963</v>
      </c>
    </row>
    <row r="23" spans="1:13">
      <c r="A23" s="370" t="s">
        <v>155</v>
      </c>
      <c r="B23" s="366">
        <v>629.99690332919181</v>
      </c>
      <c r="C23" s="366">
        <v>207.11968704636942</v>
      </c>
      <c r="D23" s="366">
        <v>122.28460144922821</v>
      </c>
      <c r="E23" s="366">
        <v>84.835085597141415</v>
      </c>
      <c r="F23" s="366"/>
      <c r="G23" s="366">
        <v>98.391039919683351</v>
      </c>
      <c r="H23" s="366">
        <v>57.125215991031531</v>
      </c>
      <c r="I23" s="366">
        <v>41.265823928651827</v>
      </c>
      <c r="J23" s="366"/>
      <c r="K23" s="366">
        <v>324.48617636313872</v>
      </c>
      <c r="L23" s="366">
        <v>166.54290502527212</v>
      </c>
      <c r="M23" s="366">
        <v>157.94327133786686</v>
      </c>
    </row>
    <row r="24" spans="1:13">
      <c r="A24" s="367" t="s">
        <v>156</v>
      </c>
      <c r="B24" s="368">
        <v>14185.260218024714</v>
      </c>
      <c r="C24" s="368">
        <v>5631.5957152691308</v>
      </c>
      <c r="D24" s="368">
        <v>2897.7350895524537</v>
      </c>
      <c r="E24" s="368">
        <v>2733.8606257166848</v>
      </c>
      <c r="F24" s="368"/>
      <c r="G24" s="368">
        <v>3367.5073508008836</v>
      </c>
      <c r="H24" s="368">
        <v>1820.2795705115743</v>
      </c>
      <c r="I24" s="368">
        <v>1547.2277802893593</v>
      </c>
      <c r="J24" s="368"/>
      <c r="K24" s="368">
        <v>5186.1571519533918</v>
      </c>
      <c r="L24" s="368">
        <v>2249.6327346035064</v>
      </c>
      <c r="M24" s="368">
        <v>2936.5244173498741</v>
      </c>
    </row>
    <row r="25" spans="1:13">
      <c r="A25" s="370" t="s">
        <v>156</v>
      </c>
      <c r="B25" s="366">
        <v>7811.541551486901</v>
      </c>
      <c r="C25" s="366">
        <v>2381.0813585913447</v>
      </c>
      <c r="D25" s="366">
        <v>1248.7312401146589</v>
      </c>
      <c r="E25" s="366">
        <v>1132.3501184766494</v>
      </c>
      <c r="F25" s="366"/>
      <c r="G25" s="366">
        <v>1830.7735187812075</v>
      </c>
      <c r="H25" s="366">
        <v>1005.5914232176198</v>
      </c>
      <c r="I25" s="366">
        <v>825.18209556356555</v>
      </c>
      <c r="J25" s="366"/>
      <c r="K25" s="366">
        <v>3599.6866741144163</v>
      </c>
      <c r="L25" s="366">
        <v>1612.2557624391304</v>
      </c>
      <c r="M25" s="366">
        <v>1987.4309116752902</v>
      </c>
    </row>
    <row r="26" spans="1:13">
      <c r="A26" s="370" t="s">
        <v>157</v>
      </c>
      <c r="B26" s="366">
        <v>6373.7186665364297</v>
      </c>
      <c r="C26" s="366">
        <v>3250.5143566777924</v>
      </c>
      <c r="D26" s="366">
        <v>1649.0038494377804</v>
      </c>
      <c r="E26" s="366">
        <v>1601.5105072400127</v>
      </c>
      <c r="F26" s="366"/>
      <c r="G26" s="366">
        <v>1536.7338320197268</v>
      </c>
      <c r="H26" s="366">
        <v>814.68814729393489</v>
      </c>
      <c r="I26" s="366">
        <v>722.04568472577932</v>
      </c>
      <c r="J26" s="366"/>
      <c r="K26" s="366">
        <v>1586.4704778389601</v>
      </c>
      <c r="L26" s="366">
        <v>637.37697216435504</v>
      </c>
      <c r="M26" s="366">
        <v>949.09350567458341</v>
      </c>
    </row>
    <row r="27" spans="1:13">
      <c r="A27" s="367" t="s">
        <v>158</v>
      </c>
      <c r="B27" s="368">
        <v>23935.412556255131</v>
      </c>
      <c r="C27" s="368">
        <v>4844.4218927701213</v>
      </c>
      <c r="D27" s="368">
        <v>2779.4154549321643</v>
      </c>
      <c r="E27" s="368">
        <v>2065.0064378379871</v>
      </c>
      <c r="F27" s="368"/>
      <c r="G27" s="368">
        <v>4051.3912098020364</v>
      </c>
      <c r="H27" s="368">
        <v>2759.8177537954884</v>
      </c>
      <c r="I27" s="368">
        <v>1291.5734560065857</v>
      </c>
      <c r="J27" s="368"/>
      <c r="K27" s="368">
        <v>15039.599453682595</v>
      </c>
      <c r="L27" s="368">
        <v>6511.0620164633983</v>
      </c>
      <c r="M27" s="368">
        <v>8528.5374372175374</v>
      </c>
    </row>
    <row r="28" spans="1:13">
      <c r="A28" s="370" t="s">
        <v>158</v>
      </c>
      <c r="B28" s="366">
        <v>21276.512793371661</v>
      </c>
      <c r="C28" s="366">
        <v>4273.1076025279099</v>
      </c>
      <c r="D28" s="366">
        <v>2432.4503436713157</v>
      </c>
      <c r="E28" s="366">
        <v>1840.6572588566219</v>
      </c>
      <c r="F28" s="366"/>
      <c r="G28" s="366">
        <v>3587.8051928912082</v>
      </c>
      <c r="H28" s="366">
        <v>2442.9780923227968</v>
      </c>
      <c r="I28" s="366">
        <v>1144.8271005684417</v>
      </c>
      <c r="J28" s="366"/>
      <c r="K28" s="366">
        <v>13415.599997951798</v>
      </c>
      <c r="L28" s="366">
        <v>5833.1004600037431</v>
      </c>
      <c r="M28" s="366">
        <v>7582.4995379467236</v>
      </c>
    </row>
    <row r="29" spans="1:13">
      <c r="A29" s="370" t="s">
        <v>159</v>
      </c>
      <c r="B29" s="366">
        <v>2658.8997628834818</v>
      </c>
      <c r="C29" s="366">
        <v>571.31429024220392</v>
      </c>
      <c r="D29" s="366">
        <v>346.96511126084579</v>
      </c>
      <c r="E29" s="366">
        <v>224.3491789813572</v>
      </c>
      <c r="F29" s="366"/>
      <c r="G29" s="366">
        <v>463.58601691084169</v>
      </c>
      <c r="H29" s="366">
        <v>316.83966147270172</v>
      </c>
      <c r="I29" s="366">
        <v>146.74635543814028</v>
      </c>
      <c r="J29" s="366"/>
      <c r="K29" s="366">
        <v>1623.9994557304217</v>
      </c>
      <c r="L29" s="366">
        <v>677.96155645965405</v>
      </c>
      <c r="M29" s="366">
        <v>946.03789927074502</v>
      </c>
    </row>
    <row r="30" spans="1:13">
      <c r="A30" s="367" t="s">
        <v>160</v>
      </c>
      <c r="B30" s="368">
        <v>5804.3279863957778</v>
      </c>
      <c r="C30" s="368">
        <v>998.05029320599715</v>
      </c>
      <c r="D30" s="368">
        <v>552.82750345735997</v>
      </c>
      <c r="E30" s="368">
        <v>445.22278974863843</v>
      </c>
      <c r="F30" s="368"/>
      <c r="G30" s="368">
        <v>738.02583924421492</v>
      </c>
      <c r="H30" s="368">
        <v>455.59370598426403</v>
      </c>
      <c r="I30" s="368">
        <v>282.4321332599522</v>
      </c>
      <c r="J30" s="368"/>
      <c r="K30" s="368">
        <v>4068.2518539455582</v>
      </c>
      <c r="L30" s="368">
        <v>1926.9449558222918</v>
      </c>
      <c r="M30" s="368">
        <v>2141.3068981233055</v>
      </c>
    </row>
    <row r="31" spans="1:13">
      <c r="A31" s="370" t="s">
        <v>160</v>
      </c>
      <c r="B31" s="366">
        <v>5804.3279863957778</v>
      </c>
      <c r="C31" s="366">
        <v>998.05029320599715</v>
      </c>
      <c r="D31" s="366">
        <v>552.82750345735997</v>
      </c>
      <c r="E31" s="366">
        <v>445.22278974863843</v>
      </c>
      <c r="F31" s="366"/>
      <c r="G31" s="366">
        <v>738.02583924421492</v>
      </c>
      <c r="H31" s="366">
        <v>455.59370598426403</v>
      </c>
      <c r="I31" s="366">
        <v>282.4321332599522</v>
      </c>
      <c r="J31" s="366"/>
      <c r="K31" s="366">
        <v>4068.2518539455582</v>
      </c>
      <c r="L31" s="366">
        <v>1926.9449558222918</v>
      </c>
      <c r="M31" s="366">
        <v>2141.3068981233055</v>
      </c>
    </row>
    <row r="32" spans="1:13">
      <c r="A32" s="367" t="s">
        <v>161</v>
      </c>
      <c r="B32" s="368">
        <v>25647.557356871075</v>
      </c>
      <c r="C32" s="368">
        <v>5412.8485066886788</v>
      </c>
      <c r="D32" s="368">
        <v>2800.0179824403058</v>
      </c>
      <c r="E32" s="368">
        <v>2612.8305242484471</v>
      </c>
      <c r="F32" s="368"/>
      <c r="G32" s="368">
        <v>3553.3527320733497</v>
      </c>
      <c r="H32" s="368">
        <v>2134.5635925884758</v>
      </c>
      <c r="I32" s="368">
        <v>1418.7891394849169</v>
      </c>
      <c r="J32" s="368"/>
      <c r="K32" s="368">
        <v>16681.356118109143</v>
      </c>
      <c r="L32" s="368">
        <v>7832.4133467822585</v>
      </c>
      <c r="M32" s="368">
        <v>8848.9427713250261</v>
      </c>
    </row>
    <row r="33" spans="1:13">
      <c r="A33" s="370" t="s">
        <v>161</v>
      </c>
      <c r="B33" s="366">
        <v>21089.397533205502</v>
      </c>
      <c r="C33" s="366">
        <v>4048.4013308948174</v>
      </c>
      <c r="D33" s="366">
        <v>2068.0642071520433</v>
      </c>
      <c r="E33" s="366">
        <v>1980.3371237428271</v>
      </c>
      <c r="F33" s="366"/>
      <c r="G33" s="366">
        <v>3123.4470465520299</v>
      </c>
      <c r="H33" s="366">
        <v>1858.0195826176102</v>
      </c>
      <c r="I33" s="366">
        <v>1265.4274639344412</v>
      </c>
      <c r="J33" s="366"/>
      <c r="K33" s="366">
        <v>13917.549155758088</v>
      </c>
      <c r="L33" s="366">
        <v>6533.2498264043597</v>
      </c>
      <c r="M33" s="366">
        <v>7384.2993293522914</v>
      </c>
    </row>
    <row r="34" spans="1:13">
      <c r="A34" s="370" t="s">
        <v>162</v>
      </c>
      <c r="B34" s="366">
        <v>4558.1598236656982</v>
      </c>
      <c r="C34" s="366">
        <v>1364.4471757939114</v>
      </c>
      <c r="D34" s="366">
        <v>731.95377528826953</v>
      </c>
      <c r="E34" s="366">
        <v>632.49340050563171</v>
      </c>
      <c r="F34" s="366"/>
      <c r="G34" s="366">
        <v>429.90568552133539</v>
      </c>
      <c r="H34" s="366">
        <v>276.54400997086458</v>
      </c>
      <c r="I34" s="366">
        <v>153.36167555047135</v>
      </c>
      <c r="J34" s="366"/>
      <c r="K34" s="366">
        <v>2763.8069623504903</v>
      </c>
      <c r="L34" s="366">
        <v>1299.1635203778997</v>
      </c>
      <c r="M34" s="366">
        <v>1464.6434419725806</v>
      </c>
    </row>
    <row r="35" spans="1:13">
      <c r="A35" s="367" t="s">
        <v>163</v>
      </c>
      <c r="B35" s="368">
        <v>18238.298291023177</v>
      </c>
      <c r="C35" s="368">
        <v>4118.5087624417274</v>
      </c>
      <c r="D35" s="368">
        <v>2142.1534767554049</v>
      </c>
      <c r="E35" s="368">
        <v>1976.3552856863339</v>
      </c>
      <c r="F35" s="368"/>
      <c r="G35" s="368">
        <v>4190.4574035606483</v>
      </c>
      <c r="H35" s="368">
        <v>2429.0969473195919</v>
      </c>
      <c r="I35" s="368">
        <v>1761.3604562411533</v>
      </c>
      <c r="J35" s="368"/>
      <c r="K35" s="368">
        <v>9929.3321250192439</v>
      </c>
      <c r="L35" s="368">
        <v>4386.2709313933556</v>
      </c>
      <c r="M35" s="368">
        <v>5543.0611936255564</v>
      </c>
    </row>
    <row r="36" spans="1:13">
      <c r="A36" s="370" t="s">
        <v>163</v>
      </c>
      <c r="B36" s="366">
        <v>13087.796541422536</v>
      </c>
      <c r="C36" s="366">
        <v>2851.0919812892298</v>
      </c>
      <c r="D36" s="366">
        <v>1502.6707364522915</v>
      </c>
      <c r="E36" s="366">
        <v>1348.4212448369262</v>
      </c>
      <c r="F36" s="366"/>
      <c r="G36" s="366">
        <v>2809.1290242275163</v>
      </c>
      <c r="H36" s="366">
        <v>1633.6383874038218</v>
      </c>
      <c r="I36" s="366">
        <v>1175.4906368237203</v>
      </c>
      <c r="J36" s="366"/>
      <c r="K36" s="366">
        <v>7427.5755359046598</v>
      </c>
      <c r="L36" s="366">
        <v>3295.2358655628727</v>
      </c>
      <c r="M36" s="366">
        <v>4132.3396703418366</v>
      </c>
    </row>
    <row r="37" spans="1:13" ht="15.75" thickBot="1">
      <c r="A37" s="371" t="s">
        <v>164</v>
      </c>
      <c r="B37" s="369">
        <v>5150.5017495998782</v>
      </c>
      <c r="C37" s="369">
        <v>1267.4167811524799</v>
      </c>
      <c r="D37" s="369">
        <v>639.4827403030946</v>
      </c>
      <c r="E37" s="369">
        <v>627.9340408493772</v>
      </c>
      <c r="F37" s="369"/>
      <c r="G37" s="369">
        <v>1381.3283793331996</v>
      </c>
      <c r="H37" s="369">
        <v>795.45855991577332</v>
      </c>
      <c r="I37" s="369">
        <v>585.86981941742033</v>
      </c>
      <c r="J37" s="369"/>
      <c r="K37" s="369">
        <v>2501.7565891142199</v>
      </c>
      <c r="L37" s="369">
        <v>1091.0350658304774</v>
      </c>
      <c r="M37" s="369">
        <v>1410.721523283715</v>
      </c>
    </row>
  </sheetData>
  <mergeCells count="6">
    <mergeCell ref="A1:M1"/>
    <mergeCell ref="B2:B3"/>
    <mergeCell ref="C2:E2"/>
    <mergeCell ref="G2:I2"/>
    <mergeCell ref="K2:M2"/>
    <mergeCell ref="A2:A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7"/>
  <sheetViews>
    <sheetView workbookViewId="0">
      <selection activeCell="A9" sqref="A9"/>
    </sheetView>
  </sheetViews>
  <sheetFormatPr defaultRowHeight="15"/>
  <cols>
    <col min="1" max="1" width="17.85546875" style="26" customWidth="1"/>
    <col min="2" max="4" width="9.140625" style="26"/>
    <col min="5" max="5" width="3" style="26" customWidth="1"/>
    <col min="6" max="16384" width="9.140625" style="26"/>
  </cols>
  <sheetData>
    <row r="1" spans="1:8" ht="25.5" customHeight="1" thickBot="1">
      <c r="A1" s="1037" t="s">
        <v>577</v>
      </c>
      <c r="B1" s="1037"/>
      <c r="C1" s="1037"/>
      <c r="D1" s="1037"/>
      <c r="E1" s="1037"/>
      <c r="F1" s="1037"/>
      <c r="G1" s="1037"/>
      <c r="H1" s="1037"/>
    </row>
    <row r="2" spans="1:8" ht="26.25" customHeight="1">
      <c r="A2" s="1020" t="s">
        <v>314</v>
      </c>
      <c r="B2" s="1039" t="s">
        <v>281</v>
      </c>
      <c r="C2" s="1039"/>
      <c r="D2" s="1039"/>
      <c r="E2" s="340"/>
      <c r="F2" s="1039" t="s">
        <v>282</v>
      </c>
      <c r="G2" s="1039"/>
      <c r="H2" s="1039"/>
    </row>
    <row r="3" spans="1:8">
      <c r="A3" s="1021"/>
      <c r="B3" s="362" t="s">
        <v>0</v>
      </c>
      <c r="C3" s="362" t="s">
        <v>1</v>
      </c>
      <c r="D3" s="362" t="s">
        <v>2</v>
      </c>
      <c r="E3" s="372"/>
      <c r="F3" s="362" t="s">
        <v>0</v>
      </c>
      <c r="G3" s="362" t="s">
        <v>1</v>
      </c>
      <c r="H3" s="362" t="s">
        <v>2</v>
      </c>
    </row>
    <row r="4" spans="1:8">
      <c r="A4" s="373" t="s">
        <v>147</v>
      </c>
      <c r="B4" s="374">
        <v>107403.25068695897</v>
      </c>
      <c r="C4" s="374">
        <v>52826.578926975089</v>
      </c>
      <c r="D4" s="374">
        <v>54576.671760072881</v>
      </c>
      <c r="E4" s="374"/>
      <c r="F4" s="374">
        <v>47220.39469862666</v>
      </c>
      <c r="G4" s="374">
        <v>23382.738800688108</v>
      </c>
      <c r="H4" s="374">
        <v>23837.655897977762</v>
      </c>
    </row>
    <row r="5" spans="1:8">
      <c r="A5" s="375"/>
      <c r="B5" s="376"/>
      <c r="C5" s="376"/>
      <c r="D5" s="376"/>
      <c r="E5" s="376"/>
      <c r="F5" s="376"/>
      <c r="G5" s="376"/>
      <c r="H5" s="376"/>
    </row>
    <row r="6" spans="1:8" ht="16.5" customHeight="1">
      <c r="A6" s="373" t="s">
        <v>3</v>
      </c>
      <c r="B6" s="374"/>
      <c r="C6" s="374"/>
      <c r="D6" s="374"/>
      <c r="E6" s="374"/>
      <c r="F6" s="374"/>
      <c r="G6" s="374"/>
      <c r="H6" s="374"/>
    </row>
    <row r="7" spans="1:8">
      <c r="A7" s="375" t="s">
        <v>4</v>
      </c>
      <c r="B7" s="376">
        <v>74615.769895627644</v>
      </c>
      <c r="C7" s="376">
        <v>36573.996630615096</v>
      </c>
      <c r="D7" s="376">
        <v>38041.773265101547</v>
      </c>
      <c r="E7" s="376"/>
      <c r="F7" s="376">
        <v>25332.192361720536</v>
      </c>
      <c r="G7" s="376">
        <v>12539.655987642953</v>
      </c>
      <c r="H7" s="376">
        <v>12792.536374077496</v>
      </c>
    </row>
    <row r="8" spans="1:8">
      <c r="A8" s="375" t="s">
        <v>5</v>
      </c>
      <c r="B8" s="376">
        <v>32787.480791420334</v>
      </c>
      <c r="C8" s="376">
        <v>16252.582296404096</v>
      </c>
      <c r="D8" s="376">
        <v>16534.898495016205</v>
      </c>
      <c r="E8" s="376"/>
      <c r="F8" s="376">
        <v>21888.202336945335</v>
      </c>
      <c r="G8" s="376">
        <v>10843.082813045068</v>
      </c>
      <c r="H8" s="376">
        <v>11045.119523900179</v>
      </c>
    </row>
    <row r="9" spans="1:8" ht="16.5" customHeight="1">
      <c r="A9" s="373" t="s">
        <v>593</v>
      </c>
      <c r="B9" s="374"/>
      <c r="C9" s="374"/>
      <c r="D9" s="374"/>
      <c r="E9" s="374"/>
      <c r="F9" s="374"/>
      <c r="G9" s="374"/>
      <c r="H9" s="374"/>
    </row>
    <row r="10" spans="1:8">
      <c r="A10" s="377" t="s">
        <v>148</v>
      </c>
      <c r="B10" s="378">
        <v>72086.966031289092</v>
      </c>
      <c r="C10" s="378">
        <v>35364.452348412953</v>
      </c>
      <c r="D10" s="378">
        <v>36722.513682965138</v>
      </c>
      <c r="E10" s="378"/>
      <c r="F10" s="378">
        <v>25111.423770388792</v>
      </c>
      <c r="G10" s="378">
        <v>12439.306627946706</v>
      </c>
      <c r="H10" s="378">
        <v>12672.117142441999</v>
      </c>
    </row>
    <row r="11" spans="1:8">
      <c r="A11" s="380" t="s">
        <v>148</v>
      </c>
      <c r="B11" s="376">
        <v>72086.966031289092</v>
      </c>
      <c r="C11" s="376">
        <v>35364.452348412953</v>
      </c>
      <c r="D11" s="376">
        <v>36722.513682965138</v>
      </c>
      <c r="E11" s="376"/>
      <c r="F11" s="376">
        <v>25111.423770388792</v>
      </c>
      <c r="G11" s="376">
        <v>12439.306627946706</v>
      </c>
      <c r="H11" s="376">
        <v>12672.117142441999</v>
      </c>
    </row>
    <row r="12" spans="1:8">
      <c r="A12" s="377" t="s">
        <v>149</v>
      </c>
      <c r="B12" s="378">
        <v>5305.1361492748438</v>
      </c>
      <c r="C12" s="378">
        <v>2580.9855313873891</v>
      </c>
      <c r="D12" s="378">
        <v>2724.1506178873683</v>
      </c>
      <c r="E12" s="378"/>
      <c r="F12" s="378">
        <v>3177.7297237144053</v>
      </c>
      <c r="G12" s="378">
        <v>1506.5783869062368</v>
      </c>
      <c r="H12" s="378">
        <v>1671.1513368080821</v>
      </c>
    </row>
    <row r="13" spans="1:8">
      <c r="A13" s="380" t="s">
        <v>149</v>
      </c>
      <c r="B13" s="376">
        <v>5305.1361492748438</v>
      </c>
      <c r="C13" s="376">
        <v>2580.9855313873891</v>
      </c>
      <c r="D13" s="376">
        <v>2724.1506178873683</v>
      </c>
      <c r="E13" s="376"/>
      <c r="F13" s="376">
        <v>3177.7297237144053</v>
      </c>
      <c r="G13" s="376">
        <v>1506.5783869062368</v>
      </c>
      <c r="H13" s="376">
        <v>1671.1513368080821</v>
      </c>
    </row>
    <row r="14" spans="1:8">
      <c r="A14" s="377" t="s">
        <v>150</v>
      </c>
      <c r="B14" s="378">
        <v>2448.5243765883429</v>
      </c>
      <c r="C14" s="378">
        <v>1196.164367579179</v>
      </c>
      <c r="D14" s="378">
        <v>1252.3600090090774</v>
      </c>
      <c r="E14" s="378"/>
      <c r="F14" s="378">
        <v>883.07436532689997</v>
      </c>
      <c r="G14" s="378">
        <v>432.17124242513449</v>
      </c>
      <c r="H14" s="378">
        <v>450.9031229017657</v>
      </c>
    </row>
    <row r="15" spans="1:8">
      <c r="A15" s="380" t="s">
        <v>150</v>
      </c>
      <c r="B15" s="376">
        <v>2448.5243765883429</v>
      </c>
      <c r="C15" s="376">
        <v>1196.164367579179</v>
      </c>
      <c r="D15" s="376">
        <v>1252.3600090090774</v>
      </c>
      <c r="E15" s="376"/>
      <c r="F15" s="376">
        <v>883.07436532689997</v>
      </c>
      <c r="G15" s="376">
        <v>432.17124242513449</v>
      </c>
      <c r="H15" s="376">
        <v>450.9031229017657</v>
      </c>
    </row>
    <row r="16" spans="1:8">
      <c r="A16" s="377" t="s">
        <v>151</v>
      </c>
      <c r="B16" s="378">
        <v>5054.9317457655343</v>
      </c>
      <c r="C16" s="378">
        <v>2567.6056167612228</v>
      </c>
      <c r="D16" s="378">
        <v>2487.3261290042251</v>
      </c>
      <c r="E16" s="378"/>
      <c r="F16" s="378">
        <v>2432.4684790369433</v>
      </c>
      <c r="G16" s="378">
        <v>1291.1617614249596</v>
      </c>
      <c r="H16" s="378">
        <v>1141.3067176118973</v>
      </c>
    </row>
    <row r="17" spans="1:8">
      <c r="A17" s="380" t="s">
        <v>151</v>
      </c>
      <c r="B17" s="376">
        <v>5054.9317457655343</v>
      </c>
      <c r="C17" s="376">
        <v>2567.6056167612228</v>
      </c>
      <c r="D17" s="376">
        <v>2487.3261290042251</v>
      </c>
      <c r="E17" s="376"/>
      <c r="F17" s="376">
        <v>2432.4684790369433</v>
      </c>
      <c r="G17" s="376">
        <v>1291.1617614249596</v>
      </c>
      <c r="H17" s="376">
        <v>1141.3067176118973</v>
      </c>
    </row>
    <row r="18" spans="1:8">
      <c r="A18" s="377" t="s">
        <v>152</v>
      </c>
      <c r="B18" s="378">
        <v>1705.9391148361144</v>
      </c>
      <c r="C18" s="378">
        <v>793.42893733159349</v>
      </c>
      <c r="D18" s="378">
        <v>912.51017750446329</v>
      </c>
      <c r="E18" s="378"/>
      <c r="F18" s="378">
        <v>941.94598968202661</v>
      </c>
      <c r="G18" s="378">
        <v>445.55115705129964</v>
      </c>
      <c r="H18" s="378">
        <v>496.39483263072719</v>
      </c>
    </row>
    <row r="19" spans="1:8">
      <c r="A19" s="380" t="s">
        <v>152</v>
      </c>
      <c r="B19" s="376">
        <v>1256.3739833969273</v>
      </c>
      <c r="C19" s="376">
        <v>582.02628623818418</v>
      </c>
      <c r="D19" s="376">
        <v>674.34769715872369</v>
      </c>
      <c r="E19" s="376"/>
      <c r="F19" s="376">
        <v>694.41756909797141</v>
      </c>
      <c r="G19" s="376">
        <v>318.44196810273075</v>
      </c>
      <c r="H19" s="376">
        <v>375.97560099524088</v>
      </c>
    </row>
    <row r="20" spans="1:8">
      <c r="A20" s="380" t="s">
        <v>153</v>
      </c>
      <c r="B20" s="376">
        <v>449.56513143914918</v>
      </c>
      <c r="C20" s="376">
        <v>211.40265109340959</v>
      </c>
      <c r="D20" s="376">
        <v>238.16248034573988</v>
      </c>
      <c r="E20" s="376"/>
      <c r="F20" s="376">
        <v>247.52842058405548</v>
      </c>
      <c r="G20" s="376">
        <v>127.10918894856916</v>
      </c>
      <c r="H20" s="376">
        <v>120.41923163548658</v>
      </c>
    </row>
    <row r="21" spans="1:8">
      <c r="A21" s="377" t="s">
        <v>154</v>
      </c>
      <c r="B21" s="378">
        <v>521.81667042044103</v>
      </c>
      <c r="C21" s="378">
        <v>282.31619861208486</v>
      </c>
      <c r="D21" s="378">
        <v>239.50047180835639</v>
      </c>
      <c r="E21" s="378"/>
      <c r="F21" s="378">
        <v>430.83325096251798</v>
      </c>
      <c r="G21" s="378">
        <v>227.45854864480776</v>
      </c>
      <c r="H21" s="378">
        <v>203.3747023177105</v>
      </c>
    </row>
    <row r="22" spans="1:8">
      <c r="A22" s="380" t="s">
        <v>154</v>
      </c>
      <c r="B22" s="376">
        <v>371.96162660739134</v>
      </c>
      <c r="C22" s="376">
        <v>200.69871939247747</v>
      </c>
      <c r="D22" s="376">
        <v>171.26290721491415</v>
      </c>
      <c r="E22" s="376"/>
      <c r="F22" s="376">
        <v>345.20179735506105</v>
      </c>
      <c r="G22" s="376">
        <v>187.31880476631233</v>
      </c>
      <c r="H22" s="376">
        <v>157.882992588749</v>
      </c>
    </row>
    <row r="23" spans="1:8">
      <c r="A23" s="380" t="s">
        <v>155</v>
      </c>
      <c r="B23" s="376">
        <v>149.85504381304992</v>
      </c>
      <c r="C23" s="376">
        <v>81.61747921960766</v>
      </c>
      <c r="D23" s="376">
        <v>68.237564593442514</v>
      </c>
      <c r="E23" s="376"/>
      <c r="F23" s="376">
        <v>85.631453607457203</v>
      </c>
      <c r="G23" s="376">
        <v>40.139743878495587</v>
      </c>
      <c r="H23" s="376">
        <v>45.491709728961673</v>
      </c>
    </row>
    <row r="24" spans="1:8">
      <c r="A24" s="377" t="s">
        <v>156</v>
      </c>
      <c r="B24" s="378">
        <v>3615.2529319900427</v>
      </c>
      <c r="C24" s="378">
        <v>1779.528645280029</v>
      </c>
      <c r="D24" s="378">
        <v>1835.7242867099274</v>
      </c>
      <c r="E24" s="378"/>
      <c r="F24" s="378">
        <v>1838.4002696351606</v>
      </c>
      <c r="G24" s="378">
        <v>912.51017750446329</v>
      </c>
      <c r="H24" s="378">
        <v>925.89009213062843</v>
      </c>
    </row>
    <row r="25" spans="1:8">
      <c r="A25" s="380" t="s">
        <v>156</v>
      </c>
      <c r="B25" s="376">
        <v>2140.7863401865184</v>
      </c>
      <c r="C25" s="376">
        <v>1061.0272298548996</v>
      </c>
      <c r="D25" s="376">
        <v>1079.7591103315324</v>
      </c>
      <c r="E25" s="376"/>
      <c r="F25" s="376">
        <v>1320.5975736025255</v>
      </c>
      <c r="G25" s="376">
        <v>660.96778253255854</v>
      </c>
      <c r="H25" s="376">
        <v>659.62979106994203</v>
      </c>
    </row>
    <row r="26" spans="1:8">
      <c r="A26" s="380" t="s">
        <v>157</v>
      </c>
      <c r="B26" s="376">
        <v>1474.4665918034377</v>
      </c>
      <c r="C26" s="376">
        <v>718.50141542506867</v>
      </c>
      <c r="D26" s="376">
        <v>755.96517637833108</v>
      </c>
      <c r="E26" s="376"/>
      <c r="F26" s="376">
        <v>517.80269603259148</v>
      </c>
      <c r="G26" s="376">
        <v>251.54239497190503</v>
      </c>
      <c r="H26" s="376">
        <v>266.26030106068669</v>
      </c>
    </row>
    <row r="27" spans="1:8">
      <c r="A27" s="377" t="s">
        <v>158</v>
      </c>
      <c r="B27" s="378">
        <v>5075.0016177047837</v>
      </c>
      <c r="C27" s="378">
        <v>2530.1418558079572</v>
      </c>
      <c r="D27" s="378">
        <v>2544.8597618967401</v>
      </c>
      <c r="E27" s="378"/>
      <c r="F27" s="378">
        <v>3690.1804538965739</v>
      </c>
      <c r="G27" s="378">
        <v>1796.9225342940451</v>
      </c>
      <c r="H27" s="378">
        <v>1893.2579196024424</v>
      </c>
    </row>
    <row r="28" spans="1:8">
      <c r="A28" s="380" t="s">
        <v>158</v>
      </c>
      <c r="B28" s="376">
        <v>4401.9919120086197</v>
      </c>
      <c r="C28" s="376">
        <v>2159.5182206631512</v>
      </c>
      <c r="D28" s="376">
        <v>2242.4736913453821</v>
      </c>
      <c r="E28" s="376"/>
      <c r="F28" s="376">
        <v>3228.5733992938372</v>
      </c>
      <c r="G28" s="376">
        <v>1556.084071023052</v>
      </c>
      <c r="H28" s="376">
        <v>1672.4893282706987</v>
      </c>
    </row>
    <row r="29" spans="1:8">
      <c r="A29" s="380" t="s">
        <v>159</v>
      </c>
      <c r="B29" s="376">
        <v>673.00970569610718</v>
      </c>
      <c r="C29" s="376">
        <v>370.62363514477482</v>
      </c>
      <c r="D29" s="376">
        <v>302.38607055133258</v>
      </c>
      <c r="E29" s="376"/>
      <c r="F29" s="376">
        <v>461.60705460269781</v>
      </c>
      <c r="G29" s="376">
        <v>240.83846327097291</v>
      </c>
      <c r="H29" s="376">
        <v>220.76859133172519</v>
      </c>
    </row>
    <row r="30" spans="1:8">
      <c r="A30" s="377" t="s">
        <v>160</v>
      </c>
      <c r="B30" s="378">
        <v>1475.8045832660544</v>
      </c>
      <c r="C30" s="378">
        <v>729.20534712600079</v>
      </c>
      <c r="D30" s="378">
        <v>746.59923614001548</v>
      </c>
      <c r="E30" s="378"/>
      <c r="F30" s="378">
        <v>1138.630734686664</v>
      </c>
      <c r="G30" s="378">
        <v>556.60444844847041</v>
      </c>
      <c r="H30" s="378">
        <v>582.02628623818418</v>
      </c>
    </row>
    <row r="31" spans="1:8">
      <c r="A31" s="380" t="s">
        <v>160</v>
      </c>
      <c r="B31" s="376">
        <v>1475.8045832660544</v>
      </c>
      <c r="C31" s="376">
        <v>729.20534712600079</v>
      </c>
      <c r="D31" s="376">
        <v>746.59923614001548</v>
      </c>
      <c r="E31" s="376"/>
      <c r="F31" s="376">
        <v>1138.630734686664</v>
      </c>
      <c r="G31" s="376">
        <v>556.60444844847041</v>
      </c>
      <c r="H31" s="376">
        <v>582.02628623818418</v>
      </c>
    </row>
    <row r="32" spans="1:8">
      <c r="A32" s="377" t="s">
        <v>161</v>
      </c>
      <c r="B32" s="378">
        <v>5770.7571782654304</v>
      </c>
      <c r="C32" s="378">
        <v>2907.4554482658464</v>
      </c>
      <c r="D32" s="378">
        <v>2863.3017299994976</v>
      </c>
      <c r="E32" s="378"/>
      <c r="F32" s="378">
        <v>4525.0871265693495</v>
      </c>
      <c r="G32" s="378">
        <v>2286.6274096117309</v>
      </c>
      <c r="H32" s="378">
        <v>2238.4597169575322</v>
      </c>
    </row>
    <row r="33" spans="1:8">
      <c r="A33" s="380" t="s">
        <v>161</v>
      </c>
      <c r="B33" s="376">
        <v>4665.5762301440955</v>
      </c>
      <c r="C33" s="376">
        <v>2321.4151876397632</v>
      </c>
      <c r="D33" s="376">
        <v>2344.1610425042459</v>
      </c>
      <c r="E33" s="376"/>
      <c r="F33" s="376">
        <v>3718.2782746115231</v>
      </c>
      <c r="G33" s="376">
        <v>1859.8081330370267</v>
      </c>
      <c r="H33" s="376">
        <v>1858.47014157441</v>
      </c>
    </row>
    <row r="34" spans="1:8">
      <c r="A34" s="380" t="s">
        <v>162</v>
      </c>
      <c r="B34" s="376">
        <v>1105.1809481212483</v>
      </c>
      <c r="C34" s="376">
        <v>586.04026062603373</v>
      </c>
      <c r="D34" s="376">
        <v>519.140687495208</v>
      </c>
      <c r="E34" s="376"/>
      <c r="F34" s="376">
        <v>806.80885195775863</v>
      </c>
      <c r="G34" s="376">
        <v>426.81927657466844</v>
      </c>
      <c r="H34" s="376">
        <v>379.98957538309043</v>
      </c>
    </row>
    <row r="35" spans="1:8">
      <c r="A35" s="377" t="s">
        <v>163</v>
      </c>
      <c r="B35" s="378">
        <v>4343.120287653488</v>
      </c>
      <c r="C35" s="378">
        <v>2095.294630457553</v>
      </c>
      <c r="D35" s="378">
        <v>2247.8256571958486</v>
      </c>
      <c r="E35" s="378"/>
      <c r="F35" s="378">
        <v>3050.6205347658256</v>
      </c>
      <c r="G35" s="378">
        <v>1487.846506429604</v>
      </c>
      <c r="H35" s="378">
        <v>1562.7740283361352</v>
      </c>
    </row>
    <row r="36" spans="1:8">
      <c r="A36" s="380" t="s">
        <v>163</v>
      </c>
      <c r="B36" s="376">
        <v>3054.6345091536755</v>
      </c>
      <c r="C36" s="376">
        <v>1487.846506429604</v>
      </c>
      <c r="D36" s="376">
        <v>1566.7880027239851</v>
      </c>
      <c r="E36" s="376"/>
      <c r="F36" s="376">
        <v>2270.5715120603313</v>
      </c>
      <c r="G36" s="376">
        <v>1102.5049651960151</v>
      </c>
      <c r="H36" s="376">
        <v>1168.0665468642298</v>
      </c>
    </row>
    <row r="37" spans="1:8" ht="15.75" thickBot="1">
      <c r="A37" s="381" t="s">
        <v>164</v>
      </c>
      <c r="B37" s="379">
        <v>1288.4857784997264</v>
      </c>
      <c r="C37" s="379">
        <v>607.44812402789796</v>
      </c>
      <c r="D37" s="379">
        <v>681.03765447180626</v>
      </c>
      <c r="E37" s="379"/>
      <c r="F37" s="379">
        <v>780.04902270542834</v>
      </c>
      <c r="G37" s="379">
        <v>385.34154123355648</v>
      </c>
      <c r="H37" s="379">
        <v>394.70748147187209</v>
      </c>
    </row>
  </sheetData>
  <mergeCells count="4">
    <mergeCell ref="A1:H1"/>
    <mergeCell ref="B2:D2"/>
    <mergeCell ref="F2:H2"/>
    <mergeCell ref="A2:A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7"/>
  <sheetViews>
    <sheetView workbookViewId="0">
      <selection activeCell="A9" sqref="A9"/>
    </sheetView>
  </sheetViews>
  <sheetFormatPr defaultRowHeight="15"/>
  <cols>
    <col min="1" max="1" width="20.28515625" style="26" customWidth="1"/>
    <col min="2" max="4" width="9.140625" style="26"/>
    <col min="5" max="5" width="4" style="26" customWidth="1"/>
    <col min="6" max="16384" width="9.140625" style="26"/>
  </cols>
  <sheetData>
    <row r="1" spans="1:8" ht="27.75" customHeight="1" thickBot="1">
      <c r="A1" s="1037" t="s">
        <v>581</v>
      </c>
      <c r="B1" s="1037"/>
      <c r="C1" s="1037"/>
      <c r="D1" s="1037"/>
      <c r="E1" s="1037"/>
      <c r="F1" s="1037"/>
      <c r="G1" s="1037"/>
      <c r="H1" s="1037"/>
    </row>
    <row r="2" spans="1:8" ht="25.5" customHeight="1">
      <c r="A2" s="1043" t="s">
        <v>314</v>
      </c>
      <c r="B2" s="1041" t="s">
        <v>283</v>
      </c>
      <c r="C2" s="1041"/>
      <c r="D2" s="1041"/>
      <c r="E2" s="383"/>
      <c r="F2" s="1042" t="s">
        <v>284</v>
      </c>
      <c r="G2" s="1042"/>
      <c r="H2" s="1042"/>
    </row>
    <row r="3" spans="1:8">
      <c r="A3" s="1044"/>
      <c r="B3" s="384" t="s">
        <v>285</v>
      </c>
      <c r="C3" s="384" t="s">
        <v>1</v>
      </c>
      <c r="D3" s="385" t="s">
        <v>2</v>
      </c>
      <c r="E3" s="382"/>
      <c r="F3" s="384" t="s">
        <v>285</v>
      </c>
      <c r="G3" s="384" t="s">
        <v>1</v>
      </c>
      <c r="H3" s="385" t="s">
        <v>2</v>
      </c>
    </row>
    <row r="4" spans="1:8">
      <c r="A4" s="386" t="s">
        <v>147</v>
      </c>
      <c r="B4" s="387">
        <v>44789.264211058857</v>
      </c>
      <c r="C4" s="387">
        <v>22084.887081949979</v>
      </c>
      <c r="D4" s="387">
        <v>22704.377129141478</v>
      </c>
      <c r="E4" s="387"/>
      <c r="F4" s="387">
        <v>14751.355875348239</v>
      </c>
      <c r="G4" s="387">
        <v>7262.6176590829709</v>
      </c>
      <c r="H4" s="387">
        <v>7488.7382162651811</v>
      </c>
    </row>
    <row r="5" spans="1:8">
      <c r="A5" s="388"/>
      <c r="B5" s="389"/>
      <c r="C5" s="389"/>
      <c r="D5" s="389"/>
      <c r="E5" s="389"/>
      <c r="F5" s="389"/>
      <c r="G5" s="389"/>
      <c r="H5" s="389"/>
    </row>
    <row r="6" spans="1:8" ht="18.75" customHeight="1">
      <c r="A6" s="386" t="s">
        <v>3</v>
      </c>
      <c r="B6" s="387"/>
      <c r="C6" s="387"/>
      <c r="D6" s="387"/>
      <c r="E6" s="387"/>
      <c r="F6" s="387"/>
      <c r="G6" s="387"/>
      <c r="H6" s="387"/>
    </row>
    <row r="7" spans="1:8">
      <c r="A7" s="388" t="s">
        <v>4</v>
      </c>
      <c r="B7" s="389">
        <v>31470.897192205626</v>
      </c>
      <c r="C7" s="389">
        <v>15321.340238422923</v>
      </c>
      <c r="D7" s="389">
        <v>16149.556953782616</v>
      </c>
      <c r="E7" s="389"/>
      <c r="F7" s="389">
        <v>7214.4499664287723</v>
      </c>
      <c r="G7" s="389">
        <v>3460.0459223265138</v>
      </c>
      <c r="H7" s="389">
        <v>3754.4040441021721</v>
      </c>
    </row>
    <row r="8" spans="1:8">
      <c r="A8" s="388" t="s">
        <v>5</v>
      </c>
      <c r="B8" s="389">
        <v>13318.36701888583</v>
      </c>
      <c r="C8" s="389">
        <v>6763.5468435269686</v>
      </c>
      <c r="D8" s="389">
        <v>6554.8201753587746</v>
      </c>
      <c r="E8" s="389"/>
      <c r="F8" s="389">
        <v>7536.9059089193797</v>
      </c>
      <c r="G8" s="389">
        <v>3802.5717367563707</v>
      </c>
      <c r="H8" s="389">
        <v>3734.3341721629226</v>
      </c>
    </row>
    <row r="9" spans="1:8" ht="21.75" customHeight="1">
      <c r="A9" s="1184" t="s">
        <v>593</v>
      </c>
      <c r="B9" s="387"/>
      <c r="C9" s="387"/>
      <c r="D9" s="387"/>
      <c r="E9" s="387"/>
      <c r="F9" s="387"/>
      <c r="G9" s="387"/>
      <c r="H9" s="387"/>
    </row>
    <row r="10" spans="1:8">
      <c r="A10" s="390" t="s">
        <v>148</v>
      </c>
      <c r="B10" s="391">
        <v>30761.761717018813</v>
      </c>
      <c r="C10" s="391">
        <v>15001.560278857549</v>
      </c>
      <c r="D10" s="391">
        <v>15760.201438161177</v>
      </c>
      <c r="E10" s="391"/>
      <c r="F10" s="391">
        <v>7231.8438554427885</v>
      </c>
      <c r="G10" s="391">
        <v>3454.6939564760473</v>
      </c>
      <c r="H10" s="391">
        <v>3777.1498989666547</v>
      </c>
    </row>
    <row r="11" spans="1:8">
      <c r="A11" s="394" t="s">
        <v>148</v>
      </c>
      <c r="B11" s="389">
        <v>30761.761717018813</v>
      </c>
      <c r="C11" s="389">
        <v>15001.560278857549</v>
      </c>
      <c r="D11" s="389">
        <v>15760.201438161177</v>
      </c>
      <c r="E11" s="389"/>
      <c r="F11" s="389">
        <v>7231.8438554427885</v>
      </c>
      <c r="G11" s="389">
        <v>3454.6939564760473</v>
      </c>
      <c r="H11" s="389">
        <v>3777.1498989666547</v>
      </c>
    </row>
    <row r="12" spans="1:8">
      <c r="A12" s="390" t="s">
        <v>149</v>
      </c>
      <c r="B12" s="391">
        <v>2227.7557852565992</v>
      </c>
      <c r="C12" s="391">
        <v>1137.2927432240474</v>
      </c>
      <c r="D12" s="391">
        <v>1090.4630420324654</v>
      </c>
      <c r="E12" s="391"/>
      <c r="F12" s="391">
        <v>1158.7006066259135</v>
      </c>
      <c r="G12" s="391">
        <v>600.75816671481539</v>
      </c>
      <c r="H12" s="391">
        <v>557.94243991108692</v>
      </c>
    </row>
    <row r="13" spans="1:8">
      <c r="A13" s="394" t="s">
        <v>149</v>
      </c>
      <c r="B13" s="389">
        <v>2227.7557852565992</v>
      </c>
      <c r="C13" s="389">
        <v>1137.2927432240474</v>
      </c>
      <c r="D13" s="389">
        <v>1090.4630420324654</v>
      </c>
      <c r="E13" s="389"/>
      <c r="F13" s="389">
        <v>1158.7006066259135</v>
      </c>
      <c r="G13" s="389">
        <v>600.75816671481539</v>
      </c>
      <c r="H13" s="389">
        <v>557.94243991108692</v>
      </c>
    </row>
    <row r="14" spans="1:8">
      <c r="A14" s="390" t="s">
        <v>150</v>
      </c>
      <c r="B14" s="391">
        <v>962.01586162127433</v>
      </c>
      <c r="C14" s="391">
        <v>497.73282409334371</v>
      </c>
      <c r="D14" s="391">
        <v>464.28303752793084</v>
      </c>
      <c r="E14" s="391"/>
      <c r="F14" s="391">
        <v>260.90833521022063</v>
      </c>
      <c r="G14" s="391">
        <v>144.50307796258386</v>
      </c>
      <c r="H14" s="391">
        <v>116.40525724763704</v>
      </c>
    </row>
    <row r="15" spans="1:8">
      <c r="A15" s="394" t="s">
        <v>150</v>
      </c>
      <c r="B15" s="389">
        <v>962.01586162127433</v>
      </c>
      <c r="C15" s="389">
        <v>497.73282409334371</v>
      </c>
      <c r="D15" s="389">
        <v>464.28303752793084</v>
      </c>
      <c r="E15" s="389"/>
      <c r="F15" s="389">
        <v>260.90833521022063</v>
      </c>
      <c r="G15" s="389">
        <v>144.50307796258386</v>
      </c>
      <c r="H15" s="389">
        <v>116.40525724763704</v>
      </c>
    </row>
    <row r="16" spans="1:8">
      <c r="A16" s="390" t="s">
        <v>151</v>
      </c>
      <c r="B16" s="391">
        <v>1965.5094585837403</v>
      </c>
      <c r="C16" s="391">
        <v>971.38180185958993</v>
      </c>
      <c r="D16" s="391">
        <v>994.12765672407068</v>
      </c>
      <c r="E16" s="391"/>
      <c r="F16" s="391">
        <v>681.03765447180626</v>
      </c>
      <c r="G16" s="391">
        <v>365.27166929430877</v>
      </c>
      <c r="H16" s="391">
        <v>315.76598517749773</v>
      </c>
    </row>
    <row r="17" spans="1:8">
      <c r="A17" s="394" t="s">
        <v>151</v>
      </c>
      <c r="B17" s="389">
        <v>1965.5094585837403</v>
      </c>
      <c r="C17" s="389">
        <v>971.38180185958993</v>
      </c>
      <c r="D17" s="389">
        <v>994.12765672407068</v>
      </c>
      <c r="E17" s="389"/>
      <c r="F17" s="389">
        <v>681.03765447180626</v>
      </c>
      <c r="G17" s="389">
        <v>365.27166929430877</v>
      </c>
      <c r="H17" s="389">
        <v>315.76598517749773</v>
      </c>
    </row>
    <row r="18" spans="1:8">
      <c r="A18" s="390" t="s">
        <v>152</v>
      </c>
      <c r="B18" s="391">
        <v>677.02368008395672</v>
      </c>
      <c r="C18" s="391">
        <v>365.27166929430877</v>
      </c>
      <c r="D18" s="391">
        <v>311.75201078964818</v>
      </c>
      <c r="E18" s="391"/>
      <c r="F18" s="391">
        <v>291.68213885040046</v>
      </c>
      <c r="G18" s="391">
        <v>161.89696697659855</v>
      </c>
      <c r="H18" s="391">
        <v>129.7851718738022</v>
      </c>
    </row>
    <row r="19" spans="1:8">
      <c r="A19" s="394" t="s">
        <v>152</v>
      </c>
      <c r="B19" s="389">
        <v>487.02889239241159</v>
      </c>
      <c r="C19" s="389">
        <v>250.20440350928851</v>
      </c>
      <c r="D19" s="389">
        <v>236.82448888312337</v>
      </c>
      <c r="E19" s="389"/>
      <c r="F19" s="389">
        <v>222.1065827943417</v>
      </c>
      <c r="G19" s="389">
        <v>121.7572230981031</v>
      </c>
      <c r="H19" s="389">
        <v>100.34935969623886</v>
      </c>
    </row>
    <row r="20" spans="1:8">
      <c r="A20" s="394" t="s">
        <v>153</v>
      </c>
      <c r="B20" s="389">
        <v>189.99478769154535</v>
      </c>
      <c r="C20" s="389">
        <v>115.06726578502052</v>
      </c>
      <c r="D20" s="389">
        <v>74.927521906525087</v>
      </c>
      <c r="E20" s="389"/>
      <c r="F20" s="389">
        <v>69.575556056059028</v>
      </c>
      <c r="G20" s="389">
        <v>40.139743878495587</v>
      </c>
      <c r="H20" s="389">
        <v>29.435812177563417</v>
      </c>
    </row>
    <row r="21" spans="1:8">
      <c r="A21" s="390" t="s">
        <v>154</v>
      </c>
      <c r="B21" s="391">
        <v>192.67077061677838</v>
      </c>
      <c r="C21" s="391">
        <v>105.70132554670492</v>
      </c>
      <c r="D21" s="391">
        <v>86.969445070073718</v>
      </c>
      <c r="E21" s="391"/>
      <c r="F21" s="391">
        <v>111.05329139717098</v>
      </c>
      <c r="G21" s="391">
        <v>62.885598742976455</v>
      </c>
      <c r="H21" s="391">
        <v>48.167692654194717</v>
      </c>
    </row>
    <row r="22" spans="1:8">
      <c r="A22" s="394" t="s">
        <v>154</v>
      </c>
      <c r="B22" s="389">
        <v>132.46115479903523</v>
      </c>
      <c r="C22" s="389">
        <v>73.589530443908572</v>
      </c>
      <c r="D22" s="389">
        <v>58.87162435512689</v>
      </c>
      <c r="E22" s="389"/>
      <c r="F22" s="389">
        <v>94.997393845772805</v>
      </c>
      <c r="G22" s="389">
        <v>53.519658504660804</v>
      </c>
      <c r="H22" s="389">
        <v>41.477735341112108</v>
      </c>
    </row>
    <row r="23" spans="1:8">
      <c r="A23" s="394" t="s">
        <v>155</v>
      </c>
      <c r="B23" s="389">
        <v>60.209615817743412</v>
      </c>
      <c r="C23" s="389">
        <v>32.111795102796457</v>
      </c>
      <c r="D23" s="389">
        <v>28.097820714946899</v>
      </c>
      <c r="E23" s="389"/>
      <c r="F23" s="389">
        <v>16.055897551398235</v>
      </c>
      <c r="G23" s="389">
        <v>9.3659402383156358</v>
      </c>
      <c r="H23" s="389">
        <v>6.689957313082596</v>
      </c>
    </row>
    <row r="24" spans="1:8">
      <c r="A24" s="390" t="s">
        <v>156</v>
      </c>
      <c r="B24" s="391">
        <v>1367.4272747941075</v>
      </c>
      <c r="C24" s="391">
        <v>701.10752641105398</v>
      </c>
      <c r="D24" s="391">
        <v>666.3197483830246</v>
      </c>
      <c r="E24" s="391"/>
      <c r="F24" s="391">
        <v>532.52060212137314</v>
      </c>
      <c r="G24" s="391">
        <v>260.90833521022063</v>
      </c>
      <c r="H24" s="391">
        <v>271.61226691115274</v>
      </c>
    </row>
    <row r="25" spans="1:8">
      <c r="A25" s="394" t="s">
        <v>156</v>
      </c>
      <c r="B25" s="389">
        <v>824.20274097177332</v>
      </c>
      <c r="C25" s="389">
        <v>426.81927657466844</v>
      </c>
      <c r="D25" s="389">
        <v>397.38346439710512</v>
      </c>
      <c r="E25" s="389"/>
      <c r="F25" s="389">
        <v>396.0454729344886</v>
      </c>
      <c r="G25" s="389">
        <v>192.67077061677838</v>
      </c>
      <c r="H25" s="389">
        <v>203.3747023177105</v>
      </c>
    </row>
    <row r="26" spans="1:8">
      <c r="A26" s="394" t="s">
        <v>157</v>
      </c>
      <c r="B26" s="389">
        <v>543.22453382230526</v>
      </c>
      <c r="C26" s="389">
        <v>274.28824983638577</v>
      </c>
      <c r="D26" s="389">
        <v>268.93628398591972</v>
      </c>
      <c r="E26" s="389"/>
      <c r="F26" s="389">
        <v>136.47512918688477</v>
      </c>
      <c r="G26" s="389">
        <v>68.237564593442514</v>
      </c>
      <c r="H26" s="389">
        <v>68.237564593442514</v>
      </c>
    </row>
    <row r="27" spans="1:8">
      <c r="A27" s="390" t="s">
        <v>158</v>
      </c>
      <c r="B27" s="391">
        <v>2196.9819816164168</v>
      </c>
      <c r="C27" s="391">
        <v>1101.1669737333984</v>
      </c>
      <c r="D27" s="391">
        <v>1095.8150078829319</v>
      </c>
      <c r="E27" s="391"/>
      <c r="F27" s="391">
        <v>1394.18710404644</v>
      </c>
      <c r="G27" s="391">
        <v>670.33372277087415</v>
      </c>
      <c r="H27" s="391">
        <v>723.85338127553473</v>
      </c>
    </row>
    <row r="28" spans="1:8">
      <c r="A28" s="394" t="s">
        <v>158</v>
      </c>
      <c r="B28" s="389">
        <v>1944.1015951818742</v>
      </c>
      <c r="C28" s="389">
        <v>968.7058189343569</v>
      </c>
      <c r="D28" s="389">
        <v>975.39577624743947</v>
      </c>
      <c r="E28" s="389"/>
      <c r="F28" s="389">
        <v>1228.2761626819781</v>
      </c>
      <c r="G28" s="389">
        <v>590.05423501388327</v>
      </c>
      <c r="H28" s="389">
        <v>638.2219276680778</v>
      </c>
    </row>
    <row r="29" spans="1:8">
      <c r="A29" s="394" t="s">
        <v>159</v>
      </c>
      <c r="B29" s="389">
        <v>252.88038643452154</v>
      </c>
      <c r="C29" s="389">
        <v>132.46115479903523</v>
      </c>
      <c r="D29" s="389">
        <v>120.41923163548658</v>
      </c>
      <c r="E29" s="389"/>
      <c r="F29" s="389">
        <v>165.91094136444809</v>
      </c>
      <c r="G29" s="389">
        <v>80.279487756991145</v>
      </c>
      <c r="H29" s="389">
        <v>85.631453607457203</v>
      </c>
    </row>
    <row r="30" spans="1:8">
      <c r="A30" s="390" t="s">
        <v>160</v>
      </c>
      <c r="B30" s="391">
        <v>565.97038868678601</v>
      </c>
      <c r="C30" s="391">
        <v>282.31619861208486</v>
      </c>
      <c r="D30" s="391">
        <v>283.65419007470138</v>
      </c>
      <c r="E30" s="391"/>
      <c r="F30" s="391">
        <v>398.72145585972163</v>
      </c>
      <c r="G30" s="391">
        <v>200.69871939247747</v>
      </c>
      <c r="H30" s="391">
        <v>198.02273646724444</v>
      </c>
    </row>
    <row r="31" spans="1:8">
      <c r="A31" s="394" t="s">
        <v>160</v>
      </c>
      <c r="B31" s="389">
        <v>565.97038868678601</v>
      </c>
      <c r="C31" s="389">
        <v>282.31619861208486</v>
      </c>
      <c r="D31" s="389">
        <v>283.65419007470138</v>
      </c>
      <c r="E31" s="389"/>
      <c r="F31" s="389">
        <v>398.72145585972163</v>
      </c>
      <c r="G31" s="389">
        <v>200.69871939247747</v>
      </c>
      <c r="H31" s="389">
        <v>198.02273646724444</v>
      </c>
    </row>
    <row r="32" spans="1:8">
      <c r="A32" s="390" t="s">
        <v>161</v>
      </c>
      <c r="B32" s="389">
        <v>2285.2894181491142</v>
      </c>
      <c r="C32" s="389">
        <v>1166.7285554016132</v>
      </c>
      <c r="D32" s="389">
        <v>1118.5608627474146</v>
      </c>
      <c r="E32" s="389"/>
      <c r="F32" s="389">
        <v>1689.8832172847149</v>
      </c>
      <c r="G32" s="389">
        <v>856.31453607456967</v>
      </c>
      <c r="H32" s="389">
        <v>833.56868121008893</v>
      </c>
    </row>
    <row r="33" spans="1:8">
      <c r="A33" s="392" t="s">
        <v>161</v>
      </c>
      <c r="B33" s="391">
        <v>1886.5679622893592</v>
      </c>
      <c r="C33" s="391">
        <v>943.28398114464312</v>
      </c>
      <c r="D33" s="391">
        <v>943.28398114464312</v>
      </c>
      <c r="E33" s="391"/>
      <c r="F33" s="391">
        <v>1412.9189845230728</v>
      </c>
      <c r="G33" s="391">
        <v>710.47346664936958</v>
      </c>
      <c r="H33" s="391">
        <v>702.4455178736705</v>
      </c>
    </row>
    <row r="34" spans="1:8">
      <c r="A34" s="394" t="s">
        <v>162</v>
      </c>
      <c r="B34" s="389">
        <v>398.72145585972163</v>
      </c>
      <c r="C34" s="389">
        <v>223.44457425695822</v>
      </c>
      <c r="D34" s="389">
        <v>175.27688160276369</v>
      </c>
      <c r="E34" s="389"/>
      <c r="F34" s="389">
        <v>276.9642327616188</v>
      </c>
      <c r="G34" s="389">
        <v>145.84106942520037</v>
      </c>
      <c r="H34" s="389">
        <v>131.12316333641871</v>
      </c>
    </row>
    <row r="35" spans="1:8">
      <c r="A35" s="390" t="s">
        <v>163</v>
      </c>
      <c r="B35" s="391">
        <v>1586.8578746632345</v>
      </c>
      <c r="C35" s="391">
        <v>754.62718491571457</v>
      </c>
      <c r="D35" s="391">
        <v>832.23068974747241</v>
      </c>
      <c r="E35" s="391"/>
      <c r="F35" s="391">
        <v>1000.8176140371532</v>
      </c>
      <c r="G35" s="391">
        <v>484.35290946717856</v>
      </c>
      <c r="H35" s="391">
        <v>516.46470456997497</v>
      </c>
    </row>
    <row r="36" spans="1:8">
      <c r="A36" s="394" t="s">
        <v>163</v>
      </c>
      <c r="B36" s="389">
        <v>1129.2647944483476</v>
      </c>
      <c r="C36" s="389">
        <v>540.54855089707223</v>
      </c>
      <c r="D36" s="389">
        <v>588.71624355126676</v>
      </c>
      <c r="E36" s="389"/>
      <c r="F36" s="389">
        <v>766.6691080792632</v>
      </c>
      <c r="G36" s="389">
        <v>370.62363514477482</v>
      </c>
      <c r="H36" s="389">
        <v>396.0454729344886</v>
      </c>
    </row>
    <row r="37" spans="1:8" ht="15.75" thickBot="1">
      <c r="A37" s="395" t="s">
        <v>164</v>
      </c>
      <c r="B37" s="393">
        <v>457.59308021484827</v>
      </c>
      <c r="C37" s="393">
        <v>214.07863401864262</v>
      </c>
      <c r="D37" s="393">
        <v>243.51444619620594</v>
      </c>
      <c r="E37" s="393"/>
      <c r="F37" s="393">
        <v>234.14850595789034</v>
      </c>
      <c r="G37" s="393">
        <v>113.72927432240401</v>
      </c>
      <c r="H37" s="393">
        <v>120.41923163548658</v>
      </c>
    </row>
  </sheetData>
  <mergeCells count="4">
    <mergeCell ref="A1:H1"/>
    <mergeCell ref="B2:D2"/>
    <mergeCell ref="F2:H2"/>
    <mergeCell ref="A2:A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8"/>
  <sheetViews>
    <sheetView workbookViewId="0">
      <selection activeCell="A10" sqref="A10"/>
    </sheetView>
  </sheetViews>
  <sheetFormatPr defaultRowHeight="15"/>
  <cols>
    <col min="1" max="1" width="18.42578125" style="26" customWidth="1"/>
    <col min="2" max="7" width="9.140625" style="26"/>
    <col min="8" max="8" width="11.28515625" style="26" customWidth="1"/>
    <col min="9" max="16384" width="9.140625" style="26"/>
  </cols>
  <sheetData>
    <row r="1" spans="1:9">
      <c r="A1" s="1045" t="s">
        <v>582</v>
      </c>
      <c r="B1" s="1045"/>
      <c r="C1" s="1045"/>
      <c r="D1" s="1045"/>
      <c r="E1" s="1045"/>
      <c r="F1" s="1045"/>
      <c r="G1" s="1045"/>
      <c r="H1" s="1045"/>
    </row>
    <row r="2" spans="1:9" ht="15.75" thickBot="1">
      <c r="A2" s="1046"/>
      <c r="B2" s="1046"/>
      <c r="C2" s="1046"/>
      <c r="D2" s="1046"/>
      <c r="E2" s="1046"/>
      <c r="F2" s="1046"/>
      <c r="G2" s="1046"/>
      <c r="H2" s="1046"/>
    </row>
    <row r="3" spans="1:9" ht="21.75" customHeight="1">
      <c r="A3" s="1049" t="s">
        <v>314</v>
      </c>
      <c r="B3" s="1047" t="s">
        <v>286</v>
      </c>
      <c r="C3" s="1047"/>
      <c r="D3" s="1047"/>
      <c r="E3" s="304"/>
      <c r="F3" s="1048" t="s">
        <v>287</v>
      </c>
      <c r="G3" s="1048"/>
      <c r="H3" s="1048"/>
    </row>
    <row r="4" spans="1:9">
      <c r="A4" s="1050"/>
      <c r="B4" s="362" t="s">
        <v>0</v>
      </c>
      <c r="C4" s="397" t="s">
        <v>1</v>
      </c>
      <c r="D4" s="398" t="s">
        <v>2</v>
      </c>
      <c r="E4" s="396"/>
      <c r="F4" s="362" t="s">
        <v>0</v>
      </c>
      <c r="G4" s="397" t="s">
        <v>1</v>
      </c>
      <c r="H4" s="398" t="s">
        <v>2</v>
      </c>
    </row>
    <row r="5" spans="1:9">
      <c r="A5" s="399" t="s">
        <v>147</v>
      </c>
      <c r="B5" s="400">
        <v>55820.439472177211</v>
      </c>
      <c r="C5" s="400">
        <v>26974.819162834588</v>
      </c>
      <c r="D5" s="400">
        <v>28845.620309337253</v>
      </c>
      <c r="E5" s="400"/>
      <c r="F5" s="400">
        <v>21213.353351273385</v>
      </c>
      <c r="G5" s="400">
        <v>9295.2013105053138</v>
      </c>
      <c r="H5" s="400">
        <v>11918.152040762705</v>
      </c>
      <c r="I5" s="903"/>
    </row>
    <row r="6" spans="1:9">
      <c r="A6" s="401"/>
      <c r="B6" s="402"/>
      <c r="C6" s="402"/>
      <c r="D6" s="402"/>
      <c r="E6" s="402"/>
      <c r="F6" s="402"/>
      <c r="G6" s="402"/>
      <c r="H6" s="402"/>
      <c r="I6" s="903"/>
    </row>
    <row r="7" spans="1:9" ht="15" customHeight="1">
      <c r="A7" s="399" t="s">
        <v>3</v>
      </c>
      <c r="B7" s="400"/>
      <c r="C7" s="400"/>
      <c r="D7" s="400"/>
      <c r="E7" s="400"/>
      <c r="F7" s="400"/>
      <c r="G7" s="400"/>
      <c r="H7" s="400"/>
      <c r="I7" s="903"/>
    </row>
    <row r="8" spans="1:9">
      <c r="A8" s="401" t="s">
        <v>4</v>
      </c>
      <c r="B8" s="402">
        <v>39522.04176456116</v>
      </c>
      <c r="C8" s="402">
        <v>18963.742323497885</v>
      </c>
      <c r="D8" s="402">
        <v>20558.299441057905</v>
      </c>
      <c r="E8" s="402"/>
      <c r="F8" s="402">
        <v>11040.188344816279</v>
      </c>
      <c r="G8" s="402">
        <v>4741.2774670471745</v>
      </c>
      <c r="H8" s="402">
        <v>6298.91087776729</v>
      </c>
      <c r="I8" s="903"/>
    </row>
    <row r="9" spans="1:9">
      <c r="A9" s="401" t="s">
        <v>5</v>
      </c>
      <c r="B9" s="402">
        <v>16298.397707610684</v>
      </c>
      <c r="C9" s="402">
        <v>8011.0768393314556</v>
      </c>
      <c r="D9" s="402">
        <v>8287.3208682739805</v>
      </c>
      <c r="E9" s="402"/>
      <c r="F9" s="402">
        <v>10173.16500645174</v>
      </c>
      <c r="G9" s="402">
        <v>4553.9238434574854</v>
      </c>
      <c r="H9" s="402">
        <v>5619.2411629930166</v>
      </c>
      <c r="I9" s="903"/>
    </row>
    <row r="10" spans="1:9" ht="17.25" customHeight="1">
      <c r="A10" s="1184" t="s">
        <v>593</v>
      </c>
      <c r="B10" s="400"/>
      <c r="C10" s="400"/>
      <c r="D10" s="400"/>
      <c r="E10" s="400"/>
      <c r="F10" s="400"/>
      <c r="G10" s="400"/>
      <c r="H10" s="400"/>
    </row>
    <row r="11" spans="1:9">
      <c r="A11" s="403" t="s">
        <v>148</v>
      </c>
      <c r="B11" s="404">
        <v>38511.426232934355</v>
      </c>
      <c r="C11" s="404">
        <v>18448.177972451464</v>
      </c>
      <c r="D11" s="404">
        <v>20063.248260477521</v>
      </c>
      <c r="E11" s="404"/>
      <c r="F11" s="404">
        <v>11148.224375937412</v>
      </c>
      <c r="G11" s="404">
        <v>4712.5590283947404</v>
      </c>
      <c r="H11" s="404">
        <v>6435.6653475407857</v>
      </c>
    </row>
    <row r="12" spans="1:9">
      <c r="A12" s="406" t="s">
        <v>148</v>
      </c>
      <c r="B12" s="402">
        <v>38511.426232934355</v>
      </c>
      <c r="C12" s="402">
        <v>18448.177972451464</v>
      </c>
      <c r="D12" s="402">
        <v>20063.248260477521</v>
      </c>
      <c r="E12" s="402"/>
      <c r="F12" s="402">
        <v>11148.224375937412</v>
      </c>
      <c r="G12" s="402">
        <v>4712.5590283947404</v>
      </c>
      <c r="H12" s="402">
        <v>6435.6653475407857</v>
      </c>
    </row>
    <row r="13" spans="1:9">
      <c r="A13" s="403" t="s">
        <v>149</v>
      </c>
      <c r="B13" s="404">
        <v>2885.5193122208384</v>
      </c>
      <c r="C13" s="404">
        <v>1424.9815750399048</v>
      </c>
      <c r="D13" s="404">
        <v>1460.5377371810137</v>
      </c>
      <c r="E13" s="404"/>
      <c r="F13" s="404">
        <v>1512.504435694942</v>
      </c>
      <c r="G13" s="404">
        <v>678.30217007658985</v>
      </c>
      <c r="H13" s="404">
        <v>834.20226561838786</v>
      </c>
    </row>
    <row r="14" spans="1:9">
      <c r="A14" s="406" t="s">
        <v>149</v>
      </c>
      <c r="B14" s="402">
        <v>2885.5193122208384</v>
      </c>
      <c r="C14" s="402">
        <v>1424.9815750399048</v>
      </c>
      <c r="D14" s="402">
        <v>1460.5377371810137</v>
      </c>
      <c r="E14" s="402"/>
      <c r="F14" s="402">
        <v>1512.504435694942</v>
      </c>
      <c r="G14" s="402">
        <v>678.30217007658985</v>
      </c>
      <c r="H14" s="402">
        <v>834.20226561838786</v>
      </c>
    </row>
    <row r="15" spans="1:9">
      <c r="A15" s="403" t="s">
        <v>150</v>
      </c>
      <c r="B15" s="404">
        <v>1177.4559847498776</v>
      </c>
      <c r="C15" s="404">
        <v>568.89859425778423</v>
      </c>
      <c r="D15" s="404">
        <v>608.55739049210126</v>
      </c>
      <c r="E15" s="404"/>
      <c r="F15" s="404">
        <v>428.04149039107199</v>
      </c>
      <c r="G15" s="404">
        <v>201.02907056705149</v>
      </c>
      <c r="H15" s="404">
        <v>227.01241982401729</v>
      </c>
    </row>
    <row r="16" spans="1:9">
      <c r="A16" s="406" t="s">
        <v>150</v>
      </c>
      <c r="B16" s="402">
        <v>1177.4559847498776</v>
      </c>
      <c r="C16" s="402">
        <v>568.89859425778423</v>
      </c>
      <c r="D16" s="402">
        <v>608.55739049210126</v>
      </c>
      <c r="E16" s="402"/>
      <c r="F16" s="402">
        <v>428.04149039107199</v>
      </c>
      <c r="G16" s="402">
        <v>201.02907056705149</v>
      </c>
      <c r="H16" s="402">
        <v>227.01241982401729</v>
      </c>
    </row>
    <row r="17" spans="1:8">
      <c r="A17" s="403" t="s">
        <v>151</v>
      </c>
      <c r="B17" s="404">
        <v>2400.0409445249288</v>
      </c>
      <c r="C17" s="404">
        <v>1191.1314317272272</v>
      </c>
      <c r="D17" s="404">
        <v>1208.9095127977816</v>
      </c>
      <c r="E17" s="404"/>
      <c r="F17" s="404">
        <v>968.22164599642474</v>
      </c>
      <c r="G17" s="404">
        <v>481.37573360273973</v>
      </c>
      <c r="H17" s="404">
        <v>486.84591239368001</v>
      </c>
    </row>
    <row r="18" spans="1:8">
      <c r="A18" s="406" t="s">
        <v>151</v>
      </c>
      <c r="B18" s="402">
        <v>2400.0409445249288</v>
      </c>
      <c r="C18" s="402">
        <v>1191.1314317272272</v>
      </c>
      <c r="D18" s="402">
        <v>1208.9095127977816</v>
      </c>
      <c r="E18" s="402"/>
      <c r="F18" s="402">
        <v>968.22164599642474</v>
      </c>
      <c r="G18" s="402">
        <v>481.37573360273973</v>
      </c>
      <c r="H18" s="402">
        <v>486.84591239368001</v>
      </c>
    </row>
    <row r="19" spans="1:8">
      <c r="A19" s="403" t="s">
        <v>152</v>
      </c>
      <c r="B19" s="404">
        <v>824.62945273424236</v>
      </c>
      <c r="C19" s="404">
        <v>391.11778355222509</v>
      </c>
      <c r="D19" s="404">
        <v>433.51166918201227</v>
      </c>
      <c r="E19" s="404"/>
      <c r="F19" s="404">
        <v>381.5449706680796</v>
      </c>
      <c r="G19" s="404">
        <v>169.57554251914553</v>
      </c>
      <c r="H19" s="404">
        <v>211.96942814893183</v>
      </c>
    </row>
    <row r="20" spans="1:8">
      <c r="A20" s="406" t="s">
        <v>152</v>
      </c>
      <c r="B20" s="402">
        <v>627.70301626039225</v>
      </c>
      <c r="C20" s="402">
        <v>292.65456531530003</v>
      </c>
      <c r="D20" s="402">
        <v>335.04845094508721</v>
      </c>
      <c r="E20" s="402"/>
      <c r="F20" s="402">
        <v>302.22737819944552</v>
      </c>
      <c r="G20" s="402">
        <v>132.6518356802994</v>
      </c>
      <c r="H20" s="402">
        <v>169.57554251914553</v>
      </c>
    </row>
    <row r="21" spans="1:8">
      <c r="A21" s="406" t="s">
        <v>153</v>
      </c>
      <c r="B21" s="402">
        <v>196.92643647384637</v>
      </c>
      <c r="C21" s="402">
        <v>98.463218236923339</v>
      </c>
      <c r="D21" s="402">
        <v>98.463218236923339</v>
      </c>
      <c r="E21" s="402"/>
      <c r="F21" s="402">
        <v>79.317592468632753</v>
      </c>
      <c r="G21" s="402">
        <v>36.923706838846314</v>
      </c>
      <c r="H21" s="402">
        <v>42.39388562978651</v>
      </c>
    </row>
    <row r="22" spans="1:8">
      <c r="A22" s="403" t="s">
        <v>154</v>
      </c>
      <c r="B22" s="404">
        <v>201.02907056705149</v>
      </c>
      <c r="C22" s="404">
        <v>98.463218236923339</v>
      </c>
      <c r="D22" s="404">
        <v>102.56585233012846</v>
      </c>
      <c r="E22" s="404"/>
      <c r="F22" s="404">
        <v>128.54920158709427</v>
      </c>
      <c r="G22" s="404">
        <v>56.069332607137</v>
      </c>
      <c r="H22" s="404">
        <v>72.479868979957544</v>
      </c>
    </row>
    <row r="23" spans="1:8">
      <c r="A23" s="406" t="s">
        <v>154</v>
      </c>
      <c r="B23" s="402">
        <v>132.6518356802994</v>
      </c>
      <c r="C23" s="402">
        <v>64.274600793547293</v>
      </c>
      <c r="D23" s="402">
        <v>68.377234886752419</v>
      </c>
      <c r="E23" s="402"/>
      <c r="F23" s="402">
        <v>94.360584143718214</v>
      </c>
      <c r="G23" s="402">
        <v>36.923706838846314</v>
      </c>
      <c r="H23" s="402">
        <v>57.436877304872048</v>
      </c>
    </row>
    <row r="24" spans="1:8">
      <c r="A24" s="406" t="s">
        <v>155</v>
      </c>
      <c r="B24" s="402">
        <v>68.377234886752419</v>
      </c>
      <c r="C24" s="402">
        <v>34.188617443376216</v>
      </c>
      <c r="D24" s="402">
        <v>34.188617443376216</v>
      </c>
      <c r="E24" s="402"/>
      <c r="F24" s="402">
        <v>34.188617443376216</v>
      </c>
      <c r="G24" s="402">
        <v>19.145625768290682</v>
      </c>
      <c r="H24" s="402">
        <v>15.042991675085537</v>
      </c>
    </row>
    <row r="25" spans="1:8">
      <c r="A25" s="403" t="s">
        <v>156</v>
      </c>
      <c r="B25" s="404">
        <v>1549.4281425337858</v>
      </c>
      <c r="C25" s="404">
        <v>813.6890951523618</v>
      </c>
      <c r="D25" s="404">
        <v>735.7390473814628</v>
      </c>
      <c r="E25" s="404"/>
      <c r="F25" s="404">
        <v>733.00395798599266</v>
      </c>
      <c r="G25" s="404">
        <v>347.35635322470284</v>
      </c>
      <c r="H25" s="404">
        <v>385.64760476128481</v>
      </c>
    </row>
    <row r="26" spans="1:8">
      <c r="A26" s="406" t="s">
        <v>156</v>
      </c>
      <c r="B26" s="402">
        <v>923.09267097116742</v>
      </c>
      <c r="C26" s="402">
        <v>488.21345709141508</v>
      </c>
      <c r="D26" s="402">
        <v>434.87921387974734</v>
      </c>
      <c r="E26" s="402"/>
      <c r="F26" s="402">
        <v>530.60734272120226</v>
      </c>
      <c r="G26" s="402">
        <v>254.36331377871812</v>
      </c>
      <c r="H26" s="402">
        <v>276.24402894247919</v>
      </c>
    </row>
    <row r="27" spans="1:8">
      <c r="A27" s="406" t="s">
        <v>157</v>
      </c>
      <c r="B27" s="402">
        <v>626.33547156265718</v>
      </c>
      <c r="C27" s="402">
        <v>325.47563806094172</v>
      </c>
      <c r="D27" s="402">
        <v>300.85983350171045</v>
      </c>
      <c r="E27" s="402"/>
      <c r="F27" s="402">
        <v>202.39661526478653</v>
      </c>
      <c r="G27" s="402">
        <v>92.993039445983172</v>
      </c>
      <c r="H27" s="402">
        <v>109.40357581880367</v>
      </c>
    </row>
    <row r="28" spans="1:8">
      <c r="A28" s="403" t="s">
        <v>158</v>
      </c>
      <c r="B28" s="404">
        <v>2823.9798008227654</v>
      </c>
      <c r="C28" s="404">
        <v>1400.3657704806756</v>
      </c>
      <c r="D28" s="404">
        <v>1423.6140303421698</v>
      </c>
      <c r="E28" s="404"/>
      <c r="F28" s="404">
        <v>1869.4336018037657</v>
      </c>
      <c r="G28" s="404">
        <v>823.26190803650729</v>
      </c>
      <c r="H28" s="404">
        <v>1046.1716937673218</v>
      </c>
    </row>
    <row r="29" spans="1:8">
      <c r="A29" s="406" t="s">
        <v>158</v>
      </c>
      <c r="B29" s="402">
        <v>2490.298894575436</v>
      </c>
      <c r="C29" s="402">
        <v>1230.7902279615409</v>
      </c>
      <c r="D29" s="402">
        <v>1259.508666613975</v>
      </c>
      <c r="E29" s="402"/>
      <c r="F29" s="402">
        <v>1650.6264501661726</v>
      </c>
      <c r="G29" s="402">
        <v>720.69605570637702</v>
      </c>
      <c r="H29" s="402">
        <v>929.93039445984277</v>
      </c>
    </row>
    <row r="30" spans="1:8">
      <c r="A30" s="406" t="s">
        <v>159</v>
      </c>
      <c r="B30" s="402">
        <v>333.68090624735214</v>
      </c>
      <c r="C30" s="402">
        <v>169.57554251914553</v>
      </c>
      <c r="D30" s="402">
        <v>164.10536372820536</v>
      </c>
      <c r="E30" s="402"/>
      <c r="F30" s="402">
        <v>218.80715163760703</v>
      </c>
      <c r="G30" s="402">
        <v>102.56585233012846</v>
      </c>
      <c r="H30" s="402">
        <v>116.24129930747888</v>
      </c>
    </row>
    <row r="31" spans="1:8">
      <c r="A31" s="403" t="s">
        <v>160</v>
      </c>
      <c r="B31" s="404">
        <v>644.11355263321309</v>
      </c>
      <c r="C31" s="404">
        <v>339.15108503829242</v>
      </c>
      <c r="D31" s="404">
        <v>304.96246759491567</v>
      </c>
      <c r="E31" s="404"/>
      <c r="F31" s="404">
        <v>478.64064420726959</v>
      </c>
      <c r="G31" s="404">
        <v>227.01241982401729</v>
      </c>
      <c r="H31" s="404">
        <v>251.62822438324804</v>
      </c>
    </row>
    <row r="32" spans="1:8">
      <c r="A32" s="406" t="s">
        <v>160</v>
      </c>
      <c r="B32" s="402">
        <v>644.11355263321309</v>
      </c>
      <c r="C32" s="402">
        <v>339.15108503829242</v>
      </c>
      <c r="D32" s="402">
        <v>304.96246759491567</v>
      </c>
      <c r="E32" s="402"/>
      <c r="F32" s="402">
        <v>478.64064420726959</v>
      </c>
      <c r="G32" s="402">
        <v>227.01241982401729</v>
      </c>
      <c r="H32" s="402">
        <v>251.62822438324804</v>
      </c>
    </row>
    <row r="33" spans="1:8">
      <c r="A33" s="403" t="s">
        <v>161</v>
      </c>
      <c r="B33" s="404">
        <v>2836.28770310238</v>
      </c>
      <c r="C33" s="404">
        <v>1311.4753651279034</v>
      </c>
      <c r="D33" s="404">
        <v>1524.8123379745566</v>
      </c>
      <c r="E33" s="404"/>
      <c r="F33" s="404">
        <v>2192.1741504692154</v>
      </c>
      <c r="G33" s="404">
        <v>970.95673539189488</v>
      </c>
      <c r="H33" s="404">
        <v>1221.2174150773963</v>
      </c>
    </row>
    <row r="34" spans="1:8">
      <c r="A34" s="406" t="s">
        <v>161</v>
      </c>
      <c r="B34" s="402">
        <v>2305.6803603812168</v>
      </c>
      <c r="C34" s="402">
        <v>1055.7445066514665</v>
      </c>
      <c r="D34" s="402">
        <v>1249.9358537298303</v>
      </c>
      <c r="E34" s="402"/>
      <c r="F34" s="402">
        <v>1831.1423502671869</v>
      </c>
      <c r="G34" s="402">
        <v>801.38119287274617</v>
      </c>
      <c r="H34" s="402">
        <v>1029.7611573945023</v>
      </c>
    </row>
    <row r="35" spans="1:8">
      <c r="A35" s="406" t="s">
        <v>162</v>
      </c>
      <c r="B35" s="402">
        <v>530.60734272120226</v>
      </c>
      <c r="C35" s="402">
        <v>255.73085847645316</v>
      </c>
      <c r="D35" s="402">
        <v>274.87648424474412</v>
      </c>
      <c r="E35" s="402"/>
      <c r="F35" s="402">
        <v>361.03180020205355</v>
      </c>
      <c r="G35" s="402">
        <v>169.57554251914553</v>
      </c>
      <c r="H35" s="402">
        <v>191.4562576829062</v>
      </c>
    </row>
    <row r="36" spans="1:8">
      <c r="A36" s="403" t="s">
        <v>163</v>
      </c>
      <c r="B36" s="404">
        <v>1966.5292753429476</v>
      </c>
      <c r="C36" s="404">
        <v>987.36727176471572</v>
      </c>
      <c r="D36" s="404">
        <v>979.1620035783053</v>
      </c>
      <c r="E36" s="404"/>
      <c r="F36" s="404">
        <v>1373.0148765259764</v>
      </c>
      <c r="G36" s="404">
        <v>627.70301626039225</v>
      </c>
      <c r="H36" s="404">
        <v>745.31186026560829</v>
      </c>
    </row>
    <row r="37" spans="1:8">
      <c r="A37" s="406" t="s">
        <v>163</v>
      </c>
      <c r="B37" s="402">
        <v>1423.6140303421698</v>
      </c>
      <c r="C37" s="402">
        <v>728.90132389278745</v>
      </c>
      <c r="D37" s="402">
        <v>694.71270644941069</v>
      </c>
      <c r="E37" s="402"/>
      <c r="F37" s="402">
        <v>1042.0690596741169</v>
      </c>
      <c r="G37" s="402">
        <v>493.68363588235536</v>
      </c>
      <c r="H37" s="402">
        <v>548.38542379175817</v>
      </c>
    </row>
    <row r="38" spans="1:8" ht="15.75" thickBot="1">
      <c r="A38" s="407" t="s">
        <v>164</v>
      </c>
      <c r="B38" s="405">
        <v>542.91524500081789</v>
      </c>
      <c r="C38" s="405">
        <v>258.46594787192328</v>
      </c>
      <c r="D38" s="405">
        <v>284.44929712888961</v>
      </c>
      <c r="E38" s="405"/>
      <c r="F38" s="405">
        <v>330.945816851882</v>
      </c>
      <c r="G38" s="405">
        <v>134.01938037803444</v>
      </c>
      <c r="H38" s="405">
        <v>196.92643647384637</v>
      </c>
    </row>
  </sheetData>
  <mergeCells count="4">
    <mergeCell ref="A1:H2"/>
    <mergeCell ref="B3:D3"/>
    <mergeCell ref="F3:H3"/>
    <mergeCell ref="A3:A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7"/>
  <sheetViews>
    <sheetView workbookViewId="0">
      <selection activeCell="F9" sqref="F9"/>
    </sheetView>
  </sheetViews>
  <sheetFormatPr defaultRowHeight="15"/>
  <cols>
    <col min="1" max="1" width="16.42578125" style="26" customWidth="1"/>
    <col min="2" max="2" width="10.85546875" style="26" customWidth="1"/>
    <col min="3" max="3" width="6" style="26" customWidth="1"/>
    <col min="4" max="6" width="9.140625" style="26"/>
    <col min="7" max="7" width="3.5703125" style="26" customWidth="1"/>
    <col min="8" max="10" width="9.140625" style="26"/>
    <col min="11" max="11" width="3.7109375" style="26" customWidth="1"/>
    <col min="12" max="16384" width="9.140625" style="26"/>
  </cols>
  <sheetData>
    <row r="1" spans="1:14" ht="15.75" thickBot="1">
      <c r="A1" s="1037" t="s">
        <v>583</v>
      </c>
      <c r="B1" s="1037"/>
      <c r="C1" s="1037"/>
      <c r="D1" s="1037"/>
      <c r="E1" s="1037"/>
      <c r="F1" s="1037"/>
      <c r="G1" s="1037"/>
      <c r="H1" s="1037"/>
      <c r="I1" s="1037"/>
      <c r="J1" s="1037"/>
      <c r="K1" s="1037"/>
      <c r="L1" s="1037"/>
      <c r="M1" s="1037"/>
      <c r="N1" s="1037"/>
    </row>
    <row r="2" spans="1:14" ht="18" customHeight="1">
      <c r="A2" s="1051" t="s">
        <v>538</v>
      </c>
      <c r="B2" s="1051" t="s">
        <v>288</v>
      </c>
      <c r="C2" s="408"/>
      <c r="D2" s="1039" t="s">
        <v>289</v>
      </c>
      <c r="E2" s="1039"/>
      <c r="F2" s="1039"/>
      <c r="G2" s="340"/>
      <c r="H2" s="1040" t="s">
        <v>279</v>
      </c>
      <c r="I2" s="1040"/>
      <c r="J2" s="1040"/>
      <c r="K2" s="361"/>
      <c r="L2" s="1040" t="s">
        <v>280</v>
      </c>
      <c r="M2" s="1040"/>
      <c r="N2" s="1040"/>
    </row>
    <row r="3" spans="1:14" ht="21.75" customHeight="1">
      <c r="A3" s="1052"/>
      <c r="B3" s="1052"/>
      <c r="C3" s="409"/>
      <c r="D3" s="410" t="s">
        <v>0</v>
      </c>
      <c r="E3" s="410" t="s">
        <v>1</v>
      </c>
      <c r="F3" s="410" t="s">
        <v>2</v>
      </c>
      <c r="G3" s="410"/>
      <c r="H3" s="410" t="s">
        <v>0</v>
      </c>
      <c r="I3" s="410" t="s">
        <v>1</v>
      </c>
      <c r="J3" s="410" t="s">
        <v>2</v>
      </c>
      <c r="K3" s="410"/>
      <c r="L3" s="410" t="s">
        <v>0</v>
      </c>
      <c r="M3" s="410" t="s">
        <v>1</v>
      </c>
      <c r="N3" s="410" t="s">
        <v>2</v>
      </c>
    </row>
    <row r="4" spans="1:14">
      <c r="A4" s="411" t="s">
        <v>147</v>
      </c>
      <c r="B4" s="412">
        <v>481926.57062953117</v>
      </c>
      <c r="C4" s="412"/>
      <c r="D4" s="412">
        <v>186934.98695171738</v>
      </c>
      <c r="E4" s="412">
        <v>94814.02814115338</v>
      </c>
      <c r="F4" s="412">
        <v>92120.958810645912</v>
      </c>
      <c r="G4" s="412"/>
      <c r="H4" s="412">
        <v>143257.38701768761</v>
      </c>
      <c r="I4" s="412">
        <v>75126.472543342359</v>
      </c>
      <c r="J4" s="412">
        <v>68130.914474451434</v>
      </c>
      <c r="K4" s="412"/>
      <c r="L4" s="412">
        <v>151734.19665959978</v>
      </c>
      <c r="M4" s="412">
        <v>64660.475899966856</v>
      </c>
      <c r="N4" s="412">
        <v>87073.720759764794</v>
      </c>
    </row>
    <row r="5" spans="1:14">
      <c r="A5" s="413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</row>
    <row r="6" spans="1:14" ht="15.75" customHeight="1">
      <c r="A6" s="411" t="s">
        <v>273</v>
      </c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</row>
    <row r="7" spans="1:14">
      <c r="A7" s="413" t="s">
        <v>106</v>
      </c>
      <c r="B7" s="414">
        <v>77358.652393984274</v>
      </c>
      <c r="C7" s="414"/>
      <c r="D7" s="414">
        <v>40541.141317262613</v>
      </c>
      <c r="E7" s="414">
        <v>19885.229117408242</v>
      </c>
      <c r="F7" s="414">
        <v>20655.91219987542</v>
      </c>
      <c r="G7" s="414"/>
      <c r="H7" s="414">
        <v>4241.4329364946243</v>
      </c>
      <c r="I7" s="414">
        <v>2085.9286902192366</v>
      </c>
      <c r="J7" s="414">
        <v>2155.5042462753013</v>
      </c>
      <c r="K7" s="414"/>
      <c r="L7" s="414">
        <v>32576.078140326961</v>
      </c>
      <c r="M7" s="414">
        <v>16211.104561062981</v>
      </c>
      <c r="N7" s="414">
        <v>16364.973579263893</v>
      </c>
    </row>
    <row r="8" spans="1:14">
      <c r="A8" s="413" t="s">
        <v>107</v>
      </c>
      <c r="B8" s="414">
        <v>74833.862504033561</v>
      </c>
      <c r="C8" s="414"/>
      <c r="D8" s="414">
        <v>49679.623006909336</v>
      </c>
      <c r="E8" s="414">
        <v>24380.880431800113</v>
      </c>
      <c r="F8" s="414">
        <v>25298.74257515512</v>
      </c>
      <c r="G8" s="414"/>
      <c r="H8" s="414">
        <v>5539.2846552327537</v>
      </c>
      <c r="I8" s="414">
        <v>2649.2230959808371</v>
      </c>
      <c r="J8" s="414">
        <v>2890.0615592518302</v>
      </c>
      <c r="K8" s="414"/>
      <c r="L8" s="414">
        <v>19614.954841959683</v>
      </c>
      <c r="M8" s="414">
        <v>9699.100112507851</v>
      </c>
      <c r="N8" s="414">
        <v>9915.8547294517448</v>
      </c>
    </row>
    <row r="9" spans="1:14">
      <c r="A9" s="413" t="s">
        <v>108</v>
      </c>
      <c r="B9" s="414">
        <v>68151.590011647597</v>
      </c>
      <c r="C9" s="414"/>
      <c r="D9" s="414">
        <v>40802.06360164193</v>
      </c>
      <c r="E9" s="414">
        <v>21019.162004194892</v>
      </c>
      <c r="F9" s="414">
        <v>19782.901597441669</v>
      </c>
      <c r="G9" s="414"/>
      <c r="H9" s="414">
        <v>11379.339429854774</v>
      </c>
      <c r="I9" s="414">
        <v>4711.1914836970054</v>
      </c>
      <c r="J9" s="414">
        <v>6668.1479461557283</v>
      </c>
      <c r="K9" s="414"/>
      <c r="L9" s="414">
        <v>15970.186980154076</v>
      </c>
      <c r="M9" s="414">
        <v>7104.3947047331794</v>
      </c>
      <c r="N9" s="414">
        <v>8865.7922754162519</v>
      </c>
    </row>
    <row r="10" spans="1:14">
      <c r="A10" s="413" t="s">
        <v>109</v>
      </c>
      <c r="B10" s="414">
        <v>57676.075597855015</v>
      </c>
      <c r="C10" s="414"/>
      <c r="D10" s="414">
        <v>20269.284633709838</v>
      </c>
      <c r="E10" s="414">
        <v>10713.826558577104</v>
      </c>
      <c r="F10" s="414">
        <v>9555.4580751327321</v>
      </c>
      <c r="G10" s="414"/>
      <c r="H10" s="414">
        <v>21532.959342920287</v>
      </c>
      <c r="I10" s="414">
        <v>9711.2535872273675</v>
      </c>
      <c r="J10" s="414">
        <v>11821.705755694511</v>
      </c>
      <c r="K10" s="414"/>
      <c r="L10" s="414">
        <v>15873.831621192943</v>
      </c>
      <c r="M10" s="414">
        <v>6885.296103956056</v>
      </c>
      <c r="N10" s="414">
        <v>8988.5355172328091</v>
      </c>
    </row>
    <row r="11" spans="1:14">
      <c r="A11" s="413" t="s">
        <v>110</v>
      </c>
      <c r="B11" s="414">
        <v>47321.444247700361</v>
      </c>
      <c r="C11" s="414"/>
      <c r="D11" s="414">
        <v>10493.116249776371</v>
      </c>
      <c r="E11" s="414">
        <v>5386.4855755650924</v>
      </c>
      <c r="F11" s="414">
        <v>5106.6306742100905</v>
      </c>
      <c r="G11" s="414"/>
      <c r="H11" s="414">
        <v>24472.878358183865</v>
      </c>
      <c r="I11" s="414">
        <v>12066.93943213977</v>
      </c>
      <c r="J11" s="414">
        <v>12405.938926049394</v>
      </c>
      <c r="K11" s="414"/>
      <c r="L11" s="414">
        <v>12355.449639722428</v>
      </c>
      <c r="M11" s="414">
        <v>5162.8901646886734</v>
      </c>
      <c r="N11" s="414">
        <v>7192.559475031393</v>
      </c>
    </row>
    <row r="12" spans="1:14">
      <c r="A12" s="413" t="s">
        <v>111</v>
      </c>
      <c r="B12" s="414">
        <v>39678.401975059925</v>
      </c>
      <c r="C12" s="414"/>
      <c r="D12" s="414">
        <v>6438.5454895196663</v>
      </c>
      <c r="E12" s="414">
        <v>3491.8724529858559</v>
      </c>
      <c r="F12" s="414">
        <v>2946.6730365345297</v>
      </c>
      <c r="G12" s="414"/>
      <c r="H12" s="414">
        <v>22106.538243255662</v>
      </c>
      <c r="I12" s="414">
        <v>11534.285008891955</v>
      </c>
      <c r="J12" s="414">
        <v>10572.253234359814</v>
      </c>
      <c r="K12" s="414"/>
      <c r="L12" s="414">
        <v>11133.318242295351</v>
      </c>
      <c r="M12" s="414">
        <v>4527.4628789435301</v>
      </c>
      <c r="N12" s="414">
        <v>6605.8553633512374</v>
      </c>
    </row>
    <row r="13" spans="1:14">
      <c r="A13" s="413" t="s">
        <v>112</v>
      </c>
      <c r="B13" s="414">
        <v>28947.492825873269</v>
      </c>
      <c r="C13" s="414"/>
      <c r="D13" s="414">
        <v>4083.2263173907336</v>
      </c>
      <c r="E13" s="414">
        <v>2163.489747822704</v>
      </c>
      <c r="F13" s="414">
        <v>1919.7365695680105</v>
      </c>
      <c r="G13" s="414"/>
      <c r="H13" s="414">
        <v>16044.43996985448</v>
      </c>
      <c r="I13" s="414">
        <v>8863.096333579324</v>
      </c>
      <c r="J13" s="414">
        <v>7181.3436362719003</v>
      </c>
      <c r="K13" s="414"/>
      <c r="L13" s="414">
        <v>8819.8265386228559</v>
      </c>
      <c r="M13" s="414">
        <v>3139.9447873400263</v>
      </c>
      <c r="N13" s="414">
        <v>5679.8817512834039</v>
      </c>
    </row>
    <row r="14" spans="1:14">
      <c r="A14" s="413" t="s">
        <v>113</v>
      </c>
      <c r="B14" s="414">
        <v>20505.555829866342</v>
      </c>
      <c r="C14" s="414"/>
      <c r="D14" s="414">
        <v>2842.825528639039</v>
      </c>
      <c r="E14" s="414">
        <v>1520.212129470081</v>
      </c>
      <c r="F14" s="414">
        <v>1322.6133991689389</v>
      </c>
      <c r="G14" s="414"/>
      <c r="H14" s="414">
        <v>10407.828013525235</v>
      </c>
      <c r="I14" s="414">
        <v>6083.7331708768515</v>
      </c>
      <c r="J14" s="414">
        <v>4324.0948426482582</v>
      </c>
      <c r="K14" s="414"/>
      <c r="L14" s="414">
        <v>7254.9022876978497</v>
      </c>
      <c r="M14" s="414">
        <v>2688.4965932943514</v>
      </c>
      <c r="N14" s="414">
        <v>4566.4056944043268</v>
      </c>
    </row>
    <row r="15" spans="1:14">
      <c r="A15" s="413" t="s">
        <v>114</v>
      </c>
      <c r="B15" s="414">
        <v>17433.015874855428</v>
      </c>
      <c r="C15" s="414"/>
      <c r="D15" s="414">
        <v>2358.5678453396094</v>
      </c>
      <c r="E15" s="414">
        <v>1261.3949280897934</v>
      </c>
      <c r="F15" s="414">
        <v>1097.172917249821</v>
      </c>
      <c r="G15" s="414"/>
      <c r="H15" s="414">
        <v>8750.4849051896726</v>
      </c>
      <c r="I15" s="414">
        <v>5100.7922849694714</v>
      </c>
      <c r="J15" s="414">
        <v>3649.6926202193927</v>
      </c>
      <c r="K15" s="414"/>
      <c r="L15" s="414">
        <v>6323.963124329659</v>
      </c>
      <c r="M15" s="414">
        <v>2129.223312959648</v>
      </c>
      <c r="N15" s="414">
        <v>4194.7398113693325</v>
      </c>
    </row>
    <row r="16" spans="1:14">
      <c r="A16" s="413" t="s">
        <v>115</v>
      </c>
      <c r="B16" s="414">
        <v>13286.410101147454</v>
      </c>
      <c r="C16" s="414"/>
      <c r="D16" s="414">
        <v>1857.4075708796934</v>
      </c>
      <c r="E16" s="414">
        <v>1009.3990838698356</v>
      </c>
      <c r="F16" s="414">
        <v>848.00848700986273</v>
      </c>
      <c r="G16" s="414"/>
      <c r="H16" s="414">
        <v>6401.8270087796709</v>
      </c>
      <c r="I16" s="414">
        <v>3989.4622978193356</v>
      </c>
      <c r="J16" s="414">
        <v>2412.3647109596004</v>
      </c>
      <c r="K16" s="414"/>
      <c r="L16" s="414">
        <v>5027.1755214894602</v>
      </c>
      <c r="M16" s="414">
        <v>1704.511215959719</v>
      </c>
      <c r="N16" s="414">
        <v>3322.6643055294476</v>
      </c>
    </row>
    <row r="17" spans="1:14">
      <c r="A17" s="413" t="s">
        <v>116</v>
      </c>
      <c r="B17" s="414">
        <v>9791.0295428391637</v>
      </c>
      <c r="C17" s="414"/>
      <c r="D17" s="414">
        <v>1548.7834470597452</v>
      </c>
      <c r="E17" s="414">
        <v>821.11005419986725</v>
      </c>
      <c r="F17" s="414">
        <v>727.67339285988294</v>
      </c>
      <c r="G17" s="414"/>
      <c r="H17" s="414">
        <v>4490.6225722793779</v>
      </c>
      <c r="I17" s="414">
        <v>2861.1438267895251</v>
      </c>
      <c r="J17" s="414">
        <v>1629.4787454897316</v>
      </c>
      <c r="K17" s="414"/>
      <c r="L17" s="414">
        <v>3751.6235234993756</v>
      </c>
      <c r="M17" s="414">
        <v>1136.8127129698144</v>
      </c>
      <c r="N17" s="414">
        <v>2614.8108105295664</v>
      </c>
    </row>
    <row r="18" spans="1:14">
      <c r="A18" s="413" t="s">
        <v>117</v>
      </c>
      <c r="B18" s="414">
        <v>9228.9938678094386</v>
      </c>
      <c r="C18" s="414"/>
      <c r="D18" s="414">
        <v>1480.8295115397566</v>
      </c>
      <c r="E18" s="414">
        <v>812.61581225986868</v>
      </c>
      <c r="F18" s="414">
        <v>668.21369927989292</v>
      </c>
      <c r="G18" s="414"/>
      <c r="H18" s="414">
        <v>3598.7271685794012</v>
      </c>
      <c r="I18" s="414">
        <v>2389.7133991196042</v>
      </c>
      <c r="J18" s="414">
        <v>1209.0137694598022</v>
      </c>
      <c r="K18" s="414"/>
      <c r="L18" s="414">
        <v>4149.4371876893256</v>
      </c>
      <c r="M18" s="414">
        <v>1247.2378581897958</v>
      </c>
      <c r="N18" s="414">
        <v>2902.1993294995182</v>
      </c>
    </row>
    <row r="19" spans="1:14">
      <c r="A19" s="413" t="s">
        <v>136</v>
      </c>
      <c r="B19" s="414">
        <v>17714.045856792225</v>
      </c>
      <c r="C19" s="414"/>
      <c r="D19" s="414">
        <v>4539.5724322938559</v>
      </c>
      <c r="E19" s="414">
        <v>2348.3502450255737</v>
      </c>
      <c r="F19" s="414">
        <v>2191.2221872684058</v>
      </c>
      <c r="G19" s="414"/>
      <c r="H19" s="414">
        <v>4291.0244136597112</v>
      </c>
      <c r="I19" s="414">
        <v>3079.7099320407551</v>
      </c>
      <c r="J19" s="414">
        <v>1211.3144816190256</v>
      </c>
      <c r="K19" s="414"/>
      <c r="L19" s="414">
        <v>8883.449010836579</v>
      </c>
      <c r="M19" s="414">
        <v>3024.0008933813956</v>
      </c>
      <c r="N19" s="414">
        <v>5859.4481174544862</v>
      </c>
    </row>
    <row r="20" spans="1:14">
      <c r="A20" s="415" t="s">
        <v>4</v>
      </c>
      <c r="B20" s="416">
        <v>332135.61304063356</v>
      </c>
      <c r="C20" s="416"/>
      <c r="D20" s="416">
        <v>147080.10476785366</v>
      </c>
      <c r="E20" s="416">
        <v>73492.837723641191</v>
      </c>
      <c r="F20" s="416">
        <v>73587.267044356049</v>
      </c>
      <c r="G20" s="416"/>
      <c r="H20" s="416">
        <v>112411.14910824726</v>
      </c>
      <c r="I20" s="416">
        <v>56916.942520385113</v>
      </c>
      <c r="J20" s="416">
        <v>55494.206587915382</v>
      </c>
      <c r="K20" s="416"/>
      <c r="L20" s="416">
        <v>72644.359164578113</v>
      </c>
      <c r="M20" s="416">
        <v>29316.784864407266</v>
      </c>
      <c r="N20" s="416">
        <v>43327.574300200045</v>
      </c>
    </row>
    <row r="21" spans="1:14">
      <c r="A21" s="417" t="s">
        <v>106</v>
      </c>
      <c r="B21" s="414">
        <v>53256.074186473859</v>
      </c>
      <c r="C21" s="414"/>
      <c r="D21" s="414">
        <v>33202.258144830361</v>
      </c>
      <c r="E21" s="414">
        <v>16255.25827932933</v>
      </c>
      <c r="F21" s="414">
        <v>16946.999865502126</v>
      </c>
      <c r="G21" s="414"/>
      <c r="H21" s="414">
        <v>2924.8493372798625</v>
      </c>
      <c r="I21" s="414">
        <v>1445.0307796258719</v>
      </c>
      <c r="J21" s="414">
        <v>1479.8185576539042</v>
      </c>
      <c r="K21" s="414"/>
      <c r="L21" s="414">
        <v>17128.966704417988</v>
      </c>
      <c r="M21" s="414">
        <v>8567.1593351341835</v>
      </c>
      <c r="N21" s="414">
        <v>8561.807369283717</v>
      </c>
    </row>
    <row r="22" spans="1:14">
      <c r="A22" s="417" t="s">
        <v>107</v>
      </c>
      <c r="B22" s="414">
        <v>52830.592901362928</v>
      </c>
      <c r="C22" s="414"/>
      <c r="D22" s="414">
        <v>40337.766614945438</v>
      </c>
      <c r="E22" s="414">
        <v>19640.376679749399</v>
      </c>
      <c r="F22" s="414">
        <v>20697.389935216535</v>
      </c>
      <c r="G22" s="414"/>
      <c r="H22" s="414">
        <v>3870.8093013498187</v>
      </c>
      <c r="I22" s="414">
        <v>1827.6963379342276</v>
      </c>
      <c r="J22" s="414">
        <v>2043.1129634155047</v>
      </c>
      <c r="K22" s="414"/>
      <c r="L22" s="414">
        <v>8622.0169851014653</v>
      </c>
      <c r="M22" s="414">
        <v>4159.81545727501</v>
      </c>
      <c r="N22" s="414">
        <v>4462.201527826368</v>
      </c>
    </row>
    <row r="23" spans="1:14">
      <c r="A23" s="417" t="s">
        <v>108</v>
      </c>
      <c r="B23" s="414">
        <v>48080.136482992209</v>
      </c>
      <c r="C23" s="414"/>
      <c r="D23" s="414">
        <v>33567.752150619199</v>
      </c>
      <c r="E23" s="414">
        <v>16879.604204148425</v>
      </c>
      <c r="F23" s="414">
        <v>16688.147946465404</v>
      </c>
      <c r="G23" s="414"/>
      <c r="H23" s="414">
        <v>7949.5373279333826</v>
      </c>
      <c r="I23" s="414">
        <v>3179.5414222338541</v>
      </c>
      <c r="J23" s="414">
        <v>4769.9959056996086</v>
      </c>
      <c r="K23" s="414"/>
      <c r="L23" s="414">
        <v>6562.8470044301366</v>
      </c>
      <c r="M23" s="414">
        <v>2911.5026614778026</v>
      </c>
      <c r="N23" s="414">
        <v>3651.3443429524141</v>
      </c>
    </row>
    <row r="24" spans="1:14">
      <c r="A24" s="417" t="s">
        <v>109</v>
      </c>
      <c r="B24" s="414">
        <v>39054.184249408871</v>
      </c>
      <c r="C24" s="414"/>
      <c r="D24" s="414">
        <v>16224.371523405873</v>
      </c>
      <c r="E24" s="414">
        <v>8424.4980614087126</v>
      </c>
      <c r="F24" s="414">
        <v>7799.8734619925053</v>
      </c>
      <c r="G24" s="414"/>
      <c r="H24" s="414">
        <v>16352.758565780156</v>
      </c>
      <c r="I24" s="414">
        <v>6987.717227647835</v>
      </c>
      <c r="J24" s="414">
        <v>9365.0413381281778</v>
      </c>
      <c r="K24" s="414"/>
      <c r="L24" s="414">
        <v>6477.0541602268522</v>
      </c>
      <c r="M24" s="414">
        <v>2704.7831960859762</v>
      </c>
      <c r="N24" s="414">
        <v>3772.2709641411379</v>
      </c>
    </row>
    <row r="25" spans="1:14">
      <c r="A25" s="417" t="s">
        <v>110</v>
      </c>
      <c r="B25" s="414">
        <v>33278.209893596773</v>
      </c>
      <c r="C25" s="414"/>
      <c r="D25" s="414">
        <v>7815.7415234095415</v>
      </c>
      <c r="E25" s="414">
        <v>3864.5942305675303</v>
      </c>
      <c r="F25" s="414">
        <v>3951.1472928422731</v>
      </c>
      <c r="G25" s="414"/>
      <c r="H25" s="414">
        <v>19755.736464213354</v>
      </c>
      <c r="I25" s="414">
        <v>9207.8032749956292</v>
      </c>
      <c r="J25" s="414">
        <v>10547.933189217076</v>
      </c>
      <c r="K25" s="414"/>
      <c r="L25" s="414">
        <v>5706.7319059816409</v>
      </c>
      <c r="M25" s="414">
        <v>2233.0690066886277</v>
      </c>
      <c r="N25" s="414">
        <v>3473.6628992932751</v>
      </c>
    </row>
    <row r="26" spans="1:14">
      <c r="A26" s="417" t="s">
        <v>111</v>
      </c>
      <c r="B26" s="414">
        <v>28092.193212233749</v>
      </c>
      <c r="C26" s="414"/>
      <c r="D26" s="414">
        <v>4530.3475319406261</v>
      </c>
      <c r="E26" s="414">
        <v>2349.5498661354582</v>
      </c>
      <c r="F26" s="414">
        <v>2180.7976658052858</v>
      </c>
      <c r="G26" s="414"/>
      <c r="H26" s="414">
        <v>18046.389149840405</v>
      </c>
      <c r="I26" s="414">
        <v>8992.9057184487283</v>
      </c>
      <c r="J26" s="414">
        <v>9053.4834313877836</v>
      </c>
      <c r="K26" s="414"/>
      <c r="L26" s="414">
        <v>5515.4565304489288</v>
      </c>
      <c r="M26" s="414">
        <v>2038.007342448986</v>
      </c>
      <c r="N26" s="414">
        <v>3477.4491880003711</v>
      </c>
    </row>
    <row r="27" spans="1:14">
      <c r="A27" s="417" t="s">
        <v>112</v>
      </c>
      <c r="B27" s="414">
        <v>20584.883787286533</v>
      </c>
      <c r="C27" s="414"/>
      <c r="D27" s="414">
        <v>2860.1334466216208</v>
      </c>
      <c r="E27" s="414">
        <v>1502.9042114874992</v>
      </c>
      <c r="F27" s="414">
        <v>1357.2292351341025</v>
      </c>
      <c r="G27" s="414"/>
      <c r="H27" s="414">
        <v>13218.922359197113</v>
      </c>
      <c r="I27" s="414">
        <v>7070.2844958837022</v>
      </c>
      <c r="J27" s="414">
        <v>6148.6378633115128</v>
      </c>
      <c r="K27" s="414"/>
      <c r="L27" s="414">
        <v>4505.8279814653097</v>
      </c>
      <c r="M27" s="414">
        <v>1425.0185805658812</v>
      </c>
      <c r="N27" s="414">
        <v>3080.8094008995386</v>
      </c>
    </row>
    <row r="28" spans="1:14">
      <c r="A28" s="417" t="s">
        <v>113</v>
      </c>
      <c r="B28" s="414">
        <v>13981.913076929501</v>
      </c>
      <c r="C28" s="414"/>
      <c r="D28" s="414">
        <v>1849.0625711391349</v>
      </c>
      <c r="E28" s="414">
        <v>989.4359780042397</v>
      </c>
      <c r="F28" s="414">
        <v>859.62659313487632</v>
      </c>
      <c r="G28" s="414"/>
      <c r="H28" s="414">
        <v>8555.8807893884004</v>
      </c>
      <c r="I28" s="414">
        <v>4860.6403001081244</v>
      </c>
      <c r="J28" s="414">
        <v>3695.2404892811919</v>
      </c>
      <c r="K28" s="414"/>
      <c r="L28" s="414">
        <v>3576.9697164002164</v>
      </c>
      <c r="M28" s="414">
        <v>1178.3807493140907</v>
      </c>
      <c r="N28" s="414">
        <v>2398.5889670861065</v>
      </c>
    </row>
    <row r="29" spans="1:14">
      <c r="A29" s="417" t="s">
        <v>114</v>
      </c>
      <c r="B29" s="414">
        <v>11816.906245528173</v>
      </c>
      <c r="C29" s="414"/>
      <c r="D29" s="414">
        <v>1459.5939066897602</v>
      </c>
      <c r="E29" s="414">
        <v>794.21162138987177</v>
      </c>
      <c r="F29" s="414">
        <v>665.3822852998934</v>
      </c>
      <c r="G29" s="414"/>
      <c r="H29" s="414">
        <v>7118.1747457197807</v>
      </c>
      <c r="I29" s="414">
        <v>4065.9104752793228</v>
      </c>
      <c r="J29" s="414">
        <v>3052.264270439493</v>
      </c>
      <c r="K29" s="414"/>
      <c r="L29" s="414">
        <v>3239.1375931194616</v>
      </c>
      <c r="M29" s="414">
        <v>999.4891349398373</v>
      </c>
      <c r="N29" s="414">
        <v>2239.6484581796294</v>
      </c>
    </row>
    <row r="30" spans="1:14">
      <c r="A30" s="417" t="s">
        <v>115</v>
      </c>
      <c r="B30" s="414">
        <v>8652.8011228797204</v>
      </c>
      <c r="C30" s="414"/>
      <c r="D30" s="414">
        <v>1109.9142801598189</v>
      </c>
      <c r="E30" s="414">
        <v>621.49536860990077</v>
      </c>
      <c r="F30" s="414">
        <v>488.41891154992305</v>
      </c>
      <c r="G30" s="414"/>
      <c r="H30" s="414">
        <v>5141.8477876794777</v>
      </c>
      <c r="I30" s="414">
        <v>3117.386791979482</v>
      </c>
      <c r="J30" s="414">
        <v>2024.4609956996653</v>
      </c>
      <c r="K30" s="414"/>
      <c r="L30" s="414">
        <v>2401.0390550396023</v>
      </c>
      <c r="M30" s="414">
        <v>746.07758372987985</v>
      </c>
      <c r="N30" s="414">
        <v>1654.9614713097274</v>
      </c>
    </row>
    <row r="31" spans="1:14">
      <c r="A31" s="417" t="s">
        <v>116</v>
      </c>
      <c r="B31" s="414">
        <v>6396.16418081967</v>
      </c>
      <c r="C31" s="414"/>
      <c r="D31" s="414">
        <v>947.10797630984609</v>
      </c>
      <c r="E31" s="414">
        <v>502.57598144992068</v>
      </c>
      <c r="F31" s="414">
        <v>444.53199485993042</v>
      </c>
      <c r="G31" s="414"/>
      <c r="H31" s="414">
        <v>3580.3229777094043</v>
      </c>
      <c r="I31" s="414">
        <v>2232.5699232296306</v>
      </c>
      <c r="J31" s="414">
        <v>1347.7530544797789</v>
      </c>
      <c r="K31" s="414"/>
      <c r="L31" s="414">
        <v>1868.7332267996915</v>
      </c>
      <c r="M31" s="414">
        <v>465.76759970992686</v>
      </c>
      <c r="N31" s="414">
        <v>1402.9656270897697</v>
      </c>
    </row>
    <row r="32" spans="1:14">
      <c r="A32" s="417" t="s">
        <v>117</v>
      </c>
      <c r="B32" s="414">
        <v>5853.9484036495869</v>
      </c>
      <c r="C32" s="414"/>
      <c r="D32" s="414">
        <v>881.98545476985703</v>
      </c>
      <c r="E32" s="414">
        <v>485.58749756992353</v>
      </c>
      <c r="F32" s="414">
        <v>396.3979571999385</v>
      </c>
      <c r="G32" s="414"/>
      <c r="H32" s="414">
        <v>2774.7857003995396</v>
      </c>
      <c r="I32" s="414">
        <v>1766.8023235197086</v>
      </c>
      <c r="J32" s="414">
        <v>1007.9833768798359</v>
      </c>
      <c r="K32" s="414"/>
      <c r="L32" s="414">
        <v>2197.1772484796365</v>
      </c>
      <c r="M32" s="414">
        <v>552.12572609991241</v>
      </c>
      <c r="N32" s="414">
        <v>1645.051522379729</v>
      </c>
    </row>
    <row r="33" spans="1:14">
      <c r="A33" s="417" t="s">
        <v>136</v>
      </c>
      <c r="B33" s="414">
        <v>10257.605297767885</v>
      </c>
      <c r="C33" s="414"/>
      <c r="D33" s="414">
        <v>2294.0696432549157</v>
      </c>
      <c r="E33" s="414">
        <v>1182.7457438449906</v>
      </c>
      <c r="F33" s="414">
        <v>1111.3238994099029</v>
      </c>
      <c r="G33" s="414"/>
      <c r="H33" s="414">
        <v>3121.1346018130994</v>
      </c>
      <c r="I33" s="414">
        <v>2162.6534494943753</v>
      </c>
      <c r="J33" s="414">
        <v>958.48115231882036</v>
      </c>
      <c r="K33" s="414"/>
      <c r="L33" s="414">
        <v>4842.4010526986758</v>
      </c>
      <c r="M33" s="414">
        <v>1335.5884909360782</v>
      </c>
      <c r="N33" s="414">
        <v>3506.8125617625115</v>
      </c>
    </row>
    <row r="34" spans="1:14">
      <c r="A34" s="415" t="s">
        <v>5</v>
      </c>
      <c r="B34" s="416">
        <v>149790.95758842072</v>
      </c>
      <c r="C34" s="416"/>
      <c r="D34" s="416">
        <v>39854.882183904934</v>
      </c>
      <c r="E34" s="416">
        <v>21321.190417572077</v>
      </c>
      <c r="F34" s="416">
        <v>18533.691766340657</v>
      </c>
      <c r="G34" s="416"/>
      <c r="H34" s="416">
        <v>30846.237909507858</v>
      </c>
      <c r="I34" s="416">
        <v>18209.530022969575</v>
      </c>
      <c r="J34" s="416">
        <v>12636.707886540757</v>
      </c>
      <c r="K34" s="416"/>
      <c r="L34" s="416">
        <v>79089.837495153843</v>
      </c>
      <c r="M34" s="416">
        <v>35343.691035580741</v>
      </c>
      <c r="N34" s="416">
        <v>43746.14645960871</v>
      </c>
    </row>
    <row r="35" spans="1:14">
      <c r="A35" s="417" t="s">
        <v>106</v>
      </c>
      <c r="B35" s="414">
        <v>24102.578207575854</v>
      </c>
      <c r="C35" s="414"/>
      <c r="D35" s="414">
        <v>7338.8831724521187</v>
      </c>
      <c r="E35" s="414">
        <v>3629.9708380788256</v>
      </c>
      <c r="F35" s="414">
        <v>3708.9123343732067</v>
      </c>
      <c r="G35" s="414"/>
      <c r="H35" s="414">
        <v>1316.5835992146756</v>
      </c>
      <c r="I35" s="414">
        <v>640.89791059331083</v>
      </c>
      <c r="J35" s="414">
        <v>675.6856886213402</v>
      </c>
      <c r="K35" s="414"/>
      <c r="L35" s="414">
        <v>15447.111435908886</v>
      </c>
      <c r="M35" s="414">
        <v>7643.94522592871</v>
      </c>
      <c r="N35" s="414">
        <v>7803.1662099800888</v>
      </c>
    </row>
    <row r="36" spans="1:14">
      <c r="A36" s="417" t="s">
        <v>107</v>
      </c>
      <c r="B36" s="414">
        <v>22003.269602730365</v>
      </c>
      <c r="C36" s="414"/>
      <c r="D36" s="414">
        <v>9341.8563919892113</v>
      </c>
      <c r="E36" s="414">
        <v>4740.5037520506266</v>
      </c>
      <c r="F36" s="414">
        <v>4601.3526399384973</v>
      </c>
      <c r="G36" s="414"/>
      <c r="H36" s="414">
        <v>1668.4753538828488</v>
      </c>
      <c r="I36" s="414">
        <v>821.52675804654029</v>
      </c>
      <c r="J36" s="414">
        <v>846.94859583625407</v>
      </c>
      <c r="K36" s="414"/>
      <c r="L36" s="414">
        <v>10992.937856858131</v>
      </c>
      <c r="M36" s="414">
        <v>5539.2846552327537</v>
      </c>
      <c r="N36" s="414">
        <v>5453.6532016252895</v>
      </c>
    </row>
    <row r="37" spans="1:14">
      <c r="A37" s="417" t="s">
        <v>108</v>
      </c>
      <c r="B37" s="414">
        <v>20071.453528663937</v>
      </c>
      <c r="C37" s="414"/>
      <c r="D37" s="414">
        <v>7234.3114510180003</v>
      </c>
      <c r="E37" s="414">
        <v>4139.5578000437936</v>
      </c>
      <c r="F37" s="414">
        <v>3094.7536509742868</v>
      </c>
      <c r="G37" s="414"/>
      <c r="H37" s="414">
        <v>3429.8021019193511</v>
      </c>
      <c r="I37" s="414">
        <v>1531.6500614632314</v>
      </c>
      <c r="J37" s="414">
        <v>1898.1520404561998</v>
      </c>
      <c r="K37" s="414"/>
      <c r="L37" s="414">
        <v>9407.3399757196548</v>
      </c>
      <c r="M37" s="414">
        <v>4192.8920432554569</v>
      </c>
      <c r="N37" s="414">
        <v>5214.4479324634694</v>
      </c>
    </row>
    <row r="38" spans="1:14">
      <c r="A38" s="417" t="s">
        <v>109</v>
      </c>
      <c r="B38" s="414">
        <v>18621.891348414938</v>
      </c>
      <c r="C38" s="414"/>
      <c r="D38" s="414">
        <v>4044.9131103065779</v>
      </c>
      <c r="E38" s="414">
        <v>2289.3284971672106</v>
      </c>
      <c r="F38" s="414">
        <v>1755.5846131395836</v>
      </c>
      <c r="G38" s="414"/>
      <c r="H38" s="414">
        <v>5180.200777143622</v>
      </c>
      <c r="I38" s="414">
        <v>2723.5363595788372</v>
      </c>
      <c r="J38" s="414">
        <v>2456.6644175650467</v>
      </c>
      <c r="K38" s="414"/>
      <c r="L38" s="414">
        <v>9396.7774609622702</v>
      </c>
      <c r="M38" s="414">
        <v>4180.5129078703421</v>
      </c>
      <c r="N38" s="414">
        <v>5216.2645530914315</v>
      </c>
    </row>
    <row r="39" spans="1:14">
      <c r="A39" s="417" t="s">
        <v>110</v>
      </c>
      <c r="B39" s="414">
        <v>14043.234354080978</v>
      </c>
      <c r="C39" s="414"/>
      <c r="D39" s="414">
        <v>2677.374726365641</v>
      </c>
      <c r="E39" s="414">
        <v>1521.891344997741</v>
      </c>
      <c r="F39" s="414">
        <v>1155.4833813679386</v>
      </c>
      <c r="G39" s="414"/>
      <c r="H39" s="414">
        <v>4717.1418939737478</v>
      </c>
      <c r="I39" s="414">
        <v>2859.136157142601</v>
      </c>
      <c r="J39" s="414">
        <v>1858.0057368313787</v>
      </c>
      <c r="K39" s="414"/>
      <c r="L39" s="414">
        <v>6648.7177337384255</v>
      </c>
      <c r="M39" s="414">
        <v>2929.8211580003076</v>
      </c>
      <c r="N39" s="414">
        <v>3718.8965757383799</v>
      </c>
    </row>
    <row r="40" spans="1:14">
      <c r="A40" s="417" t="s">
        <v>111</v>
      </c>
      <c r="B40" s="414">
        <v>11586.208762839717</v>
      </c>
      <c r="C40" s="414"/>
      <c r="D40" s="414">
        <v>1908.1979575796227</v>
      </c>
      <c r="E40" s="414">
        <v>1142.3225868503787</v>
      </c>
      <c r="F40" s="414">
        <v>765.87537072922498</v>
      </c>
      <c r="G40" s="414"/>
      <c r="H40" s="414">
        <v>4060.1490934139579</v>
      </c>
      <c r="I40" s="414">
        <v>2541.3792904424063</v>
      </c>
      <c r="J40" s="414">
        <v>1518.7698029715325</v>
      </c>
      <c r="K40" s="414"/>
      <c r="L40" s="414">
        <v>5617.8617118458387</v>
      </c>
      <c r="M40" s="414">
        <v>2489.4555364946609</v>
      </c>
      <c r="N40" s="414">
        <v>3128.4061753516385</v>
      </c>
    </row>
    <row r="41" spans="1:14">
      <c r="A41" s="417" t="s">
        <v>112</v>
      </c>
      <c r="B41" s="414">
        <v>8362.6090385828429</v>
      </c>
      <c r="C41" s="414"/>
      <c r="D41" s="414">
        <v>1223.0928707690937</v>
      </c>
      <c r="E41" s="414">
        <v>660.58553633518579</v>
      </c>
      <c r="F41" s="414">
        <v>562.50733443388901</v>
      </c>
      <c r="G41" s="414"/>
      <c r="H41" s="414">
        <v>2825.5176106564572</v>
      </c>
      <c r="I41" s="414">
        <v>1792.8118376957441</v>
      </c>
      <c r="J41" s="414">
        <v>1032.705772960694</v>
      </c>
      <c r="K41" s="414"/>
      <c r="L41" s="414">
        <v>4313.998557158422</v>
      </c>
      <c r="M41" s="414">
        <v>1714.9262067741261</v>
      </c>
      <c r="N41" s="414">
        <v>2599.0723503843456</v>
      </c>
    </row>
    <row r="42" spans="1:14">
      <c r="A42" s="417" t="s">
        <v>113</v>
      </c>
      <c r="B42" s="414">
        <v>6523.6427529339999</v>
      </c>
      <c r="C42" s="414"/>
      <c r="D42" s="414">
        <v>993.76295749988515</v>
      </c>
      <c r="E42" s="414">
        <v>530.77615146582241</v>
      </c>
      <c r="F42" s="414">
        <v>462.98680603404569</v>
      </c>
      <c r="G42" s="414"/>
      <c r="H42" s="414">
        <v>1851.9472241362319</v>
      </c>
      <c r="I42" s="414">
        <v>1223.0928707690937</v>
      </c>
      <c r="J42" s="414">
        <v>628.85435336711919</v>
      </c>
      <c r="K42" s="414"/>
      <c r="L42" s="414">
        <v>3677.9325712986101</v>
      </c>
      <c r="M42" s="414">
        <v>1510.1158439802416</v>
      </c>
      <c r="N42" s="414">
        <v>2167.8167273183494</v>
      </c>
    </row>
    <row r="43" spans="1:14">
      <c r="A43" s="417" t="s">
        <v>114</v>
      </c>
      <c r="B43" s="414">
        <v>5616.1096293295504</v>
      </c>
      <c r="C43" s="414"/>
      <c r="D43" s="414">
        <v>898.97393864985418</v>
      </c>
      <c r="E43" s="414">
        <v>467.18330669992662</v>
      </c>
      <c r="F43" s="414">
        <v>431.79063194993256</v>
      </c>
      <c r="G43" s="414"/>
      <c r="H43" s="414">
        <v>1632.3101594697312</v>
      </c>
      <c r="I43" s="414">
        <v>1034.8818096898315</v>
      </c>
      <c r="J43" s="414">
        <v>597.42834977990481</v>
      </c>
      <c r="K43" s="414"/>
      <c r="L43" s="414">
        <v>3084.8255312094875</v>
      </c>
      <c r="M43" s="414">
        <v>1129.7341780198155</v>
      </c>
      <c r="N43" s="414">
        <v>1955.091353189677</v>
      </c>
    </row>
    <row r="44" spans="1:14">
      <c r="A44" s="417" t="s">
        <v>115</v>
      </c>
      <c r="B44" s="414">
        <v>4633.6089782693998</v>
      </c>
      <c r="C44" s="414"/>
      <c r="D44" s="414">
        <v>747.49329071987961</v>
      </c>
      <c r="E44" s="414">
        <v>387.90371525993993</v>
      </c>
      <c r="F44" s="414">
        <v>359.58957545994468</v>
      </c>
      <c r="G44" s="414"/>
      <c r="H44" s="414">
        <v>1259.9792210997937</v>
      </c>
      <c r="I44" s="414">
        <v>872.07550583985869</v>
      </c>
      <c r="J44" s="414">
        <v>387.90371525993993</v>
      </c>
      <c r="K44" s="414"/>
      <c r="L44" s="414">
        <v>2626.1364664495645</v>
      </c>
      <c r="M44" s="414">
        <v>958.43363222984419</v>
      </c>
      <c r="N44" s="414">
        <v>1667.7028342197252</v>
      </c>
    </row>
    <row r="45" spans="1:14">
      <c r="A45" s="417" t="s">
        <v>116</v>
      </c>
      <c r="B45" s="414">
        <v>3394.8653620194355</v>
      </c>
      <c r="C45" s="414"/>
      <c r="D45" s="414">
        <v>601.67547074990409</v>
      </c>
      <c r="E45" s="414">
        <v>318.53407274995158</v>
      </c>
      <c r="F45" s="414">
        <v>283.14139799995752</v>
      </c>
      <c r="G45" s="414"/>
      <c r="H45" s="414">
        <v>910.29959456985227</v>
      </c>
      <c r="I45" s="414">
        <v>628.57390355989958</v>
      </c>
      <c r="J45" s="414">
        <v>281.72569100995776</v>
      </c>
      <c r="K45" s="414"/>
      <c r="L45" s="414">
        <v>1882.8902966996891</v>
      </c>
      <c r="M45" s="414">
        <v>671.04511325989245</v>
      </c>
      <c r="N45" s="414">
        <v>1211.8451834398018</v>
      </c>
    </row>
    <row r="46" spans="1:14">
      <c r="A46" s="417" t="s">
        <v>117</v>
      </c>
      <c r="B46" s="414">
        <v>3375.0454641594388</v>
      </c>
      <c r="C46" s="414"/>
      <c r="D46" s="414">
        <v>598.84405676990457</v>
      </c>
      <c r="E46" s="414">
        <v>327.02831468995015</v>
      </c>
      <c r="F46" s="414">
        <v>271.81574207995942</v>
      </c>
      <c r="G46" s="414"/>
      <c r="H46" s="414">
        <v>823.94146817986677</v>
      </c>
      <c r="I46" s="414">
        <v>622.91107559990053</v>
      </c>
      <c r="J46" s="414">
        <v>201.0303925799702</v>
      </c>
      <c r="K46" s="414"/>
      <c r="L46" s="414">
        <v>1952.2599392096774</v>
      </c>
      <c r="M46" s="414">
        <v>695.11213208988841</v>
      </c>
      <c r="N46" s="414">
        <v>1257.1478071197942</v>
      </c>
    </row>
    <row r="47" spans="1:14" ht="15.75" thickBot="1">
      <c r="A47" s="418" t="s">
        <v>136</v>
      </c>
      <c r="B47" s="419">
        <v>7456.4405590233009</v>
      </c>
      <c r="C47" s="419"/>
      <c r="D47" s="419">
        <v>2245.5027890390638</v>
      </c>
      <c r="E47" s="419">
        <v>1165.6045011805695</v>
      </c>
      <c r="F47" s="419">
        <v>1079.8982878584643</v>
      </c>
      <c r="G47" s="419"/>
      <c r="H47" s="419">
        <v>1169.8898118466748</v>
      </c>
      <c r="I47" s="419">
        <v>917.05648254647281</v>
      </c>
      <c r="J47" s="419">
        <v>252.83332930020001</v>
      </c>
      <c r="K47" s="419"/>
      <c r="L47" s="419">
        <v>4041.0479581368822</v>
      </c>
      <c r="M47" s="419">
        <v>1688.4124024454113</v>
      </c>
      <c r="N47" s="419">
        <v>2352.6355556916783</v>
      </c>
    </row>
  </sheetData>
  <mergeCells count="6">
    <mergeCell ref="A1:N1"/>
    <mergeCell ref="B2:B3"/>
    <mergeCell ref="D2:F2"/>
    <mergeCell ref="H2:J2"/>
    <mergeCell ref="L2:N2"/>
    <mergeCell ref="A2:A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"/>
  <sheetViews>
    <sheetView workbookViewId="0">
      <selection activeCell="A9" sqref="A9"/>
    </sheetView>
  </sheetViews>
  <sheetFormatPr defaultRowHeight="15"/>
  <cols>
    <col min="1" max="1" width="19" style="26" customWidth="1"/>
    <col min="2" max="4" width="9.140625" style="26"/>
    <col min="5" max="5" width="5.5703125" style="26" customWidth="1"/>
    <col min="6" max="16384" width="9.140625" style="26"/>
  </cols>
  <sheetData>
    <row r="1" spans="1:8" ht="27.75" customHeight="1" thickBot="1">
      <c r="A1" s="1046" t="s">
        <v>584</v>
      </c>
      <c r="B1" s="1046"/>
      <c r="C1" s="1046"/>
      <c r="D1" s="1046"/>
      <c r="E1" s="1046"/>
      <c r="F1" s="1046"/>
      <c r="G1" s="1046"/>
      <c r="H1" s="1046"/>
    </row>
    <row r="2" spans="1:8" ht="23.25" customHeight="1">
      <c r="A2" s="1054" t="s">
        <v>144</v>
      </c>
      <c r="B2" s="1053" t="s">
        <v>290</v>
      </c>
      <c r="C2" s="1053"/>
      <c r="D2" s="1053"/>
      <c r="E2" s="420"/>
      <c r="F2" s="1039" t="s">
        <v>291</v>
      </c>
      <c r="G2" s="1039"/>
      <c r="H2" s="1039"/>
    </row>
    <row r="3" spans="1:8">
      <c r="A3" s="1055"/>
      <c r="B3" s="362" t="s">
        <v>0</v>
      </c>
      <c r="C3" s="362" t="s">
        <v>1</v>
      </c>
      <c r="D3" s="362" t="s">
        <v>2</v>
      </c>
      <c r="E3" s="362"/>
      <c r="F3" s="362" t="s">
        <v>0</v>
      </c>
      <c r="G3" s="362" t="s">
        <v>1</v>
      </c>
      <c r="H3" s="362" t="s">
        <v>2</v>
      </c>
    </row>
    <row r="4" spans="1:8">
      <c r="A4" s="421" t="s">
        <v>147</v>
      </c>
      <c r="B4" s="422">
        <v>208012.95437009574</v>
      </c>
      <c r="C4" s="422">
        <v>101886.28517162969</v>
      </c>
      <c r="D4" s="422">
        <v>106126.66919841243</v>
      </c>
      <c r="E4" s="422"/>
      <c r="F4" s="422">
        <v>83185.103925167219</v>
      </c>
      <c r="G4" s="422">
        <v>39940.557770265499</v>
      </c>
      <c r="H4" s="422">
        <v>43244.546154988624</v>
      </c>
    </row>
    <row r="5" spans="1:8">
      <c r="A5" s="423"/>
      <c r="B5" s="424"/>
      <c r="C5" s="424"/>
      <c r="D5" s="424"/>
      <c r="E5" s="424"/>
      <c r="F5" s="424"/>
      <c r="G5" s="424"/>
      <c r="H5" s="424"/>
    </row>
    <row r="6" spans="1:8" ht="16.5" customHeight="1">
      <c r="A6" s="421" t="s">
        <v>3</v>
      </c>
      <c r="B6" s="422"/>
      <c r="C6" s="422"/>
      <c r="D6" s="422"/>
      <c r="E6" s="422"/>
      <c r="F6" s="422"/>
      <c r="G6" s="422"/>
      <c r="H6" s="422"/>
    </row>
    <row r="7" spans="1:8">
      <c r="A7" s="423" t="s">
        <v>4</v>
      </c>
      <c r="B7" s="424">
        <v>145608.70885221212</v>
      </c>
      <c r="C7" s="424">
        <v>70859.079192467645</v>
      </c>
      <c r="D7" s="424">
        <v>74749.629659865197</v>
      </c>
      <c r="E7" s="424"/>
      <c r="F7" s="424">
        <v>43586.830672947683</v>
      </c>
      <c r="G7" s="424">
        <v>20740.979377018615</v>
      </c>
      <c r="H7" s="424">
        <v>22845.85129594964</v>
      </c>
    </row>
    <row r="8" spans="1:8">
      <c r="A8" s="423" t="s">
        <v>5</v>
      </c>
      <c r="B8" s="424">
        <v>62404.24551786056</v>
      </c>
      <c r="C8" s="424">
        <v>31027.205979266459</v>
      </c>
      <c r="D8" s="424">
        <v>31377.03953865296</v>
      </c>
      <c r="E8" s="424"/>
      <c r="F8" s="424">
        <v>39598.273252306273</v>
      </c>
      <c r="G8" s="424">
        <v>19199.578393260665</v>
      </c>
      <c r="H8" s="424">
        <v>20398.69485905836</v>
      </c>
    </row>
    <row r="9" spans="1:8" ht="16.5" customHeight="1">
      <c r="A9" s="1184" t="s">
        <v>593</v>
      </c>
      <c r="B9" s="422"/>
      <c r="C9" s="422"/>
      <c r="D9" s="422"/>
      <c r="E9" s="422"/>
      <c r="F9" s="422"/>
      <c r="G9" s="422"/>
      <c r="H9" s="422"/>
    </row>
    <row r="10" spans="1:8">
      <c r="A10" s="425" t="s">
        <v>148</v>
      </c>
      <c r="B10" s="426">
        <v>141360.15398105769</v>
      </c>
      <c r="C10" s="426">
        <v>68814.190599656868</v>
      </c>
      <c r="D10" s="426">
        <v>72545.963381530397</v>
      </c>
      <c r="E10" s="426"/>
      <c r="F10" s="426">
        <v>43491.492001751518</v>
      </c>
      <c r="G10" s="426">
        <v>20606.559612819437</v>
      </c>
      <c r="H10" s="426">
        <v>22884.932388952238</v>
      </c>
    </row>
    <row r="11" spans="1:8">
      <c r="A11" s="428" t="s">
        <v>148</v>
      </c>
      <c r="B11" s="424">
        <v>141360.15398105769</v>
      </c>
      <c r="C11" s="424">
        <v>68814.190599656868</v>
      </c>
      <c r="D11" s="424">
        <v>72545.963381530397</v>
      </c>
      <c r="E11" s="424"/>
      <c r="F11" s="424">
        <v>43491.492001751518</v>
      </c>
      <c r="G11" s="424">
        <v>20606.559612819437</v>
      </c>
      <c r="H11" s="424">
        <v>22884.932388952238</v>
      </c>
    </row>
    <row r="12" spans="1:8">
      <c r="A12" s="425" t="s">
        <v>149</v>
      </c>
      <c r="B12" s="426">
        <v>10418.411246752683</v>
      </c>
      <c r="C12" s="426">
        <v>5143.2598496513965</v>
      </c>
      <c r="D12" s="426">
        <v>5275.1513971008981</v>
      </c>
      <c r="E12" s="426"/>
      <c r="F12" s="426">
        <v>5848.9347660353105</v>
      </c>
      <c r="G12" s="426">
        <v>2785.6387236976848</v>
      </c>
      <c r="H12" s="426">
        <v>3063.296042337588</v>
      </c>
    </row>
    <row r="13" spans="1:8">
      <c r="A13" s="428" t="s">
        <v>149</v>
      </c>
      <c r="B13" s="424">
        <v>10418.411246752683</v>
      </c>
      <c r="C13" s="424">
        <v>5143.2598496513965</v>
      </c>
      <c r="D13" s="424">
        <v>5275.1513971008981</v>
      </c>
      <c r="E13" s="424"/>
      <c r="F13" s="424">
        <v>5848.9347660353105</v>
      </c>
      <c r="G13" s="424">
        <v>2785.6387236976848</v>
      </c>
      <c r="H13" s="424">
        <v>3063.296042337588</v>
      </c>
    </row>
    <row r="14" spans="1:8">
      <c r="A14" s="425" t="s">
        <v>150</v>
      </c>
      <c r="B14" s="426">
        <v>4587.9962229595376</v>
      </c>
      <c r="C14" s="426">
        <v>2262.7957859303492</v>
      </c>
      <c r="D14" s="426">
        <v>2325.2004370291475</v>
      </c>
      <c r="E14" s="426"/>
      <c r="F14" s="426">
        <v>1572.0241909282183</v>
      </c>
      <c r="G14" s="426">
        <v>777.70339095477209</v>
      </c>
      <c r="H14" s="426">
        <v>794.3207999734226</v>
      </c>
    </row>
    <row r="15" spans="1:8">
      <c r="A15" s="428" t="s">
        <v>150</v>
      </c>
      <c r="B15" s="424">
        <v>4587.9962229595376</v>
      </c>
      <c r="C15" s="424">
        <v>2262.7957859303492</v>
      </c>
      <c r="D15" s="424">
        <v>2325.2004370291475</v>
      </c>
      <c r="E15" s="424"/>
      <c r="F15" s="424">
        <v>1572.0241909282183</v>
      </c>
      <c r="G15" s="424">
        <v>777.70339095477209</v>
      </c>
      <c r="H15" s="424">
        <v>794.3207999734226</v>
      </c>
    </row>
    <row r="16" spans="1:8">
      <c r="A16" s="425" t="s">
        <v>151</v>
      </c>
      <c r="B16" s="426">
        <v>9420.4821488744547</v>
      </c>
      <c r="C16" s="426">
        <v>4730.1188503480826</v>
      </c>
      <c r="D16" s="426">
        <v>4690.3632985261247</v>
      </c>
      <c r="E16" s="426"/>
      <c r="F16" s="426">
        <v>4081.7277795051982</v>
      </c>
      <c r="G16" s="426">
        <v>2137.8091643220446</v>
      </c>
      <c r="H16" s="426">
        <v>1943.9186151831116</v>
      </c>
    </row>
    <row r="17" spans="1:8">
      <c r="A17" s="428" t="s">
        <v>151</v>
      </c>
      <c r="B17" s="424">
        <v>9420.4821488744547</v>
      </c>
      <c r="C17" s="424">
        <v>4730.1188503480826</v>
      </c>
      <c r="D17" s="424">
        <v>4690.3632985261247</v>
      </c>
      <c r="E17" s="424"/>
      <c r="F17" s="424">
        <v>4081.7277795051982</v>
      </c>
      <c r="G17" s="424">
        <v>2137.8091643220446</v>
      </c>
      <c r="H17" s="424">
        <v>1943.9186151831116</v>
      </c>
    </row>
    <row r="18" spans="1:8">
      <c r="A18" s="425" t="s">
        <v>152</v>
      </c>
      <c r="B18" s="426">
        <v>3207.5922476543446</v>
      </c>
      <c r="C18" s="426">
        <v>1549.8183901781508</v>
      </c>
      <c r="D18" s="426">
        <v>1657.7738574761511</v>
      </c>
      <c r="E18" s="426"/>
      <c r="F18" s="426">
        <v>1615.1730992005325</v>
      </c>
      <c r="G18" s="426">
        <v>777.02366654704554</v>
      </c>
      <c r="H18" s="426">
        <v>838.14943265346392</v>
      </c>
    </row>
    <row r="19" spans="1:8">
      <c r="A19" s="428" t="s">
        <v>152</v>
      </c>
      <c r="B19" s="424">
        <v>2371.1058920497667</v>
      </c>
      <c r="C19" s="424">
        <v>1124.8852550627832</v>
      </c>
      <c r="D19" s="424">
        <v>1246.2206369869459</v>
      </c>
      <c r="E19" s="424"/>
      <c r="F19" s="424">
        <v>1218.7515300917712</v>
      </c>
      <c r="G19" s="424">
        <v>572.85102688113443</v>
      </c>
      <c r="H19" s="424">
        <v>645.90050321062711</v>
      </c>
    </row>
    <row r="20" spans="1:8">
      <c r="A20" s="428" t="s">
        <v>153</v>
      </c>
      <c r="B20" s="424">
        <v>836.48635560454318</v>
      </c>
      <c r="C20" s="424">
        <v>424.93313511535354</v>
      </c>
      <c r="D20" s="424">
        <v>411.55322048918845</v>
      </c>
      <c r="E20" s="424"/>
      <c r="F20" s="424">
        <v>396.42156910874724</v>
      </c>
      <c r="G20" s="424">
        <v>204.17263966591074</v>
      </c>
      <c r="H20" s="424">
        <v>192.24892944283621</v>
      </c>
    </row>
    <row r="21" spans="1:8">
      <c r="A21" s="425" t="s">
        <v>154</v>
      </c>
      <c r="B21" s="426">
        <v>915.51651160427321</v>
      </c>
      <c r="C21" s="426">
        <v>486.48074239571315</v>
      </c>
      <c r="D21" s="426">
        <v>429.03576920855858</v>
      </c>
      <c r="E21" s="426"/>
      <c r="F21" s="426">
        <v>670.43574394678399</v>
      </c>
      <c r="G21" s="426">
        <v>346.41347999492092</v>
      </c>
      <c r="H21" s="426">
        <v>324.02226395186256</v>
      </c>
    </row>
    <row r="22" spans="1:8">
      <c r="A22" s="428" t="s">
        <v>154</v>
      </c>
      <c r="B22" s="424">
        <v>637.07461708672668</v>
      </c>
      <c r="C22" s="424">
        <v>338.56285062993294</v>
      </c>
      <c r="D22" s="424">
        <v>298.511766456793</v>
      </c>
      <c r="E22" s="424"/>
      <c r="F22" s="424">
        <v>534.55977534455246</v>
      </c>
      <c r="G22" s="424">
        <v>277.76217010981907</v>
      </c>
      <c r="H22" s="424">
        <v>256.79760523473277</v>
      </c>
    </row>
    <row r="23" spans="1:8">
      <c r="A23" s="428" t="s">
        <v>155</v>
      </c>
      <c r="B23" s="424">
        <v>278.44189451754534</v>
      </c>
      <c r="C23" s="424">
        <v>147.91789176578007</v>
      </c>
      <c r="D23" s="424">
        <v>130.52400275176538</v>
      </c>
      <c r="E23" s="424"/>
      <c r="F23" s="424">
        <v>135.87596860223144</v>
      </c>
      <c r="G23" s="424">
        <v>68.651309885101909</v>
      </c>
      <c r="H23" s="424">
        <v>67.224658717129813</v>
      </c>
    </row>
    <row r="24" spans="1:8">
      <c r="A24" s="425" t="s">
        <v>156</v>
      </c>
      <c r="B24" s="426">
        <v>6532.108349317984</v>
      </c>
      <c r="C24" s="426">
        <v>3294.3252668434839</v>
      </c>
      <c r="D24" s="426">
        <v>3237.7830824744574</v>
      </c>
      <c r="E24" s="426"/>
      <c r="F24" s="426">
        <v>3103.9248297425615</v>
      </c>
      <c r="G24" s="426">
        <v>1520.7748659394142</v>
      </c>
      <c r="H24" s="426">
        <v>1583.149963803095</v>
      </c>
    </row>
    <row r="25" spans="1:8">
      <c r="A25" s="428" t="s">
        <v>156</v>
      </c>
      <c r="B25" s="424">
        <v>3888.0817521294989</v>
      </c>
      <c r="C25" s="424">
        <v>1976.059963521026</v>
      </c>
      <c r="D25" s="424">
        <v>1912.0217886084299</v>
      </c>
      <c r="E25" s="424"/>
      <c r="F25" s="424">
        <v>2247.2503892582567</v>
      </c>
      <c r="G25" s="424">
        <v>1108.001866928063</v>
      </c>
      <c r="H25" s="424">
        <v>1139.2485223301414</v>
      </c>
    </row>
    <row r="26" spans="1:8">
      <c r="A26" s="428" t="s">
        <v>157</v>
      </c>
      <c r="B26" s="424">
        <v>2644.0265971884405</v>
      </c>
      <c r="C26" s="424">
        <v>1318.265303322414</v>
      </c>
      <c r="D26" s="424">
        <v>1325.7612938659765</v>
      </c>
      <c r="E26" s="424"/>
      <c r="F26" s="424">
        <v>856.67444048426512</v>
      </c>
      <c r="G26" s="424">
        <v>412.77299901133091</v>
      </c>
      <c r="H26" s="424">
        <v>443.90144147293313</v>
      </c>
    </row>
    <row r="27" spans="1:8">
      <c r="A27" s="425" t="s">
        <v>158</v>
      </c>
      <c r="B27" s="426">
        <v>10095.963400144339</v>
      </c>
      <c r="C27" s="426">
        <v>5031.6746000220855</v>
      </c>
      <c r="D27" s="426">
        <v>5064.2888001218971</v>
      </c>
      <c r="E27" s="426"/>
      <c r="F27" s="426">
        <v>6953.801159746833</v>
      </c>
      <c r="G27" s="426">
        <v>3290.5181651014609</v>
      </c>
      <c r="H27" s="426">
        <v>3663.2829946453321</v>
      </c>
    </row>
    <row r="28" spans="1:8">
      <c r="A28" s="428" t="s">
        <v>158</v>
      </c>
      <c r="B28" s="424">
        <v>8836.3924017660811</v>
      </c>
      <c r="C28" s="424">
        <v>4359.0142675590987</v>
      </c>
      <c r="D28" s="424">
        <v>4477.3781342068478</v>
      </c>
      <c r="E28" s="424"/>
      <c r="F28" s="424">
        <v>6107.4760121420413</v>
      </c>
      <c r="G28" s="424">
        <v>2866.8343617433484</v>
      </c>
      <c r="H28" s="424">
        <v>3240.6416503986529</v>
      </c>
    </row>
    <row r="29" spans="1:8">
      <c r="A29" s="428" t="s">
        <v>159</v>
      </c>
      <c r="B29" s="424">
        <v>1259.5709983779943</v>
      </c>
      <c r="C29" s="424">
        <v>672.66033246295717</v>
      </c>
      <c r="D29" s="424">
        <v>586.91066591502567</v>
      </c>
      <c r="E29" s="424"/>
      <c r="F29" s="424">
        <v>846.32514760475544</v>
      </c>
      <c r="G29" s="424">
        <v>423.68380335809275</v>
      </c>
      <c r="H29" s="424">
        <v>422.6413442466615</v>
      </c>
    </row>
    <row r="30" spans="1:8">
      <c r="A30" s="425" t="s">
        <v>160</v>
      </c>
      <c r="B30" s="426">
        <v>2685.8885245860938</v>
      </c>
      <c r="C30" s="426">
        <v>1350.672630776394</v>
      </c>
      <c r="D30" s="426">
        <v>1335.2158938096516</v>
      </c>
      <c r="E30" s="426"/>
      <c r="F30" s="426">
        <v>2015.9928347536952</v>
      </c>
      <c r="G30" s="426">
        <v>984.31558766496801</v>
      </c>
      <c r="H30" s="426">
        <v>1031.6772470886801</v>
      </c>
    </row>
    <row r="31" spans="1:8">
      <c r="A31" s="428" t="s">
        <v>160</v>
      </c>
      <c r="B31" s="424">
        <v>2685.8885245860938</v>
      </c>
      <c r="C31" s="424">
        <v>1350.672630776394</v>
      </c>
      <c r="D31" s="424">
        <v>1335.2158938096516</v>
      </c>
      <c r="E31" s="424"/>
      <c r="F31" s="424">
        <v>2015.9928347536952</v>
      </c>
      <c r="G31" s="424">
        <v>984.31558766496801</v>
      </c>
      <c r="H31" s="424">
        <v>1031.6772470886801</v>
      </c>
    </row>
    <row r="32" spans="1:8">
      <c r="A32" s="425" t="s">
        <v>161</v>
      </c>
      <c r="B32" s="426">
        <v>10892.334299517419</v>
      </c>
      <c r="C32" s="426">
        <v>5385.659368795411</v>
      </c>
      <c r="D32" s="426">
        <v>5506.6749307215214</v>
      </c>
      <c r="E32" s="426"/>
      <c r="F32" s="426">
        <v>8407.1444943233564</v>
      </c>
      <c r="G32" s="426">
        <v>4113.8986810782335</v>
      </c>
      <c r="H32" s="426">
        <v>4293.2458132450583</v>
      </c>
    </row>
    <row r="33" spans="1:8">
      <c r="A33" s="428" t="s">
        <v>161</v>
      </c>
      <c r="B33" s="424">
        <v>8857.8245528148127</v>
      </c>
      <c r="C33" s="424">
        <v>4320.443675435914</v>
      </c>
      <c r="D33" s="424">
        <v>4537.380877378765</v>
      </c>
      <c r="E33" s="424"/>
      <c r="F33" s="424">
        <v>6962.3396094018299</v>
      </c>
      <c r="G33" s="424">
        <v>3371.6627925591824</v>
      </c>
      <c r="H33" s="424">
        <v>3590.6768168426129</v>
      </c>
    </row>
    <row r="34" spans="1:8">
      <c r="A34" s="428" t="s">
        <v>162</v>
      </c>
      <c r="B34" s="424">
        <v>2034.5097467022065</v>
      </c>
      <c r="C34" s="424">
        <v>1065.2156933594513</v>
      </c>
      <c r="D34" s="424">
        <v>969.29405334271917</v>
      </c>
      <c r="E34" s="424"/>
      <c r="F34" s="424">
        <v>1444.8048849214524</v>
      </c>
      <c r="G34" s="424">
        <v>742.23588851901616</v>
      </c>
      <c r="H34" s="424">
        <v>702.56899640241716</v>
      </c>
    </row>
    <row r="35" spans="1:8">
      <c r="A35" s="425" t="s">
        <v>163</v>
      </c>
      <c r="B35" s="426">
        <v>7896.5074376597213</v>
      </c>
      <c r="C35" s="426">
        <v>3837.2890871380159</v>
      </c>
      <c r="D35" s="426">
        <v>4059.2183505216617</v>
      </c>
      <c r="E35" s="426"/>
      <c r="F35" s="426">
        <v>5424.453025329005</v>
      </c>
      <c r="G35" s="426">
        <v>2599.9024321572106</v>
      </c>
      <c r="H35" s="426">
        <v>2824.5505931717466</v>
      </c>
    </row>
    <row r="36" spans="1:8">
      <c r="A36" s="428" t="s">
        <v>163</v>
      </c>
      <c r="B36" s="424">
        <v>5607.5133339442436</v>
      </c>
      <c r="C36" s="424">
        <v>2757.2963812194994</v>
      </c>
      <c r="D36" s="424">
        <v>2850.2169527247006</v>
      </c>
      <c r="E36" s="424"/>
      <c r="F36" s="424">
        <v>4079.3096798137408</v>
      </c>
      <c r="G36" s="424">
        <v>1966.8122362231827</v>
      </c>
      <c r="H36" s="424">
        <v>2112.497443590511</v>
      </c>
    </row>
    <row r="37" spans="1:8" ht="15.75" thickBot="1">
      <c r="A37" s="429" t="s">
        <v>164</v>
      </c>
      <c r="B37" s="427">
        <v>2288.994103715429</v>
      </c>
      <c r="C37" s="427">
        <v>1079.9927059184706</v>
      </c>
      <c r="D37" s="427">
        <v>1209.0013977969131</v>
      </c>
      <c r="E37" s="427"/>
      <c r="F37" s="427">
        <v>1345.1433455152187</v>
      </c>
      <c r="G37" s="427">
        <v>633.0901959339958</v>
      </c>
      <c r="H37" s="427">
        <v>712.05314958120698</v>
      </c>
    </row>
  </sheetData>
  <mergeCells count="4">
    <mergeCell ref="A1:H1"/>
    <mergeCell ref="B2:D2"/>
    <mergeCell ref="F2:H2"/>
    <mergeCell ref="A2:A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39"/>
  <sheetViews>
    <sheetView workbookViewId="0">
      <selection activeCell="A11" sqref="A11"/>
    </sheetView>
  </sheetViews>
  <sheetFormatPr defaultRowHeight="15"/>
  <cols>
    <col min="1" max="1" width="18" style="26" customWidth="1"/>
    <col min="2" max="2" width="12.140625" style="26" customWidth="1"/>
    <col min="3" max="5" width="9.140625" style="26"/>
    <col min="6" max="6" width="3.28515625" style="26" customWidth="1"/>
    <col min="7" max="9" width="9.140625" style="26"/>
    <col min="10" max="10" width="3.5703125" style="26" customWidth="1"/>
    <col min="11" max="16384" width="9.140625" style="26"/>
  </cols>
  <sheetData>
    <row r="1" spans="1:13">
      <c r="A1" s="1056" t="s">
        <v>585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  <c r="M1" s="1056"/>
    </row>
    <row r="2" spans="1:13">
      <c r="A2" s="1057"/>
      <c r="B2" s="1057"/>
      <c r="C2" s="1057"/>
      <c r="D2" s="1057"/>
      <c r="E2" s="1057"/>
      <c r="F2" s="1057"/>
      <c r="G2" s="1057"/>
      <c r="H2" s="1057"/>
      <c r="I2" s="1057"/>
      <c r="J2" s="1057"/>
      <c r="K2" s="1057"/>
      <c r="L2" s="1057"/>
      <c r="M2" s="1057"/>
    </row>
    <row r="3" spans="1:13" ht="15.75" customHeight="1">
      <c r="A3" s="1060" t="s">
        <v>314</v>
      </c>
      <c r="B3" s="1060" t="s">
        <v>290</v>
      </c>
      <c r="C3" s="1059" t="s">
        <v>586</v>
      </c>
      <c r="D3" s="1059"/>
      <c r="E3" s="1059"/>
      <c r="F3" s="1059"/>
      <c r="G3" s="1059"/>
      <c r="H3" s="1059"/>
      <c r="I3" s="1059"/>
      <c r="J3" s="1059"/>
      <c r="K3" s="1059"/>
      <c r="L3" s="1059"/>
      <c r="M3" s="1059"/>
    </row>
    <row r="4" spans="1:13" ht="15.75" customHeight="1">
      <c r="A4" s="1061"/>
      <c r="B4" s="1061"/>
      <c r="C4" s="1031" t="s">
        <v>278</v>
      </c>
      <c r="D4" s="1031"/>
      <c r="E4" s="1031"/>
      <c r="F4" s="340"/>
      <c r="G4" s="1058" t="s">
        <v>279</v>
      </c>
      <c r="H4" s="1058"/>
      <c r="I4" s="1058"/>
      <c r="J4" s="361"/>
      <c r="K4" s="1058" t="s">
        <v>280</v>
      </c>
      <c r="L4" s="1058"/>
      <c r="M4" s="1058"/>
    </row>
    <row r="5" spans="1:13" ht="12.75" customHeight="1">
      <c r="A5" s="1061"/>
      <c r="B5" s="1061"/>
      <c r="C5" s="410" t="s">
        <v>0</v>
      </c>
      <c r="D5" s="410" t="s">
        <v>1</v>
      </c>
      <c r="E5" s="431" t="s">
        <v>2</v>
      </c>
      <c r="F5" s="430"/>
      <c r="G5" s="410" t="s">
        <v>0</v>
      </c>
      <c r="H5" s="410" t="s">
        <v>1</v>
      </c>
      <c r="I5" s="431" t="s">
        <v>2</v>
      </c>
      <c r="J5" s="430"/>
      <c r="K5" s="410" t="s">
        <v>0</v>
      </c>
      <c r="L5" s="410" t="s">
        <v>1</v>
      </c>
      <c r="M5" s="431" t="s">
        <v>2</v>
      </c>
    </row>
    <row r="6" spans="1:13">
      <c r="A6" s="432" t="s">
        <v>147</v>
      </c>
      <c r="B6" s="433">
        <v>208012.95437009574</v>
      </c>
      <c r="C6" s="433">
        <v>124827.85044487282</v>
      </c>
      <c r="D6" s="433">
        <v>61945.727401479598</v>
      </c>
      <c r="E6" s="433">
        <v>62882.123043544067</v>
      </c>
      <c r="F6" s="433"/>
      <c r="G6" s="433">
        <v>18062.568281213356</v>
      </c>
      <c r="H6" s="433">
        <v>8196.4074161674143</v>
      </c>
      <c r="I6" s="433">
        <v>9866.1608650435373</v>
      </c>
      <c r="J6" s="433"/>
      <c r="K6" s="433">
        <v>65122.535644007752</v>
      </c>
      <c r="L6" s="433">
        <v>31744.150354111272</v>
      </c>
      <c r="M6" s="433">
        <v>33378.385289962534</v>
      </c>
    </row>
    <row r="7" spans="1:13">
      <c r="A7" s="434"/>
      <c r="B7" s="435"/>
      <c r="C7" s="435"/>
      <c r="D7" s="435"/>
      <c r="E7" s="435"/>
      <c r="F7" s="435"/>
      <c r="G7" s="435"/>
      <c r="H7" s="435"/>
      <c r="I7" s="435"/>
      <c r="J7" s="435"/>
      <c r="K7" s="435"/>
      <c r="L7" s="435"/>
      <c r="M7" s="435"/>
    </row>
    <row r="8" spans="1:13" ht="13.5" customHeight="1">
      <c r="A8" s="432" t="s">
        <v>3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</row>
    <row r="9" spans="1:13">
      <c r="A9" s="434" t="s">
        <v>4</v>
      </c>
      <c r="B9" s="435">
        <v>145608.70885221212</v>
      </c>
      <c r="C9" s="435">
        <v>102021.87817935056</v>
      </c>
      <c r="D9" s="435">
        <v>50118.09981549644</v>
      </c>
      <c r="E9" s="435">
        <v>51903.778363971542</v>
      </c>
      <c r="F9" s="435"/>
      <c r="G9" s="435">
        <v>12536.611279722509</v>
      </c>
      <c r="H9" s="435">
        <v>5609.8610059893026</v>
      </c>
      <c r="I9" s="435">
        <v>6926.7502737318928</v>
      </c>
      <c r="J9" s="435"/>
      <c r="K9" s="435">
        <v>31050.219393245232</v>
      </c>
      <c r="L9" s="435">
        <v>15131.118371028226</v>
      </c>
      <c r="M9" s="435">
        <v>15919.101022216151</v>
      </c>
    </row>
    <row r="10" spans="1:13">
      <c r="A10" s="434" t="s">
        <v>5</v>
      </c>
      <c r="B10" s="435">
        <v>62404.24551786056</v>
      </c>
      <c r="C10" s="435">
        <v>22805.972265598921</v>
      </c>
      <c r="D10" s="435">
        <v>11827.627586004242</v>
      </c>
      <c r="E10" s="435">
        <v>10978.344679593167</v>
      </c>
      <c r="F10" s="435"/>
      <c r="G10" s="435">
        <v>5525.9570014892361</v>
      </c>
      <c r="H10" s="435">
        <v>2586.5464101780999</v>
      </c>
      <c r="I10" s="435">
        <v>2939.4105913111362</v>
      </c>
      <c r="J10" s="435"/>
      <c r="K10" s="435">
        <v>34072.316250827003</v>
      </c>
      <c r="L10" s="435">
        <v>16613.031983081983</v>
      </c>
      <c r="M10" s="435">
        <v>17459.284267746465</v>
      </c>
    </row>
    <row r="11" spans="1:13" ht="15" customHeight="1">
      <c r="A11" s="1184" t="s">
        <v>593</v>
      </c>
      <c r="B11" s="433"/>
      <c r="C11" s="433"/>
      <c r="D11" s="433"/>
      <c r="E11" s="433"/>
      <c r="F11" s="433"/>
      <c r="G11" s="433"/>
      <c r="H11" s="433"/>
      <c r="I11" s="433"/>
      <c r="J11" s="433"/>
      <c r="K11" s="433"/>
      <c r="L11" s="433"/>
      <c r="M11" s="433"/>
    </row>
    <row r="12" spans="1:13">
      <c r="A12" s="436" t="s">
        <v>148</v>
      </c>
      <c r="B12" s="437">
        <v>141360.15398105769</v>
      </c>
      <c r="C12" s="437">
        <v>97868.661979402401</v>
      </c>
      <c r="D12" s="437">
        <v>48207.630986882265</v>
      </c>
      <c r="E12" s="437">
        <v>49661.030992631757</v>
      </c>
      <c r="F12" s="437"/>
      <c r="G12" s="437">
        <v>12749.711826688292</v>
      </c>
      <c r="H12" s="437">
        <v>5714.9255218339486</v>
      </c>
      <c r="I12" s="437">
        <v>7034.7863048529589</v>
      </c>
      <c r="J12" s="437"/>
      <c r="K12" s="437">
        <v>30741.780175082611</v>
      </c>
      <c r="L12" s="437">
        <v>14891.634090984311</v>
      </c>
      <c r="M12" s="437">
        <v>15850.146084097514</v>
      </c>
    </row>
    <row r="13" spans="1:13">
      <c r="A13" s="439" t="s">
        <v>148</v>
      </c>
      <c r="B13" s="435">
        <v>141360.15398105769</v>
      </c>
      <c r="C13" s="435">
        <v>97868.661979402401</v>
      </c>
      <c r="D13" s="435">
        <v>48207.630986882265</v>
      </c>
      <c r="E13" s="435">
        <v>49661.030992631757</v>
      </c>
      <c r="F13" s="435"/>
      <c r="G13" s="435">
        <v>12749.711826688292</v>
      </c>
      <c r="H13" s="435">
        <v>5714.9255218339486</v>
      </c>
      <c r="I13" s="435">
        <v>7034.7863048529589</v>
      </c>
      <c r="J13" s="435"/>
      <c r="K13" s="435">
        <v>30741.780175082611</v>
      </c>
      <c r="L13" s="435">
        <v>14891.634090984311</v>
      </c>
      <c r="M13" s="435">
        <v>15850.146084097514</v>
      </c>
    </row>
    <row r="14" spans="1:13">
      <c r="A14" s="436" t="s">
        <v>149</v>
      </c>
      <c r="B14" s="437">
        <v>10418.411246752683</v>
      </c>
      <c r="C14" s="437">
        <v>4569.4764807169831</v>
      </c>
      <c r="D14" s="437">
        <v>2357.6211259536722</v>
      </c>
      <c r="E14" s="437">
        <v>2211.855354763276</v>
      </c>
      <c r="F14" s="437"/>
      <c r="G14" s="437">
        <v>878.05801623928346</v>
      </c>
      <c r="H14" s="437">
        <v>381.60690743232766</v>
      </c>
      <c r="I14" s="437">
        <v>496.45110880695398</v>
      </c>
      <c r="J14" s="437"/>
      <c r="K14" s="437">
        <v>4970.8767497960098</v>
      </c>
      <c r="L14" s="437">
        <v>2404.0318162653416</v>
      </c>
      <c r="M14" s="437">
        <v>2566.8449335306213</v>
      </c>
    </row>
    <row r="15" spans="1:13">
      <c r="A15" s="439" t="s">
        <v>149</v>
      </c>
      <c r="B15" s="435">
        <v>10418.411246752683</v>
      </c>
      <c r="C15" s="435">
        <v>4569.4764807169831</v>
      </c>
      <c r="D15" s="435">
        <v>2357.6211259536722</v>
      </c>
      <c r="E15" s="435">
        <v>2211.855354763276</v>
      </c>
      <c r="F15" s="435"/>
      <c r="G15" s="435">
        <v>878.05801623928346</v>
      </c>
      <c r="H15" s="435">
        <v>381.60690743232766</v>
      </c>
      <c r="I15" s="435">
        <v>496.45110880695398</v>
      </c>
      <c r="J15" s="435"/>
      <c r="K15" s="435">
        <v>4970.8767497960098</v>
      </c>
      <c r="L15" s="435">
        <v>2404.0318162653416</v>
      </c>
      <c r="M15" s="435">
        <v>2566.8449335306213</v>
      </c>
    </row>
    <row r="16" spans="1:13">
      <c r="A16" s="436" t="s">
        <v>150</v>
      </c>
      <c r="B16" s="437">
        <v>4587.9962229595376</v>
      </c>
      <c r="C16" s="437">
        <v>3015.9720320312767</v>
      </c>
      <c r="D16" s="437">
        <v>1485.0923949755436</v>
      </c>
      <c r="E16" s="437">
        <v>1530.8796370556922</v>
      </c>
      <c r="F16" s="437"/>
      <c r="G16" s="437">
        <v>320.94589720552352</v>
      </c>
      <c r="H16" s="437">
        <v>147.49605059183793</v>
      </c>
      <c r="I16" s="437">
        <v>173.4498466136852</v>
      </c>
      <c r="J16" s="437"/>
      <c r="K16" s="437">
        <v>1251.0782937226838</v>
      </c>
      <c r="L16" s="437">
        <v>630.20734036293334</v>
      </c>
      <c r="M16" s="437">
        <v>620.87095335973595</v>
      </c>
    </row>
    <row r="17" spans="1:13">
      <c r="A17" s="439" t="s">
        <v>150</v>
      </c>
      <c r="B17" s="435">
        <v>4587.9962229595376</v>
      </c>
      <c r="C17" s="435">
        <v>3015.9720320312767</v>
      </c>
      <c r="D17" s="435">
        <v>1485.0923949755436</v>
      </c>
      <c r="E17" s="435">
        <v>1530.8796370556922</v>
      </c>
      <c r="F17" s="435"/>
      <c r="G17" s="435">
        <v>320.94589720552352</v>
      </c>
      <c r="H17" s="435">
        <v>147.49605059183793</v>
      </c>
      <c r="I17" s="435">
        <v>173.4498466136852</v>
      </c>
      <c r="J17" s="435"/>
      <c r="K17" s="435">
        <v>1251.0782937226838</v>
      </c>
      <c r="L17" s="435">
        <v>630.20734036293334</v>
      </c>
      <c r="M17" s="435">
        <v>620.87095335973595</v>
      </c>
    </row>
    <row r="18" spans="1:13">
      <c r="A18" s="436" t="s">
        <v>151</v>
      </c>
      <c r="B18" s="437">
        <v>9420.4821488744547</v>
      </c>
      <c r="C18" s="437">
        <v>5338.7543693690086</v>
      </c>
      <c r="D18" s="437">
        <v>2592.3096860259971</v>
      </c>
      <c r="E18" s="437">
        <v>2746.4446833429693</v>
      </c>
      <c r="F18" s="437"/>
      <c r="G18" s="437">
        <v>820.37661717118056</v>
      </c>
      <c r="H18" s="437">
        <v>391.74123178372508</v>
      </c>
      <c r="I18" s="437">
        <v>428.6353853874532</v>
      </c>
      <c r="J18" s="437"/>
      <c r="K18" s="437">
        <v>3261.351162334</v>
      </c>
      <c r="L18" s="437">
        <v>1746.0679325383053</v>
      </c>
      <c r="M18" s="437">
        <v>1515.2832297956418</v>
      </c>
    </row>
    <row r="19" spans="1:13">
      <c r="A19" s="439" t="s">
        <v>151</v>
      </c>
      <c r="B19" s="435">
        <v>9420.4821488744547</v>
      </c>
      <c r="C19" s="435">
        <v>5338.7543693690086</v>
      </c>
      <c r="D19" s="435">
        <v>2592.3096860259971</v>
      </c>
      <c r="E19" s="435">
        <v>2746.4446833429693</v>
      </c>
      <c r="F19" s="435"/>
      <c r="G19" s="435">
        <v>820.37661717118056</v>
      </c>
      <c r="H19" s="435">
        <v>391.74123178372508</v>
      </c>
      <c r="I19" s="435">
        <v>428.6353853874532</v>
      </c>
      <c r="J19" s="435"/>
      <c r="K19" s="435">
        <v>3261.351162334</v>
      </c>
      <c r="L19" s="435">
        <v>1746.0679325383053</v>
      </c>
      <c r="M19" s="435">
        <v>1515.2832297956418</v>
      </c>
    </row>
    <row r="20" spans="1:13">
      <c r="A20" s="436" t="s">
        <v>152</v>
      </c>
      <c r="B20" s="437">
        <v>3207.5922476543446</v>
      </c>
      <c r="C20" s="437">
        <v>1592.4191484537696</v>
      </c>
      <c r="D20" s="437">
        <v>772.79472363108414</v>
      </c>
      <c r="E20" s="437">
        <v>819.62442482266238</v>
      </c>
      <c r="F20" s="437"/>
      <c r="G20" s="437">
        <v>381.37048155137933</v>
      </c>
      <c r="H20" s="437">
        <v>192.51490855890296</v>
      </c>
      <c r="I20" s="437">
        <v>188.85557299247574</v>
      </c>
      <c r="J20" s="437"/>
      <c r="K20" s="437">
        <v>1233.8026176491396</v>
      </c>
      <c r="L20" s="437">
        <v>584.50875798814207</v>
      </c>
      <c r="M20" s="437">
        <v>649.29385966098721</v>
      </c>
    </row>
    <row r="21" spans="1:13">
      <c r="A21" s="439" t="s">
        <v>152</v>
      </c>
      <c r="B21" s="435">
        <v>2371.1058920497667</v>
      </c>
      <c r="C21" s="435">
        <v>1152.3543619579596</v>
      </c>
      <c r="D21" s="435">
        <v>552.03422818164063</v>
      </c>
      <c r="E21" s="435">
        <v>600.3201337763096</v>
      </c>
      <c r="F21" s="435"/>
      <c r="G21" s="435">
        <v>291.07488238346463</v>
      </c>
      <c r="H21" s="435">
        <v>148.12476441160976</v>
      </c>
      <c r="I21" s="435">
        <v>142.95011797185487</v>
      </c>
      <c r="J21" s="435"/>
      <c r="K21" s="435">
        <v>927.67664770829629</v>
      </c>
      <c r="L21" s="435">
        <v>424.72626246952404</v>
      </c>
      <c r="M21" s="435">
        <v>502.95038523877133</v>
      </c>
    </row>
    <row r="22" spans="1:13">
      <c r="A22" s="439" t="s">
        <v>153</v>
      </c>
      <c r="B22" s="435">
        <v>836.48635560454318</v>
      </c>
      <c r="C22" s="435">
        <v>440.06478649579464</v>
      </c>
      <c r="D22" s="435">
        <v>220.7604954494424</v>
      </c>
      <c r="E22" s="435">
        <v>219.30429104635178</v>
      </c>
      <c r="F22" s="435"/>
      <c r="G22" s="435">
        <v>90.295599167914361</v>
      </c>
      <c r="H22" s="435">
        <v>44.390144147293384</v>
      </c>
      <c r="I22" s="435">
        <v>45.905455020621069</v>
      </c>
      <c r="J22" s="435"/>
      <c r="K22" s="435">
        <v>306.12596994083282</v>
      </c>
      <c r="L22" s="435">
        <v>159.78249551861754</v>
      </c>
      <c r="M22" s="435">
        <v>146.34347442221534</v>
      </c>
    </row>
    <row r="23" spans="1:13">
      <c r="A23" s="436" t="s">
        <v>154</v>
      </c>
      <c r="B23" s="437">
        <v>915.51651160427321</v>
      </c>
      <c r="C23" s="437">
        <v>245.08076765748788</v>
      </c>
      <c r="D23" s="437">
        <v>140.06726240079215</v>
      </c>
      <c r="E23" s="437">
        <v>105.01350525669604</v>
      </c>
      <c r="F23" s="437"/>
      <c r="G23" s="437">
        <v>58.33157024071064</v>
      </c>
      <c r="H23" s="437">
        <v>25.746923376017691</v>
      </c>
      <c r="I23" s="437">
        <v>32.584646864692928</v>
      </c>
      <c r="J23" s="437"/>
      <c r="K23" s="437">
        <v>612.10417370607308</v>
      </c>
      <c r="L23" s="437">
        <v>320.6665566189032</v>
      </c>
      <c r="M23" s="437">
        <v>291.43761708716954</v>
      </c>
    </row>
    <row r="24" spans="1:13">
      <c r="A24" s="439" t="s">
        <v>154</v>
      </c>
      <c r="B24" s="435">
        <v>637.07461708672668</v>
      </c>
      <c r="C24" s="435">
        <v>102.51484174217417</v>
      </c>
      <c r="D24" s="435">
        <v>60.800680520113978</v>
      </c>
      <c r="E24" s="435">
        <v>41.714161222060341</v>
      </c>
      <c r="F24" s="435"/>
      <c r="G24" s="435">
        <v>47.450319129067289</v>
      </c>
      <c r="H24" s="435">
        <v>20.306297820196029</v>
      </c>
      <c r="I24" s="435">
        <v>27.14402130887127</v>
      </c>
      <c r="J24" s="435"/>
      <c r="K24" s="435">
        <v>487.10945621548495</v>
      </c>
      <c r="L24" s="435">
        <v>257.45587228962313</v>
      </c>
      <c r="M24" s="435">
        <v>229.65358392586157</v>
      </c>
    </row>
    <row r="25" spans="1:13">
      <c r="A25" s="439" t="s">
        <v>155</v>
      </c>
      <c r="B25" s="435">
        <v>278.44189451754534</v>
      </c>
      <c r="C25" s="435">
        <v>142.56592591531401</v>
      </c>
      <c r="D25" s="435">
        <v>79.26658188067843</v>
      </c>
      <c r="E25" s="435">
        <v>63.299344034635858</v>
      </c>
      <c r="F25" s="435"/>
      <c r="G25" s="435">
        <v>10.881251111643332</v>
      </c>
      <c r="H25" s="435">
        <v>5.440625555821665</v>
      </c>
      <c r="I25" s="435">
        <v>5.4406255558216658</v>
      </c>
      <c r="J25" s="435"/>
      <c r="K25" s="435">
        <v>124.99471749058816</v>
      </c>
      <c r="L25" s="435">
        <v>63.210684329280269</v>
      </c>
      <c r="M25" s="435">
        <v>61.784033161308159</v>
      </c>
    </row>
    <row r="26" spans="1:13">
      <c r="A26" s="436" t="s">
        <v>156</v>
      </c>
      <c r="B26" s="437">
        <v>6532.108349317984</v>
      </c>
      <c r="C26" s="437">
        <v>3428.1835195753852</v>
      </c>
      <c r="D26" s="437">
        <v>1773.5504009040235</v>
      </c>
      <c r="E26" s="437">
        <v>1654.6331186713073</v>
      </c>
      <c r="F26" s="437"/>
      <c r="G26" s="437">
        <v>520.50540189893297</v>
      </c>
      <c r="H26" s="437">
        <v>221.58798603276119</v>
      </c>
      <c r="I26" s="437">
        <v>298.9174158661699</v>
      </c>
      <c r="J26" s="437"/>
      <c r="K26" s="437">
        <v>2583.4194278436125</v>
      </c>
      <c r="L26" s="437">
        <v>1299.1868799066426</v>
      </c>
      <c r="M26" s="437">
        <v>1284.2325479369122</v>
      </c>
    </row>
    <row r="27" spans="1:13">
      <c r="A27" s="439" t="s">
        <v>156</v>
      </c>
      <c r="B27" s="435">
        <v>3888.0817521294989</v>
      </c>
      <c r="C27" s="435">
        <v>1640.8313628712042</v>
      </c>
      <c r="D27" s="435">
        <v>868.05809659292356</v>
      </c>
      <c r="E27" s="435">
        <v>772.77326627824766</v>
      </c>
      <c r="F27" s="435"/>
      <c r="G27" s="435">
        <v>351.4241684945182</v>
      </c>
      <c r="H27" s="435">
        <v>147.20051824065266</v>
      </c>
      <c r="I27" s="435">
        <v>204.22365025386503</v>
      </c>
      <c r="J27" s="435"/>
      <c r="K27" s="435">
        <v>1895.8262207637229</v>
      </c>
      <c r="L27" s="435">
        <v>960.80134868740492</v>
      </c>
      <c r="M27" s="435">
        <v>935.02487207626837</v>
      </c>
    </row>
    <row r="28" spans="1:13">
      <c r="A28" s="439" t="s">
        <v>157</v>
      </c>
      <c r="B28" s="435">
        <v>2644.0265971884405</v>
      </c>
      <c r="C28" s="435">
        <v>1787.3521567041332</v>
      </c>
      <c r="D28" s="435">
        <v>905.49230431106787</v>
      </c>
      <c r="E28" s="435">
        <v>881.85985239303079</v>
      </c>
      <c r="F28" s="435"/>
      <c r="G28" s="435">
        <v>169.08123340441333</v>
      </c>
      <c r="H28" s="435">
        <v>74.387467792108851</v>
      </c>
      <c r="I28" s="435">
        <v>94.693765612304787</v>
      </c>
      <c r="J28" s="435"/>
      <c r="K28" s="435">
        <v>687.59320707985057</v>
      </c>
      <c r="L28" s="435">
        <v>338.38553121922195</v>
      </c>
      <c r="M28" s="435">
        <v>349.20767586062817</v>
      </c>
    </row>
    <row r="29" spans="1:13">
      <c r="A29" s="436" t="s">
        <v>158</v>
      </c>
      <c r="B29" s="437">
        <v>10095.963400144339</v>
      </c>
      <c r="C29" s="437">
        <v>3142.1622403971514</v>
      </c>
      <c r="D29" s="437">
        <v>1741.1564349205889</v>
      </c>
      <c r="E29" s="437">
        <v>1401.0058054765261</v>
      </c>
      <c r="F29" s="437"/>
      <c r="G29" s="437">
        <v>656.2336043255724</v>
      </c>
      <c r="H29" s="437">
        <v>317.35376399161595</v>
      </c>
      <c r="I29" s="437">
        <v>338.87984033395435</v>
      </c>
      <c r="J29" s="437"/>
      <c r="K29" s="437">
        <v>6297.5675554212457</v>
      </c>
      <c r="L29" s="437">
        <v>2973.1644011098383</v>
      </c>
      <c r="M29" s="437">
        <v>3324.4031543113683</v>
      </c>
    </row>
    <row r="30" spans="1:13">
      <c r="A30" s="439" t="s">
        <v>158</v>
      </c>
      <c r="B30" s="435">
        <v>8836.3924017660811</v>
      </c>
      <c r="C30" s="435">
        <v>2728.916389623907</v>
      </c>
      <c r="D30" s="435">
        <v>1492.1799058157146</v>
      </c>
      <c r="E30" s="435">
        <v>1236.736483808156</v>
      </c>
      <c r="F30" s="435"/>
      <c r="G30" s="435">
        <v>547.05835850543372</v>
      </c>
      <c r="H30" s="435">
        <v>266.12589635564717</v>
      </c>
      <c r="I30" s="435">
        <v>280.93246214978444</v>
      </c>
      <c r="J30" s="435"/>
      <c r="K30" s="435">
        <v>5560.4176536365958</v>
      </c>
      <c r="L30" s="435">
        <v>2600.7084653876959</v>
      </c>
      <c r="M30" s="435">
        <v>2959.7091882488608</v>
      </c>
    </row>
    <row r="31" spans="1:13">
      <c r="A31" s="439" t="s">
        <v>159</v>
      </c>
      <c r="B31" s="435">
        <v>1259.5709983779943</v>
      </c>
      <c r="C31" s="435">
        <v>413.24585077322746</v>
      </c>
      <c r="D31" s="435">
        <v>248.97652910486335</v>
      </c>
      <c r="E31" s="435">
        <v>164.26932166836355</v>
      </c>
      <c r="F31" s="435"/>
      <c r="G31" s="435">
        <v>109.17524582013823</v>
      </c>
      <c r="H31" s="435">
        <v>51.227867635968629</v>
      </c>
      <c r="I31" s="435">
        <v>57.947378184169764</v>
      </c>
      <c r="J31" s="435"/>
      <c r="K31" s="435">
        <v>737.14990178461665</v>
      </c>
      <c r="L31" s="435">
        <v>372.45593572212408</v>
      </c>
      <c r="M31" s="435">
        <v>364.69396606249177</v>
      </c>
    </row>
    <row r="32" spans="1:13">
      <c r="A32" s="436" t="s">
        <v>160</v>
      </c>
      <c r="B32" s="437">
        <v>2685.8885245860938</v>
      </c>
      <c r="C32" s="437">
        <v>669.89568983236859</v>
      </c>
      <c r="D32" s="437">
        <v>366.35704311141211</v>
      </c>
      <c r="E32" s="437">
        <v>303.53864672095534</v>
      </c>
      <c r="F32" s="437"/>
      <c r="G32" s="437">
        <v>141.61212650923838</v>
      </c>
      <c r="H32" s="437">
        <v>68.739969590457505</v>
      </c>
      <c r="I32" s="437">
        <v>72.872156918781144</v>
      </c>
      <c r="J32" s="437"/>
      <c r="K32" s="437">
        <v>1874.3807082444519</v>
      </c>
      <c r="L32" s="437">
        <v>915.57561807451054</v>
      </c>
      <c r="M32" s="437">
        <v>958.80509016989822</v>
      </c>
    </row>
    <row r="33" spans="1:13">
      <c r="A33" s="439" t="s">
        <v>160</v>
      </c>
      <c r="B33" s="435">
        <v>2685.8885245860938</v>
      </c>
      <c r="C33" s="435">
        <v>669.89568983236859</v>
      </c>
      <c r="D33" s="435">
        <v>366.35704311141211</v>
      </c>
      <c r="E33" s="435">
        <v>303.53864672095534</v>
      </c>
      <c r="F33" s="435"/>
      <c r="G33" s="435">
        <v>141.61212650923838</v>
      </c>
      <c r="H33" s="435">
        <v>68.739969590457505</v>
      </c>
      <c r="I33" s="435">
        <v>72.872156918781144</v>
      </c>
      <c r="J33" s="435"/>
      <c r="K33" s="435">
        <v>1874.3807082444519</v>
      </c>
      <c r="L33" s="435">
        <v>915.57561807451054</v>
      </c>
      <c r="M33" s="435">
        <v>958.80509016989822</v>
      </c>
    </row>
    <row r="34" spans="1:13">
      <c r="A34" s="436" t="s">
        <v>161</v>
      </c>
      <c r="B34" s="437">
        <v>10892.334299517419</v>
      </c>
      <c r="C34" s="437">
        <v>2485.1898051936028</v>
      </c>
      <c r="D34" s="437">
        <v>1271.7606877171338</v>
      </c>
      <c r="E34" s="437">
        <v>1213.4291174764196</v>
      </c>
      <c r="F34" s="437"/>
      <c r="G34" s="437">
        <v>849.87963170126307</v>
      </c>
      <c r="H34" s="437">
        <v>407.3833840434641</v>
      </c>
      <c r="I34" s="437">
        <v>442.49624765779726</v>
      </c>
      <c r="J34" s="437"/>
      <c r="K34" s="437">
        <v>7557.2648626220434</v>
      </c>
      <c r="L34" s="437">
        <v>3706.5152970347567</v>
      </c>
      <c r="M34" s="437">
        <v>3850.7495655872453</v>
      </c>
    </row>
    <row r="35" spans="1:13">
      <c r="A35" s="439" t="s">
        <v>161</v>
      </c>
      <c r="B35" s="435">
        <v>8857.8245528148127</v>
      </c>
      <c r="C35" s="435">
        <v>1895.4849434128469</v>
      </c>
      <c r="D35" s="435">
        <v>948.78088287669311</v>
      </c>
      <c r="E35" s="435">
        <v>946.70406053611271</v>
      </c>
      <c r="F35" s="435"/>
      <c r="G35" s="435">
        <v>771.4190830510671</v>
      </c>
      <c r="H35" s="435">
        <v>359.99217138463354</v>
      </c>
      <c r="I35" s="435">
        <v>411.42691166643186</v>
      </c>
      <c r="J35" s="435"/>
      <c r="K35" s="435">
        <v>6190.920526350742</v>
      </c>
      <c r="L35" s="435">
        <v>3011.6706211745354</v>
      </c>
      <c r="M35" s="435">
        <v>3179.2499051761652</v>
      </c>
    </row>
    <row r="36" spans="1:13">
      <c r="A36" s="439" t="s">
        <v>162</v>
      </c>
      <c r="B36" s="435">
        <v>2034.5097467022065</v>
      </c>
      <c r="C36" s="435">
        <v>589.70486178073349</v>
      </c>
      <c r="D36" s="435">
        <v>322.97980484043143</v>
      </c>
      <c r="E36" s="435">
        <v>266.72505694030036</v>
      </c>
      <c r="F36" s="435"/>
      <c r="G36" s="435">
        <v>78.460548650195449</v>
      </c>
      <c r="H36" s="435">
        <v>47.391212658830256</v>
      </c>
      <c r="I36" s="435">
        <v>31.069335991365232</v>
      </c>
      <c r="J36" s="435"/>
      <c r="K36" s="435">
        <v>1366.3443362712542</v>
      </c>
      <c r="L36" s="435">
        <v>694.84467586018582</v>
      </c>
      <c r="M36" s="435">
        <v>671.49966041105188</v>
      </c>
    </row>
    <row r="37" spans="1:13">
      <c r="A37" s="436" t="s">
        <v>163</v>
      </c>
      <c r="B37" s="437">
        <v>7896.5074376597213</v>
      </c>
      <c r="C37" s="437">
        <v>2472.0544123306745</v>
      </c>
      <c r="D37" s="437">
        <v>1237.3866549807635</v>
      </c>
      <c r="E37" s="437">
        <v>1234.6677573498612</v>
      </c>
      <c r="F37" s="437"/>
      <c r="G37" s="437">
        <v>685.54310768037976</v>
      </c>
      <c r="H37" s="437">
        <v>327.31076893230221</v>
      </c>
      <c r="I37" s="437">
        <v>358.23233874807528</v>
      </c>
      <c r="J37" s="437"/>
      <c r="K37" s="437">
        <v>4738.9099176486116</v>
      </c>
      <c r="L37" s="437">
        <v>2272.5916632248973</v>
      </c>
      <c r="M37" s="437">
        <v>2466.3182544236606</v>
      </c>
    </row>
    <row r="38" spans="1:13">
      <c r="A38" s="439" t="s">
        <v>163</v>
      </c>
      <c r="B38" s="435">
        <v>5607.5133339442436</v>
      </c>
      <c r="C38" s="435">
        <v>1528.2036541304608</v>
      </c>
      <c r="D38" s="435">
        <v>790.48414499628393</v>
      </c>
      <c r="E38" s="435">
        <v>737.71950913415117</v>
      </c>
      <c r="F38" s="435"/>
      <c r="G38" s="435">
        <v>529.96000184260436</v>
      </c>
      <c r="H38" s="435">
        <v>259.76102462886826</v>
      </c>
      <c r="I38" s="435">
        <v>270.19897721373383</v>
      </c>
      <c r="J38" s="435"/>
      <c r="K38" s="435">
        <v>3549.3496779711236</v>
      </c>
      <c r="L38" s="435">
        <v>1707.051211594304</v>
      </c>
      <c r="M38" s="435">
        <v>1842.2984663767659</v>
      </c>
    </row>
    <row r="39" spans="1:13" ht="15.75" thickBot="1">
      <c r="A39" s="440" t="s">
        <v>164</v>
      </c>
      <c r="B39" s="438">
        <v>2288.994103715429</v>
      </c>
      <c r="C39" s="438">
        <v>943.85075820016834</v>
      </c>
      <c r="D39" s="438">
        <v>446.90250998447027</v>
      </c>
      <c r="E39" s="438">
        <v>496.94824821569728</v>
      </c>
      <c r="F39" s="438"/>
      <c r="G39" s="438">
        <v>155.58310583777407</v>
      </c>
      <c r="H39" s="438">
        <v>67.549744303433613</v>
      </c>
      <c r="I39" s="438">
        <v>88.033361534340727</v>
      </c>
      <c r="J39" s="438"/>
      <c r="K39" s="438">
        <v>1189.5602396774386</v>
      </c>
      <c r="L39" s="438">
        <v>565.54045163056207</v>
      </c>
      <c r="M39" s="438">
        <v>624.01978804686564</v>
      </c>
    </row>
  </sheetData>
  <mergeCells count="7">
    <mergeCell ref="A1:M2"/>
    <mergeCell ref="C4:E4"/>
    <mergeCell ref="G4:I4"/>
    <mergeCell ref="K4:M4"/>
    <mergeCell ref="C3:M3"/>
    <mergeCell ref="A3:A5"/>
    <mergeCell ref="B3:B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39"/>
  <sheetViews>
    <sheetView workbookViewId="0">
      <selection activeCell="A11" sqref="A11"/>
    </sheetView>
  </sheetViews>
  <sheetFormatPr defaultRowHeight="15"/>
  <cols>
    <col min="1" max="1" width="18.85546875" style="26" customWidth="1"/>
    <col min="2" max="5" width="9.140625" style="26"/>
    <col min="6" max="6" width="2.7109375" style="26" customWidth="1"/>
    <col min="7" max="9" width="9.140625" style="26"/>
    <col min="10" max="10" width="3.140625" style="26" customWidth="1"/>
    <col min="11" max="16384" width="9.140625" style="26"/>
  </cols>
  <sheetData>
    <row r="1" spans="1:13">
      <c r="A1" s="1056" t="s">
        <v>590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  <c r="M1" s="1056"/>
    </row>
    <row r="2" spans="1:13">
      <c r="A2" s="1057"/>
      <c r="B2" s="1057"/>
      <c r="C2" s="1057"/>
      <c r="D2" s="1057"/>
      <c r="E2" s="1057"/>
      <c r="F2" s="1057"/>
      <c r="G2" s="1057"/>
      <c r="H2" s="1057"/>
      <c r="I2" s="1057"/>
      <c r="J2" s="1057"/>
      <c r="K2" s="1057"/>
      <c r="L2" s="1057"/>
      <c r="M2" s="1057"/>
    </row>
    <row r="3" spans="1:13" ht="15.75" customHeight="1">
      <c r="A3" s="1064" t="s">
        <v>314</v>
      </c>
      <c r="B3" s="1038" t="s">
        <v>292</v>
      </c>
      <c r="C3" s="1062" t="s">
        <v>586</v>
      </c>
      <c r="D3" s="1062"/>
      <c r="E3" s="1062"/>
      <c r="F3" s="1062"/>
      <c r="G3" s="1062"/>
      <c r="H3" s="1062"/>
      <c r="I3" s="1062"/>
      <c r="J3" s="1062"/>
      <c r="K3" s="1062"/>
      <c r="L3" s="1062"/>
      <c r="M3" s="1062"/>
    </row>
    <row r="4" spans="1:13" ht="15" customHeight="1">
      <c r="A4" s="1064"/>
      <c r="B4" s="1063"/>
      <c r="C4" s="1031" t="s">
        <v>278</v>
      </c>
      <c r="D4" s="1031"/>
      <c r="E4" s="1031"/>
      <c r="F4" s="340"/>
      <c r="G4" s="1058" t="s">
        <v>279</v>
      </c>
      <c r="H4" s="1058"/>
      <c r="I4" s="1058"/>
      <c r="J4" s="361"/>
      <c r="K4" s="1058" t="s">
        <v>280</v>
      </c>
      <c r="L4" s="1058"/>
      <c r="M4" s="1058"/>
    </row>
    <row r="5" spans="1:13" ht="15.75" customHeight="1">
      <c r="A5" s="1064"/>
      <c r="B5" s="1063"/>
      <c r="C5" s="410" t="s">
        <v>0</v>
      </c>
      <c r="D5" s="410" t="s">
        <v>1</v>
      </c>
      <c r="E5" s="431" t="s">
        <v>2</v>
      </c>
      <c r="F5" s="431"/>
      <c r="G5" s="410" t="s">
        <v>0</v>
      </c>
      <c r="H5" s="410" t="s">
        <v>1</v>
      </c>
      <c r="I5" s="431" t="s">
        <v>2</v>
      </c>
      <c r="J5" s="431"/>
      <c r="K5" s="410" t="s">
        <v>0</v>
      </c>
      <c r="L5" s="410" t="s">
        <v>1</v>
      </c>
      <c r="M5" s="431" t="s">
        <v>2</v>
      </c>
    </row>
    <row r="6" spans="1:13">
      <c r="A6" s="441" t="s">
        <v>147</v>
      </c>
      <c r="B6" s="442">
        <v>107403.25068695897</v>
      </c>
      <c r="C6" s="442">
        <v>60182.85598842131</v>
      </c>
      <c r="D6" s="442">
        <v>29443.840126341434</v>
      </c>
      <c r="E6" s="442">
        <v>30739.015862154331</v>
      </c>
      <c r="F6" s="442"/>
      <c r="G6" s="442">
        <v>6269.8279938214328</v>
      </c>
      <c r="H6" s="442">
        <v>3076.0423725555415</v>
      </c>
      <c r="I6" s="442">
        <v>3193.7856212658048</v>
      </c>
      <c r="J6" s="442"/>
      <c r="K6" s="442">
        <v>40950.566704822188</v>
      </c>
      <c r="L6" s="442">
        <v>20306.69642813248</v>
      </c>
      <c r="M6" s="442">
        <v>20643.87027671187</v>
      </c>
    </row>
    <row r="7" spans="1:13">
      <c r="A7" s="443"/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</row>
    <row r="8" spans="1:13" ht="13.5" customHeight="1">
      <c r="A8" s="445" t="s">
        <v>3</v>
      </c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2"/>
      <c r="M8" s="442"/>
    </row>
    <row r="9" spans="1:13">
      <c r="A9" s="443" t="s">
        <v>4</v>
      </c>
      <c r="B9" s="444">
        <v>74615.769895627644</v>
      </c>
      <c r="C9" s="444">
        <v>49283.577533975891</v>
      </c>
      <c r="D9" s="444">
        <v>24034.340642982406</v>
      </c>
      <c r="E9" s="444">
        <v>25249.236891038305</v>
      </c>
      <c r="F9" s="444"/>
      <c r="G9" s="444">
        <v>4317.6984498637721</v>
      </c>
      <c r="H9" s="444">
        <v>2108.6745450837193</v>
      </c>
      <c r="I9" s="444">
        <v>2209.0239047799664</v>
      </c>
      <c r="J9" s="444"/>
      <c r="K9" s="444">
        <v>21014.493911856676</v>
      </c>
      <c r="L9" s="444">
        <v>10430.981442559147</v>
      </c>
      <c r="M9" s="444">
        <v>10583.512469297442</v>
      </c>
    </row>
    <row r="10" spans="1:13">
      <c r="A10" s="443" t="s">
        <v>5</v>
      </c>
      <c r="B10" s="444">
        <v>32787.480791420334</v>
      </c>
      <c r="C10" s="444">
        <v>10899.278454474967</v>
      </c>
      <c r="D10" s="444">
        <v>5409.4994833589408</v>
      </c>
      <c r="E10" s="444">
        <v>5489.7789711159385</v>
      </c>
      <c r="F10" s="444"/>
      <c r="G10" s="444">
        <v>1952.129543957574</v>
      </c>
      <c r="H10" s="444">
        <v>967.36782747174038</v>
      </c>
      <c r="I10" s="444">
        <v>984.76171648575507</v>
      </c>
      <c r="J10" s="444"/>
      <c r="K10" s="444">
        <v>19936.072792987674</v>
      </c>
      <c r="L10" s="444">
        <v>9875.7149855732459</v>
      </c>
      <c r="M10" s="444">
        <v>10060.357807414341</v>
      </c>
    </row>
    <row r="11" spans="1:13" ht="16.5" customHeight="1">
      <c r="A11" s="1184" t="s">
        <v>593</v>
      </c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</row>
    <row r="12" spans="1:13">
      <c r="A12" s="446" t="s">
        <v>148</v>
      </c>
      <c r="B12" s="447">
        <v>72086.966031289092</v>
      </c>
      <c r="C12" s="447">
        <v>46975.542260968483</v>
      </c>
      <c r="D12" s="447">
        <v>22925.145720473221</v>
      </c>
      <c r="E12" s="447">
        <v>24050.396540533806</v>
      </c>
      <c r="F12" s="447"/>
      <c r="G12" s="447">
        <v>4280.2346889105065</v>
      </c>
      <c r="H12" s="447">
        <v>2103.3225792332528</v>
      </c>
      <c r="I12" s="447">
        <v>2176.9121096771673</v>
      </c>
      <c r="J12" s="447"/>
      <c r="K12" s="447">
        <v>20831.189081478198</v>
      </c>
      <c r="L12" s="447">
        <v>10335.984048713366</v>
      </c>
      <c r="M12" s="447">
        <v>10495.205032764745</v>
      </c>
    </row>
    <row r="13" spans="1:13">
      <c r="A13" s="449" t="s">
        <v>148</v>
      </c>
      <c r="B13" s="444">
        <v>72086.966031289092</v>
      </c>
      <c r="C13" s="444">
        <v>46975.542260968483</v>
      </c>
      <c r="D13" s="444">
        <v>22925.145720473221</v>
      </c>
      <c r="E13" s="444">
        <v>24050.396540533806</v>
      </c>
      <c r="F13" s="444"/>
      <c r="G13" s="444">
        <v>4280.2346889105065</v>
      </c>
      <c r="H13" s="444">
        <v>2103.3225792332528</v>
      </c>
      <c r="I13" s="444">
        <v>2176.9121096771673</v>
      </c>
      <c r="J13" s="444"/>
      <c r="K13" s="444">
        <v>20831.189081478198</v>
      </c>
      <c r="L13" s="444">
        <v>10335.984048713366</v>
      </c>
      <c r="M13" s="444">
        <v>10495.205032764745</v>
      </c>
    </row>
    <row r="14" spans="1:13">
      <c r="A14" s="446" t="s">
        <v>149</v>
      </c>
      <c r="B14" s="447">
        <v>5305.1361492748438</v>
      </c>
      <c r="C14" s="447">
        <v>2127.4064255603521</v>
      </c>
      <c r="D14" s="447">
        <v>1074.4071444810659</v>
      </c>
      <c r="E14" s="447">
        <v>1052.9992810791998</v>
      </c>
      <c r="F14" s="447"/>
      <c r="G14" s="447">
        <v>354.56773759337665</v>
      </c>
      <c r="H14" s="447">
        <v>173.93889014014718</v>
      </c>
      <c r="I14" s="447">
        <v>180.62884745322975</v>
      </c>
      <c r="J14" s="447"/>
      <c r="K14" s="447">
        <v>2823.1619861209988</v>
      </c>
      <c r="L14" s="447">
        <v>1332.6394967660751</v>
      </c>
      <c r="M14" s="447">
        <v>1490.5224893548373</v>
      </c>
    </row>
    <row r="15" spans="1:13">
      <c r="A15" s="449" t="s">
        <v>149</v>
      </c>
      <c r="B15" s="444">
        <v>5305.1361492748438</v>
      </c>
      <c r="C15" s="444">
        <v>2127.4064255603521</v>
      </c>
      <c r="D15" s="444">
        <v>1074.4071444810659</v>
      </c>
      <c r="E15" s="444">
        <v>1052.9992810791998</v>
      </c>
      <c r="F15" s="444"/>
      <c r="G15" s="444">
        <v>354.56773759337665</v>
      </c>
      <c r="H15" s="444">
        <v>173.93889014014718</v>
      </c>
      <c r="I15" s="444">
        <v>180.62884745322975</v>
      </c>
      <c r="J15" s="444"/>
      <c r="K15" s="444">
        <v>2823.1619861209988</v>
      </c>
      <c r="L15" s="444">
        <v>1332.6394967660751</v>
      </c>
      <c r="M15" s="444">
        <v>1490.5224893548373</v>
      </c>
    </row>
    <row r="16" spans="1:13">
      <c r="A16" s="446" t="s">
        <v>150</v>
      </c>
      <c r="B16" s="447">
        <v>2448.5243765883429</v>
      </c>
      <c r="C16" s="447">
        <v>1565.4500112613684</v>
      </c>
      <c r="D16" s="447">
        <v>763.99312515403017</v>
      </c>
      <c r="E16" s="447">
        <v>801.45688610729258</v>
      </c>
      <c r="F16" s="447"/>
      <c r="G16" s="447">
        <v>88.307436532690232</v>
      </c>
      <c r="H16" s="447">
        <v>46.829701191578195</v>
      </c>
      <c r="I16" s="447">
        <v>41.477735341112108</v>
      </c>
      <c r="J16" s="447"/>
      <c r="K16" s="447">
        <v>794.76692879421</v>
      </c>
      <c r="L16" s="447">
        <v>385.34154123355648</v>
      </c>
      <c r="M16" s="447">
        <v>409.42538756065375</v>
      </c>
    </row>
    <row r="17" spans="1:13">
      <c r="A17" s="449" t="s">
        <v>150</v>
      </c>
      <c r="B17" s="444">
        <v>2448.5243765883429</v>
      </c>
      <c r="C17" s="444">
        <v>1565.4500112613684</v>
      </c>
      <c r="D17" s="444">
        <v>763.99312515403017</v>
      </c>
      <c r="E17" s="444">
        <v>801.45688610729258</v>
      </c>
      <c r="F17" s="444"/>
      <c r="G17" s="444">
        <v>88.307436532690232</v>
      </c>
      <c r="H17" s="444">
        <v>46.829701191578195</v>
      </c>
      <c r="I17" s="444">
        <v>41.477735341112108</v>
      </c>
      <c r="J17" s="444"/>
      <c r="K17" s="444">
        <v>794.76692879421</v>
      </c>
      <c r="L17" s="444">
        <v>385.34154123355648</v>
      </c>
      <c r="M17" s="444">
        <v>409.42538756065375</v>
      </c>
    </row>
    <row r="18" spans="1:13">
      <c r="A18" s="446" t="s">
        <v>151</v>
      </c>
      <c r="B18" s="447">
        <v>5054.9317457655343</v>
      </c>
      <c r="C18" s="447">
        <v>2622.4632667285045</v>
      </c>
      <c r="D18" s="447">
        <v>1276.4438553361767</v>
      </c>
      <c r="E18" s="447">
        <v>1346.0194113922414</v>
      </c>
      <c r="F18" s="447"/>
      <c r="G18" s="447">
        <v>303.72406201394909</v>
      </c>
      <c r="H18" s="447">
        <v>157.882992588749</v>
      </c>
      <c r="I18" s="447">
        <v>145.84106942520037</v>
      </c>
      <c r="J18" s="447"/>
      <c r="K18" s="447">
        <v>2128.7444170229687</v>
      </c>
      <c r="L18" s="447">
        <v>1133.2787688361975</v>
      </c>
      <c r="M18" s="447">
        <v>995.46564818668719</v>
      </c>
    </row>
    <row r="19" spans="1:13">
      <c r="A19" s="449" t="s">
        <v>151</v>
      </c>
      <c r="B19" s="444">
        <v>5054.9317457655343</v>
      </c>
      <c r="C19" s="444">
        <v>2622.4632667285045</v>
      </c>
      <c r="D19" s="444">
        <v>1276.4438553361767</v>
      </c>
      <c r="E19" s="444">
        <v>1346.0194113922414</v>
      </c>
      <c r="F19" s="444"/>
      <c r="G19" s="444">
        <v>303.72406201394909</v>
      </c>
      <c r="H19" s="444">
        <v>157.882992588749</v>
      </c>
      <c r="I19" s="444">
        <v>145.84106942520037</v>
      </c>
      <c r="J19" s="444"/>
      <c r="K19" s="444">
        <v>2128.7444170229687</v>
      </c>
      <c r="L19" s="444">
        <v>1133.2787688361975</v>
      </c>
      <c r="M19" s="444">
        <v>995.46564818668719</v>
      </c>
    </row>
    <row r="20" spans="1:13">
      <c r="A20" s="446" t="s">
        <v>152</v>
      </c>
      <c r="B20" s="447">
        <v>1705.9391148361144</v>
      </c>
      <c r="C20" s="447">
        <v>763.99312515403017</v>
      </c>
      <c r="D20" s="447">
        <v>347.87778028029408</v>
      </c>
      <c r="E20" s="447">
        <v>416.11534487373632</v>
      </c>
      <c r="F20" s="447"/>
      <c r="G20" s="447">
        <v>179.29085599061324</v>
      </c>
      <c r="H20" s="447">
        <v>93.659402383156291</v>
      </c>
      <c r="I20" s="447">
        <v>85.631453607457203</v>
      </c>
      <c r="J20" s="447"/>
      <c r="K20" s="447">
        <v>762.65513369141365</v>
      </c>
      <c r="L20" s="447">
        <v>351.89175466814362</v>
      </c>
      <c r="M20" s="447">
        <v>410.76337902327026</v>
      </c>
    </row>
    <row r="21" spans="1:13">
      <c r="A21" s="449" t="s">
        <v>152</v>
      </c>
      <c r="B21" s="444">
        <v>1256.3739833969273</v>
      </c>
      <c r="C21" s="444">
        <v>561.95641429893647</v>
      </c>
      <c r="D21" s="444">
        <v>263.58431813545366</v>
      </c>
      <c r="E21" s="444">
        <v>298.37209616348304</v>
      </c>
      <c r="F21" s="444"/>
      <c r="G21" s="444">
        <v>135.13713772426826</v>
      </c>
      <c r="H21" s="444">
        <v>69.575556056059028</v>
      </c>
      <c r="I21" s="444">
        <v>65.561581668209485</v>
      </c>
      <c r="J21" s="444"/>
      <c r="K21" s="444">
        <v>559.28043137370344</v>
      </c>
      <c r="L21" s="444">
        <v>248.866412046672</v>
      </c>
      <c r="M21" s="444">
        <v>310.41401932703167</v>
      </c>
    </row>
    <row r="22" spans="1:13">
      <c r="A22" s="449" t="s">
        <v>153</v>
      </c>
      <c r="B22" s="444">
        <v>449.56513143914918</v>
      </c>
      <c r="C22" s="444">
        <v>202.03671085509399</v>
      </c>
      <c r="D22" s="444">
        <v>84.293462144840689</v>
      </c>
      <c r="E22" s="444">
        <v>117.74324871025355</v>
      </c>
      <c r="F22" s="444"/>
      <c r="G22" s="444">
        <v>44.153718266345152</v>
      </c>
      <c r="H22" s="444">
        <v>24.083846327097344</v>
      </c>
      <c r="I22" s="444">
        <v>20.06987193924779</v>
      </c>
      <c r="J22" s="444"/>
      <c r="K22" s="444">
        <v>203.3747023177105</v>
      </c>
      <c r="L22" s="444">
        <v>103.02534262147189</v>
      </c>
      <c r="M22" s="444">
        <v>100.34935969623886</v>
      </c>
    </row>
    <row r="23" spans="1:13">
      <c r="A23" s="446" t="s">
        <v>154</v>
      </c>
      <c r="B23" s="447">
        <v>521.81667042044103</v>
      </c>
      <c r="C23" s="447">
        <v>90.983419457923262</v>
      </c>
      <c r="D23" s="447">
        <v>54.857649967277325</v>
      </c>
      <c r="E23" s="447">
        <v>36.125769490646022</v>
      </c>
      <c r="F23" s="447"/>
      <c r="G23" s="447">
        <v>17.393889014014754</v>
      </c>
      <c r="H23" s="447">
        <v>8.0279487756991159</v>
      </c>
      <c r="I23" s="447">
        <v>9.3659402383156358</v>
      </c>
      <c r="J23" s="447"/>
      <c r="K23" s="447">
        <v>413.43936194850329</v>
      </c>
      <c r="L23" s="447">
        <v>219.43059986910868</v>
      </c>
      <c r="M23" s="447">
        <v>194.0087620793949</v>
      </c>
    </row>
    <row r="24" spans="1:13">
      <c r="A24" s="449" t="s">
        <v>154</v>
      </c>
      <c r="B24" s="444">
        <v>371.96162660739134</v>
      </c>
      <c r="C24" s="444">
        <v>26.75982925233038</v>
      </c>
      <c r="D24" s="444">
        <v>13.379914626165196</v>
      </c>
      <c r="E24" s="444">
        <v>13.379914626165196</v>
      </c>
      <c r="F24" s="444"/>
      <c r="G24" s="444">
        <v>14.717906088781715</v>
      </c>
      <c r="H24" s="444">
        <v>6.689957313082596</v>
      </c>
      <c r="I24" s="444">
        <v>8.0279487756991159</v>
      </c>
      <c r="J24" s="444"/>
      <c r="K24" s="444">
        <v>330.48389126627939</v>
      </c>
      <c r="L24" s="444">
        <v>180.62884745322975</v>
      </c>
      <c r="M24" s="444">
        <v>149.85504381304992</v>
      </c>
    </row>
    <row r="25" spans="1:13">
      <c r="A25" s="449" t="s">
        <v>155</v>
      </c>
      <c r="B25" s="444">
        <v>149.85504381304992</v>
      </c>
      <c r="C25" s="444">
        <v>64.22359020559297</v>
      </c>
      <c r="D25" s="444">
        <v>41.477735341112108</v>
      </c>
      <c r="E25" s="444">
        <v>22.745854864480826</v>
      </c>
      <c r="F25" s="444"/>
      <c r="G25" s="444">
        <v>2.6759829252330385</v>
      </c>
      <c r="H25" s="444">
        <v>1.3379914626165192</v>
      </c>
      <c r="I25" s="444">
        <v>1.3379914626165192</v>
      </c>
      <c r="J25" s="444"/>
      <c r="K25" s="444">
        <v>82.955470682224174</v>
      </c>
      <c r="L25" s="444">
        <v>38.801752415879065</v>
      </c>
      <c r="M25" s="444">
        <v>44.153718266345152</v>
      </c>
    </row>
    <row r="26" spans="1:13">
      <c r="A26" s="446" t="s">
        <v>156</v>
      </c>
      <c r="B26" s="447">
        <v>3615.2529319900427</v>
      </c>
      <c r="C26" s="447">
        <v>1776.8526623547957</v>
      </c>
      <c r="D26" s="447">
        <v>867.01846777550179</v>
      </c>
      <c r="E26" s="447">
        <v>909.83419457923026</v>
      </c>
      <c r="F26" s="447"/>
      <c r="G26" s="447">
        <v>179.29085599061324</v>
      </c>
      <c r="H26" s="447">
        <v>82.955470682224174</v>
      </c>
      <c r="I26" s="447">
        <v>96.33538530838932</v>
      </c>
      <c r="J26" s="447"/>
      <c r="K26" s="447">
        <v>1659.1094136445324</v>
      </c>
      <c r="L26" s="447">
        <v>829.55470682223938</v>
      </c>
      <c r="M26" s="447">
        <v>829.55470682223938</v>
      </c>
    </row>
    <row r="27" spans="1:13">
      <c r="A27" s="449" t="s">
        <v>156</v>
      </c>
      <c r="B27" s="444">
        <v>2140.7863401865184</v>
      </c>
      <c r="C27" s="444">
        <v>820.18876658392378</v>
      </c>
      <c r="D27" s="444">
        <v>400.05944732233814</v>
      </c>
      <c r="E27" s="444">
        <v>420.12931926158586</v>
      </c>
      <c r="F27" s="444"/>
      <c r="G27" s="444">
        <v>123.09521456071961</v>
      </c>
      <c r="H27" s="444">
        <v>60.209615817743412</v>
      </c>
      <c r="I27" s="444">
        <v>62.885598742976455</v>
      </c>
      <c r="J27" s="444"/>
      <c r="K27" s="444">
        <v>1197.5023590417957</v>
      </c>
      <c r="L27" s="444">
        <v>600.75816671481539</v>
      </c>
      <c r="M27" s="444">
        <v>596.74419232696584</v>
      </c>
    </row>
    <row r="28" spans="1:13">
      <c r="A28" s="449" t="s">
        <v>157</v>
      </c>
      <c r="B28" s="444">
        <v>1474.4665918034377</v>
      </c>
      <c r="C28" s="444">
        <v>956.66389577080827</v>
      </c>
      <c r="D28" s="444">
        <v>466.95902045316387</v>
      </c>
      <c r="E28" s="444">
        <v>489.70487531764462</v>
      </c>
      <c r="F28" s="444"/>
      <c r="G28" s="444">
        <v>56.195641429893847</v>
      </c>
      <c r="H28" s="444">
        <v>22.745854864480826</v>
      </c>
      <c r="I28" s="444">
        <v>33.449786565412978</v>
      </c>
      <c r="J28" s="444"/>
      <c r="K28" s="444">
        <v>461.60705460269781</v>
      </c>
      <c r="L28" s="444">
        <v>228.79654010742428</v>
      </c>
      <c r="M28" s="444">
        <v>232.81051449527382</v>
      </c>
    </row>
    <row r="29" spans="1:13">
      <c r="A29" s="446" t="s">
        <v>158</v>
      </c>
      <c r="B29" s="447">
        <v>5075.0016177047837</v>
      </c>
      <c r="C29" s="447">
        <v>1384.8211638081236</v>
      </c>
      <c r="D29" s="447">
        <v>733.21932151385033</v>
      </c>
      <c r="E29" s="447">
        <v>651.60184229424294</v>
      </c>
      <c r="F29" s="447"/>
      <c r="G29" s="447">
        <v>234.14850595789034</v>
      </c>
      <c r="H29" s="447">
        <v>113.72927432240401</v>
      </c>
      <c r="I29" s="447">
        <v>120.41923163548658</v>
      </c>
      <c r="J29" s="447"/>
      <c r="K29" s="447">
        <v>3456.031947938664</v>
      </c>
      <c r="L29" s="447">
        <v>1683.1932599716317</v>
      </c>
      <c r="M29" s="447">
        <v>1772.8386879669458</v>
      </c>
    </row>
    <row r="30" spans="1:13">
      <c r="A30" s="449" t="s">
        <v>158</v>
      </c>
      <c r="B30" s="444">
        <v>4401.9919120086197</v>
      </c>
      <c r="C30" s="444">
        <v>1173.4185127146964</v>
      </c>
      <c r="D30" s="444">
        <v>603.43414964004842</v>
      </c>
      <c r="E30" s="444">
        <v>569.98436307463555</v>
      </c>
      <c r="F30" s="444"/>
      <c r="G30" s="444">
        <v>185.98081330369581</v>
      </c>
      <c r="H30" s="444">
        <v>89.645427995306747</v>
      </c>
      <c r="I30" s="444">
        <v>96.33538530838932</v>
      </c>
      <c r="J30" s="444"/>
      <c r="K30" s="444">
        <v>3042.5925859901258</v>
      </c>
      <c r="L30" s="444">
        <v>1466.438643027738</v>
      </c>
      <c r="M30" s="444">
        <v>1576.1539429623015</v>
      </c>
    </row>
    <row r="31" spans="1:13">
      <c r="A31" s="449" t="s">
        <v>159</v>
      </c>
      <c r="B31" s="444">
        <v>673.00970569610718</v>
      </c>
      <c r="C31" s="444">
        <v>211.40265109340959</v>
      </c>
      <c r="D31" s="444">
        <v>129.7851718738022</v>
      </c>
      <c r="E31" s="444">
        <v>81.61747921960766</v>
      </c>
      <c r="F31" s="444"/>
      <c r="G31" s="444">
        <v>48.167692654194717</v>
      </c>
      <c r="H31" s="444">
        <v>24.083846327097344</v>
      </c>
      <c r="I31" s="444">
        <v>24.083846327097344</v>
      </c>
      <c r="J31" s="444"/>
      <c r="K31" s="444">
        <v>413.43936194850329</v>
      </c>
      <c r="L31" s="444">
        <v>216.75461694387565</v>
      </c>
      <c r="M31" s="444">
        <v>196.68474500462793</v>
      </c>
    </row>
    <row r="32" spans="1:13">
      <c r="A32" s="446" t="s">
        <v>160</v>
      </c>
      <c r="B32" s="447">
        <v>1475.8045832660544</v>
      </c>
      <c r="C32" s="447">
        <v>337.17384857936196</v>
      </c>
      <c r="D32" s="447">
        <v>172.60089867753067</v>
      </c>
      <c r="E32" s="447">
        <v>164.57294990183158</v>
      </c>
      <c r="F32" s="447"/>
      <c r="G32" s="447">
        <v>66.899573130825999</v>
      </c>
      <c r="H32" s="447">
        <v>37.463760953262543</v>
      </c>
      <c r="I32" s="447">
        <v>29.435812177563417</v>
      </c>
      <c r="J32" s="447"/>
      <c r="K32" s="447">
        <v>1071.7311615558326</v>
      </c>
      <c r="L32" s="447">
        <v>519.140687495208</v>
      </c>
      <c r="M32" s="447">
        <v>552.59047406062086</v>
      </c>
    </row>
    <row r="33" spans="1:13">
      <c r="A33" s="449" t="s">
        <v>160</v>
      </c>
      <c r="B33" s="444">
        <v>1475.8045832660544</v>
      </c>
      <c r="C33" s="444">
        <v>337.17384857936196</v>
      </c>
      <c r="D33" s="444">
        <v>172.60089867753067</v>
      </c>
      <c r="E33" s="444">
        <v>164.57294990183158</v>
      </c>
      <c r="F33" s="444"/>
      <c r="G33" s="444">
        <v>66.899573130825999</v>
      </c>
      <c r="H33" s="444">
        <v>37.463760953262543</v>
      </c>
      <c r="I33" s="444">
        <v>29.435812177563417</v>
      </c>
      <c r="J33" s="444"/>
      <c r="K33" s="444">
        <v>1071.7311615558326</v>
      </c>
      <c r="L33" s="444">
        <v>519.140687495208</v>
      </c>
      <c r="M33" s="444">
        <v>552.59047406062086</v>
      </c>
    </row>
    <row r="34" spans="1:13">
      <c r="A34" s="446" t="s">
        <v>161</v>
      </c>
      <c r="B34" s="447">
        <v>5770.7571782654304</v>
      </c>
      <c r="C34" s="447">
        <v>1245.6700516959943</v>
      </c>
      <c r="D34" s="447">
        <v>620.82803865406311</v>
      </c>
      <c r="E34" s="447">
        <v>624.84201304191265</v>
      </c>
      <c r="F34" s="447"/>
      <c r="G34" s="447">
        <v>346.53978881767756</v>
      </c>
      <c r="H34" s="447">
        <v>156.54500112613249</v>
      </c>
      <c r="I34" s="447">
        <v>189.99478769154535</v>
      </c>
      <c r="J34" s="447"/>
      <c r="K34" s="447">
        <v>4178.5473377516428</v>
      </c>
      <c r="L34" s="447">
        <v>2130.0824084855853</v>
      </c>
      <c r="M34" s="447">
        <v>2048.464929265971</v>
      </c>
    </row>
    <row r="35" spans="1:13">
      <c r="A35" s="449" t="s">
        <v>161</v>
      </c>
      <c r="B35" s="444">
        <v>4665.5762301440955</v>
      </c>
      <c r="C35" s="444">
        <v>947.29795553249267</v>
      </c>
      <c r="D35" s="444">
        <v>461.60705460269781</v>
      </c>
      <c r="E35" s="444">
        <v>485.69090092979508</v>
      </c>
      <c r="F35" s="444"/>
      <c r="G35" s="444">
        <v>317.10397664011424</v>
      </c>
      <c r="H35" s="444">
        <v>141.82709503735083</v>
      </c>
      <c r="I35" s="444">
        <v>175.27688160276369</v>
      </c>
      <c r="J35" s="444"/>
      <c r="K35" s="444">
        <v>3401.1742979713822</v>
      </c>
      <c r="L35" s="444">
        <v>1717.9810379996641</v>
      </c>
      <c r="M35" s="444">
        <v>1683.1932599716317</v>
      </c>
    </row>
    <row r="36" spans="1:13">
      <c r="A36" s="449" t="s">
        <v>162</v>
      </c>
      <c r="B36" s="444">
        <v>1105.1809481212483</v>
      </c>
      <c r="C36" s="444">
        <v>298.37209616348304</v>
      </c>
      <c r="D36" s="444">
        <v>159.22098405136552</v>
      </c>
      <c r="E36" s="444">
        <v>139.1511121121178</v>
      </c>
      <c r="F36" s="444"/>
      <c r="G36" s="444">
        <v>29.435812177563417</v>
      </c>
      <c r="H36" s="444">
        <v>14.717906088781715</v>
      </c>
      <c r="I36" s="444">
        <v>14.717906088781715</v>
      </c>
      <c r="J36" s="444"/>
      <c r="K36" s="444">
        <v>777.37303978019531</v>
      </c>
      <c r="L36" s="444">
        <v>412.10137048588678</v>
      </c>
      <c r="M36" s="444">
        <v>365.27166929430877</v>
      </c>
    </row>
    <row r="37" spans="1:13">
      <c r="A37" s="446" t="s">
        <v>163</v>
      </c>
      <c r="B37" s="447">
        <v>4343.120287653488</v>
      </c>
      <c r="C37" s="447">
        <v>1292.4997528875763</v>
      </c>
      <c r="D37" s="447">
        <v>607.44812402789796</v>
      </c>
      <c r="E37" s="447">
        <v>685.05162885965581</v>
      </c>
      <c r="F37" s="447"/>
      <c r="G37" s="447">
        <v>219.43059986910868</v>
      </c>
      <c r="H37" s="447">
        <v>101.68735115885538</v>
      </c>
      <c r="I37" s="447">
        <v>117.74324871025355</v>
      </c>
      <c r="J37" s="447"/>
      <c r="K37" s="447">
        <v>2831.1899348966986</v>
      </c>
      <c r="L37" s="447">
        <v>1386.1591552707403</v>
      </c>
      <c r="M37" s="447">
        <v>1445.0307796258719</v>
      </c>
    </row>
    <row r="38" spans="1:13">
      <c r="A38" s="449" t="s">
        <v>163</v>
      </c>
      <c r="B38" s="444">
        <v>3054.6345091536755</v>
      </c>
      <c r="C38" s="444">
        <v>784.06299709327789</v>
      </c>
      <c r="D38" s="444">
        <v>385.34154123355648</v>
      </c>
      <c r="E38" s="444">
        <v>398.72145585972163</v>
      </c>
      <c r="F38" s="444"/>
      <c r="G38" s="444">
        <v>172.60089867753067</v>
      </c>
      <c r="H38" s="444">
        <v>80.279487756991145</v>
      </c>
      <c r="I38" s="444">
        <v>92.321410920539776</v>
      </c>
      <c r="J38" s="444"/>
      <c r="K38" s="444">
        <v>2097.9706133827863</v>
      </c>
      <c r="L38" s="444">
        <v>1022.2254774390175</v>
      </c>
      <c r="M38" s="444">
        <v>1075.7451359436825</v>
      </c>
    </row>
    <row r="39" spans="1:13" ht="15.75" thickBot="1">
      <c r="A39" s="450" t="s">
        <v>164</v>
      </c>
      <c r="B39" s="448">
        <v>1288.4857784997264</v>
      </c>
      <c r="C39" s="448">
        <v>508.43675579427583</v>
      </c>
      <c r="D39" s="448">
        <v>222.1065827943417</v>
      </c>
      <c r="E39" s="448">
        <v>286.3301729999344</v>
      </c>
      <c r="F39" s="448"/>
      <c r="G39" s="448">
        <v>46.829701191578195</v>
      </c>
      <c r="H39" s="448">
        <v>21.407863401864308</v>
      </c>
      <c r="I39" s="448">
        <v>25.421837789713862</v>
      </c>
      <c r="J39" s="448"/>
      <c r="K39" s="448">
        <v>733.21932151385033</v>
      </c>
      <c r="L39" s="448">
        <v>363.93367783169225</v>
      </c>
      <c r="M39" s="448">
        <v>369.28564368215831</v>
      </c>
    </row>
  </sheetData>
  <mergeCells count="7">
    <mergeCell ref="A1:M2"/>
    <mergeCell ref="C4:E4"/>
    <mergeCell ref="G4:I4"/>
    <mergeCell ref="K4:M4"/>
    <mergeCell ref="C3:M3"/>
    <mergeCell ref="B3:B5"/>
    <mergeCell ref="A3:A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39"/>
  <sheetViews>
    <sheetView workbookViewId="0">
      <selection activeCell="A11" sqref="A11"/>
    </sheetView>
  </sheetViews>
  <sheetFormatPr defaultRowHeight="15"/>
  <cols>
    <col min="1" max="1" width="19.5703125" style="26" customWidth="1"/>
    <col min="2" max="5" width="9.140625" style="26"/>
    <col min="6" max="6" width="3.7109375" style="26" customWidth="1"/>
    <col min="7" max="9" width="9.140625" style="26"/>
    <col min="10" max="10" width="3.5703125" style="26" customWidth="1"/>
    <col min="11" max="13" width="9.140625" style="26"/>
    <col min="14" max="14" width="2.7109375" style="26" customWidth="1"/>
    <col min="15" max="17" width="9.140625" style="26"/>
    <col min="18" max="18" width="3.5703125" style="26" customWidth="1"/>
    <col min="19" max="16384" width="9.140625" style="26"/>
  </cols>
  <sheetData>
    <row r="1" spans="1:21">
      <c r="A1" s="1065" t="s">
        <v>589</v>
      </c>
      <c r="B1" s="1065"/>
      <c r="C1" s="1065"/>
      <c r="D1" s="1065"/>
      <c r="E1" s="1065"/>
      <c r="F1" s="1065"/>
      <c r="G1" s="1065"/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5"/>
      <c r="U1" s="1065"/>
    </row>
    <row r="2" spans="1:21">
      <c r="A2" s="1065"/>
      <c r="B2" s="1065"/>
      <c r="C2" s="1065"/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  <c r="U2" s="1065"/>
    </row>
    <row r="3" spans="1:21" ht="12" customHeight="1">
      <c r="A3" s="1068" t="s">
        <v>314</v>
      </c>
      <c r="B3" s="1070" t="s">
        <v>293</v>
      </c>
      <c r="C3" s="1067" t="s">
        <v>587</v>
      </c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067"/>
      <c r="O3" s="1067"/>
      <c r="P3" s="1067"/>
      <c r="Q3" s="1067"/>
      <c r="R3" s="1067"/>
      <c r="S3" s="1067"/>
      <c r="T3" s="1067"/>
      <c r="U3" s="1067"/>
    </row>
    <row r="4" spans="1:21" ht="14.25" customHeight="1">
      <c r="A4" s="1069"/>
      <c r="B4" s="1071"/>
      <c r="C4" s="1066" t="s">
        <v>294</v>
      </c>
      <c r="D4" s="1066"/>
      <c r="E4" s="1066"/>
      <c r="F4" s="451"/>
      <c r="G4" s="1066" t="s">
        <v>295</v>
      </c>
      <c r="H4" s="1066"/>
      <c r="I4" s="1066"/>
      <c r="J4" s="451"/>
      <c r="K4" s="1066" t="s">
        <v>296</v>
      </c>
      <c r="L4" s="1066"/>
      <c r="M4" s="1066"/>
      <c r="N4" s="451"/>
      <c r="O4" s="1066" t="s">
        <v>297</v>
      </c>
      <c r="P4" s="1066"/>
      <c r="Q4" s="1066"/>
      <c r="R4" s="451"/>
      <c r="S4" s="1066" t="s">
        <v>298</v>
      </c>
      <c r="T4" s="1066"/>
      <c r="U4" s="1066"/>
    </row>
    <row r="5" spans="1:21">
      <c r="A5" s="1069"/>
      <c r="B5" s="1071"/>
      <c r="C5" s="410" t="s">
        <v>0</v>
      </c>
      <c r="D5" s="410" t="s">
        <v>1</v>
      </c>
      <c r="E5" s="410" t="s">
        <v>2</v>
      </c>
      <c r="F5" s="410"/>
      <c r="G5" s="410" t="s">
        <v>0</v>
      </c>
      <c r="H5" s="410" t="s">
        <v>1</v>
      </c>
      <c r="I5" s="410" t="s">
        <v>2</v>
      </c>
      <c r="J5" s="410"/>
      <c r="K5" s="410" t="s">
        <v>0</v>
      </c>
      <c r="L5" s="410" t="s">
        <v>1</v>
      </c>
      <c r="M5" s="410" t="s">
        <v>2</v>
      </c>
      <c r="N5" s="410"/>
      <c r="O5" s="410" t="s">
        <v>0</v>
      </c>
      <c r="P5" s="410" t="s">
        <v>1</v>
      </c>
      <c r="Q5" s="410" t="s">
        <v>2</v>
      </c>
      <c r="R5" s="410"/>
      <c r="S5" s="410" t="s">
        <v>0</v>
      </c>
      <c r="T5" s="410" t="s">
        <v>1</v>
      </c>
      <c r="U5" s="410" t="s">
        <v>2</v>
      </c>
    </row>
    <row r="6" spans="1:21">
      <c r="A6" s="452" t="s">
        <v>147</v>
      </c>
      <c r="B6" s="453">
        <v>186934.98695171738</v>
      </c>
      <c r="C6" s="453">
        <v>7970.6656721826275</v>
      </c>
      <c r="D6" s="453">
        <v>3829.8540339138235</v>
      </c>
      <c r="E6" s="453">
        <v>4140.8116382687413</v>
      </c>
      <c r="F6" s="453"/>
      <c r="G6" s="453">
        <v>87598.595220252115</v>
      </c>
      <c r="H6" s="453">
        <v>43368.137588072765</v>
      </c>
      <c r="I6" s="453">
        <v>44230.45763228093</v>
      </c>
      <c r="J6" s="453"/>
      <c r="K6" s="453">
        <v>58289.370026428674</v>
      </c>
      <c r="L6" s="453">
        <v>29907.891068837998</v>
      </c>
      <c r="M6" s="453">
        <v>28381.478957586438</v>
      </c>
      <c r="N6" s="453"/>
      <c r="O6" s="453">
        <v>27495.766571953514</v>
      </c>
      <c r="P6" s="453">
        <v>14556.102087593696</v>
      </c>
      <c r="Q6" s="453">
        <v>12939.66448436224</v>
      </c>
      <c r="R6" s="453"/>
      <c r="S6" s="453">
        <v>5580.5894610649993</v>
      </c>
      <c r="T6" s="453">
        <v>3152.0433628313417</v>
      </c>
      <c r="U6" s="453">
        <v>2428.5460982339273</v>
      </c>
    </row>
    <row r="7" spans="1:21">
      <c r="A7" s="454"/>
      <c r="B7" s="455"/>
      <c r="C7" s="455"/>
      <c r="D7" s="455"/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/>
      <c r="P7" s="455"/>
      <c r="Q7" s="455"/>
      <c r="R7" s="455"/>
      <c r="S7" s="455"/>
      <c r="T7" s="455"/>
      <c r="U7" s="455"/>
    </row>
    <row r="8" spans="1:21" ht="15.75" customHeight="1">
      <c r="A8" s="452" t="s">
        <v>3</v>
      </c>
      <c r="B8" s="453"/>
      <c r="C8" s="453"/>
      <c r="D8" s="453"/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</row>
    <row r="9" spans="1:21">
      <c r="A9" s="454" t="s">
        <v>4</v>
      </c>
      <c r="B9" s="455">
        <v>147080.10476785366</v>
      </c>
      <c r="C9" s="455">
        <v>6024.3107242421975</v>
      </c>
      <c r="D9" s="455">
        <v>2890.0179711182686</v>
      </c>
      <c r="E9" s="455">
        <v>3134.2927531238593</v>
      </c>
      <c r="F9" s="455"/>
      <c r="G9" s="455">
        <v>68924.024102298747</v>
      </c>
      <c r="H9" s="455">
        <v>33715.543393084023</v>
      </c>
      <c r="I9" s="455">
        <v>35208.480709292555</v>
      </c>
      <c r="J9" s="455"/>
      <c r="K9" s="455">
        <v>41067.460801909088</v>
      </c>
      <c r="L9" s="455">
        <v>20561.900974861575</v>
      </c>
      <c r="M9" s="455">
        <v>20505.559827046061</v>
      </c>
      <c r="N9" s="455"/>
      <c r="O9" s="455">
        <v>25666.472319391796</v>
      </c>
      <c r="P9" s="455">
        <v>13311.442832238645</v>
      </c>
      <c r="Q9" s="455">
        <v>12355.029487154321</v>
      </c>
      <c r="R9" s="455"/>
      <c r="S9" s="455">
        <v>5397.8368201848725</v>
      </c>
      <c r="T9" s="455">
        <v>3013.9325523926586</v>
      </c>
      <c r="U9" s="455">
        <v>2383.9042677924594</v>
      </c>
    </row>
    <row r="10" spans="1:21">
      <c r="A10" s="454" t="s">
        <v>5</v>
      </c>
      <c r="B10" s="455">
        <v>39854.882183904934</v>
      </c>
      <c r="C10" s="455">
        <v>1946.35494794037</v>
      </c>
      <c r="D10" s="455">
        <v>939.83606279548792</v>
      </c>
      <c r="E10" s="455">
        <v>1006.5188851448106</v>
      </c>
      <c r="F10" s="455"/>
      <c r="G10" s="455">
        <v>18674.571118011765</v>
      </c>
      <c r="H10" s="455">
        <v>9652.5941950055385</v>
      </c>
      <c r="I10" s="455">
        <v>9021.9769230050169</v>
      </c>
      <c r="J10" s="455"/>
      <c r="K10" s="455">
        <v>17221.909224518102</v>
      </c>
      <c r="L10" s="455">
        <v>9345.9900939761865</v>
      </c>
      <c r="M10" s="455">
        <v>7875.9191305400382</v>
      </c>
      <c r="N10" s="455"/>
      <c r="O10" s="455">
        <v>1829.2942525621058</v>
      </c>
      <c r="P10" s="455">
        <v>1244.6592553544733</v>
      </c>
      <c r="Q10" s="455">
        <v>584.63499720762411</v>
      </c>
      <c r="R10" s="455"/>
      <c r="S10" s="455">
        <v>182.7526408801568</v>
      </c>
      <c r="T10" s="455">
        <v>138.11081043868657</v>
      </c>
      <c r="U10" s="455">
        <v>44.641830441470432</v>
      </c>
    </row>
    <row r="11" spans="1:21" ht="17.25" customHeight="1">
      <c r="A11" s="1184" t="s">
        <v>593</v>
      </c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</row>
    <row r="12" spans="1:21">
      <c r="A12" s="456" t="s">
        <v>148</v>
      </c>
      <c r="B12" s="457">
        <v>142393.76243150196</v>
      </c>
      <c r="C12" s="458">
        <v>5854.0301073107748</v>
      </c>
      <c r="D12" s="458">
        <v>2810.6391530778074</v>
      </c>
      <c r="E12" s="458">
        <v>3043.3909542329025</v>
      </c>
      <c r="F12" s="458"/>
      <c r="G12" s="458">
        <v>65440.690463727384</v>
      </c>
      <c r="H12" s="458">
        <v>32049.377205546374</v>
      </c>
      <c r="I12" s="458">
        <v>33391.313258255854</v>
      </c>
      <c r="J12" s="458"/>
      <c r="K12" s="458">
        <v>41711.971148308148</v>
      </c>
      <c r="L12" s="458">
        <v>21268.230650770016</v>
      </c>
      <c r="M12" s="458">
        <v>20443.740497539482</v>
      </c>
      <c r="N12" s="458"/>
      <c r="O12" s="458">
        <v>24153.250075752705</v>
      </c>
      <c r="P12" s="458">
        <v>12510.647462714687</v>
      </c>
      <c r="Q12" s="458">
        <v>11642.602613038178</v>
      </c>
      <c r="R12" s="458"/>
      <c r="S12" s="458">
        <v>5233.8206365714022</v>
      </c>
      <c r="T12" s="458">
        <v>2900.1412907989766</v>
      </c>
      <c r="U12" s="458">
        <v>2333.6793457726517</v>
      </c>
    </row>
    <row r="13" spans="1:21">
      <c r="A13" s="460" t="s">
        <v>148</v>
      </c>
      <c r="B13" s="455">
        <v>142393.76243150196</v>
      </c>
      <c r="C13" s="455">
        <v>5854.0301073107748</v>
      </c>
      <c r="D13" s="455">
        <v>2810.6391530778074</v>
      </c>
      <c r="E13" s="455">
        <v>3043.3909542329025</v>
      </c>
      <c r="F13" s="455"/>
      <c r="G13" s="455">
        <v>65440.690463727384</v>
      </c>
      <c r="H13" s="455">
        <v>32049.377205546374</v>
      </c>
      <c r="I13" s="455">
        <v>33391.313258255854</v>
      </c>
      <c r="J13" s="455"/>
      <c r="K13" s="455">
        <v>41711.971148308148</v>
      </c>
      <c r="L13" s="455">
        <v>21268.230650770016</v>
      </c>
      <c r="M13" s="455">
        <v>20443.740497539482</v>
      </c>
      <c r="N13" s="455"/>
      <c r="O13" s="455">
        <v>24153.250075752705</v>
      </c>
      <c r="P13" s="455">
        <v>12510.647462714687</v>
      </c>
      <c r="Q13" s="455">
        <v>11642.602613038178</v>
      </c>
      <c r="R13" s="455"/>
      <c r="S13" s="455">
        <v>5233.8206365714022</v>
      </c>
      <c r="T13" s="455">
        <v>2900.1412907989766</v>
      </c>
      <c r="U13" s="455">
        <v>2333.6793457726517</v>
      </c>
    </row>
    <row r="14" spans="1:21">
      <c r="A14" s="456" t="s">
        <v>149</v>
      </c>
      <c r="B14" s="457">
        <v>8130.6897529825337</v>
      </c>
      <c r="C14" s="458">
        <v>240.36559178308218</v>
      </c>
      <c r="D14" s="458">
        <v>120.79179229224762</v>
      </c>
      <c r="E14" s="458">
        <v>119.57379949083482</v>
      </c>
      <c r="F14" s="458"/>
      <c r="G14" s="458">
        <v>3446.501852672116</v>
      </c>
      <c r="H14" s="458">
        <v>1759.3593672583688</v>
      </c>
      <c r="I14" s="458">
        <v>1687.142485413696</v>
      </c>
      <c r="J14" s="458"/>
      <c r="K14" s="458">
        <v>3586.9775519618224</v>
      </c>
      <c r="L14" s="458">
        <v>1921.4647664190545</v>
      </c>
      <c r="M14" s="458">
        <v>1665.5127855428395</v>
      </c>
      <c r="N14" s="458"/>
      <c r="O14" s="458">
        <v>760.54165248800496</v>
      </c>
      <c r="P14" s="458">
        <v>471.45009233707174</v>
      </c>
      <c r="Q14" s="458">
        <v>289.09156015093481</v>
      </c>
      <c r="R14" s="458"/>
      <c r="S14" s="458">
        <v>96.303104077539189</v>
      </c>
      <c r="T14" s="458">
        <v>69.129684683412677</v>
      </c>
      <c r="U14" s="458">
        <v>27.173419394126487</v>
      </c>
    </row>
    <row r="15" spans="1:21">
      <c r="A15" s="460" t="s">
        <v>149</v>
      </c>
      <c r="B15" s="455">
        <v>8130.6897529825337</v>
      </c>
      <c r="C15" s="455">
        <v>240.36559178308218</v>
      </c>
      <c r="D15" s="455">
        <v>120.79179229224762</v>
      </c>
      <c r="E15" s="455">
        <v>119.57379949083482</v>
      </c>
      <c r="F15" s="455"/>
      <c r="G15" s="455">
        <v>3446.501852672116</v>
      </c>
      <c r="H15" s="455">
        <v>1759.3593672583688</v>
      </c>
      <c r="I15" s="455">
        <v>1687.142485413696</v>
      </c>
      <c r="J15" s="455"/>
      <c r="K15" s="455">
        <v>3586.9775519618224</v>
      </c>
      <c r="L15" s="455">
        <v>1921.4647664190545</v>
      </c>
      <c r="M15" s="455">
        <v>1665.5127855428395</v>
      </c>
      <c r="N15" s="455"/>
      <c r="O15" s="455">
        <v>760.54165248800496</v>
      </c>
      <c r="P15" s="455">
        <v>471.45009233707174</v>
      </c>
      <c r="Q15" s="455">
        <v>289.09156015093481</v>
      </c>
      <c r="R15" s="455"/>
      <c r="S15" s="455">
        <v>96.303104077539189</v>
      </c>
      <c r="T15" s="455">
        <v>69.129684683412677</v>
      </c>
      <c r="U15" s="455">
        <v>27.173419394126487</v>
      </c>
    </row>
    <row r="16" spans="1:21">
      <c r="A16" s="456" t="s">
        <v>150</v>
      </c>
      <c r="B16" s="457">
        <v>4723.6785650587863</v>
      </c>
      <c r="C16" s="458">
        <v>204.47038850289977</v>
      </c>
      <c r="D16" s="458">
        <v>89.779540805721311</v>
      </c>
      <c r="E16" s="458">
        <v>114.6908476971787</v>
      </c>
      <c r="F16" s="458"/>
      <c r="G16" s="458">
        <v>2396.7229508553282</v>
      </c>
      <c r="H16" s="458">
        <v>1188.4076109099167</v>
      </c>
      <c r="I16" s="458">
        <v>1208.3153399453513</v>
      </c>
      <c r="J16" s="458"/>
      <c r="K16" s="458">
        <v>1683.8162083070099</v>
      </c>
      <c r="L16" s="458">
        <v>834.01984635085989</v>
      </c>
      <c r="M16" s="458">
        <v>849.7963619561466</v>
      </c>
      <c r="N16" s="458"/>
      <c r="O16" s="458">
        <v>401.27365922930136</v>
      </c>
      <c r="P16" s="458">
        <v>233.61490448161169</v>
      </c>
      <c r="Q16" s="458">
        <v>167.65875474768936</v>
      </c>
      <c r="R16" s="458"/>
      <c r="S16" s="458">
        <v>37.395358164249444</v>
      </c>
      <c r="T16" s="458">
        <v>22.997814529857258</v>
      </c>
      <c r="U16" s="458">
        <v>14.397543634392166</v>
      </c>
    </row>
    <row r="17" spans="1:21">
      <c r="A17" s="460" t="s">
        <v>150</v>
      </c>
      <c r="B17" s="455">
        <v>4723.6785650587863</v>
      </c>
      <c r="C17" s="455">
        <v>204.47038850289977</v>
      </c>
      <c r="D17" s="455">
        <v>89.779540805721311</v>
      </c>
      <c r="E17" s="455">
        <v>114.6908476971787</v>
      </c>
      <c r="F17" s="455"/>
      <c r="G17" s="455">
        <v>2396.7229508553282</v>
      </c>
      <c r="H17" s="455">
        <v>1188.4076109099167</v>
      </c>
      <c r="I17" s="455">
        <v>1208.3153399453513</v>
      </c>
      <c r="J17" s="455"/>
      <c r="K17" s="455">
        <v>1683.8162083070099</v>
      </c>
      <c r="L17" s="455">
        <v>834.01984635085989</v>
      </c>
      <c r="M17" s="455">
        <v>849.7963619561466</v>
      </c>
      <c r="N17" s="455"/>
      <c r="O17" s="455">
        <v>401.27365922930136</v>
      </c>
      <c r="P17" s="455">
        <v>233.61490448161169</v>
      </c>
      <c r="Q17" s="455">
        <v>167.65875474768936</v>
      </c>
      <c r="R17" s="455"/>
      <c r="S17" s="455">
        <v>37.395358164249444</v>
      </c>
      <c r="T17" s="455">
        <v>22.997814529857258</v>
      </c>
      <c r="U17" s="455">
        <v>14.397543634392166</v>
      </c>
    </row>
    <row r="18" spans="1:21">
      <c r="A18" s="456" t="s">
        <v>151</v>
      </c>
      <c r="B18" s="457">
        <v>7992.9200023979629</v>
      </c>
      <c r="C18" s="458">
        <v>410.82127972202443</v>
      </c>
      <c r="D18" s="458">
        <v>197.69234159605426</v>
      </c>
      <c r="E18" s="458">
        <v>213.12893812597039</v>
      </c>
      <c r="F18" s="458"/>
      <c r="G18" s="458">
        <v>4247.7945518173801</v>
      </c>
      <c r="H18" s="458">
        <v>2090.2997064959909</v>
      </c>
      <c r="I18" s="458">
        <v>2157.4948453213415</v>
      </c>
      <c r="J18" s="458"/>
      <c r="K18" s="458">
        <v>2292.4913754693812</v>
      </c>
      <c r="L18" s="458">
        <v>1149.8948132101441</v>
      </c>
      <c r="M18" s="458">
        <v>1142.5965622592528</v>
      </c>
      <c r="N18" s="458"/>
      <c r="O18" s="458">
        <v>969.79711047255989</v>
      </c>
      <c r="P18" s="458">
        <v>497.43531255199446</v>
      </c>
      <c r="Q18" s="458">
        <v>472.36179792057129</v>
      </c>
      <c r="R18" s="458"/>
      <c r="S18" s="458">
        <v>72.015684916694227</v>
      </c>
      <c r="T18" s="458">
        <v>50.378766584190629</v>
      </c>
      <c r="U18" s="458">
        <v>21.636918332503566</v>
      </c>
    </row>
    <row r="19" spans="1:21">
      <c r="A19" s="460" t="s">
        <v>151</v>
      </c>
      <c r="B19" s="455">
        <v>7992.9200023979629</v>
      </c>
      <c r="C19" s="455">
        <v>410.82127972202443</v>
      </c>
      <c r="D19" s="455">
        <v>197.69234159605426</v>
      </c>
      <c r="E19" s="455">
        <v>213.12893812597039</v>
      </c>
      <c r="F19" s="455"/>
      <c r="G19" s="455">
        <v>4247.7945518173801</v>
      </c>
      <c r="H19" s="455">
        <v>2090.2997064959909</v>
      </c>
      <c r="I19" s="455">
        <v>2157.4948453213415</v>
      </c>
      <c r="J19" s="455"/>
      <c r="K19" s="455">
        <v>2292.4913754693812</v>
      </c>
      <c r="L19" s="455">
        <v>1149.8948132101441</v>
      </c>
      <c r="M19" s="455">
        <v>1142.5965622592528</v>
      </c>
      <c r="N19" s="455"/>
      <c r="O19" s="455">
        <v>969.79711047255989</v>
      </c>
      <c r="P19" s="455">
        <v>497.43531255199446</v>
      </c>
      <c r="Q19" s="455">
        <v>472.36179792057129</v>
      </c>
      <c r="R19" s="455"/>
      <c r="S19" s="455">
        <v>72.015684916694227</v>
      </c>
      <c r="T19" s="455">
        <v>50.378766584190629</v>
      </c>
      <c r="U19" s="455">
        <v>21.636918332503566</v>
      </c>
    </row>
    <row r="20" spans="1:21">
      <c r="A20" s="456" t="s">
        <v>152</v>
      </c>
      <c r="B20" s="457">
        <v>2337.5278844873692</v>
      </c>
      <c r="C20" s="458">
        <v>114.35821826456542</v>
      </c>
      <c r="D20" s="458">
        <v>50.873228814546287</v>
      </c>
      <c r="E20" s="458">
        <v>63.484989450019313</v>
      </c>
      <c r="F20" s="458"/>
      <c r="G20" s="458">
        <v>1405.4894591476948</v>
      </c>
      <c r="H20" s="458">
        <v>696.66814048751178</v>
      </c>
      <c r="I20" s="458">
        <v>708.82131866016221</v>
      </c>
      <c r="J20" s="458"/>
      <c r="K20" s="458">
        <v>557.11568371342446</v>
      </c>
      <c r="L20" s="458">
        <v>272.42400279395281</v>
      </c>
      <c r="M20" s="458">
        <v>284.6916809194704</v>
      </c>
      <c r="N20" s="458"/>
      <c r="O20" s="458">
        <v>207.30245101656516</v>
      </c>
      <c r="P20" s="458">
        <v>140.05668605747184</v>
      </c>
      <c r="Q20" s="458">
        <v>67.245764959093478</v>
      </c>
      <c r="R20" s="458"/>
      <c r="S20" s="458">
        <v>53.262072345102837</v>
      </c>
      <c r="T20" s="458">
        <v>38.837684662797884</v>
      </c>
      <c r="U20" s="458">
        <v>14.424387682304928</v>
      </c>
    </row>
    <row r="21" spans="1:21">
      <c r="A21" s="460" t="s">
        <v>152</v>
      </c>
      <c r="B21" s="455">
        <v>1666.9636573259713</v>
      </c>
      <c r="C21" s="455">
        <v>90.274371937468146</v>
      </c>
      <c r="D21" s="455">
        <v>41.507288576230636</v>
      </c>
      <c r="E21" s="455">
        <v>48.767083361237567</v>
      </c>
      <c r="F21" s="455"/>
      <c r="G21" s="455">
        <v>1030.2397325580901</v>
      </c>
      <c r="H21" s="455">
        <v>507.89021731753274</v>
      </c>
      <c r="I21" s="455">
        <v>522.34951524055691</v>
      </c>
      <c r="J21" s="455"/>
      <c r="K21" s="455">
        <v>361.82694082908148</v>
      </c>
      <c r="L21" s="455">
        <v>165.38216223470997</v>
      </c>
      <c r="M21" s="455">
        <v>196.44477859437058</v>
      </c>
      <c r="N21" s="455"/>
      <c r="O21" s="455">
        <v>137.10345068121472</v>
      </c>
      <c r="P21" s="455">
        <v>88.358537067810971</v>
      </c>
      <c r="Q21" s="455">
        <v>48.744913613403803</v>
      </c>
      <c r="R21" s="455"/>
      <c r="S21" s="455">
        <v>47.519161320093623</v>
      </c>
      <c r="T21" s="455">
        <v>34.537324675701214</v>
      </c>
      <c r="U21" s="455">
        <v>12.981836644392379</v>
      </c>
    </row>
    <row r="22" spans="1:21">
      <c r="A22" s="460" t="s">
        <v>153</v>
      </c>
      <c r="B22" s="455">
        <v>670.56422716138343</v>
      </c>
      <c r="C22" s="455">
        <v>24.083846327097344</v>
      </c>
      <c r="D22" s="455">
        <v>9.3659402383156358</v>
      </c>
      <c r="E22" s="455">
        <v>14.717906088781715</v>
      </c>
      <c r="F22" s="455"/>
      <c r="G22" s="455">
        <v>375.24972658958393</v>
      </c>
      <c r="H22" s="455">
        <v>188.77792316997855</v>
      </c>
      <c r="I22" s="455">
        <v>186.47180341960529</v>
      </c>
      <c r="J22" s="455"/>
      <c r="K22" s="455">
        <v>195.28874288434235</v>
      </c>
      <c r="L22" s="455">
        <v>107.04184055924284</v>
      </c>
      <c r="M22" s="455">
        <v>88.24690232509964</v>
      </c>
      <c r="N22" s="455"/>
      <c r="O22" s="455">
        <v>70.199000335350604</v>
      </c>
      <c r="P22" s="455">
        <v>51.698148989660936</v>
      </c>
      <c r="Q22" s="455">
        <v>18.500851345689657</v>
      </c>
      <c r="R22" s="455"/>
      <c r="S22" s="455">
        <v>5.7429110250092101</v>
      </c>
      <c r="T22" s="455">
        <v>4.3003599870966607</v>
      </c>
      <c r="U22" s="455">
        <v>1.4425510379125499</v>
      </c>
    </row>
    <row r="23" spans="1:21">
      <c r="A23" s="456" t="s">
        <v>154</v>
      </c>
      <c r="B23" s="457">
        <v>350.9831449694114</v>
      </c>
      <c r="C23" s="458">
        <v>9.3659402383156358</v>
      </c>
      <c r="D23" s="458">
        <v>5.351965850466077</v>
      </c>
      <c r="E23" s="458">
        <v>4.013974387849558</v>
      </c>
      <c r="F23" s="458"/>
      <c r="G23" s="458">
        <v>247.4042868967031</v>
      </c>
      <c r="H23" s="458">
        <v>141.16979742782837</v>
      </c>
      <c r="I23" s="458">
        <v>106.23448946887503</v>
      </c>
      <c r="J23" s="458"/>
      <c r="K23" s="458">
        <v>79.916775509362267</v>
      </c>
      <c r="L23" s="458">
        <v>50.701284529436805</v>
      </c>
      <c r="M23" s="458">
        <v>29.215490979925473</v>
      </c>
      <c r="N23" s="458"/>
      <c r="O23" s="458">
        <v>14.296142325030132</v>
      </c>
      <c r="P23" s="458">
        <v>10.043720090834098</v>
      </c>
      <c r="Q23" s="458">
        <v>4.2524222341960343</v>
      </c>
      <c r="R23" s="458"/>
      <c r="S23" s="458">
        <v>0</v>
      </c>
      <c r="T23" s="458">
        <v>0</v>
      </c>
      <c r="U23" s="458">
        <v>0</v>
      </c>
    </row>
    <row r="24" spans="1:21">
      <c r="A24" s="460" t="s">
        <v>154</v>
      </c>
      <c r="B24" s="455">
        <v>143.86345792304178</v>
      </c>
      <c r="C24" s="455">
        <v>1.3379914626165192</v>
      </c>
      <c r="D24" s="455">
        <v>0</v>
      </c>
      <c r="E24" s="455">
        <v>1.3379914626165192</v>
      </c>
      <c r="F24" s="455"/>
      <c r="G24" s="455">
        <v>104.72741548472452</v>
      </c>
      <c r="H24" s="455">
        <v>59.823157530445883</v>
      </c>
      <c r="I24" s="455">
        <v>44.904257954278755</v>
      </c>
      <c r="J24" s="455"/>
      <c r="K24" s="455">
        <v>33.497466449240044</v>
      </c>
      <c r="L24" s="455">
        <v>20.858424392430596</v>
      </c>
      <c r="M24" s="455">
        <v>12.639042056809441</v>
      </c>
      <c r="N24" s="455"/>
      <c r="O24" s="455">
        <v>4.3005845264607743</v>
      </c>
      <c r="P24" s="455">
        <v>4.3005845264607743</v>
      </c>
      <c r="Q24" s="455">
        <v>0</v>
      </c>
      <c r="R24" s="455"/>
      <c r="S24" s="455">
        <v>0</v>
      </c>
      <c r="T24" s="455">
        <v>0</v>
      </c>
      <c r="U24" s="455">
        <v>0</v>
      </c>
    </row>
    <row r="25" spans="1:21">
      <c r="A25" s="460" t="s">
        <v>155</v>
      </c>
      <c r="B25" s="455">
        <v>207.11968704636942</v>
      </c>
      <c r="C25" s="455">
        <v>8.0279487756991159</v>
      </c>
      <c r="D25" s="455">
        <v>5.351965850466077</v>
      </c>
      <c r="E25" s="455">
        <v>2.6759829252330385</v>
      </c>
      <c r="F25" s="455"/>
      <c r="G25" s="455">
        <v>142.67687141197888</v>
      </c>
      <c r="H25" s="455">
        <v>81.346639897382715</v>
      </c>
      <c r="I25" s="455">
        <v>61.330231514596392</v>
      </c>
      <c r="J25" s="455"/>
      <c r="K25" s="455">
        <v>46.419309060122252</v>
      </c>
      <c r="L25" s="455">
        <v>29.842860137006202</v>
      </c>
      <c r="M25" s="455">
        <v>16.576448923116029</v>
      </c>
      <c r="N25" s="455"/>
      <c r="O25" s="455">
        <v>9.995557798569358</v>
      </c>
      <c r="P25" s="455">
        <v>5.7431355643733237</v>
      </c>
      <c r="Q25" s="455">
        <v>4.2524222341960343</v>
      </c>
      <c r="R25" s="455"/>
      <c r="S25" s="455">
        <v>0</v>
      </c>
      <c r="T25" s="455">
        <v>0</v>
      </c>
      <c r="U25" s="455">
        <v>0</v>
      </c>
    </row>
    <row r="26" spans="1:21">
      <c r="A26" s="456" t="s">
        <v>156</v>
      </c>
      <c r="B26" s="457">
        <v>5631.5957152691308</v>
      </c>
      <c r="C26" s="458">
        <v>279.06821470338116</v>
      </c>
      <c r="D26" s="458">
        <v>139.44866642870133</v>
      </c>
      <c r="E26" s="458">
        <v>139.61954827468008</v>
      </c>
      <c r="F26" s="458"/>
      <c r="G26" s="458">
        <v>2814.0773411023638</v>
      </c>
      <c r="H26" s="458">
        <v>1423.3898007505186</v>
      </c>
      <c r="I26" s="458">
        <v>1390.6875403517929</v>
      </c>
      <c r="J26" s="458"/>
      <c r="K26" s="458">
        <v>2290.3352947703652</v>
      </c>
      <c r="L26" s="458">
        <v>1160.8879116084875</v>
      </c>
      <c r="M26" s="458">
        <v>1129.4473831618811</v>
      </c>
      <c r="N26" s="458"/>
      <c r="O26" s="458">
        <v>216.42172091036178</v>
      </c>
      <c r="P26" s="458">
        <v>146.64322009579413</v>
      </c>
      <c r="Q26" s="458">
        <v>69.778500814567707</v>
      </c>
      <c r="R26" s="458"/>
      <c r="S26" s="458">
        <v>31.693143782675456</v>
      </c>
      <c r="T26" s="458">
        <v>27.365490668937802</v>
      </c>
      <c r="U26" s="458">
        <v>4.3276531137376502</v>
      </c>
    </row>
    <row r="27" spans="1:21">
      <c r="A27" s="460" t="s">
        <v>156</v>
      </c>
      <c r="B27" s="455">
        <v>2381.0813585913447</v>
      </c>
      <c r="C27" s="455">
        <v>131.49820864102142</v>
      </c>
      <c r="D27" s="455">
        <v>67.092567872113506</v>
      </c>
      <c r="E27" s="455">
        <v>64.405640768908157</v>
      </c>
      <c r="F27" s="455"/>
      <c r="G27" s="455">
        <v>1405.5159189900926</v>
      </c>
      <c r="H27" s="455">
        <v>736.42836767628467</v>
      </c>
      <c r="I27" s="455">
        <v>669.08755131378837</v>
      </c>
      <c r="J27" s="455"/>
      <c r="K27" s="455">
        <v>745.20093963461625</v>
      </c>
      <c r="L27" s="455">
        <v>382.1015644061182</v>
      </c>
      <c r="M27" s="455">
        <v>363.09937522849896</v>
      </c>
      <c r="N27" s="455"/>
      <c r="O27" s="455">
        <v>81.583645615371125</v>
      </c>
      <c r="P27" s="455">
        <v>45.826094449920483</v>
      </c>
      <c r="Q27" s="455">
        <v>35.757551165450629</v>
      </c>
      <c r="R27" s="455"/>
      <c r="S27" s="455">
        <v>17.282645710217267</v>
      </c>
      <c r="T27" s="455">
        <v>17.282645710217267</v>
      </c>
      <c r="U27" s="455">
        <v>0</v>
      </c>
    </row>
    <row r="28" spans="1:21">
      <c r="A28" s="460" t="s">
        <v>157</v>
      </c>
      <c r="B28" s="455">
        <v>3250.5143566777924</v>
      </c>
      <c r="C28" s="455">
        <v>147.57000606235999</v>
      </c>
      <c r="D28" s="455">
        <v>72.356098556588094</v>
      </c>
      <c r="E28" s="455">
        <v>75.213907505772212</v>
      </c>
      <c r="F28" s="455"/>
      <c r="G28" s="455">
        <v>1408.561422112213</v>
      </c>
      <c r="H28" s="455">
        <v>686.96143307420664</v>
      </c>
      <c r="I28" s="455">
        <v>721.59998903798225</v>
      </c>
      <c r="J28" s="455"/>
      <c r="K28" s="455">
        <v>1545.1343551357552</v>
      </c>
      <c r="L28" s="455">
        <v>778.78634720236914</v>
      </c>
      <c r="M28" s="455">
        <v>766.34800793338286</v>
      </c>
      <c r="N28" s="455"/>
      <c r="O28" s="455">
        <v>134.83807529499074</v>
      </c>
      <c r="P28" s="455">
        <v>100.81712564587374</v>
      </c>
      <c r="Q28" s="455">
        <v>34.020949649117078</v>
      </c>
      <c r="R28" s="455"/>
      <c r="S28" s="455">
        <v>14.410498072458182</v>
      </c>
      <c r="T28" s="455">
        <v>10.082844958720534</v>
      </c>
      <c r="U28" s="455">
        <v>4.3276531137376502</v>
      </c>
    </row>
    <row r="29" spans="1:21">
      <c r="A29" s="456" t="s">
        <v>158</v>
      </c>
      <c r="B29" s="457">
        <v>4844.4218927701213</v>
      </c>
      <c r="C29" s="458">
        <v>323.33501165775982</v>
      </c>
      <c r="D29" s="458">
        <v>168.07176966796996</v>
      </c>
      <c r="E29" s="458">
        <v>155.26324198979012</v>
      </c>
      <c r="F29" s="458"/>
      <c r="G29" s="458">
        <v>2827.0015037703679</v>
      </c>
      <c r="H29" s="458">
        <v>1558.9473549945546</v>
      </c>
      <c r="I29" s="458">
        <v>1268.0541487757757</v>
      </c>
      <c r="J29" s="458"/>
      <c r="K29" s="458">
        <v>1253.4610453492867</v>
      </c>
      <c r="L29" s="458">
        <v>721.68421234626521</v>
      </c>
      <c r="M29" s="458">
        <v>531.77683300302238</v>
      </c>
      <c r="N29" s="458"/>
      <c r="O29" s="458">
        <v>417.57215574895707</v>
      </c>
      <c r="P29" s="458">
        <v>309.10226817813481</v>
      </c>
      <c r="Q29" s="458">
        <v>108.46988757082207</v>
      </c>
      <c r="R29" s="458"/>
      <c r="S29" s="458">
        <v>23.052176243775133</v>
      </c>
      <c r="T29" s="458">
        <v>21.609849745226693</v>
      </c>
      <c r="U29" s="458">
        <v>1.4423264985484361</v>
      </c>
    </row>
    <row r="30" spans="1:21">
      <c r="A30" s="460" t="s">
        <v>158</v>
      </c>
      <c r="B30" s="455">
        <v>4273.1076025279099</v>
      </c>
      <c r="C30" s="455">
        <v>273.82932754094878</v>
      </c>
      <c r="D30" s="455">
        <v>143.9879233408727</v>
      </c>
      <c r="E30" s="455">
        <v>129.84140420007634</v>
      </c>
      <c r="F30" s="455"/>
      <c r="G30" s="455">
        <v>2419.3133543612225</v>
      </c>
      <c r="H30" s="455">
        <v>1309.1728580647157</v>
      </c>
      <c r="I30" s="455">
        <v>1110.1404962964621</v>
      </c>
      <c r="J30" s="455"/>
      <c r="K30" s="455">
        <v>1155.079281995975</v>
      </c>
      <c r="L30" s="455">
        <v>661.4581042167415</v>
      </c>
      <c r="M30" s="455">
        <v>493.62117777923578</v>
      </c>
      <c r="N30" s="455"/>
      <c r="O30" s="455">
        <v>403.276013423927</v>
      </c>
      <c r="P30" s="455">
        <v>297.66415934165292</v>
      </c>
      <c r="Q30" s="455">
        <v>105.61185408227384</v>
      </c>
      <c r="R30" s="455"/>
      <c r="S30" s="455">
        <v>21.609625205862582</v>
      </c>
      <c r="T30" s="455">
        <v>20.167298707314142</v>
      </c>
      <c r="U30" s="455">
        <v>1.4423264985484361</v>
      </c>
    </row>
    <row r="31" spans="1:21">
      <c r="A31" s="460" t="s">
        <v>159</v>
      </c>
      <c r="B31" s="455">
        <v>571.31429024220392</v>
      </c>
      <c r="C31" s="455">
        <v>49.505684116811238</v>
      </c>
      <c r="D31" s="455">
        <v>24.083846327097344</v>
      </c>
      <c r="E31" s="455">
        <v>25.421837789713862</v>
      </c>
      <c r="F31" s="455"/>
      <c r="G31" s="455">
        <v>407.68814940913882</v>
      </c>
      <c r="H31" s="455">
        <v>249.77449692982961</v>
      </c>
      <c r="I31" s="455">
        <v>157.91365247930864</v>
      </c>
      <c r="J31" s="455"/>
      <c r="K31" s="455">
        <v>98.381763353310916</v>
      </c>
      <c r="L31" s="455">
        <v>60.226108129524356</v>
      </c>
      <c r="M31" s="455">
        <v>38.15565522378661</v>
      </c>
      <c r="N31" s="455"/>
      <c r="O31" s="455">
        <v>14.296142325030132</v>
      </c>
      <c r="P31" s="455">
        <v>11.438108836481907</v>
      </c>
      <c r="Q31" s="455">
        <v>2.8580334885482248</v>
      </c>
      <c r="R31" s="455"/>
      <c r="S31" s="455">
        <v>1.4425510379125499</v>
      </c>
      <c r="T31" s="455">
        <v>1.4425510379125499</v>
      </c>
      <c r="U31" s="455">
        <v>0</v>
      </c>
    </row>
    <row r="32" spans="1:21">
      <c r="A32" s="456" t="s">
        <v>160</v>
      </c>
      <c r="B32" s="457">
        <v>998.05029320599715</v>
      </c>
      <c r="C32" s="458">
        <v>69.813767657736832</v>
      </c>
      <c r="D32" s="458">
        <v>34.966883159470257</v>
      </c>
      <c r="E32" s="458">
        <v>34.846884498266554</v>
      </c>
      <c r="F32" s="458"/>
      <c r="G32" s="458">
        <v>701.79388849991187</v>
      </c>
      <c r="H32" s="458">
        <v>372.48140592005825</v>
      </c>
      <c r="I32" s="458">
        <v>329.31248257985374</v>
      </c>
      <c r="J32" s="458"/>
      <c r="K32" s="458">
        <v>212.01802482668046</v>
      </c>
      <c r="L32" s="458">
        <v>136.72435722908421</v>
      </c>
      <c r="M32" s="458">
        <v>75.29366759759634</v>
      </c>
      <c r="N32" s="458"/>
      <c r="O32" s="458">
        <v>11.539734685208057</v>
      </c>
      <c r="P32" s="458">
        <v>8.6548571487470713</v>
      </c>
      <c r="Q32" s="458">
        <v>2.8848775364609862</v>
      </c>
      <c r="R32" s="458"/>
      <c r="S32" s="458">
        <v>2.8848775364609862</v>
      </c>
      <c r="T32" s="458">
        <v>0</v>
      </c>
      <c r="U32" s="458">
        <v>2.8848775364609862</v>
      </c>
    </row>
    <row r="33" spans="1:21">
      <c r="A33" s="460" t="s">
        <v>160</v>
      </c>
      <c r="B33" s="455">
        <v>998.05029320599715</v>
      </c>
      <c r="C33" s="455">
        <v>69.813767657736832</v>
      </c>
      <c r="D33" s="455">
        <v>34.966883159470257</v>
      </c>
      <c r="E33" s="455">
        <v>34.846884498266554</v>
      </c>
      <c r="F33" s="455"/>
      <c r="G33" s="455">
        <v>701.79388849991187</v>
      </c>
      <c r="H33" s="455">
        <v>372.48140592005825</v>
      </c>
      <c r="I33" s="455">
        <v>329.31248257985374</v>
      </c>
      <c r="J33" s="455"/>
      <c r="K33" s="455">
        <v>212.01802482668046</v>
      </c>
      <c r="L33" s="455">
        <v>136.72435722908421</v>
      </c>
      <c r="M33" s="455">
        <v>75.29366759759634</v>
      </c>
      <c r="N33" s="455"/>
      <c r="O33" s="455">
        <v>11.539734685208057</v>
      </c>
      <c r="P33" s="455">
        <v>8.6548571487470713</v>
      </c>
      <c r="Q33" s="455">
        <v>2.8848775364609862</v>
      </c>
      <c r="R33" s="455"/>
      <c r="S33" s="455">
        <v>2.8848775364609862</v>
      </c>
      <c r="T33" s="455">
        <v>0</v>
      </c>
      <c r="U33" s="455">
        <v>2.8848775364609862</v>
      </c>
    </row>
    <row r="34" spans="1:21">
      <c r="A34" s="456" t="s">
        <v>161</v>
      </c>
      <c r="B34" s="457">
        <v>5412.8485066886788</v>
      </c>
      <c r="C34" s="458">
        <v>177.36404020810946</v>
      </c>
      <c r="D34" s="458">
        <v>83.089358953274626</v>
      </c>
      <c r="E34" s="458">
        <v>94.274681254835045</v>
      </c>
      <c r="F34" s="458"/>
      <c r="G34" s="458">
        <v>1794.5655386696312</v>
      </c>
      <c r="H34" s="458">
        <v>932.69267176179346</v>
      </c>
      <c r="I34" s="458">
        <v>861.87286690779172</v>
      </c>
      <c r="J34" s="458"/>
      <c r="K34" s="458">
        <v>3219.7047491668786</v>
      </c>
      <c r="L34" s="458">
        <v>1642.8015714430007</v>
      </c>
      <c r="M34" s="458">
        <v>1576.9031777239281</v>
      </c>
      <c r="N34" s="458"/>
      <c r="O34" s="458">
        <v>205.47593435988657</v>
      </c>
      <c r="P34" s="458">
        <v>129.94855823220408</v>
      </c>
      <c r="Q34" s="458">
        <v>75.527376127682629</v>
      </c>
      <c r="R34" s="458"/>
      <c r="S34" s="458">
        <v>15.738244284214455</v>
      </c>
      <c r="T34" s="458">
        <v>11.485822050018422</v>
      </c>
      <c r="U34" s="458">
        <v>4.2524222341960343</v>
      </c>
    </row>
    <row r="35" spans="1:21">
      <c r="A35" s="460" t="s">
        <v>161</v>
      </c>
      <c r="B35" s="455">
        <v>4048.4013308948174</v>
      </c>
      <c r="C35" s="455">
        <v>130.45662348914817</v>
      </c>
      <c r="D35" s="455">
        <v>63.0194870140269</v>
      </c>
      <c r="E35" s="455">
        <v>67.437136475121477</v>
      </c>
      <c r="F35" s="455"/>
      <c r="G35" s="455">
        <v>1516.4806883127299</v>
      </c>
      <c r="H35" s="455">
        <v>771.4304070909709</v>
      </c>
      <c r="I35" s="455">
        <v>745.05028122173167</v>
      </c>
      <c r="J35" s="455"/>
      <c r="K35" s="455">
        <v>2184.5774935626018</v>
      </c>
      <c r="L35" s="455">
        <v>1095.0650348406111</v>
      </c>
      <c r="M35" s="455">
        <v>1089.5124587219725</v>
      </c>
      <c r="N35" s="455"/>
      <c r="O35" s="455">
        <v>201.14828124614891</v>
      </c>
      <c r="P35" s="455">
        <v>127.06345615637899</v>
      </c>
      <c r="Q35" s="455">
        <v>74.084825089770078</v>
      </c>
      <c r="R35" s="455"/>
      <c r="S35" s="455">
        <v>15.738244284214455</v>
      </c>
      <c r="T35" s="455">
        <v>11.485822050018422</v>
      </c>
      <c r="U35" s="455">
        <v>4.2524222341960343</v>
      </c>
    </row>
    <row r="36" spans="1:21">
      <c r="A36" s="460" t="s">
        <v>162</v>
      </c>
      <c r="B36" s="455">
        <v>1364.4471757939114</v>
      </c>
      <c r="C36" s="455">
        <v>46.907416718961464</v>
      </c>
      <c r="D36" s="455">
        <v>20.06987193924779</v>
      </c>
      <c r="E36" s="455">
        <v>26.837544779713649</v>
      </c>
      <c r="F36" s="455"/>
      <c r="G36" s="455">
        <v>278.08485035688238</v>
      </c>
      <c r="H36" s="455">
        <v>161.2622646708225</v>
      </c>
      <c r="I36" s="455">
        <v>116.82258568606018</v>
      </c>
      <c r="J36" s="455"/>
      <c r="K36" s="455">
        <v>1035.1272556043173</v>
      </c>
      <c r="L36" s="455">
        <v>547.73653660237653</v>
      </c>
      <c r="M36" s="455">
        <v>487.39071900194739</v>
      </c>
      <c r="N36" s="455"/>
      <c r="O36" s="455">
        <v>4.3276531137376502</v>
      </c>
      <c r="P36" s="455">
        <v>2.8851020758250998</v>
      </c>
      <c r="Q36" s="455">
        <v>1.4425510379125499</v>
      </c>
      <c r="R36" s="455"/>
      <c r="S36" s="455">
        <v>0</v>
      </c>
      <c r="T36" s="455">
        <v>0</v>
      </c>
      <c r="U36" s="455">
        <v>0</v>
      </c>
    </row>
    <row r="37" spans="1:21">
      <c r="A37" s="456" t="s">
        <v>163</v>
      </c>
      <c r="B37" s="457">
        <v>4118.5087624417274</v>
      </c>
      <c r="C37" s="458">
        <v>287.67311213382948</v>
      </c>
      <c r="D37" s="458">
        <v>129.14933326749042</v>
      </c>
      <c r="E37" s="458">
        <v>158.52377886633917</v>
      </c>
      <c r="F37" s="458"/>
      <c r="G37" s="458">
        <v>2276.5533831587964</v>
      </c>
      <c r="H37" s="458">
        <v>1155.3445265381131</v>
      </c>
      <c r="I37" s="458">
        <v>1121.2088566206337</v>
      </c>
      <c r="J37" s="458"/>
      <c r="K37" s="458">
        <v>1401.5621690405567</v>
      </c>
      <c r="L37" s="458">
        <v>749.05765213764516</v>
      </c>
      <c r="M37" s="458">
        <v>652.50451690290845</v>
      </c>
      <c r="N37" s="458"/>
      <c r="O37" s="458">
        <v>138.29593496559497</v>
      </c>
      <c r="P37" s="458">
        <v>98.505005704191802</v>
      </c>
      <c r="Q37" s="458">
        <v>39.790929261403171</v>
      </c>
      <c r="R37" s="458"/>
      <c r="S37" s="458">
        <v>14.424163142940815</v>
      </c>
      <c r="T37" s="458">
        <v>10.096959107931394</v>
      </c>
      <c r="U37" s="458">
        <v>4.3272040350094221</v>
      </c>
    </row>
    <row r="38" spans="1:21">
      <c r="A38" s="460" t="s">
        <v>163</v>
      </c>
      <c r="B38" s="455">
        <v>2851.0919812892298</v>
      </c>
      <c r="C38" s="455">
        <v>161.47002298151477</v>
      </c>
      <c r="D38" s="455">
        <v>78.08288517229272</v>
      </c>
      <c r="E38" s="455">
        <v>83.387137809222267</v>
      </c>
      <c r="F38" s="455"/>
      <c r="G38" s="455">
        <v>1433.3235042449123</v>
      </c>
      <c r="H38" s="455">
        <v>742.11162135058669</v>
      </c>
      <c r="I38" s="455">
        <v>691.21188289430484</v>
      </c>
      <c r="J38" s="455"/>
      <c r="K38" s="455">
        <v>1122.031494086398</v>
      </c>
      <c r="L38" s="455">
        <v>586.7072117781297</v>
      </c>
      <c r="M38" s="455">
        <v>535.32428230826793</v>
      </c>
      <c r="N38" s="455"/>
      <c r="O38" s="455">
        <v>122.72789890926694</v>
      </c>
      <c r="P38" s="455">
        <v>88.557161119158962</v>
      </c>
      <c r="Q38" s="455">
        <v>34.170737790107971</v>
      </c>
      <c r="R38" s="455"/>
      <c r="S38" s="455">
        <v>11.539061067115716</v>
      </c>
      <c r="T38" s="455">
        <v>7.2118570321062947</v>
      </c>
      <c r="U38" s="455">
        <v>4.3272040350094221</v>
      </c>
    </row>
    <row r="39" spans="1:21" ht="15.75" thickBot="1">
      <c r="A39" s="461" t="s">
        <v>164</v>
      </c>
      <c r="B39" s="459">
        <v>1267.4167811524799</v>
      </c>
      <c r="C39" s="459">
        <v>126.20308915231485</v>
      </c>
      <c r="D39" s="459">
        <v>51.066448095197899</v>
      </c>
      <c r="E39" s="459">
        <v>75.136641057117146</v>
      </c>
      <c r="F39" s="459"/>
      <c r="G39" s="459">
        <v>843.22987891384594</v>
      </c>
      <c r="H39" s="459">
        <v>413.23290518752259</v>
      </c>
      <c r="I39" s="459">
        <v>429.99697372632409</v>
      </c>
      <c r="J39" s="459"/>
      <c r="K39" s="459">
        <v>279.53067495415837</v>
      </c>
      <c r="L39" s="459">
        <v>162.35044035951677</v>
      </c>
      <c r="M39" s="459">
        <v>117.18023459464199</v>
      </c>
      <c r="N39" s="459"/>
      <c r="O39" s="459">
        <v>15.568036056328042</v>
      </c>
      <c r="P39" s="459">
        <v>9.947844585032847</v>
      </c>
      <c r="Q39" s="459">
        <v>5.6201914712951968</v>
      </c>
      <c r="R39" s="459"/>
      <c r="S39" s="459">
        <v>2.8851020758250998</v>
      </c>
      <c r="T39" s="459">
        <v>2.8851020758250998</v>
      </c>
      <c r="U39" s="459">
        <v>0</v>
      </c>
    </row>
  </sheetData>
  <mergeCells count="9">
    <mergeCell ref="A1:U2"/>
    <mergeCell ref="C4:E4"/>
    <mergeCell ref="G4:I4"/>
    <mergeCell ref="K4:M4"/>
    <mergeCell ref="O4:Q4"/>
    <mergeCell ref="S4:U4"/>
    <mergeCell ref="C3:U3"/>
    <mergeCell ref="A3:A5"/>
    <mergeCell ref="B3:B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39"/>
  <sheetViews>
    <sheetView workbookViewId="0">
      <selection activeCell="A11" sqref="A11"/>
    </sheetView>
  </sheetViews>
  <sheetFormatPr defaultRowHeight="15"/>
  <cols>
    <col min="1" max="1" width="16.85546875" style="26" customWidth="1"/>
    <col min="2" max="5" width="9.140625" style="26"/>
    <col min="6" max="6" width="4" style="26" customWidth="1"/>
    <col min="7" max="9" width="9.140625" style="26"/>
    <col min="10" max="10" width="2.85546875" style="26" customWidth="1"/>
    <col min="11" max="16384" width="9.140625" style="26"/>
  </cols>
  <sheetData>
    <row r="1" spans="1:13">
      <c r="A1" s="1072" t="s">
        <v>588</v>
      </c>
      <c r="B1" s="1072"/>
      <c r="C1" s="1072"/>
      <c r="D1" s="1072"/>
      <c r="E1" s="1072"/>
      <c r="F1" s="1072"/>
      <c r="G1" s="1072"/>
      <c r="H1" s="1072"/>
      <c r="I1" s="1072"/>
      <c r="J1" s="1072"/>
      <c r="K1" s="1072"/>
      <c r="L1" s="1072"/>
      <c r="M1" s="1072"/>
    </row>
    <row r="2" spans="1:13">
      <c r="A2" s="1073"/>
      <c r="B2" s="1073"/>
      <c r="C2" s="1073"/>
      <c r="D2" s="1073"/>
      <c r="E2" s="1073"/>
      <c r="F2" s="1073"/>
      <c r="G2" s="1073"/>
      <c r="H2" s="1073"/>
      <c r="I2" s="1073"/>
      <c r="J2" s="1073"/>
      <c r="K2" s="1073"/>
      <c r="L2" s="1073"/>
      <c r="M2" s="1073"/>
    </row>
    <row r="3" spans="1:13" ht="15.75" customHeight="1">
      <c r="A3" s="1075" t="s">
        <v>314</v>
      </c>
      <c r="B3" s="1038" t="s">
        <v>299</v>
      </c>
      <c r="C3" s="1074" t="s">
        <v>586</v>
      </c>
      <c r="D3" s="1074"/>
      <c r="E3" s="1074"/>
      <c r="F3" s="1074"/>
      <c r="G3" s="1074"/>
      <c r="H3" s="1074"/>
      <c r="I3" s="1074"/>
      <c r="J3" s="1074"/>
      <c r="K3" s="1074"/>
      <c r="L3" s="1074"/>
      <c r="M3" s="1074"/>
    </row>
    <row r="4" spans="1:13" ht="24.75" customHeight="1">
      <c r="A4" s="1075"/>
      <c r="B4" s="1038"/>
      <c r="C4" s="1031" t="s">
        <v>278</v>
      </c>
      <c r="D4" s="1031"/>
      <c r="E4" s="1031"/>
      <c r="F4" s="340"/>
      <c r="G4" s="1058" t="s">
        <v>279</v>
      </c>
      <c r="H4" s="1058"/>
      <c r="I4" s="1058"/>
      <c r="J4" s="361"/>
      <c r="K4" s="1058" t="s">
        <v>280</v>
      </c>
      <c r="L4" s="1058"/>
      <c r="M4" s="1058"/>
    </row>
    <row r="5" spans="1:13" ht="18.75" customHeight="1">
      <c r="A5" s="1075"/>
      <c r="B5" s="1038"/>
      <c r="C5" s="410" t="s">
        <v>0</v>
      </c>
      <c r="D5" s="410" t="s">
        <v>1</v>
      </c>
      <c r="E5" s="410" t="s">
        <v>2</v>
      </c>
      <c r="F5" s="462"/>
      <c r="G5" s="410" t="s">
        <v>0</v>
      </c>
      <c r="H5" s="410" t="s">
        <v>1</v>
      </c>
      <c r="I5" s="410" t="s">
        <v>2</v>
      </c>
      <c r="J5" s="462"/>
      <c r="K5" s="410" t="s">
        <v>0</v>
      </c>
      <c r="L5" s="410" t="s">
        <v>1</v>
      </c>
      <c r="M5" s="410" t="s">
        <v>2</v>
      </c>
    </row>
    <row r="6" spans="1:13">
      <c r="A6" s="463" t="s">
        <v>147</v>
      </c>
      <c r="B6" s="883">
        <v>44789.264211058857</v>
      </c>
      <c r="C6" s="883">
        <v>30037.908335743217</v>
      </c>
      <c r="D6" s="883">
        <v>14822.269422866921</v>
      </c>
      <c r="E6" s="883">
        <v>15215.638912876209</v>
      </c>
      <c r="F6" s="883"/>
      <c r="G6" s="883">
        <v>3510.8895979059457</v>
      </c>
      <c r="H6" s="883">
        <v>1659.1094136445324</v>
      </c>
      <c r="I6" s="883">
        <v>1851.7801842613269</v>
      </c>
      <c r="J6" s="883"/>
      <c r="K6" s="883">
        <v>11240.466277442207</v>
      </c>
      <c r="L6" s="883">
        <v>5603.5082454383519</v>
      </c>
      <c r="M6" s="883">
        <v>5636.9580320037676</v>
      </c>
    </row>
    <row r="7" spans="1:13">
      <c r="A7" s="464"/>
      <c r="B7" s="884"/>
      <c r="C7" s="884"/>
      <c r="D7" s="884"/>
      <c r="E7" s="884"/>
      <c r="F7" s="884"/>
      <c r="G7" s="884"/>
      <c r="H7" s="884"/>
      <c r="I7" s="884"/>
      <c r="J7" s="884"/>
      <c r="K7" s="884"/>
      <c r="L7" s="884"/>
      <c r="M7" s="884"/>
    </row>
    <row r="8" spans="1:13" ht="16.5" customHeight="1">
      <c r="A8" s="465" t="s">
        <v>3</v>
      </c>
      <c r="B8" s="883"/>
      <c r="C8" s="883"/>
      <c r="D8" s="883"/>
      <c r="E8" s="883"/>
      <c r="F8" s="883"/>
      <c r="G8" s="883"/>
      <c r="H8" s="883"/>
      <c r="I8" s="883"/>
      <c r="J8" s="883"/>
      <c r="K8" s="883"/>
      <c r="L8" s="883"/>
      <c r="M8" s="883"/>
    </row>
    <row r="9" spans="1:13">
      <c r="A9" s="464" t="s">
        <v>4</v>
      </c>
      <c r="B9" s="884">
        <v>31470.897192205626</v>
      </c>
      <c r="C9" s="884">
        <v>24256.447225776767</v>
      </c>
      <c r="D9" s="884">
        <v>11861.294316096322</v>
      </c>
      <c r="E9" s="884">
        <v>12395.152909680357</v>
      </c>
      <c r="F9" s="884"/>
      <c r="G9" s="884">
        <v>2477.9601887659087</v>
      </c>
      <c r="H9" s="884">
        <v>1164.05257247638</v>
      </c>
      <c r="I9" s="884">
        <v>1313.9076162894423</v>
      </c>
      <c r="J9" s="884"/>
      <c r="K9" s="884">
        <v>4736.4897776627768</v>
      </c>
      <c r="L9" s="884">
        <v>2295.9933498500473</v>
      </c>
      <c r="M9" s="884">
        <v>2440.4964278126431</v>
      </c>
    </row>
    <row r="10" spans="1:13">
      <c r="A10" s="464" t="s">
        <v>5</v>
      </c>
      <c r="B10" s="884">
        <v>13318.36701888583</v>
      </c>
      <c r="C10" s="884">
        <v>5781.4611099663634</v>
      </c>
      <c r="D10" s="884">
        <v>2960.9751067705115</v>
      </c>
      <c r="E10" s="884">
        <v>2820.4860031957655</v>
      </c>
      <c r="F10" s="884"/>
      <c r="G10" s="884">
        <v>1032.9294091399504</v>
      </c>
      <c r="H10" s="884">
        <v>495.05684116811068</v>
      </c>
      <c r="I10" s="884">
        <v>537.8725679718392</v>
      </c>
      <c r="J10" s="884"/>
      <c r="K10" s="884">
        <v>6503.9764997793427</v>
      </c>
      <c r="L10" s="884">
        <v>3307.5148955882182</v>
      </c>
      <c r="M10" s="884">
        <v>3196.4616041910381</v>
      </c>
    </row>
    <row r="11" spans="1:13" ht="17.25" customHeight="1">
      <c r="A11" s="1184" t="s">
        <v>593</v>
      </c>
      <c r="B11" s="883"/>
      <c r="C11" s="883"/>
      <c r="D11" s="883"/>
      <c r="E11" s="883"/>
      <c r="F11" s="883"/>
      <c r="G11" s="883"/>
      <c r="H11" s="883"/>
      <c r="I11" s="883"/>
      <c r="J11" s="883"/>
      <c r="K11" s="883"/>
      <c r="L11" s="883"/>
      <c r="M11" s="883"/>
    </row>
    <row r="12" spans="1:13">
      <c r="A12" s="466" t="s">
        <v>148</v>
      </c>
      <c r="B12" s="885">
        <v>30761.761717018813</v>
      </c>
      <c r="C12" s="885">
        <v>23529.917861575937</v>
      </c>
      <c r="D12" s="885">
        <v>11546.866322381415</v>
      </c>
      <c r="E12" s="885">
        <v>11983.051539194435</v>
      </c>
      <c r="F12" s="885"/>
      <c r="G12" s="885">
        <v>2526.1278814201073</v>
      </c>
      <c r="H12" s="885">
        <v>1180.1084700277795</v>
      </c>
      <c r="I12" s="885">
        <v>1346.0194113922414</v>
      </c>
      <c r="J12" s="885"/>
      <c r="K12" s="885">
        <v>4705.7159740225943</v>
      </c>
      <c r="L12" s="885">
        <v>2274.5854864481812</v>
      </c>
      <c r="M12" s="885">
        <v>2431.1304875743267</v>
      </c>
    </row>
    <row r="13" spans="1:13">
      <c r="A13" s="467" t="s">
        <v>148</v>
      </c>
      <c r="B13" s="884">
        <v>30761.761717018813</v>
      </c>
      <c r="C13" s="884">
        <v>23529.917861575937</v>
      </c>
      <c r="D13" s="884">
        <v>11546.866322381415</v>
      </c>
      <c r="E13" s="884">
        <v>11983.051539194435</v>
      </c>
      <c r="F13" s="884"/>
      <c r="G13" s="884">
        <v>2526.1278814201073</v>
      </c>
      <c r="H13" s="884">
        <v>1180.1084700277795</v>
      </c>
      <c r="I13" s="884">
        <v>1346.0194113922414</v>
      </c>
      <c r="J13" s="884"/>
      <c r="K13" s="884">
        <v>4705.7159740225943</v>
      </c>
      <c r="L13" s="884">
        <v>2274.5854864481812</v>
      </c>
      <c r="M13" s="884">
        <v>2431.1304875743267</v>
      </c>
    </row>
    <row r="14" spans="1:13">
      <c r="A14" s="466" t="s">
        <v>149</v>
      </c>
      <c r="B14" s="885">
        <v>2227.7557852565992</v>
      </c>
      <c r="C14" s="885">
        <v>1069.0551786305994</v>
      </c>
      <c r="D14" s="885">
        <v>536.53457650922269</v>
      </c>
      <c r="E14" s="885">
        <v>532.52060212137314</v>
      </c>
      <c r="F14" s="885"/>
      <c r="G14" s="885">
        <v>136.47512918688477</v>
      </c>
      <c r="H14" s="885">
        <v>70.913547518675543</v>
      </c>
      <c r="I14" s="885">
        <v>65.561581668209485</v>
      </c>
      <c r="J14" s="885"/>
      <c r="K14" s="885">
        <v>1022.2254774390175</v>
      </c>
      <c r="L14" s="885">
        <v>529.84461919614012</v>
      </c>
      <c r="M14" s="885">
        <v>492.38085824287765</v>
      </c>
    </row>
    <row r="15" spans="1:13">
      <c r="A15" s="467" t="s">
        <v>149</v>
      </c>
      <c r="B15" s="884">
        <v>2227.7557852565992</v>
      </c>
      <c r="C15" s="884">
        <v>1069.0551786305994</v>
      </c>
      <c r="D15" s="884">
        <v>536.53457650922269</v>
      </c>
      <c r="E15" s="884">
        <v>532.52060212137314</v>
      </c>
      <c r="F15" s="884"/>
      <c r="G15" s="884">
        <v>136.47512918688477</v>
      </c>
      <c r="H15" s="884">
        <v>70.913547518675543</v>
      </c>
      <c r="I15" s="884">
        <v>65.561581668209485</v>
      </c>
      <c r="J15" s="884"/>
      <c r="K15" s="884">
        <v>1022.2254774390175</v>
      </c>
      <c r="L15" s="884">
        <v>529.84461919614012</v>
      </c>
      <c r="M15" s="884">
        <v>492.38085824287765</v>
      </c>
    </row>
    <row r="16" spans="1:13">
      <c r="A16" s="466" t="s">
        <v>150</v>
      </c>
      <c r="B16" s="885">
        <v>962.01586162127433</v>
      </c>
      <c r="C16" s="885">
        <v>701.10752641105398</v>
      </c>
      <c r="D16" s="885">
        <v>353.22974613076013</v>
      </c>
      <c r="E16" s="885">
        <v>347.87778028029408</v>
      </c>
      <c r="F16" s="885"/>
      <c r="G16" s="885">
        <v>54.857649967277325</v>
      </c>
      <c r="H16" s="885">
        <v>24.083846327097344</v>
      </c>
      <c r="I16" s="885">
        <v>30.773803640179935</v>
      </c>
      <c r="J16" s="885"/>
      <c r="K16" s="885">
        <v>206.05068524294353</v>
      </c>
      <c r="L16" s="885">
        <v>120.41923163548658</v>
      </c>
      <c r="M16" s="885">
        <v>85.631453607457203</v>
      </c>
    </row>
    <row r="17" spans="1:13">
      <c r="A17" s="467" t="s">
        <v>150</v>
      </c>
      <c r="B17" s="884">
        <v>962.01586162127433</v>
      </c>
      <c r="C17" s="884">
        <v>701.10752641105398</v>
      </c>
      <c r="D17" s="884">
        <v>353.22974613076013</v>
      </c>
      <c r="E17" s="884">
        <v>347.87778028029408</v>
      </c>
      <c r="F17" s="884"/>
      <c r="G17" s="884">
        <v>54.857649967277325</v>
      </c>
      <c r="H17" s="884">
        <v>24.083846327097344</v>
      </c>
      <c r="I17" s="884">
        <v>30.773803640179935</v>
      </c>
      <c r="J17" s="884"/>
      <c r="K17" s="884">
        <v>206.05068524294353</v>
      </c>
      <c r="L17" s="884">
        <v>120.41923163548658</v>
      </c>
      <c r="M17" s="884">
        <v>85.631453607457203</v>
      </c>
    </row>
    <row r="18" spans="1:13">
      <c r="A18" s="466" t="s">
        <v>151</v>
      </c>
      <c r="B18" s="885">
        <v>1965.5094585837403</v>
      </c>
      <c r="C18" s="885">
        <v>1284.4718041118765</v>
      </c>
      <c r="D18" s="885">
        <v>606.11013256528145</v>
      </c>
      <c r="E18" s="885">
        <v>678.36167154657323</v>
      </c>
      <c r="F18" s="885"/>
      <c r="G18" s="885">
        <v>136.47512918688477</v>
      </c>
      <c r="H18" s="885">
        <v>61.547607280359934</v>
      </c>
      <c r="I18" s="885">
        <v>74.927521906525087</v>
      </c>
      <c r="J18" s="885"/>
      <c r="K18" s="885">
        <v>544.56252528492178</v>
      </c>
      <c r="L18" s="885">
        <v>303.72406201394909</v>
      </c>
      <c r="M18" s="885">
        <v>240.83846327097291</v>
      </c>
    </row>
    <row r="19" spans="1:13">
      <c r="A19" s="467" t="s">
        <v>151</v>
      </c>
      <c r="B19" s="884">
        <v>1965.5094585837403</v>
      </c>
      <c r="C19" s="884">
        <v>1284.4718041118765</v>
      </c>
      <c r="D19" s="884">
        <v>606.11013256528145</v>
      </c>
      <c r="E19" s="884">
        <v>678.36167154657323</v>
      </c>
      <c r="F19" s="884"/>
      <c r="G19" s="884">
        <v>136.47512918688477</v>
      </c>
      <c r="H19" s="884">
        <v>61.547607280359934</v>
      </c>
      <c r="I19" s="884">
        <v>74.927521906525087</v>
      </c>
      <c r="J19" s="884"/>
      <c r="K19" s="884">
        <v>544.56252528492178</v>
      </c>
      <c r="L19" s="884">
        <v>303.72406201394909</v>
      </c>
      <c r="M19" s="884">
        <v>240.83846327097291</v>
      </c>
    </row>
    <row r="20" spans="1:13">
      <c r="A20" s="466" t="s">
        <v>152</v>
      </c>
      <c r="B20" s="885">
        <v>677.02368008395672</v>
      </c>
      <c r="C20" s="885">
        <v>385.34154123355648</v>
      </c>
      <c r="D20" s="885">
        <v>203.3747023177105</v>
      </c>
      <c r="E20" s="885">
        <v>181.96683891584627</v>
      </c>
      <c r="F20" s="885"/>
      <c r="G20" s="885">
        <v>76.265513369141601</v>
      </c>
      <c r="H20" s="885">
        <v>44.153718266345152</v>
      </c>
      <c r="I20" s="885">
        <v>32.111795102796457</v>
      </c>
      <c r="J20" s="885"/>
      <c r="K20" s="885">
        <v>215.41662548125913</v>
      </c>
      <c r="L20" s="885">
        <v>117.74324871025355</v>
      </c>
      <c r="M20" s="885">
        <v>97.673376771005834</v>
      </c>
    </row>
    <row r="21" spans="1:13">
      <c r="A21" s="467" t="s">
        <v>152</v>
      </c>
      <c r="B21" s="884">
        <v>487.02889239241159</v>
      </c>
      <c r="C21" s="884">
        <v>264.92230959807017</v>
      </c>
      <c r="D21" s="884">
        <v>128.44718041118568</v>
      </c>
      <c r="E21" s="884">
        <v>136.47512918688477</v>
      </c>
      <c r="F21" s="884"/>
      <c r="G21" s="884">
        <v>60.209615817743412</v>
      </c>
      <c r="H21" s="884">
        <v>34.7877780280295</v>
      </c>
      <c r="I21" s="884">
        <v>25.421837789713862</v>
      </c>
      <c r="J21" s="884"/>
      <c r="K21" s="884">
        <v>161.89696697659855</v>
      </c>
      <c r="L21" s="884">
        <v>86.969445070073718</v>
      </c>
      <c r="M21" s="884">
        <v>74.927521906525087</v>
      </c>
    </row>
    <row r="22" spans="1:13">
      <c r="A22" s="467" t="s">
        <v>153</v>
      </c>
      <c r="B22" s="884">
        <v>189.99478769154535</v>
      </c>
      <c r="C22" s="884">
        <v>120.41923163548658</v>
      </c>
      <c r="D22" s="884">
        <v>74.927521906525087</v>
      </c>
      <c r="E22" s="884">
        <v>45.491709728961673</v>
      </c>
      <c r="F22" s="884"/>
      <c r="G22" s="884">
        <v>16.055897551398235</v>
      </c>
      <c r="H22" s="884">
        <v>9.3659402383156358</v>
      </c>
      <c r="I22" s="884">
        <v>6.689957313082596</v>
      </c>
      <c r="J22" s="884"/>
      <c r="K22" s="884">
        <v>53.519658504660804</v>
      </c>
      <c r="L22" s="884">
        <v>30.773803640179935</v>
      </c>
      <c r="M22" s="884">
        <v>22.745854864480826</v>
      </c>
    </row>
    <row r="23" spans="1:13">
      <c r="A23" s="466" t="s">
        <v>154</v>
      </c>
      <c r="B23" s="885">
        <v>192.67077061677838</v>
      </c>
      <c r="C23" s="885">
        <v>81.61747921960766</v>
      </c>
      <c r="D23" s="885">
        <v>42.81572680372863</v>
      </c>
      <c r="E23" s="885">
        <v>38.801752415879065</v>
      </c>
      <c r="F23" s="885"/>
      <c r="G23" s="885">
        <v>4.013974387849558</v>
      </c>
      <c r="H23" s="885">
        <v>2.6759829252330385</v>
      </c>
      <c r="I23" s="885">
        <v>1.3379914626165192</v>
      </c>
      <c r="J23" s="885"/>
      <c r="K23" s="885">
        <v>107.03931700932144</v>
      </c>
      <c r="L23" s="885">
        <v>60.209615817743412</v>
      </c>
      <c r="M23" s="885">
        <v>46.829701191578195</v>
      </c>
    </row>
    <row r="24" spans="1:13">
      <c r="A24" s="467" t="s">
        <v>154</v>
      </c>
      <c r="B24" s="884">
        <v>132.46115479903523</v>
      </c>
      <c r="C24" s="884">
        <v>37.463760953262543</v>
      </c>
      <c r="D24" s="884">
        <v>20.06987193924779</v>
      </c>
      <c r="E24" s="884">
        <v>17.393889014014754</v>
      </c>
      <c r="F24" s="884"/>
      <c r="G24" s="884">
        <v>4.013974387849558</v>
      </c>
      <c r="H24" s="884">
        <v>2.6759829252330385</v>
      </c>
      <c r="I24" s="884">
        <v>1.3379914626165192</v>
      </c>
      <c r="J24" s="884"/>
      <c r="K24" s="884">
        <v>90.983419457923262</v>
      </c>
      <c r="L24" s="884">
        <v>50.84367557942776</v>
      </c>
      <c r="M24" s="884">
        <v>40.139743878495587</v>
      </c>
    </row>
    <row r="25" spans="1:13">
      <c r="A25" s="467" t="s">
        <v>155</v>
      </c>
      <c r="B25" s="884">
        <v>60.209615817743412</v>
      </c>
      <c r="C25" s="884">
        <v>44.153718266345152</v>
      </c>
      <c r="D25" s="884">
        <v>22.745854864480826</v>
      </c>
      <c r="E25" s="884">
        <v>21.407863401864308</v>
      </c>
      <c r="F25" s="884"/>
      <c r="G25" s="884">
        <v>0</v>
      </c>
      <c r="H25" s="884">
        <v>0</v>
      </c>
      <c r="I25" s="884">
        <v>0</v>
      </c>
      <c r="J25" s="884"/>
      <c r="K25" s="884">
        <v>16.055897551398235</v>
      </c>
      <c r="L25" s="884">
        <v>9.3659402383156358</v>
      </c>
      <c r="M25" s="884">
        <v>6.689957313082596</v>
      </c>
    </row>
    <row r="26" spans="1:13">
      <c r="A26" s="466" t="s">
        <v>156</v>
      </c>
      <c r="B26" s="885">
        <v>1367.4272747941075</v>
      </c>
      <c r="C26" s="885">
        <v>834.90667267270544</v>
      </c>
      <c r="D26" s="885">
        <v>440.19919120083358</v>
      </c>
      <c r="E26" s="885">
        <v>394.70748147187209</v>
      </c>
      <c r="F26" s="885"/>
      <c r="G26" s="885">
        <v>92.321410920539776</v>
      </c>
      <c r="H26" s="885">
        <v>38.801752415879065</v>
      </c>
      <c r="I26" s="885">
        <v>53.519658504660804</v>
      </c>
      <c r="J26" s="885"/>
      <c r="K26" s="885">
        <v>440.19919120083358</v>
      </c>
      <c r="L26" s="885">
        <v>222.1065827943417</v>
      </c>
      <c r="M26" s="885">
        <v>218.09260840649216</v>
      </c>
    </row>
    <row r="27" spans="1:13">
      <c r="A27" s="467" t="s">
        <v>156</v>
      </c>
      <c r="B27" s="884">
        <v>824.20274097177332</v>
      </c>
      <c r="C27" s="884">
        <v>428.15726803728495</v>
      </c>
      <c r="D27" s="884">
        <v>234.14850595789034</v>
      </c>
      <c r="E27" s="884">
        <v>194.0087620793949</v>
      </c>
      <c r="F27" s="884"/>
      <c r="G27" s="884">
        <v>64.22359020559297</v>
      </c>
      <c r="H27" s="884">
        <v>24.083846327097344</v>
      </c>
      <c r="I27" s="884">
        <v>40.139743878495587</v>
      </c>
      <c r="J27" s="884"/>
      <c r="K27" s="884">
        <v>331.8218827288959</v>
      </c>
      <c r="L27" s="884">
        <v>168.58692428968112</v>
      </c>
      <c r="M27" s="884">
        <v>163.23495843921506</v>
      </c>
    </row>
    <row r="28" spans="1:13">
      <c r="A28" s="467" t="s">
        <v>157</v>
      </c>
      <c r="B28" s="884">
        <v>543.22453382230526</v>
      </c>
      <c r="C28" s="884">
        <v>406.74940463542072</v>
      </c>
      <c r="D28" s="884">
        <v>206.05068524294353</v>
      </c>
      <c r="E28" s="884">
        <v>200.69871939247747</v>
      </c>
      <c r="F28" s="884"/>
      <c r="G28" s="884">
        <v>28.097820714946899</v>
      </c>
      <c r="H28" s="884">
        <v>14.717906088781715</v>
      </c>
      <c r="I28" s="884">
        <v>13.379914626165196</v>
      </c>
      <c r="J28" s="884"/>
      <c r="K28" s="884">
        <v>108.37730847193795</v>
      </c>
      <c r="L28" s="884">
        <v>53.519658504660804</v>
      </c>
      <c r="M28" s="884">
        <v>54.857649967277325</v>
      </c>
    </row>
    <row r="29" spans="1:13">
      <c r="A29" s="466" t="s">
        <v>158</v>
      </c>
      <c r="B29" s="885">
        <v>2196.9819816164168</v>
      </c>
      <c r="C29" s="885">
        <v>802.79487756990909</v>
      </c>
      <c r="D29" s="885">
        <v>430.83325096251798</v>
      </c>
      <c r="E29" s="885">
        <v>371.96162660739134</v>
      </c>
      <c r="F29" s="885"/>
      <c r="G29" s="885">
        <v>145.84106942520037</v>
      </c>
      <c r="H29" s="885">
        <v>68.237564593442514</v>
      </c>
      <c r="I29" s="885">
        <v>77.603504831758116</v>
      </c>
      <c r="J29" s="885"/>
      <c r="K29" s="885">
        <v>1248.3460346212275</v>
      </c>
      <c r="L29" s="885">
        <v>602.0961581774319</v>
      </c>
      <c r="M29" s="885">
        <v>646.24987644377688</v>
      </c>
    </row>
    <row r="30" spans="1:13">
      <c r="A30" s="467" t="s">
        <v>158</v>
      </c>
      <c r="B30" s="884">
        <v>1944.1015951818742</v>
      </c>
      <c r="C30" s="884">
        <v>715.82543249983564</v>
      </c>
      <c r="D30" s="884">
        <v>378.65158392047391</v>
      </c>
      <c r="E30" s="884">
        <v>337.17384857936196</v>
      </c>
      <c r="F30" s="884"/>
      <c r="G30" s="884">
        <v>121.7572230981031</v>
      </c>
      <c r="H30" s="884">
        <v>58.87162435512689</v>
      </c>
      <c r="I30" s="884">
        <v>62.885598742976455</v>
      </c>
      <c r="J30" s="884"/>
      <c r="K30" s="884">
        <v>1106.5189395838649</v>
      </c>
      <c r="L30" s="884">
        <v>531.18261065875663</v>
      </c>
      <c r="M30" s="884">
        <v>575.33632892510161</v>
      </c>
    </row>
    <row r="31" spans="1:13">
      <c r="A31" s="467" t="s">
        <v>159</v>
      </c>
      <c r="B31" s="884">
        <v>252.88038643452154</v>
      </c>
      <c r="C31" s="884">
        <v>86.969445070073718</v>
      </c>
      <c r="D31" s="884">
        <v>52.181667042044282</v>
      </c>
      <c r="E31" s="884">
        <v>34.7877780280295</v>
      </c>
      <c r="F31" s="884"/>
      <c r="G31" s="884">
        <v>24.083846327097344</v>
      </c>
      <c r="H31" s="884">
        <v>9.3659402383156358</v>
      </c>
      <c r="I31" s="884">
        <v>14.717906088781715</v>
      </c>
      <c r="J31" s="884"/>
      <c r="K31" s="884">
        <v>141.82709503735083</v>
      </c>
      <c r="L31" s="884">
        <v>70.913547518675543</v>
      </c>
      <c r="M31" s="884">
        <v>70.913547518675543</v>
      </c>
    </row>
    <row r="32" spans="1:13">
      <c r="A32" s="466" t="s">
        <v>160</v>
      </c>
      <c r="B32" s="885">
        <v>565.97038868678601</v>
      </c>
      <c r="C32" s="885">
        <v>167.24893282706461</v>
      </c>
      <c r="D32" s="885">
        <v>81.61747921960766</v>
      </c>
      <c r="E32" s="885">
        <v>85.631453607457203</v>
      </c>
      <c r="F32" s="885"/>
      <c r="G32" s="885">
        <v>22.745854864480826</v>
      </c>
      <c r="H32" s="885">
        <v>8.0279487756991159</v>
      </c>
      <c r="I32" s="885">
        <v>14.717906088781715</v>
      </c>
      <c r="J32" s="885"/>
      <c r="K32" s="885">
        <v>375.97560099524088</v>
      </c>
      <c r="L32" s="885">
        <v>192.67077061677838</v>
      </c>
      <c r="M32" s="885">
        <v>183.30483037846278</v>
      </c>
    </row>
    <row r="33" spans="1:13">
      <c r="A33" s="467" t="s">
        <v>160</v>
      </c>
      <c r="B33" s="884">
        <v>565.97038868678601</v>
      </c>
      <c r="C33" s="884">
        <v>167.24893282706461</v>
      </c>
      <c r="D33" s="884">
        <v>81.61747921960766</v>
      </c>
      <c r="E33" s="884">
        <v>85.631453607457203</v>
      </c>
      <c r="F33" s="884"/>
      <c r="G33" s="884">
        <v>22.745854864480826</v>
      </c>
      <c r="H33" s="884">
        <v>8.0279487756991159</v>
      </c>
      <c r="I33" s="884">
        <v>14.717906088781715</v>
      </c>
      <c r="J33" s="884"/>
      <c r="K33" s="884">
        <v>375.97560099524088</v>
      </c>
      <c r="L33" s="884">
        <v>192.67077061677838</v>
      </c>
      <c r="M33" s="884">
        <v>183.30483037846278</v>
      </c>
    </row>
    <row r="34" spans="1:13">
      <c r="A34" s="466" t="s">
        <v>161</v>
      </c>
      <c r="B34" s="885">
        <v>2285.2894181491142</v>
      </c>
      <c r="C34" s="885">
        <v>595.40620086434933</v>
      </c>
      <c r="D34" s="885">
        <v>310.41401932703167</v>
      </c>
      <c r="E34" s="885">
        <v>284.99218153731789</v>
      </c>
      <c r="F34" s="885"/>
      <c r="G34" s="885">
        <v>181.96683891584627</v>
      </c>
      <c r="H34" s="885">
        <v>97.673376771005834</v>
      </c>
      <c r="I34" s="885">
        <v>84.293462144840689</v>
      </c>
      <c r="J34" s="885"/>
      <c r="K34" s="885">
        <v>1507.9163783688534</v>
      </c>
      <c r="L34" s="885">
        <v>758.64115930356411</v>
      </c>
      <c r="M34" s="885">
        <v>749.27521906524851</v>
      </c>
    </row>
    <row r="35" spans="1:13">
      <c r="A35" s="467" t="s">
        <v>161</v>
      </c>
      <c r="B35" s="884">
        <v>1886.5679622893592</v>
      </c>
      <c r="C35" s="884">
        <v>473.64897776624645</v>
      </c>
      <c r="D35" s="884">
        <v>232.81051449527382</v>
      </c>
      <c r="E35" s="884">
        <v>240.83846327097291</v>
      </c>
      <c r="F35" s="884"/>
      <c r="G35" s="884">
        <v>172.60089867753067</v>
      </c>
      <c r="H35" s="884">
        <v>90.983419457923262</v>
      </c>
      <c r="I35" s="884">
        <v>81.61747921960766</v>
      </c>
      <c r="J35" s="884"/>
      <c r="K35" s="884">
        <v>1240.3180858455278</v>
      </c>
      <c r="L35" s="884">
        <v>619.49004719144659</v>
      </c>
      <c r="M35" s="884">
        <v>620.82803865406311</v>
      </c>
    </row>
    <row r="36" spans="1:13">
      <c r="A36" s="467" t="s">
        <v>162</v>
      </c>
      <c r="B36" s="884">
        <v>398.72145585972163</v>
      </c>
      <c r="C36" s="884">
        <v>121.7572230981031</v>
      </c>
      <c r="D36" s="884">
        <v>77.603504831758116</v>
      </c>
      <c r="E36" s="884">
        <v>44.153718266345152</v>
      </c>
      <c r="F36" s="884"/>
      <c r="G36" s="884">
        <v>9.3659402383156358</v>
      </c>
      <c r="H36" s="884">
        <v>6.689957313082596</v>
      </c>
      <c r="I36" s="884">
        <v>2.6759829252330385</v>
      </c>
      <c r="J36" s="884"/>
      <c r="K36" s="884">
        <v>267.5982925233032</v>
      </c>
      <c r="L36" s="884">
        <v>139.1511121121178</v>
      </c>
      <c r="M36" s="884">
        <v>128.44718041118568</v>
      </c>
    </row>
    <row r="37" spans="1:13">
      <c r="A37" s="466" t="s">
        <v>163</v>
      </c>
      <c r="B37" s="885">
        <v>1586.8578746632345</v>
      </c>
      <c r="C37" s="885">
        <v>586.04026062603373</v>
      </c>
      <c r="D37" s="885">
        <v>270.27427544853623</v>
      </c>
      <c r="E37" s="885">
        <v>315.76598517749773</v>
      </c>
      <c r="F37" s="885"/>
      <c r="G37" s="885">
        <v>133.79914626165174</v>
      </c>
      <c r="H37" s="885">
        <v>62.885598742976455</v>
      </c>
      <c r="I37" s="885">
        <v>70.913547518675543</v>
      </c>
      <c r="J37" s="885"/>
      <c r="K37" s="885">
        <v>867.01846777550179</v>
      </c>
      <c r="L37" s="885">
        <v>421.46731072420238</v>
      </c>
      <c r="M37" s="885">
        <v>445.55115705129964</v>
      </c>
    </row>
    <row r="38" spans="1:13">
      <c r="A38" s="467" t="s">
        <v>163</v>
      </c>
      <c r="B38" s="884">
        <v>1129.2647944483476</v>
      </c>
      <c r="C38" s="884">
        <v>362.59568636907574</v>
      </c>
      <c r="D38" s="884">
        <v>169.92491575229764</v>
      </c>
      <c r="E38" s="884">
        <v>192.67077061677838</v>
      </c>
      <c r="F38" s="884"/>
      <c r="G38" s="884">
        <v>104.36333408408841</v>
      </c>
      <c r="H38" s="884">
        <v>46.829701191578195</v>
      </c>
      <c r="I38" s="884">
        <v>57.533632892510369</v>
      </c>
      <c r="J38" s="884"/>
      <c r="K38" s="884">
        <v>662.30577399517506</v>
      </c>
      <c r="L38" s="884">
        <v>323.79393395319681</v>
      </c>
      <c r="M38" s="884">
        <v>338.51184004197847</v>
      </c>
    </row>
    <row r="39" spans="1:13" ht="15.75" thickBot="1">
      <c r="A39" s="468" t="s">
        <v>164</v>
      </c>
      <c r="B39" s="886">
        <v>457.59308021484827</v>
      </c>
      <c r="C39" s="886">
        <v>223.44457425695822</v>
      </c>
      <c r="D39" s="886">
        <v>100.34935969623886</v>
      </c>
      <c r="E39" s="886">
        <v>123.09521456071961</v>
      </c>
      <c r="F39" s="886"/>
      <c r="G39" s="886">
        <v>29.435812177563417</v>
      </c>
      <c r="H39" s="886">
        <v>16.055897551398235</v>
      </c>
      <c r="I39" s="886">
        <v>13.379914626165196</v>
      </c>
      <c r="J39" s="886"/>
      <c r="K39" s="886">
        <v>204.71269378032702</v>
      </c>
      <c r="L39" s="886">
        <v>97.673376771005834</v>
      </c>
      <c r="M39" s="886">
        <v>107.03931700932144</v>
      </c>
    </row>
  </sheetData>
  <mergeCells count="7">
    <mergeCell ref="A1:M2"/>
    <mergeCell ref="C4:E4"/>
    <mergeCell ref="G4:I4"/>
    <mergeCell ref="K4:M4"/>
    <mergeCell ref="C3:M3"/>
    <mergeCell ref="B3:B5"/>
    <mergeCell ref="A3:A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38"/>
  <sheetViews>
    <sheetView workbookViewId="0">
      <selection activeCell="A10" sqref="A10"/>
    </sheetView>
  </sheetViews>
  <sheetFormatPr defaultRowHeight="15"/>
  <cols>
    <col min="1" max="1" width="19.5703125" style="26" customWidth="1"/>
    <col min="2" max="2" width="13.28515625" style="26" customWidth="1"/>
    <col min="3" max="3" width="24.140625" style="26" customWidth="1"/>
    <col min="4" max="6" width="9.140625" style="26"/>
    <col min="7" max="7" width="3.7109375" style="26" customWidth="1"/>
    <col min="8" max="10" width="9.140625" style="26"/>
    <col min="11" max="11" width="5" style="26" customWidth="1"/>
    <col min="12" max="14" width="9.140625" style="26"/>
    <col min="15" max="15" width="3.140625" style="26" customWidth="1"/>
    <col min="16" max="18" width="9.140625" style="26"/>
    <col min="19" max="19" width="4" style="26" customWidth="1"/>
    <col min="20" max="22" width="9.140625" style="26"/>
    <col min="23" max="23" width="2.42578125" style="26" customWidth="1"/>
    <col min="24" max="16384" width="9.140625" style="26"/>
  </cols>
  <sheetData>
    <row r="1" spans="1:26" ht="18.75" customHeight="1" thickBot="1">
      <c r="A1" s="1076" t="s">
        <v>300</v>
      </c>
      <c r="B1" s="1076"/>
      <c r="C1" s="1076"/>
      <c r="D1" s="1076"/>
      <c r="E1" s="1076"/>
      <c r="F1" s="1076"/>
      <c r="G1" s="1076"/>
      <c r="H1" s="1076"/>
      <c r="I1" s="1076"/>
      <c r="J1" s="1076"/>
      <c r="K1" s="1076"/>
      <c r="L1" s="1076"/>
      <c r="M1" s="1076"/>
      <c r="N1" s="1076"/>
      <c r="O1" s="1076"/>
      <c r="P1" s="1076"/>
      <c r="Q1" s="1076"/>
      <c r="R1" s="1076"/>
      <c r="S1" s="1076"/>
      <c r="T1" s="1076"/>
      <c r="U1" s="1076"/>
      <c r="V1" s="1076"/>
      <c r="W1" s="1076"/>
      <c r="X1" s="1076"/>
      <c r="Y1" s="1076"/>
      <c r="Z1" s="1076"/>
    </row>
    <row r="2" spans="1:26" ht="18.75" customHeight="1">
      <c r="A2" s="1079" t="s">
        <v>314</v>
      </c>
      <c r="B2" s="1079" t="s">
        <v>301</v>
      </c>
      <c r="C2" s="1079" t="s">
        <v>302</v>
      </c>
      <c r="D2" s="1078" t="s">
        <v>591</v>
      </c>
      <c r="E2" s="1078"/>
      <c r="F2" s="1078"/>
      <c r="G2" s="1078"/>
      <c r="H2" s="1078"/>
      <c r="I2" s="1078"/>
      <c r="J2" s="1078"/>
      <c r="K2" s="1078"/>
      <c r="L2" s="1078"/>
      <c r="M2" s="1078"/>
      <c r="N2" s="1078"/>
      <c r="O2" s="1078"/>
      <c r="P2" s="1078"/>
      <c r="Q2" s="1078"/>
      <c r="R2" s="1078"/>
      <c r="S2" s="1078"/>
      <c r="T2" s="1078"/>
      <c r="U2" s="1078"/>
      <c r="V2" s="1078"/>
      <c r="W2" s="1078"/>
      <c r="X2" s="1078"/>
      <c r="Y2" s="1078"/>
      <c r="Z2" s="1078"/>
    </row>
    <row r="3" spans="1:26" ht="15" customHeight="1">
      <c r="A3" s="1080"/>
      <c r="B3" s="1080"/>
      <c r="C3" s="1080"/>
      <c r="D3" s="1077" t="s">
        <v>303</v>
      </c>
      <c r="E3" s="1077"/>
      <c r="F3" s="1077"/>
      <c r="G3" s="469"/>
      <c r="H3" s="1077" t="s">
        <v>296</v>
      </c>
      <c r="I3" s="1077"/>
      <c r="J3" s="1077"/>
      <c r="K3" s="469"/>
      <c r="L3" s="1077" t="s">
        <v>297</v>
      </c>
      <c r="M3" s="1077"/>
      <c r="N3" s="1077"/>
      <c r="O3" s="469"/>
      <c r="P3" s="1077" t="s">
        <v>304</v>
      </c>
      <c r="Q3" s="1077"/>
      <c r="R3" s="1077"/>
      <c r="S3" s="469"/>
      <c r="T3" s="1077" t="s">
        <v>305</v>
      </c>
      <c r="U3" s="1077"/>
      <c r="V3" s="1077"/>
      <c r="W3" s="469"/>
      <c r="X3" s="1077" t="s">
        <v>306</v>
      </c>
      <c r="Y3" s="1077"/>
      <c r="Z3" s="1077"/>
    </row>
    <row r="4" spans="1:26" ht="36.75" customHeight="1">
      <c r="A4" s="1080"/>
      <c r="B4" s="1080"/>
      <c r="C4" s="1080"/>
      <c r="D4" s="431" t="s">
        <v>0</v>
      </c>
      <c r="E4" s="431" t="s">
        <v>1</v>
      </c>
      <c r="F4" s="431" t="s">
        <v>2</v>
      </c>
      <c r="G4" s="431"/>
      <c r="H4" s="431" t="s">
        <v>0</v>
      </c>
      <c r="I4" s="431" t="s">
        <v>1</v>
      </c>
      <c r="J4" s="431" t="s">
        <v>2</v>
      </c>
      <c r="K4" s="431"/>
      <c r="L4" s="431" t="s">
        <v>0</v>
      </c>
      <c r="M4" s="431" t="s">
        <v>1</v>
      </c>
      <c r="N4" s="431" t="s">
        <v>2</v>
      </c>
      <c r="O4" s="431"/>
      <c r="P4" s="431" t="s">
        <v>0</v>
      </c>
      <c r="Q4" s="431" t="s">
        <v>1</v>
      </c>
      <c r="R4" s="431" t="s">
        <v>2</v>
      </c>
      <c r="S4" s="431"/>
      <c r="T4" s="431" t="s">
        <v>0</v>
      </c>
      <c r="U4" s="431" t="s">
        <v>1</v>
      </c>
      <c r="V4" s="431" t="s">
        <v>2</v>
      </c>
      <c r="W4" s="431"/>
      <c r="X4" s="431" t="s">
        <v>0</v>
      </c>
      <c r="Y4" s="431" t="s">
        <v>1</v>
      </c>
      <c r="Z4" s="431" t="s">
        <v>2</v>
      </c>
    </row>
    <row r="5" spans="1:26">
      <c r="A5" s="470" t="s">
        <v>147</v>
      </c>
      <c r="B5" s="471">
        <v>286944.94968358753</v>
      </c>
      <c r="C5" s="471">
        <v>197274.09117907868</v>
      </c>
      <c r="D5" s="471">
        <v>43403.107220177517</v>
      </c>
      <c r="E5" s="471">
        <v>21421.854765577493</v>
      </c>
      <c r="F5" s="471">
        <v>21981.252454597048</v>
      </c>
      <c r="G5" s="471"/>
      <c r="H5" s="471">
        <v>65214.05152029384</v>
      </c>
      <c r="I5" s="471">
        <v>35556.173777285221</v>
      </c>
      <c r="J5" s="471">
        <v>29657.877742992336</v>
      </c>
      <c r="K5" s="471"/>
      <c r="L5" s="471">
        <v>45252.627662044208</v>
      </c>
      <c r="M5" s="471">
        <v>27115.007433997685</v>
      </c>
      <c r="N5" s="471">
        <v>18137.620228045784</v>
      </c>
      <c r="O5" s="471"/>
      <c r="P5" s="471">
        <v>7859.1349867003164</v>
      </c>
      <c r="Q5" s="471">
        <v>4883.2916596382893</v>
      </c>
      <c r="R5" s="471">
        <v>2975.8433270623873</v>
      </c>
      <c r="S5" s="471"/>
      <c r="T5" s="471">
        <v>35144.140601635328</v>
      </c>
      <c r="U5" s="471">
        <v>15476.007287752134</v>
      </c>
      <c r="V5" s="471">
        <v>19668.133313886021</v>
      </c>
      <c r="W5" s="471"/>
      <c r="X5" s="471">
        <v>401.02918853968919</v>
      </c>
      <c r="Y5" s="471">
        <v>206.2847984214948</v>
      </c>
      <c r="Z5" s="471">
        <v>194.74439011819439</v>
      </c>
    </row>
    <row r="6" spans="1:26">
      <c r="A6" s="472"/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73"/>
      <c r="W6" s="473"/>
      <c r="X6" s="473"/>
      <c r="Y6" s="473"/>
      <c r="Z6" s="473"/>
    </row>
    <row r="7" spans="1:26" ht="15" customHeight="1">
      <c r="A7" s="470" t="s">
        <v>3</v>
      </c>
      <c r="B7" s="471"/>
      <c r="C7" s="471"/>
      <c r="D7" s="471"/>
      <c r="E7" s="471"/>
      <c r="F7" s="471"/>
      <c r="G7" s="471"/>
      <c r="H7" s="471"/>
      <c r="I7" s="471"/>
      <c r="J7" s="471"/>
      <c r="K7" s="471"/>
      <c r="L7" s="471"/>
      <c r="M7" s="471"/>
      <c r="N7" s="471"/>
      <c r="O7" s="471"/>
      <c r="P7" s="910">
        <f>+P5/B5*100</f>
        <v>2.7388999162963268</v>
      </c>
      <c r="Q7" s="471"/>
      <c r="R7" s="471"/>
      <c r="S7" s="471"/>
      <c r="T7" s="471"/>
      <c r="U7" s="471"/>
      <c r="V7" s="471"/>
      <c r="W7" s="471"/>
      <c r="X7" s="471"/>
      <c r="Y7" s="471"/>
      <c r="Z7" s="471"/>
    </row>
    <row r="8" spans="1:26">
      <c r="A8" s="472" t="s">
        <v>4</v>
      </c>
      <c r="B8" s="473">
        <v>195781.07915780824</v>
      </c>
      <c r="C8" s="473">
        <v>152937.00353285088</v>
      </c>
      <c r="D8" s="473">
        <v>32946.908889049031</v>
      </c>
      <c r="E8" s="473">
        <v>14701.317956517705</v>
      </c>
      <c r="F8" s="473">
        <v>18245.590932535102</v>
      </c>
      <c r="G8" s="473"/>
      <c r="H8" s="473">
        <v>48896.794539588758</v>
      </c>
      <c r="I8" s="473">
        <v>26063.752689232428</v>
      </c>
      <c r="J8" s="473">
        <v>22833.041850349546</v>
      </c>
      <c r="K8" s="473"/>
      <c r="L8" s="473">
        <v>42715.751549106404</v>
      </c>
      <c r="M8" s="473">
        <v>25168.26497264018</v>
      </c>
      <c r="N8" s="473">
        <v>17547.48657646637</v>
      </c>
      <c r="O8" s="473"/>
      <c r="P8" s="473">
        <v>7697.0140631072163</v>
      </c>
      <c r="Q8" s="473">
        <v>4758.5533272964094</v>
      </c>
      <c r="R8" s="473">
        <v>2938.4607358111657</v>
      </c>
      <c r="S8" s="473"/>
      <c r="T8" s="473">
        <v>20501.658163452958</v>
      </c>
      <c r="U8" s="473">
        <v>7737.6727216914242</v>
      </c>
      <c r="V8" s="473">
        <v>12763.985441761326</v>
      </c>
      <c r="W8" s="473"/>
      <c r="X8" s="473">
        <v>178.87632870115632</v>
      </c>
      <c r="Y8" s="473">
        <v>92.323266426403251</v>
      </c>
      <c r="Z8" s="473">
        <v>86.553062274753046</v>
      </c>
    </row>
    <row r="9" spans="1:26">
      <c r="A9" s="472" t="s">
        <v>5</v>
      </c>
      <c r="B9" s="473">
        <v>91163.870525830425</v>
      </c>
      <c r="C9" s="473">
        <v>44337.08764637624</v>
      </c>
      <c r="D9" s="473">
        <v>10456.198331123209</v>
      </c>
      <c r="E9" s="473">
        <v>6720.5368090598176</v>
      </c>
      <c r="F9" s="473">
        <v>3735.661522062584</v>
      </c>
      <c r="G9" s="473"/>
      <c r="H9" s="473">
        <v>16317.256980698518</v>
      </c>
      <c r="I9" s="473">
        <v>9492.4210880529281</v>
      </c>
      <c r="J9" s="473">
        <v>6824.8358926438523</v>
      </c>
      <c r="K9" s="473"/>
      <c r="L9" s="473">
        <v>2536.8761129374088</v>
      </c>
      <c r="M9" s="473">
        <v>1946.7424613578578</v>
      </c>
      <c r="N9" s="473">
        <v>590.13365157956719</v>
      </c>
      <c r="O9" s="473"/>
      <c r="P9" s="473">
        <v>162.12092359311131</v>
      </c>
      <c r="Q9" s="473">
        <v>124.7383323418881</v>
      </c>
      <c r="R9" s="473">
        <v>37.382591251223261</v>
      </c>
      <c r="S9" s="473"/>
      <c r="T9" s="473">
        <v>14642.482438184648</v>
      </c>
      <c r="U9" s="473">
        <v>7738.3345660585337</v>
      </c>
      <c r="V9" s="473">
        <v>6904.1478721239018</v>
      </c>
      <c r="W9" s="473"/>
      <c r="X9" s="473">
        <v>222.15285983853286</v>
      </c>
      <c r="Y9" s="473">
        <v>113.96153199509152</v>
      </c>
      <c r="Z9" s="473">
        <v>108.19132784344131</v>
      </c>
    </row>
    <row r="10" spans="1:26" ht="16.5" customHeight="1">
      <c r="A10" s="1184" t="s">
        <v>593</v>
      </c>
      <c r="B10" s="471"/>
      <c r="C10" s="471"/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1"/>
      <c r="R10" s="471"/>
      <c r="S10" s="471"/>
      <c r="T10" s="471"/>
      <c r="U10" s="471"/>
      <c r="V10" s="471"/>
      <c r="W10" s="471"/>
      <c r="X10" s="471"/>
      <c r="Y10" s="471"/>
      <c r="Z10" s="471"/>
    </row>
    <row r="11" spans="1:26">
      <c r="A11" s="474" t="s">
        <v>148</v>
      </c>
      <c r="B11" s="475">
        <v>193205.81968077651</v>
      </c>
      <c r="C11" s="475">
        <v>149928.05576269497</v>
      </c>
      <c r="D11" s="475">
        <v>32102.842474329893</v>
      </c>
      <c r="E11" s="475">
        <v>14719.955704864113</v>
      </c>
      <c r="F11" s="475">
        <v>17382.886769469707</v>
      </c>
      <c r="G11" s="475"/>
      <c r="H11" s="475">
        <v>48783.250387174827</v>
      </c>
      <c r="I11" s="475">
        <v>26250.449105897023</v>
      </c>
      <c r="J11" s="475">
        <v>22532.801281271197</v>
      </c>
      <c r="K11" s="475"/>
      <c r="L11" s="475">
        <v>39926.627194337409</v>
      </c>
      <c r="M11" s="475">
        <v>23406.927347176708</v>
      </c>
      <c r="N11" s="475">
        <v>16519.699847161948</v>
      </c>
      <c r="O11" s="475"/>
      <c r="P11" s="475">
        <v>7448.0129666005096</v>
      </c>
      <c r="Q11" s="475">
        <v>4565.7526442277176</v>
      </c>
      <c r="R11" s="475">
        <v>2882.2603223731412</v>
      </c>
      <c r="S11" s="475"/>
      <c r="T11" s="475">
        <v>21396.123145270089</v>
      </c>
      <c r="U11" s="475">
        <v>8561.7288717506162</v>
      </c>
      <c r="V11" s="475">
        <v>12834.394273519476</v>
      </c>
      <c r="W11" s="475"/>
      <c r="X11" s="475">
        <v>271.19959512755958</v>
      </c>
      <c r="Y11" s="475">
        <v>139.92745067751744</v>
      </c>
      <c r="Z11" s="475">
        <v>131.27214445004213</v>
      </c>
    </row>
    <row r="12" spans="1:26">
      <c r="A12" s="477" t="s">
        <v>148</v>
      </c>
      <c r="B12" s="473">
        <v>193205.81968077651</v>
      </c>
      <c r="C12" s="473">
        <v>149928.05576269497</v>
      </c>
      <c r="D12" s="473">
        <v>32102.842474329893</v>
      </c>
      <c r="E12" s="473">
        <v>14719.955704864113</v>
      </c>
      <c r="F12" s="473">
        <v>17382.886769469707</v>
      </c>
      <c r="G12" s="473"/>
      <c r="H12" s="473">
        <v>48783.250387174827</v>
      </c>
      <c r="I12" s="473">
        <v>26250.449105897023</v>
      </c>
      <c r="J12" s="473">
        <v>22532.801281271197</v>
      </c>
      <c r="K12" s="473"/>
      <c r="L12" s="473">
        <v>39926.627194337409</v>
      </c>
      <c r="M12" s="473">
        <v>23406.927347176708</v>
      </c>
      <c r="N12" s="473">
        <v>16519.699847161948</v>
      </c>
      <c r="O12" s="473"/>
      <c r="P12" s="473">
        <v>7448.0129666005096</v>
      </c>
      <c r="Q12" s="473">
        <v>4565.7526442277176</v>
      </c>
      <c r="R12" s="473">
        <v>2882.2603223731412</v>
      </c>
      <c r="S12" s="473"/>
      <c r="T12" s="473">
        <v>21396.123145270089</v>
      </c>
      <c r="U12" s="473">
        <v>8561.7288717506162</v>
      </c>
      <c r="V12" s="473">
        <v>12834.394273519476</v>
      </c>
      <c r="W12" s="473"/>
      <c r="X12" s="473">
        <v>271.19959512755958</v>
      </c>
      <c r="Y12" s="473">
        <v>139.92745067751744</v>
      </c>
      <c r="Z12" s="473">
        <v>131.27214445004213</v>
      </c>
    </row>
    <row r="13" spans="1:26">
      <c r="A13" s="474" t="s">
        <v>149</v>
      </c>
      <c r="B13" s="475">
        <v>15615.593577376845</v>
      </c>
      <c r="C13" s="475">
        <v>8534.7601267369992</v>
      </c>
      <c r="D13" s="475">
        <v>1838.9800800717117</v>
      </c>
      <c r="E13" s="475">
        <v>1046.693797625898</v>
      </c>
      <c r="F13" s="475">
        <v>792.28628244579488</v>
      </c>
      <c r="G13" s="475"/>
      <c r="H13" s="475">
        <v>3342.2018323854786</v>
      </c>
      <c r="I13" s="475">
        <v>1865.5627585113646</v>
      </c>
      <c r="J13" s="475">
        <v>1476.6390738741845</v>
      </c>
      <c r="K13" s="475"/>
      <c r="L13" s="475">
        <v>1100.3907720428817</v>
      </c>
      <c r="M13" s="475">
        <v>766.14238744509817</v>
      </c>
      <c r="N13" s="475">
        <v>334.24838459778465</v>
      </c>
      <c r="O13" s="475"/>
      <c r="P13" s="475">
        <v>103.50545897858487</v>
      </c>
      <c r="Q13" s="475">
        <v>87.652634407578219</v>
      </c>
      <c r="R13" s="475">
        <v>15.852824571006618</v>
      </c>
      <c r="S13" s="475"/>
      <c r="T13" s="475">
        <v>2106.4054521211651</v>
      </c>
      <c r="U13" s="475">
        <v>895.51238219898198</v>
      </c>
      <c r="V13" s="475">
        <v>1210.8930699221721</v>
      </c>
      <c r="W13" s="475"/>
      <c r="X13" s="475">
        <v>43.276531137376516</v>
      </c>
      <c r="Y13" s="475">
        <v>23.080816606600802</v>
      </c>
      <c r="Z13" s="475">
        <v>20.1957145307757</v>
      </c>
    </row>
    <row r="14" spans="1:26">
      <c r="A14" s="477" t="s">
        <v>149</v>
      </c>
      <c r="B14" s="473">
        <v>15615.593577376845</v>
      </c>
      <c r="C14" s="473">
        <v>8534.7601267369992</v>
      </c>
      <c r="D14" s="473">
        <v>1838.9800800717117</v>
      </c>
      <c r="E14" s="473">
        <v>1046.693797625898</v>
      </c>
      <c r="F14" s="473">
        <v>792.28628244579488</v>
      </c>
      <c r="G14" s="473"/>
      <c r="H14" s="473">
        <v>3342.2018323854786</v>
      </c>
      <c r="I14" s="473">
        <v>1865.5627585113646</v>
      </c>
      <c r="J14" s="473">
        <v>1476.6390738741845</v>
      </c>
      <c r="K14" s="473"/>
      <c r="L14" s="473">
        <v>1100.3907720428817</v>
      </c>
      <c r="M14" s="473">
        <v>766.14238744509817</v>
      </c>
      <c r="N14" s="473">
        <v>334.24838459778465</v>
      </c>
      <c r="O14" s="473"/>
      <c r="P14" s="473">
        <v>103.50545897858487</v>
      </c>
      <c r="Q14" s="473">
        <v>87.652634407578219</v>
      </c>
      <c r="R14" s="473">
        <v>15.852824571006618</v>
      </c>
      <c r="S14" s="473"/>
      <c r="T14" s="473">
        <v>2106.4054521211651</v>
      </c>
      <c r="U14" s="473">
        <v>895.51238219898198</v>
      </c>
      <c r="V14" s="473">
        <v>1210.8930699221721</v>
      </c>
      <c r="W14" s="473"/>
      <c r="X14" s="473">
        <v>43.276531137376516</v>
      </c>
      <c r="Y14" s="473">
        <v>23.080816606600802</v>
      </c>
      <c r="Z14" s="473">
        <v>20.1957145307757</v>
      </c>
    </row>
    <row r="15" spans="1:26">
      <c r="A15" s="474" t="s">
        <v>150</v>
      </c>
      <c r="B15" s="475">
        <v>6245.0972547729552</v>
      </c>
      <c r="C15" s="475">
        <v>4279.6152035041359</v>
      </c>
      <c r="D15" s="475">
        <v>1118.5498143974478</v>
      </c>
      <c r="E15" s="475">
        <v>575.3612929511404</v>
      </c>
      <c r="F15" s="475">
        <v>543.18852144630853</v>
      </c>
      <c r="G15" s="475"/>
      <c r="H15" s="475">
        <v>1550.5077173132183</v>
      </c>
      <c r="I15" s="475">
        <v>859.45883607377277</v>
      </c>
      <c r="J15" s="475">
        <v>691.0488812394326</v>
      </c>
      <c r="K15" s="475"/>
      <c r="L15" s="475">
        <v>773.26348370947335</v>
      </c>
      <c r="M15" s="475">
        <v>507.30677326697912</v>
      </c>
      <c r="N15" s="475">
        <v>265.95671044249724</v>
      </c>
      <c r="O15" s="475"/>
      <c r="P15" s="475">
        <v>48.893236494877442</v>
      </c>
      <c r="Q15" s="475">
        <v>34.469522430664824</v>
      </c>
      <c r="R15" s="475">
        <v>14.423714064212588</v>
      </c>
      <c r="S15" s="475"/>
      <c r="T15" s="475">
        <v>784.07329847548692</v>
      </c>
      <c r="U15" s="475">
        <v>332.16497879014298</v>
      </c>
      <c r="V15" s="475">
        <v>451.90831968534627</v>
      </c>
      <c r="W15" s="475"/>
      <c r="X15" s="475">
        <v>4.3276531137376502</v>
      </c>
      <c r="Y15" s="475">
        <v>1.4425510379125499</v>
      </c>
      <c r="Z15" s="475">
        <v>2.8851020758250998</v>
      </c>
    </row>
    <row r="16" spans="1:26">
      <c r="A16" s="477" t="s">
        <v>150</v>
      </c>
      <c r="B16" s="473">
        <v>6245.0972547729552</v>
      </c>
      <c r="C16" s="473">
        <v>4279.6152035041359</v>
      </c>
      <c r="D16" s="473">
        <v>1118.5498143974478</v>
      </c>
      <c r="E16" s="473">
        <v>575.3612929511404</v>
      </c>
      <c r="F16" s="473">
        <v>543.18852144630853</v>
      </c>
      <c r="G16" s="473"/>
      <c r="H16" s="473">
        <v>1550.5077173132183</v>
      </c>
      <c r="I16" s="473">
        <v>859.45883607377277</v>
      </c>
      <c r="J16" s="473">
        <v>691.0488812394326</v>
      </c>
      <c r="K16" s="473"/>
      <c r="L16" s="473">
        <v>773.26348370947335</v>
      </c>
      <c r="M16" s="473">
        <v>507.30677326697912</v>
      </c>
      <c r="N16" s="473">
        <v>265.95671044249724</v>
      </c>
      <c r="O16" s="473"/>
      <c r="P16" s="473">
        <v>48.893236494877442</v>
      </c>
      <c r="Q16" s="473">
        <v>34.469522430664824</v>
      </c>
      <c r="R16" s="473">
        <v>14.423714064212588</v>
      </c>
      <c r="S16" s="473"/>
      <c r="T16" s="473">
        <v>784.07329847548692</v>
      </c>
      <c r="U16" s="473">
        <v>332.16497879014298</v>
      </c>
      <c r="V16" s="473">
        <v>451.90831968534627</v>
      </c>
      <c r="W16" s="473"/>
      <c r="X16" s="473">
        <v>4.3276531137376502</v>
      </c>
      <c r="Y16" s="473">
        <v>1.4425510379125499</v>
      </c>
      <c r="Z16" s="473">
        <v>2.8851020758250998</v>
      </c>
    </row>
    <row r="17" spans="1:26">
      <c r="A17" s="474" t="s">
        <v>151</v>
      </c>
      <c r="B17" s="475">
        <v>14577.841600051248</v>
      </c>
      <c r="C17" s="475">
        <v>8743.4021929442442</v>
      </c>
      <c r="D17" s="475">
        <v>2345.3475893286045</v>
      </c>
      <c r="E17" s="475">
        <v>1148.2209578892202</v>
      </c>
      <c r="F17" s="475">
        <v>1197.1266314393947</v>
      </c>
      <c r="G17" s="475"/>
      <c r="H17" s="475">
        <v>2717.2036698079883</v>
      </c>
      <c r="I17" s="475">
        <v>1522.3426229147287</v>
      </c>
      <c r="J17" s="475">
        <v>1194.8610468932834</v>
      </c>
      <c r="K17" s="475"/>
      <c r="L17" s="475">
        <v>1629.38603753077</v>
      </c>
      <c r="M17" s="475">
        <v>982.74239329222883</v>
      </c>
      <c r="N17" s="475">
        <v>646.64364423852351</v>
      </c>
      <c r="O17" s="475"/>
      <c r="P17" s="475">
        <v>129.56175770604179</v>
      </c>
      <c r="Q17" s="475">
        <v>96.440364559704435</v>
      </c>
      <c r="R17" s="475">
        <v>33.121393146337304</v>
      </c>
      <c r="S17" s="475"/>
      <c r="T17" s="475">
        <v>1916.1329344193716</v>
      </c>
      <c r="U17" s="475">
        <v>948.50874884191887</v>
      </c>
      <c r="V17" s="475">
        <v>967.62418557743376</v>
      </c>
      <c r="W17" s="475"/>
      <c r="X17" s="475">
        <v>5.7702041516501996</v>
      </c>
      <c r="Y17" s="475">
        <v>4.3276531137376502</v>
      </c>
      <c r="Z17" s="475">
        <v>1.4425510379125499</v>
      </c>
    </row>
    <row r="18" spans="1:26">
      <c r="A18" s="477" t="s">
        <v>151</v>
      </c>
      <c r="B18" s="473">
        <v>14577.841600051248</v>
      </c>
      <c r="C18" s="473">
        <v>8743.4021929442442</v>
      </c>
      <c r="D18" s="473">
        <v>2345.3475893286045</v>
      </c>
      <c r="E18" s="473">
        <v>1148.2209578892202</v>
      </c>
      <c r="F18" s="473">
        <v>1197.1266314393947</v>
      </c>
      <c r="G18" s="473"/>
      <c r="H18" s="473">
        <v>2717.2036698079883</v>
      </c>
      <c r="I18" s="473">
        <v>1522.3426229147287</v>
      </c>
      <c r="J18" s="473">
        <v>1194.8610468932834</v>
      </c>
      <c r="K18" s="473"/>
      <c r="L18" s="473">
        <v>1629.38603753077</v>
      </c>
      <c r="M18" s="473">
        <v>982.74239329222883</v>
      </c>
      <c r="N18" s="473">
        <v>646.64364423852351</v>
      </c>
      <c r="O18" s="473"/>
      <c r="P18" s="473">
        <v>129.56175770604179</v>
      </c>
      <c r="Q18" s="473">
        <v>96.440364559704435</v>
      </c>
      <c r="R18" s="473">
        <v>33.121393146337304</v>
      </c>
      <c r="S18" s="473"/>
      <c r="T18" s="473">
        <v>1916.1329344193716</v>
      </c>
      <c r="U18" s="473">
        <v>948.50874884191887</v>
      </c>
      <c r="V18" s="473">
        <v>967.62418557743376</v>
      </c>
      <c r="W18" s="473"/>
      <c r="X18" s="473">
        <v>5.7702041516501996</v>
      </c>
      <c r="Y18" s="473">
        <v>4.3276531137376502</v>
      </c>
      <c r="Z18" s="473">
        <v>1.4425510379125499</v>
      </c>
    </row>
    <row r="19" spans="1:26">
      <c r="A19" s="474" t="s">
        <v>152</v>
      </c>
      <c r="B19" s="475">
        <v>4127.9358306427284</v>
      </c>
      <c r="C19" s="475">
        <v>2453.7241679379522</v>
      </c>
      <c r="D19" s="475">
        <v>563.02988039092429</v>
      </c>
      <c r="E19" s="475">
        <v>313.63129022534451</v>
      </c>
      <c r="F19" s="475">
        <v>249.39859016558043</v>
      </c>
      <c r="G19" s="475"/>
      <c r="H19" s="475">
        <v>547.70218231915555</v>
      </c>
      <c r="I19" s="475">
        <v>330.24413476004287</v>
      </c>
      <c r="J19" s="475">
        <v>217.45804755911362</v>
      </c>
      <c r="K19" s="475"/>
      <c r="L19" s="475">
        <v>407.27327476514279</v>
      </c>
      <c r="M19" s="475">
        <v>326.63163461621593</v>
      </c>
      <c r="N19" s="475">
        <v>80.641640148927266</v>
      </c>
      <c r="O19" s="475"/>
      <c r="P19" s="475">
        <v>30.158004320415063</v>
      </c>
      <c r="Q19" s="475">
        <v>17.202113566478982</v>
      </c>
      <c r="R19" s="475">
        <v>12.955890753936073</v>
      </c>
      <c r="S19" s="475"/>
      <c r="T19" s="475">
        <v>905.56082614231866</v>
      </c>
      <c r="U19" s="475">
        <v>447.66139418622788</v>
      </c>
      <c r="V19" s="475">
        <v>457.89943195609442</v>
      </c>
      <c r="W19" s="475"/>
      <c r="X19" s="475">
        <v>0</v>
      </c>
      <c r="Y19" s="475">
        <v>0</v>
      </c>
      <c r="Z19" s="475">
        <v>0</v>
      </c>
    </row>
    <row r="20" spans="1:26">
      <c r="A20" s="477" t="s">
        <v>152</v>
      </c>
      <c r="B20" s="473">
        <v>3021.9229694380501</v>
      </c>
      <c r="C20" s="473">
        <v>1752.5028838267122</v>
      </c>
      <c r="D20" s="473">
        <v>370.47700817370725</v>
      </c>
      <c r="E20" s="473">
        <v>197.74190644617772</v>
      </c>
      <c r="F20" s="473">
        <v>172.73510172752941</v>
      </c>
      <c r="G20" s="473"/>
      <c r="H20" s="473">
        <v>347.07976795696015</v>
      </c>
      <c r="I20" s="473">
        <v>195.49541952913205</v>
      </c>
      <c r="J20" s="473">
        <v>151.58434842782805</v>
      </c>
      <c r="K20" s="473"/>
      <c r="L20" s="473">
        <v>279.21734254044401</v>
      </c>
      <c r="M20" s="473">
        <v>218.66336711254937</v>
      </c>
      <c r="N20" s="473">
        <v>60.553975427894919</v>
      </c>
      <c r="O20" s="473"/>
      <c r="P20" s="473">
        <v>25.857195254590177</v>
      </c>
      <c r="Q20" s="473">
        <v>15.786406576479195</v>
      </c>
      <c r="R20" s="473">
        <v>10.070788678110972</v>
      </c>
      <c r="S20" s="473"/>
      <c r="T20" s="473">
        <v>729.87156990099561</v>
      </c>
      <c r="U20" s="473">
        <v>373.36776002117978</v>
      </c>
      <c r="V20" s="473">
        <v>356.50380987981805</v>
      </c>
      <c r="W20" s="473"/>
      <c r="X20" s="473">
        <v>0</v>
      </c>
      <c r="Y20" s="473">
        <v>0</v>
      </c>
      <c r="Z20" s="473">
        <v>0</v>
      </c>
    </row>
    <row r="21" spans="1:26">
      <c r="A21" s="477" t="s">
        <v>153</v>
      </c>
      <c r="B21" s="473">
        <v>1106.0128612047304</v>
      </c>
      <c r="C21" s="473">
        <v>701.22128411126005</v>
      </c>
      <c r="D21" s="473">
        <v>192.5528722172179</v>
      </c>
      <c r="E21" s="473">
        <v>115.88938377916681</v>
      </c>
      <c r="F21" s="473">
        <v>76.663488438051218</v>
      </c>
      <c r="G21" s="473"/>
      <c r="H21" s="473">
        <v>200.62241436219645</v>
      </c>
      <c r="I21" s="473">
        <v>134.74871523091088</v>
      </c>
      <c r="J21" s="473">
        <v>65.873699131285633</v>
      </c>
      <c r="K21" s="473"/>
      <c r="L21" s="473">
        <v>128.0559322246994</v>
      </c>
      <c r="M21" s="473">
        <v>107.96826750366706</v>
      </c>
      <c r="N21" s="473">
        <v>20.087664721032315</v>
      </c>
      <c r="O21" s="473"/>
      <c r="P21" s="473">
        <v>4.3008090658248879</v>
      </c>
      <c r="Q21" s="473">
        <v>1.4157069899997887</v>
      </c>
      <c r="R21" s="473">
        <v>2.8851020758250998</v>
      </c>
      <c r="S21" s="473"/>
      <c r="T21" s="473">
        <v>175.68925624132498</v>
      </c>
      <c r="U21" s="473">
        <v>74.293634165048445</v>
      </c>
      <c r="V21" s="473">
        <v>101.39562207627669</v>
      </c>
      <c r="W21" s="473"/>
      <c r="X21" s="473">
        <v>0</v>
      </c>
      <c r="Y21" s="473">
        <v>0</v>
      </c>
      <c r="Z21" s="473">
        <v>0</v>
      </c>
    </row>
    <row r="22" spans="1:26">
      <c r="A22" s="474" t="s">
        <v>154</v>
      </c>
      <c r="B22" s="475">
        <v>1105.5927391163768</v>
      </c>
      <c r="C22" s="475">
        <v>448.50485690721843</v>
      </c>
      <c r="D22" s="475">
        <v>147.05558034965517</v>
      </c>
      <c r="E22" s="475">
        <v>94.133924460325289</v>
      </c>
      <c r="F22" s="475">
        <v>52.921655889330012</v>
      </c>
      <c r="G22" s="475"/>
      <c r="H22" s="475">
        <v>54.493456958005353</v>
      </c>
      <c r="I22" s="475">
        <v>41.600067184908966</v>
      </c>
      <c r="J22" s="475">
        <v>12.893389773096359</v>
      </c>
      <c r="K22" s="475"/>
      <c r="L22" s="475">
        <v>41.735516637324885</v>
      </c>
      <c r="M22" s="475">
        <v>30.196231030845038</v>
      </c>
      <c r="N22" s="475">
        <v>11.539285606479829</v>
      </c>
      <c r="O22" s="475"/>
      <c r="P22" s="475">
        <v>0</v>
      </c>
      <c r="Q22" s="475">
        <v>0</v>
      </c>
      <c r="R22" s="475">
        <v>0</v>
      </c>
      <c r="S22" s="475"/>
      <c r="T22" s="475">
        <v>205.22030296223375</v>
      </c>
      <c r="U22" s="475">
        <v>114.17148220805691</v>
      </c>
      <c r="V22" s="475">
        <v>91.048820754177015</v>
      </c>
      <c r="W22" s="475"/>
      <c r="X22" s="475">
        <v>0</v>
      </c>
      <c r="Y22" s="475">
        <v>0</v>
      </c>
      <c r="Z22" s="475">
        <v>0</v>
      </c>
    </row>
    <row r="23" spans="1:26">
      <c r="A23" s="477" t="s">
        <v>154</v>
      </c>
      <c r="B23" s="473">
        <v>726.68683635003015</v>
      </c>
      <c r="C23" s="473">
        <v>277.2956811998327</v>
      </c>
      <c r="D23" s="473">
        <v>81.451439558550589</v>
      </c>
      <c r="E23" s="473">
        <v>49.942132059919871</v>
      </c>
      <c r="F23" s="473">
        <v>31.509307498630683</v>
      </c>
      <c r="G23" s="473"/>
      <c r="H23" s="473">
        <v>30.175137325857179</v>
      </c>
      <c r="I23" s="473">
        <v>25.861822900694499</v>
      </c>
      <c r="J23" s="473">
        <v>4.3133144251626758</v>
      </c>
      <c r="K23" s="473"/>
      <c r="L23" s="473">
        <v>23.051502625682787</v>
      </c>
      <c r="M23" s="473">
        <v>15.83964559357649</v>
      </c>
      <c r="N23" s="473">
        <v>7.2118570321062947</v>
      </c>
      <c r="O23" s="473"/>
      <c r="P23" s="473">
        <v>0</v>
      </c>
      <c r="Q23" s="473">
        <v>0</v>
      </c>
      <c r="R23" s="473">
        <v>0</v>
      </c>
      <c r="S23" s="473"/>
      <c r="T23" s="473">
        <v>142.61760168974263</v>
      </c>
      <c r="U23" s="473">
        <v>82.815136744305178</v>
      </c>
      <c r="V23" s="473">
        <v>59.802464945437436</v>
      </c>
      <c r="W23" s="473"/>
      <c r="X23" s="473">
        <v>0</v>
      </c>
      <c r="Y23" s="473">
        <v>0</v>
      </c>
      <c r="Z23" s="473">
        <v>0</v>
      </c>
    </row>
    <row r="24" spans="1:26">
      <c r="A24" s="477" t="s">
        <v>155</v>
      </c>
      <c r="B24" s="473">
        <v>378.90590276634708</v>
      </c>
      <c r="C24" s="473">
        <v>171.20917570738612</v>
      </c>
      <c r="D24" s="473">
        <v>65.604140791104712</v>
      </c>
      <c r="E24" s="473">
        <v>44.191792400405419</v>
      </c>
      <c r="F24" s="473">
        <v>21.41234839069929</v>
      </c>
      <c r="G24" s="473"/>
      <c r="H24" s="473">
        <v>24.318319632148143</v>
      </c>
      <c r="I24" s="473">
        <v>15.738244284214455</v>
      </c>
      <c r="J24" s="473">
        <v>8.5800753479336844</v>
      </c>
      <c r="K24" s="473"/>
      <c r="L24" s="473">
        <v>18.684014011642084</v>
      </c>
      <c r="M24" s="473">
        <v>14.356585437268548</v>
      </c>
      <c r="N24" s="473">
        <v>4.3274285743735366</v>
      </c>
      <c r="O24" s="473"/>
      <c r="P24" s="473">
        <v>0</v>
      </c>
      <c r="Q24" s="473">
        <v>0</v>
      </c>
      <c r="R24" s="473">
        <v>0</v>
      </c>
      <c r="S24" s="473"/>
      <c r="T24" s="473">
        <v>62.602701272491302</v>
      </c>
      <c r="U24" s="473">
        <v>31.35634546375168</v>
      </c>
      <c r="V24" s="473">
        <v>31.246355808739573</v>
      </c>
      <c r="W24" s="473"/>
      <c r="X24" s="473">
        <v>0</v>
      </c>
      <c r="Y24" s="473">
        <v>0</v>
      </c>
      <c r="Z24" s="473">
        <v>0</v>
      </c>
    </row>
    <row r="25" spans="1:26">
      <c r="A25" s="474" t="s">
        <v>156</v>
      </c>
      <c r="B25" s="475">
        <v>8005.9784007209828</v>
      </c>
      <c r="C25" s="475">
        <v>5291.1020113969871</v>
      </c>
      <c r="D25" s="475">
        <v>1142.7634533092285</v>
      </c>
      <c r="E25" s="475">
        <v>660.19809378636126</v>
      </c>
      <c r="F25" s="475">
        <v>482.56535952286896</v>
      </c>
      <c r="G25" s="475"/>
      <c r="H25" s="475">
        <v>2193.0591327765242</v>
      </c>
      <c r="I25" s="475">
        <v>1119.744196060818</v>
      </c>
      <c r="J25" s="475">
        <v>1073.314936715688</v>
      </c>
      <c r="K25" s="475"/>
      <c r="L25" s="475">
        <v>440.04563276726668</v>
      </c>
      <c r="M25" s="475">
        <v>339.33118516631794</v>
      </c>
      <c r="N25" s="475">
        <v>100.71444760094913</v>
      </c>
      <c r="O25" s="475"/>
      <c r="P25" s="475">
        <v>21.488583943728898</v>
      </c>
      <c r="Q25" s="475">
        <v>17.214618925816769</v>
      </c>
      <c r="R25" s="475">
        <v>4.2739650179121274</v>
      </c>
      <c r="S25" s="475"/>
      <c r="T25" s="475">
        <v>1483.6473513350086</v>
      </c>
      <c r="U25" s="475">
        <v>699.51935739902433</v>
      </c>
      <c r="V25" s="475">
        <v>784.12799393597584</v>
      </c>
      <c r="W25" s="475"/>
      <c r="X25" s="475">
        <v>10.097857265387848</v>
      </c>
      <c r="Y25" s="475">
        <v>7.2127551895627491</v>
      </c>
      <c r="Z25" s="475">
        <v>2.8851020758250998</v>
      </c>
    </row>
    <row r="26" spans="1:26">
      <c r="A26" s="477" t="s">
        <v>156</v>
      </c>
      <c r="B26" s="473">
        <v>4132.6941381108636</v>
      </c>
      <c r="C26" s="473">
        <v>2346.7810028961617</v>
      </c>
      <c r="D26" s="473">
        <v>519.34831978752402</v>
      </c>
      <c r="E26" s="473">
        <v>339.18645844269713</v>
      </c>
      <c r="F26" s="473">
        <v>180.16186134482743</v>
      </c>
      <c r="G26" s="473"/>
      <c r="H26" s="473">
        <v>733.27442234773878</v>
      </c>
      <c r="I26" s="473">
        <v>379.17611274656826</v>
      </c>
      <c r="J26" s="473">
        <v>354.09830960117279</v>
      </c>
      <c r="K26" s="473"/>
      <c r="L26" s="473">
        <v>151.0323544815561</v>
      </c>
      <c r="M26" s="473">
        <v>129.47021794986597</v>
      </c>
      <c r="N26" s="473">
        <v>21.562136531690179</v>
      </c>
      <c r="O26" s="473"/>
      <c r="P26" s="473">
        <v>4.2739650179121274</v>
      </c>
      <c r="Q26" s="473">
        <v>2.8314139799995774</v>
      </c>
      <c r="R26" s="473">
        <v>1.4425510379125499</v>
      </c>
      <c r="S26" s="473"/>
      <c r="T26" s="473">
        <v>934.52428814768928</v>
      </c>
      <c r="U26" s="473">
        <v>456.62706758597005</v>
      </c>
      <c r="V26" s="473">
        <v>477.89722056172269</v>
      </c>
      <c r="W26" s="473"/>
      <c r="X26" s="473">
        <v>4.3276531137376502</v>
      </c>
      <c r="Y26" s="473">
        <v>2.8851020758250998</v>
      </c>
      <c r="Z26" s="473">
        <v>1.4425510379125499</v>
      </c>
    </row>
    <row r="27" spans="1:26">
      <c r="A27" s="477" t="s">
        <v>157</v>
      </c>
      <c r="B27" s="473">
        <v>3873.2842626101601</v>
      </c>
      <c r="C27" s="473">
        <v>2944.3210085009414</v>
      </c>
      <c r="D27" s="473">
        <v>623.41513352170637</v>
      </c>
      <c r="E27" s="473">
        <v>321.01163534366498</v>
      </c>
      <c r="F27" s="473">
        <v>302.40349817804127</v>
      </c>
      <c r="G27" s="473"/>
      <c r="H27" s="473">
        <v>1459.784710428778</v>
      </c>
      <c r="I27" s="473">
        <v>740.56808331425077</v>
      </c>
      <c r="J27" s="473">
        <v>719.21662711451825</v>
      </c>
      <c r="K27" s="473"/>
      <c r="L27" s="473">
        <v>289.01327828571124</v>
      </c>
      <c r="M27" s="473">
        <v>209.86096721645256</v>
      </c>
      <c r="N27" s="473">
        <v>79.152311069258914</v>
      </c>
      <c r="O27" s="473"/>
      <c r="P27" s="473">
        <v>17.214618925816772</v>
      </c>
      <c r="Q27" s="473">
        <v>14.383204945817194</v>
      </c>
      <c r="R27" s="473">
        <v>2.8314139799995774</v>
      </c>
      <c r="S27" s="473"/>
      <c r="T27" s="473">
        <v>549.12306318731066</v>
      </c>
      <c r="U27" s="473">
        <v>242.89228981305632</v>
      </c>
      <c r="V27" s="473">
        <v>306.23077337425525</v>
      </c>
      <c r="W27" s="473"/>
      <c r="X27" s="473">
        <v>5.7702041516501996</v>
      </c>
      <c r="Y27" s="473">
        <v>4.3276531137376502</v>
      </c>
      <c r="Z27" s="473">
        <v>1.4425510379125499</v>
      </c>
    </row>
    <row r="28" spans="1:26">
      <c r="A28" s="474" t="s">
        <v>158</v>
      </c>
      <c r="B28" s="475">
        <v>14504.075879210299</v>
      </c>
      <c r="C28" s="475">
        <v>5380.4990102804813</v>
      </c>
      <c r="D28" s="475">
        <v>1604.6232303526745</v>
      </c>
      <c r="E28" s="475">
        <v>1187.7127807049953</v>
      </c>
      <c r="F28" s="475">
        <v>416.91044964767229</v>
      </c>
      <c r="G28" s="475"/>
      <c r="H28" s="475">
        <v>1415.0245987518015</v>
      </c>
      <c r="I28" s="475">
        <v>944.98229361115227</v>
      </c>
      <c r="J28" s="475">
        <v>470.04230514064426</v>
      </c>
      <c r="K28" s="475"/>
      <c r="L28" s="475">
        <v>416.66243405451553</v>
      </c>
      <c r="M28" s="475">
        <v>346.17050593756483</v>
      </c>
      <c r="N28" s="475">
        <v>70.491928116951058</v>
      </c>
      <c r="O28" s="475"/>
      <c r="P28" s="475">
        <v>21.555263491944711</v>
      </c>
      <c r="Q28" s="475">
        <v>21.555263491944711</v>
      </c>
      <c r="R28" s="475">
        <v>0</v>
      </c>
      <c r="S28" s="475"/>
      <c r="T28" s="475">
        <v>1913.9781774022756</v>
      </c>
      <c r="U28" s="475">
        <v>1144.2575171176388</v>
      </c>
      <c r="V28" s="475">
        <v>769.72066028462484</v>
      </c>
      <c r="W28" s="475"/>
      <c r="X28" s="475">
        <v>8.6553062274752985</v>
      </c>
      <c r="Y28" s="475">
        <v>2.8851020758250998</v>
      </c>
      <c r="Z28" s="475">
        <v>5.7702041516501996</v>
      </c>
    </row>
    <row r="29" spans="1:26">
      <c r="A29" s="477" t="s">
        <v>158</v>
      </c>
      <c r="B29" s="473">
        <v>13018.591798747066</v>
      </c>
      <c r="C29" s="473">
        <v>4824.258369393322</v>
      </c>
      <c r="D29" s="473">
        <v>1428.8636163973549</v>
      </c>
      <c r="E29" s="473">
        <v>1040.4284821889473</v>
      </c>
      <c r="F29" s="473">
        <v>388.43513420840105</v>
      </c>
      <c r="G29" s="473"/>
      <c r="H29" s="473">
        <v>1332.6729080922964</v>
      </c>
      <c r="I29" s="473">
        <v>892.51986155338932</v>
      </c>
      <c r="J29" s="473">
        <v>440.15304653890331</v>
      </c>
      <c r="K29" s="473"/>
      <c r="L29" s="473">
        <v>393.66439498529434</v>
      </c>
      <c r="M29" s="473">
        <v>326.03050035689182</v>
      </c>
      <c r="N29" s="473">
        <v>67.633894628402828</v>
      </c>
      <c r="O29" s="473"/>
      <c r="P29" s="473">
        <v>20.11271245403216</v>
      </c>
      <c r="Q29" s="473">
        <v>20.11271245403216</v>
      </c>
      <c r="R29" s="473">
        <v>0</v>
      </c>
      <c r="S29" s="473"/>
      <c r="T29" s="473">
        <v>1640.2894312370252</v>
      </c>
      <c r="U29" s="473">
        <v>980.10571315355537</v>
      </c>
      <c r="V29" s="473">
        <v>660.18371808346137</v>
      </c>
      <c r="W29" s="473"/>
      <c r="X29" s="473">
        <v>8.6553062274752985</v>
      </c>
      <c r="Y29" s="473">
        <v>2.8851020758250998</v>
      </c>
      <c r="Z29" s="473">
        <v>5.7702041516501996</v>
      </c>
    </row>
    <row r="30" spans="1:26">
      <c r="A30" s="477" t="s">
        <v>159</v>
      </c>
      <c r="B30" s="473">
        <v>1485.4840804627761</v>
      </c>
      <c r="C30" s="473">
        <v>556.24064088720161</v>
      </c>
      <c r="D30" s="473">
        <v>175.75961395531615</v>
      </c>
      <c r="E30" s="473">
        <v>147.28429851604506</v>
      </c>
      <c r="F30" s="473">
        <v>28.475315439271153</v>
      </c>
      <c r="G30" s="473"/>
      <c r="H30" s="473">
        <v>82.351690659504598</v>
      </c>
      <c r="I30" s="473">
        <v>52.462432057763593</v>
      </c>
      <c r="J30" s="473">
        <v>29.889258601741012</v>
      </c>
      <c r="K30" s="473"/>
      <c r="L30" s="473">
        <v>22.998039069221374</v>
      </c>
      <c r="M30" s="473">
        <v>20.140005580673151</v>
      </c>
      <c r="N30" s="473">
        <v>2.8580334885482248</v>
      </c>
      <c r="O30" s="473"/>
      <c r="P30" s="473">
        <v>1.4425510379125499</v>
      </c>
      <c r="Q30" s="473">
        <v>1.4425510379125499</v>
      </c>
      <c r="R30" s="473">
        <v>0</v>
      </c>
      <c r="S30" s="473"/>
      <c r="T30" s="473">
        <v>273.68874616524698</v>
      </c>
      <c r="U30" s="473">
        <v>164.15180396408235</v>
      </c>
      <c r="V30" s="473">
        <v>109.53694220116478</v>
      </c>
      <c r="W30" s="473"/>
      <c r="X30" s="473">
        <v>0</v>
      </c>
      <c r="Y30" s="473">
        <v>0</v>
      </c>
      <c r="Z30" s="473">
        <v>0</v>
      </c>
    </row>
    <row r="31" spans="1:26">
      <c r="A31" s="474" t="s">
        <v>160</v>
      </c>
      <c r="B31" s="475">
        <v>3266.1342891650679</v>
      </c>
      <c r="C31" s="475">
        <v>961.4920229474501</v>
      </c>
      <c r="D31" s="475">
        <v>174.43922204059072</v>
      </c>
      <c r="E31" s="475">
        <v>137.18565628076615</v>
      </c>
      <c r="F31" s="475">
        <v>37.253565759824589</v>
      </c>
      <c r="G31" s="475"/>
      <c r="H31" s="475">
        <v>181.73471602751454</v>
      </c>
      <c r="I31" s="475">
        <v>113.1533431776737</v>
      </c>
      <c r="J31" s="475">
        <v>68.581372849840889</v>
      </c>
      <c r="K31" s="475"/>
      <c r="L31" s="475">
        <v>31.573037692322508</v>
      </c>
      <c r="M31" s="475">
        <v>28.688160155861521</v>
      </c>
      <c r="N31" s="475">
        <v>2.8848775364609862</v>
      </c>
      <c r="O31" s="475"/>
      <c r="P31" s="475">
        <v>2.8582580279123384</v>
      </c>
      <c r="Q31" s="475">
        <v>1.4157069899997887</v>
      </c>
      <c r="R31" s="475">
        <v>1.4425510379125499</v>
      </c>
      <c r="S31" s="475"/>
      <c r="T31" s="475">
        <v>569.44423812120192</v>
      </c>
      <c r="U31" s="475">
        <v>310.58440486583208</v>
      </c>
      <c r="V31" s="475">
        <v>258.85983325537109</v>
      </c>
      <c r="W31" s="475"/>
      <c r="X31" s="475">
        <v>1.4425510379125499</v>
      </c>
      <c r="Y31" s="475">
        <v>1.4425510379125499</v>
      </c>
      <c r="Z31" s="475">
        <v>0</v>
      </c>
    </row>
    <row r="32" spans="1:26">
      <c r="A32" s="477" t="s">
        <v>160</v>
      </c>
      <c r="B32" s="473">
        <v>3266.1342891650679</v>
      </c>
      <c r="C32" s="473">
        <v>961.4920229474501</v>
      </c>
      <c r="D32" s="473">
        <v>174.43922204059072</v>
      </c>
      <c r="E32" s="473">
        <v>137.18565628076615</v>
      </c>
      <c r="F32" s="473">
        <v>37.253565759824589</v>
      </c>
      <c r="G32" s="473"/>
      <c r="H32" s="473">
        <v>181.73471602751454</v>
      </c>
      <c r="I32" s="473">
        <v>113.1533431776737</v>
      </c>
      <c r="J32" s="473">
        <v>68.581372849840889</v>
      </c>
      <c r="K32" s="473"/>
      <c r="L32" s="473">
        <v>31.573037692322508</v>
      </c>
      <c r="M32" s="473">
        <v>28.688160155861521</v>
      </c>
      <c r="N32" s="473">
        <v>2.8848775364609862</v>
      </c>
      <c r="O32" s="473"/>
      <c r="P32" s="473">
        <v>2.8582580279123384</v>
      </c>
      <c r="Q32" s="473">
        <v>1.4157069899997887</v>
      </c>
      <c r="R32" s="473">
        <v>1.4425510379125499</v>
      </c>
      <c r="S32" s="473"/>
      <c r="T32" s="473">
        <v>569.44423812120192</v>
      </c>
      <c r="U32" s="473">
        <v>310.58440486583208</v>
      </c>
      <c r="V32" s="473">
        <v>258.85983325537109</v>
      </c>
      <c r="W32" s="473"/>
      <c r="X32" s="473">
        <v>1.4425510379125499</v>
      </c>
      <c r="Y32" s="473">
        <v>1.4425510379125499</v>
      </c>
      <c r="Z32" s="473">
        <v>0</v>
      </c>
    </row>
    <row r="33" spans="1:26">
      <c r="A33" s="474" t="s">
        <v>161</v>
      </c>
      <c r="B33" s="475">
        <v>15480.021747154076</v>
      </c>
      <c r="C33" s="475">
        <v>5860.8793110865736</v>
      </c>
      <c r="D33" s="475">
        <v>1112.6822629858846</v>
      </c>
      <c r="E33" s="475">
        <v>771.48392783004465</v>
      </c>
      <c r="F33" s="475">
        <v>341.19833515583849</v>
      </c>
      <c r="G33" s="475"/>
      <c r="H33" s="475">
        <v>2813.0518179982846</v>
      </c>
      <c r="I33" s="475">
        <v>1553.3289701688993</v>
      </c>
      <c r="J33" s="475">
        <v>1259.7228478294221</v>
      </c>
      <c r="K33" s="475"/>
      <c r="L33" s="475">
        <v>241.37341826618095</v>
      </c>
      <c r="M33" s="475">
        <v>183.97962238631922</v>
      </c>
      <c r="N33" s="475">
        <v>57.393795879861877</v>
      </c>
      <c r="O33" s="475"/>
      <c r="P33" s="475">
        <v>14.397094555663941</v>
      </c>
      <c r="Q33" s="475">
        <v>12.954768057115505</v>
      </c>
      <c r="R33" s="475">
        <v>1.4423264985484361</v>
      </c>
      <c r="S33" s="475"/>
      <c r="T33" s="475">
        <v>1626.0003288779635</v>
      </c>
      <c r="U33" s="475">
        <v>824.0406017910035</v>
      </c>
      <c r="V33" s="475">
        <v>801.95972708694728</v>
      </c>
      <c r="W33" s="475"/>
      <c r="X33" s="475">
        <v>53.374388402764374</v>
      </c>
      <c r="Y33" s="475">
        <v>24.523367644513353</v>
      </c>
      <c r="Z33" s="475">
        <v>28.851020758251007</v>
      </c>
    </row>
    <row r="34" spans="1:26">
      <c r="A34" s="477" t="s">
        <v>161</v>
      </c>
      <c r="B34" s="473">
        <v>12814.147021625275</v>
      </c>
      <c r="C34" s="473">
        <v>4679.9900722929578</v>
      </c>
      <c r="D34" s="473">
        <v>986.80769939717663</v>
      </c>
      <c r="E34" s="473">
        <v>671.54731617903144</v>
      </c>
      <c r="F34" s="473">
        <v>315.26038321814599</v>
      </c>
      <c r="G34" s="473"/>
      <c r="H34" s="473">
        <v>1978.3013320600705</v>
      </c>
      <c r="I34" s="473">
        <v>1100.5460102187324</v>
      </c>
      <c r="J34" s="473">
        <v>877.75532184131532</v>
      </c>
      <c r="K34" s="473"/>
      <c r="L34" s="473">
        <v>228.41797659097313</v>
      </c>
      <c r="M34" s="473">
        <v>175.35160928548493</v>
      </c>
      <c r="N34" s="473">
        <v>53.066367305488335</v>
      </c>
      <c r="O34" s="473"/>
      <c r="P34" s="473">
        <v>14.397094555663941</v>
      </c>
      <c r="Q34" s="473">
        <v>12.954768057115505</v>
      </c>
      <c r="R34" s="473">
        <v>1.4423264985484361</v>
      </c>
      <c r="S34" s="473"/>
      <c r="T34" s="473">
        <v>1438.8872958171949</v>
      </c>
      <c r="U34" s="473">
        <v>728.79085002644126</v>
      </c>
      <c r="V34" s="473">
        <v>710.09644579074586</v>
      </c>
      <c r="W34" s="473"/>
      <c r="X34" s="473">
        <v>33.178673871988657</v>
      </c>
      <c r="Y34" s="473">
        <v>11.540408303300397</v>
      </c>
      <c r="Z34" s="473">
        <v>21.638265568688251</v>
      </c>
    </row>
    <row r="35" spans="1:26">
      <c r="A35" s="477" t="s">
        <v>162</v>
      </c>
      <c r="B35" s="473">
        <v>2665.8747255279618</v>
      </c>
      <c r="C35" s="473">
        <v>1180.8892387937105</v>
      </c>
      <c r="D35" s="473">
        <v>125.87456358870695</v>
      </c>
      <c r="E35" s="473">
        <v>99.936611651014374</v>
      </c>
      <c r="F35" s="473">
        <v>25.937951937692574</v>
      </c>
      <c r="G35" s="473"/>
      <c r="H35" s="473">
        <v>834.75048593825295</v>
      </c>
      <c r="I35" s="473">
        <v>452.78295995015634</v>
      </c>
      <c r="J35" s="473">
        <v>381.96752598810315</v>
      </c>
      <c r="K35" s="473"/>
      <c r="L35" s="473">
        <v>12.955441675207846</v>
      </c>
      <c r="M35" s="473">
        <v>8.6280131008343108</v>
      </c>
      <c r="N35" s="473">
        <v>4.3274285743735366</v>
      </c>
      <c r="O35" s="473"/>
      <c r="P35" s="473">
        <v>0</v>
      </c>
      <c r="Q35" s="473">
        <v>0</v>
      </c>
      <c r="R35" s="473">
        <v>0</v>
      </c>
      <c r="S35" s="473"/>
      <c r="T35" s="473">
        <v>187.1130330607657</v>
      </c>
      <c r="U35" s="473">
        <v>95.249751764563342</v>
      </c>
      <c r="V35" s="473">
        <v>91.863281296202487</v>
      </c>
      <c r="W35" s="473"/>
      <c r="X35" s="473">
        <v>20.1957145307757</v>
      </c>
      <c r="Y35" s="473">
        <v>12.982959341212947</v>
      </c>
      <c r="Z35" s="473">
        <v>7.2127551895627491</v>
      </c>
    </row>
    <row r="36" spans="1:26">
      <c r="A36" s="474" t="s">
        <v>163</v>
      </c>
      <c r="B36" s="475">
        <v>10810.858684685381</v>
      </c>
      <c r="C36" s="475">
        <v>5392.0565127926056</v>
      </c>
      <c r="D36" s="475">
        <v>1252.7936326152826</v>
      </c>
      <c r="E36" s="475">
        <v>767.27733895961012</v>
      </c>
      <c r="F36" s="475">
        <v>485.51629365567118</v>
      </c>
      <c r="G36" s="475"/>
      <c r="H36" s="475">
        <v>1615.8220087723157</v>
      </c>
      <c r="I36" s="475">
        <v>955.3074489247158</v>
      </c>
      <c r="J36" s="475">
        <v>660.5145598475824</v>
      </c>
      <c r="K36" s="475"/>
      <c r="L36" s="475">
        <v>244.29686024000122</v>
      </c>
      <c r="M36" s="475">
        <v>196.89119352420371</v>
      </c>
      <c r="N36" s="475">
        <v>47.405666715797743</v>
      </c>
      <c r="O36" s="475"/>
      <c r="P36" s="475">
        <v>38.704362580690528</v>
      </c>
      <c r="Q36" s="475">
        <v>28.634022981307766</v>
      </c>
      <c r="R36" s="475">
        <v>10.070339599382747</v>
      </c>
      <c r="S36" s="475"/>
      <c r="T36" s="475">
        <v>2237.5545465086802</v>
      </c>
      <c r="U36" s="475">
        <v>1197.8575486008524</v>
      </c>
      <c r="V36" s="475">
        <v>1039.6969979078146</v>
      </c>
      <c r="W36" s="475"/>
      <c r="X36" s="475">
        <v>2.8851020758250998</v>
      </c>
      <c r="Y36" s="475">
        <v>1.4425510379125499</v>
      </c>
      <c r="Z36" s="475">
        <v>1.4425510379125499</v>
      </c>
    </row>
    <row r="37" spans="1:26">
      <c r="A37" s="477" t="s">
        <v>163</v>
      </c>
      <c r="B37" s="473">
        <v>7813.9641137243952</v>
      </c>
      <c r="C37" s="473">
        <v>3768.8978026672867</v>
      </c>
      <c r="D37" s="473">
        <v>805.0330010863695</v>
      </c>
      <c r="E37" s="473">
        <v>486.5110625178549</v>
      </c>
      <c r="F37" s="473">
        <v>318.52193856851807</v>
      </c>
      <c r="G37" s="473"/>
      <c r="H37" s="473">
        <v>1276.7947853958942</v>
      </c>
      <c r="I37" s="473">
        <v>739.20295446440286</v>
      </c>
      <c r="J37" s="473">
        <v>537.59183093148522</v>
      </c>
      <c r="K37" s="473"/>
      <c r="L37" s="473">
        <v>188.24276033647379</v>
      </c>
      <c r="M37" s="473">
        <v>149.49150169069509</v>
      </c>
      <c r="N37" s="473">
        <v>38.751258645778883</v>
      </c>
      <c r="O37" s="473"/>
      <c r="P37" s="473">
        <v>32.988295603594068</v>
      </c>
      <c r="Q37" s="473">
        <v>25.802609001308191</v>
      </c>
      <c r="R37" s="473">
        <v>7.185686602285875</v>
      </c>
      <c r="S37" s="473"/>
      <c r="T37" s="473">
        <v>1464.3964092071205</v>
      </c>
      <c r="U37" s="473">
        <v>784.88658949132696</v>
      </c>
      <c r="V37" s="473">
        <v>679.50981971578346</v>
      </c>
      <c r="W37" s="473"/>
      <c r="X37" s="473">
        <v>1.4425510379125499</v>
      </c>
      <c r="Y37" s="473">
        <v>0</v>
      </c>
      <c r="Z37" s="473">
        <v>1.4425510379125499</v>
      </c>
    </row>
    <row r="38" spans="1:26" ht="15.75" thickBot="1">
      <c r="A38" s="478" t="s">
        <v>164</v>
      </c>
      <c r="B38" s="476">
        <v>2996.8945709602162</v>
      </c>
      <c r="C38" s="476">
        <v>1623.1587101254252</v>
      </c>
      <c r="D38" s="476">
        <v>447.76063152891078</v>
      </c>
      <c r="E38" s="476">
        <v>280.76627644175778</v>
      </c>
      <c r="F38" s="476">
        <v>166.99435508715305</v>
      </c>
      <c r="G38" s="476"/>
      <c r="H38" s="476">
        <v>339.02722337641438</v>
      </c>
      <c r="I38" s="476">
        <v>216.10449446031558</v>
      </c>
      <c r="J38" s="476">
        <v>122.92272891609952</v>
      </c>
      <c r="K38" s="476"/>
      <c r="L38" s="476">
        <v>56.054099903527579</v>
      </c>
      <c r="M38" s="476">
        <v>47.399691833508719</v>
      </c>
      <c r="N38" s="476">
        <v>8.6544080700188442</v>
      </c>
      <c r="O38" s="476"/>
      <c r="P38" s="476">
        <v>5.7160669770964496</v>
      </c>
      <c r="Q38" s="476">
        <v>2.8314139799995774</v>
      </c>
      <c r="R38" s="476">
        <v>2.8846529970968722</v>
      </c>
      <c r="S38" s="476"/>
      <c r="T38" s="476">
        <v>773.15813730155617</v>
      </c>
      <c r="U38" s="476">
        <v>412.97095910952476</v>
      </c>
      <c r="V38" s="476">
        <v>360.18717819203385</v>
      </c>
      <c r="W38" s="476"/>
      <c r="X38" s="476">
        <v>1.4425510379125499</v>
      </c>
      <c r="Y38" s="476">
        <v>1.4425510379125499</v>
      </c>
      <c r="Z38" s="476">
        <v>0</v>
      </c>
    </row>
  </sheetData>
  <mergeCells count="11">
    <mergeCell ref="A1:Z1"/>
    <mergeCell ref="D3:F3"/>
    <mergeCell ref="H3:J3"/>
    <mergeCell ref="L3:N3"/>
    <mergeCell ref="P3:R3"/>
    <mergeCell ref="T3:V3"/>
    <mergeCell ref="X3:Z3"/>
    <mergeCell ref="D2:Z2"/>
    <mergeCell ref="A2:A4"/>
    <mergeCell ref="B2:B4"/>
    <mergeCell ref="C2:C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37"/>
  <sheetViews>
    <sheetView workbookViewId="0">
      <selection activeCell="A9" sqref="A9"/>
    </sheetView>
  </sheetViews>
  <sheetFormatPr defaultRowHeight="15"/>
  <cols>
    <col min="1" max="1" width="21.7109375" style="26" customWidth="1"/>
    <col min="2" max="4" width="9.140625" style="26"/>
    <col min="5" max="5" width="2.42578125" style="26" customWidth="1"/>
    <col min="6" max="8" width="9.140625" style="26"/>
    <col min="9" max="9" width="3" style="26" customWidth="1"/>
    <col min="10" max="16384" width="9.140625" style="26"/>
  </cols>
  <sheetData>
    <row r="1" spans="1:13" ht="15.75" thickBot="1">
      <c r="A1" s="1046" t="s">
        <v>539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</row>
    <row r="2" spans="1:13" ht="24.75" customHeight="1">
      <c r="A2" s="1084" t="s">
        <v>314</v>
      </c>
      <c r="B2" s="1081" t="s">
        <v>307</v>
      </c>
      <c r="C2" s="1081"/>
      <c r="D2" s="1081"/>
      <c r="E2" s="451"/>
      <c r="F2" s="1081" t="s">
        <v>308</v>
      </c>
      <c r="G2" s="1081"/>
      <c r="H2" s="1081"/>
      <c r="I2" s="451"/>
      <c r="J2" s="1082" t="s">
        <v>309</v>
      </c>
      <c r="K2" s="1082"/>
      <c r="L2" s="1082"/>
      <c r="M2" s="1083" t="s">
        <v>270</v>
      </c>
    </row>
    <row r="3" spans="1:13">
      <c r="A3" s="1085"/>
      <c r="B3" s="410" t="s">
        <v>0</v>
      </c>
      <c r="C3" s="410" t="s">
        <v>1</v>
      </c>
      <c r="D3" s="410" t="s">
        <v>2</v>
      </c>
      <c r="E3" s="410"/>
      <c r="F3" s="410" t="s">
        <v>0</v>
      </c>
      <c r="G3" s="410" t="s">
        <v>1</v>
      </c>
      <c r="H3" s="410" t="s">
        <v>2</v>
      </c>
      <c r="I3" s="410"/>
      <c r="J3" s="479" t="s">
        <v>0</v>
      </c>
      <c r="K3" s="479" t="s">
        <v>1</v>
      </c>
      <c r="L3" s="479" t="s">
        <v>2</v>
      </c>
      <c r="M3" s="1083"/>
    </row>
    <row r="4" spans="1:13">
      <c r="A4" s="480" t="s">
        <v>147</v>
      </c>
      <c r="B4" s="481">
        <v>90999.47535532371</v>
      </c>
      <c r="C4" s="481">
        <v>44707.646731839464</v>
      </c>
      <c r="D4" s="481">
        <v>46291.828623573245</v>
      </c>
      <c r="E4" s="481"/>
      <c r="F4" s="481">
        <v>48880.842103729381</v>
      </c>
      <c r="G4" s="481">
        <v>23924.625343047843</v>
      </c>
      <c r="H4" s="481">
        <v>24956.216760725263</v>
      </c>
      <c r="I4" s="481"/>
      <c r="J4" s="482">
        <v>53.715520790546314</v>
      </c>
      <c r="K4" s="482">
        <v>53.513497336493657</v>
      </c>
      <c r="L4" s="482">
        <v>53.910630672342535</v>
      </c>
      <c r="M4" s="483">
        <f>L4/K4</f>
        <v>1.0074211807415931</v>
      </c>
    </row>
    <row r="5" spans="1:13">
      <c r="A5" s="484"/>
      <c r="B5" s="485"/>
      <c r="C5" s="485"/>
      <c r="D5" s="485"/>
      <c r="E5" s="485"/>
      <c r="F5" s="485"/>
      <c r="G5" s="485"/>
      <c r="H5" s="485"/>
      <c r="I5" s="485"/>
      <c r="J5" s="486"/>
      <c r="K5" s="486"/>
      <c r="L5" s="486"/>
      <c r="M5" s="487"/>
    </row>
    <row r="6" spans="1:13" ht="15" customHeight="1">
      <c r="A6" s="480" t="s">
        <v>3</v>
      </c>
      <c r="B6" s="481"/>
      <c r="C6" s="481"/>
      <c r="D6" s="481"/>
      <c r="E6" s="481"/>
      <c r="F6" s="481"/>
      <c r="G6" s="481"/>
      <c r="H6" s="481"/>
      <c r="I6" s="481"/>
      <c r="J6" s="482"/>
      <c r="K6" s="482"/>
      <c r="L6" s="482"/>
      <c r="M6" s="483"/>
    </row>
    <row r="7" spans="1:13">
      <c r="A7" s="484" t="s">
        <v>4</v>
      </c>
      <c r="B7" s="485">
        <v>63418.119345019521</v>
      </c>
      <c r="C7" s="485">
        <v>30990.558257126257</v>
      </c>
      <c r="D7" s="485">
        <v>32427.561087976515</v>
      </c>
      <c r="E7" s="485"/>
      <c r="F7" s="485">
        <v>40446.14392341709</v>
      </c>
      <c r="G7" s="485">
        <v>19709.952235805464</v>
      </c>
      <c r="H7" s="485">
        <v>20736.191687632418</v>
      </c>
      <c r="I7" s="485"/>
      <c r="J7" s="486">
        <v>63.776952614099017</v>
      </c>
      <c r="K7" s="486">
        <v>63.59986184269259</v>
      </c>
      <c r="L7" s="486">
        <v>63.946195741892396</v>
      </c>
      <c r="M7" s="487">
        <f t="shared" ref="M7:M37" si="0">L7/K7</f>
        <v>1.0054455133889508</v>
      </c>
    </row>
    <row r="8" spans="1:13">
      <c r="A8" s="484" t="s">
        <v>5</v>
      </c>
      <c r="B8" s="485">
        <v>27581.356010379088</v>
      </c>
      <c r="C8" s="485">
        <v>13717.088474745586</v>
      </c>
      <c r="D8" s="485">
        <v>13864.267535633415</v>
      </c>
      <c r="E8" s="485"/>
      <c r="F8" s="485">
        <v>8434.6981803351373</v>
      </c>
      <c r="G8" s="485">
        <v>4214.6731072422917</v>
      </c>
      <c r="H8" s="485">
        <v>4220.0250730927582</v>
      </c>
      <c r="I8" s="485"/>
      <c r="J8" s="486">
        <v>30.581158436011226</v>
      </c>
      <c r="K8" s="486">
        <v>30.725712056181209</v>
      </c>
      <c r="L8" s="486">
        <v>30.438139355333881</v>
      </c>
      <c r="M8" s="487">
        <f t="shared" si="0"/>
        <v>0.99064064974892985</v>
      </c>
    </row>
    <row r="9" spans="1:13" ht="15" customHeight="1">
      <c r="A9" s="1184" t="s">
        <v>593</v>
      </c>
      <c r="B9" s="481"/>
      <c r="C9" s="481"/>
      <c r="D9" s="481"/>
      <c r="E9" s="481"/>
      <c r="F9" s="481"/>
      <c r="G9" s="481"/>
      <c r="H9" s="481"/>
      <c r="I9" s="481"/>
      <c r="J9" s="482"/>
      <c r="K9" s="482"/>
      <c r="L9" s="482"/>
      <c r="M9" s="483"/>
    </row>
    <row r="10" spans="1:13">
      <c r="A10" s="488" t="s">
        <v>148</v>
      </c>
      <c r="B10" s="489">
        <v>61342.894586506773</v>
      </c>
      <c r="C10" s="489">
        <v>30052.626241832</v>
      </c>
      <c r="D10" s="489">
        <v>31290.268344752381</v>
      </c>
      <c r="E10" s="489"/>
      <c r="F10" s="489">
        <v>38435.142755109766</v>
      </c>
      <c r="G10" s="489">
        <v>18758.640305885041</v>
      </c>
      <c r="H10" s="489">
        <v>19676.502449240048</v>
      </c>
      <c r="I10" s="489"/>
      <c r="J10" s="490">
        <v>62.656226143539996</v>
      </c>
      <c r="K10" s="490">
        <v>62.419304572387318</v>
      </c>
      <c r="L10" s="490">
        <v>62.883776618508669</v>
      </c>
      <c r="M10" s="487">
        <f t="shared" si="0"/>
        <v>1.0074411602196354</v>
      </c>
    </row>
    <row r="11" spans="1:13">
      <c r="A11" s="494" t="s">
        <v>148</v>
      </c>
      <c r="B11" s="485">
        <v>61342.894586506773</v>
      </c>
      <c r="C11" s="485">
        <v>30052.626241832</v>
      </c>
      <c r="D11" s="485">
        <v>31290.268344752381</v>
      </c>
      <c r="E11" s="485"/>
      <c r="F11" s="485">
        <v>38435.142755109766</v>
      </c>
      <c r="G11" s="485">
        <v>18758.640305885041</v>
      </c>
      <c r="H11" s="485">
        <v>19676.502449240048</v>
      </c>
      <c r="I11" s="485"/>
      <c r="J11" s="486">
        <v>62.656226143539996</v>
      </c>
      <c r="K11" s="486">
        <v>62.419304572387318</v>
      </c>
      <c r="L11" s="486">
        <v>62.883776618508669</v>
      </c>
      <c r="M11" s="487">
        <f t="shared" si="0"/>
        <v>1.0074411602196354</v>
      </c>
    </row>
    <row r="12" spans="1:13">
      <c r="A12" s="488" t="s">
        <v>149</v>
      </c>
      <c r="B12" s="489">
        <v>4428.7517412609523</v>
      </c>
      <c r="C12" s="489">
        <v>2136.7723657986685</v>
      </c>
      <c r="D12" s="489">
        <v>2291.9793754621974</v>
      </c>
      <c r="E12" s="489"/>
      <c r="F12" s="489">
        <v>1724.6709953127472</v>
      </c>
      <c r="G12" s="489">
        <v>861.66650192503573</v>
      </c>
      <c r="H12" s="489">
        <v>863.00449338765225</v>
      </c>
      <c r="I12" s="489"/>
      <c r="J12" s="490">
        <v>38.942598187308313</v>
      </c>
      <c r="K12" s="490">
        <v>40.325610519722993</v>
      </c>
      <c r="L12" s="490">
        <v>37.653239929945961</v>
      </c>
      <c r="M12" s="487">
        <f t="shared" si="0"/>
        <v>0.93373018894605475</v>
      </c>
    </row>
    <row r="13" spans="1:13">
      <c r="A13" s="494" t="s">
        <v>149</v>
      </c>
      <c r="B13" s="485">
        <v>4428.7517412609523</v>
      </c>
      <c r="C13" s="485">
        <v>2136.7723657986685</v>
      </c>
      <c r="D13" s="485">
        <v>2291.9793754621974</v>
      </c>
      <c r="E13" s="485"/>
      <c r="F13" s="485">
        <v>1724.6709953127472</v>
      </c>
      <c r="G13" s="485">
        <v>861.66650192503573</v>
      </c>
      <c r="H13" s="485">
        <v>863.00449338765225</v>
      </c>
      <c r="I13" s="485"/>
      <c r="J13" s="486">
        <v>38.942598187308313</v>
      </c>
      <c r="K13" s="486">
        <v>40.325610519722993</v>
      </c>
      <c r="L13" s="486">
        <v>37.653239929945961</v>
      </c>
      <c r="M13" s="487">
        <f t="shared" si="0"/>
        <v>0.93373018894605475</v>
      </c>
    </row>
    <row r="14" spans="1:13">
      <c r="A14" s="488" t="s">
        <v>150</v>
      </c>
      <c r="B14" s="489">
        <v>2077.9007414435368</v>
      </c>
      <c r="C14" s="489">
        <v>1024.9014603642506</v>
      </c>
      <c r="D14" s="489">
        <v>1052.9992810791998</v>
      </c>
      <c r="E14" s="489"/>
      <c r="F14" s="489">
        <v>1296.5137272754262</v>
      </c>
      <c r="G14" s="489">
        <v>640.89791059331083</v>
      </c>
      <c r="H14" s="489">
        <v>655.61581668209249</v>
      </c>
      <c r="I14" s="489"/>
      <c r="J14" s="490">
        <v>62.39536381197393</v>
      </c>
      <c r="K14" s="490">
        <v>62.532637075719038</v>
      </c>
      <c r="L14" s="490">
        <v>62.261753494282978</v>
      </c>
      <c r="M14" s="487">
        <f t="shared" si="0"/>
        <v>0.99566812477285971</v>
      </c>
    </row>
    <row r="15" spans="1:13">
      <c r="A15" s="494" t="s">
        <v>150</v>
      </c>
      <c r="B15" s="485">
        <v>2077.9007414435368</v>
      </c>
      <c r="C15" s="485">
        <v>1024.9014603642506</v>
      </c>
      <c r="D15" s="485">
        <v>1052.9992810791998</v>
      </c>
      <c r="E15" s="485"/>
      <c r="F15" s="485">
        <v>1296.5137272754262</v>
      </c>
      <c r="G15" s="485">
        <v>640.89791059331083</v>
      </c>
      <c r="H15" s="485">
        <v>655.61581668209249</v>
      </c>
      <c r="I15" s="485"/>
      <c r="J15" s="486">
        <v>62.39536381197393</v>
      </c>
      <c r="K15" s="486">
        <v>62.532637075719038</v>
      </c>
      <c r="L15" s="486">
        <v>62.261753494282978</v>
      </c>
      <c r="M15" s="487">
        <f t="shared" si="0"/>
        <v>0.99566812477285971</v>
      </c>
    </row>
    <row r="16" spans="1:13">
      <c r="A16" s="488" t="s">
        <v>151</v>
      </c>
      <c r="B16" s="489">
        <v>4276.2207145226566</v>
      </c>
      <c r="C16" s="489">
        <v>2150.1522804248348</v>
      </c>
      <c r="D16" s="489">
        <v>2126.0684340977355</v>
      </c>
      <c r="E16" s="489"/>
      <c r="F16" s="489">
        <v>2140.7863401865184</v>
      </c>
      <c r="G16" s="489">
        <v>1039.6193664530335</v>
      </c>
      <c r="H16" s="489">
        <v>1101.1669737333984</v>
      </c>
      <c r="I16" s="489"/>
      <c r="J16" s="490">
        <v>50.062578222774675</v>
      </c>
      <c r="K16" s="490">
        <v>48.350964530178402</v>
      </c>
      <c r="L16" s="490">
        <v>51.793580868468482</v>
      </c>
      <c r="M16" s="487">
        <f t="shared" si="0"/>
        <v>1.071200572144561</v>
      </c>
    </row>
    <row r="17" spans="1:13">
      <c r="A17" s="494" t="s">
        <v>151</v>
      </c>
      <c r="B17" s="485">
        <v>4276.2207145226566</v>
      </c>
      <c r="C17" s="485">
        <v>2150.1522804248348</v>
      </c>
      <c r="D17" s="485">
        <v>2126.0684340977355</v>
      </c>
      <c r="E17" s="485"/>
      <c r="F17" s="485">
        <v>2140.7863401865184</v>
      </c>
      <c r="G17" s="485">
        <v>1039.6193664530335</v>
      </c>
      <c r="H17" s="485">
        <v>1101.1669737333984</v>
      </c>
      <c r="I17" s="485"/>
      <c r="J17" s="486">
        <v>50.062578222774675</v>
      </c>
      <c r="K17" s="486">
        <v>48.350964530178402</v>
      </c>
      <c r="L17" s="486">
        <v>51.793580868468482</v>
      </c>
      <c r="M17" s="487">
        <f t="shared" si="0"/>
        <v>1.071200572144561</v>
      </c>
    </row>
    <row r="18" spans="1:13">
      <c r="A18" s="488" t="s">
        <v>152</v>
      </c>
      <c r="B18" s="489">
        <v>1439.6788137754054</v>
      </c>
      <c r="C18" s="489">
        <v>667.65773984564112</v>
      </c>
      <c r="D18" s="489">
        <v>772.02107392972925</v>
      </c>
      <c r="E18" s="489"/>
      <c r="F18" s="489">
        <v>615.47607280359705</v>
      </c>
      <c r="G18" s="489">
        <v>274.28824983638577</v>
      </c>
      <c r="H18" s="489">
        <v>341.1878229672115</v>
      </c>
      <c r="I18" s="489"/>
      <c r="J18" s="490">
        <v>42.750929368029368</v>
      </c>
      <c r="K18" s="490">
        <v>41.082164328657434</v>
      </c>
      <c r="L18" s="490">
        <v>44.194107452339871</v>
      </c>
      <c r="M18" s="487">
        <f t="shared" si="0"/>
        <v>1.0757492496935381</v>
      </c>
    </row>
    <row r="19" spans="1:13">
      <c r="A19" s="494" t="s">
        <v>152</v>
      </c>
      <c r="B19" s="485">
        <v>1054.3372725418164</v>
      </c>
      <c r="C19" s="485">
        <v>489.70487531764462</v>
      </c>
      <c r="D19" s="485">
        <v>564.63239722416949</v>
      </c>
      <c r="E19" s="485"/>
      <c r="F19" s="485">
        <v>450.9031229017657</v>
      </c>
      <c r="G19" s="485">
        <v>210.06465963079307</v>
      </c>
      <c r="H19" s="485">
        <v>240.83846327097291</v>
      </c>
      <c r="I19" s="485"/>
      <c r="J19" s="486">
        <v>42.766497461929283</v>
      </c>
      <c r="K19" s="486">
        <v>42.896174863388097</v>
      </c>
      <c r="L19" s="486">
        <v>42.654028436019075</v>
      </c>
      <c r="M19" s="487">
        <f t="shared" si="0"/>
        <v>0.99435505780783051</v>
      </c>
    </row>
    <row r="20" spans="1:13">
      <c r="A20" s="494" t="s">
        <v>153</v>
      </c>
      <c r="B20" s="485">
        <v>385.34154123355648</v>
      </c>
      <c r="C20" s="485">
        <v>177.95286452799672</v>
      </c>
      <c r="D20" s="485">
        <v>207.38867670556004</v>
      </c>
      <c r="E20" s="485"/>
      <c r="F20" s="485">
        <v>164.57294990183158</v>
      </c>
      <c r="G20" s="485">
        <v>64.22359020559297</v>
      </c>
      <c r="H20" s="485">
        <v>100.34935969623886</v>
      </c>
      <c r="I20" s="485"/>
      <c r="J20" s="486">
        <v>42.708333333333449</v>
      </c>
      <c r="K20" s="486">
        <v>36.09022556390984</v>
      </c>
      <c r="L20" s="486">
        <v>48.387096774193644</v>
      </c>
      <c r="M20" s="487">
        <f t="shared" si="0"/>
        <v>1.3407258064516132</v>
      </c>
    </row>
    <row r="21" spans="1:13">
      <c r="A21" s="488" t="s">
        <v>154</v>
      </c>
      <c r="B21" s="489">
        <v>425.48128511205192</v>
      </c>
      <c r="C21" s="489">
        <v>235.48649742050685</v>
      </c>
      <c r="D21" s="489">
        <v>189.99478769154535</v>
      </c>
      <c r="E21" s="489"/>
      <c r="F21" s="489">
        <v>74.927521906525087</v>
      </c>
      <c r="G21" s="489">
        <v>45.491709728961673</v>
      </c>
      <c r="H21" s="489">
        <v>29.435812177563417</v>
      </c>
      <c r="I21" s="489"/>
      <c r="J21" s="490">
        <v>17.61006289308181</v>
      </c>
      <c r="K21" s="490">
        <v>19.318181818181859</v>
      </c>
      <c r="L21" s="490">
        <v>15.492957746478902</v>
      </c>
      <c r="M21" s="487">
        <f t="shared" si="0"/>
        <v>0.80198840099420032</v>
      </c>
    </row>
    <row r="22" spans="1:13">
      <c r="A22" s="494" t="s">
        <v>154</v>
      </c>
      <c r="B22" s="485">
        <v>306.40004493918212</v>
      </c>
      <c r="C22" s="485">
        <v>168.58692428968112</v>
      </c>
      <c r="D22" s="485">
        <v>137.81312064950129</v>
      </c>
      <c r="E22" s="485"/>
      <c r="F22" s="485">
        <v>24.083846327097344</v>
      </c>
      <c r="G22" s="485">
        <v>13.379914626165196</v>
      </c>
      <c r="H22" s="485">
        <v>10.703931700932156</v>
      </c>
      <c r="I22" s="485"/>
      <c r="J22" s="486">
        <v>7.8602620087336437</v>
      </c>
      <c r="K22" s="486">
        <v>7.9365079365079501</v>
      </c>
      <c r="L22" s="486">
        <v>7.7669902912621467</v>
      </c>
      <c r="M22" s="487">
        <f t="shared" si="0"/>
        <v>0.97864077669902882</v>
      </c>
    </row>
    <row r="23" spans="1:13">
      <c r="A23" s="494" t="s">
        <v>155</v>
      </c>
      <c r="B23" s="485">
        <v>119.08124017287007</v>
      </c>
      <c r="C23" s="485">
        <v>66.899573130825999</v>
      </c>
      <c r="D23" s="485">
        <v>52.181667042044282</v>
      </c>
      <c r="E23" s="485"/>
      <c r="F23" s="485">
        <v>50.84367557942776</v>
      </c>
      <c r="G23" s="485">
        <v>32.111795102796457</v>
      </c>
      <c r="H23" s="485">
        <v>18.731880476631272</v>
      </c>
      <c r="I23" s="485"/>
      <c r="J23" s="486">
        <v>42.696629213483192</v>
      </c>
      <c r="K23" s="486">
        <v>48</v>
      </c>
      <c r="L23" s="486">
        <v>35.897435897435869</v>
      </c>
      <c r="M23" s="487">
        <f t="shared" si="0"/>
        <v>0.74786324786324732</v>
      </c>
    </row>
    <row r="24" spans="1:13">
      <c r="A24" s="488" t="s">
        <v>156</v>
      </c>
      <c r="B24" s="489">
        <v>3050.6205347658256</v>
      </c>
      <c r="C24" s="489">
        <v>1498.550438130537</v>
      </c>
      <c r="D24" s="489">
        <v>1552.0700966352022</v>
      </c>
      <c r="E24" s="489"/>
      <c r="F24" s="489">
        <v>1415.5949674483061</v>
      </c>
      <c r="G24" s="489">
        <v>683.71363739703929</v>
      </c>
      <c r="H24" s="489">
        <v>731.88133005123382</v>
      </c>
      <c r="I24" s="489"/>
      <c r="J24" s="490">
        <v>46.40350877192698</v>
      </c>
      <c r="K24" s="490">
        <v>45.62499999999946</v>
      </c>
      <c r="L24" s="490">
        <v>47.155172413792329</v>
      </c>
      <c r="M24" s="487">
        <f t="shared" si="0"/>
        <v>1.0335380255077893</v>
      </c>
    </row>
    <row r="25" spans="1:13">
      <c r="A25" s="494" t="s">
        <v>156</v>
      </c>
      <c r="B25" s="485">
        <v>1788.8945855183454</v>
      </c>
      <c r="C25" s="485">
        <v>883.07436532689997</v>
      </c>
      <c r="D25" s="485">
        <v>905.82022019138071</v>
      </c>
      <c r="E25" s="485"/>
      <c r="F25" s="485">
        <v>664.98175692040809</v>
      </c>
      <c r="G25" s="485">
        <v>318.44196810273075</v>
      </c>
      <c r="H25" s="485">
        <v>346.53978881767756</v>
      </c>
      <c r="I25" s="485"/>
      <c r="J25" s="486">
        <v>37.172774869109205</v>
      </c>
      <c r="K25" s="486">
        <v>36.060606060606169</v>
      </c>
      <c r="L25" s="486">
        <v>38.257016248153796</v>
      </c>
      <c r="M25" s="487">
        <f t="shared" si="0"/>
        <v>1.0609088539403961</v>
      </c>
    </row>
    <row r="26" spans="1:13">
      <c r="A26" s="494" t="s">
        <v>157</v>
      </c>
      <c r="B26" s="485">
        <v>1261.7259492473938</v>
      </c>
      <c r="C26" s="485">
        <v>615.47607280359705</v>
      </c>
      <c r="D26" s="485">
        <v>646.24987644377688</v>
      </c>
      <c r="E26" s="485"/>
      <c r="F26" s="485">
        <v>750.61321052786502</v>
      </c>
      <c r="G26" s="485">
        <v>365.27166929430877</v>
      </c>
      <c r="H26" s="485">
        <v>385.34154123355648</v>
      </c>
      <c r="I26" s="485"/>
      <c r="J26" s="486">
        <v>59.490986214209705</v>
      </c>
      <c r="K26" s="486">
        <v>59.347826086956864</v>
      </c>
      <c r="L26" s="486">
        <v>59.627329192547002</v>
      </c>
      <c r="M26" s="487">
        <f t="shared" si="0"/>
        <v>1.0047095761381488</v>
      </c>
    </row>
    <row r="27" spans="1:13">
      <c r="A27" s="488" t="s">
        <v>158</v>
      </c>
      <c r="B27" s="489">
        <v>4294.9525949992894</v>
      </c>
      <c r="C27" s="489">
        <v>2134.0963828734352</v>
      </c>
      <c r="D27" s="489">
        <v>2160.8562121257678</v>
      </c>
      <c r="E27" s="489"/>
      <c r="F27" s="489">
        <v>1035.6053920651837</v>
      </c>
      <c r="G27" s="489">
        <v>548.57649967277132</v>
      </c>
      <c r="H27" s="489">
        <v>487.02889239241159</v>
      </c>
      <c r="I27" s="489"/>
      <c r="J27" s="490">
        <v>24.11214953270877</v>
      </c>
      <c r="K27" s="490">
        <v>25.705329153604247</v>
      </c>
      <c r="L27" s="490">
        <v>22.538699690401746</v>
      </c>
      <c r="M27" s="487">
        <f t="shared" si="0"/>
        <v>0.87681039039492337</v>
      </c>
    </row>
    <row r="28" spans="1:13">
      <c r="A28" s="494" t="s">
        <v>158</v>
      </c>
      <c r="B28" s="485">
        <v>3700.8843855975069</v>
      </c>
      <c r="C28" s="485">
        <v>1803.6124916071283</v>
      </c>
      <c r="D28" s="485">
        <v>1897.2718939902923</v>
      </c>
      <c r="E28" s="485"/>
      <c r="F28" s="485">
        <v>879.06039093905042</v>
      </c>
      <c r="G28" s="485">
        <v>446.88914851391615</v>
      </c>
      <c r="H28" s="485">
        <v>432.17124242513449</v>
      </c>
      <c r="I28" s="485"/>
      <c r="J28" s="486">
        <v>23.752711496744901</v>
      </c>
      <c r="K28" s="486">
        <v>24.777448071215968</v>
      </c>
      <c r="L28" s="486">
        <v>22.778561354019079</v>
      </c>
      <c r="M28" s="487">
        <f t="shared" si="0"/>
        <v>0.91932636841971627</v>
      </c>
    </row>
    <row r="29" spans="1:13">
      <c r="A29" s="494" t="s">
        <v>159</v>
      </c>
      <c r="B29" s="485">
        <v>594.06820940173282</v>
      </c>
      <c r="C29" s="485">
        <v>330.48389126627939</v>
      </c>
      <c r="D29" s="485">
        <v>263.58431813545366</v>
      </c>
      <c r="E29" s="485"/>
      <c r="F29" s="485">
        <v>156.54500112613249</v>
      </c>
      <c r="G29" s="485">
        <v>101.68735115885538</v>
      </c>
      <c r="H29" s="485">
        <v>54.857649967277325</v>
      </c>
      <c r="I29" s="485"/>
      <c r="J29" s="486">
        <v>26.351351351351425</v>
      </c>
      <c r="K29" s="486">
        <v>30.769230769230848</v>
      </c>
      <c r="L29" s="486">
        <v>20.8121827411168</v>
      </c>
      <c r="M29" s="487">
        <f t="shared" si="0"/>
        <v>0.67639593908629425</v>
      </c>
    </row>
    <row r="30" spans="1:13">
      <c r="A30" s="488" t="s">
        <v>160</v>
      </c>
      <c r="B30" s="489">
        <v>1213.5582565931952</v>
      </c>
      <c r="C30" s="489">
        <v>606.11013256528145</v>
      </c>
      <c r="D30" s="489">
        <v>607.44812402789796</v>
      </c>
      <c r="E30" s="489"/>
      <c r="F30" s="489">
        <v>244.85243765882245</v>
      </c>
      <c r="G30" s="489">
        <v>128.44718041118568</v>
      </c>
      <c r="H30" s="489">
        <v>116.40525724763704</v>
      </c>
      <c r="I30" s="489"/>
      <c r="J30" s="490">
        <v>20.176405733186122</v>
      </c>
      <c r="K30" s="490">
        <v>21.192052980132509</v>
      </c>
      <c r="L30" s="490">
        <v>19.16299559471371</v>
      </c>
      <c r="M30" s="487">
        <f t="shared" si="0"/>
        <v>0.90425385462555063</v>
      </c>
    </row>
    <row r="31" spans="1:13">
      <c r="A31" s="494" t="s">
        <v>160</v>
      </c>
      <c r="B31" s="485">
        <v>1213.5582565931952</v>
      </c>
      <c r="C31" s="485">
        <v>606.11013256528145</v>
      </c>
      <c r="D31" s="485">
        <v>607.44812402789796</v>
      </c>
      <c r="E31" s="485"/>
      <c r="F31" s="485">
        <v>244.85243765882245</v>
      </c>
      <c r="G31" s="485">
        <v>128.44718041118568</v>
      </c>
      <c r="H31" s="485">
        <v>116.40525724763704</v>
      </c>
      <c r="I31" s="485"/>
      <c r="J31" s="486">
        <v>20.176405733186122</v>
      </c>
      <c r="K31" s="486">
        <v>21.192052980132509</v>
      </c>
      <c r="L31" s="486">
        <v>19.16299559471371</v>
      </c>
      <c r="M31" s="487">
        <f t="shared" si="0"/>
        <v>0.90425385462555063</v>
      </c>
    </row>
    <row r="32" spans="1:13">
      <c r="A32" s="488" t="s">
        <v>161</v>
      </c>
      <c r="B32" s="489">
        <v>4839.5151202842571</v>
      </c>
      <c r="C32" s="489">
        <v>2440.4964278126431</v>
      </c>
      <c r="D32" s="489">
        <v>2399.0186924715276</v>
      </c>
      <c r="E32" s="489"/>
      <c r="F32" s="489">
        <v>944.62197260725964</v>
      </c>
      <c r="G32" s="489">
        <v>484.35290946717856</v>
      </c>
      <c r="H32" s="489">
        <v>460.2690631400813</v>
      </c>
      <c r="I32" s="489"/>
      <c r="J32" s="490">
        <v>19.518938346694938</v>
      </c>
      <c r="K32" s="490">
        <v>19.846491228069439</v>
      </c>
      <c r="L32" s="490">
        <v>19.185722253206198</v>
      </c>
      <c r="M32" s="487">
        <f t="shared" si="0"/>
        <v>0.9667060052444586</v>
      </c>
    </row>
    <row r="33" spans="1:13">
      <c r="A33" s="494" t="s">
        <v>161</v>
      </c>
      <c r="B33" s="485">
        <v>3904.2590879152344</v>
      </c>
      <c r="C33" s="485">
        <v>1938.7496293314077</v>
      </c>
      <c r="D33" s="485">
        <v>1965.5094585837403</v>
      </c>
      <c r="E33" s="485"/>
      <c r="F33" s="485">
        <v>730.5433385886173</v>
      </c>
      <c r="G33" s="485">
        <v>366.60966075692528</v>
      </c>
      <c r="H33" s="485">
        <v>363.93367783169225</v>
      </c>
      <c r="I33" s="485"/>
      <c r="J33" s="486">
        <v>18.71144619602374</v>
      </c>
      <c r="K33" s="486">
        <v>18.909592822635659</v>
      </c>
      <c r="L33" s="486">
        <v>18.515997277058581</v>
      </c>
      <c r="M33" s="487">
        <f t="shared" si="0"/>
        <v>0.97918540344740124</v>
      </c>
    </row>
    <row r="34" spans="1:13">
      <c r="A34" s="494" t="s">
        <v>162</v>
      </c>
      <c r="B34" s="485">
        <v>935.25603236894403</v>
      </c>
      <c r="C34" s="485">
        <v>501.74679848119325</v>
      </c>
      <c r="D34" s="485">
        <v>433.50923388775101</v>
      </c>
      <c r="E34" s="485"/>
      <c r="F34" s="485">
        <v>214.07863401864262</v>
      </c>
      <c r="G34" s="485">
        <v>117.74324871025355</v>
      </c>
      <c r="H34" s="485">
        <v>96.33538530838932</v>
      </c>
      <c r="I34" s="485"/>
      <c r="J34" s="486">
        <v>22.889842632331973</v>
      </c>
      <c r="K34" s="486">
        <v>23.466666666666733</v>
      </c>
      <c r="L34" s="486">
        <v>22.222222222222282</v>
      </c>
      <c r="M34" s="487">
        <f t="shared" si="0"/>
        <v>0.94696969696969691</v>
      </c>
    </row>
    <row r="35" spans="1:13">
      <c r="A35" s="488" t="s">
        <v>163</v>
      </c>
      <c r="B35" s="489">
        <v>3609.9009661395762</v>
      </c>
      <c r="C35" s="489">
        <v>1760.7967648033962</v>
      </c>
      <c r="D35" s="489">
        <v>1849.1042013360936</v>
      </c>
      <c r="E35" s="489"/>
      <c r="F35" s="489">
        <v>952.64992138295872</v>
      </c>
      <c r="G35" s="489">
        <v>458.93107167746479</v>
      </c>
      <c r="H35" s="489">
        <v>493.71884970549416</v>
      </c>
      <c r="I35" s="489"/>
      <c r="J35" s="490">
        <v>26.389918458115631</v>
      </c>
      <c r="K35" s="490">
        <v>26.063829787233402</v>
      </c>
      <c r="L35" s="490">
        <v>26.700434153400188</v>
      </c>
      <c r="M35" s="487">
        <f t="shared" si="0"/>
        <v>1.024424820579461</v>
      </c>
    </row>
    <row r="36" spans="1:13">
      <c r="A36" s="494" t="s">
        <v>163</v>
      </c>
      <c r="B36" s="485">
        <v>2522.1139070322574</v>
      </c>
      <c r="C36" s="485">
        <v>1241.6560773081444</v>
      </c>
      <c r="D36" s="485">
        <v>1280.4578297240266</v>
      </c>
      <c r="E36" s="485"/>
      <c r="F36" s="485">
        <v>580.68829477556767</v>
      </c>
      <c r="G36" s="485">
        <v>290.34414738778395</v>
      </c>
      <c r="H36" s="485">
        <v>290.34414738778395</v>
      </c>
      <c r="I36" s="485"/>
      <c r="J36" s="486">
        <v>23.023872679044281</v>
      </c>
      <c r="K36" s="486">
        <v>23.383620689654897</v>
      </c>
      <c r="L36" s="486">
        <v>22.67502612330167</v>
      </c>
      <c r="M36" s="487">
        <f t="shared" si="0"/>
        <v>0.96969696969696761</v>
      </c>
    </row>
    <row r="37" spans="1:13">
      <c r="A37" s="495" t="s">
        <v>164</v>
      </c>
      <c r="B37" s="491">
        <v>1087.7870591072322</v>
      </c>
      <c r="C37" s="491">
        <v>519.140687495208</v>
      </c>
      <c r="D37" s="491">
        <v>568.64637161201904</v>
      </c>
      <c r="E37" s="491"/>
      <c r="F37" s="491">
        <v>371.96162660739134</v>
      </c>
      <c r="G37" s="491">
        <v>168.58692428968112</v>
      </c>
      <c r="H37" s="491">
        <v>203.3747023177105</v>
      </c>
      <c r="I37" s="491"/>
      <c r="J37" s="492">
        <v>34.194341943419481</v>
      </c>
      <c r="K37" s="492">
        <v>32.474226804123802</v>
      </c>
      <c r="L37" s="492">
        <v>35.764705882353041</v>
      </c>
      <c r="M37" s="493">
        <f t="shared" si="0"/>
        <v>1.1013258636788048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229F-9C93-475F-8B70-5EA7F8E320E3}">
  <dimension ref="A1:M38"/>
  <sheetViews>
    <sheetView workbookViewId="0">
      <selection activeCell="A10" sqref="A10"/>
    </sheetView>
  </sheetViews>
  <sheetFormatPr defaultRowHeight="15"/>
  <cols>
    <col min="1" max="1" width="21.7109375" style="26" customWidth="1"/>
    <col min="2" max="4" width="9.140625" style="26"/>
    <col min="5" max="5" width="4" style="26" customWidth="1"/>
    <col min="6" max="8" width="9.140625" style="26"/>
    <col min="9" max="9" width="3.5703125" style="26" customWidth="1"/>
    <col min="10" max="16384" width="9.140625" style="26"/>
  </cols>
  <sheetData>
    <row r="1" spans="1:13" ht="15.75" thickBot="1">
      <c r="A1" s="1046" t="s">
        <v>540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</row>
    <row r="2" spans="1:13" ht="18" customHeight="1">
      <c r="A2" s="1084" t="s">
        <v>314</v>
      </c>
      <c r="B2" s="1086" t="s">
        <v>310</v>
      </c>
      <c r="C2" s="1086"/>
      <c r="D2" s="1086"/>
      <c r="E2" s="451"/>
      <c r="F2" s="1086" t="s">
        <v>311</v>
      </c>
      <c r="G2" s="1086"/>
      <c r="H2" s="1086"/>
      <c r="I2" s="451"/>
      <c r="J2" s="1087" t="s">
        <v>312</v>
      </c>
      <c r="K2" s="1087"/>
      <c r="L2" s="1087"/>
      <c r="M2" s="1089" t="s">
        <v>270</v>
      </c>
    </row>
    <row r="3" spans="1:13" ht="6.75" customHeight="1">
      <c r="A3" s="1085"/>
      <c r="B3" s="1066"/>
      <c r="C3" s="1066"/>
      <c r="D3" s="1066"/>
      <c r="E3" s="451"/>
      <c r="F3" s="1066"/>
      <c r="G3" s="1066"/>
      <c r="H3" s="1066"/>
      <c r="I3" s="451"/>
      <c r="J3" s="1088"/>
      <c r="K3" s="1088"/>
      <c r="L3" s="1088"/>
      <c r="M3" s="1089"/>
    </row>
    <row r="4" spans="1:13">
      <c r="A4" s="1085"/>
      <c r="B4" s="410" t="s">
        <v>0</v>
      </c>
      <c r="C4" s="410" t="s">
        <v>1</v>
      </c>
      <c r="D4" s="410" t="s">
        <v>2</v>
      </c>
      <c r="E4" s="410"/>
      <c r="F4" s="410" t="s">
        <v>0</v>
      </c>
      <c r="G4" s="410" t="s">
        <v>1</v>
      </c>
      <c r="H4" s="410" t="s">
        <v>2</v>
      </c>
      <c r="I4" s="410"/>
      <c r="J4" s="410" t="s">
        <v>0</v>
      </c>
      <c r="K4" s="479" t="s">
        <v>1</v>
      </c>
      <c r="L4" s="479" t="s">
        <v>2</v>
      </c>
      <c r="M4" s="1089"/>
    </row>
    <row r="5" spans="1:13">
      <c r="A5" s="480" t="s">
        <v>147</v>
      </c>
      <c r="B5" s="481">
        <v>100609.70368308567</v>
      </c>
      <c r="C5" s="481">
        <v>49059.706244766778</v>
      </c>
      <c r="D5" s="481">
        <v>51549.997438458508</v>
      </c>
      <c r="E5" s="481"/>
      <c r="F5" s="481">
        <v>34117.929659981346</v>
      </c>
      <c r="G5" s="481">
        <v>17153.594026043131</v>
      </c>
      <c r="H5" s="481">
        <v>16964.335633935112</v>
      </c>
      <c r="I5" s="481"/>
      <c r="J5" s="482">
        <v>33.911171995352205</v>
      </c>
      <c r="K5" s="482">
        <v>34.964730405147506</v>
      </c>
      <c r="L5" s="482">
        <v>32.908509169539016</v>
      </c>
      <c r="M5" s="483">
        <f>L5/K5</f>
        <v>0.94119156041581342</v>
      </c>
    </row>
    <row r="6" spans="1:13">
      <c r="A6" s="484"/>
      <c r="B6" s="485"/>
      <c r="C6" s="485"/>
      <c r="D6" s="485"/>
      <c r="E6" s="485"/>
      <c r="F6" s="485"/>
      <c r="G6" s="485"/>
      <c r="H6" s="485"/>
      <c r="I6" s="485"/>
      <c r="J6" s="486"/>
      <c r="K6" s="486"/>
      <c r="L6" s="486"/>
      <c r="M6" s="487"/>
    </row>
    <row r="7" spans="1:13" ht="15" customHeight="1">
      <c r="A7" s="480" t="s">
        <v>3</v>
      </c>
      <c r="B7" s="481"/>
      <c r="C7" s="481"/>
      <c r="D7" s="481"/>
      <c r="E7" s="481"/>
      <c r="F7" s="481"/>
      <c r="G7" s="481"/>
      <c r="H7" s="481"/>
      <c r="I7" s="481"/>
      <c r="J7" s="482"/>
      <c r="K7" s="482"/>
      <c r="L7" s="482"/>
      <c r="M7" s="483"/>
    </row>
    <row r="8" spans="1:13">
      <c r="A8" s="484" t="s">
        <v>4</v>
      </c>
      <c r="B8" s="485">
        <v>70992.938956707731</v>
      </c>
      <c r="C8" s="485">
        <v>34285.082561921314</v>
      </c>
      <c r="D8" s="485">
        <v>36707.856394838294</v>
      </c>
      <c r="E8" s="485"/>
      <c r="F8" s="485">
        <v>29799.4376830615</v>
      </c>
      <c r="G8" s="485">
        <v>14729.232414309185</v>
      </c>
      <c r="H8" s="485">
        <v>15070.205268748383</v>
      </c>
      <c r="I8" s="485"/>
      <c r="J8" s="486">
        <v>41.975213480364047</v>
      </c>
      <c r="K8" s="486">
        <v>42.961052777705063</v>
      </c>
      <c r="L8" s="486">
        <v>41.054441062009452</v>
      </c>
      <c r="M8" s="487">
        <f t="shared" ref="M8:M38" si="0">L8/K8</f>
        <v>0.95561999549775789</v>
      </c>
    </row>
    <row r="9" spans="1:13">
      <c r="A9" s="484" t="s">
        <v>5</v>
      </c>
      <c r="B9" s="485">
        <v>29616.76472649895</v>
      </c>
      <c r="C9" s="485">
        <v>14774.623682860773</v>
      </c>
      <c r="D9" s="485">
        <v>14842.141043635167</v>
      </c>
      <c r="E9" s="485"/>
      <c r="F9" s="485">
        <v>4318.4919769186045</v>
      </c>
      <c r="G9" s="485">
        <v>2424.3616117327756</v>
      </c>
      <c r="H9" s="485">
        <v>1894.1303651858523</v>
      </c>
      <c r="I9" s="485"/>
      <c r="J9" s="486">
        <v>14.581241458337535</v>
      </c>
      <c r="K9" s="486">
        <v>16.40895676107893</v>
      </c>
      <c r="L9" s="486">
        <v>12.761840489301242</v>
      </c>
      <c r="M9" s="487">
        <f t="shared" si="0"/>
        <v>0.77773624948367037</v>
      </c>
    </row>
    <row r="10" spans="1:13" ht="15" customHeight="1">
      <c r="A10" s="1184" t="s">
        <v>593</v>
      </c>
      <c r="B10" s="481"/>
      <c r="C10" s="481"/>
      <c r="D10" s="481"/>
      <c r="E10" s="481"/>
      <c r="F10" s="481"/>
      <c r="G10" s="481"/>
      <c r="H10" s="481"/>
      <c r="I10" s="481"/>
      <c r="J10" s="482"/>
      <c r="K10" s="482"/>
      <c r="L10" s="482"/>
      <c r="M10" s="483"/>
    </row>
    <row r="11" spans="1:13">
      <c r="A11" s="488" t="s">
        <v>148</v>
      </c>
      <c r="B11" s="489">
        <v>69273.187949900865</v>
      </c>
      <c r="C11" s="489">
        <v>33449.738251310657</v>
      </c>
      <c r="D11" s="489">
        <v>35823.449698637494</v>
      </c>
      <c r="E11" s="489"/>
      <c r="F11" s="489">
        <v>29049.824411938731</v>
      </c>
      <c r="G11" s="489">
        <v>14478.684298154629</v>
      </c>
      <c r="H11" s="489">
        <v>14571.140113780193</v>
      </c>
      <c r="I11" s="489"/>
      <c r="J11" s="490">
        <v>41.935163187448936</v>
      </c>
      <c r="K11" s="490">
        <v>43.28489565261409</v>
      </c>
      <c r="L11" s="490">
        <v>40.67486586679054</v>
      </c>
      <c r="M11" s="487">
        <f t="shared" si="0"/>
        <v>0.93970114178464181</v>
      </c>
    </row>
    <row r="12" spans="1:13">
      <c r="A12" s="494" t="s">
        <v>148</v>
      </c>
      <c r="B12" s="485">
        <v>69273.187949900865</v>
      </c>
      <c r="C12" s="485">
        <v>33449.738251310657</v>
      </c>
      <c r="D12" s="485">
        <v>35823.449698637494</v>
      </c>
      <c r="E12" s="485"/>
      <c r="F12" s="485">
        <v>29049.824411938731</v>
      </c>
      <c r="G12" s="485">
        <v>14478.684298154629</v>
      </c>
      <c r="H12" s="485">
        <v>14571.140113780193</v>
      </c>
      <c r="I12" s="485"/>
      <c r="J12" s="486">
        <v>41.935163187448936</v>
      </c>
      <c r="K12" s="486">
        <v>43.28489565261409</v>
      </c>
      <c r="L12" s="486">
        <v>40.67486586679054</v>
      </c>
      <c r="M12" s="487">
        <f t="shared" si="0"/>
        <v>0.93970114178464181</v>
      </c>
    </row>
    <row r="13" spans="1:13">
      <c r="A13" s="488" t="s">
        <v>149</v>
      </c>
      <c r="B13" s="489">
        <v>5113.2750974774499</v>
      </c>
      <c r="C13" s="489">
        <v>2562.2743182639661</v>
      </c>
      <c r="D13" s="489">
        <v>2551.0007792134957</v>
      </c>
      <c r="E13" s="489"/>
      <c r="F13" s="489">
        <v>1175.3524394681947</v>
      </c>
      <c r="G13" s="489">
        <v>643.89331851682891</v>
      </c>
      <c r="H13" s="489">
        <v>531.45912095136771</v>
      </c>
      <c r="I13" s="489"/>
      <c r="J13" s="490">
        <v>22.986293853972743</v>
      </c>
      <c r="K13" s="490">
        <v>25.129757338125</v>
      </c>
      <c r="L13" s="490">
        <v>20.833357844572117</v>
      </c>
      <c r="M13" s="487">
        <f t="shared" si="0"/>
        <v>0.82903139748847854</v>
      </c>
    </row>
    <row r="14" spans="1:13">
      <c r="A14" s="494" t="s">
        <v>149</v>
      </c>
      <c r="B14" s="485">
        <v>5113.2750974774499</v>
      </c>
      <c r="C14" s="485">
        <v>2562.2743182639661</v>
      </c>
      <c r="D14" s="485">
        <v>2551.0007792134957</v>
      </c>
      <c r="E14" s="485"/>
      <c r="F14" s="485">
        <v>1175.3524394681947</v>
      </c>
      <c r="G14" s="485">
        <v>643.89331851682891</v>
      </c>
      <c r="H14" s="485">
        <v>531.45912095136771</v>
      </c>
      <c r="I14" s="485"/>
      <c r="J14" s="486">
        <v>22.986293853972743</v>
      </c>
      <c r="K14" s="486">
        <v>25.129757338125</v>
      </c>
      <c r="L14" s="486">
        <v>20.833357844572117</v>
      </c>
      <c r="M14" s="487">
        <f t="shared" si="0"/>
        <v>0.82903139748847854</v>
      </c>
    </row>
    <row r="15" spans="1:13">
      <c r="A15" s="488" t="s">
        <v>150</v>
      </c>
      <c r="B15" s="489">
        <v>2139.4718463711611</v>
      </c>
      <c r="C15" s="489">
        <v>1066.6314183511313</v>
      </c>
      <c r="D15" s="489">
        <v>1072.8404280200336</v>
      </c>
      <c r="E15" s="489"/>
      <c r="F15" s="489">
        <v>604.02764963668199</v>
      </c>
      <c r="G15" s="489">
        <v>289.66159268604582</v>
      </c>
      <c r="H15" s="489">
        <v>314.36605695063247</v>
      </c>
      <c r="I15" s="489"/>
      <c r="J15" s="490">
        <v>28.232558921548744</v>
      </c>
      <c r="K15" s="490">
        <v>27.156671714567082</v>
      </c>
      <c r="L15" s="490">
        <v>29.302219485782064</v>
      </c>
      <c r="M15" s="487">
        <f t="shared" si="0"/>
        <v>1.0790062859604437</v>
      </c>
    </row>
    <row r="16" spans="1:13">
      <c r="A16" s="494" t="s">
        <v>150</v>
      </c>
      <c r="B16" s="485">
        <v>2139.4718463711611</v>
      </c>
      <c r="C16" s="485">
        <v>1066.6314183511313</v>
      </c>
      <c r="D16" s="485">
        <v>1072.8404280200336</v>
      </c>
      <c r="E16" s="485"/>
      <c r="F16" s="485">
        <v>604.02764963668199</v>
      </c>
      <c r="G16" s="485">
        <v>289.66159268604582</v>
      </c>
      <c r="H16" s="485">
        <v>314.36605695063247</v>
      </c>
      <c r="I16" s="485"/>
      <c r="J16" s="486">
        <v>28.232558921548744</v>
      </c>
      <c r="K16" s="486">
        <v>27.156671714567082</v>
      </c>
      <c r="L16" s="486">
        <v>29.302219485782064</v>
      </c>
      <c r="M16" s="487">
        <f t="shared" si="0"/>
        <v>1.0790062859604437</v>
      </c>
    </row>
    <row r="17" spans="1:13">
      <c r="A17" s="488" t="s">
        <v>151</v>
      </c>
      <c r="B17" s="489">
        <v>4365.5504031086784</v>
      </c>
      <c r="C17" s="489">
        <v>2162.5132335868257</v>
      </c>
      <c r="D17" s="489">
        <v>2203.0371695218605</v>
      </c>
      <c r="E17" s="489"/>
      <c r="F17" s="489">
        <v>1125.4034568246057</v>
      </c>
      <c r="G17" s="489">
        <v>525.41933481089291</v>
      </c>
      <c r="H17" s="489">
        <v>599.984122013714</v>
      </c>
      <c r="I17" s="489"/>
      <c r="J17" s="490">
        <v>25.779188255922982</v>
      </c>
      <c r="K17" s="490">
        <v>24.296699166987992</v>
      </c>
      <c r="L17" s="490">
        <v>27.234407585775543</v>
      </c>
      <c r="M17" s="487">
        <f t="shared" si="0"/>
        <v>1.1209097745581436</v>
      </c>
    </row>
    <row r="18" spans="1:13">
      <c r="A18" s="494" t="s">
        <v>151</v>
      </c>
      <c r="B18" s="485">
        <v>4365.5504031086784</v>
      </c>
      <c r="C18" s="485">
        <v>2162.5132335868257</v>
      </c>
      <c r="D18" s="485">
        <v>2203.0371695218605</v>
      </c>
      <c r="E18" s="485"/>
      <c r="F18" s="485">
        <v>1125.4034568246057</v>
      </c>
      <c r="G18" s="485">
        <v>525.41933481089291</v>
      </c>
      <c r="H18" s="485">
        <v>599.984122013714</v>
      </c>
      <c r="I18" s="485"/>
      <c r="J18" s="486">
        <v>25.779188255922982</v>
      </c>
      <c r="K18" s="486">
        <v>24.296699166987992</v>
      </c>
      <c r="L18" s="486">
        <v>27.234407585775543</v>
      </c>
      <c r="M18" s="487">
        <f t="shared" si="0"/>
        <v>1.1209097745581436</v>
      </c>
    </row>
    <row r="19" spans="1:13">
      <c r="A19" s="488" t="s">
        <v>152</v>
      </c>
      <c r="B19" s="489">
        <v>1501.6531328181973</v>
      </c>
      <c r="C19" s="489">
        <v>756.38945284653641</v>
      </c>
      <c r="D19" s="489">
        <v>745.26367997166244</v>
      </c>
      <c r="E19" s="489"/>
      <c r="F19" s="489">
        <v>221.96408220701926</v>
      </c>
      <c r="G19" s="489">
        <v>106.28429436679274</v>
      </c>
      <c r="H19" s="489">
        <v>115.67978784022685</v>
      </c>
      <c r="I19" s="489"/>
      <c r="J19" s="490">
        <v>14.781315162340711</v>
      </c>
      <c r="K19" s="490">
        <v>14.051530460506944</v>
      </c>
      <c r="L19" s="490">
        <v>15.521994556963461</v>
      </c>
      <c r="M19" s="487">
        <f t="shared" si="0"/>
        <v>1.1046479670374258</v>
      </c>
    </row>
    <row r="20" spans="1:13">
      <c r="A20" s="494" t="s">
        <v>152</v>
      </c>
      <c r="B20" s="485">
        <v>1114.7319086528075</v>
      </c>
      <c r="C20" s="485">
        <v>542.85896882459076</v>
      </c>
      <c r="D20" s="485">
        <v>571.87293982821257</v>
      </c>
      <c r="E20" s="485"/>
      <c r="F20" s="485">
        <v>145.73621795527924</v>
      </c>
      <c r="G20" s="485">
        <v>68.140809005804186</v>
      </c>
      <c r="H20" s="485">
        <v>77.59540894947537</v>
      </c>
      <c r="I20" s="485"/>
      <c r="J20" s="486">
        <v>13.073656259773426</v>
      </c>
      <c r="K20" s="486">
        <v>12.552212069618015</v>
      </c>
      <c r="L20" s="486">
        <v>13.568644981310817</v>
      </c>
      <c r="M20" s="487">
        <f t="shared" si="0"/>
        <v>1.0809763973119149</v>
      </c>
    </row>
    <row r="21" spans="1:13">
      <c r="A21" s="494" t="s">
        <v>153</v>
      </c>
      <c r="B21" s="485">
        <v>386.9212241653928</v>
      </c>
      <c r="C21" s="485">
        <v>213.53048402194358</v>
      </c>
      <c r="D21" s="485">
        <v>173.39074014344814</v>
      </c>
      <c r="E21" s="485"/>
      <c r="F21" s="485">
        <v>76.227864251740328</v>
      </c>
      <c r="G21" s="485">
        <v>38.143485360988727</v>
      </c>
      <c r="H21" s="485">
        <v>38.084378890751658</v>
      </c>
      <c r="I21" s="485"/>
      <c r="J21" s="486">
        <v>19.701132812284314</v>
      </c>
      <c r="K21" s="486">
        <v>17.863250549775774</v>
      </c>
      <c r="L21" s="486">
        <v>21.964482566510767</v>
      </c>
      <c r="M21" s="487">
        <f t="shared" si="0"/>
        <v>1.2295904659293084</v>
      </c>
    </row>
    <row r="22" spans="1:13">
      <c r="A22" s="488" t="s">
        <v>154</v>
      </c>
      <c r="B22" s="489">
        <v>393.69984118383093</v>
      </c>
      <c r="C22" s="489">
        <v>204.16454378362798</v>
      </c>
      <c r="D22" s="489">
        <v>189.5352974002019</v>
      </c>
      <c r="E22" s="489"/>
      <c r="F22" s="489">
        <v>35.437949200637149</v>
      </c>
      <c r="G22" s="489">
        <v>19.116072533172154</v>
      </c>
      <c r="H22" s="489">
        <v>16.321876667464998</v>
      </c>
      <c r="I22" s="489"/>
      <c r="J22" s="490">
        <v>9.0012607305294914</v>
      </c>
      <c r="K22" s="490">
        <v>9.3630716572566222</v>
      </c>
      <c r="L22" s="490">
        <v>8.6115234952788331</v>
      </c>
      <c r="M22" s="487">
        <f t="shared" si="0"/>
        <v>0.91973273414015577</v>
      </c>
    </row>
    <row r="23" spans="1:13">
      <c r="A23" s="494" t="s">
        <v>154</v>
      </c>
      <c r="B23" s="485">
        <v>265.11299047933437</v>
      </c>
      <c r="C23" s="485">
        <v>137.86413123745558</v>
      </c>
      <c r="D23" s="485">
        <v>127.24885924187903</v>
      </c>
      <c r="E23" s="485"/>
      <c r="F23" s="485">
        <v>16.351429902583526</v>
      </c>
      <c r="G23" s="485">
        <v>12.27834904449691</v>
      </c>
      <c r="H23" s="485">
        <v>4.0730808580866169</v>
      </c>
      <c r="I23" s="485"/>
      <c r="J23" s="486">
        <v>6.1677211188405074</v>
      </c>
      <c r="K23" s="486">
        <v>8.9061229590957378</v>
      </c>
      <c r="L23" s="486">
        <v>3.2008780922305666</v>
      </c>
      <c r="M23" s="487">
        <f t="shared" si="0"/>
        <v>0.35940196502245014</v>
      </c>
    </row>
    <row r="24" spans="1:13">
      <c r="A24" s="494" t="s">
        <v>155</v>
      </c>
      <c r="B24" s="485">
        <v>128.58685070449556</v>
      </c>
      <c r="C24" s="485">
        <v>66.300412546172709</v>
      </c>
      <c r="D24" s="485">
        <v>62.286438158323151</v>
      </c>
      <c r="E24" s="485"/>
      <c r="F24" s="485">
        <v>19.086519298053624</v>
      </c>
      <c r="G24" s="485">
        <v>6.8377234886752438</v>
      </c>
      <c r="H24" s="485">
        <v>12.248795809378381</v>
      </c>
      <c r="I24" s="485"/>
      <c r="J24" s="486">
        <v>14.843290113633945</v>
      </c>
      <c r="K24" s="486">
        <v>10.313244256079612</v>
      </c>
      <c r="L24" s="486">
        <v>19.665269313110674</v>
      </c>
      <c r="M24" s="487">
        <f t="shared" si="0"/>
        <v>1.9067975919912965</v>
      </c>
    </row>
    <row r="25" spans="1:13">
      <c r="A25" s="488" t="s">
        <v>156</v>
      </c>
      <c r="B25" s="489">
        <v>2916.8554173279067</v>
      </c>
      <c r="C25" s="489">
        <v>1514.7966215634146</v>
      </c>
      <c r="D25" s="489">
        <v>1402.0587957644868</v>
      </c>
      <c r="E25" s="489"/>
      <c r="F25" s="489">
        <v>510.4354496060447</v>
      </c>
      <c r="G25" s="489">
        <v>289.89801856699404</v>
      </c>
      <c r="H25" s="489">
        <v>220.53743103904716</v>
      </c>
      <c r="I25" s="489"/>
      <c r="J25" s="490">
        <v>17.499511514137708</v>
      </c>
      <c r="K25" s="490">
        <v>19.137751856601934</v>
      </c>
      <c r="L25" s="490">
        <v>15.729542277775741</v>
      </c>
      <c r="M25" s="487">
        <f t="shared" si="0"/>
        <v>0.82191170601627028</v>
      </c>
    </row>
    <row r="26" spans="1:13">
      <c r="A26" s="494" t="s">
        <v>156</v>
      </c>
      <c r="B26" s="485">
        <v>1747.2954119429455</v>
      </c>
      <c r="C26" s="485">
        <v>915.03273366608551</v>
      </c>
      <c r="D26" s="485">
        <v>832.26267827685456</v>
      </c>
      <c r="E26" s="485"/>
      <c r="F26" s="485">
        <v>185.15858830864727</v>
      </c>
      <c r="G26" s="485">
        <v>107.50407288893514</v>
      </c>
      <c r="H26" s="485">
        <v>77.654515419712425</v>
      </c>
      <c r="I26" s="485"/>
      <c r="J26" s="486">
        <v>10.596867996279837</v>
      </c>
      <c r="K26" s="486">
        <v>11.748658701882654</v>
      </c>
      <c r="L26" s="486">
        <v>9.3305295847809795</v>
      </c>
      <c r="M26" s="487">
        <f t="shared" si="0"/>
        <v>0.7941782820949439</v>
      </c>
    </row>
    <row r="27" spans="1:13">
      <c r="A27" s="494" t="s">
        <v>157</v>
      </c>
      <c r="B27" s="485">
        <v>1169.560005384963</v>
      </c>
      <c r="C27" s="485">
        <v>599.76388789732948</v>
      </c>
      <c r="D27" s="485">
        <v>569.79611748763239</v>
      </c>
      <c r="E27" s="485"/>
      <c r="F27" s="485">
        <v>325.27686129739459</v>
      </c>
      <c r="G27" s="485">
        <v>182.39394567805863</v>
      </c>
      <c r="H27" s="485">
        <v>142.88291561933505</v>
      </c>
      <c r="I27" s="485"/>
      <c r="J27" s="486">
        <v>27.811900184662235</v>
      </c>
      <c r="K27" s="486">
        <v>30.410958271846191</v>
      </c>
      <c r="L27" s="486">
        <v>25.076147631426544</v>
      </c>
      <c r="M27" s="487">
        <f t="shared" si="0"/>
        <v>0.8245760428615464</v>
      </c>
    </row>
    <row r="28" spans="1:13">
      <c r="A28" s="488" t="s">
        <v>158</v>
      </c>
      <c r="B28" s="489">
        <v>5020.9617824391953</v>
      </c>
      <c r="C28" s="489">
        <v>2501.5327442140874</v>
      </c>
      <c r="D28" s="489">
        <v>2519.4290382251197</v>
      </c>
      <c r="E28" s="489"/>
      <c r="F28" s="489">
        <v>386.72771299011686</v>
      </c>
      <c r="G28" s="489">
        <v>235.58042271413262</v>
      </c>
      <c r="H28" s="489">
        <v>151.14729027598236</v>
      </c>
      <c r="I28" s="489"/>
      <c r="J28" s="490">
        <v>7.7022636249233809</v>
      </c>
      <c r="K28" s="490">
        <v>9.4174430959986069</v>
      </c>
      <c r="L28" s="490">
        <v>5.9992676111434555</v>
      </c>
      <c r="M28" s="487">
        <f t="shared" si="0"/>
        <v>0.63703784031278021</v>
      </c>
    </row>
    <row r="29" spans="1:13">
      <c r="A29" s="494" t="s">
        <v>158</v>
      </c>
      <c r="B29" s="485">
        <v>4434.4004897573232</v>
      </c>
      <c r="C29" s="485">
        <v>2199.4960468959066</v>
      </c>
      <c r="D29" s="485">
        <v>2234.9044428614284</v>
      </c>
      <c r="E29" s="485"/>
      <c r="F29" s="485">
        <v>360.95123637898041</v>
      </c>
      <c r="G29" s="485">
        <v>219.28809928178623</v>
      </c>
      <c r="H29" s="485">
        <v>141.66313709719265</v>
      </c>
      <c r="I29" s="485"/>
      <c r="J29" s="486">
        <v>8.139797864733131</v>
      </c>
      <c r="K29" s="486">
        <v>9.9699246830319712</v>
      </c>
      <c r="L29" s="486">
        <v>6.3386664047173555</v>
      </c>
      <c r="M29" s="487">
        <f t="shared" si="0"/>
        <v>0.63577876526041044</v>
      </c>
    </row>
    <row r="30" spans="1:13">
      <c r="A30" s="494" t="s">
        <v>159</v>
      </c>
      <c r="B30" s="485">
        <v>586.56129268187567</v>
      </c>
      <c r="C30" s="485">
        <v>302.03669731818087</v>
      </c>
      <c r="D30" s="485">
        <v>284.52459536369207</v>
      </c>
      <c r="E30" s="485"/>
      <c r="F30" s="485">
        <v>25.776476611136221</v>
      </c>
      <c r="G30" s="485">
        <v>16.292323432346468</v>
      </c>
      <c r="H30" s="485">
        <v>9.4841531787897537</v>
      </c>
      <c r="I30" s="485"/>
      <c r="J30" s="486">
        <v>4.39450692241914</v>
      </c>
      <c r="K30" s="486">
        <v>5.3941536167650863</v>
      </c>
      <c r="L30" s="486">
        <v>3.3333333333333393</v>
      </c>
      <c r="M30" s="487">
        <f t="shared" si="0"/>
        <v>0.61795298579805069</v>
      </c>
    </row>
    <row r="31" spans="1:13">
      <c r="A31" s="488" t="s">
        <v>160</v>
      </c>
      <c r="B31" s="489">
        <v>1210.0839413200022</v>
      </c>
      <c r="C31" s="489">
        <v>621.46728365037961</v>
      </c>
      <c r="D31" s="489">
        <v>588.61665766961903</v>
      </c>
      <c r="E31" s="489"/>
      <c r="F31" s="489">
        <v>53.186477036074265</v>
      </c>
      <c r="G31" s="489">
        <v>45.010762084782499</v>
      </c>
      <c r="H31" s="489">
        <v>8.1757149512917628</v>
      </c>
      <c r="I31" s="489"/>
      <c r="J31" s="490">
        <v>4.3952717014041651</v>
      </c>
      <c r="K31" s="490">
        <v>7.2426599547441821</v>
      </c>
      <c r="L31" s="490">
        <v>1.3889710467352521</v>
      </c>
      <c r="M31" s="487">
        <f t="shared" si="0"/>
        <v>0.19177637158367902</v>
      </c>
    </row>
    <row r="32" spans="1:13">
      <c r="A32" s="494" t="s">
        <v>160</v>
      </c>
      <c r="B32" s="485">
        <v>1210.0839413200022</v>
      </c>
      <c r="C32" s="485">
        <v>621.46728365037961</v>
      </c>
      <c r="D32" s="485">
        <v>588.61665766961903</v>
      </c>
      <c r="E32" s="485"/>
      <c r="F32" s="485">
        <v>53.186477036074265</v>
      </c>
      <c r="G32" s="485">
        <v>45.010762084782499</v>
      </c>
      <c r="H32" s="485">
        <v>8.1757149512917628</v>
      </c>
      <c r="I32" s="485"/>
      <c r="J32" s="486">
        <v>4.3952717014041651</v>
      </c>
      <c r="K32" s="486">
        <v>7.2426599547441821</v>
      </c>
      <c r="L32" s="486">
        <v>1.3889710467352521</v>
      </c>
      <c r="M32" s="487">
        <f t="shared" si="0"/>
        <v>0.19177637158367902</v>
      </c>
    </row>
    <row r="33" spans="1:13">
      <c r="A33" s="488" t="s">
        <v>161</v>
      </c>
      <c r="B33" s="489">
        <v>5121.5771212515092</v>
      </c>
      <c r="C33" s="489">
        <v>2478.2039205295259</v>
      </c>
      <c r="D33" s="489">
        <v>2643.3732007219887</v>
      </c>
      <c r="E33" s="489"/>
      <c r="F33" s="489">
        <v>728.04711036835886</v>
      </c>
      <c r="G33" s="489">
        <v>376.86746363706828</v>
      </c>
      <c r="H33" s="489">
        <v>351.17964673128785</v>
      </c>
      <c r="I33" s="489"/>
      <c r="J33" s="490">
        <v>14.215291366938454</v>
      </c>
      <c r="K33" s="490">
        <v>15.207282198009906</v>
      </c>
      <c r="L33" s="490">
        <v>13.285284372080753</v>
      </c>
      <c r="M33" s="487">
        <f t="shared" si="0"/>
        <v>0.87361332545136339</v>
      </c>
    </row>
    <row r="34" spans="1:13">
      <c r="A34" s="494" t="s">
        <v>161</v>
      </c>
      <c r="B34" s="485">
        <v>4192.2483226705908</v>
      </c>
      <c r="C34" s="485">
        <v>1999.0284877961121</v>
      </c>
      <c r="D34" s="485">
        <v>2193.2198348744841</v>
      </c>
      <c r="E34" s="485"/>
      <c r="F34" s="485">
        <v>484.04645093970072</v>
      </c>
      <c r="G34" s="485">
        <v>246.97217470507366</v>
      </c>
      <c r="H34" s="485">
        <v>237.07427623462456</v>
      </c>
      <c r="I34" s="485"/>
      <c r="J34" s="486">
        <v>11.546225645129525</v>
      </c>
      <c r="K34" s="486">
        <v>12.354610062478738</v>
      </c>
      <c r="L34" s="486">
        <v>10.809416934175832</v>
      </c>
      <c r="M34" s="487">
        <f t="shared" si="0"/>
        <v>0.87492983424902293</v>
      </c>
    </row>
    <row r="35" spans="1:13">
      <c r="A35" s="494" t="s">
        <v>162</v>
      </c>
      <c r="B35" s="485">
        <v>929.32879858092633</v>
      </c>
      <c r="C35" s="485">
        <v>479.1754327334138</v>
      </c>
      <c r="D35" s="485">
        <v>450.15336584750975</v>
      </c>
      <c r="E35" s="485"/>
      <c r="F35" s="485">
        <v>244.00065942865535</v>
      </c>
      <c r="G35" s="485">
        <v>129.89528893199355</v>
      </c>
      <c r="H35" s="485">
        <v>114.1053704966621</v>
      </c>
      <c r="I35" s="485"/>
      <c r="J35" s="486">
        <v>26.255579274121576</v>
      </c>
      <c r="K35" s="486">
        <v>27.108086111806188</v>
      </c>
      <c r="L35" s="486">
        <v>25.348110033973548</v>
      </c>
      <c r="M35" s="487">
        <f t="shared" si="0"/>
        <v>0.93507560546422608</v>
      </c>
    </row>
    <row r="36" spans="1:13">
      <c r="A36" s="488" t="s">
        <v>163</v>
      </c>
      <c r="B36" s="489">
        <v>3553.3871500061978</v>
      </c>
      <c r="C36" s="489">
        <v>1741.9944566804261</v>
      </c>
      <c r="D36" s="489">
        <v>1811.3926933257762</v>
      </c>
      <c r="E36" s="489"/>
      <c r="F36" s="489">
        <v>227.52292070331504</v>
      </c>
      <c r="G36" s="489">
        <v>143.17844797052032</v>
      </c>
      <c r="H36" s="489">
        <v>84.344472732794998</v>
      </c>
      <c r="I36" s="489"/>
      <c r="J36" s="490">
        <v>6.4029870964924145</v>
      </c>
      <c r="K36" s="490">
        <v>8.2192252346981558</v>
      </c>
      <c r="L36" s="490">
        <v>4.6563328340436128</v>
      </c>
      <c r="M36" s="487">
        <f t="shared" si="0"/>
        <v>0.56651724476250009</v>
      </c>
    </row>
    <row r="37" spans="1:13">
      <c r="A37" s="494" t="s">
        <v>163</v>
      </c>
      <c r="B37" s="485">
        <v>2552.8788247905331</v>
      </c>
      <c r="C37" s="485">
        <v>1269.4498747898588</v>
      </c>
      <c r="D37" s="485">
        <v>1283.4289500006789</v>
      </c>
      <c r="E37" s="485"/>
      <c r="F37" s="485">
        <v>164.76363078309575</v>
      </c>
      <c r="G37" s="485">
        <v>104.88719643393915</v>
      </c>
      <c r="H37" s="485">
        <v>59.87643434915686</v>
      </c>
      <c r="I37" s="485"/>
      <c r="J37" s="486">
        <v>6.4540325683736741</v>
      </c>
      <c r="K37" s="486">
        <v>8.2624133899971461</v>
      </c>
      <c r="L37" s="486">
        <v>4.6653485842847129</v>
      </c>
      <c r="M37" s="487">
        <f t="shared" si="0"/>
        <v>0.56464719980396971</v>
      </c>
    </row>
    <row r="38" spans="1:13">
      <c r="A38" s="495" t="s">
        <v>164</v>
      </c>
      <c r="B38" s="491">
        <v>1000.5083252156683</v>
      </c>
      <c r="C38" s="491">
        <v>472.544581890568</v>
      </c>
      <c r="D38" s="491">
        <v>527.96374332509777</v>
      </c>
      <c r="E38" s="491"/>
      <c r="F38" s="491">
        <v>62.759289920219601</v>
      </c>
      <c r="G38" s="491">
        <v>38.291251536581363</v>
      </c>
      <c r="H38" s="491">
        <v>24.46803838363823</v>
      </c>
      <c r="I38" s="491"/>
      <c r="J38" s="492">
        <v>6.2727403999053442</v>
      </c>
      <c r="K38" s="492">
        <v>8.1032040158803156</v>
      </c>
      <c r="L38" s="492">
        <v>4.6344164145703184</v>
      </c>
      <c r="M38" s="493">
        <f t="shared" si="0"/>
        <v>0.57192394582290973</v>
      </c>
    </row>
  </sheetData>
  <mergeCells count="6">
    <mergeCell ref="A1:M1"/>
    <mergeCell ref="A2:A4"/>
    <mergeCell ref="B2:D3"/>
    <mergeCell ref="F2:H3"/>
    <mergeCell ref="J2:L3"/>
    <mergeCell ref="M2:M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03300"/>
  </sheetPr>
  <dimension ref="A1"/>
  <sheetViews>
    <sheetView workbookViewId="0">
      <selection sqref="A1:K1048576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37"/>
  <sheetViews>
    <sheetView workbookViewId="0">
      <selection sqref="A1:L1"/>
    </sheetView>
  </sheetViews>
  <sheetFormatPr defaultRowHeight="15"/>
  <cols>
    <col min="1" max="1" width="16.5703125" style="26" customWidth="1"/>
    <col min="2" max="2" width="11.28515625" style="26" customWidth="1"/>
    <col min="3" max="12" width="9.140625" style="26"/>
    <col min="13" max="13" width="11.42578125" style="26" bestFit="1" customWidth="1"/>
    <col min="14" max="16384" width="9.140625" style="26"/>
  </cols>
  <sheetData>
    <row r="1" spans="1:14">
      <c r="A1" s="1090" t="s">
        <v>313</v>
      </c>
      <c r="B1" s="1090"/>
      <c r="C1" s="1090"/>
      <c r="D1" s="1090"/>
      <c r="E1" s="1090"/>
      <c r="F1" s="1090"/>
      <c r="G1" s="1090"/>
      <c r="H1" s="1090"/>
      <c r="I1" s="1090"/>
      <c r="J1" s="1090"/>
      <c r="K1" s="1090"/>
      <c r="L1" s="1090"/>
    </row>
    <row r="2" spans="1:14">
      <c r="A2" s="1091" t="s">
        <v>314</v>
      </c>
      <c r="B2" s="1092" t="s">
        <v>315</v>
      </c>
      <c r="C2" s="1093" t="s">
        <v>316</v>
      </c>
      <c r="D2" s="1093"/>
      <c r="E2" s="1093"/>
      <c r="F2" s="1093"/>
      <c r="G2" s="1093"/>
      <c r="H2" s="1093"/>
      <c r="I2" s="1093"/>
      <c r="J2" s="1093"/>
      <c r="K2" s="1093"/>
      <c r="L2" s="1093"/>
    </row>
    <row r="3" spans="1:14" ht="48">
      <c r="A3" s="1091"/>
      <c r="B3" s="1092"/>
      <c r="C3" s="496" t="s">
        <v>317</v>
      </c>
      <c r="D3" s="496" t="s">
        <v>318</v>
      </c>
      <c r="E3" s="496" t="s">
        <v>319</v>
      </c>
      <c r="F3" s="496" t="s">
        <v>320</v>
      </c>
      <c r="G3" s="496" t="s">
        <v>321</v>
      </c>
      <c r="H3" s="496" t="s">
        <v>322</v>
      </c>
      <c r="I3" s="496" t="s">
        <v>323</v>
      </c>
      <c r="J3" s="496" t="s">
        <v>324</v>
      </c>
      <c r="K3" s="496" t="s">
        <v>325</v>
      </c>
      <c r="L3" s="496" t="s">
        <v>326</v>
      </c>
    </row>
    <row r="4" spans="1:14">
      <c r="A4" s="291" t="s">
        <v>147</v>
      </c>
      <c r="B4" s="292">
        <v>128875.2891653</v>
      </c>
      <c r="C4" s="292">
        <v>55645.66482978897</v>
      </c>
      <c r="D4" s="292">
        <v>2394.2959914071303</v>
      </c>
      <c r="E4" s="292">
        <v>1782.1488870281016</v>
      </c>
      <c r="F4" s="292">
        <v>1669.4921028519168</v>
      </c>
      <c r="G4" s="292">
        <v>52096.297472911596</v>
      </c>
      <c r="H4" s="292">
        <v>1729.213771571822</v>
      </c>
      <c r="I4" s="292">
        <v>2638.6119088976516</v>
      </c>
      <c r="J4" s="292">
        <v>6806.9129234173988</v>
      </c>
      <c r="K4" s="292">
        <v>3891.4096413629359</v>
      </c>
      <c r="L4" s="292">
        <v>221.24163639420323</v>
      </c>
      <c r="M4" s="909"/>
      <c r="N4" s="911"/>
    </row>
    <row r="5" spans="1:14">
      <c r="A5" s="497"/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909"/>
      <c r="N5" s="903"/>
    </row>
    <row r="6" spans="1:14" ht="16.5" customHeight="1">
      <c r="A6" s="499" t="s">
        <v>3</v>
      </c>
      <c r="B6" s="500"/>
      <c r="C6" s="501"/>
      <c r="D6" s="501"/>
      <c r="E6" s="501"/>
      <c r="F6" s="501"/>
      <c r="G6" s="501"/>
      <c r="H6" s="501"/>
      <c r="I6" s="501"/>
      <c r="J6" s="501"/>
      <c r="K6" s="501"/>
      <c r="L6" s="501"/>
      <c r="M6" s="909"/>
      <c r="N6" s="903"/>
    </row>
    <row r="7" spans="1:14">
      <c r="A7" s="297" t="s">
        <v>4</v>
      </c>
      <c r="B7" s="294">
        <v>84854.990076339745</v>
      </c>
      <c r="C7" s="294">
        <v>53416.960738013579</v>
      </c>
      <c r="D7" s="294">
        <v>1231.0807620217035</v>
      </c>
      <c r="E7" s="294">
        <v>823.88756620416802</v>
      </c>
      <c r="F7" s="294">
        <v>849.67646860594527</v>
      </c>
      <c r="G7" s="294">
        <v>22714.593773361114</v>
      </c>
      <c r="H7" s="294">
        <v>908.04082667312537</v>
      </c>
      <c r="I7" s="294">
        <v>1509.3294458303528</v>
      </c>
      <c r="J7" s="294">
        <v>1133.354395025495</v>
      </c>
      <c r="K7" s="294">
        <v>2147.2654526111587</v>
      </c>
      <c r="L7" s="294">
        <v>120.80064809254026</v>
      </c>
      <c r="M7" s="909"/>
      <c r="N7" s="903"/>
    </row>
    <row r="8" spans="1:14">
      <c r="A8" s="297" t="s">
        <v>5</v>
      </c>
      <c r="B8" s="294">
        <v>44020.299089194436</v>
      </c>
      <c r="C8" s="294">
        <v>2228.7040917746658</v>
      </c>
      <c r="D8" s="294">
        <v>1163.2152293854476</v>
      </c>
      <c r="E8" s="294">
        <v>958.26132082395475</v>
      </c>
      <c r="F8" s="294">
        <v>819.81563424599267</v>
      </c>
      <c r="G8" s="294">
        <v>29381.703699549129</v>
      </c>
      <c r="H8" s="294">
        <v>821.17294489871779</v>
      </c>
      <c r="I8" s="294">
        <v>1129.2824630673197</v>
      </c>
      <c r="J8" s="294">
        <v>5673.5585283915452</v>
      </c>
      <c r="K8" s="294">
        <v>1744.1441887517983</v>
      </c>
      <c r="L8" s="294">
        <v>100.44098830166263</v>
      </c>
      <c r="M8" s="909"/>
      <c r="N8" s="903"/>
    </row>
    <row r="9" spans="1:14" ht="15.75" customHeight="1">
      <c r="A9" s="502" t="s">
        <v>327</v>
      </c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909"/>
    </row>
    <row r="10" spans="1:14">
      <c r="A10" s="503" t="s">
        <v>148</v>
      </c>
      <c r="B10" s="498">
        <v>82847.527620969384</v>
      </c>
      <c r="C10" s="498">
        <v>50268.000023690249</v>
      </c>
      <c r="D10" s="498">
        <v>1156.428676121822</v>
      </c>
      <c r="E10" s="498">
        <v>887.68116688224859</v>
      </c>
      <c r="F10" s="498">
        <v>865.9641964386467</v>
      </c>
      <c r="G10" s="498">
        <v>22756.670403595606</v>
      </c>
      <c r="H10" s="498">
        <v>920.25662254765143</v>
      </c>
      <c r="I10" s="498">
        <v>1585.3388423829595</v>
      </c>
      <c r="J10" s="498">
        <v>1780.7915763753765</v>
      </c>
      <c r="K10" s="498">
        <v>2508.3100862360402</v>
      </c>
      <c r="L10" s="498">
        <v>118.08602678708991</v>
      </c>
      <c r="M10" s="909"/>
      <c r="N10" s="903"/>
    </row>
    <row r="11" spans="1:14">
      <c r="A11" s="504" t="s">
        <v>148</v>
      </c>
      <c r="B11" s="294">
        <v>82847.527620969384</v>
      </c>
      <c r="C11" s="294">
        <v>50268.000023690249</v>
      </c>
      <c r="D11" s="294">
        <v>1156.428676121822</v>
      </c>
      <c r="E11" s="294">
        <v>887.68116688224859</v>
      </c>
      <c r="F11" s="294">
        <v>865.9641964386467</v>
      </c>
      <c r="G11" s="294">
        <v>22756.670403595606</v>
      </c>
      <c r="H11" s="294">
        <v>920.25662254765143</v>
      </c>
      <c r="I11" s="294">
        <v>1585.3388423829595</v>
      </c>
      <c r="J11" s="294">
        <v>1780.7915763753765</v>
      </c>
      <c r="K11" s="294">
        <v>2508.3100862360402</v>
      </c>
      <c r="L11" s="294">
        <v>118.08602678708991</v>
      </c>
      <c r="M11" s="909"/>
      <c r="N11" s="903"/>
    </row>
    <row r="12" spans="1:14">
      <c r="A12" s="503" t="s">
        <v>149</v>
      </c>
      <c r="B12" s="498">
        <v>8033.921753481317</v>
      </c>
      <c r="C12" s="498">
        <v>2167.6251124020355</v>
      </c>
      <c r="D12" s="498">
        <v>260.60364532323331</v>
      </c>
      <c r="E12" s="498">
        <v>116.72871613436473</v>
      </c>
      <c r="F12" s="498">
        <v>135.73106527251718</v>
      </c>
      <c r="G12" s="498">
        <v>4059.7161623008506</v>
      </c>
      <c r="H12" s="498">
        <v>131.65913331434166</v>
      </c>
      <c r="I12" s="498">
        <v>171.02114224337174</v>
      </c>
      <c r="J12" s="498">
        <v>775.02438270606376</v>
      </c>
      <c r="K12" s="498">
        <v>206.3112192142263</v>
      </c>
      <c r="L12" s="498">
        <v>9.5011745690761771</v>
      </c>
      <c r="M12" s="909"/>
      <c r="N12" s="903"/>
    </row>
    <row r="13" spans="1:14">
      <c r="A13" s="504" t="s">
        <v>149</v>
      </c>
      <c r="B13" s="294">
        <v>8033.921753481317</v>
      </c>
      <c r="C13" s="294">
        <v>2167.6251124020355</v>
      </c>
      <c r="D13" s="294">
        <v>260.60364532323331</v>
      </c>
      <c r="E13" s="294">
        <v>116.72871613436473</v>
      </c>
      <c r="F13" s="294">
        <v>135.73106527251718</v>
      </c>
      <c r="G13" s="294">
        <v>4059.7161623008506</v>
      </c>
      <c r="H13" s="294">
        <v>131.65913331434166</v>
      </c>
      <c r="I13" s="294">
        <v>171.02114224337174</v>
      </c>
      <c r="J13" s="294">
        <v>775.02438270606376</v>
      </c>
      <c r="K13" s="294">
        <v>206.3112192142263</v>
      </c>
      <c r="L13" s="294">
        <v>9.5011745690761771</v>
      </c>
      <c r="M13" s="909"/>
      <c r="N13" s="903"/>
    </row>
    <row r="14" spans="1:14">
      <c r="A14" s="503" t="s">
        <v>150</v>
      </c>
      <c r="B14" s="498">
        <v>2804.203808530116</v>
      </c>
      <c r="C14" s="498">
        <v>734.30506312431021</v>
      </c>
      <c r="D14" s="498">
        <v>96.369056343487102</v>
      </c>
      <c r="E14" s="498">
        <v>95.011745690761927</v>
      </c>
      <c r="F14" s="498">
        <v>93.654435038036752</v>
      </c>
      <c r="G14" s="498">
        <v>1237.8673152853291</v>
      </c>
      <c r="H14" s="498">
        <v>90.939813732586401</v>
      </c>
      <c r="I14" s="498">
        <v>96.369056343487102</v>
      </c>
      <c r="J14" s="498">
        <v>233.4574322687298</v>
      </c>
      <c r="K14" s="498">
        <v>124.87258005071578</v>
      </c>
      <c r="L14" s="498">
        <v>1.3573106527251682</v>
      </c>
      <c r="M14" s="909"/>
      <c r="N14" s="903"/>
    </row>
    <row r="15" spans="1:14">
      <c r="A15" s="504" t="s">
        <v>150</v>
      </c>
      <c r="B15" s="294">
        <v>2804.203808530116</v>
      </c>
      <c r="C15" s="294">
        <v>734.30506312431021</v>
      </c>
      <c r="D15" s="294">
        <v>96.369056343487102</v>
      </c>
      <c r="E15" s="294">
        <v>95.011745690761927</v>
      </c>
      <c r="F15" s="294">
        <v>93.654435038036752</v>
      </c>
      <c r="G15" s="294">
        <v>1237.8673152853291</v>
      </c>
      <c r="H15" s="294">
        <v>90.939813732586401</v>
      </c>
      <c r="I15" s="294">
        <v>96.369056343487102</v>
      </c>
      <c r="J15" s="294">
        <v>233.4574322687298</v>
      </c>
      <c r="K15" s="294">
        <v>124.87258005071578</v>
      </c>
      <c r="L15" s="294">
        <v>1.3573106527251682</v>
      </c>
      <c r="M15" s="909"/>
      <c r="N15" s="903"/>
    </row>
    <row r="16" spans="1:14">
      <c r="A16" s="503" t="s">
        <v>151</v>
      </c>
      <c r="B16" s="498">
        <v>7090.5908498370436</v>
      </c>
      <c r="C16" s="498">
        <v>1683.065209379168</v>
      </c>
      <c r="D16" s="498">
        <v>76.009396552609473</v>
      </c>
      <c r="E16" s="498">
        <v>118.08602678708991</v>
      </c>
      <c r="F16" s="498">
        <v>86.867881774410876</v>
      </c>
      <c r="G16" s="498">
        <v>3735.3189162995473</v>
      </c>
      <c r="H16" s="498">
        <v>90.939813732586401</v>
      </c>
      <c r="I16" s="498">
        <v>244.31591749053121</v>
      </c>
      <c r="J16" s="498">
        <v>783.16824662241447</v>
      </c>
      <c r="K16" s="498">
        <v>252.45978140688226</v>
      </c>
      <c r="L16" s="498">
        <v>20.359659790877522</v>
      </c>
      <c r="M16" s="909"/>
      <c r="N16" s="903"/>
    </row>
    <row r="17" spans="1:14">
      <c r="A17" s="504" t="s">
        <v>151</v>
      </c>
      <c r="B17" s="294">
        <v>7090.5908498370436</v>
      </c>
      <c r="C17" s="294">
        <v>1683.065209379168</v>
      </c>
      <c r="D17" s="294">
        <v>76.009396552609473</v>
      </c>
      <c r="E17" s="294">
        <v>118.08602678708991</v>
      </c>
      <c r="F17" s="294">
        <v>86.867881774410876</v>
      </c>
      <c r="G17" s="294">
        <v>3735.3189162995473</v>
      </c>
      <c r="H17" s="294">
        <v>90.939813732586401</v>
      </c>
      <c r="I17" s="294">
        <v>244.31591749053121</v>
      </c>
      <c r="J17" s="294">
        <v>783.16824662241447</v>
      </c>
      <c r="K17" s="294">
        <v>252.45978140688226</v>
      </c>
      <c r="L17" s="294">
        <v>20.359659790877522</v>
      </c>
      <c r="M17" s="909"/>
      <c r="N17" s="903"/>
    </row>
    <row r="18" spans="1:14">
      <c r="A18" s="503" t="s">
        <v>152</v>
      </c>
      <c r="B18" s="498">
        <v>1748.2161207099737</v>
      </c>
      <c r="C18" s="498">
        <v>17.645038485427186</v>
      </c>
      <c r="D18" s="498">
        <v>25.788902401778195</v>
      </c>
      <c r="E18" s="498">
        <v>19.002349138152354</v>
      </c>
      <c r="F18" s="498">
        <v>17.645038485427186</v>
      </c>
      <c r="G18" s="498">
        <v>1271.8000816034571</v>
      </c>
      <c r="H18" s="498">
        <v>20.359659790877522</v>
      </c>
      <c r="I18" s="498">
        <v>25.788902401778195</v>
      </c>
      <c r="J18" s="498">
        <v>275.53406250321024</v>
      </c>
      <c r="K18" s="498">
        <v>71.937464594433948</v>
      </c>
      <c r="L18" s="498">
        <v>2.7146213054503363</v>
      </c>
      <c r="M18" s="909"/>
      <c r="N18" s="903"/>
    </row>
    <row r="19" spans="1:14">
      <c r="A19" s="504" t="s">
        <v>152</v>
      </c>
      <c r="B19" s="294">
        <v>1157.7859867745472</v>
      </c>
      <c r="C19" s="294">
        <v>14.93041717997685</v>
      </c>
      <c r="D19" s="294">
        <v>17.645038485427186</v>
      </c>
      <c r="E19" s="294">
        <v>13.573106527251682</v>
      </c>
      <c r="F19" s="294">
        <v>17.645038485427186</v>
      </c>
      <c r="G19" s="294">
        <v>860.53495382774622</v>
      </c>
      <c r="H19" s="294">
        <v>17.645038485427186</v>
      </c>
      <c r="I19" s="294">
        <v>17.645038485427186</v>
      </c>
      <c r="J19" s="294">
        <v>160.16265702157034</v>
      </c>
      <c r="K19" s="294">
        <v>35.290076970854372</v>
      </c>
      <c r="L19" s="294">
        <v>2.7146213054503363</v>
      </c>
      <c r="M19" s="909"/>
      <c r="N19" s="903"/>
    </row>
    <row r="20" spans="1:14">
      <c r="A20" s="504" t="s">
        <v>153</v>
      </c>
      <c r="B20" s="299">
        <v>590.43013393544766</v>
      </c>
      <c r="C20" s="299">
        <v>2.7146213054503363</v>
      </c>
      <c r="D20" s="299">
        <v>8.1438639163510089</v>
      </c>
      <c r="E20" s="299">
        <v>5.4292426109006726</v>
      </c>
      <c r="F20" s="299">
        <v>0</v>
      </c>
      <c r="G20" s="299">
        <v>411.26512777572776</v>
      </c>
      <c r="H20" s="299">
        <v>2.7146213054503363</v>
      </c>
      <c r="I20" s="299">
        <v>8.1438639163510089</v>
      </c>
      <c r="J20" s="299">
        <v>115.37140548163956</v>
      </c>
      <c r="K20" s="299">
        <v>36.64738762357954</v>
      </c>
      <c r="L20" s="299">
        <v>0</v>
      </c>
      <c r="M20" s="909"/>
      <c r="N20" s="903"/>
    </row>
    <row r="21" spans="1:14">
      <c r="A21" s="503" t="s">
        <v>154</v>
      </c>
      <c r="B21" s="505">
        <v>758.73665487336234</v>
      </c>
      <c r="C21" s="505">
        <v>17.645038485427186</v>
      </c>
      <c r="D21" s="505">
        <v>2.7146213054503363</v>
      </c>
      <c r="E21" s="505">
        <v>0</v>
      </c>
      <c r="F21" s="505">
        <v>0</v>
      </c>
      <c r="G21" s="505">
        <v>418.05168103935364</v>
      </c>
      <c r="H21" s="505">
        <v>1.3573106527251682</v>
      </c>
      <c r="I21" s="505">
        <v>6.7865532636258408</v>
      </c>
      <c r="J21" s="505">
        <v>298.60834359953822</v>
      </c>
      <c r="K21" s="505">
        <v>13.573106527251682</v>
      </c>
      <c r="L21" s="505">
        <v>0</v>
      </c>
      <c r="M21" s="909"/>
      <c r="N21" s="903"/>
    </row>
    <row r="22" spans="1:14">
      <c r="A22" s="504" t="s">
        <v>154</v>
      </c>
      <c r="B22" s="299">
        <v>499.49032020286415</v>
      </c>
      <c r="C22" s="299">
        <v>1.3573106527251682</v>
      </c>
      <c r="D22" s="299">
        <v>2.7146213054503363</v>
      </c>
      <c r="E22" s="299">
        <v>0</v>
      </c>
      <c r="F22" s="299">
        <v>0</v>
      </c>
      <c r="G22" s="299">
        <v>241.60129618508086</v>
      </c>
      <c r="H22" s="299">
        <v>1.3573106527251682</v>
      </c>
      <c r="I22" s="299">
        <v>6.7865532636258408</v>
      </c>
      <c r="J22" s="299">
        <v>237.52936422690533</v>
      </c>
      <c r="K22" s="299">
        <v>8.1438639163510089</v>
      </c>
      <c r="L22" s="299">
        <v>0</v>
      </c>
      <c r="M22" s="909"/>
      <c r="N22" s="903"/>
    </row>
    <row r="23" spans="1:14">
      <c r="A23" s="504" t="s">
        <v>155</v>
      </c>
      <c r="B23" s="299">
        <v>259.24633467050813</v>
      </c>
      <c r="C23" s="299">
        <v>16.287727832702018</v>
      </c>
      <c r="D23" s="299">
        <v>0</v>
      </c>
      <c r="E23" s="299">
        <v>0</v>
      </c>
      <c r="F23" s="299">
        <v>0</v>
      </c>
      <c r="G23" s="299">
        <v>176.45038485427244</v>
      </c>
      <c r="H23" s="299">
        <v>0</v>
      </c>
      <c r="I23" s="299">
        <v>0</v>
      </c>
      <c r="J23" s="299">
        <v>61.078979372632567</v>
      </c>
      <c r="K23" s="299">
        <v>5.4292426109006726</v>
      </c>
      <c r="L23" s="299">
        <v>0</v>
      </c>
      <c r="M23" s="909"/>
      <c r="N23" s="903"/>
    </row>
    <row r="24" spans="1:14">
      <c r="A24" s="503" t="s">
        <v>156</v>
      </c>
      <c r="B24" s="498">
        <v>4139.7974908116475</v>
      </c>
      <c r="C24" s="498">
        <v>179.16500615972279</v>
      </c>
      <c r="D24" s="498">
        <v>271.46213054503471</v>
      </c>
      <c r="E24" s="498">
        <v>217.1697044360277</v>
      </c>
      <c r="F24" s="498">
        <v>173.73576354882209</v>
      </c>
      <c r="G24" s="498">
        <v>2619.6095597594999</v>
      </c>
      <c r="H24" s="498">
        <v>152.01879310521929</v>
      </c>
      <c r="I24" s="498">
        <v>185.95155942334867</v>
      </c>
      <c r="J24" s="498">
        <v>309.46682882133962</v>
      </c>
      <c r="K24" s="498">
        <v>19.002349138152354</v>
      </c>
      <c r="L24" s="506">
        <v>12.215795874526513</v>
      </c>
      <c r="M24" s="909"/>
      <c r="N24" s="903"/>
    </row>
    <row r="25" spans="1:14">
      <c r="A25" s="504" t="s">
        <v>156</v>
      </c>
      <c r="B25" s="294">
        <v>1980.3162423259689</v>
      </c>
      <c r="C25" s="294">
        <v>65.150911330808071</v>
      </c>
      <c r="D25" s="294">
        <v>93.654435038036752</v>
      </c>
      <c r="E25" s="294">
        <v>58.364358067182231</v>
      </c>
      <c r="F25" s="294">
        <v>43.433940887205381</v>
      </c>
      <c r="G25" s="294">
        <v>1452.3223984158979</v>
      </c>
      <c r="H25" s="294">
        <v>44.791251539930549</v>
      </c>
      <c r="I25" s="294">
        <v>40.719319581755045</v>
      </c>
      <c r="J25" s="294">
        <v>165.59189963247104</v>
      </c>
      <c r="K25" s="294">
        <v>12.215795874526513</v>
      </c>
      <c r="L25" s="298">
        <v>4.0719319581755045</v>
      </c>
      <c r="M25" s="909"/>
      <c r="N25" s="903"/>
    </row>
    <row r="26" spans="1:14">
      <c r="A26" s="504" t="s">
        <v>157</v>
      </c>
      <c r="B26" s="294">
        <v>2159.4812484856848</v>
      </c>
      <c r="C26" s="294">
        <v>114.01409482891438</v>
      </c>
      <c r="D26" s="294">
        <v>177.80769550699762</v>
      </c>
      <c r="E26" s="294">
        <v>158.80534636884516</v>
      </c>
      <c r="F26" s="294">
        <v>130.30182266161648</v>
      </c>
      <c r="G26" s="294">
        <v>1167.287161343623</v>
      </c>
      <c r="H26" s="294">
        <v>107.2275415652885</v>
      </c>
      <c r="I26" s="294">
        <v>145.23223984159341</v>
      </c>
      <c r="J26" s="294">
        <v>143.87492918886824</v>
      </c>
      <c r="K26" s="294">
        <v>6.7865532636258408</v>
      </c>
      <c r="L26" s="298">
        <v>8.1438639163510089</v>
      </c>
      <c r="M26" s="909"/>
      <c r="N26" s="903"/>
    </row>
    <row r="27" spans="1:14">
      <c r="A27" s="503" t="s">
        <v>158</v>
      </c>
      <c r="B27" s="498">
        <v>6323.7103310470948</v>
      </c>
      <c r="C27" s="498">
        <v>62.436290025357735</v>
      </c>
      <c r="D27" s="498">
        <v>71.937464594433948</v>
      </c>
      <c r="E27" s="498">
        <v>67.865532636258422</v>
      </c>
      <c r="F27" s="498">
        <v>55.649736761731894</v>
      </c>
      <c r="G27" s="498">
        <v>5364.0916995701145</v>
      </c>
      <c r="H27" s="498">
        <v>54.292426109006726</v>
      </c>
      <c r="I27" s="498">
        <v>65.150911330808071</v>
      </c>
      <c r="J27" s="498">
        <v>399.04933190120119</v>
      </c>
      <c r="K27" s="498">
        <v>177.80769550699762</v>
      </c>
      <c r="L27" s="506">
        <v>5.4292426109006726</v>
      </c>
      <c r="M27" s="909"/>
      <c r="N27" s="903"/>
    </row>
    <row r="28" spans="1:14">
      <c r="A28" s="504" t="s">
        <v>158</v>
      </c>
      <c r="B28" s="294">
        <v>5377.6648060973703</v>
      </c>
      <c r="C28" s="294">
        <v>59.721668719907399</v>
      </c>
      <c r="D28" s="294">
        <v>63.793600678082903</v>
      </c>
      <c r="E28" s="294">
        <v>67.865532636258422</v>
      </c>
      <c r="F28" s="294">
        <v>52.935115456281558</v>
      </c>
      <c r="G28" s="294">
        <v>4723.441071483644</v>
      </c>
      <c r="H28" s="294">
        <v>54.292426109006726</v>
      </c>
      <c r="I28" s="294">
        <v>59.721668719907399</v>
      </c>
      <c r="J28" s="294">
        <v>248.38784944870673</v>
      </c>
      <c r="K28" s="294">
        <v>43.433940887205381</v>
      </c>
      <c r="L28" s="298">
        <v>4.0719319581755045</v>
      </c>
      <c r="M28" s="909"/>
      <c r="N28" s="903"/>
    </row>
    <row r="29" spans="1:14">
      <c r="A29" s="504" t="s">
        <v>159</v>
      </c>
      <c r="B29" s="299">
        <v>946.04552494942868</v>
      </c>
      <c r="C29" s="299">
        <v>2.7146213054503363</v>
      </c>
      <c r="D29" s="299">
        <v>8.1438639163510089</v>
      </c>
      <c r="E29" s="299">
        <v>0</v>
      </c>
      <c r="F29" s="299">
        <v>2.7146213054503363</v>
      </c>
      <c r="G29" s="299">
        <v>640.65062808627704</v>
      </c>
      <c r="H29" s="299">
        <v>0</v>
      </c>
      <c r="I29" s="299">
        <v>5.4292426109006726</v>
      </c>
      <c r="J29" s="299">
        <v>150.66148245249411</v>
      </c>
      <c r="K29" s="299">
        <v>134.37375461979201</v>
      </c>
      <c r="L29" s="299">
        <v>1.3573106527251682</v>
      </c>
      <c r="M29" s="909"/>
      <c r="N29" s="903"/>
    </row>
    <row r="30" spans="1:14">
      <c r="A30" s="503" t="s">
        <v>160</v>
      </c>
      <c r="B30" s="498">
        <v>1749.5734313626988</v>
      </c>
      <c r="C30" s="498">
        <v>21.71697044360269</v>
      </c>
      <c r="D30" s="498">
        <v>10.858485221801345</v>
      </c>
      <c r="E30" s="498">
        <v>9.5011745690761771</v>
      </c>
      <c r="F30" s="498">
        <v>13.573106527251682</v>
      </c>
      <c r="G30" s="498">
        <v>1524.2598630103291</v>
      </c>
      <c r="H30" s="498">
        <v>10.858485221801345</v>
      </c>
      <c r="I30" s="498">
        <v>13.573106527251682</v>
      </c>
      <c r="J30" s="498">
        <v>84.153260468960525</v>
      </c>
      <c r="K30" s="506">
        <v>61.078979372632567</v>
      </c>
      <c r="L30" s="505">
        <v>0</v>
      </c>
      <c r="M30" s="909"/>
      <c r="N30" s="903"/>
    </row>
    <row r="31" spans="1:14">
      <c r="A31" s="504" t="s">
        <v>160</v>
      </c>
      <c r="B31" s="294">
        <v>1749.5734313626988</v>
      </c>
      <c r="C31" s="294">
        <v>21.71697044360269</v>
      </c>
      <c r="D31" s="294">
        <v>10.858485221801345</v>
      </c>
      <c r="E31" s="294">
        <v>9.5011745690761771</v>
      </c>
      <c r="F31" s="294">
        <v>13.573106527251682</v>
      </c>
      <c r="G31" s="294">
        <v>1524.2598630103291</v>
      </c>
      <c r="H31" s="294">
        <v>10.858485221801345</v>
      </c>
      <c r="I31" s="294">
        <v>13.573106527251682</v>
      </c>
      <c r="J31" s="294">
        <v>84.153260468960525</v>
      </c>
      <c r="K31" s="298">
        <v>61.078979372632567</v>
      </c>
      <c r="L31" s="299">
        <v>0</v>
      </c>
      <c r="M31" s="909"/>
      <c r="N31" s="903"/>
    </row>
    <row r="32" spans="1:14">
      <c r="A32" s="503" t="s">
        <v>161</v>
      </c>
      <c r="B32" s="498">
        <v>7605.0115872200358</v>
      </c>
      <c r="C32" s="498">
        <v>213.09777247785217</v>
      </c>
      <c r="D32" s="498">
        <v>139.80299723069271</v>
      </c>
      <c r="E32" s="498">
        <v>124.87258005071578</v>
      </c>
      <c r="F32" s="498">
        <v>100.44098830166263</v>
      </c>
      <c r="G32" s="498">
        <v>5178.140140146711</v>
      </c>
      <c r="H32" s="498">
        <v>97.726366996212278</v>
      </c>
      <c r="I32" s="498">
        <v>128.94451200889131</v>
      </c>
      <c r="J32" s="498">
        <v>1209.3637915781017</v>
      </c>
      <c r="K32" s="506">
        <v>373.26042949942286</v>
      </c>
      <c r="L32" s="505">
        <v>39.362008929029876</v>
      </c>
      <c r="M32" s="909"/>
      <c r="N32" s="903"/>
    </row>
    <row r="33" spans="1:14">
      <c r="A33" s="504" t="s">
        <v>161</v>
      </c>
      <c r="B33" s="294">
        <v>6319.638399088918</v>
      </c>
      <c r="C33" s="294">
        <v>203.59659790877595</v>
      </c>
      <c r="D33" s="294">
        <v>131.65913331434166</v>
      </c>
      <c r="E33" s="294">
        <v>118.08602678708991</v>
      </c>
      <c r="F33" s="294">
        <v>96.369056343487102</v>
      </c>
      <c r="G33" s="294">
        <v>4255.1688962933213</v>
      </c>
      <c r="H33" s="294">
        <v>88.225192427136051</v>
      </c>
      <c r="I33" s="294">
        <v>109.94216287073885</v>
      </c>
      <c r="J33" s="294">
        <v>929.75779711672726</v>
      </c>
      <c r="K33" s="298">
        <v>347.47152709764453</v>
      </c>
      <c r="L33" s="299">
        <v>39.362008929029876</v>
      </c>
      <c r="M33" s="909"/>
      <c r="N33" s="903"/>
    </row>
    <row r="34" spans="1:14">
      <c r="A34" s="504" t="s">
        <v>162</v>
      </c>
      <c r="B34" s="294">
        <v>1285.3731881307083</v>
      </c>
      <c r="C34" s="294">
        <v>9.5011745690761771</v>
      </c>
      <c r="D34" s="294">
        <v>8.1438639163510089</v>
      </c>
      <c r="E34" s="294">
        <v>6.7865532636258408</v>
      </c>
      <c r="F34" s="294">
        <v>4.0719319581755045</v>
      </c>
      <c r="G34" s="294">
        <v>922.97124385310167</v>
      </c>
      <c r="H34" s="294">
        <v>9.5011745690761771</v>
      </c>
      <c r="I34" s="294">
        <v>19.002349138152354</v>
      </c>
      <c r="J34" s="294">
        <v>279.60599446138576</v>
      </c>
      <c r="K34" s="298">
        <v>25.788902401778195</v>
      </c>
      <c r="L34" s="299">
        <v>0</v>
      </c>
      <c r="M34" s="909"/>
      <c r="N34" s="903"/>
    </row>
    <row r="35" spans="1:14">
      <c r="A35" s="503" t="s">
        <v>163</v>
      </c>
      <c r="B35" s="498">
        <v>5773.9995166932376</v>
      </c>
      <c r="C35" s="498">
        <v>280.96330511411094</v>
      </c>
      <c r="D35" s="498">
        <v>282.32061576683611</v>
      </c>
      <c r="E35" s="498">
        <v>126.22989070344096</v>
      </c>
      <c r="F35" s="498">
        <v>126.22989070344096</v>
      </c>
      <c r="G35" s="498">
        <v>3930.7716502919643</v>
      </c>
      <c r="H35" s="498">
        <v>158.80534636884516</v>
      </c>
      <c r="I35" s="498">
        <v>115.37140548163956</v>
      </c>
      <c r="J35" s="498">
        <v>658.29566657170358</v>
      </c>
      <c r="K35" s="506">
        <v>82.79594981623535</v>
      </c>
      <c r="L35" s="505">
        <v>12.215795874526513</v>
      </c>
      <c r="M35" s="909"/>
      <c r="N35" s="903"/>
    </row>
    <row r="36" spans="1:14">
      <c r="A36" s="504" t="s">
        <v>163</v>
      </c>
      <c r="B36" s="294">
        <v>4228.0226832388098</v>
      </c>
      <c r="C36" s="294">
        <v>267.39019858685919</v>
      </c>
      <c r="D36" s="294">
        <v>233.4574322687298</v>
      </c>
      <c r="E36" s="294">
        <v>107.2275415652885</v>
      </c>
      <c r="F36" s="294">
        <v>105.87023091256333</v>
      </c>
      <c r="G36" s="294">
        <v>2781.129527433789</v>
      </c>
      <c r="H36" s="294">
        <v>145.23223984159341</v>
      </c>
      <c r="I36" s="294">
        <v>99.083677648937453</v>
      </c>
      <c r="J36" s="294">
        <v>412.62243842845294</v>
      </c>
      <c r="K36" s="298">
        <v>65.150911330808071</v>
      </c>
      <c r="L36" s="299">
        <v>10.858485221801345</v>
      </c>
      <c r="M36" s="909"/>
      <c r="N36" s="903"/>
    </row>
    <row r="37" spans="1:14">
      <c r="A37" s="507" t="s">
        <v>164</v>
      </c>
      <c r="B37" s="301">
        <v>1545.976833453931</v>
      </c>
      <c r="C37" s="301">
        <v>13.573106527251682</v>
      </c>
      <c r="D37" s="301">
        <v>48.863183498106054</v>
      </c>
      <c r="E37" s="301">
        <v>19.002349138152354</v>
      </c>
      <c r="F37" s="301">
        <v>20.359659790877522</v>
      </c>
      <c r="G37" s="301">
        <v>1149.6421228581964</v>
      </c>
      <c r="H37" s="301">
        <v>13.573106527251682</v>
      </c>
      <c r="I37" s="301">
        <v>16.287727832702018</v>
      </c>
      <c r="J37" s="301">
        <v>245.67322814325638</v>
      </c>
      <c r="K37" s="303">
        <v>17.645038485427186</v>
      </c>
      <c r="L37" s="302">
        <v>1.3573106527251682</v>
      </c>
      <c r="M37" s="909"/>
      <c r="N37" s="903"/>
    </row>
  </sheetData>
  <mergeCells count="4">
    <mergeCell ref="A1:L1"/>
    <mergeCell ref="A2:A3"/>
    <mergeCell ref="B2:B3"/>
    <mergeCell ref="C2:L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37"/>
  <sheetViews>
    <sheetView workbookViewId="0">
      <selection activeCell="L17" sqref="L17"/>
    </sheetView>
  </sheetViews>
  <sheetFormatPr defaultRowHeight="15"/>
  <cols>
    <col min="1" max="1" width="18.28515625" style="26" customWidth="1"/>
    <col min="2" max="2" width="10.42578125" style="26" customWidth="1"/>
    <col min="3" max="3" width="11.42578125" style="26" customWidth="1"/>
    <col min="4" max="4" width="12.28515625" style="26" customWidth="1"/>
    <col min="5" max="16384" width="9.140625" style="26"/>
  </cols>
  <sheetData>
    <row r="1" spans="1:12" ht="25.5" customHeight="1">
      <c r="A1" s="1094" t="s">
        <v>328</v>
      </c>
      <c r="B1" s="1094"/>
      <c r="C1" s="1094"/>
      <c r="D1" s="1094"/>
      <c r="E1" s="1094"/>
      <c r="F1" s="1094"/>
      <c r="G1" s="1094"/>
      <c r="H1" s="1094"/>
      <c r="I1" s="1094"/>
      <c r="J1" s="1094"/>
    </row>
    <row r="2" spans="1:12">
      <c r="A2" s="1095" t="s">
        <v>314</v>
      </c>
      <c r="B2" s="1096" t="s">
        <v>315</v>
      </c>
      <c r="C2" s="1097" t="s">
        <v>329</v>
      </c>
      <c r="D2" s="1097"/>
      <c r="E2" s="1097"/>
      <c r="F2" s="1097"/>
      <c r="G2" s="1097"/>
      <c r="H2" s="1097"/>
      <c r="I2" s="1097"/>
      <c r="J2" s="1097"/>
    </row>
    <row r="3" spans="1:12" ht="36">
      <c r="A3" s="1095"/>
      <c r="B3" s="1096"/>
      <c r="C3" s="508" t="s">
        <v>330</v>
      </c>
      <c r="D3" s="508" t="s">
        <v>331</v>
      </c>
      <c r="E3" s="508" t="s">
        <v>332</v>
      </c>
      <c r="F3" s="508" t="s">
        <v>333</v>
      </c>
      <c r="G3" s="508" t="s">
        <v>334</v>
      </c>
      <c r="H3" s="508" t="s">
        <v>335</v>
      </c>
      <c r="I3" s="508" t="s">
        <v>336</v>
      </c>
      <c r="J3" s="508" t="s">
        <v>337</v>
      </c>
    </row>
    <row r="4" spans="1:12">
      <c r="A4" s="509" t="s">
        <v>147</v>
      </c>
      <c r="B4" s="510">
        <v>128875.28916529956</v>
      </c>
      <c r="C4" s="510">
        <v>4412.6169320094878</v>
      </c>
      <c r="D4" s="510">
        <v>3347.1280696201634</v>
      </c>
      <c r="E4" s="510">
        <v>50010.11099967239</v>
      </c>
      <c r="F4" s="510">
        <v>2227.3467811219407</v>
      </c>
      <c r="G4" s="510">
        <v>21478.083768728116</v>
      </c>
      <c r="H4" s="510">
        <v>47072.89074717425</v>
      </c>
      <c r="I4" s="510">
        <v>93.654435038036752</v>
      </c>
      <c r="J4" s="510">
        <v>233.4574322687298</v>
      </c>
      <c r="K4" s="909"/>
      <c r="L4" s="903"/>
    </row>
    <row r="5" spans="1:12">
      <c r="A5" s="511"/>
      <c r="B5" s="512"/>
      <c r="C5" s="512"/>
      <c r="D5" s="512"/>
      <c r="E5" s="512"/>
      <c r="F5" s="512"/>
      <c r="G5" s="512"/>
      <c r="H5" s="512"/>
      <c r="I5" s="512"/>
      <c r="J5" s="512"/>
      <c r="K5" s="909"/>
      <c r="L5" s="903"/>
    </row>
    <row r="6" spans="1:12">
      <c r="A6" s="513" t="s">
        <v>140</v>
      </c>
      <c r="B6" s="514"/>
      <c r="C6" s="515"/>
      <c r="D6" s="515"/>
      <c r="E6" s="515"/>
      <c r="F6" s="515"/>
      <c r="G6" s="515"/>
      <c r="H6" s="515"/>
      <c r="I6" s="515"/>
      <c r="J6" s="516"/>
      <c r="K6" s="909"/>
      <c r="L6" s="903"/>
    </row>
    <row r="7" spans="1:12">
      <c r="A7" s="517" t="s">
        <v>4</v>
      </c>
      <c r="B7" s="512">
        <v>84854.990076339745</v>
      </c>
      <c r="C7" s="512">
        <v>2576.1756188722961</v>
      </c>
      <c r="D7" s="512">
        <v>2230.0614024273909</v>
      </c>
      <c r="E7" s="512">
        <v>47212.693744404984</v>
      </c>
      <c r="F7" s="512">
        <v>1125.2105311091443</v>
      </c>
      <c r="G7" s="512">
        <v>19174.727591052819</v>
      </c>
      <c r="H7" s="512">
        <v>12335.239211968657</v>
      </c>
      <c r="I7" s="512">
        <v>54.292426109006726</v>
      </c>
      <c r="J7" s="512">
        <v>146.58955049431859</v>
      </c>
      <c r="K7" s="909"/>
      <c r="L7" s="903"/>
    </row>
    <row r="8" spans="1:12">
      <c r="A8" s="517" t="s">
        <v>5</v>
      </c>
      <c r="B8" s="512">
        <v>44020.299089194436</v>
      </c>
      <c r="C8" s="512">
        <v>1836.4413131371064</v>
      </c>
      <c r="D8" s="512">
        <v>1117.0666671927936</v>
      </c>
      <c r="E8" s="512">
        <v>2797.4172552664904</v>
      </c>
      <c r="F8" s="512">
        <v>1102.1362500128173</v>
      </c>
      <c r="G8" s="512">
        <v>2303.3561776745473</v>
      </c>
      <c r="H8" s="512">
        <v>34737.651535204241</v>
      </c>
      <c r="I8" s="512">
        <v>39.362008929029876</v>
      </c>
      <c r="J8" s="512">
        <v>86.867881774410876</v>
      </c>
      <c r="K8" s="909"/>
      <c r="L8" s="903"/>
    </row>
    <row r="9" spans="1:12" ht="17.25" customHeight="1">
      <c r="A9" s="518" t="s">
        <v>338</v>
      </c>
      <c r="B9" s="515"/>
      <c r="C9" s="515"/>
      <c r="D9" s="515"/>
      <c r="E9" s="515"/>
      <c r="F9" s="515"/>
      <c r="G9" s="515"/>
      <c r="H9" s="515"/>
      <c r="I9" s="515"/>
      <c r="J9" s="515"/>
    </row>
    <row r="10" spans="1:12">
      <c r="A10" s="519" t="s">
        <v>148</v>
      </c>
      <c r="B10" s="520">
        <v>82847.527620969384</v>
      </c>
      <c r="C10" s="520">
        <v>2585.676793441372</v>
      </c>
      <c r="D10" s="520">
        <v>2238.2052663437416</v>
      </c>
      <c r="E10" s="520">
        <v>44803.467335817091</v>
      </c>
      <c r="F10" s="520">
        <v>1121.138599150969</v>
      </c>
      <c r="G10" s="520">
        <v>19286.027064576316</v>
      </c>
      <c r="H10" s="520">
        <v>12617.559827735577</v>
      </c>
      <c r="I10" s="520">
        <v>58.364358067182231</v>
      </c>
      <c r="J10" s="520">
        <v>137.08837592524236</v>
      </c>
    </row>
    <row r="11" spans="1:12">
      <c r="A11" s="521" t="s">
        <v>148</v>
      </c>
      <c r="B11" s="512">
        <v>82847.527620969384</v>
      </c>
      <c r="C11" s="512">
        <v>2585.676793441372</v>
      </c>
      <c r="D11" s="512">
        <v>2238.2052663437416</v>
      </c>
      <c r="E11" s="512">
        <v>44803.467335817091</v>
      </c>
      <c r="F11" s="512">
        <v>1121.138599150969</v>
      </c>
      <c r="G11" s="512">
        <v>19286.027064576316</v>
      </c>
      <c r="H11" s="512">
        <v>12617.559827735577</v>
      </c>
      <c r="I11" s="512">
        <v>58.364358067182231</v>
      </c>
      <c r="J11" s="512">
        <v>137.08837592524236</v>
      </c>
    </row>
    <row r="12" spans="1:12">
      <c r="A12" s="519" t="s">
        <v>149</v>
      </c>
      <c r="B12" s="520">
        <v>8033.921753481317</v>
      </c>
      <c r="C12" s="520">
        <v>282.32061576683611</v>
      </c>
      <c r="D12" s="520">
        <v>204.95390856150112</v>
      </c>
      <c r="E12" s="520">
        <v>1482.1832327758505</v>
      </c>
      <c r="F12" s="520">
        <v>195.4527339924249</v>
      </c>
      <c r="G12" s="520">
        <v>616.21903633722491</v>
      </c>
      <c r="H12" s="520">
        <v>5232.4325662557339</v>
      </c>
      <c r="I12" s="520">
        <v>5.4292426109006726</v>
      </c>
      <c r="J12" s="520">
        <v>14.93041717997685</v>
      </c>
    </row>
    <row r="13" spans="1:12">
      <c r="A13" s="521" t="s">
        <v>149</v>
      </c>
      <c r="B13" s="512">
        <v>8033.921753481317</v>
      </c>
      <c r="C13" s="512">
        <v>282.32061576683611</v>
      </c>
      <c r="D13" s="512">
        <v>204.95390856150112</v>
      </c>
      <c r="E13" s="512">
        <v>1482.1832327758505</v>
      </c>
      <c r="F13" s="512">
        <v>195.4527339924249</v>
      </c>
      <c r="G13" s="512">
        <v>616.21903633722491</v>
      </c>
      <c r="H13" s="512">
        <v>5232.4325662557339</v>
      </c>
      <c r="I13" s="512">
        <v>5.4292426109006726</v>
      </c>
      <c r="J13" s="512">
        <v>14.93041717997685</v>
      </c>
    </row>
    <row r="14" spans="1:12">
      <c r="A14" s="519" t="s">
        <v>150</v>
      </c>
      <c r="B14" s="520">
        <v>2804.203808530116</v>
      </c>
      <c r="C14" s="520">
        <v>150.66148245249411</v>
      </c>
      <c r="D14" s="520">
        <v>149.30417179976894</v>
      </c>
      <c r="E14" s="520">
        <v>624.36290025357562</v>
      </c>
      <c r="F14" s="520">
        <v>142.51761853614306</v>
      </c>
      <c r="G14" s="520">
        <v>149.30417179976894</v>
      </c>
      <c r="H14" s="520">
        <v>1579.909599772059</v>
      </c>
      <c r="I14" s="520">
        <v>5.4292426109006726</v>
      </c>
      <c r="J14" s="520">
        <v>2.7146213054503363</v>
      </c>
    </row>
    <row r="15" spans="1:12">
      <c r="A15" s="521" t="s">
        <v>150</v>
      </c>
      <c r="B15" s="512">
        <v>2804.203808530116</v>
      </c>
      <c r="C15" s="512">
        <v>150.66148245249411</v>
      </c>
      <c r="D15" s="512">
        <v>149.30417179976894</v>
      </c>
      <c r="E15" s="512">
        <v>624.36290025357562</v>
      </c>
      <c r="F15" s="512">
        <v>142.51761853614306</v>
      </c>
      <c r="G15" s="512">
        <v>149.30417179976894</v>
      </c>
      <c r="H15" s="512">
        <v>1579.909599772059</v>
      </c>
      <c r="I15" s="512">
        <v>5.4292426109006726</v>
      </c>
      <c r="J15" s="512">
        <v>2.7146213054503363</v>
      </c>
    </row>
    <row r="16" spans="1:12">
      <c r="A16" s="519" t="s">
        <v>151</v>
      </c>
      <c r="B16" s="520">
        <v>7090.5908498370436</v>
      </c>
      <c r="C16" s="520">
        <v>270.10481989230954</v>
      </c>
      <c r="D16" s="520">
        <v>123.51526939799061</v>
      </c>
      <c r="E16" s="520">
        <v>1278.5866348670827</v>
      </c>
      <c r="F16" s="520">
        <v>135.73106527251718</v>
      </c>
      <c r="G16" s="520">
        <v>370.5458081939725</v>
      </c>
      <c r="H16" s="520">
        <v>4887.6756604634384</v>
      </c>
      <c r="I16" s="520">
        <v>8.1438639163510089</v>
      </c>
      <c r="J16" s="520">
        <v>16.287727832702018</v>
      </c>
    </row>
    <row r="17" spans="1:10">
      <c r="A17" s="521" t="s">
        <v>151</v>
      </c>
      <c r="B17" s="512">
        <v>7090.5908498370436</v>
      </c>
      <c r="C17" s="512">
        <v>270.10481989230954</v>
      </c>
      <c r="D17" s="512">
        <v>123.51526939799061</v>
      </c>
      <c r="E17" s="512">
        <v>1278.5866348670827</v>
      </c>
      <c r="F17" s="512">
        <v>135.73106527251718</v>
      </c>
      <c r="G17" s="512">
        <v>370.5458081939725</v>
      </c>
      <c r="H17" s="512">
        <v>4887.6756604634384</v>
      </c>
      <c r="I17" s="512">
        <v>8.1438639163510089</v>
      </c>
      <c r="J17" s="512">
        <v>16.287727832702018</v>
      </c>
    </row>
    <row r="18" spans="1:10">
      <c r="A18" s="519" t="s">
        <v>152</v>
      </c>
      <c r="B18" s="520">
        <v>1748.2161207099737</v>
      </c>
      <c r="C18" s="522">
        <v>86.867881774410876</v>
      </c>
      <c r="D18" s="522">
        <v>19.002349138152354</v>
      </c>
      <c r="E18" s="522">
        <v>192.73811268697455</v>
      </c>
      <c r="F18" s="522">
        <v>23.074281096327859</v>
      </c>
      <c r="G18" s="522">
        <v>58.364358067182231</v>
      </c>
      <c r="H18" s="522">
        <v>1365.4545166414903</v>
      </c>
      <c r="I18" s="522">
        <v>0</v>
      </c>
      <c r="J18" s="522">
        <v>2.7146213054503363</v>
      </c>
    </row>
    <row r="19" spans="1:10">
      <c r="A19" s="521" t="s">
        <v>152</v>
      </c>
      <c r="B19" s="512">
        <v>1157.7859867745472</v>
      </c>
      <c r="C19" s="523">
        <v>48.863183498106054</v>
      </c>
      <c r="D19" s="523">
        <v>19.002349138152354</v>
      </c>
      <c r="E19" s="523">
        <v>135.73106527251718</v>
      </c>
      <c r="F19" s="523">
        <v>14.93041717997685</v>
      </c>
      <c r="G19" s="523">
        <v>40.719319581755045</v>
      </c>
      <c r="H19" s="523">
        <v>897.18234145132442</v>
      </c>
      <c r="I19" s="523">
        <v>0</v>
      </c>
      <c r="J19" s="523">
        <v>1.3573106527251682</v>
      </c>
    </row>
    <row r="20" spans="1:10">
      <c r="A20" s="521" t="s">
        <v>153</v>
      </c>
      <c r="B20" s="512">
        <v>590.43013393544766</v>
      </c>
      <c r="C20" s="523">
        <v>38.004698276304708</v>
      </c>
      <c r="D20" s="523">
        <v>0</v>
      </c>
      <c r="E20" s="523">
        <v>57.007047414457062</v>
      </c>
      <c r="F20" s="523">
        <v>8.1438639163510089</v>
      </c>
      <c r="G20" s="523">
        <v>17.645038485427186</v>
      </c>
      <c r="H20" s="523">
        <v>468.27217519018512</v>
      </c>
      <c r="I20" s="523">
        <v>0</v>
      </c>
      <c r="J20" s="523">
        <v>1.3573106527251682</v>
      </c>
    </row>
    <row r="21" spans="1:10">
      <c r="A21" s="519" t="s">
        <v>154</v>
      </c>
      <c r="B21" s="520">
        <v>758.73665487336234</v>
      </c>
      <c r="C21" s="522">
        <v>2.7146213054503363</v>
      </c>
      <c r="D21" s="522">
        <v>0</v>
      </c>
      <c r="E21" s="522">
        <v>21.71697044360269</v>
      </c>
      <c r="F21" s="522">
        <v>0</v>
      </c>
      <c r="G21" s="522">
        <v>2.7146213054503363</v>
      </c>
      <c r="H21" s="522">
        <v>728.87582051340974</v>
      </c>
      <c r="I21" s="522">
        <v>1.3573106527251682</v>
      </c>
      <c r="J21" s="522">
        <v>1.3573106527251682</v>
      </c>
    </row>
    <row r="22" spans="1:10">
      <c r="A22" s="521" t="s">
        <v>154</v>
      </c>
      <c r="B22" s="512">
        <v>499.49032020286415</v>
      </c>
      <c r="C22" s="523">
        <v>2.7146213054503363</v>
      </c>
      <c r="D22" s="523">
        <v>0</v>
      </c>
      <c r="E22" s="523">
        <v>9.5011745690761771</v>
      </c>
      <c r="F22" s="523">
        <v>0</v>
      </c>
      <c r="G22" s="523">
        <v>2.7146213054503363</v>
      </c>
      <c r="H22" s="523">
        <v>481.84528171743688</v>
      </c>
      <c r="I22" s="523">
        <v>1.3573106527251682</v>
      </c>
      <c r="J22" s="523">
        <v>1.3573106527251682</v>
      </c>
    </row>
    <row r="23" spans="1:10">
      <c r="A23" s="521" t="s">
        <v>155</v>
      </c>
      <c r="B23" s="512">
        <v>259.24633467050813</v>
      </c>
      <c r="C23" s="523">
        <v>0</v>
      </c>
      <c r="D23" s="523">
        <v>0</v>
      </c>
      <c r="E23" s="523">
        <v>12.215795874526513</v>
      </c>
      <c r="F23" s="523">
        <v>0</v>
      </c>
      <c r="G23" s="523">
        <v>0</v>
      </c>
      <c r="H23" s="523">
        <v>247.03053879598156</v>
      </c>
      <c r="I23" s="523">
        <v>0</v>
      </c>
      <c r="J23" s="523">
        <v>0</v>
      </c>
    </row>
    <row r="24" spans="1:10">
      <c r="A24" s="519" t="s">
        <v>156</v>
      </c>
      <c r="B24" s="520">
        <v>4139.7974908116475</v>
      </c>
      <c r="C24" s="522">
        <v>260.60364532323331</v>
      </c>
      <c r="D24" s="522">
        <v>255.17440271233261</v>
      </c>
      <c r="E24" s="522">
        <v>555.14005696459458</v>
      </c>
      <c r="F24" s="522">
        <v>228.0281896578291</v>
      </c>
      <c r="G24" s="522">
        <v>275.53406250321024</v>
      </c>
      <c r="H24" s="520">
        <v>2562.6025123450449</v>
      </c>
      <c r="I24" s="522">
        <v>0</v>
      </c>
      <c r="J24" s="522">
        <v>2.7146213054503363</v>
      </c>
    </row>
    <row r="25" spans="1:10">
      <c r="A25" s="521" t="s">
        <v>156</v>
      </c>
      <c r="B25" s="512">
        <v>1980.3162423259689</v>
      </c>
      <c r="C25" s="523">
        <v>57.007047414457062</v>
      </c>
      <c r="D25" s="523">
        <v>96.369056343487102</v>
      </c>
      <c r="E25" s="523">
        <v>162.87727832702069</v>
      </c>
      <c r="F25" s="523">
        <v>58.364358067182231</v>
      </c>
      <c r="G25" s="523">
        <v>63.793600678082903</v>
      </c>
      <c r="H25" s="512">
        <v>1541.9049014957557</v>
      </c>
      <c r="I25" s="523">
        <v>0</v>
      </c>
      <c r="J25" s="523">
        <v>0</v>
      </c>
    </row>
    <row r="26" spans="1:10">
      <c r="A26" s="521" t="s">
        <v>157</v>
      </c>
      <c r="B26" s="512">
        <v>2159.4812484856848</v>
      </c>
      <c r="C26" s="523">
        <v>203.59659790877595</v>
      </c>
      <c r="D26" s="523">
        <v>158.80534636884516</v>
      </c>
      <c r="E26" s="523">
        <v>392.26277863757531</v>
      </c>
      <c r="F26" s="523">
        <v>169.66383159064657</v>
      </c>
      <c r="G26" s="523">
        <v>211.740461825127</v>
      </c>
      <c r="H26" s="512">
        <v>1020.6976108493102</v>
      </c>
      <c r="I26" s="523">
        <v>0</v>
      </c>
      <c r="J26" s="523">
        <v>2.7146213054503363</v>
      </c>
    </row>
    <row r="27" spans="1:10">
      <c r="A27" s="519" t="s">
        <v>158</v>
      </c>
      <c r="B27" s="520">
        <v>6323.7103310470948</v>
      </c>
      <c r="C27" s="522">
        <v>270.10481989230954</v>
      </c>
      <c r="D27" s="522">
        <v>51.57780480355639</v>
      </c>
      <c r="E27" s="522">
        <v>312.18145012678997</v>
      </c>
      <c r="F27" s="522">
        <v>63.793600678082903</v>
      </c>
      <c r="G27" s="522">
        <v>158.80534636884516</v>
      </c>
      <c r="H27" s="520">
        <v>5460.4607559136302</v>
      </c>
      <c r="I27" s="522">
        <v>1.3573106527251682</v>
      </c>
      <c r="J27" s="522">
        <v>5.4292426109006726</v>
      </c>
    </row>
    <row r="28" spans="1:10">
      <c r="A28" s="521" t="s">
        <v>158</v>
      </c>
      <c r="B28" s="512">
        <v>5377.6648060973703</v>
      </c>
      <c r="C28" s="523">
        <v>210.38315117240182</v>
      </c>
      <c r="D28" s="523">
        <v>51.57780480355639</v>
      </c>
      <c r="E28" s="523">
        <v>304.03758621043892</v>
      </c>
      <c r="F28" s="523">
        <v>63.793600678082903</v>
      </c>
      <c r="G28" s="523">
        <v>152.01879310521929</v>
      </c>
      <c r="H28" s="512">
        <v>4590.4246275165378</v>
      </c>
      <c r="I28" s="523">
        <v>1.3573106527251682</v>
      </c>
      <c r="J28" s="523">
        <v>4.0719319581755045</v>
      </c>
    </row>
    <row r="29" spans="1:10">
      <c r="A29" s="521" t="s">
        <v>159</v>
      </c>
      <c r="B29" s="512">
        <v>946.04552494942868</v>
      </c>
      <c r="C29" s="523">
        <v>59.721668719907399</v>
      </c>
      <c r="D29" s="523">
        <v>0</v>
      </c>
      <c r="E29" s="523">
        <v>8.1438639163510089</v>
      </c>
      <c r="F29" s="523">
        <v>0</v>
      </c>
      <c r="G29" s="523">
        <v>6.7865532636258408</v>
      </c>
      <c r="H29" s="512">
        <v>870.03612839682205</v>
      </c>
      <c r="I29" s="523">
        <v>0</v>
      </c>
      <c r="J29" s="523">
        <v>1.3573106527251682</v>
      </c>
    </row>
    <row r="30" spans="1:10">
      <c r="A30" s="519" t="s">
        <v>160</v>
      </c>
      <c r="B30" s="520">
        <v>1749.5734313626988</v>
      </c>
      <c r="C30" s="522">
        <v>40.719319581755045</v>
      </c>
      <c r="D30" s="522">
        <v>14.93041717997685</v>
      </c>
      <c r="E30" s="522">
        <v>31.218145012678868</v>
      </c>
      <c r="F30" s="522">
        <v>25.788902401778195</v>
      </c>
      <c r="G30" s="522">
        <v>17.645038485427186</v>
      </c>
      <c r="H30" s="520">
        <v>1615.1996767429121</v>
      </c>
      <c r="I30" s="522">
        <v>2.7146213054503363</v>
      </c>
      <c r="J30" s="522">
        <v>1.3573106527251682</v>
      </c>
    </row>
    <row r="31" spans="1:10">
      <c r="A31" s="521" t="s">
        <v>160</v>
      </c>
      <c r="B31" s="512">
        <v>1749.5734313626988</v>
      </c>
      <c r="C31" s="523">
        <v>40.719319581755045</v>
      </c>
      <c r="D31" s="523">
        <v>14.93041717997685</v>
      </c>
      <c r="E31" s="523">
        <v>31.218145012678868</v>
      </c>
      <c r="F31" s="523">
        <v>25.788902401778195</v>
      </c>
      <c r="G31" s="523">
        <v>17.645038485427186</v>
      </c>
      <c r="H31" s="512">
        <v>1615.1996767429121</v>
      </c>
      <c r="I31" s="523">
        <v>2.7146213054503363</v>
      </c>
      <c r="J31" s="523">
        <v>1.3573106527251682</v>
      </c>
    </row>
    <row r="32" spans="1:10">
      <c r="A32" s="519" t="s">
        <v>161</v>
      </c>
      <c r="B32" s="520">
        <v>7605.0115872200358</v>
      </c>
      <c r="C32" s="522">
        <v>187.30887007607384</v>
      </c>
      <c r="D32" s="522">
        <v>130.30182266161648</v>
      </c>
      <c r="E32" s="522">
        <v>328.46917795949207</v>
      </c>
      <c r="F32" s="522">
        <v>131.65913331434166</v>
      </c>
      <c r="G32" s="522">
        <v>298.60834359953822</v>
      </c>
      <c r="H32" s="520">
        <v>6477.0864348050845</v>
      </c>
      <c r="I32" s="522">
        <v>8.1438639163510089</v>
      </c>
      <c r="J32" s="522">
        <v>43.433940887205381</v>
      </c>
    </row>
    <row r="33" spans="1:10">
      <c r="A33" s="521" t="s">
        <v>161</v>
      </c>
      <c r="B33" s="512">
        <v>6319.638399088918</v>
      </c>
      <c r="C33" s="523">
        <v>175.09307420154727</v>
      </c>
      <c r="D33" s="523">
        <v>122.15795874526543</v>
      </c>
      <c r="E33" s="523">
        <v>308.10951816861444</v>
      </c>
      <c r="F33" s="523">
        <v>119.44333743981508</v>
      </c>
      <c r="G33" s="523">
        <v>283.67792641956129</v>
      </c>
      <c r="H33" s="512">
        <v>5262.2934006156966</v>
      </c>
      <c r="I33" s="523">
        <v>6.7865532636258408</v>
      </c>
      <c r="J33" s="523">
        <v>42.076630234480213</v>
      </c>
    </row>
    <row r="34" spans="1:10">
      <c r="A34" s="521" t="s">
        <v>162</v>
      </c>
      <c r="B34" s="512">
        <v>1285.3731881307083</v>
      </c>
      <c r="C34" s="523">
        <v>12.215795874526513</v>
      </c>
      <c r="D34" s="523">
        <v>8.1438639163510089</v>
      </c>
      <c r="E34" s="523">
        <v>20.359659790877522</v>
      </c>
      <c r="F34" s="523">
        <v>12.215795874526513</v>
      </c>
      <c r="G34" s="523">
        <v>14.93041717997685</v>
      </c>
      <c r="H34" s="512">
        <v>1214.7930341890021</v>
      </c>
      <c r="I34" s="523">
        <v>1.3573106527251682</v>
      </c>
      <c r="J34" s="523">
        <v>1.3573106527251682</v>
      </c>
    </row>
    <row r="35" spans="1:10">
      <c r="A35" s="519" t="s">
        <v>163</v>
      </c>
      <c r="B35" s="520">
        <v>5773.9995166932376</v>
      </c>
      <c r="C35" s="522">
        <v>275.53406250321024</v>
      </c>
      <c r="D35" s="522">
        <v>160.16265702157034</v>
      </c>
      <c r="E35" s="522">
        <v>380.04698276304873</v>
      </c>
      <c r="F35" s="522">
        <v>160.16265702157034</v>
      </c>
      <c r="G35" s="522">
        <v>244.31591749053121</v>
      </c>
      <c r="H35" s="520">
        <v>4545.6333759765939</v>
      </c>
      <c r="I35" s="522">
        <v>2.7146213054503363</v>
      </c>
      <c r="J35" s="522">
        <v>5.4292426109006726</v>
      </c>
    </row>
    <row r="36" spans="1:10">
      <c r="A36" s="521" t="s">
        <v>163</v>
      </c>
      <c r="B36" s="512">
        <v>4228.0226832388098</v>
      </c>
      <c r="C36" s="523">
        <v>241.60129618508086</v>
      </c>
      <c r="D36" s="523">
        <v>135.73106527251718</v>
      </c>
      <c r="E36" s="523">
        <v>347.47152709764453</v>
      </c>
      <c r="F36" s="523">
        <v>127.58720135616613</v>
      </c>
      <c r="G36" s="523">
        <v>223.95625769965358</v>
      </c>
      <c r="H36" s="512">
        <v>3146.2460930168459</v>
      </c>
      <c r="I36" s="523">
        <v>2.7146213054503363</v>
      </c>
      <c r="J36" s="523">
        <v>2.7146213054503363</v>
      </c>
    </row>
    <row r="37" spans="1:10">
      <c r="A37" s="524" t="s">
        <v>164</v>
      </c>
      <c r="B37" s="525">
        <v>1545.976833453931</v>
      </c>
      <c r="C37" s="526">
        <v>33.932766318129204</v>
      </c>
      <c r="D37" s="526">
        <v>24.431591749053027</v>
      </c>
      <c r="E37" s="526">
        <v>32.575455665404036</v>
      </c>
      <c r="F37" s="526">
        <v>32.575455665404036</v>
      </c>
      <c r="G37" s="526">
        <v>20.359659790877522</v>
      </c>
      <c r="H37" s="525">
        <v>1399.3872829596182</v>
      </c>
      <c r="I37" s="526">
        <v>0</v>
      </c>
      <c r="J37" s="526">
        <v>2.7146213054503363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7"/>
  <sheetViews>
    <sheetView workbookViewId="0">
      <selection activeCell="K16" sqref="K16"/>
    </sheetView>
  </sheetViews>
  <sheetFormatPr defaultRowHeight="15"/>
  <cols>
    <col min="1" max="1" width="17.28515625" style="26" customWidth="1"/>
    <col min="2" max="2" width="9.140625" style="26"/>
    <col min="3" max="4" width="13.28515625" style="26" customWidth="1"/>
    <col min="5" max="5" width="16.42578125" style="26" customWidth="1"/>
    <col min="6" max="6" width="14.140625" style="26" customWidth="1"/>
    <col min="7" max="7" width="15.28515625" style="26" customWidth="1"/>
    <col min="8" max="8" width="14" style="26" customWidth="1"/>
    <col min="9" max="9" width="17.28515625" style="26" customWidth="1"/>
    <col min="10" max="10" width="18.5703125" style="26" customWidth="1"/>
    <col min="11" max="11" width="14" style="26" customWidth="1"/>
    <col min="12" max="12" width="14.7109375" style="26" customWidth="1"/>
    <col min="13" max="13" width="14.5703125" style="26" customWidth="1"/>
    <col min="14" max="14" width="15.42578125" style="26" customWidth="1"/>
    <col min="15" max="15" width="14.85546875" style="26" customWidth="1"/>
    <col min="16" max="16" width="12.42578125" style="26" customWidth="1"/>
    <col min="17" max="17" width="12.7109375" style="26" customWidth="1"/>
    <col min="18" max="16384" width="9.140625" style="26"/>
  </cols>
  <sheetData>
    <row r="1" spans="1:17" ht="26.25" customHeight="1">
      <c r="A1" s="1098" t="s">
        <v>339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8"/>
      <c r="O1" s="1098"/>
      <c r="P1" s="1098"/>
      <c r="Q1" s="1098"/>
    </row>
    <row r="2" spans="1:17">
      <c r="A2" s="1099" t="s">
        <v>314</v>
      </c>
      <c r="B2" s="1100" t="s">
        <v>315</v>
      </c>
      <c r="C2" s="1101" t="s">
        <v>340</v>
      </c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527"/>
      <c r="Q2" s="1100" t="s">
        <v>341</v>
      </c>
    </row>
    <row r="3" spans="1:17" ht="60.75">
      <c r="A3" s="1099"/>
      <c r="B3" s="1100"/>
      <c r="C3" s="528" t="s">
        <v>342</v>
      </c>
      <c r="D3" s="529" t="s">
        <v>343</v>
      </c>
      <c r="E3" s="528" t="s">
        <v>344</v>
      </c>
      <c r="F3" s="528" t="s">
        <v>345</v>
      </c>
      <c r="G3" s="528" t="s">
        <v>346</v>
      </c>
      <c r="H3" s="528" t="s">
        <v>347</v>
      </c>
      <c r="I3" s="529" t="s">
        <v>348</v>
      </c>
      <c r="J3" s="528" t="s">
        <v>349</v>
      </c>
      <c r="K3" s="528" t="s">
        <v>350</v>
      </c>
      <c r="L3" s="528" t="s">
        <v>351</v>
      </c>
      <c r="M3" s="528" t="s">
        <v>352</v>
      </c>
      <c r="N3" s="528" t="s">
        <v>353</v>
      </c>
      <c r="O3" s="528" t="s">
        <v>354</v>
      </c>
      <c r="P3" s="529" t="s">
        <v>355</v>
      </c>
      <c r="Q3" s="1100"/>
    </row>
    <row r="4" spans="1:17">
      <c r="A4" s="530" t="s">
        <v>147</v>
      </c>
      <c r="B4" s="531">
        <v>128875.28916529956</v>
      </c>
      <c r="C4" s="531">
        <v>6208.3389255654211</v>
      </c>
      <c r="D4" s="531">
        <v>19739.368822586657</v>
      </c>
      <c r="E4" s="531">
        <v>3192.3946552094999</v>
      </c>
      <c r="F4" s="531">
        <v>2878.8558944299975</v>
      </c>
      <c r="G4" s="531">
        <v>6359.0004080179597</v>
      </c>
      <c r="H4" s="531">
        <v>789.95479988604006</v>
      </c>
      <c r="I4" s="531">
        <v>39167.913505695578</v>
      </c>
      <c r="J4" s="531">
        <v>2154.0520058747843</v>
      </c>
      <c r="K4" s="531">
        <v>19528.985671414193</v>
      </c>
      <c r="L4" s="531">
        <v>1346.4521675033386</v>
      </c>
      <c r="M4" s="531">
        <v>758.73665487336234</v>
      </c>
      <c r="N4" s="531">
        <v>14320.984696906171</v>
      </c>
      <c r="O4" s="531">
        <v>2800.1318765719407</v>
      </c>
      <c r="P4" s="531">
        <v>40909.343073143791</v>
      </c>
      <c r="Q4" s="531">
        <v>48798.032586788453</v>
      </c>
    </row>
    <row r="5" spans="1:17">
      <c r="A5" s="532"/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</row>
    <row r="6" spans="1:17">
      <c r="A6" s="534" t="s">
        <v>3</v>
      </c>
      <c r="B6" s="531"/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1"/>
      <c r="N6" s="531"/>
      <c r="O6" s="531"/>
      <c r="P6" s="531"/>
      <c r="Q6" s="531"/>
    </row>
    <row r="7" spans="1:17">
      <c r="A7" s="535" t="s">
        <v>4</v>
      </c>
      <c r="B7" s="536">
        <v>84854.990076339745</v>
      </c>
      <c r="C7" s="536">
        <v>4642.0024323201096</v>
      </c>
      <c r="D7" s="536">
        <v>18120.097213885048</v>
      </c>
      <c r="E7" s="536">
        <v>1822.8682066098552</v>
      </c>
      <c r="F7" s="536">
        <v>1718.3552863500211</v>
      </c>
      <c r="G7" s="536">
        <v>4818.4528171744341</v>
      </c>
      <c r="H7" s="536">
        <v>671.86877309895476</v>
      </c>
      <c r="I7" s="536">
        <v>31793.644729438427</v>
      </c>
      <c r="J7" s="536">
        <v>1964.0285144932675</v>
      </c>
      <c r="K7" s="536">
        <v>18934.483605520392</v>
      </c>
      <c r="L7" s="536">
        <v>1068.2034836946893</v>
      </c>
      <c r="M7" s="536">
        <v>709.87347137525808</v>
      </c>
      <c r="N7" s="536">
        <v>13202.560719060299</v>
      </c>
      <c r="O7" s="536">
        <v>2000.6759021168457</v>
      </c>
      <c r="P7" s="536">
        <v>37879.825696260748</v>
      </c>
      <c r="Q7" s="536">
        <v>15181.519650734184</v>
      </c>
    </row>
    <row r="8" spans="1:17">
      <c r="A8" s="535" t="s">
        <v>5</v>
      </c>
      <c r="B8" s="536">
        <v>44020.299089194436</v>
      </c>
      <c r="C8" s="536">
        <v>1566.3364932448078</v>
      </c>
      <c r="D8" s="536">
        <v>1619.2716087010874</v>
      </c>
      <c r="E8" s="536">
        <v>1369.5264485996656</v>
      </c>
      <c r="F8" s="536">
        <v>1160.5006080799974</v>
      </c>
      <c r="G8" s="536">
        <v>1540.5475908430305</v>
      </c>
      <c r="H8" s="536">
        <v>118.08602678708991</v>
      </c>
      <c r="I8" s="536">
        <v>7374.2687762556798</v>
      </c>
      <c r="J8" s="536">
        <v>190.0234913815242</v>
      </c>
      <c r="K8" s="536">
        <v>594.50206589362301</v>
      </c>
      <c r="L8" s="536">
        <v>278.24868380866059</v>
      </c>
      <c r="M8" s="536">
        <v>48.863183498106054</v>
      </c>
      <c r="N8" s="536">
        <v>1118.4239778455187</v>
      </c>
      <c r="O8" s="536">
        <v>799.45597445511589</v>
      </c>
      <c r="P8" s="536">
        <v>3029.5173768825489</v>
      </c>
      <c r="Q8" s="536">
        <v>33616.512936052917</v>
      </c>
    </row>
    <row r="9" spans="1:17">
      <c r="A9" s="537" t="s">
        <v>327</v>
      </c>
      <c r="B9" s="531"/>
      <c r="C9" s="531"/>
      <c r="D9" s="531"/>
      <c r="E9" s="531"/>
      <c r="F9" s="531"/>
      <c r="G9" s="531"/>
      <c r="H9" s="531"/>
      <c r="I9" s="531"/>
      <c r="J9" s="531"/>
      <c r="K9" s="531"/>
      <c r="L9" s="531"/>
      <c r="M9" s="531"/>
      <c r="N9" s="531"/>
      <c r="O9" s="531"/>
      <c r="P9" s="531"/>
      <c r="Q9" s="531"/>
    </row>
    <row r="10" spans="1:17">
      <c r="A10" s="538" t="s">
        <v>148</v>
      </c>
      <c r="B10" s="536">
        <v>82847.527620969384</v>
      </c>
      <c r="C10" s="536">
        <v>4366.4683698168183</v>
      </c>
      <c r="D10" s="536">
        <v>17661.326213263805</v>
      </c>
      <c r="E10" s="536">
        <v>1959.9565825350921</v>
      </c>
      <c r="F10" s="536">
        <v>1734.6430141827225</v>
      </c>
      <c r="G10" s="536">
        <v>4875.4598645889082</v>
      </c>
      <c r="H10" s="536">
        <v>709.87347137525808</v>
      </c>
      <c r="I10" s="536">
        <v>31307.727515762603</v>
      </c>
      <c r="J10" s="536">
        <v>1706.139490475495</v>
      </c>
      <c r="K10" s="536">
        <v>18371.199684639279</v>
      </c>
      <c r="L10" s="536">
        <v>1217.5076554944524</v>
      </c>
      <c r="M10" s="536">
        <v>688.15650093165618</v>
      </c>
      <c r="N10" s="536">
        <v>13260.925077127498</v>
      </c>
      <c r="O10" s="536">
        <v>2030.5367364767983</v>
      </c>
      <c r="P10" s="536">
        <v>37274.465145145179</v>
      </c>
      <c r="Q10" s="536">
        <v>14265.334960144422</v>
      </c>
    </row>
    <row r="11" spans="1:17">
      <c r="A11" s="539" t="s">
        <v>148</v>
      </c>
      <c r="B11" s="536">
        <v>82847.527620969384</v>
      </c>
      <c r="C11" s="536">
        <v>4366.4683698168183</v>
      </c>
      <c r="D11" s="536">
        <v>17661.326213263805</v>
      </c>
      <c r="E11" s="536">
        <v>1959.9565825350921</v>
      </c>
      <c r="F11" s="536">
        <v>1734.6430141827225</v>
      </c>
      <c r="G11" s="536">
        <v>4875.4598645889082</v>
      </c>
      <c r="H11" s="536">
        <v>709.87347137525808</v>
      </c>
      <c r="I11" s="536">
        <v>31307.727515762603</v>
      </c>
      <c r="J11" s="536">
        <v>1706.139490475495</v>
      </c>
      <c r="K11" s="536">
        <v>18371.199684639279</v>
      </c>
      <c r="L11" s="536">
        <v>1217.5076554944524</v>
      </c>
      <c r="M11" s="536">
        <v>688.15650093165618</v>
      </c>
      <c r="N11" s="536">
        <v>13260.925077127498</v>
      </c>
      <c r="O11" s="536">
        <v>2030.5367364767983</v>
      </c>
      <c r="P11" s="536">
        <v>37274.465145145179</v>
      </c>
      <c r="Q11" s="536">
        <v>14265.334960144422</v>
      </c>
    </row>
    <row r="12" spans="1:17">
      <c r="A12" s="538" t="s">
        <v>149</v>
      </c>
      <c r="B12" s="533">
        <v>8033.921753481317</v>
      </c>
      <c r="C12" s="540">
        <v>416.69437038662846</v>
      </c>
      <c r="D12" s="540">
        <v>305.39489686316409</v>
      </c>
      <c r="E12" s="540">
        <v>211.740461825127</v>
      </c>
      <c r="F12" s="540">
        <v>202.23928725605077</v>
      </c>
      <c r="G12" s="540">
        <v>217.1697044360277</v>
      </c>
      <c r="H12" s="540">
        <v>16.287727832702018</v>
      </c>
      <c r="I12" s="533">
        <v>1369.5264485997002</v>
      </c>
      <c r="J12" s="540">
        <v>19.002349138152354</v>
      </c>
      <c r="K12" s="540">
        <v>242.95860683780603</v>
      </c>
      <c r="L12" s="540">
        <v>10.858485221801345</v>
      </c>
      <c r="M12" s="540">
        <v>5.4292426109006726</v>
      </c>
      <c r="N12" s="540">
        <v>169.66383159064657</v>
      </c>
      <c r="O12" s="540">
        <v>213.09777247785217</v>
      </c>
      <c r="P12" s="540">
        <v>661.01028787715916</v>
      </c>
      <c r="Q12" s="533">
        <v>6003.3850170038595</v>
      </c>
    </row>
    <row r="13" spans="1:17">
      <c r="A13" s="539" t="s">
        <v>149</v>
      </c>
      <c r="B13" s="536">
        <v>8033.921753481317</v>
      </c>
      <c r="C13" s="541">
        <v>416.69437038662846</v>
      </c>
      <c r="D13" s="541">
        <v>305.39489686316409</v>
      </c>
      <c r="E13" s="541">
        <v>211.740461825127</v>
      </c>
      <c r="F13" s="541">
        <v>202.23928725605077</v>
      </c>
      <c r="G13" s="541">
        <v>217.1697044360277</v>
      </c>
      <c r="H13" s="541">
        <v>16.287727832702018</v>
      </c>
      <c r="I13" s="536">
        <v>1369.5264485997002</v>
      </c>
      <c r="J13" s="541">
        <v>19.002349138152354</v>
      </c>
      <c r="K13" s="541">
        <v>242.95860683780603</v>
      </c>
      <c r="L13" s="541">
        <v>10.858485221801345</v>
      </c>
      <c r="M13" s="541">
        <v>5.4292426109006726</v>
      </c>
      <c r="N13" s="541">
        <v>169.66383159064657</v>
      </c>
      <c r="O13" s="541">
        <v>213.09777247785217</v>
      </c>
      <c r="P13" s="541">
        <v>661.01028787715916</v>
      </c>
      <c r="Q13" s="536">
        <v>6003.3850170038595</v>
      </c>
    </row>
    <row r="14" spans="1:17">
      <c r="A14" s="538" t="s">
        <v>150</v>
      </c>
      <c r="B14" s="533">
        <v>2804.203808530116</v>
      </c>
      <c r="C14" s="540">
        <v>153.37610375794446</v>
      </c>
      <c r="D14" s="540">
        <v>282.32061576683611</v>
      </c>
      <c r="E14" s="540">
        <v>150.66148245249411</v>
      </c>
      <c r="F14" s="540">
        <v>141.16030788341789</v>
      </c>
      <c r="G14" s="540">
        <v>384.11891472122426</v>
      </c>
      <c r="H14" s="540">
        <v>6.7865532636258408</v>
      </c>
      <c r="I14" s="533">
        <v>1118.4239778455426</v>
      </c>
      <c r="J14" s="540">
        <v>23.074281096327859</v>
      </c>
      <c r="K14" s="540">
        <v>214.45508313057735</v>
      </c>
      <c r="L14" s="540">
        <v>10.858485221801345</v>
      </c>
      <c r="M14" s="540">
        <v>23.074281096327859</v>
      </c>
      <c r="N14" s="540">
        <v>176.45038485427244</v>
      </c>
      <c r="O14" s="540">
        <v>21.71697044360269</v>
      </c>
      <c r="P14" s="540">
        <v>469.62948584290956</v>
      </c>
      <c r="Q14" s="533">
        <v>1216.1503448417272</v>
      </c>
    </row>
    <row r="15" spans="1:17">
      <c r="A15" s="539" t="s">
        <v>150</v>
      </c>
      <c r="B15" s="536">
        <v>2804.203808530116</v>
      </c>
      <c r="C15" s="541">
        <v>153.37610375794446</v>
      </c>
      <c r="D15" s="541">
        <v>282.32061576683611</v>
      </c>
      <c r="E15" s="541">
        <v>150.66148245249411</v>
      </c>
      <c r="F15" s="541">
        <v>141.16030788341789</v>
      </c>
      <c r="G15" s="541">
        <v>384.11891472122426</v>
      </c>
      <c r="H15" s="541">
        <v>6.7865532636258408</v>
      </c>
      <c r="I15" s="536">
        <v>1118.4239778455426</v>
      </c>
      <c r="J15" s="541">
        <v>23.074281096327859</v>
      </c>
      <c r="K15" s="541">
        <v>214.45508313057735</v>
      </c>
      <c r="L15" s="541">
        <v>10.858485221801345</v>
      </c>
      <c r="M15" s="541">
        <v>23.074281096327859</v>
      </c>
      <c r="N15" s="541">
        <v>176.45038485427244</v>
      </c>
      <c r="O15" s="541">
        <v>21.71697044360269</v>
      </c>
      <c r="P15" s="541">
        <v>469.62948584290956</v>
      </c>
      <c r="Q15" s="536">
        <v>1216.1503448417272</v>
      </c>
    </row>
    <row r="16" spans="1:17">
      <c r="A16" s="538" t="s">
        <v>151</v>
      </c>
      <c r="B16" s="533">
        <v>7090.5908498370436</v>
      </c>
      <c r="C16" s="540">
        <v>310.82413947406479</v>
      </c>
      <c r="D16" s="540">
        <v>450.62713670475785</v>
      </c>
      <c r="E16" s="540">
        <v>153.37610375794446</v>
      </c>
      <c r="F16" s="540">
        <v>134.37375461979201</v>
      </c>
      <c r="G16" s="540">
        <v>145.23223984159341</v>
      </c>
      <c r="H16" s="540">
        <v>33.932766318129204</v>
      </c>
      <c r="I16" s="533">
        <v>1228.3661407162815</v>
      </c>
      <c r="J16" s="540">
        <v>267.39019858685919</v>
      </c>
      <c r="K16" s="540">
        <v>567.35585283912064</v>
      </c>
      <c r="L16" s="540">
        <v>25.788902401778195</v>
      </c>
      <c r="M16" s="540">
        <v>23.074281096327859</v>
      </c>
      <c r="N16" s="540">
        <v>267.39019858685919</v>
      </c>
      <c r="O16" s="540">
        <v>375.97505080487321</v>
      </c>
      <c r="P16" s="540">
        <v>1526.9744843158182</v>
      </c>
      <c r="Q16" s="533">
        <v>4335.2502248041301</v>
      </c>
    </row>
    <row r="17" spans="1:17">
      <c r="A17" s="539" t="s">
        <v>151</v>
      </c>
      <c r="B17" s="536">
        <v>7090.5908498370436</v>
      </c>
      <c r="C17" s="541">
        <v>310.82413947406479</v>
      </c>
      <c r="D17" s="541">
        <v>450.62713670475785</v>
      </c>
      <c r="E17" s="541">
        <v>153.37610375794446</v>
      </c>
      <c r="F17" s="541">
        <v>134.37375461979201</v>
      </c>
      <c r="G17" s="541">
        <v>145.23223984159341</v>
      </c>
      <c r="H17" s="541">
        <v>33.932766318129204</v>
      </c>
      <c r="I17" s="536">
        <v>1228.3661407162815</v>
      </c>
      <c r="J17" s="541">
        <v>267.39019858685919</v>
      </c>
      <c r="K17" s="541">
        <v>567.35585283912064</v>
      </c>
      <c r="L17" s="541">
        <v>25.788902401778195</v>
      </c>
      <c r="M17" s="541">
        <v>23.074281096327859</v>
      </c>
      <c r="N17" s="541">
        <v>267.39019858685919</v>
      </c>
      <c r="O17" s="541">
        <v>375.97505080487321</v>
      </c>
      <c r="P17" s="541">
        <v>1526.9744843158182</v>
      </c>
      <c r="Q17" s="536">
        <v>4335.2502248041301</v>
      </c>
    </row>
    <row r="18" spans="1:17">
      <c r="A18" s="538" t="s">
        <v>152</v>
      </c>
      <c r="B18" s="533">
        <v>1748.2161207099737</v>
      </c>
      <c r="C18" s="542">
        <v>43.433940887205381</v>
      </c>
      <c r="D18" s="542">
        <v>157.44803571611999</v>
      </c>
      <c r="E18" s="542">
        <v>17.645038485427186</v>
      </c>
      <c r="F18" s="542">
        <v>29.860834359953699</v>
      </c>
      <c r="G18" s="542">
        <v>43.433940887205381</v>
      </c>
      <c r="H18" s="542">
        <v>0</v>
      </c>
      <c r="I18" s="533">
        <v>291.82179033591166</v>
      </c>
      <c r="J18" s="542">
        <v>4.0719319581755045</v>
      </c>
      <c r="K18" s="542">
        <v>21.71697044360269</v>
      </c>
      <c r="L18" s="542">
        <v>0</v>
      </c>
      <c r="M18" s="542">
        <v>1.3573106527251682</v>
      </c>
      <c r="N18" s="542">
        <v>4.0719319581755045</v>
      </c>
      <c r="O18" s="542">
        <v>1.3573106527251682</v>
      </c>
      <c r="P18" s="542">
        <v>32.575455665404036</v>
      </c>
      <c r="Q18" s="533">
        <v>1423.8188747086704</v>
      </c>
    </row>
    <row r="19" spans="1:17">
      <c r="A19" s="539" t="s">
        <v>152</v>
      </c>
      <c r="B19" s="536">
        <v>1157.7859867745472</v>
      </c>
      <c r="C19" s="543">
        <v>35.290076970854372</v>
      </c>
      <c r="D19" s="543">
        <v>69.222843288983597</v>
      </c>
      <c r="E19" s="543">
        <v>13.573106527251682</v>
      </c>
      <c r="F19" s="543">
        <v>24.431591749053027</v>
      </c>
      <c r="G19" s="543">
        <v>16.287727832702018</v>
      </c>
      <c r="H19" s="543">
        <v>0</v>
      </c>
      <c r="I19" s="536">
        <v>158.80534636884468</v>
      </c>
      <c r="J19" s="543">
        <v>4.0719319581755045</v>
      </c>
      <c r="K19" s="543">
        <v>19.002349138152354</v>
      </c>
      <c r="L19" s="543">
        <v>0</v>
      </c>
      <c r="M19" s="543">
        <v>1.3573106527251682</v>
      </c>
      <c r="N19" s="543">
        <v>2.7146213054503363</v>
      </c>
      <c r="O19" s="543">
        <v>1.3573106527251682</v>
      </c>
      <c r="P19" s="543">
        <v>28.503523707228531</v>
      </c>
      <c r="Q19" s="536">
        <v>970.47711669848081</v>
      </c>
    </row>
    <row r="20" spans="1:17">
      <c r="A20" s="539" t="s">
        <v>153</v>
      </c>
      <c r="B20" s="536">
        <v>590.43013393544766</v>
      </c>
      <c r="C20" s="543">
        <v>8.1438639163510089</v>
      </c>
      <c r="D20" s="543">
        <v>88.225192427136051</v>
      </c>
      <c r="E20" s="543">
        <v>4.0719319581755045</v>
      </c>
      <c r="F20" s="543">
        <v>5.4292426109006726</v>
      </c>
      <c r="G20" s="543">
        <v>27.146213054503363</v>
      </c>
      <c r="H20" s="543">
        <v>0</v>
      </c>
      <c r="I20" s="536">
        <v>133.01644396706661</v>
      </c>
      <c r="J20" s="543">
        <v>0</v>
      </c>
      <c r="K20" s="543">
        <v>2.7146213054503363</v>
      </c>
      <c r="L20" s="543">
        <v>0</v>
      </c>
      <c r="M20" s="543">
        <v>0</v>
      </c>
      <c r="N20" s="543">
        <v>1.3573106527251682</v>
      </c>
      <c r="O20" s="543">
        <v>0</v>
      </c>
      <c r="P20" s="543">
        <v>4.0719319581755045</v>
      </c>
      <c r="Q20" s="536">
        <v>453.3417580102082</v>
      </c>
    </row>
    <row r="21" spans="1:17">
      <c r="A21" s="538" t="s">
        <v>154</v>
      </c>
      <c r="B21" s="533">
        <v>758.73665487336234</v>
      </c>
      <c r="C21" s="542">
        <v>0</v>
      </c>
      <c r="D21" s="542">
        <v>2.7146213054503363</v>
      </c>
      <c r="E21" s="542">
        <v>1.3573106527251682</v>
      </c>
      <c r="F21" s="542">
        <v>0</v>
      </c>
      <c r="G21" s="542">
        <v>0</v>
      </c>
      <c r="H21" s="542">
        <v>0</v>
      </c>
      <c r="I21" s="533">
        <v>4.0719319581755045</v>
      </c>
      <c r="J21" s="542">
        <v>17.645038485427186</v>
      </c>
      <c r="K21" s="542">
        <v>13.573106527251682</v>
      </c>
      <c r="L21" s="542">
        <v>0</v>
      </c>
      <c r="M21" s="542">
        <v>0</v>
      </c>
      <c r="N21" s="542">
        <v>0</v>
      </c>
      <c r="O21" s="542">
        <v>1.3573106527251682</v>
      </c>
      <c r="P21" s="542">
        <v>32.575455665404036</v>
      </c>
      <c r="Q21" s="533">
        <v>722.08926724978414</v>
      </c>
    </row>
    <row r="22" spans="1:17">
      <c r="A22" s="539" t="s">
        <v>154</v>
      </c>
      <c r="B22" s="536">
        <v>499.49032020286415</v>
      </c>
      <c r="C22" s="543">
        <v>0</v>
      </c>
      <c r="D22" s="543">
        <v>1.3573106527251682</v>
      </c>
      <c r="E22" s="543">
        <v>1.3573106527251682</v>
      </c>
      <c r="F22" s="543">
        <v>0</v>
      </c>
      <c r="G22" s="543">
        <v>0</v>
      </c>
      <c r="H22" s="543">
        <v>0</v>
      </c>
      <c r="I22" s="536">
        <v>2.7146213054503363</v>
      </c>
      <c r="J22" s="543">
        <v>0</v>
      </c>
      <c r="K22" s="543">
        <v>13.573106527251682</v>
      </c>
      <c r="L22" s="543">
        <v>0</v>
      </c>
      <c r="M22" s="543">
        <v>0</v>
      </c>
      <c r="N22" s="543">
        <v>0</v>
      </c>
      <c r="O22" s="543">
        <v>1.3573106527251682</v>
      </c>
      <c r="P22" s="543">
        <v>14.93041717997685</v>
      </c>
      <c r="Q22" s="536">
        <v>481.84528171743688</v>
      </c>
    </row>
    <row r="23" spans="1:17">
      <c r="A23" s="539" t="s">
        <v>155</v>
      </c>
      <c r="B23" s="536">
        <v>259.24633467050813</v>
      </c>
      <c r="C23" s="543">
        <v>0</v>
      </c>
      <c r="D23" s="543">
        <v>1.3573106527251682</v>
      </c>
      <c r="E23" s="543">
        <v>0</v>
      </c>
      <c r="F23" s="543">
        <v>0</v>
      </c>
      <c r="G23" s="543">
        <v>0</v>
      </c>
      <c r="H23" s="543">
        <v>0</v>
      </c>
      <c r="I23" s="536">
        <v>1.3573106527251682</v>
      </c>
      <c r="J23" s="543">
        <v>17.645038485427186</v>
      </c>
      <c r="K23" s="543">
        <v>0</v>
      </c>
      <c r="L23" s="543">
        <v>0</v>
      </c>
      <c r="M23" s="543">
        <v>0</v>
      </c>
      <c r="N23" s="543">
        <v>0</v>
      </c>
      <c r="O23" s="543">
        <v>0</v>
      </c>
      <c r="P23" s="543">
        <v>17.645038485427186</v>
      </c>
      <c r="Q23" s="536">
        <v>240.24398553235568</v>
      </c>
    </row>
    <row r="24" spans="1:17">
      <c r="A24" s="538" t="s">
        <v>156</v>
      </c>
      <c r="B24" s="533">
        <v>4139.7974908116475</v>
      </c>
      <c r="C24" s="542">
        <v>268.74750923958436</v>
      </c>
      <c r="D24" s="542">
        <v>339.32766318129347</v>
      </c>
      <c r="E24" s="542">
        <v>233.4574322687298</v>
      </c>
      <c r="F24" s="542">
        <v>255.17440271233261</v>
      </c>
      <c r="G24" s="542">
        <v>293.17910098863752</v>
      </c>
      <c r="H24" s="542">
        <v>5.4292426109006726</v>
      </c>
      <c r="I24" s="533">
        <v>1395.3153510014783</v>
      </c>
      <c r="J24" s="542">
        <v>90.939813732586401</v>
      </c>
      <c r="K24" s="542">
        <v>14.93041717997685</v>
      </c>
      <c r="L24" s="542">
        <v>2.7146213054503363</v>
      </c>
      <c r="M24" s="542">
        <v>9.5011745690761771</v>
      </c>
      <c r="N24" s="542">
        <v>93.654435038036752</v>
      </c>
      <c r="O24" s="542">
        <v>77.366707205334649</v>
      </c>
      <c r="P24" s="542">
        <v>289.10716903046114</v>
      </c>
      <c r="Q24" s="533">
        <v>2455.3749707797606</v>
      </c>
    </row>
    <row r="25" spans="1:17">
      <c r="A25" s="539" t="s">
        <v>156</v>
      </c>
      <c r="B25" s="536">
        <v>1980.3162423259689</v>
      </c>
      <c r="C25" s="543">
        <v>71.937464594433948</v>
      </c>
      <c r="D25" s="543">
        <v>81.438639163510175</v>
      </c>
      <c r="E25" s="543">
        <v>81.438639163510175</v>
      </c>
      <c r="F25" s="543">
        <v>70.580153941708772</v>
      </c>
      <c r="G25" s="543">
        <v>55.649736761731894</v>
      </c>
      <c r="H25" s="543">
        <v>0</v>
      </c>
      <c r="I25" s="536">
        <v>361.04463362489497</v>
      </c>
      <c r="J25" s="543">
        <v>88.225192427136051</v>
      </c>
      <c r="K25" s="543">
        <v>5.4292426109006726</v>
      </c>
      <c r="L25" s="543">
        <v>2.7146213054503363</v>
      </c>
      <c r="M25" s="543">
        <v>1.3573106527251682</v>
      </c>
      <c r="N25" s="543">
        <v>9.5011745690761771</v>
      </c>
      <c r="O25" s="543">
        <v>5.4292426109006726</v>
      </c>
      <c r="P25" s="543">
        <v>112.65678417618906</v>
      </c>
      <c r="Q25" s="536">
        <v>1506.6148245249026</v>
      </c>
    </row>
    <row r="26" spans="1:17">
      <c r="A26" s="539" t="s">
        <v>157</v>
      </c>
      <c r="B26" s="536">
        <v>2159.4812484856848</v>
      </c>
      <c r="C26" s="543">
        <v>196.81004464515007</v>
      </c>
      <c r="D26" s="543">
        <v>257.88902401778296</v>
      </c>
      <c r="E26" s="543">
        <v>152.01879310521929</v>
      </c>
      <c r="F26" s="543">
        <v>184.59424877062349</v>
      </c>
      <c r="G26" s="543">
        <v>237.52936422690533</v>
      </c>
      <c r="H26" s="543">
        <v>5.4292426109006726</v>
      </c>
      <c r="I26" s="536">
        <v>1034.2707173765818</v>
      </c>
      <c r="J26" s="543">
        <v>2.7146213054503363</v>
      </c>
      <c r="K26" s="543">
        <v>9.5011745690761771</v>
      </c>
      <c r="L26" s="543">
        <v>0</v>
      </c>
      <c r="M26" s="543">
        <v>8.1438639163510089</v>
      </c>
      <c r="N26" s="543">
        <v>84.153260468960525</v>
      </c>
      <c r="O26" s="543">
        <v>71.937464594433948</v>
      </c>
      <c r="P26" s="543">
        <v>176.45038485427199</v>
      </c>
      <c r="Q26" s="536">
        <v>948.76014625487892</v>
      </c>
    </row>
    <row r="27" spans="1:17">
      <c r="A27" s="538" t="s">
        <v>158</v>
      </c>
      <c r="B27" s="533">
        <v>6323.7103310470948</v>
      </c>
      <c r="C27" s="542">
        <v>71.937464594433948</v>
      </c>
      <c r="D27" s="542">
        <v>85.5105711216857</v>
      </c>
      <c r="E27" s="542">
        <v>62.436290025357735</v>
      </c>
      <c r="F27" s="542">
        <v>73.294775247159123</v>
      </c>
      <c r="G27" s="542">
        <v>55.649736761731894</v>
      </c>
      <c r="H27" s="542">
        <v>1.3573106527251682</v>
      </c>
      <c r="I27" s="533">
        <v>350.18614840309357</v>
      </c>
      <c r="J27" s="542">
        <v>9.5011745690761771</v>
      </c>
      <c r="K27" s="542">
        <v>5.4292426109006726</v>
      </c>
      <c r="L27" s="542">
        <v>1.3573106527251682</v>
      </c>
      <c r="M27" s="542">
        <v>0</v>
      </c>
      <c r="N27" s="542">
        <v>9.5011745690761771</v>
      </c>
      <c r="O27" s="542">
        <v>23.074281096327859</v>
      </c>
      <c r="P27" s="542">
        <v>48.863183498106054</v>
      </c>
      <c r="Q27" s="533">
        <v>5924.6609991457763</v>
      </c>
    </row>
    <row r="28" spans="1:17">
      <c r="A28" s="539" t="s">
        <v>158</v>
      </c>
      <c r="B28" s="536">
        <v>5377.6648060973703</v>
      </c>
      <c r="C28" s="543">
        <v>69.222843288983597</v>
      </c>
      <c r="D28" s="543">
        <v>84.153260468960525</v>
      </c>
      <c r="E28" s="543">
        <v>62.436290025357735</v>
      </c>
      <c r="F28" s="543">
        <v>73.294775247159123</v>
      </c>
      <c r="G28" s="543">
        <v>54.292426109006726</v>
      </c>
      <c r="H28" s="543">
        <v>1.3573106527251682</v>
      </c>
      <c r="I28" s="536">
        <v>344.75690579219287</v>
      </c>
      <c r="J28" s="543">
        <v>5.4292426109006726</v>
      </c>
      <c r="K28" s="543">
        <v>4.0719319581755045</v>
      </c>
      <c r="L28" s="543">
        <v>1.3573106527251682</v>
      </c>
      <c r="M28" s="543">
        <v>0</v>
      </c>
      <c r="N28" s="543">
        <v>8.1438639163510089</v>
      </c>
      <c r="O28" s="543">
        <v>23.074281096327859</v>
      </c>
      <c r="P28" s="543">
        <v>42.076630234480213</v>
      </c>
      <c r="Q28" s="536">
        <v>4990.8312700705819</v>
      </c>
    </row>
    <row r="29" spans="1:17">
      <c r="A29" s="539" t="s">
        <v>159</v>
      </c>
      <c r="B29" s="536">
        <v>946.04552494942868</v>
      </c>
      <c r="C29" s="543">
        <v>2.7146213054503363</v>
      </c>
      <c r="D29" s="543">
        <v>1.3573106527251682</v>
      </c>
      <c r="E29" s="543">
        <v>0</v>
      </c>
      <c r="F29" s="543">
        <v>0</v>
      </c>
      <c r="G29" s="543">
        <v>1.3573106527251682</v>
      </c>
      <c r="H29" s="543">
        <v>0</v>
      </c>
      <c r="I29" s="536">
        <v>5.4292426109006726</v>
      </c>
      <c r="J29" s="543">
        <v>4.0719319581755045</v>
      </c>
      <c r="K29" s="543">
        <v>1.3573106527251682</v>
      </c>
      <c r="L29" s="543">
        <v>0</v>
      </c>
      <c r="M29" s="543">
        <v>0</v>
      </c>
      <c r="N29" s="543">
        <v>1.3573106527251682</v>
      </c>
      <c r="O29" s="543">
        <v>0</v>
      </c>
      <c r="P29" s="543">
        <v>6.7865532636258408</v>
      </c>
      <c r="Q29" s="536">
        <v>933.82972907490262</v>
      </c>
    </row>
    <row r="30" spans="1:17">
      <c r="A30" s="538" t="s">
        <v>160</v>
      </c>
      <c r="B30" s="533">
        <v>1749.5734313626988</v>
      </c>
      <c r="C30" s="542">
        <v>13.573106527251682</v>
      </c>
      <c r="D30" s="542">
        <v>17.645038485427186</v>
      </c>
      <c r="E30" s="542">
        <v>17.645038485427186</v>
      </c>
      <c r="F30" s="542">
        <v>23.074281096327859</v>
      </c>
      <c r="G30" s="542">
        <v>21.71697044360269</v>
      </c>
      <c r="H30" s="542">
        <v>0</v>
      </c>
      <c r="I30" s="533">
        <v>93.65443503803661</v>
      </c>
      <c r="J30" s="542">
        <v>1.3573106527251682</v>
      </c>
      <c r="K30" s="542">
        <v>1.3573106527251682</v>
      </c>
      <c r="L30" s="542">
        <v>0</v>
      </c>
      <c r="M30" s="542">
        <v>4.0719319581755045</v>
      </c>
      <c r="N30" s="542">
        <v>0</v>
      </c>
      <c r="O30" s="542">
        <v>4.0719319581755045</v>
      </c>
      <c r="P30" s="542">
        <v>10.858485221801345</v>
      </c>
      <c r="Q30" s="533">
        <v>1645.0605111028647</v>
      </c>
    </row>
    <row r="31" spans="1:17">
      <c r="A31" s="539" t="s">
        <v>160</v>
      </c>
      <c r="B31" s="536">
        <v>1749.5734313626988</v>
      </c>
      <c r="C31" s="543">
        <v>13.573106527251682</v>
      </c>
      <c r="D31" s="543">
        <v>17.645038485427186</v>
      </c>
      <c r="E31" s="543">
        <v>17.645038485427186</v>
      </c>
      <c r="F31" s="543">
        <v>23.074281096327859</v>
      </c>
      <c r="G31" s="543">
        <v>21.71697044360269</v>
      </c>
      <c r="H31" s="543">
        <v>0</v>
      </c>
      <c r="I31" s="536">
        <v>93.65443503803661</v>
      </c>
      <c r="J31" s="543">
        <v>1.3573106527251682</v>
      </c>
      <c r="K31" s="543">
        <v>1.3573106527251682</v>
      </c>
      <c r="L31" s="543">
        <v>0</v>
      </c>
      <c r="M31" s="543">
        <v>4.0719319581755045</v>
      </c>
      <c r="N31" s="543">
        <v>0</v>
      </c>
      <c r="O31" s="543">
        <v>4.0719319581755045</v>
      </c>
      <c r="P31" s="543">
        <v>10.858485221801345</v>
      </c>
      <c r="Q31" s="536">
        <v>1645.0605111028647</v>
      </c>
    </row>
    <row r="32" spans="1:17">
      <c r="A32" s="538" t="s">
        <v>161</v>
      </c>
      <c r="B32" s="533">
        <v>7605.0115872200358</v>
      </c>
      <c r="C32" s="542">
        <v>388.19084667939978</v>
      </c>
      <c r="D32" s="542">
        <v>238.8866748796305</v>
      </c>
      <c r="E32" s="542">
        <v>141.16030788341789</v>
      </c>
      <c r="F32" s="542">
        <v>141.16030788341789</v>
      </c>
      <c r="G32" s="542">
        <v>153.37610375794446</v>
      </c>
      <c r="H32" s="542">
        <v>8.1438639163510089</v>
      </c>
      <c r="I32" s="533">
        <v>1070.9181050001614</v>
      </c>
      <c r="J32" s="542">
        <v>8.1438639163510089</v>
      </c>
      <c r="K32" s="542">
        <v>50.220494150831222</v>
      </c>
      <c r="L32" s="542">
        <v>1.3573106527251682</v>
      </c>
      <c r="M32" s="542">
        <v>1.3573106527251682</v>
      </c>
      <c r="N32" s="542">
        <v>8.1438639163510089</v>
      </c>
      <c r="O32" s="542">
        <v>24.431591749053027</v>
      </c>
      <c r="P32" s="542">
        <v>93.654435038036596</v>
      </c>
      <c r="Q32" s="533">
        <v>6440.4390471814941</v>
      </c>
    </row>
    <row r="33" spans="1:17">
      <c r="A33" s="539" t="s">
        <v>161</v>
      </c>
      <c r="B33" s="536">
        <v>6319.638399088918</v>
      </c>
      <c r="C33" s="543">
        <v>380.04698276304873</v>
      </c>
      <c r="D33" s="543">
        <v>232.10012161600463</v>
      </c>
      <c r="E33" s="543">
        <v>131.65913331434166</v>
      </c>
      <c r="F33" s="543">
        <v>134.37375461979201</v>
      </c>
      <c r="G33" s="543">
        <v>142.51761853614306</v>
      </c>
      <c r="H33" s="543">
        <v>8.1438639163510089</v>
      </c>
      <c r="I33" s="536">
        <v>1028.8414747656811</v>
      </c>
      <c r="J33" s="543">
        <v>8.1438639163510089</v>
      </c>
      <c r="K33" s="543">
        <v>48.863183498106054</v>
      </c>
      <c r="L33" s="543">
        <v>1.3573106527251682</v>
      </c>
      <c r="M33" s="543">
        <v>1.3573106527251682</v>
      </c>
      <c r="N33" s="543">
        <v>8.1438639163510089</v>
      </c>
      <c r="O33" s="543">
        <v>16.287727832702018</v>
      </c>
      <c r="P33" s="543">
        <v>84.153260468960426</v>
      </c>
      <c r="Q33" s="536">
        <v>5206.6436638539481</v>
      </c>
    </row>
    <row r="34" spans="1:17">
      <c r="A34" s="539" t="s">
        <v>162</v>
      </c>
      <c r="B34" s="536">
        <v>1285.3731881307083</v>
      </c>
      <c r="C34" s="543">
        <v>8.1438639163510089</v>
      </c>
      <c r="D34" s="543">
        <v>6.7865532636258408</v>
      </c>
      <c r="E34" s="543">
        <v>9.5011745690761771</v>
      </c>
      <c r="F34" s="543">
        <v>6.7865532636258408</v>
      </c>
      <c r="G34" s="543">
        <v>10.858485221801345</v>
      </c>
      <c r="H34" s="543">
        <v>0</v>
      </c>
      <c r="I34" s="536">
        <v>42.076630234480213</v>
      </c>
      <c r="J34" s="543">
        <v>0</v>
      </c>
      <c r="K34" s="543">
        <v>1.3573106527251682</v>
      </c>
      <c r="L34" s="543">
        <v>0</v>
      </c>
      <c r="M34" s="543">
        <v>0</v>
      </c>
      <c r="N34" s="543">
        <v>0</v>
      </c>
      <c r="O34" s="543">
        <v>8.1438639163510089</v>
      </c>
      <c r="P34" s="543">
        <v>9.5011745690761771</v>
      </c>
      <c r="Q34" s="536">
        <v>1233.7953833271538</v>
      </c>
    </row>
    <row r="35" spans="1:17">
      <c r="A35" s="538" t="s">
        <v>163</v>
      </c>
      <c r="B35" s="533">
        <v>5773.9995166932376</v>
      </c>
      <c r="C35" s="542">
        <v>175.09307420154727</v>
      </c>
      <c r="D35" s="542">
        <v>198.16735529787525</v>
      </c>
      <c r="E35" s="542">
        <v>242.95860683780603</v>
      </c>
      <c r="F35" s="542">
        <v>143.87492918886824</v>
      </c>
      <c r="G35" s="542">
        <v>169.66383159064657</v>
      </c>
      <c r="H35" s="542">
        <v>8.1438639163510089</v>
      </c>
      <c r="I35" s="533">
        <v>937.90166103309446</v>
      </c>
      <c r="J35" s="542">
        <v>6.7865532636258408</v>
      </c>
      <c r="K35" s="542">
        <v>25.788902401778195</v>
      </c>
      <c r="L35" s="542">
        <v>76.009396552609473</v>
      </c>
      <c r="M35" s="542">
        <v>2.7146213054503363</v>
      </c>
      <c r="N35" s="542">
        <v>331.18379926494242</v>
      </c>
      <c r="O35" s="542">
        <v>27.146213054503363</v>
      </c>
      <c r="P35" s="542">
        <v>469.62948584290962</v>
      </c>
      <c r="Q35" s="533">
        <v>4366.4683698168183</v>
      </c>
    </row>
    <row r="36" spans="1:17">
      <c r="A36" s="539" t="s">
        <v>163</v>
      </c>
      <c r="B36" s="536">
        <v>4228.0226832388098</v>
      </c>
      <c r="C36" s="543">
        <v>149.30417179976894</v>
      </c>
      <c r="D36" s="543">
        <v>168.30652093792139</v>
      </c>
      <c r="E36" s="543">
        <v>204.95390856150112</v>
      </c>
      <c r="F36" s="543">
        <v>131.65913331434166</v>
      </c>
      <c r="G36" s="543">
        <v>135.73106527251718</v>
      </c>
      <c r="H36" s="543">
        <v>6.7865532636258408</v>
      </c>
      <c r="I36" s="536">
        <v>796.74135314967623</v>
      </c>
      <c r="J36" s="543">
        <v>4.0719319581755045</v>
      </c>
      <c r="K36" s="543">
        <v>19.002349138152354</v>
      </c>
      <c r="L36" s="543">
        <v>2.7146213054503363</v>
      </c>
      <c r="M36" s="543">
        <v>0</v>
      </c>
      <c r="N36" s="543">
        <v>8.1438639163510089</v>
      </c>
      <c r="O36" s="543">
        <v>14.93041717997685</v>
      </c>
      <c r="P36" s="543">
        <v>48.863183498106054</v>
      </c>
      <c r="Q36" s="536">
        <v>3382.4181465910165</v>
      </c>
    </row>
    <row r="37" spans="1:17">
      <c r="A37" s="544" t="s">
        <v>164</v>
      </c>
      <c r="B37" s="545">
        <v>1545.976833453931</v>
      </c>
      <c r="C37" s="546">
        <v>25.788902401778195</v>
      </c>
      <c r="D37" s="546">
        <v>29.860834359953699</v>
      </c>
      <c r="E37" s="546">
        <v>38.004698276304708</v>
      </c>
      <c r="F37" s="546">
        <v>12.215795874526513</v>
      </c>
      <c r="G37" s="546">
        <v>33.932766318129204</v>
      </c>
      <c r="H37" s="546">
        <v>1.3573106527251682</v>
      </c>
      <c r="I37" s="545">
        <v>141.16030788341752</v>
      </c>
      <c r="J37" s="546">
        <v>2.7146213054503363</v>
      </c>
      <c r="K37" s="546">
        <v>6.7865532636258408</v>
      </c>
      <c r="L37" s="546">
        <v>73.294775247159123</v>
      </c>
      <c r="M37" s="546">
        <v>2.7146213054503363</v>
      </c>
      <c r="N37" s="546">
        <v>323.03993534859137</v>
      </c>
      <c r="O37" s="546">
        <v>12.215795874526513</v>
      </c>
      <c r="P37" s="546">
        <v>420.76630234480353</v>
      </c>
      <c r="Q37" s="545">
        <v>984.050223225732</v>
      </c>
    </row>
  </sheetData>
  <mergeCells count="5">
    <mergeCell ref="A1:Q1"/>
    <mergeCell ref="A2:A3"/>
    <mergeCell ref="B2:B3"/>
    <mergeCell ref="C2:O2"/>
    <mergeCell ref="Q2:Q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37"/>
  <sheetViews>
    <sheetView workbookViewId="0">
      <selection activeCell="B2" sqref="B2:B3"/>
    </sheetView>
  </sheetViews>
  <sheetFormatPr defaultRowHeight="15"/>
  <cols>
    <col min="1" max="1" width="16.85546875" style="26" customWidth="1"/>
    <col min="2" max="2" width="11" style="26" customWidth="1"/>
    <col min="3" max="3" width="12.5703125" style="26" customWidth="1"/>
    <col min="4" max="4" width="12.42578125" style="26" customWidth="1"/>
    <col min="5" max="5" width="11.7109375" style="26" customWidth="1"/>
    <col min="6" max="6" width="11.5703125" style="26" customWidth="1"/>
    <col min="7" max="7" width="12.28515625" style="26" customWidth="1"/>
    <col min="8" max="8" width="12.5703125" style="26" customWidth="1"/>
    <col min="9" max="10" width="13.140625" style="26" customWidth="1"/>
    <col min="11" max="11" width="12.85546875" style="26" customWidth="1"/>
    <col min="12" max="16384" width="9.140625" style="26"/>
  </cols>
  <sheetData>
    <row r="1" spans="1:11">
      <c r="A1" s="1102" t="s">
        <v>356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</row>
    <row r="2" spans="1:11">
      <c r="A2" s="1103" t="s">
        <v>314</v>
      </c>
      <c r="B2" s="1104" t="s">
        <v>315</v>
      </c>
      <c r="C2" s="1105" t="s">
        <v>357</v>
      </c>
      <c r="D2" s="1105"/>
      <c r="E2" s="1105"/>
      <c r="F2" s="1105"/>
      <c r="G2" s="1105"/>
      <c r="H2" s="1105"/>
      <c r="I2" s="1105"/>
      <c r="J2" s="1105"/>
      <c r="K2" s="1105"/>
    </row>
    <row r="3" spans="1:11" ht="48">
      <c r="A3" s="1103"/>
      <c r="B3" s="1104"/>
      <c r="C3" s="547" t="s">
        <v>358</v>
      </c>
      <c r="D3" s="547" t="s">
        <v>359</v>
      </c>
      <c r="E3" s="547" t="s">
        <v>360</v>
      </c>
      <c r="F3" s="547" t="s">
        <v>361</v>
      </c>
      <c r="G3" s="547" t="s">
        <v>362</v>
      </c>
      <c r="H3" s="547" t="s">
        <v>363</v>
      </c>
      <c r="I3" s="547" t="s">
        <v>364</v>
      </c>
      <c r="J3" s="547" t="s">
        <v>365</v>
      </c>
      <c r="K3" s="547" t="s">
        <v>366</v>
      </c>
    </row>
    <row r="4" spans="1:11">
      <c r="A4" s="548" t="s">
        <v>147</v>
      </c>
      <c r="B4" s="549">
        <v>128875.28916529956</v>
      </c>
      <c r="C4" s="549">
        <v>15439.408674752043</v>
      </c>
      <c r="D4" s="549">
        <v>16823.865540532126</v>
      </c>
      <c r="E4" s="549">
        <v>1564.9791825920827</v>
      </c>
      <c r="F4" s="549">
        <v>1771.2904018063007</v>
      </c>
      <c r="G4" s="549">
        <v>1837.7986237898315</v>
      </c>
      <c r="H4" s="549">
        <v>1950.4554079660163</v>
      </c>
      <c r="I4" s="549">
        <v>83029.407248433636</v>
      </c>
      <c r="J4" s="549">
        <v>5954.5218335057389</v>
      </c>
      <c r="K4" s="549">
        <v>503.56225216103968</v>
      </c>
    </row>
    <row r="5" spans="1:11">
      <c r="A5" s="550"/>
      <c r="B5" s="551"/>
      <c r="C5" s="551"/>
      <c r="D5" s="551"/>
      <c r="E5" s="551"/>
      <c r="F5" s="551"/>
      <c r="G5" s="551"/>
      <c r="H5" s="551"/>
      <c r="I5" s="551"/>
      <c r="J5" s="551"/>
      <c r="K5" s="551"/>
    </row>
    <row r="6" spans="1:11">
      <c r="A6" s="534" t="s">
        <v>3</v>
      </c>
      <c r="B6" s="552"/>
      <c r="C6" s="552"/>
      <c r="D6" s="552"/>
      <c r="E6" s="552"/>
      <c r="F6" s="552"/>
      <c r="G6" s="552"/>
      <c r="H6" s="552"/>
      <c r="I6" s="552"/>
      <c r="J6" s="552"/>
      <c r="K6" s="552"/>
    </row>
    <row r="7" spans="1:11">
      <c r="A7" s="553" t="s">
        <v>4</v>
      </c>
      <c r="B7" s="551">
        <v>84854.990076339745</v>
      </c>
      <c r="C7" s="551">
        <v>13347.792958901935</v>
      </c>
      <c r="D7" s="551">
        <v>15471.984130417457</v>
      </c>
      <c r="E7" s="551">
        <v>803.52790641329125</v>
      </c>
      <c r="F7" s="551">
        <v>1030.198785418386</v>
      </c>
      <c r="G7" s="551">
        <v>1091.2777647910164</v>
      </c>
      <c r="H7" s="551">
        <v>935.18703972762773</v>
      </c>
      <c r="I7" s="551">
        <v>48265.966810920028</v>
      </c>
      <c r="J7" s="551">
        <v>3567.0123953616326</v>
      </c>
      <c r="K7" s="551">
        <v>342.04228448674382</v>
      </c>
    </row>
    <row r="8" spans="1:11">
      <c r="A8" s="553" t="s">
        <v>5</v>
      </c>
      <c r="B8" s="551">
        <v>44020.299089194436</v>
      </c>
      <c r="C8" s="551">
        <v>2091.6157158494289</v>
      </c>
      <c r="D8" s="551">
        <v>1351.8814101142391</v>
      </c>
      <c r="E8" s="551">
        <v>761.45127617881258</v>
      </c>
      <c r="F8" s="551">
        <v>741.0916163879358</v>
      </c>
      <c r="G8" s="551">
        <v>746.52085899883627</v>
      </c>
      <c r="H8" s="551">
        <v>1015.2683682384097</v>
      </c>
      <c r="I8" s="551">
        <v>34763.440437606027</v>
      </c>
      <c r="J8" s="551">
        <v>2387.5094381435047</v>
      </c>
      <c r="K8" s="551">
        <v>161.51996767429551</v>
      </c>
    </row>
    <row r="9" spans="1:11">
      <c r="A9" s="537" t="s">
        <v>327</v>
      </c>
      <c r="B9" s="554"/>
      <c r="C9" s="554"/>
      <c r="D9" s="554"/>
      <c r="E9" s="554"/>
      <c r="F9" s="554"/>
      <c r="G9" s="554"/>
      <c r="H9" s="554"/>
      <c r="I9" s="554"/>
      <c r="J9" s="554"/>
      <c r="K9" s="554"/>
    </row>
    <row r="10" spans="1:11">
      <c r="A10" s="555" t="s">
        <v>148</v>
      </c>
      <c r="B10" s="556">
        <v>82847.527620969384</v>
      </c>
      <c r="C10" s="556">
        <v>13624.684332057952</v>
      </c>
      <c r="D10" s="556">
        <v>14645.381942907583</v>
      </c>
      <c r="E10" s="556">
        <v>859.1776431750211</v>
      </c>
      <c r="F10" s="556">
        <v>1026.1268534602107</v>
      </c>
      <c r="G10" s="556">
        <v>1098.0643180546419</v>
      </c>
      <c r="H10" s="556">
        <v>986.76484453118223</v>
      </c>
      <c r="I10" s="556">
        <v>46813.644412503665</v>
      </c>
      <c r="J10" s="556">
        <v>3452.9983005327226</v>
      </c>
      <c r="K10" s="557">
        <v>340.68497383401865</v>
      </c>
    </row>
    <row r="11" spans="1:11">
      <c r="A11" s="558" t="s">
        <v>148</v>
      </c>
      <c r="B11" s="551">
        <v>82847.527620969384</v>
      </c>
      <c r="C11" s="551">
        <v>13624.684332057952</v>
      </c>
      <c r="D11" s="551">
        <v>14645.381942907583</v>
      </c>
      <c r="E11" s="551">
        <v>859.1776431750211</v>
      </c>
      <c r="F11" s="551">
        <v>1026.1268534602107</v>
      </c>
      <c r="G11" s="551">
        <v>1098.0643180546419</v>
      </c>
      <c r="H11" s="551">
        <v>986.76484453118223</v>
      </c>
      <c r="I11" s="551">
        <v>46813.644412503665</v>
      </c>
      <c r="J11" s="551">
        <v>3452.9983005327226</v>
      </c>
      <c r="K11" s="559">
        <v>340.68497383401865</v>
      </c>
    </row>
    <row r="12" spans="1:11">
      <c r="A12" s="555" t="s">
        <v>149</v>
      </c>
      <c r="B12" s="556">
        <v>8033.921753481317</v>
      </c>
      <c r="C12" s="556">
        <v>419.40899169207881</v>
      </c>
      <c r="D12" s="556">
        <v>247.03053879598156</v>
      </c>
      <c r="E12" s="556">
        <v>130.30182266161648</v>
      </c>
      <c r="F12" s="556">
        <v>119.44333743981508</v>
      </c>
      <c r="G12" s="556">
        <v>158.80534636884516</v>
      </c>
      <c r="H12" s="556">
        <v>283.67792641956129</v>
      </c>
      <c r="I12" s="556">
        <v>5729.2082651532937</v>
      </c>
      <c r="J12" s="556">
        <v>910.7554479785756</v>
      </c>
      <c r="K12" s="557">
        <v>35.290076970854372</v>
      </c>
    </row>
    <row r="13" spans="1:11">
      <c r="A13" s="558" t="s">
        <v>149</v>
      </c>
      <c r="B13" s="551">
        <v>8033.921753481317</v>
      </c>
      <c r="C13" s="551">
        <v>419.40899169207881</v>
      </c>
      <c r="D13" s="551">
        <v>247.03053879598156</v>
      </c>
      <c r="E13" s="551">
        <v>130.30182266161648</v>
      </c>
      <c r="F13" s="551">
        <v>119.44333743981508</v>
      </c>
      <c r="G13" s="551">
        <v>158.80534636884516</v>
      </c>
      <c r="H13" s="551">
        <v>283.67792641956129</v>
      </c>
      <c r="I13" s="551">
        <v>5729.2082651532937</v>
      </c>
      <c r="J13" s="551">
        <v>910.7554479785756</v>
      </c>
      <c r="K13" s="559">
        <v>35.290076970854372</v>
      </c>
    </row>
    <row r="14" spans="1:11">
      <c r="A14" s="555" t="s">
        <v>150</v>
      </c>
      <c r="B14" s="556">
        <v>2804.203808530116</v>
      </c>
      <c r="C14" s="556">
        <v>135.73106527251718</v>
      </c>
      <c r="D14" s="556">
        <v>200.8819766033256</v>
      </c>
      <c r="E14" s="556">
        <v>100.44098830166263</v>
      </c>
      <c r="F14" s="556">
        <v>90.939813732586401</v>
      </c>
      <c r="G14" s="556">
        <v>81.438639163510175</v>
      </c>
      <c r="H14" s="556">
        <v>85.5105711216857</v>
      </c>
      <c r="I14" s="556">
        <v>1926.0238162169642</v>
      </c>
      <c r="J14" s="556">
        <v>179.16500615972279</v>
      </c>
      <c r="K14" s="557">
        <v>4.0719319581755045</v>
      </c>
    </row>
    <row r="15" spans="1:11">
      <c r="A15" s="558" t="s">
        <v>150</v>
      </c>
      <c r="B15" s="551">
        <v>2804.203808530116</v>
      </c>
      <c r="C15" s="551">
        <v>135.73106527251718</v>
      </c>
      <c r="D15" s="551">
        <v>200.8819766033256</v>
      </c>
      <c r="E15" s="551">
        <v>100.44098830166263</v>
      </c>
      <c r="F15" s="551">
        <v>90.939813732586401</v>
      </c>
      <c r="G15" s="551">
        <v>81.438639163510175</v>
      </c>
      <c r="H15" s="551">
        <v>85.5105711216857</v>
      </c>
      <c r="I15" s="551">
        <v>1926.0238162169642</v>
      </c>
      <c r="J15" s="551">
        <v>179.16500615972279</v>
      </c>
      <c r="K15" s="559">
        <v>4.0719319581755045</v>
      </c>
    </row>
    <row r="16" spans="1:11">
      <c r="A16" s="555" t="s">
        <v>151</v>
      </c>
      <c r="B16" s="556">
        <v>7090.5908498370436</v>
      </c>
      <c r="C16" s="556">
        <v>441.12596213568162</v>
      </c>
      <c r="D16" s="556">
        <v>955.54669951850451</v>
      </c>
      <c r="E16" s="556">
        <v>66.508221983533247</v>
      </c>
      <c r="F16" s="556">
        <v>85.5105711216857</v>
      </c>
      <c r="G16" s="556">
        <v>67.865532636258422</v>
      </c>
      <c r="H16" s="556">
        <v>70.580153941708772</v>
      </c>
      <c r="I16" s="556">
        <v>5201.2144212430458</v>
      </c>
      <c r="J16" s="556">
        <v>188.66618072879902</v>
      </c>
      <c r="K16" s="557">
        <v>13.573106527251682</v>
      </c>
    </row>
    <row r="17" spans="1:11">
      <c r="A17" s="558" t="s">
        <v>151</v>
      </c>
      <c r="B17" s="551">
        <v>7090.5908498370436</v>
      </c>
      <c r="C17" s="551">
        <v>441.12596213568162</v>
      </c>
      <c r="D17" s="551">
        <v>955.54669951850451</v>
      </c>
      <c r="E17" s="551">
        <v>66.508221983533247</v>
      </c>
      <c r="F17" s="551">
        <v>85.5105711216857</v>
      </c>
      <c r="G17" s="551">
        <v>67.865532636258422</v>
      </c>
      <c r="H17" s="551">
        <v>70.580153941708772</v>
      </c>
      <c r="I17" s="551">
        <v>5201.2144212430458</v>
      </c>
      <c r="J17" s="551">
        <v>188.66618072879902</v>
      </c>
      <c r="K17" s="559">
        <v>13.573106527251682</v>
      </c>
    </row>
    <row r="18" spans="1:11">
      <c r="A18" s="555" t="s">
        <v>152</v>
      </c>
      <c r="B18" s="556">
        <v>1748.2161207099737</v>
      </c>
      <c r="C18" s="556">
        <v>35.290076970854372</v>
      </c>
      <c r="D18" s="556">
        <v>101.7982989543878</v>
      </c>
      <c r="E18" s="556">
        <v>20.359659790877522</v>
      </c>
      <c r="F18" s="556">
        <v>12.215795874526513</v>
      </c>
      <c r="G18" s="556">
        <v>23.074281096327859</v>
      </c>
      <c r="H18" s="556">
        <v>25.788902401778195</v>
      </c>
      <c r="I18" s="556">
        <v>1512.0440671358031</v>
      </c>
      <c r="J18" s="556">
        <v>17.645038485427186</v>
      </c>
      <c r="K18" s="560">
        <v>0</v>
      </c>
    </row>
    <row r="19" spans="1:11">
      <c r="A19" s="558" t="s">
        <v>152</v>
      </c>
      <c r="B19" s="551">
        <v>1157.7859867745472</v>
      </c>
      <c r="C19" s="551">
        <v>27.146213054503363</v>
      </c>
      <c r="D19" s="551">
        <v>86.867881774410876</v>
      </c>
      <c r="E19" s="551">
        <v>13.573106527251682</v>
      </c>
      <c r="F19" s="551">
        <v>8.1438639163510089</v>
      </c>
      <c r="G19" s="551">
        <v>19.002349138152354</v>
      </c>
      <c r="H19" s="551">
        <v>23.074281096327859</v>
      </c>
      <c r="I19" s="551">
        <v>966.40518474030546</v>
      </c>
      <c r="J19" s="551">
        <v>13.573106527251682</v>
      </c>
      <c r="K19" s="561">
        <v>0</v>
      </c>
    </row>
    <row r="20" spans="1:11">
      <c r="A20" s="558" t="s">
        <v>153</v>
      </c>
      <c r="B20" s="551">
        <v>590.43013393544766</v>
      </c>
      <c r="C20" s="551">
        <v>8.1438639163510089</v>
      </c>
      <c r="D20" s="551">
        <v>14.93041717997685</v>
      </c>
      <c r="E20" s="551">
        <v>6.7865532636258408</v>
      </c>
      <c r="F20" s="551">
        <v>4.0719319581755045</v>
      </c>
      <c r="G20" s="551">
        <v>4.0719319581755045</v>
      </c>
      <c r="H20" s="551">
        <v>2.7146213054503363</v>
      </c>
      <c r="I20" s="551">
        <v>545.63888239551875</v>
      </c>
      <c r="J20" s="551">
        <v>4.0719319581755045</v>
      </c>
      <c r="K20" s="561">
        <v>0</v>
      </c>
    </row>
    <row r="21" spans="1:11">
      <c r="A21" s="555" t="s">
        <v>154</v>
      </c>
      <c r="B21" s="557">
        <v>758.73665487336234</v>
      </c>
      <c r="C21" s="557">
        <v>2.7146213054503363</v>
      </c>
      <c r="D21" s="560">
        <v>19.002349138152354</v>
      </c>
      <c r="E21" s="560">
        <v>4.0719319581755045</v>
      </c>
      <c r="F21" s="560">
        <v>0</v>
      </c>
      <c r="G21" s="560">
        <v>1.3573106527251682</v>
      </c>
      <c r="H21" s="560">
        <v>8.1438639163510089</v>
      </c>
      <c r="I21" s="560">
        <v>582.28627001909695</v>
      </c>
      <c r="J21" s="560">
        <v>141.16030788341789</v>
      </c>
      <c r="K21" s="560">
        <v>0</v>
      </c>
    </row>
    <row r="22" spans="1:11">
      <c r="A22" s="558" t="s">
        <v>154</v>
      </c>
      <c r="B22" s="559">
        <v>499.49032020286415</v>
      </c>
      <c r="C22" s="559">
        <v>1.3573106527251682</v>
      </c>
      <c r="D22" s="561">
        <v>0</v>
      </c>
      <c r="E22" s="561">
        <v>4.0719319581755045</v>
      </c>
      <c r="F22" s="561">
        <v>0</v>
      </c>
      <c r="G22" s="561">
        <v>1.3573106527251682</v>
      </c>
      <c r="H22" s="561">
        <v>8.1438639163510089</v>
      </c>
      <c r="I22" s="561">
        <v>343.399595139469</v>
      </c>
      <c r="J22" s="561">
        <v>141.16030788341789</v>
      </c>
      <c r="K22" s="561">
        <v>0</v>
      </c>
    </row>
    <row r="23" spans="1:11">
      <c r="A23" s="558" t="s">
        <v>155</v>
      </c>
      <c r="B23" s="559">
        <v>259.24633467050813</v>
      </c>
      <c r="C23" s="559">
        <v>1.3573106527251682</v>
      </c>
      <c r="D23" s="561">
        <v>19.002349138152354</v>
      </c>
      <c r="E23" s="561">
        <v>0</v>
      </c>
      <c r="F23" s="561">
        <v>0</v>
      </c>
      <c r="G23" s="561">
        <v>0</v>
      </c>
      <c r="H23" s="561">
        <v>0</v>
      </c>
      <c r="I23" s="561">
        <v>238.8866748796305</v>
      </c>
      <c r="J23" s="561">
        <v>0</v>
      </c>
      <c r="K23" s="561">
        <v>0</v>
      </c>
    </row>
    <row r="24" spans="1:11">
      <c r="A24" s="555" t="s">
        <v>156</v>
      </c>
      <c r="B24" s="556">
        <v>4139.7974908116475</v>
      </c>
      <c r="C24" s="556">
        <v>209.02584051967665</v>
      </c>
      <c r="D24" s="556">
        <v>190.0234913815242</v>
      </c>
      <c r="E24" s="556">
        <v>150.66148245249411</v>
      </c>
      <c r="F24" s="556">
        <v>175.09307420154727</v>
      </c>
      <c r="G24" s="556">
        <v>158.80534636884516</v>
      </c>
      <c r="H24" s="556">
        <v>173.73576354882209</v>
      </c>
      <c r="I24" s="556">
        <v>2941.292184455353</v>
      </c>
      <c r="J24" s="556">
        <v>141.16030788341789</v>
      </c>
      <c r="K24" s="560">
        <v>0</v>
      </c>
    </row>
    <row r="25" spans="1:11">
      <c r="A25" s="558" t="s">
        <v>156</v>
      </c>
      <c r="B25" s="551">
        <v>1980.3162423259689</v>
      </c>
      <c r="C25" s="551">
        <v>58.364358067182231</v>
      </c>
      <c r="D25" s="551">
        <v>50.220494150831222</v>
      </c>
      <c r="E25" s="551">
        <v>39.362008929029876</v>
      </c>
      <c r="F25" s="551">
        <v>46.148562192655717</v>
      </c>
      <c r="G25" s="551">
        <v>46.148562192655717</v>
      </c>
      <c r="H25" s="551">
        <v>44.791251539930549</v>
      </c>
      <c r="I25" s="551">
        <v>1662.7055495882912</v>
      </c>
      <c r="J25" s="551">
        <v>32.575455665404036</v>
      </c>
      <c r="K25" s="561">
        <v>0</v>
      </c>
    </row>
    <row r="26" spans="1:11">
      <c r="A26" s="558" t="s">
        <v>157</v>
      </c>
      <c r="B26" s="551">
        <v>2159.4812484856848</v>
      </c>
      <c r="C26" s="551">
        <v>150.66148245249411</v>
      </c>
      <c r="D26" s="551">
        <v>139.80299723069271</v>
      </c>
      <c r="E26" s="551">
        <v>111.29947352346403</v>
      </c>
      <c r="F26" s="551">
        <v>128.94451200889131</v>
      </c>
      <c r="G26" s="551">
        <v>112.65678417618921</v>
      </c>
      <c r="H26" s="551">
        <v>128.94451200889131</v>
      </c>
      <c r="I26" s="551">
        <v>1278.5866348670827</v>
      </c>
      <c r="J26" s="551">
        <v>108.58485221801368</v>
      </c>
      <c r="K26" s="561">
        <v>0</v>
      </c>
    </row>
    <row r="27" spans="1:11">
      <c r="A27" s="555" t="s">
        <v>158</v>
      </c>
      <c r="B27" s="556">
        <v>6323.7103310470948</v>
      </c>
      <c r="C27" s="556">
        <v>74.652085899884298</v>
      </c>
      <c r="D27" s="556">
        <v>63.793600678082903</v>
      </c>
      <c r="E27" s="556">
        <v>43.433940887205381</v>
      </c>
      <c r="F27" s="556">
        <v>57.007047414457062</v>
      </c>
      <c r="G27" s="556">
        <v>48.863183498106054</v>
      </c>
      <c r="H27" s="556">
        <v>35.290076970854372</v>
      </c>
      <c r="I27" s="556">
        <v>5801.1457297477491</v>
      </c>
      <c r="J27" s="556">
        <v>195.4527339924249</v>
      </c>
      <c r="K27" s="560">
        <v>4.0719319581755045</v>
      </c>
    </row>
    <row r="28" spans="1:11">
      <c r="A28" s="558" t="s">
        <v>158</v>
      </c>
      <c r="B28" s="551">
        <v>5377.6648060973703</v>
      </c>
      <c r="C28" s="551">
        <v>71.937464594433948</v>
      </c>
      <c r="D28" s="551">
        <v>59.721668719907399</v>
      </c>
      <c r="E28" s="551">
        <v>43.433940887205381</v>
      </c>
      <c r="F28" s="551">
        <v>57.007047414457062</v>
      </c>
      <c r="G28" s="551">
        <v>48.863183498106054</v>
      </c>
      <c r="H28" s="551">
        <v>35.290076970854372</v>
      </c>
      <c r="I28" s="551">
        <v>4861.8867580616525</v>
      </c>
      <c r="J28" s="551">
        <v>195.4527339924249</v>
      </c>
      <c r="K28" s="561">
        <v>4.0719319581755045</v>
      </c>
    </row>
    <row r="29" spans="1:11">
      <c r="A29" s="558" t="s">
        <v>159</v>
      </c>
      <c r="B29" s="559">
        <v>946.04552494942868</v>
      </c>
      <c r="C29" s="559">
        <v>2.7146213054503363</v>
      </c>
      <c r="D29" s="561">
        <v>4.0719319581755045</v>
      </c>
      <c r="E29" s="561">
        <v>0</v>
      </c>
      <c r="F29" s="561">
        <v>0</v>
      </c>
      <c r="G29" s="561">
        <v>0</v>
      </c>
      <c r="H29" s="561">
        <v>0</v>
      </c>
      <c r="I29" s="561">
        <v>939.25897168580309</v>
      </c>
      <c r="J29" s="561">
        <v>0</v>
      </c>
      <c r="K29" s="561">
        <v>0</v>
      </c>
    </row>
    <row r="30" spans="1:11">
      <c r="A30" s="555" t="s">
        <v>160</v>
      </c>
      <c r="B30" s="556">
        <v>1749.5734313626988</v>
      </c>
      <c r="C30" s="556">
        <v>12.215795874526513</v>
      </c>
      <c r="D30" s="556">
        <v>13.573106527251682</v>
      </c>
      <c r="E30" s="556">
        <v>12.215795874526513</v>
      </c>
      <c r="F30" s="556">
        <v>17.645038485427186</v>
      </c>
      <c r="G30" s="556">
        <v>12.215795874526513</v>
      </c>
      <c r="H30" s="556">
        <v>13.573106527251682</v>
      </c>
      <c r="I30" s="556">
        <v>1657.2763069773907</v>
      </c>
      <c r="J30" s="556">
        <v>10.858485221801345</v>
      </c>
      <c r="K30" s="560">
        <v>0</v>
      </c>
    </row>
    <row r="31" spans="1:11">
      <c r="A31" s="558" t="s">
        <v>160</v>
      </c>
      <c r="B31" s="551">
        <v>1749.5734313626988</v>
      </c>
      <c r="C31" s="551">
        <v>12.215795874526513</v>
      </c>
      <c r="D31" s="551">
        <v>13.573106527251682</v>
      </c>
      <c r="E31" s="551">
        <v>12.215795874526513</v>
      </c>
      <c r="F31" s="551">
        <v>17.645038485427186</v>
      </c>
      <c r="G31" s="551">
        <v>12.215795874526513</v>
      </c>
      <c r="H31" s="551">
        <v>13.573106527251682</v>
      </c>
      <c r="I31" s="551">
        <v>1657.2763069773907</v>
      </c>
      <c r="J31" s="551">
        <v>10.858485221801345</v>
      </c>
      <c r="K31" s="561">
        <v>0</v>
      </c>
    </row>
    <row r="32" spans="1:11">
      <c r="A32" s="555" t="s">
        <v>161</v>
      </c>
      <c r="B32" s="556">
        <v>7605.0115872200358</v>
      </c>
      <c r="C32" s="556">
        <v>302.68027555771374</v>
      </c>
      <c r="D32" s="556">
        <v>142.51761853614306</v>
      </c>
      <c r="E32" s="556">
        <v>88.225192427136051</v>
      </c>
      <c r="F32" s="556">
        <v>81.438639163510175</v>
      </c>
      <c r="G32" s="556">
        <v>88.225192427136051</v>
      </c>
      <c r="H32" s="556">
        <v>134.37375461979201</v>
      </c>
      <c r="I32" s="556">
        <v>6072.6078602928637</v>
      </c>
      <c r="J32" s="556">
        <v>604.00324046269884</v>
      </c>
      <c r="K32" s="560">
        <v>90.939813732586401</v>
      </c>
    </row>
    <row r="33" spans="1:11">
      <c r="A33" s="558" t="s">
        <v>161</v>
      </c>
      <c r="B33" s="551">
        <v>6319.638399088918</v>
      </c>
      <c r="C33" s="551">
        <v>293.17910098863752</v>
      </c>
      <c r="D33" s="551">
        <v>142.51761853614306</v>
      </c>
      <c r="E33" s="551">
        <v>82.79594981623535</v>
      </c>
      <c r="F33" s="551">
        <v>77.366707205334649</v>
      </c>
      <c r="G33" s="551">
        <v>80.081328510784999</v>
      </c>
      <c r="H33" s="551">
        <v>130.30182266161648</v>
      </c>
      <c r="I33" s="551">
        <v>4834.740545007141</v>
      </c>
      <c r="J33" s="551">
        <v>593.14475524089789</v>
      </c>
      <c r="K33" s="561">
        <v>85.5105711216857</v>
      </c>
    </row>
    <row r="34" spans="1:11">
      <c r="A34" s="558" t="s">
        <v>162</v>
      </c>
      <c r="B34" s="559">
        <v>1285.3731881307083</v>
      </c>
      <c r="C34" s="559">
        <v>9.5011745690761771</v>
      </c>
      <c r="D34" s="561">
        <v>0</v>
      </c>
      <c r="E34" s="561">
        <v>5.4292426109006726</v>
      </c>
      <c r="F34" s="561">
        <v>4.0719319581755045</v>
      </c>
      <c r="G34" s="561">
        <v>8.1438639163510089</v>
      </c>
      <c r="H34" s="561">
        <v>4.0719319581755045</v>
      </c>
      <c r="I34" s="561">
        <v>1237.8673152853291</v>
      </c>
      <c r="J34" s="561">
        <v>10.858485221801345</v>
      </c>
      <c r="K34" s="561">
        <v>5.4292426109006726</v>
      </c>
    </row>
    <row r="35" spans="1:11">
      <c r="A35" s="555" t="s">
        <v>163</v>
      </c>
      <c r="B35" s="556">
        <v>5773.9995166932376</v>
      </c>
      <c r="C35" s="556">
        <v>181.87962746517314</v>
      </c>
      <c r="D35" s="556">
        <v>244.31591749053121</v>
      </c>
      <c r="E35" s="556">
        <v>89.582503079861226</v>
      </c>
      <c r="F35" s="556">
        <v>105.87023091256333</v>
      </c>
      <c r="G35" s="556">
        <v>99.083677648937453</v>
      </c>
      <c r="H35" s="556">
        <v>133.01644396706683</v>
      </c>
      <c r="I35" s="556">
        <v>4792.6639147726482</v>
      </c>
      <c r="J35" s="556">
        <v>112.65678417618921</v>
      </c>
      <c r="K35" s="560">
        <v>14.93041717997685</v>
      </c>
    </row>
    <row r="36" spans="1:11">
      <c r="A36" s="558" t="s">
        <v>163</v>
      </c>
      <c r="B36" s="551">
        <v>4228.0226832388098</v>
      </c>
      <c r="C36" s="551">
        <v>141.16030788341789</v>
      </c>
      <c r="D36" s="551">
        <v>207.66852986695147</v>
      </c>
      <c r="E36" s="551">
        <v>77.366707205334649</v>
      </c>
      <c r="F36" s="551">
        <v>99.083677648937453</v>
      </c>
      <c r="G36" s="551">
        <v>84.153260468960525</v>
      </c>
      <c r="H36" s="551">
        <v>119.44333743981508</v>
      </c>
      <c r="I36" s="551">
        <v>3400.063185076443</v>
      </c>
      <c r="J36" s="551">
        <v>89.582503079861226</v>
      </c>
      <c r="K36" s="561">
        <v>9.5011745690761771</v>
      </c>
    </row>
    <row r="37" spans="1:11">
      <c r="A37" s="562" t="s">
        <v>164</v>
      </c>
      <c r="B37" s="563">
        <v>1545.976833453931</v>
      </c>
      <c r="C37" s="563">
        <v>40.719319581755045</v>
      </c>
      <c r="D37" s="563">
        <v>36.64738762357954</v>
      </c>
      <c r="E37" s="563">
        <v>12.215795874526513</v>
      </c>
      <c r="F37" s="563">
        <v>6.7865532636258408</v>
      </c>
      <c r="G37" s="563">
        <v>14.93041717997685</v>
      </c>
      <c r="H37" s="563">
        <v>13.573106527251682</v>
      </c>
      <c r="I37" s="563">
        <v>1392.6007296959926</v>
      </c>
      <c r="J37" s="563">
        <v>23.074281096327859</v>
      </c>
      <c r="K37" s="564">
        <v>5.4292426109006726</v>
      </c>
    </row>
  </sheetData>
  <mergeCells count="4">
    <mergeCell ref="A1:K1"/>
    <mergeCell ref="A2:A3"/>
    <mergeCell ref="B2:B3"/>
    <mergeCell ref="C2:K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37"/>
  <sheetViews>
    <sheetView workbookViewId="0">
      <selection activeCell="G11" sqref="G11"/>
    </sheetView>
  </sheetViews>
  <sheetFormatPr defaultRowHeight="15"/>
  <cols>
    <col min="1" max="1" width="18.140625" style="26" customWidth="1"/>
    <col min="2" max="2" width="17.140625" style="26" customWidth="1"/>
    <col min="3" max="3" width="12.42578125" style="26" customWidth="1"/>
    <col min="4" max="4" width="19" style="26" customWidth="1"/>
    <col min="5" max="16384" width="9.140625" style="26"/>
  </cols>
  <sheetData>
    <row r="1" spans="1:4" ht="27.75" customHeight="1">
      <c r="A1" s="1106" t="s">
        <v>367</v>
      </c>
      <c r="B1" s="1106"/>
      <c r="C1" s="1106"/>
      <c r="D1" s="1106"/>
    </row>
    <row r="2" spans="1:4" ht="28.5" customHeight="1">
      <c r="A2" s="1107" t="s">
        <v>314</v>
      </c>
      <c r="B2" s="1108" t="s">
        <v>315</v>
      </c>
      <c r="C2" s="1109" t="s">
        <v>368</v>
      </c>
      <c r="D2" s="1109"/>
    </row>
    <row r="3" spans="1:4" ht="35.25" customHeight="1">
      <c r="A3" s="1107"/>
      <c r="B3" s="1108"/>
      <c r="C3" s="565" t="s">
        <v>369</v>
      </c>
      <c r="D3" s="565" t="s">
        <v>370</v>
      </c>
    </row>
    <row r="4" spans="1:4">
      <c r="A4" s="566" t="s">
        <v>147</v>
      </c>
      <c r="B4" s="567">
        <v>128875.28916529956</v>
      </c>
      <c r="C4" s="567">
        <v>65923.221092224936</v>
      </c>
      <c r="D4" s="567">
        <v>62952.06807341073</v>
      </c>
    </row>
    <row r="5" spans="1:4">
      <c r="A5" s="568"/>
      <c r="B5" s="569"/>
      <c r="C5" s="569"/>
      <c r="D5" s="569"/>
    </row>
    <row r="6" spans="1:4">
      <c r="A6" s="570" t="s">
        <v>3</v>
      </c>
      <c r="B6" s="571"/>
      <c r="C6" s="571"/>
      <c r="D6" s="571"/>
    </row>
    <row r="7" spans="1:4">
      <c r="A7" s="572" t="s">
        <v>4</v>
      </c>
      <c r="B7" s="573">
        <v>84854.990076339745</v>
      </c>
      <c r="C7" s="573">
        <v>51598.16446336131</v>
      </c>
      <c r="D7" s="573">
        <v>33256.82561308064</v>
      </c>
    </row>
    <row r="8" spans="1:4">
      <c r="A8" s="572" t="s">
        <v>5</v>
      </c>
      <c r="B8" s="573">
        <v>44020.299089194436</v>
      </c>
      <c r="C8" s="573">
        <v>14325.056628864348</v>
      </c>
      <c r="D8" s="573">
        <v>29695.242460328736</v>
      </c>
    </row>
    <row r="9" spans="1:4">
      <c r="A9" s="530" t="s">
        <v>327</v>
      </c>
      <c r="B9" s="574"/>
      <c r="C9" s="574"/>
      <c r="D9" s="574"/>
    </row>
    <row r="10" spans="1:4">
      <c r="A10" s="575" t="s">
        <v>148</v>
      </c>
      <c r="B10" s="569">
        <v>82847.527620969384</v>
      </c>
      <c r="C10" s="569">
        <v>50931.724932873054</v>
      </c>
      <c r="D10" s="569">
        <v>31915.802688187774</v>
      </c>
    </row>
    <row r="11" spans="1:4">
      <c r="A11" s="576" t="s">
        <v>148</v>
      </c>
      <c r="B11" s="573">
        <v>82847.527620969384</v>
      </c>
      <c r="C11" s="573">
        <v>50931.724932873054</v>
      </c>
      <c r="D11" s="573">
        <v>31915.802688187774</v>
      </c>
    </row>
    <row r="12" spans="1:4">
      <c r="A12" s="577" t="s">
        <v>149</v>
      </c>
      <c r="B12" s="569">
        <v>8033.921753481317</v>
      </c>
      <c r="C12" s="569">
        <v>2285.7111391891208</v>
      </c>
      <c r="D12" s="569">
        <v>5748.2106142914517</v>
      </c>
    </row>
    <row r="13" spans="1:4">
      <c r="A13" s="576" t="s">
        <v>149</v>
      </c>
      <c r="B13" s="573">
        <v>8033.921753481317</v>
      </c>
      <c r="C13" s="573">
        <v>2285.7111391891208</v>
      </c>
      <c r="D13" s="573">
        <v>5748.2106142914517</v>
      </c>
    </row>
    <row r="14" spans="1:4">
      <c r="A14" s="575" t="s">
        <v>150</v>
      </c>
      <c r="B14" s="569">
        <v>2804.203808530116</v>
      </c>
      <c r="C14" s="569">
        <v>1471.3247475540495</v>
      </c>
      <c r="D14" s="569">
        <v>1332.8790609760874</v>
      </c>
    </row>
    <row r="15" spans="1:4">
      <c r="A15" s="576" t="s">
        <v>150</v>
      </c>
      <c r="B15" s="573">
        <v>2804.203808530116</v>
      </c>
      <c r="C15" s="573">
        <v>1471.3247475540495</v>
      </c>
      <c r="D15" s="573">
        <v>1332.8790609760874</v>
      </c>
    </row>
    <row r="16" spans="1:4">
      <c r="A16" s="575" t="s">
        <v>151</v>
      </c>
      <c r="B16" s="569">
        <v>7090.5908498370436</v>
      </c>
      <c r="C16" s="569">
        <v>2334.574322687225</v>
      </c>
      <c r="D16" s="569">
        <v>4756.0165271490578</v>
      </c>
    </row>
    <row r="17" spans="1:4">
      <c r="A17" s="576" t="s">
        <v>151</v>
      </c>
      <c r="B17" s="573">
        <v>7090.5908498370436</v>
      </c>
      <c r="C17" s="573">
        <v>2334.574322687225</v>
      </c>
      <c r="D17" s="573">
        <v>4756.0165271490578</v>
      </c>
    </row>
    <row r="18" spans="1:4">
      <c r="A18" s="575" t="s">
        <v>152</v>
      </c>
      <c r="B18" s="569">
        <v>1748.2161207099737</v>
      </c>
      <c r="C18" s="569">
        <v>567.35585283912064</v>
      </c>
      <c r="D18" s="569">
        <v>1180.8602678708742</v>
      </c>
    </row>
    <row r="19" spans="1:4">
      <c r="A19" s="576" t="s">
        <v>152</v>
      </c>
      <c r="B19" s="573">
        <v>1157.7859867745472</v>
      </c>
      <c r="C19" s="573">
        <v>456.05637931565855</v>
      </c>
      <c r="D19" s="573">
        <v>701.72960745890737</v>
      </c>
    </row>
    <row r="20" spans="1:4">
      <c r="A20" s="576" t="s">
        <v>153</v>
      </c>
      <c r="B20" s="573">
        <v>590.43013393544766</v>
      </c>
      <c r="C20" s="573">
        <v>111.29947352346403</v>
      </c>
      <c r="D20" s="573">
        <v>479.13066041198653</v>
      </c>
    </row>
    <row r="21" spans="1:4">
      <c r="A21" s="575" t="s">
        <v>154</v>
      </c>
      <c r="B21" s="569">
        <v>758.73665487336234</v>
      </c>
      <c r="C21" s="569">
        <v>128.94451200889131</v>
      </c>
      <c r="D21" s="569">
        <v>629.79214286447609</v>
      </c>
    </row>
    <row r="22" spans="1:4">
      <c r="A22" s="576" t="s">
        <v>154</v>
      </c>
      <c r="B22" s="573">
        <v>499.49032020286415</v>
      </c>
      <c r="C22" s="573">
        <v>80.081328510784999</v>
      </c>
      <c r="D22" s="573">
        <v>419.40899169207881</v>
      </c>
    </row>
    <row r="23" spans="1:4">
      <c r="A23" s="576" t="s">
        <v>155</v>
      </c>
      <c r="B23" s="573">
        <v>259.24633467050813</v>
      </c>
      <c r="C23" s="573">
        <v>48.863183498106054</v>
      </c>
      <c r="D23" s="573">
        <v>210.38315117240182</v>
      </c>
    </row>
    <row r="24" spans="1:4">
      <c r="A24" s="575" t="s">
        <v>156</v>
      </c>
      <c r="B24" s="569">
        <v>4139.7974908116475</v>
      </c>
      <c r="C24" s="569">
        <v>1273.1573922561822</v>
      </c>
      <c r="D24" s="569">
        <v>2866.6400985554715</v>
      </c>
    </row>
    <row r="25" spans="1:4">
      <c r="A25" s="576" t="s">
        <v>156</v>
      </c>
      <c r="B25" s="573">
        <v>1980.3162423259689</v>
      </c>
      <c r="C25" s="573">
        <v>371.90311884669768</v>
      </c>
      <c r="D25" s="573">
        <v>1608.4131234792865</v>
      </c>
    </row>
    <row r="26" spans="1:4">
      <c r="A26" s="576" t="s">
        <v>157</v>
      </c>
      <c r="B26" s="573">
        <v>2159.4812484856848</v>
      </c>
      <c r="C26" s="573">
        <v>901.25427340949977</v>
      </c>
      <c r="D26" s="573">
        <v>1258.2269750762059</v>
      </c>
    </row>
    <row r="27" spans="1:4">
      <c r="A27" s="575" t="s">
        <v>158</v>
      </c>
      <c r="B27" s="569">
        <v>6323.7103310470948</v>
      </c>
      <c r="C27" s="569">
        <v>1412.9603894868694</v>
      </c>
      <c r="D27" s="569">
        <v>4910.7499415597731</v>
      </c>
    </row>
    <row r="28" spans="1:4">
      <c r="A28" s="576" t="s">
        <v>158</v>
      </c>
      <c r="B28" s="573">
        <v>5377.6648060973703</v>
      </c>
      <c r="C28" s="573">
        <v>1119.7812884982438</v>
      </c>
      <c r="D28" s="573">
        <v>4257.8835175987724</v>
      </c>
    </row>
    <row r="29" spans="1:4">
      <c r="A29" s="576" t="s">
        <v>159</v>
      </c>
      <c r="B29" s="573">
        <v>946.04552494942868</v>
      </c>
      <c r="C29" s="573">
        <v>293.17910098863752</v>
      </c>
      <c r="D29" s="573">
        <v>652.8664239608031</v>
      </c>
    </row>
    <row r="30" spans="1:4">
      <c r="A30" s="575" t="s">
        <v>160</v>
      </c>
      <c r="B30" s="569">
        <v>1749.5734313626988</v>
      </c>
      <c r="C30" s="569">
        <v>82.79594981623535</v>
      </c>
      <c r="D30" s="569">
        <v>1666.7774815464666</v>
      </c>
    </row>
    <row r="31" spans="1:4">
      <c r="A31" s="576" t="s">
        <v>160</v>
      </c>
      <c r="B31" s="573">
        <v>1749.5734313626988</v>
      </c>
      <c r="C31" s="573">
        <v>82.79594981623535</v>
      </c>
      <c r="D31" s="573">
        <v>1666.7774815464666</v>
      </c>
    </row>
    <row r="32" spans="1:4">
      <c r="A32" s="575" t="s">
        <v>161</v>
      </c>
      <c r="B32" s="569">
        <v>7605.0115872200358</v>
      </c>
      <c r="C32" s="569">
        <v>3127.2437438786942</v>
      </c>
      <c r="D32" s="569">
        <v>4477.7678433403153</v>
      </c>
    </row>
    <row r="33" spans="1:4">
      <c r="A33" s="576" t="s">
        <v>161</v>
      </c>
      <c r="B33" s="573">
        <v>6319.638399088918</v>
      </c>
      <c r="C33" s="573">
        <v>2437.729932294334</v>
      </c>
      <c r="D33" s="573">
        <v>3881.90846679386</v>
      </c>
    </row>
    <row r="34" spans="1:4">
      <c r="A34" s="576" t="s">
        <v>162</v>
      </c>
      <c r="B34" s="573">
        <v>1285.3731881307083</v>
      </c>
      <c r="C34" s="573">
        <v>689.5138115843813</v>
      </c>
      <c r="D34" s="573">
        <v>595.85937654634813</v>
      </c>
    </row>
    <row r="35" spans="1:4">
      <c r="A35" s="575" t="s">
        <v>163</v>
      </c>
      <c r="B35" s="569">
        <v>5773.9995166932376</v>
      </c>
      <c r="C35" s="569">
        <v>2307.4281096327227</v>
      </c>
      <c r="D35" s="569">
        <v>3466.5714070599738</v>
      </c>
    </row>
    <row r="36" spans="1:4">
      <c r="A36" s="576" t="s">
        <v>163</v>
      </c>
      <c r="B36" s="573">
        <v>4228.0226832388098</v>
      </c>
      <c r="C36" s="573">
        <v>1334.2363716288125</v>
      </c>
      <c r="D36" s="573">
        <v>2893.7863116099738</v>
      </c>
    </row>
    <row r="37" spans="1:4">
      <c r="A37" s="578" t="s">
        <v>164</v>
      </c>
      <c r="B37" s="579">
        <v>1545.976833453931</v>
      </c>
      <c r="C37" s="579">
        <v>973.19173800393105</v>
      </c>
      <c r="D37" s="579">
        <v>572.78509545002112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7"/>
  <sheetViews>
    <sheetView workbookViewId="0">
      <selection activeCell="D11" sqref="D11"/>
    </sheetView>
  </sheetViews>
  <sheetFormatPr defaultRowHeight="15"/>
  <cols>
    <col min="1" max="1" width="16.42578125" style="26" customWidth="1"/>
    <col min="2" max="2" width="9.140625" style="26"/>
    <col min="3" max="4" width="14.140625" style="26" customWidth="1"/>
    <col min="5" max="5" width="14.5703125" style="26" customWidth="1"/>
    <col min="6" max="6" width="19.28515625" style="26" customWidth="1"/>
    <col min="7" max="16384" width="9.140625" style="26"/>
  </cols>
  <sheetData>
    <row r="1" spans="1:6" ht="40.5" customHeight="1">
      <c r="A1" s="1110" t="s">
        <v>371</v>
      </c>
      <c r="B1" s="1110"/>
      <c r="C1" s="1110"/>
      <c r="D1" s="1110"/>
      <c r="E1" s="1110"/>
      <c r="F1" s="1110"/>
    </row>
    <row r="2" spans="1:6">
      <c r="A2" s="1111" t="s">
        <v>314</v>
      </c>
      <c r="B2" s="1112" t="s">
        <v>372</v>
      </c>
      <c r="C2" s="1113" t="s">
        <v>373</v>
      </c>
      <c r="D2" s="1113"/>
      <c r="E2" s="1113"/>
      <c r="F2" s="1114" t="s">
        <v>374</v>
      </c>
    </row>
    <row r="3" spans="1:6" ht="42.75" customHeight="1">
      <c r="A3" s="1111"/>
      <c r="B3" s="1112"/>
      <c r="C3" s="580" t="s">
        <v>375</v>
      </c>
      <c r="D3" s="580" t="s">
        <v>376</v>
      </c>
      <c r="E3" s="580" t="s">
        <v>377</v>
      </c>
      <c r="F3" s="1114"/>
    </row>
    <row r="4" spans="1:6">
      <c r="A4" s="581" t="s">
        <v>147</v>
      </c>
      <c r="B4" s="582">
        <v>128875.28916529956</v>
      </c>
      <c r="C4" s="582">
        <v>12139.786477976175</v>
      </c>
      <c r="D4" s="582">
        <v>20255.146870622375</v>
      </c>
      <c r="E4" s="582">
        <v>96480.355816871961</v>
      </c>
      <c r="F4" s="582">
        <f>C4+D4</f>
        <v>32394.933348598548</v>
      </c>
    </row>
    <row r="5" spans="1:6">
      <c r="A5" s="583"/>
      <c r="B5" s="584"/>
      <c r="C5" s="584"/>
      <c r="D5" s="584"/>
      <c r="E5" s="584"/>
      <c r="F5" s="584"/>
    </row>
    <row r="6" spans="1:6">
      <c r="A6" s="534" t="s">
        <v>3</v>
      </c>
      <c r="B6" s="585"/>
      <c r="C6" s="585"/>
      <c r="D6" s="585"/>
      <c r="E6" s="585"/>
      <c r="F6" s="585"/>
    </row>
    <row r="7" spans="1:6">
      <c r="A7" s="586" t="s">
        <v>4</v>
      </c>
      <c r="B7" s="587">
        <v>84854.990076339745</v>
      </c>
      <c r="C7" s="587">
        <v>9598.9009360739019</v>
      </c>
      <c r="D7" s="587">
        <v>17445.513819480439</v>
      </c>
      <c r="E7" s="587">
        <v>57810.575320886259</v>
      </c>
      <c r="F7" s="587">
        <f t="shared" ref="F7:F37" si="0">C7+D7</f>
        <v>27044.414755554339</v>
      </c>
    </row>
    <row r="8" spans="1:6">
      <c r="A8" s="586" t="s">
        <v>5</v>
      </c>
      <c r="B8" s="587">
        <v>44020.299089194436</v>
      </c>
      <c r="C8" s="587">
        <v>2540.885541901443</v>
      </c>
      <c r="D8" s="587">
        <v>2809.6330511410165</v>
      </c>
      <c r="E8" s="587">
        <v>38669.780496150226</v>
      </c>
      <c r="F8" s="587">
        <f t="shared" si="0"/>
        <v>5350.5185930424595</v>
      </c>
    </row>
    <row r="9" spans="1:6">
      <c r="A9" s="537" t="s">
        <v>327</v>
      </c>
      <c r="B9" s="585"/>
      <c r="C9" s="585"/>
      <c r="D9" s="585"/>
      <c r="E9" s="585"/>
      <c r="F9" s="585"/>
    </row>
    <row r="10" spans="1:6">
      <c r="A10" s="588" t="s">
        <v>148</v>
      </c>
      <c r="B10" s="584">
        <v>82847.527620969384</v>
      </c>
      <c r="C10" s="584">
        <v>9319.2949416124338</v>
      </c>
      <c r="D10" s="584">
        <v>15528.991177831931</v>
      </c>
      <c r="E10" s="584">
        <v>57999.241501615114</v>
      </c>
      <c r="F10" s="587">
        <f t="shared" si="0"/>
        <v>24848.286119444365</v>
      </c>
    </row>
    <row r="11" spans="1:6">
      <c r="A11" s="589" t="s">
        <v>148</v>
      </c>
      <c r="B11" s="587">
        <v>82847.527620969384</v>
      </c>
      <c r="C11" s="587">
        <v>9319.2949416124338</v>
      </c>
      <c r="D11" s="587">
        <v>15528.991177831931</v>
      </c>
      <c r="E11" s="587">
        <v>57999.241501615114</v>
      </c>
      <c r="F11" s="587">
        <f t="shared" si="0"/>
        <v>24848.286119444365</v>
      </c>
    </row>
    <row r="12" spans="1:6">
      <c r="A12" s="588" t="s">
        <v>149</v>
      </c>
      <c r="B12" s="584">
        <v>8033.921753481317</v>
      </c>
      <c r="C12" s="584">
        <v>526.63653325736709</v>
      </c>
      <c r="D12" s="584">
        <v>359.6873229721711</v>
      </c>
      <c r="E12" s="584">
        <v>7147.5978972515177</v>
      </c>
      <c r="F12" s="587">
        <f t="shared" si="0"/>
        <v>886.32385622953825</v>
      </c>
    </row>
    <row r="13" spans="1:6">
      <c r="A13" s="589" t="s">
        <v>149</v>
      </c>
      <c r="B13" s="587">
        <v>8033.921753481317</v>
      </c>
      <c r="C13" s="587">
        <v>526.63653325736709</v>
      </c>
      <c r="D13" s="587">
        <v>359.6873229721711</v>
      </c>
      <c r="E13" s="587">
        <v>7147.5978972515177</v>
      </c>
      <c r="F13" s="587">
        <f t="shared" si="0"/>
        <v>886.32385622953825</v>
      </c>
    </row>
    <row r="14" spans="1:6">
      <c r="A14" s="588" t="s">
        <v>150</v>
      </c>
      <c r="B14" s="584">
        <v>2804.203808530116</v>
      </c>
      <c r="C14" s="584">
        <v>302.68027555771374</v>
      </c>
      <c r="D14" s="584">
        <v>553.78274631186946</v>
      </c>
      <c r="E14" s="584">
        <v>1947.7407866605661</v>
      </c>
      <c r="F14" s="587">
        <f t="shared" si="0"/>
        <v>856.46302186958314</v>
      </c>
    </row>
    <row r="15" spans="1:6">
      <c r="A15" s="589" t="s">
        <v>150</v>
      </c>
      <c r="B15" s="587">
        <v>2804.203808530116</v>
      </c>
      <c r="C15" s="587">
        <v>302.68027555771374</v>
      </c>
      <c r="D15" s="587">
        <v>553.78274631186946</v>
      </c>
      <c r="E15" s="587">
        <v>1947.7407866605661</v>
      </c>
      <c r="F15" s="587">
        <f t="shared" si="0"/>
        <v>856.46302186958314</v>
      </c>
    </row>
    <row r="16" spans="1:6">
      <c r="A16" s="588" t="s">
        <v>151</v>
      </c>
      <c r="B16" s="584">
        <v>7090.5908498370436</v>
      </c>
      <c r="C16" s="584">
        <v>492.70376693923828</v>
      </c>
      <c r="D16" s="584">
        <v>2259.9222367873435</v>
      </c>
      <c r="E16" s="584">
        <v>4337.9648461095812</v>
      </c>
      <c r="F16" s="587">
        <f t="shared" si="0"/>
        <v>2752.626003726582</v>
      </c>
    </row>
    <row r="17" spans="1:6">
      <c r="A17" s="589" t="s">
        <v>151</v>
      </c>
      <c r="B17" s="587">
        <v>7090.5908498370436</v>
      </c>
      <c r="C17" s="587">
        <v>492.70376693923828</v>
      </c>
      <c r="D17" s="587">
        <v>2259.9222367873435</v>
      </c>
      <c r="E17" s="587">
        <v>4337.9648461095812</v>
      </c>
      <c r="F17" s="587">
        <f t="shared" si="0"/>
        <v>2752.626003726582</v>
      </c>
    </row>
    <row r="18" spans="1:6">
      <c r="A18" s="588" t="s">
        <v>152</v>
      </c>
      <c r="B18" s="584">
        <v>1748.2161207099737</v>
      </c>
      <c r="C18" s="584">
        <v>51.57780480355639</v>
      </c>
      <c r="D18" s="584">
        <v>240.24398553235568</v>
      </c>
      <c r="E18" s="584">
        <v>1456.3943303740732</v>
      </c>
      <c r="F18" s="587">
        <f t="shared" si="0"/>
        <v>291.82179033591206</v>
      </c>
    </row>
    <row r="19" spans="1:6">
      <c r="A19" s="589" t="s">
        <v>152</v>
      </c>
      <c r="B19" s="587">
        <v>1157.7859867745472</v>
      </c>
      <c r="C19" s="587">
        <v>38.004698276304708</v>
      </c>
      <c r="D19" s="587">
        <v>222.5989470469284</v>
      </c>
      <c r="E19" s="587">
        <v>897.18234145132442</v>
      </c>
      <c r="F19" s="587">
        <f t="shared" si="0"/>
        <v>260.60364532323308</v>
      </c>
    </row>
    <row r="20" spans="1:6">
      <c r="A20" s="589" t="s">
        <v>153</v>
      </c>
      <c r="B20" s="587">
        <v>590.43013393544766</v>
      </c>
      <c r="C20" s="587">
        <v>13.573106527251682</v>
      </c>
      <c r="D20" s="587">
        <v>17.645038485427186</v>
      </c>
      <c r="E20" s="587">
        <v>559.21198892276993</v>
      </c>
      <c r="F20" s="587">
        <f t="shared" si="0"/>
        <v>31.218145012678868</v>
      </c>
    </row>
    <row r="21" spans="1:6">
      <c r="A21" s="588" t="s">
        <v>154</v>
      </c>
      <c r="B21" s="584">
        <v>758.73665487336234</v>
      </c>
      <c r="C21" s="584">
        <v>4.0719319581755045</v>
      </c>
      <c r="D21" s="584">
        <v>40.719319581755045</v>
      </c>
      <c r="E21" s="584">
        <v>713.94540333343343</v>
      </c>
      <c r="F21" s="587">
        <f t="shared" si="0"/>
        <v>44.791251539930549</v>
      </c>
    </row>
    <row r="22" spans="1:6">
      <c r="A22" s="589" t="s">
        <v>154</v>
      </c>
      <c r="B22" s="590">
        <v>499.49032020286415</v>
      </c>
      <c r="C22" s="590">
        <v>0</v>
      </c>
      <c r="D22" s="590">
        <v>4.0719319581755045</v>
      </c>
      <c r="E22" s="590">
        <v>495.41838824468863</v>
      </c>
      <c r="F22" s="590">
        <f t="shared" si="0"/>
        <v>4.0719319581755045</v>
      </c>
    </row>
    <row r="23" spans="1:6">
      <c r="A23" s="589" t="s">
        <v>155</v>
      </c>
      <c r="B23" s="587">
        <v>259.24633467050813</v>
      </c>
      <c r="C23" s="587">
        <v>4.0719319581755045</v>
      </c>
      <c r="D23" s="587">
        <v>36.64738762357954</v>
      </c>
      <c r="E23" s="587">
        <v>218.52701508875288</v>
      </c>
      <c r="F23" s="587">
        <f t="shared" si="0"/>
        <v>40.719319581755045</v>
      </c>
    </row>
    <row r="24" spans="1:6">
      <c r="A24" s="588" t="s">
        <v>156</v>
      </c>
      <c r="B24" s="584">
        <v>4139.7974908116475</v>
      </c>
      <c r="C24" s="584">
        <v>484.55990302288723</v>
      </c>
      <c r="D24" s="584">
        <v>450.62713670475785</v>
      </c>
      <c r="E24" s="584">
        <v>3204.610451084026</v>
      </c>
      <c r="F24" s="587">
        <f t="shared" si="0"/>
        <v>935.18703972764501</v>
      </c>
    </row>
    <row r="25" spans="1:6">
      <c r="A25" s="589" t="s">
        <v>156</v>
      </c>
      <c r="B25" s="587">
        <v>1980.3162423259689</v>
      </c>
      <c r="C25" s="587">
        <v>154.73341441066964</v>
      </c>
      <c r="D25" s="587">
        <v>128.94451200889131</v>
      </c>
      <c r="E25" s="587">
        <v>1696.6383159064192</v>
      </c>
      <c r="F25" s="587">
        <f t="shared" si="0"/>
        <v>283.67792641956095</v>
      </c>
    </row>
    <row r="26" spans="1:6">
      <c r="A26" s="589" t="s">
        <v>157</v>
      </c>
      <c r="B26" s="587">
        <v>2159.4812484856848</v>
      </c>
      <c r="C26" s="587">
        <v>329.82648861221725</v>
      </c>
      <c r="D26" s="587">
        <v>321.6826246958662</v>
      </c>
      <c r="E26" s="587">
        <v>1507.9721351776277</v>
      </c>
      <c r="F26" s="587">
        <f t="shared" si="0"/>
        <v>651.50911330808344</v>
      </c>
    </row>
    <row r="27" spans="1:6">
      <c r="A27" s="588" t="s">
        <v>158</v>
      </c>
      <c r="B27" s="584">
        <v>6323.7103310470948</v>
      </c>
      <c r="C27" s="584">
        <v>143.87492918886824</v>
      </c>
      <c r="D27" s="584">
        <v>147.94686114704376</v>
      </c>
      <c r="E27" s="584">
        <v>6031.8885407110965</v>
      </c>
      <c r="F27" s="587">
        <f t="shared" si="0"/>
        <v>291.821790335912</v>
      </c>
    </row>
    <row r="28" spans="1:6">
      <c r="A28" s="589" t="s">
        <v>158</v>
      </c>
      <c r="B28" s="587">
        <v>5377.6648060973703</v>
      </c>
      <c r="C28" s="587">
        <v>139.80299723069271</v>
      </c>
      <c r="D28" s="587">
        <v>143.87492918886824</v>
      </c>
      <c r="E28" s="587">
        <v>5093.9868796777255</v>
      </c>
      <c r="F28" s="587">
        <f t="shared" si="0"/>
        <v>283.67792641956095</v>
      </c>
    </row>
    <row r="29" spans="1:6">
      <c r="A29" s="589" t="s">
        <v>159</v>
      </c>
      <c r="B29" s="587">
        <v>946.04552494942868</v>
      </c>
      <c r="C29" s="587">
        <v>4.0719319581755045</v>
      </c>
      <c r="D29" s="587">
        <v>4.0719319581755045</v>
      </c>
      <c r="E29" s="587">
        <v>937.90166103307797</v>
      </c>
      <c r="F29" s="587">
        <f t="shared" si="0"/>
        <v>8.1438639163510089</v>
      </c>
    </row>
    <row r="30" spans="1:6">
      <c r="A30" s="588" t="s">
        <v>160</v>
      </c>
      <c r="B30" s="584">
        <v>1749.5734313626988</v>
      </c>
      <c r="C30" s="584">
        <v>35.290076970854372</v>
      </c>
      <c r="D30" s="584">
        <v>39.362008929029876</v>
      </c>
      <c r="E30" s="584">
        <v>1674.9213454628173</v>
      </c>
      <c r="F30" s="587">
        <f t="shared" si="0"/>
        <v>74.652085899884241</v>
      </c>
    </row>
    <row r="31" spans="1:6">
      <c r="A31" s="589" t="s">
        <v>160</v>
      </c>
      <c r="B31" s="587">
        <v>1749.5734313626988</v>
      </c>
      <c r="C31" s="587">
        <v>35.290076970854372</v>
      </c>
      <c r="D31" s="587">
        <v>39.362008929029876</v>
      </c>
      <c r="E31" s="587">
        <v>1674.9213454628173</v>
      </c>
      <c r="F31" s="587">
        <f t="shared" si="0"/>
        <v>74.652085899884241</v>
      </c>
    </row>
    <row r="32" spans="1:6">
      <c r="A32" s="588" t="s">
        <v>161</v>
      </c>
      <c r="B32" s="584">
        <v>7605.0115872200358</v>
      </c>
      <c r="C32" s="584">
        <v>442.48327278840679</v>
      </c>
      <c r="D32" s="584">
        <v>271.46213054503471</v>
      </c>
      <c r="E32" s="584">
        <v>6891.0661838863844</v>
      </c>
      <c r="F32" s="587">
        <f t="shared" si="0"/>
        <v>713.9454033334415</v>
      </c>
    </row>
    <row r="33" spans="1:6">
      <c r="A33" s="589" t="s">
        <v>161</v>
      </c>
      <c r="B33" s="587">
        <v>6319.638399088918</v>
      </c>
      <c r="C33" s="587">
        <v>411.26512777572776</v>
      </c>
      <c r="D33" s="587">
        <v>257.88902401778296</v>
      </c>
      <c r="E33" s="587">
        <v>5650.4842472952105</v>
      </c>
      <c r="F33" s="587">
        <f t="shared" si="0"/>
        <v>669.15415179351066</v>
      </c>
    </row>
    <row r="34" spans="1:6">
      <c r="A34" s="589" t="s">
        <v>162</v>
      </c>
      <c r="B34" s="587">
        <v>1285.3731881307083</v>
      </c>
      <c r="C34" s="587">
        <v>31.218145012678868</v>
      </c>
      <c r="D34" s="587">
        <v>13.573106527251682</v>
      </c>
      <c r="E34" s="587">
        <v>1240.5819365907794</v>
      </c>
      <c r="F34" s="587">
        <f t="shared" si="0"/>
        <v>44.791251539930549</v>
      </c>
    </row>
    <row r="35" spans="1:6">
      <c r="A35" s="588" t="s">
        <v>163</v>
      </c>
      <c r="B35" s="584">
        <v>5773.9995166932376</v>
      </c>
      <c r="C35" s="584">
        <v>336.61304187584312</v>
      </c>
      <c r="D35" s="584">
        <v>362.40194427762145</v>
      </c>
      <c r="E35" s="584">
        <v>5074.9845305395675</v>
      </c>
      <c r="F35" s="587">
        <f t="shared" si="0"/>
        <v>699.01498615346463</v>
      </c>
    </row>
    <row r="36" spans="1:6">
      <c r="A36" s="589" t="s">
        <v>163</v>
      </c>
      <c r="B36" s="587">
        <v>4228.0226832388098</v>
      </c>
      <c r="C36" s="587">
        <v>276.89137315593541</v>
      </c>
      <c r="D36" s="587">
        <v>302.68027555771374</v>
      </c>
      <c r="E36" s="587">
        <v>3648.4510345251397</v>
      </c>
      <c r="F36" s="587">
        <f t="shared" si="0"/>
        <v>579.57164871364921</v>
      </c>
    </row>
    <row r="37" spans="1:6">
      <c r="A37" s="591" t="s">
        <v>164</v>
      </c>
      <c r="B37" s="592">
        <v>1545.976833453931</v>
      </c>
      <c r="C37" s="592">
        <v>59.721668719907399</v>
      </c>
      <c r="D37" s="592">
        <v>59.721668719907399</v>
      </c>
      <c r="E37" s="592">
        <v>1426.5334960141206</v>
      </c>
      <c r="F37" s="592">
        <f t="shared" si="0"/>
        <v>119.4433374398148</v>
      </c>
    </row>
  </sheetData>
  <mergeCells count="5">
    <mergeCell ref="A1:F1"/>
    <mergeCell ref="A2:A3"/>
    <mergeCell ref="B2:B3"/>
    <mergeCell ref="C2:E2"/>
    <mergeCell ref="F2:F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37"/>
  <sheetViews>
    <sheetView workbookViewId="0">
      <selection activeCell="H33" sqref="H33"/>
    </sheetView>
  </sheetViews>
  <sheetFormatPr defaultRowHeight="15"/>
  <cols>
    <col min="1" max="1" width="20.140625" style="26" customWidth="1"/>
    <col min="2" max="2" width="15.85546875" style="26" customWidth="1"/>
    <col min="3" max="3" width="19.5703125" style="26" customWidth="1"/>
    <col min="4" max="4" width="16.28515625" style="26" customWidth="1"/>
    <col min="5" max="16384" width="9.140625" style="26"/>
  </cols>
  <sheetData>
    <row r="1" spans="1:4" ht="36.75" customHeight="1">
      <c r="A1" s="1115" t="s">
        <v>378</v>
      </c>
      <c r="B1" s="1115"/>
      <c r="C1" s="1115"/>
      <c r="D1" s="1115"/>
    </row>
    <row r="2" spans="1:4" ht="31.5" customHeight="1">
      <c r="A2" s="1116" t="s">
        <v>314</v>
      </c>
      <c r="B2" s="1117" t="s">
        <v>382</v>
      </c>
      <c r="C2" s="1118" t="s">
        <v>379</v>
      </c>
      <c r="D2" s="1118"/>
    </row>
    <row r="3" spans="1:4">
      <c r="A3" s="1116"/>
      <c r="B3" s="1117"/>
      <c r="C3" s="593" t="s">
        <v>380</v>
      </c>
      <c r="D3" s="593" t="s">
        <v>381</v>
      </c>
    </row>
    <row r="4" spans="1:4">
      <c r="A4" s="594" t="s">
        <v>147</v>
      </c>
      <c r="B4" s="595">
        <v>128875.28916529956</v>
      </c>
      <c r="C4" s="595">
        <v>111626.58539055544</v>
      </c>
      <c r="D4" s="595">
        <v>17248.70377483523</v>
      </c>
    </row>
    <row r="5" spans="1:4">
      <c r="A5" s="596"/>
      <c r="B5" s="597"/>
      <c r="C5" s="597"/>
      <c r="D5" s="597"/>
    </row>
    <row r="6" spans="1:4" ht="17.25" customHeight="1">
      <c r="A6" s="534" t="s">
        <v>3</v>
      </c>
      <c r="B6" s="598"/>
      <c r="C6" s="598"/>
      <c r="D6" s="598"/>
    </row>
    <row r="7" spans="1:4">
      <c r="A7" s="599" t="s">
        <v>4</v>
      </c>
      <c r="B7" s="600">
        <v>84854.990076339745</v>
      </c>
      <c r="C7" s="600">
        <v>74938.478447579866</v>
      </c>
      <c r="D7" s="600">
        <v>9916.511628811686</v>
      </c>
    </row>
    <row r="8" spans="1:4">
      <c r="A8" s="599" t="s">
        <v>5</v>
      </c>
      <c r="B8" s="600">
        <v>44020.299089194436</v>
      </c>
      <c r="C8" s="600">
        <v>36688.106943170889</v>
      </c>
      <c r="D8" s="600">
        <v>7332.1921460221956</v>
      </c>
    </row>
    <row r="9" spans="1:4" ht="18" customHeight="1">
      <c r="A9" s="537" t="s">
        <v>327</v>
      </c>
      <c r="B9" s="601"/>
      <c r="C9" s="601"/>
      <c r="D9" s="601"/>
    </row>
    <row r="10" spans="1:4">
      <c r="A10" s="602" t="s">
        <v>148</v>
      </c>
      <c r="B10" s="597">
        <v>82847.527620969384</v>
      </c>
      <c r="C10" s="597">
        <v>73016.526563330757</v>
      </c>
      <c r="D10" s="597">
        <v>9831.0010576899749</v>
      </c>
    </row>
    <row r="11" spans="1:4">
      <c r="A11" s="604" t="s">
        <v>148</v>
      </c>
      <c r="B11" s="600">
        <v>82847.527620969384</v>
      </c>
      <c r="C11" s="600">
        <v>73016.526563330757</v>
      </c>
      <c r="D11" s="600">
        <v>9831.0010576899749</v>
      </c>
    </row>
    <row r="12" spans="1:4">
      <c r="A12" s="602" t="s">
        <v>149</v>
      </c>
      <c r="B12" s="597">
        <v>8033.921753481317</v>
      </c>
      <c r="C12" s="597">
        <v>6356.2857867125085</v>
      </c>
      <c r="D12" s="597">
        <v>1677.6359667682675</v>
      </c>
    </row>
    <row r="13" spans="1:4">
      <c r="A13" s="604" t="s">
        <v>149</v>
      </c>
      <c r="B13" s="600">
        <v>8033.921753481317</v>
      </c>
      <c r="C13" s="600">
        <v>6356.2857867125085</v>
      </c>
      <c r="D13" s="600">
        <v>1677.6359667682675</v>
      </c>
    </row>
    <row r="14" spans="1:4">
      <c r="A14" s="602" t="s">
        <v>150</v>
      </c>
      <c r="B14" s="597">
        <v>2804.203808530116</v>
      </c>
      <c r="C14" s="597">
        <v>2410.5837192398317</v>
      </c>
      <c r="D14" s="597">
        <v>393.62008929030048</v>
      </c>
    </row>
    <row r="15" spans="1:4">
      <c r="A15" s="604" t="s">
        <v>150</v>
      </c>
      <c r="B15" s="600">
        <v>2804.203808530116</v>
      </c>
      <c r="C15" s="600">
        <v>2410.5837192398317</v>
      </c>
      <c r="D15" s="600">
        <v>393.62008929030048</v>
      </c>
    </row>
    <row r="16" spans="1:4">
      <c r="A16" s="602" t="s">
        <v>151</v>
      </c>
      <c r="B16" s="597">
        <v>7090.5908498370436</v>
      </c>
      <c r="C16" s="597">
        <v>5757.7117888605308</v>
      </c>
      <c r="D16" s="597">
        <v>1332.8790609760874</v>
      </c>
    </row>
    <row r="17" spans="1:4">
      <c r="A17" s="604" t="s">
        <v>151</v>
      </c>
      <c r="B17" s="600">
        <v>7090.5908498370436</v>
      </c>
      <c r="C17" s="600">
        <v>5757.7117888605308</v>
      </c>
      <c r="D17" s="600">
        <v>1332.8790609760874</v>
      </c>
    </row>
    <row r="18" spans="1:4">
      <c r="A18" s="602" t="s">
        <v>152</v>
      </c>
      <c r="B18" s="597">
        <v>1748.2161207099737</v>
      </c>
      <c r="C18" s="597">
        <v>1613.8423660901869</v>
      </c>
      <c r="D18" s="597">
        <v>134.37375461979201</v>
      </c>
    </row>
    <row r="19" spans="1:4">
      <c r="A19" s="604" t="s">
        <v>152</v>
      </c>
      <c r="B19" s="600">
        <v>1157.7859867745472</v>
      </c>
      <c r="C19" s="600">
        <v>1036.9853386820116</v>
      </c>
      <c r="D19" s="600">
        <v>120.80064809254026</v>
      </c>
    </row>
    <row r="20" spans="1:4">
      <c r="A20" s="604" t="s">
        <v>153</v>
      </c>
      <c r="B20" s="600">
        <v>590.43013393544766</v>
      </c>
      <c r="C20" s="600">
        <v>576.85702740819647</v>
      </c>
      <c r="D20" s="600">
        <v>13.573106527251682</v>
      </c>
    </row>
    <row r="21" spans="1:4">
      <c r="A21" s="602" t="s">
        <v>154</v>
      </c>
      <c r="B21" s="597">
        <v>758.73665487336234</v>
      </c>
      <c r="C21" s="597">
        <v>537.49501847916804</v>
      </c>
      <c r="D21" s="597">
        <v>221.24163639420323</v>
      </c>
    </row>
    <row r="22" spans="1:4">
      <c r="A22" s="604" t="s">
        <v>154</v>
      </c>
      <c r="B22" s="600">
        <v>499.49032020286415</v>
      </c>
      <c r="C22" s="600">
        <v>324.39724600131655</v>
      </c>
      <c r="D22" s="600">
        <v>175.09307420154727</v>
      </c>
    </row>
    <row r="23" spans="1:4">
      <c r="A23" s="604" t="s">
        <v>155</v>
      </c>
      <c r="B23" s="600">
        <v>259.24633467050813</v>
      </c>
      <c r="C23" s="600">
        <v>213.09777247785217</v>
      </c>
      <c r="D23" s="600">
        <v>46.148562192655717</v>
      </c>
    </row>
    <row r="24" spans="1:4">
      <c r="A24" s="602" t="s">
        <v>156</v>
      </c>
      <c r="B24" s="597">
        <v>4139.7974908116475</v>
      </c>
      <c r="C24" s="597">
        <v>3436.7105727000212</v>
      </c>
      <c r="D24" s="597">
        <v>703.08691811163249</v>
      </c>
    </row>
    <row r="25" spans="1:4">
      <c r="A25" s="604" t="s">
        <v>156</v>
      </c>
      <c r="B25" s="600">
        <v>1980.3162423259689</v>
      </c>
      <c r="C25" s="600">
        <v>1768.5757805008504</v>
      </c>
      <c r="D25" s="600">
        <v>211.740461825127</v>
      </c>
    </row>
    <row r="26" spans="1:4">
      <c r="A26" s="604" t="s">
        <v>157</v>
      </c>
      <c r="B26" s="600">
        <v>2159.4812484856848</v>
      </c>
      <c r="C26" s="600">
        <v>1668.1347921991917</v>
      </c>
      <c r="D26" s="600">
        <v>491.3464562865131</v>
      </c>
    </row>
    <row r="27" spans="1:4">
      <c r="A27" s="602" t="s">
        <v>158</v>
      </c>
      <c r="B27" s="597">
        <v>6323.7103310470948</v>
      </c>
      <c r="C27" s="597">
        <v>5602.9783744498154</v>
      </c>
      <c r="D27" s="597">
        <v>720.73195659705902</v>
      </c>
    </row>
    <row r="28" spans="1:4">
      <c r="A28" s="604" t="s">
        <v>158</v>
      </c>
      <c r="B28" s="600">
        <v>5377.6648060973703</v>
      </c>
      <c r="C28" s="600">
        <v>4815.738195868983</v>
      </c>
      <c r="D28" s="600">
        <v>561.92661022822017</v>
      </c>
    </row>
    <row r="29" spans="1:4">
      <c r="A29" s="604" t="s">
        <v>159</v>
      </c>
      <c r="B29" s="600">
        <v>946.04552494942868</v>
      </c>
      <c r="C29" s="600">
        <v>787.24017858058983</v>
      </c>
      <c r="D29" s="600">
        <v>158.80534636884516</v>
      </c>
    </row>
    <row r="30" spans="1:4">
      <c r="A30" s="602" t="s">
        <v>160</v>
      </c>
      <c r="B30" s="597">
        <v>1749.5734313626988</v>
      </c>
      <c r="C30" s="597">
        <v>1620.6289193538125</v>
      </c>
      <c r="D30" s="597">
        <v>128.94451200889131</v>
      </c>
    </row>
    <row r="31" spans="1:4">
      <c r="A31" s="604" t="s">
        <v>160</v>
      </c>
      <c r="B31" s="600">
        <v>1749.5734313626988</v>
      </c>
      <c r="C31" s="600">
        <v>1620.6289193538125</v>
      </c>
      <c r="D31" s="600">
        <v>128.94451200889131</v>
      </c>
    </row>
    <row r="32" spans="1:4">
      <c r="A32" s="602" t="s">
        <v>161</v>
      </c>
      <c r="B32" s="597">
        <v>7605.0115872200358</v>
      </c>
      <c r="C32" s="597">
        <v>6262.631351674444</v>
      </c>
      <c r="D32" s="597">
        <v>1342.3802355451633</v>
      </c>
    </row>
    <row r="33" spans="1:4">
      <c r="A33" s="604" t="s">
        <v>161</v>
      </c>
      <c r="B33" s="600">
        <v>6319.638399088918</v>
      </c>
      <c r="C33" s="600">
        <v>5159.137791008553</v>
      </c>
      <c r="D33" s="600">
        <v>1160.5006080799974</v>
      </c>
    </row>
    <row r="34" spans="1:4">
      <c r="A34" s="604" t="s">
        <v>162</v>
      </c>
      <c r="B34" s="600">
        <v>1285.3731881307083</v>
      </c>
      <c r="C34" s="600">
        <v>1103.4935606655424</v>
      </c>
      <c r="D34" s="600">
        <v>181.87962746517314</v>
      </c>
    </row>
    <row r="35" spans="1:4">
      <c r="A35" s="602" t="s">
        <v>163</v>
      </c>
      <c r="B35" s="597">
        <v>5773.9995166932376</v>
      </c>
      <c r="C35" s="597">
        <v>5011.1909298614655</v>
      </c>
      <c r="D35" s="597">
        <v>762.8085868315377</v>
      </c>
    </row>
    <row r="36" spans="1:4">
      <c r="A36" s="604" t="s">
        <v>163</v>
      </c>
      <c r="B36" s="600">
        <v>4228.0226832388098</v>
      </c>
      <c r="C36" s="600">
        <v>3571.0843273198079</v>
      </c>
      <c r="D36" s="600">
        <v>656.93835591897846</v>
      </c>
    </row>
    <row r="37" spans="1:4">
      <c r="A37" s="605" t="s">
        <v>164</v>
      </c>
      <c r="B37" s="603">
        <v>1545.976833453931</v>
      </c>
      <c r="C37" s="603">
        <v>1440.1066025413718</v>
      </c>
      <c r="D37" s="603">
        <v>105.87023091256333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37"/>
  <sheetViews>
    <sheetView workbookViewId="0">
      <selection activeCell="G17" sqref="G17"/>
    </sheetView>
  </sheetViews>
  <sheetFormatPr defaultRowHeight="15"/>
  <cols>
    <col min="1" max="1" width="18.5703125" style="26" customWidth="1"/>
    <col min="2" max="2" width="14.28515625" style="26" customWidth="1"/>
    <col min="3" max="3" width="15.7109375" style="26" customWidth="1"/>
    <col min="4" max="4" width="16" style="26" customWidth="1"/>
    <col min="5" max="5" width="16.140625" style="26" customWidth="1"/>
    <col min="6" max="6" width="11.5703125" style="26" customWidth="1"/>
    <col min="7" max="7" width="13.42578125" style="26" customWidth="1"/>
    <col min="8" max="9" width="15.140625" style="26" customWidth="1"/>
    <col min="10" max="10" width="13.28515625" style="26" customWidth="1"/>
    <col min="11" max="11" width="13.42578125" style="26" customWidth="1"/>
    <col min="12" max="12" width="16.140625" style="26" customWidth="1"/>
    <col min="13" max="13" width="14.5703125" style="26" customWidth="1"/>
    <col min="14" max="14" width="14.85546875" style="26" customWidth="1"/>
    <col min="15" max="16384" width="9.140625" style="26"/>
  </cols>
  <sheetData>
    <row r="1" spans="1:17" ht="20.25" customHeight="1">
      <c r="A1" s="1119" t="s">
        <v>383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</row>
    <row r="2" spans="1:17">
      <c r="A2" s="1120" t="s">
        <v>314</v>
      </c>
      <c r="B2" s="1121" t="s">
        <v>315</v>
      </c>
      <c r="C2" s="1122" t="s">
        <v>384</v>
      </c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</row>
    <row r="3" spans="1:17" ht="48">
      <c r="A3" s="1120"/>
      <c r="B3" s="1121"/>
      <c r="C3" s="606" t="s">
        <v>385</v>
      </c>
      <c r="D3" s="606" t="s">
        <v>386</v>
      </c>
      <c r="E3" s="606" t="s">
        <v>387</v>
      </c>
      <c r="F3" s="606" t="s">
        <v>388</v>
      </c>
      <c r="G3" s="606" t="s">
        <v>389</v>
      </c>
      <c r="H3" s="606" t="s">
        <v>390</v>
      </c>
      <c r="I3" s="606" t="s">
        <v>391</v>
      </c>
      <c r="J3" s="606" t="s">
        <v>392</v>
      </c>
      <c r="K3" s="606" t="s">
        <v>393</v>
      </c>
      <c r="L3" s="606" t="s">
        <v>394</v>
      </c>
      <c r="M3" s="606" t="s">
        <v>395</v>
      </c>
      <c r="N3" s="606" t="s">
        <v>396</v>
      </c>
    </row>
    <row r="4" spans="1:17">
      <c r="A4" s="607" t="s">
        <v>147</v>
      </c>
      <c r="B4" s="608">
        <v>128875.28916529956</v>
      </c>
      <c r="C4" s="608">
        <v>22797.389723177374</v>
      </c>
      <c r="D4" s="608">
        <v>17742.764852427339</v>
      </c>
      <c r="E4" s="609">
        <v>3227.684732180353</v>
      </c>
      <c r="F4" s="609">
        <v>8210.3721383356406</v>
      </c>
      <c r="G4" s="609">
        <v>1647.7751324083149</v>
      </c>
      <c r="H4" s="609">
        <v>22132.307503341843</v>
      </c>
      <c r="I4" s="609">
        <v>14911.414830841795</v>
      </c>
      <c r="J4" s="609">
        <v>870.03612839682205</v>
      </c>
      <c r="K4" s="609">
        <v>1616.5569873956372</v>
      </c>
      <c r="L4" s="609">
        <v>472.34410714836065</v>
      </c>
      <c r="M4" s="609">
        <v>33531.002364931206</v>
      </c>
      <c r="N4" s="609">
        <v>1715.6406650445708</v>
      </c>
      <c r="P4" s="909"/>
      <c r="Q4" s="903"/>
    </row>
    <row r="5" spans="1:17">
      <c r="A5" s="610"/>
      <c r="B5" s="611"/>
      <c r="C5" s="611"/>
      <c r="D5" s="611"/>
      <c r="E5" s="612"/>
      <c r="F5" s="612"/>
      <c r="G5" s="612"/>
      <c r="H5" s="612"/>
      <c r="I5" s="612"/>
      <c r="J5" s="612"/>
      <c r="K5" s="612"/>
      <c r="L5" s="612"/>
      <c r="M5" s="612"/>
      <c r="N5" s="612"/>
      <c r="P5" s="909"/>
      <c r="Q5" s="903"/>
    </row>
    <row r="6" spans="1:17">
      <c r="A6" s="1123" t="s">
        <v>3</v>
      </c>
      <c r="B6" s="1123"/>
      <c r="C6" s="1123"/>
      <c r="D6" s="613"/>
      <c r="E6" s="614"/>
      <c r="F6" s="614"/>
      <c r="G6" s="614"/>
      <c r="H6" s="614"/>
      <c r="I6" s="614"/>
      <c r="J6" s="614"/>
      <c r="K6" s="614"/>
      <c r="L6" s="614"/>
      <c r="M6" s="614"/>
      <c r="N6" s="614"/>
      <c r="P6" s="909"/>
      <c r="Q6" s="903"/>
    </row>
    <row r="7" spans="1:17">
      <c r="A7" s="615" t="s">
        <v>4</v>
      </c>
      <c r="B7" s="611">
        <v>84854.990076339745</v>
      </c>
      <c r="C7" s="611">
        <v>19246.665055647274</v>
      </c>
      <c r="D7" s="611">
        <v>14740.393688598373</v>
      </c>
      <c r="E7" s="612">
        <v>2942.6494951080781</v>
      </c>
      <c r="F7" s="612">
        <v>4502.1994350893756</v>
      </c>
      <c r="G7" s="612">
        <v>1011.1964362802344</v>
      </c>
      <c r="H7" s="612">
        <v>20921.586401110631</v>
      </c>
      <c r="I7" s="612">
        <v>11629.437672551359</v>
      </c>
      <c r="J7" s="612">
        <v>422.12361299752916</v>
      </c>
      <c r="K7" s="612">
        <v>738.37699508248556</v>
      </c>
      <c r="L7" s="612">
        <v>255.17440271233261</v>
      </c>
      <c r="M7" s="612">
        <v>7375.626086909414</v>
      </c>
      <c r="N7" s="612">
        <v>1069.5607943474145</v>
      </c>
      <c r="P7" s="909"/>
      <c r="Q7" s="903"/>
    </row>
    <row r="8" spans="1:17">
      <c r="A8" s="615" t="s">
        <v>5</v>
      </c>
      <c r="B8" s="611">
        <v>44020.299089194436</v>
      </c>
      <c r="C8" s="611">
        <v>3550.7246675289311</v>
      </c>
      <c r="D8" s="611">
        <v>3002.3711638279833</v>
      </c>
      <c r="E8" s="612">
        <v>285.03523707228646</v>
      </c>
      <c r="F8" s="612">
        <v>3708.1727032450449</v>
      </c>
      <c r="G8" s="612">
        <v>636.57869612810168</v>
      </c>
      <c r="H8" s="612">
        <v>1210.7211022308268</v>
      </c>
      <c r="I8" s="612">
        <v>3281.9771582893577</v>
      </c>
      <c r="J8" s="612">
        <v>447.91251539930749</v>
      </c>
      <c r="K8" s="612">
        <v>878.17999231317276</v>
      </c>
      <c r="L8" s="612">
        <v>217.1697044360277</v>
      </c>
      <c r="M8" s="612">
        <v>26155.376278020442</v>
      </c>
      <c r="N8" s="612">
        <v>646.07987069717751</v>
      </c>
      <c r="P8" s="909"/>
      <c r="Q8" s="903"/>
    </row>
    <row r="9" spans="1:17">
      <c r="A9" s="616" t="s">
        <v>327</v>
      </c>
      <c r="B9" s="617"/>
      <c r="C9" s="617"/>
      <c r="D9" s="617"/>
      <c r="E9" s="618"/>
      <c r="F9" s="618"/>
      <c r="G9" s="618"/>
      <c r="H9" s="618"/>
      <c r="I9" s="618"/>
      <c r="J9" s="618"/>
      <c r="K9" s="618"/>
      <c r="L9" s="618"/>
      <c r="M9" s="618"/>
      <c r="N9" s="618"/>
    </row>
    <row r="10" spans="1:17">
      <c r="A10" s="619" t="s">
        <v>148</v>
      </c>
      <c r="B10" s="620">
        <v>82847.527620969384</v>
      </c>
      <c r="C10" s="620">
        <v>17076.325321939083</v>
      </c>
      <c r="D10" s="620">
        <v>13980.299723072052</v>
      </c>
      <c r="E10" s="620">
        <v>2886.9997583463482</v>
      </c>
      <c r="F10" s="620">
        <v>4813.0235745635318</v>
      </c>
      <c r="G10" s="620">
        <v>1064.131551736514</v>
      </c>
      <c r="H10" s="620">
        <v>21256.842132333848</v>
      </c>
      <c r="I10" s="620">
        <v>11427.198385295249</v>
      </c>
      <c r="J10" s="620">
        <v>555.14005696459458</v>
      </c>
      <c r="K10" s="620">
        <v>1000.3379510584334</v>
      </c>
      <c r="L10" s="620">
        <v>116.72871613436473</v>
      </c>
      <c r="M10" s="620">
        <v>7622.6566257054683</v>
      </c>
      <c r="N10" s="620">
        <v>1047.8438239038126</v>
      </c>
    </row>
    <row r="11" spans="1:17">
      <c r="A11" s="621" t="s">
        <v>148</v>
      </c>
      <c r="B11" s="611">
        <v>82847.527620969384</v>
      </c>
      <c r="C11" s="611">
        <v>17076.325321939083</v>
      </c>
      <c r="D11" s="611">
        <v>13980.299723072052</v>
      </c>
      <c r="E11" s="611">
        <v>2886.9997583463482</v>
      </c>
      <c r="F11" s="611">
        <v>4813.0235745635318</v>
      </c>
      <c r="G11" s="611">
        <v>1064.131551736514</v>
      </c>
      <c r="H11" s="611">
        <v>21256.842132333848</v>
      </c>
      <c r="I11" s="611">
        <v>11427.198385295249</v>
      </c>
      <c r="J11" s="611">
        <v>555.14005696459458</v>
      </c>
      <c r="K11" s="611">
        <v>1000.3379510584334</v>
      </c>
      <c r="L11" s="611">
        <v>116.72871613436473</v>
      </c>
      <c r="M11" s="611">
        <v>7622.6566257054683</v>
      </c>
      <c r="N11" s="611">
        <v>1047.8438239038126</v>
      </c>
    </row>
    <row r="12" spans="1:17">
      <c r="A12" s="619" t="s">
        <v>149</v>
      </c>
      <c r="B12" s="620">
        <v>8033.921753481317</v>
      </c>
      <c r="C12" s="620">
        <v>613.50441503177467</v>
      </c>
      <c r="D12" s="620">
        <v>457.41368996838372</v>
      </c>
      <c r="E12" s="620">
        <v>278.24868380866059</v>
      </c>
      <c r="F12" s="620">
        <v>551.06812500641922</v>
      </c>
      <c r="G12" s="620">
        <v>432.98209821933057</v>
      </c>
      <c r="H12" s="620">
        <v>639.29331743355192</v>
      </c>
      <c r="I12" s="620">
        <v>1309.8047798797604</v>
      </c>
      <c r="J12" s="620">
        <v>43.433940887205381</v>
      </c>
      <c r="K12" s="620">
        <v>109.94216287073885</v>
      </c>
      <c r="L12" s="620">
        <v>134.37375461979201</v>
      </c>
      <c r="M12" s="620">
        <v>3344.4134483147132</v>
      </c>
      <c r="N12" s="620">
        <v>119.44333743981508</v>
      </c>
    </row>
    <row r="13" spans="1:17">
      <c r="A13" s="621" t="s">
        <v>149</v>
      </c>
      <c r="B13" s="611">
        <v>8033.921753481317</v>
      </c>
      <c r="C13" s="611">
        <v>613.50441503177467</v>
      </c>
      <c r="D13" s="611">
        <v>457.41368996838372</v>
      </c>
      <c r="E13" s="611">
        <v>278.24868380866059</v>
      </c>
      <c r="F13" s="611">
        <v>551.06812500641922</v>
      </c>
      <c r="G13" s="611">
        <v>432.98209821933057</v>
      </c>
      <c r="H13" s="611">
        <v>639.29331743355192</v>
      </c>
      <c r="I13" s="611">
        <v>1309.8047798797604</v>
      </c>
      <c r="J13" s="611">
        <v>43.433940887205381</v>
      </c>
      <c r="K13" s="611">
        <v>109.94216287073885</v>
      </c>
      <c r="L13" s="611">
        <v>134.37375461979201</v>
      </c>
      <c r="M13" s="611">
        <v>3344.4134483147132</v>
      </c>
      <c r="N13" s="611">
        <v>119.44333743981508</v>
      </c>
    </row>
    <row r="14" spans="1:17">
      <c r="A14" s="619" t="s">
        <v>150</v>
      </c>
      <c r="B14" s="620">
        <v>2804.203808530116</v>
      </c>
      <c r="C14" s="620">
        <v>703.08691811163249</v>
      </c>
      <c r="D14" s="620">
        <v>617.57634698995003</v>
      </c>
      <c r="E14" s="622">
        <v>0</v>
      </c>
      <c r="F14" s="622">
        <v>135.73106527251718</v>
      </c>
      <c r="G14" s="622">
        <v>1.3573106527251682</v>
      </c>
      <c r="H14" s="622">
        <v>0</v>
      </c>
      <c r="I14" s="622">
        <v>8.1438639163510089</v>
      </c>
      <c r="J14" s="622">
        <v>4.0719319581755045</v>
      </c>
      <c r="K14" s="622">
        <v>52.935115456281558</v>
      </c>
      <c r="L14" s="622">
        <v>29.860834359953699</v>
      </c>
      <c r="M14" s="620">
        <v>1241.9392472435045</v>
      </c>
      <c r="N14" s="622">
        <v>9.5011745690761771</v>
      </c>
    </row>
    <row r="15" spans="1:17">
      <c r="A15" s="621" t="s">
        <v>150</v>
      </c>
      <c r="B15" s="611">
        <v>2804.203808530116</v>
      </c>
      <c r="C15" s="611">
        <v>703.08691811163249</v>
      </c>
      <c r="D15" s="611">
        <v>617.57634698995003</v>
      </c>
      <c r="E15" s="623">
        <v>0</v>
      </c>
      <c r="F15" s="623">
        <v>135.73106527251718</v>
      </c>
      <c r="G15" s="623">
        <v>1.3573106527251682</v>
      </c>
      <c r="H15" s="623">
        <v>0</v>
      </c>
      <c r="I15" s="623">
        <v>8.1438639163510089</v>
      </c>
      <c r="J15" s="623">
        <v>4.0719319581755045</v>
      </c>
      <c r="K15" s="623">
        <v>52.935115456281558</v>
      </c>
      <c r="L15" s="623">
        <v>29.860834359953699</v>
      </c>
      <c r="M15" s="611">
        <v>1241.9392472435045</v>
      </c>
      <c r="N15" s="623">
        <v>9.5011745690761771</v>
      </c>
    </row>
    <row r="16" spans="1:17">
      <c r="A16" s="619" t="s">
        <v>151</v>
      </c>
      <c r="B16" s="620">
        <v>7090.5908498370436</v>
      </c>
      <c r="C16" s="620">
        <v>2209.7017426365142</v>
      </c>
      <c r="D16" s="620">
        <v>950.11745690760404</v>
      </c>
      <c r="E16" s="622">
        <v>1.3573106527251682</v>
      </c>
      <c r="F16" s="622">
        <v>815.74370228781731</v>
      </c>
      <c r="G16" s="622">
        <v>9.5011745690761771</v>
      </c>
      <c r="H16" s="622">
        <v>10.858485221801345</v>
      </c>
      <c r="I16" s="622">
        <v>57.007047414457062</v>
      </c>
      <c r="J16" s="622">
        <v>5.4292426109006726</v>
      </c>
      <c r="K16" s="622">
        <v>2.7146213054503363</v>
      </c>
      <c r="L16" s="622">
        <v>12.215795874526513</v>
      </c>
      <c r="M16" s="620">
        <v>2953.507980329879</v>
      </c>
      <c r="N16" s="622">
        <v>62.436290025357735</v>
      </c>
    </row>
    <row r="17" spans="1:14">
      <c r="A17" s="621" t="s">
        <v>151</v>
      </c>
      <c r="B17" s="611">
        <v>7090.5908498370436</v>
      </c>
      <c r="C17" s="611">
        <v>2209.7017426365142</v>
      </c>
      <c r="D17" s="611">
        <v>950.11745690760404</v>
      </c>
      <c r="E17" s="623">
        <v>1.3573106527251682</v>
      </c>
      <c r="F17" s="623">
        <v>815.74370228781731</v>
      </c>
      <c r="G17" s="623">
        <v>9.5011745690761771</v>
      </c>
      <c r="H17" s="623">
        <v>10.858485221801345</v>
      </c>
      <c r="I17" s="623">
        <v>57.007047414457062</v>
      </c>
      <c r="J17" s="623">
        <v>5.4292426109006726</v>
      </c>
      <c r="K17" s="623">
        <v>2.7146213054503363</v>
      </c>
      <c r="L17" s="623">
        <v>12.215795874526513</v>
      </c>
      <c r="M17" s="611">
        <v>2953.507980329879</v>
      </c>
      <c r="N17" s="623">
        <v>62.436290025357735</v>
      </c>
    </row>
    <row r="18" spans="1:14">
      <c r="A18" s="619" t="s">
        <v>152</v>
      </c>
      <c r="B18" s="620">
        <v>1748.2161207099737</v>
      </c>
      <c r="C18" s="620">
        <v>209.02584051967665</v>
      </c>
      <c r="D18" s="620">
        <v>149.30417179976894</v>
      </c>
      <c r="E18" s="622">
        <v>0</v>
      </c>
      <c r="F18" s="622">
        <v>680.01263701530547</v>
      </c>
      <c r="G18" s="622">
        <v>0</v>
      </c>
      <c r="H18" s="622">
        <v>6.7865532636258408</v>
      </c>
      <c r="I18" s="622">
        <v>139.80299723069271</v>
      </c>
      <c r="J18" s="622">
        <v>1.3573106527251682</v>
      </c>
      <c r="K18" s="622">
        <v>12.215795874526513</v>
      </c>
      <c r="L18" s="622">
        <v>1.3573106527251682</v>
      </c>
      <c r="M18" s="620">
        <v>492.70376693923828</v>
      </c>
      <c r="N18" s="622">
        <v>55.649736761731894</v>
      </c>
    </row>
    <row r="19" spans="1:14">
      <c r="A19" s="621" t="s">
        <v>152</v>
      </c>
      <c r="B19" s="611">
        <v>1157.7859867745472</v>
      </c>
      <c r="C19" s="611">
        <v>199.52466595060042</v>
      </c>
      <c r="D19" s="611">
        <v>128.94451200889131</v>
      </c>
      <c r="E19" s="623">
        <v>0</v>
      </c>
      <c r="F19" s="623">
        <v>351.54345905582005</v>
      </c>
      <c r="G19" s="623">
        <v>0</v>
      </c>
      <c r="H19" s="623">
        <v>1.3573106527251682</v>
      </c>
      <c r="I19" s="623">
        <v>21.71697044360269</v>
      </c>
      <c r="J19" s="623">
        <v>0</v>
      </c>
      <c r="K19" s="623">
        <v>1.3573106527251682</v>
      </c>
      <c r="L19" s="623">
        <v>1.3573106527251682</v>
      </c>
      <c r="M19" s="611">
        <v>442.48327278840679</v>
      </c>
      <c r="N19" s="623">
        <v>9.5011745690761771</v>
      </c>
    </row>
    <row r="20" spans="1:14">
      <c r="A20" s="621" t="s">
        <v>153</v>
      </c>
      <c r="B20" s="611">
        <v>590.43013393544766</v>
      </c>
      <c r="C20" s="611">
        <v>9.5011745690761771</v>
      </c>
      <c r="D20" s="611">
        <v>20.359659790877522</v>
      </c>
      <c r="E20" s="623">
        <v>0</v>
      </c>
      <c r="F20" s="623">
        <v>328.46917795949207</v>
      </c>
      <c r="G20" s="623">
        <v>0</v>
      </c>
      <c r="H20" s="623">
        <v>5.4292426109006726</v>
      </c>
      <c r="I20" s="623">
        <v>118.08602678708991</v>
      </c>
      <c r="J20" s="623">
        <v>1.3573106527251682</v>
      </c>
      <c r="K20" s="623">
        <v>10.858485221801345</v>
      </c>
      <c r="L20" s="623">
        <v>0</v>
      </c>
      <c r="M20" s="611">
        <v>50.220494150831222</v>
      </c>
      <c r="N20" s="623">
        <v>46.148562192655717</v>
      </c>
    </row>
    <row r="21" spans="1:14">
      <c r="A21" s="619" t="s">
        <v>154</v>
      </c>
      <c r="B21" s="620">
        <v>758.73665487336234</v>
      </c>
      <c r="C21" s="620">
        <v>21.71697044360269</v>
      </c>
      <c r="D21" s="620">
        <v>4.0719319581755045</v>
      </c>
      <c r="E21" s="622">
        <v>0</v>
      </c>
      <c r="F21" s="622">
        <v>156.09072506339481</v>
      </c>
      <c r="G21" s="622">
        <v>10.858485221801345</v>
      </c>
      <c r="H21" s="622">
        <v>17.645038485427186</v>
      </c>
      <c r="I21" s="622">
        <v>120.80064809254026</v>
      </c>
      <c r="J21" s="622">
        <v>2.7146213054503363</v>
      </c>
      <c r="K21" s="622">
        <v>0</v>
      </c>
      <c r="L21" s="622">
        <v>1.3573106527251682</v>
      </c>
      <c r="M21" s="620">
        <v>420.76630234480399</v>
      </c>
      <c r="N21" s="622">
        <v>2.7146213054503363</v>
      </c>
    </row>
    <row r="22" spans="1:14">
      <c r="A22" s="624" t="s">
        <v>154</v>
      </c>
      <c r="B22" s="612">
        <v>499.49032020286415</v>
      </c>
      <c r="C22" s="623">
        <v>0</v>
      </c>
      <c r="D22" s="623">
        <v>1.3573106527251682</v>
      </c>
      <c r="E22" s="623">
        <v>0</v>
      </c>
      <c r="F22" s="623">
        <v>146.58955049431859</v>
      </c>
      <c r="G22" s="623">
        <v>9.5011745690761771</v>
      </c>
      <c r="H22" s="623">
        <v>5.4292426109006726</v>
      </c>
      <c r="I22" s="623">
        <v>120.80064809254026</v>
      </c>
      <c r="J22" s="623">
        <v>2.7146213054503363</v>
      </c>
      <c r="K22" s="623">
        <v>0</v>
      </c>
      <c r="L22" s="623">
        <v>1.3573106527251682</v>
      </c>
      <c r="M22" s="611">
        <v>211.740461825127</v>
      </c>
      <c r="N22" s="623">
        <v>0</v>
      </c>
    </row>
    <row r="23" spans="1:14">
      <c r="A23" s="624" t="s">
        <v>155</v>
      </c>
      <c r="B23" s="612">
        <v>259.24633467050813</v>
      </c>
      <c r="C23" s="623">
        <v>21.71697044360269</v>
      </c>
      <c r="D23" s="623">
        <v>2.7146213054503363</v>
      </c>
      <c r="E23" s="623">
        <v>0</v>
      </c>
      <c r="F23" s="623">
        <v>9.5011745690761771</v>
      </c>
      <c r="G23" s="623">
        <v>1.3573106527251682</v>
      </c>
      <c r="H23" s="623">
        <v>12.215795874526513</v>
      </c>
      <c r="I23" s="623">
        <v>0</v>
      </c>
      <c r="J23" s="623">
        <v>0</v>
      </c>
      <c r="K23" s="623">
        <v>0</v>
      </c>
      <c r="L23" s="623">
        <v>0</v>
      </c>
      <c r="M23" s="611">
        <v>209.02584051967665</v>
      </c>
      <c r="N23" s="623">
        <v>2.7146213054503363</v>
      </c>
    </row>
    <row r="24" spans="1:14">
      <c r="A24" s="625" t="s">
        <v>156</v>
      </c>
      <c r="B24" s="620">
        <v>4139.7974908116475</v>
      </c>
      <c r="C24" s="620">
        <v>613.50441503177467</v>
      </c>
      <c r="D24" s="626">
        <v>658.29566657170358</v>
      </c>
      <c r="E24" s="622">
        <v>0</v>
      </c>
      <c r="F24" s="622">
        <v>1.3573106527251682</v>
      </c>
      <c r="G24" s="622">
        <v>38.004698276304708</v>
      </c>
      <c r="H24" s="622">
        <v>63.793600678082903</v>
      </c>
      <c r="I24" s="622">
        <v>39.362008929029876</v>
      </c>
      <c r="J24" s="622">
        <v>2.7146213054503363</v>
      </c>
      <c r="K24" s="622">
        <v>0</v>
      </c>
      <c r="L24" s="622">
        <v>8.1438639163510089</v>
      </c>
      <c r="M24" s="620">
        <v>2601.9645212740734</v>
      </c>
      <c r="N24" s="622">
        <v>112.65678417618921</v>
      </c>
    </row>
    <row r="25" spans="1:14">
      <c r="A25" s="624" t="s">
        <v>156</v>
      </c>
      <c r="B25" s="611">
        <v>1980.3162423259689</v>
      </c>
      <c r="C25" s="611">
        <v>160.16265702157034</v>
      </c>
      <c r="D25" s="612">
        <v>191.38080203424937</v>
      </c>
      <c r="E25" s="623">
        <v>0</v>
      </c>
      <c r="F25" s="623">
        <v>0</v>
      </c>
      <c r="G25" s="623">
        <v>5.4292426109006726</v>
      </c>
      <c r="H25" s="623">
        <v>0</v>
      </c>
      <c r="I25" s="623">
        <v>0</v>
      </c>
      <c r="J25" s="623">
        <v>1.3573106527251682</v>
      </c>
      <c r="K25" s="623">
        <v>0</v>
      </c>
      <c r="L25" s="623">
        <v>5.4292426109006726</v>
      </c>
      <c r="M25" s="611">
        <v>1608.4131234792865</v>
      </c>
      <c r="N25" s="623">
        <v>8.1438639163510089</v>
      </c>
    </row>
    <row r="26" spans="1:14">
      <c r="A26" s="624" t="s">
        <v>157</v>
      </c>
      <c r="B26" s="611">
        <v>2159.4812484856848</v>
      </c>
      <c r="C26" s="611">
        <v>453.3417580102082</v>
      </c>
      <c r="D26" s="612">
        <v>466.91486453745995</v>
      </c>
      <c r="E26" s="623">
        <v>0</v>
      </c>
      <c r="F26" s="623">
        <v>1.3573106527251682</v>
      </c>
      <c r="G26" s="623">
        <v>32.575455665404036</v>
      </c>
      <c r="H26" s="623">
        <v>63.793600678082903</v>
      </c>
      <c r="I26" s="623">
        <v>39.362008929029876</v>
      </c>
      <c r="J26" s="623">
        <v>1.3573106527251682</v>
      </c>
      <c r="K26" s="623">
        <v>0</v>
      </c>
      <c r="L26" s="623">
        <v>2.7146213054503363</v>
      </c>
      <c r="M26" s="611">
        <v>993.55139779480783</v>
      </c>
      <c r="N26" s="623">
        <v>104.51292025983815</v>
      </c>
    </row>
    <row r="27" spans="1:14">
      <c r="A27" s="625" t="s">
        <v>158</v>
      </c>
      <c r="B27" s="620">
        <v>6323.7103310470948</v>
      </c>
      <c r="C27" s="620">
        <v>172.37845289609692</v>
      </c>
      <c r="D27" s="626">
        <v>162.87727832702069</v>
      </c>
      <c r="E27" s="622">
        <v>42.076630234480213</v>
      </c>
      <c r="F27" s="622">
        <v>331.18379926494242</v>
      </c>
      <c r="G27" s="622">
        <v>23.074281096327859</v>
      </c>
      <c r="H27" s="622">
        <v>0</v>
      </c>
      <c r="I27" s="622">
        <v>84.153260468960525</v>
      </c>
      <c r="J27" s="622">
        <v>221.24163639420323</v>
      </c>
      <c r="K27" s="622">
        <v>306.75220751588927</v>
      </c>
      <c r="L27" s="622">
        <v>8.1438639163510089</v>
      </c>
      <c r="M27" s="620">
        <v>4894.4622137270662</v>
      </c>
      <c r="N27" s="622">
        <v>77.366707205334649</v>
      </c>
    </row>
    <row r="28" spans="1:14">
      <c r="A28" s="624" t="s">
        <v>158</v>
      </c>
      <c r="B28" s="611">
        <v>5377.6648060973703</v>
      </c>
      <c r="C28" s="611">
        <v>169.66383159064657</v>
      </c>
      <c r="D28" s="612">
        <v>160.16265702157034</v>
      </c>
      <c r="E28" s="623">
        <v>42.076630234480213</v>
      </c>
      <c r="F28" s="623">
        <v>223.95625769965358</v>
      </c>
      <c r="G28" s="623">
        <v>23.074281096327859</v>
      </c>
      <c r="H28" s="623">
        <v>0</v>
      </c>
      <c r="I28" s="623">
        <v>0</v>
      </c>
      <c r="J28" s="623">
        <v>221.24163639420323</v>
      </c>
      <c r="K28" s="623">
        <v>306.75220751588927</v>
      </c>
      <c r="L28" s="623">
        <v>5.4292426109006726</v>
      </c>
      <c r="M28" s="611">
        <v>4217.1641980170052</v>
      </c>
      <c r="N28" s="623">
        <v>8.1438639163510089</v>
      </c>
    </row>
    <row r="29" spans="1:14">
      <c r="A29" s="624" t="s">
        <v>159</v>
      </c>
      <c r="B29" s="611">
        <v>946.04552494942868</v>
      </c>
      <c r="C29" s="611">
        <v>2.7146213054503363</v>
      </c>
      <c r="D29" s="612">
        <v>2.7146213054503363</v>
      </c>
      <c r="E29" s="623">
        <v>0</v>
      </c>
      <c r="F29" s="623">
        <v>107.2275415652885</v>
      </c>
      <c r="G29" s="623">
        <v>0</v>
      </c>
      <c r="H29" s="623">
        <v>0</v>
      </c>
      <c r="I29" s="612">
        <v>84.153260468960525</v>
      </c>
      <c r="J29" s="623">
        <v>0</v>
      </c>
      <c r="K29" s="623">
        <v>0</v>
      </c>
      <c r="L29" s="623">
        <v>2.7146213054503363</v>
      </c>
      <c r="M29" s="611">
        <v>677.29801570985524</v>
      </c>
      <c r="N29" s="623">
        <v>69.222843288983597</v>
      </c>
    </row>
    <row r="30" spans="1:14">
      <c r="A30" s="625" t="s">
        <v>160</v>
      </c>
      <c r="B30" s="620">
        <v>1749.5734313626988</v>
      </c>
      <c r="C30" s="620">
        <v>61.078979372632567</v>
      </c>
      <c r="D30" s="626">
        <v>40.719319581755045</v>
      </c>
      <c r="E30" s="622">
        <v>1.3573106527251682</v>
      </c>
      <c r="F30" s="622">
        <v>0</v>
      </c>
      <c r="G30" s="622">
        <v>1.3573106527251682</v>
      </c>
      <c r="H30" s="622">
        <v>1.3573106527251682</v>
      </c>
      <c r="I30" s="626">
        <v>111.29947352346403</v>
      </c>
      <c r="J30" s="622">
        <v>0</v>
      </c>
      <c r="K30" s="622">
        <v>1.3573106527251682</v>
      </c>
      <c r="L30" s="622">
        <v>1.3573106527251682</v>
      </c>
      <c r="M30" s="620">
        <v>1525.6171736630542</v>
      </c>
      <c r="N30" s="622">
        <v>4.0719319581755045</v>
      </c>
    </row>
    <row r="31" spans="1:14">
      <c r="A31" s="624" t="s">
        <v>160</v>
      </c>
      <c r="B31" s="611">
        <v>1749.5734313626988</v>
      </c>
      <c r="C31" s="611">
        <v>61.078979372632567</v>
      </c>
      <c r="D31" s="612">
        <v>40.719319581755045</v>
      </c>
      <c r="E31" s="623">
        <v>1.3573106527251682</v>
      </c>
      <c r="F31" s="623">
        <v>0</v>
      </c>
      <c r="G31" s="623">
        <v>1.3573106527251682</v>
      </c>
      <c r="H31" s="623">
        <v>1.3573106527251682</v>
      </c>
      <c r="I31" s="612">
        <v>111.29947352346403</v>
      </c>
      <c r="J31" s="623">
        <v>0</v>
      </c>
      <c r="K31" s="623">
        <v>1.3573106527251682</v>
      </c>
      <c r="L31" s="623">
        <v>1.3573106527251682</v>
      </c>
      <c r="M31" s="611">
        <v>1525.6171736630542</v>
      </c>
      <c r="N31" s="623">
        <v>4.0719319581755045</v>
      </c>
    </row>
    <row r="32" spans="1:14">
      <c r="A32" s="625" t="s">
        <v>161</v>
      </c>
      <c r="B32" s="620">
        <v>7605.0115872200358</v>
      </c>
      <c r="C32" s="620">
        <v>652.8664239608031</v>
      </c>
      <c r="D32" s="626">
        <v>337.9703525285683</v>
      </c>
      <c r="E32" s="622">
        <v>12.215795874526513</v>
      </c>
      <c r="F32" s="622">
        <v>598.57399785179837</v>
      </c>
      <c r="G32" s="622">
        <v>66.508221983533247</v>
      </c>
      <c r="H32" s="622">
        <v>107.2275415652885</v>
      </c>
      <c r="I32" s="620">
        <v>1472.6820582067746</v>
      </c>
      <c r="J32" s="620">
        <v>28.503523707228531</v>
      </c>
      <c r="K32" s="620">
        <v>112.65678417618921</v>
      </c>
      <c r="L32" s="620">
        <v>153.37610375794446</v>
      </c>
      <c r="M32" s="620">
        <v>3906.3400585429122</v>
      </c>
      <c r="N32" s="622">
        <v>156.09072506339481</v>
      </c>
    </row>
    <row r="33" spans="1:14">
      <c r="A33" s="624" t="s">
        <v>161</v>
      </c>
      <c r="B33" s="611">
        <v>6319.638399088918</v>
      </c>
      <c r="C33" s="611">
        <v>629.79214286447609</v>
      </c>
      <c r="D33" s="612">
        <v>318.96800339041584</v>
      </c>
      <c r="E33" s="623">
        <v>12.215795874526513</v>
      </c>
      <c r="F33" s="623">
        <v>594.50206589362301</v>
      </c>
      <c r="G33" s="623">
        <v>63.793600678082903</v>
      </c>
      <c r="H33" s="623">
        <v>103.15560960711298</v>
      </c>
      <c r="I33" s="611">
        <v>1001.6952617111585</v>
      </c>
      <c r="J33" s="611">
        <v>28.503523707228531</v>
      </c>
      <c r="K33" s="611">
        <v>108.58485221801368</v>
      </c>
      <c r="L33" s="611">
        <v>150.66148245249411</v>
      </c>
      <c r="M33" s="611">
        <v>3163.8911315022724</v>
      </c>
      <c r="N33" s="623">
        <v>143.87492918886824</v>
      </c>
    </row>
    <row r="34" spans="1:14">
      <c r="A34" s="624" t="s">
        <v>162</v>
      </c>
      <c r="B34" s="611">
        <v>1285.3731881307083</v>
      </c>
      <c r="C34" s="611">
        <v>23.074281096327859</v>
      </c>
      <c r="D34" s="612">
        <v>19.002349138152354</v>
      </c>
      <c r="E34" s="623">
        <v>0</v>
      </c>
      <c r="F34" s="623">
        <v>4.0719319581755045</v>
      </c>
      <c r="G34" s="623">
        <v>2.7146213054503363</v>
      </c>
      <c r="H34" s="623">
        <v>4.0719319581755045</v>
      </c>
      <c r="I34" s="612">
        <v>470.98679649563547</v>
      </c>
      <c r="J34" s="623">
        <v>0</v>
      </c>
      <c r="K34" s="623">
        <v>4.0719319581755045</v>
      </c>
      <c r="L34" s="623">
        <v>2.7146213054503363</v>
      </c>
      <c r="M34" s="612">
        <v>742.44892704066092</v>
      </c>
      <c r="N34" s="623">
        <v>12.215795874526513</v>
      </c>
    </row>
    <row r="35" spans="1:14">
      <c r="A35" s="625" t="s">
        <v>163</v>
      </c>
      <c r="B35" s="620">
        <v>5773.9995166932376</v>
      </c>
      <c r="C35" s="620">
        <v>464.2002432320096</v>
      </c>
      <c r="D35" s="626">
        <v>384.11891472122426</v>
      </c>
      <c r="E35" s="622">
        <v>5.4292426109006726</v>
      </c>
      <c r="F35" s="622">
        <v>127.58720135616613</v>
      </c>
      <c r="G35" s="622">
        <v>0</v>
      </c>
      <c r="H35" s="622">
        <v>28.503523707228531</v>
      </c>
      <c r="I35" s="626">
        <v>141.16030788341789</v>
      </c>
      <c r="J35" s="622">
        <v>5.4292426109006726</v>
      </c>
      <c r="K35" s="622">
        <v>17.645038485427186</v>
      </c>
      <c r="L35" s="622">
        <v>5.4292426109006726</v>
      </c>
      <c r="M35" s="620">
        <v>4526.6310268384359</v>
      </c>
      <c r="N35" s="622">
        <v>67.865532636258422</v>
      </c>
    </row>
    <row r="36" spans="1:14">
      <c r="A36" s="624" t="s">
        <v>163</v>
      </c>
      <c r="B36" s="611">
        <v>4228.0226832388098</v>
      </c>
      <c r="C36" s="611">
        <v>377.33236145759838</v>
      </c>
      <c r="D36" s="612">
        <v>333.89842057039277</v>
      </c>
      <c r="E36" s="623">
        <v>5.4292426109006726</v>
      </c>
      <c r="F36" s="623">
        <v>76.009396552609473</v>
      </c>
      <c r="G36" s="623">
        <v>0</v>
      </c>
      <c r="H36" s="623">
        <v>16.287727832702018</v>
      </c>
      <c r="I36" s="612">
        <v>63.793600678082903</v>
      </c>
      <c r="J36" s="623">
        <v>5.4292426109006726</v>
      </c>
      <c r="K36" s="623">
        <v>6.7865532636258408</v>
      </c>
      <c r="L36" s="623">
        <v>5.4292426109006726</v>
      </c>
      <c r="M36" s="611">
        <v>3281.9771582893577</v>
      </c>
      <c r="N36" s="623">
        <v>55.649736761731894</v>
      </c>
    </row>
    <row r="37" spans="1:14">
      <c r="A37" s="627" t="s">
        <v>164</v>
      </c>
      <c r="B37" s="628">
        <v>1545.976833453931</v>
      </c>
      <c r="C37" s="628">
        <v>86.867881774410876</v>
      </c>
      <c r="D37" s="629">
        <v>50.220494150831222</v>
      </c>
      <c r="E37" s="629">
        <v>0</v>
      </c>
      <c r="F37" s="629">
        <v>51.57780480355639</v>
      </c>
      <c r="G37" s="629">
        <v>0</v>
      </c>
      <c r="H37" s="629">
        <v>12.215795874526513</v>
      </c>
      <c r="I37" s="630">
        <v>77.366707205334649</v>
      </c>
      <c r="J37" s="629">
        <v>0</v>
      </c>
      <c r="K37" s="629">
        <v>10.858485221801345</v>
      </c>
      <c r="L37" s="629">
        <v>0</v>
      </c>
      <c r="M37" s="628">
        <v>1244.6538685489547</v>
      </c>
      <c r="N37" s="629">
        <v>12.215795874526513</v>
      </c>
    </row>
  </sheetData>
  <mergeCells count="5">
    <mergeCell ref="A1:N1"/>
    <mergeCell ref="A2:A3"/>
    <mergeCell ref="B2:B3"/>
    <mergeCell ref="C2:N2"/>
    <mergeCell ref="A6:C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7"/>
  <sheetViews>
    <sheetView workbookViewId="0">
      <selection activeCell="B2" sqref="B2:B3"/>
    </sheetView>
  </sheetViews>
  <sheetFormatPr defaultRowHeight="15"/>
  <cols>
    <col min="1" max="1" width="23.5703125" style="26" customWidth="1"/>
    <col min="2" max="2" width="13" style="26" customWidth="1"/>
    <col min="3" max="3" width="12.42578125" style="26" customWidth="1"/>
    <col min="4" max="4" width="15.42578125" style="26" customWidth="1"/>
    <col min="5" max="5" width="9.140625" style="26"/>
    <col min="6" max="6" width="9.5703125" style="26" bestFit="1" customWidth="1"/>
    <col min="7" max="16384" width="9.140625" style="26"/>
  </cols>
  <sheetData>
    <row r="1" spans="1:6" ht="28.5" customHeight="1">
      <c r="A1" s="1124" t="s">
        <v>397</v>
      </c>
      <c r="B1" s="1124"/>
      <c r="C1" s="1124"/>
      <c r="D1" s="1124"/>
      <c r="E1" s="1124"/>
    </row>
    <row r="2" spans="1:6" ht="24" customHeight="1">
      <c r="A2" s="1125" t="s">
        <v>314</v>
      </c>
      <c r="B2" s="1126" t="s">
        <v>315</v>
      </c>
      <c r="C2" s="1127" t="s">
        <v>398</v>
      </c>
      <c r="D2" s="1127"/>
      <c r="E2" s="1127"/>
    </row>
    <row r="3" spans="1:6" ht="24">
      <c r="A3" s="1125"/>
      <c r="B3" s="1126"/>
      <c r="C3" s="631" t="s">
        <v>399</v>
      </c>
      <c r="D3" s="631" t="s">
        <v>400</v>
      </c>
      <c r="E3" s="631" t="s">
        <v>306</v>
      </c>
    </row>
    <row r="4" spans="1:6">
      <c r="A4" s="632" t="s">
        <v>147</v>
      </c>
      <c r="B4" s="633">
        <v>128875.28916529956</v>
      </c>
      <c r="C4" s="633">
        <v>58884.208047192187</v>
      </c>
      <c r="D4" s="633">
        <v>69936.788692312941</v>
      </c>
      <c r="E4" s="634">
        <v>54.292426109006726</v>
      </c>
      <c r="F4" s="903"/>
    </row>
    <row r="5" spans="1:6">
      <c r="A5" s="635"/>
      <c r="B5" s="636"/>
      <c r="C5" s="636"/>
      <c r="D5" s="636"/>
      <c r="E5" s="637"/>
      <c r="F5" s="903"/>
    </row>
    <row r="6" spans="1:6">
      <c r="A6" s="1128" t="s">
        <v>3</v>
      </c>
      <c r="B6" s="1128"/>
      <c r="C6" s="1128"/>
      <c r="D6" s="638"/>
      <c r="E6" s="639"/>
      <c r="F6" s="903"/>
    </row>
    <row r="7" spans="1:6">
      <c r="A7" s="640" t="s">
        <v>4</v>
      </c>
      <c r="B7" s="641">
        <v>84854.990076339745</v>
      </c>
      <c r="C7" s="641">
        <v>29264.97498341473</v>
      </c>
      <c r="D7" s="641">
        <v>55547.938462792728</v>
      </c>
      <c r="E7" s="642">
        <v>42.076630234480213</v>
      </c>
      <c r="F7" s="903"/>
    </row>
    <row r="8" spans="1:6">
      <c r="A8" s="640" t="s">
        <v>5</v>
      </c>
      <c r="B8" s="641">
        <v>44020.299089194436</v>
      </c>
      <c r="C8" s="641">
        <v>29619.233063776104</v>
      </c>
      <c r="D8" s="641">
        <v>14388.85022954245</v>
      </c>
      <c r="E8" s="642">
        <v>12.215795874526513</v>
      </c>
      <c r="F8" s="903"/>
    </row>
    <row r="9" spans="1:6" ht="16.5" customHeight="1">
      <c r="A9" s="616" t="s">
        <v>327</v>
      </c>
      <c r="B9" s="638"/>
      <c r="C9" s="638"/>
      <c r="D9" s="638"/>
      <c r="E9" s="639"/>
    </row>
    <row r="10" spans="1:6">
      <c r="A10" s="643" t="s">
        <v>148</v>
      </c>
      <c r="B10" s="636">
        <v>82847.527620969384</v>
      </c>
      <c r="C10" s="636">
        <v>29345.056311925538</v>
      </c>
      <c r="D10" s="636">
        <v>53460.394678900797</v>
      </c>
      <c r="E10" s="637">
        <v>42.076630234480213</v>
      </c>
    </row>
    <row r="11" spans="1:6">
      <c r="A11" s="640" t="s">
        <v>148</v>
      </c>
      <c r="B11" s="641">
        <v>82847.527620969384</v>
      </c>
      <c r="C11" s="641">
        <v>29345.056311925538</v>
      </c>
      <c r="D11" s="641">
        <v>53460.394678900797</v>
      </c>
      <c r="E11" s="642">
        <v>42.076630234480213</v>
      </c>
    </row>
    <row r="12" spans="1:6">
      <c r="A12" s="643" t="s">
        <v>149</v>
      </c>
      <c r="B12" s="636">
        <v>8033.921753481317</v>
      </c>
      <c r="C12" s="636">
        <v>4802.1650893417273</v>
      </c>
      <c r="D12" s="636">
        <v>3227.684732180353</v>
      </c>
      <c r="E12" s="637">
        <v>4.0719319581755045</v>
      </c>
    </row>
    <row r="13" spans="1:6">
      <c r="A13" s="640" t="s">
        <v>149</v>
      </c>
      <c r="B13" s="641">
        <v>8033.921753481317</v>
      </c>
      <c r="C13" s="641">
        <v>4802.1650893417273</v>
      </c>
      <c r="D13" s="641">
        <v>3227.684732180353</v>
      </c>
      <c r="E13" s="642">
        <v>4.0719319581755045</v>
      </c>
    </row>
    <row r="14" spans="1:6">
      <c r="A14" s="643" t="s">
        <v>150</v>
      </c>
      <c r="B14" s="636">
        <v>2804.203808530116</v>
      </c>
      <c r="C14" s="636">
        <v>1886.6618072879357</v>
      </c>
      <c r="D14" s="636">
        <v>917.5420012422012</v>
      </c>
      <c r="E14" s="637">
        <v>0</v>
      </c>
    </row>
    <row r="15" spans="1:6">
      <c r="A15" s="640" t="s">
        <v>150</v>
      </c>
      <c r="B15" s="641">
        <v>2804.203808530116</v>
      </c>
      <c r="C15" s="641">
        <v>1886.6618072879357</v>
      </c>
      <c r="D15" s="641">
        <v>917.5420012422012</v>
      </c>
      <c r="E15" s="642">
        <v>0</v>
      </c>
    </row>
    <row r="16" spans="1:6">
      <c r="A16" s="643" t="s">
        <v>151</v>
      </c>
      <c r="B16" s="636">
        <v>7090.5908498370436</v>
      </c>
      <c r="C16" s="636">
        <v>3432.6386407418458</v>
      </c>
      <c r="D16" s="636">
        <v>3656.5948984414904</v>
      </c>
      <c r="E16" s="637">
        <v>1.3573106527251682</v>
      </c>
    </row>
    <row r="17" spans="1:5">
      <c r="A17" s="640" t="s">
        <v>151</v>
      </c>
      <c r="B17" s="641">
        <v>7090.5908498370436</v>
      </c>
      <c r="C17" s="641">
        <v>3432.6386407418458</v>
      </c>
      <c r="D17" s="641">
        <v>3656.5948984414904</v>
      </c>
      <c r="E17" s="642">
        <v>1.3573106527251682</v>
      </c>
    </row>
    <row r="18" spans="1:5">
      <c r="A18" s="643" t="s">
        <v>152</v>
      </c>
      <c r="B18" s="636">
        <v>1748.2161207099737</v>
      </c>
      <c r="C18" s="636">
        <v>1256.8696644234808</v>
      </c>
      <c r="D18" s="636">
        <v>491.3464562865131</v>
      </c>
      <c r="E18" s="637">
        <v>0</v>
      </c>
    </row>
    <row r="19" spans="1:5">
      <c r="A19" s="640" t="s">
        <v>152</v>
      </c>
      <c r="B19" s="641">
        <v>1157.7859867745472</v>
      </c>
      <c r="C19" s="641">
        <v>868.67881774409693</v>
      </c>
      <c r="D19" s="641">
        <v>289.10716903046199</v>
      </c>
      <c r="E19" s="642">
        <v>0</v>
      </c>
    </row>
    <row r="20" spans="1:5">
      <c r="A20" s="640" t="s">
        <v>153</v>
      </c>
      <c r="B20" s="641">
        <v>590.43013393544766</v>
      </c>
      <c r="C20" s="641">
        <v>388.19084667939978</v>
      </c>
      <c r="D20" s="641">
        <v>202.23928725605077</v>
      </c>
      <c r="E20" s="642">
        <v>0</v>
      </c>
    </row>
    <row r="21" spans="1:5">
      <c r="A21" s="643" t="s">
        <v>154</v>
      </c>
      <c r="B21" s="636">
        <v>758.73665487336234</v>
      </c>
      <c r="C21" s="636">
        <v>439.76865148295644</v>
      </c>
      <c r="D21" s="636">
        <v>318.96800339041584</v>
      </c>
      <c r="E21" s="637">
        <v>0</v>
      </c>
    </row>
    <row r="22" spans="1:5">
      <c r="A22" s="640" t="s">
        <v>154</v>
      </c>
      <c r="B22" s="641">
        <v>499.49032020286415</v>
      </c>
      <c r="C22" s="641">
        <v>294.53641164136269</v>
      </c>
      <c r="D22" s="641">
        <v>204.95390856150112</v>
      </c>
      <c r="E22" s="642">
        <v>0</v>
      </c>
    </row>
    <row r="23" spans="1:5">
      <c r="A23" s="640" t="s">
        <v>155</v>
      </c>
      <c r="B23" s="641">
        <v>259.24633467050813</v>
      </c>
      <c r="C23" s="641">
        <v>145.23223984159341</v>
      </c>
      <c r="D23" s="641">
        <v>114.01409482891438</v>
      </c>
      <c r="E23" s="642">
        <v>0</v>
      </c>
    </row>
    <row r="24" spans="1:5">
      <c r="A24" s="643" t="s">
        <v>156</v>
      </c>
      <c r="B24" s="636">
        <v>4139.7974908116475</v>
      </c>
      <c r="C24" s="636">
        <v>2753.9833143792866</v>
      </c>
      <c r="D24" s="636">
        <v>1385.814176432367</v>
      </c>
      <c r="E24" s="637">
        <v>0</v>
      </c>
    </row>
    <row r="25" spans="1:5">
      <c r="A25" s="640" t="s">
        <v>156</v>
      </c>
      <c r="B25" s="641">
        <v>1980.3162423259689</v>
      </c>
      <c r="C25" s="641">
        <v>1456.3943303740732</v>
      </c>
      <c r="D25" s="641">
        <v>523.92191195191685</v>
      </c>
      <c r="E25" s="642">
        <v>0</v>
      </c>
    </row>
    <row r="26" spans="1:5">
      <c r="A26" s="640" t="s">
        <v>157</v>
      </c>
      <c r="B26" s="641">
        <v>2159.4812484856848</v>
      </c>
      <c r="C26" s="641">
        <v>1297.5889840052344</v>
      </c>
      <c r="D26" s="641">
        <v>861.89226448047134</v>
      </c>
      <c r="E26" s="642">
        <v>0</v>
      </c>
    </row>
    <row r="27" spans="1:5">
      <c r="A27" s="643" t="s">
        <v>158</v>
      </c>
      <c r="B27" s="636">
        <v>6323.7103310470948</v>
      </c>
      <c r="C27" s="636">
        <v>5169.9962762303576</v>
      </c>
      <c r="D27" s="636">
        <v>1153.7140548163718</v>
      </c>
      <c r="E27" s="637">
        <v>0</v>
      </c>
    </row>
    <row r="28" spans="1:5">
      <c r="A28" s="640" t="s">
        <v>158</v>
      </c>
      <c r="B28" s="641">
        <v>5377.6648060973703</v>
      </c>
      <c r="C28" s="641">
        <v>4491.340949867571</v>
      </c>
      <c r="D28" s="641">
        <v>886.32385622952347</v>
      </c>
      <c r="E28" s="642">
        <v>0</v>
      </c>
    </row>
    <row r="29" spans="1:5">
      <c r="A29" s="640" t="s">
        <v>159</v>
      </c>
      <c r="B29" s="641">
        <v>946.04552494942868</v>
      </c>
      <c r="C29" s="641">
        <v>678.65532636258035</v>
      </c>
      <c r="D29" s="641">
        <v>267.39019858685919</v>
      </c>
      <c r="E29" s="642">
        <v>0</v>
      </c>
    </row>
    <row r="30" spans="1:5">
      <c r="A30" s="643" t="s">
        <v>160</v>
      </c>
      <c r="B30" s="636">
        <v>1749.5734313626988</v>
      </c>
      <c r="C30" s="636">
        <v>998.9806404057083</v>
      </c>
      <c r="D30" s="636">
        <v>750.59279095701163</v>
      </c>
      <c r="E30" s="637">
        <v>0</v>
      </c>
    </row>
    <row r="31" spans="1:5">
      <c r="A31" s="640" t="s">
        <v>160</v>
      </c>
      <c r="B31" s="641">
        <v>1749.5734313626988</v>
      </c>
      <c r="C31" s="641">
        <v>998.9806404057083</v>
      </c>
      <c r="D31" s="641">
        <v>750.59279095701163</v>
      </c>
      <c r="E31" s="642">
        <v>0</v>
      </c>
    </row>
    <row r="32" spans="1:5">
      <c r="A32" s="643" t="s">
        <v>161</v>
      </c>
      <c r="B32" s="636">
        <v>7605.0115872200358</v>
      </c>
      <c r="C32" s="636">
        <v>4781.8054295508437</v>
      </c>
      <c r="D32" s="636">
        <v>2819.1342257100923</v>
      </c>
      <c r="E32" s="637">
        <v>4.0719319581755045</v>
      </c>
    </row>
    <row r="33" spans="1:5">
      <c r="A33" s="640" t="s">
        <v>161</v>
      </c>
      <c r="B33" s="641">
        <v>6319.638399088918</v>
      </c>
      <c r="C33" s="641">
        <v>3714.9592565086705</v>
      </c>
      <c r="D33" s="641">
        <v>2600.6072106213483</v>
      </c>
      <c r="E33" s="642">
        <v>4.0719319581755045</v>
      </c>
    </row>
    <row r="34" spans="1:5">
      <c r="A34" s="640" t="s">
        <v>162</v>
      </c>
      <c r="B34" s="641">
        <v>1285.3731881307083</v>
      </c>
      <c r="C34" s="641">
        <v>1066.8461730419642</v>
      </c>
      <c r="D34" s="641">
        <v>218.52701508875288</v>
      </c>
      <c r="E34" s="642">
        <v>0</v>
      </c>
    </row>
    <row r="35" spans="1:5">
      <c r="A35" s="643" t="s">
        <v>163</v>
      </c>
      <c r="B35" s="636">
        <v>5773.9995166932376</v>
      </c>
      <c r="C35" s="636">
        <v>4016.2822214136468</v>
      </c>
      <c r="D35" s="636">
        <v>1755.0026739735993</v>
      </c>
      <c r="E35" s="637">
        <v>2.7146213054503363</v>
      </c>
    </row>
    <row r="36" spans="1:5">
      <c r="A36" s="640" t="s">
        <v>163</v>
      </c>
      <c r="B36" s="641">
        <v>4228.0226832388098</v>
      </c>
      <c r="C36" s="641">
        <v>2713.2639947975331</v>
      </c>
      <c r="D36" s="641">
        <v>1513.4013777885282</v>
      </c>
      <c r="E36" s="642">
        <v>1.3573106527251682</v>
      </c>
    </row>
    <row r="37" spans="1:5">
      <c r="A37" s="644" t="s">
        <v>164</v>
      </c>
      <c r="B37" s="645">
        <v>1545.976833453931</v>
      </c>
      <c r="C37" s="645">
        <v>1303.0182266161348</v>
      </c>
      <c r="D37" s="645">
        <v>241.60129618508086</v>
      </c>
      <c r="E37" s="646">
        <v>1.3573106527251682</v>
      </c>
    </row>
  </sheetData>
  <mergeCells count="5">
    <mergeCell ref="A1:E1"/>
    <mergeCell ref="A2:A3"/>
    <mergeCell ref="B2:B3"/>
    <mergeCell ref="C2:E2"/>
    <mergeCell ref="A6:C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37"/>
  <sheetViews>
    <sheetView workbookViewId="0">
      <selection activeCell="E17" sqref="E17"/>
    </sheetView>
  </sheetViews>
  <sheetFormatPr defaultRowHeight="15"/>
  <cols>
    <col min="1" max="1" width="17.42578125" style="26" customWidth="1"/>
    <col min="2" max="2" width="13.7109375" style="26" customWidth="1"/>
    <col min="3" max="3" width="16.140625" style="26" customWidth="1"/>
    <col min="4" max="4" width="15.5703125" style="26" customWidth="1"/>
    <col min="5" max="5" width="16" style="26" customWidth="1"/>
    <col min="6" max="6" width="17.5703125" style="26" customWidth="1"/>
    <col min="7" max="7" width="12.5703125" style="26" customWidth="1"/>
    <col min="8" max="8" width="13.7109375" style="26" customWidth="1"/>
    <col min="9" max="9" width="12.28515625" style="26" customWidth="1"/>
    <col min="10" max="10" width="9.140625" style="26"/>
    <col min="11" max="11" width="12.140625" style="26" customWidth="1"/>
    <col min="12" max="12" width="12.42578125" style="26" customWidth="1"/>
    <col min="13" max="16384" width="9.140625" style="26"/>
  </cols>
  <sheetData>
    <row r="1" spans="1:12">
      <c r="A1" s="1130" t="s">
        <v>401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</row>
    <row r="2" spans="1:12">
      <c r="A2" s="1131" t="s">
        <v>314</v>
      </c>
      <c r="B2" s="1132" t="s">
        <v>315</v>
      </c>
      <c r="C2" s="1132" t="s">
        <v>402</v>
      </c>
      <c r="D2" s="1133" t="s">
        <v>403</v>
      </c>
      <c r="E2" s="1133"/>
      <c r="F2" s="1133"/>
      <c r="G2" s="1133"/>
      <c r="H2" s="1133"/>
      <c r="I2" s="1133"/>
      <c r="J2" s="1133"/>
      <c r="K2" s="1133"/>
      <c r="L2" s="1133"/>
    </row>
    <row r="3" spans="1:12" ht="48">
      <c r="A3" s="1131"/>
      <c r="B3" s="1132"/>
      <c r="C3" s="1132"/>
      <c r="D3" s="647" t="s">
        <v>404</v>
      </c>
      <c r="E3" s="647" t="s">
        <v>405</v>
      </c>
      <c r="F3" s="647" t="s">
        <v>406</v>
      </c>
      <c r="G3" s="647" t="s">
        <v>407</v>
      </c>
      <c r="H3" s="647" t="s">
        <v>408</v>
      </c>
      <c r="I3" s="647" t="s">
        <v>409</v>
      </c>
      <c r="J3" s="647" t="s">
        <v>410</v>
      </c>
      <c r="K3" s="647" t="s">
        <v>411</v>
      </c>
      <c r="L3" s="647" t="s">
        <v>412</v>
      </c>
    </row>
    <row r="4" spans="1:12">
      <c r="A4" s="648" t="s">
        <v>147</v>
      </c>
      <c r="B4" s="649">
        <v>128875.28916529956</v>
      </c>
      <c r="C4" s="649">
        <v>58884.208047192187</v>
      </c>
      <c r="D4" s="649">
        <v>18642.661815184394</v>
      </c>
      <c r="E4" s="650">
        <v>158.80534636884516</v>
      </c>
      <c r="F4" s="649">
        <v>6249.0582451471882</v>
      </c>
      <c r="G4" s="650">
        <v>90.939813732586401</v>
      </c>
      <c r="H4" s="649">
        <v>9859.504581397212</v>
      </c>
      <c r="I4" s="649">
        <v>7001.0083467571558</v>
      </c>
      <c r="J4" s="649">
        <v>10420.073880972874</v>
      </c>
      <c r="K4" s="649">
        <v>382.76160406849908</v>
      </c>
      <c r="L4" s="649">
        <v>6079.3944135564916</v>
      </c>
    </row>
    <row r="5" spans="1:12">
      <c r="A5" s="651"/>
      <c r="B5" s="652"/>
      <c r="C5" s="652"/>
      <c r="D5" s="652"/>
      <c r="E5" s="653"/>
      <c r="F5" s="652"/>
      <c r="G5" s="653"/>
      <c r="H5" s="652"/>
      <c r="I5" s="652"/>
      <c r="J5" s="652"/>
      <c r="K5" s="652"/>
      <c r="L5" s="652"/>
    </row>
    <row r="6" spans="1:12">
      <c r="A6" s="654" t="s">
        <v>3</v>
      </c>
      <c r="B6" s="655"/>
      <c r="C6" s="655"/>
      <c r="D6" s="655"/>
      <c r="E6" s="656"/>
      <c r="F6" s="655"/>
      <c r="G6" s="656"/>
      <c r="H6" s="655"/>
      <c r="I6" s="655"/>
      <c r="J6" s="655"/>
      <c r="K6" s="655"/>
      <c r="L6" s="655"/>
    </row>
    <row r="7" spans="1:12">
      <c r="A7" s="657" t="s">
        <v>4</v>
      </c>
      <c r="B7" s="658">
        <v>84854.990076339745</v>
      </c>
      <c r="C7" s="658">
        <v>29264.97498341473</v>
      </c>
      <c r="D7" s="658">
        <v>7531.7168119728549</v>
      </c>
      <c r="E7" s="659">
        <v>85.5105711216857</v>
      </c>
      <c r="F7" s="658">
        <v>3713.6019458559454</v>
      </c>
      <c r="G7" s="659">
        <v>65.150911330808071</v>
      </c>
      <c r="H7" s="658">
        <v>3922.6277863756136</v>
      </c>
      <c r="I7" s="658">
        <v>5934.1621737148553</v>
      </c>
      <c r="J7" s="658">
        <v>4871.3879326307315</v>
      </c>
      <c r="K7" s="658">
        <v>247.03053879598156</v>
      </c>
      <c r="L7" s="658">
        <v>2893.7863116099738</v>
      </c>
    </row>
    <row r="8" spans="1:12">
      <c r="A8" s="657" t="s">
        <v>5</v>
      </c>
      <c r="B8" s="658">
        <v>44020.299089194436</v>
      </c>
      <c r="C8" s="658">
        <v>29619.233063776104</v>
      </c>
      <c r="D8" s="658">
        <v>11110.94500321019</v>
      </c>
      <c r="E8" s="659">
        <v>73.294775247159123</v>
      </c>
      <c r="F8" s="658">
        <v>2535.4562992905426</v>
      </c>
      <c r="G8" s="659">
        <v>25.788902401778195</v>
      </c>
      <c r="H8" s="658">
        <v>5936.8767950203064</v>
      </c>
      <c r="I8" s="658">
        <v>1066.8461730419642</v>
      </c>
      <c r="J8" s="658">
        <v>5548.6859483407925</v>
      </c>
      <c r="K8" s="658">
        <v>135.73106527251718</v>
      </c>
      <c r="L8" s="658">
        <v>3185.6081019458743</v>
      </c>
    </row>
    <row r="9" spans="1:12">
      <c r="A9" s="1129" t="s">
        <v>327</v>
      </c>
      <c r="B9" s="1129"/>
      <c r="C9" s="1129"/>
      <c r="D9" s="655"/>
      <c r="E9" s="660"/>
      <c r="F9" s="655"/>
      <c r="G9" s="660"/>
      <c r="H9" s="655"/>
      <c r="I9" s="655"/>
      <c r="J9" s="655"/>
      <c r="K9" s="655"/>
      <c r="L9" s="655"/>
    </row>
    <row r="10" spans="1:12">
      <c r="A10" s="661" t="s">
        <v>148</v>
      </c>
      <c r="B10" s="652">
        <v>82847.527620969384</v>
      </c>
      <c r="C10" s="652">
        <v>29345.056311925538</v>
      </c>
      <c r="D10" s="652">
        <v>7560.2203356800919</v>
      </c>
      <c r="E10" s="662">
        <v>101.7982989543878</v>
      </c>
      <c r="F10" s="652">
        <v>3349.8426909256136</v>
      </c>
      <c r="G10" s="662">
        <v>65.150911330808071</v>
      </c>
      <c r="H10" s="652">
        <v>3241.2578387076042</v>
      </c>
      <c r="I10" s="652">
        <v>6368.5015825870387</v>
      </c>
      <c r="J10" s="652">
        <v>5393.9525339300772</v>
      </c>
      <c r="K10" s="652">
        <v>245.67322814325638</v>
      </c>
      <c r="L10" s="652">
        <v>3018.6588916606847</v>
      </c>
    </row>
    <row r="11" spans="1:12">
      <c r="A11" s="667" t="s">
        <v>148</v>
      </c>
      <c r="B11" s="658">
        <v>82847.527620969384</v>
      </c>
      <c r="C11" s="658">
        <v>29345.056311925538</v>
      </c>
      <c r="D11" s="658">
        <v>7560.2203356800919</v>
      </c>
      <c r="E11" s="663">
        <v>101.7982989543878</v>
      </c>
      <c r="F11" s="658">
        <v>3349.8426909256136</v>
      </c>
      <c r="G11" s="663">
        <v>65.150911330808071</v>
      </c>
      <c r="H11" s="658">
        <v>3241.2578387076042</v>
      </c>
      <c r="I11" s="658">
        <v>6368.5015825870387</v>
      </c>
      <c r="J11" s="658">
        <v>5393.9525339300772</v>
      </c>
      <c r="K11" s="658">
        <v>245.67322814325638</v>
      </c>
      <c r="L11" s="658">
        <v>3018.6588916606847</v>
      </c>
    </row>
    <row r="12" spans="1:12">
      <c r="A12" s="661" t="s">
        <v>149</v>
      </c>
      <c r="B12" s="652">
        <v>8033.921753481317</v>
      </c>
      <c r="C12" s="652">
        <v>4802.1650893417273</v>
      </c>
      <c r="D12" s="652">
        <v>1384.4568657796419</v>
      </c>
      <c r="E12" s="662">
        <v>2.7146213054503363</v>
      </c>
      <c r="F12" s="652">
        <v>374.61774015214803</v>
      </c>
      <c r="G12" s="662">
        <v>5.4292426109006726</v>
      </c>
      <c r="H12" s="652">
        <v>644.72256004445239</v>
      </c>
      <c r="I12" s="652">
        <v>180.52231681244797</v>
      </c>
      <c r="J12" s="652">
        <v>1676.2786561155424</v>
      </c>
      <c r="K12" s="652">
        <v>33.932766318129204</v>
      </c>
      <c r="L12" s="652">
        <v>499.49032020286415</v>
      </c>
    </row>
    <row r="13" spans="1:12">
      <c r="A13" s="667" t="s">
        <v>149</v>
      </c>
      <c r="B13" s="658">
        <v>8033.921753481317</v>
      </c>
      <c r="C13" s="658">
        <v>4802.1650893417273</v>
      </c>
      <c r="D13" s="658">
        <v>1384.4568657796419</v>
      </c>
      <c r="E13" s="663">
        <v>2.7146213054503363</v>
      </c>
      <c r="F13" s="658">
        <v>374.61774015214803</v>
      </c>
      <c r="G13" s="663">
        <v>5.4292426109006726</v>
      </c>
      <c r="H13" s="658">
        <v>644.72256004445239</v>
      </c>
      <c r="I13" s="658">
        <v>180.52231681244797</v>
      </c>
      <c r="J13" s="658">
        <v>1676.2786561155424</v>
      </c>
      <c r="K13" s="658">
        <v>33.932766318129204</v>
      </c>
      <c r="L13" s="658">
        <v>499.49032020286415</v>
      </c>
    </row>
    <row r="14" spans="1:12">
      <c r="A14" s="661" t="s">
        <v>150</v>
      </c>
      <c r="B14" s="652">
        <v>2804.203808530116</v>
      </c>
      <c r="C14" s="652">
        <v>1886.6618072879357</v>
      </c>
      <c r="D14" s="652">
        <v>525.27922260464197</v>
      </c>
      <c r="E14" s="662">
        <v>1.3573106527251682</v>
      </c>
      <c r="F14" s="652">
        <v>251.10247075415708</v>
      </c>
      <c r="G14" s="662">
        <v>0</v>
      </c>
      <c r="H14" s="652">
        <v>608.0751724208742</v>
      </c>
      <c r="I14" s="652">
        <v>48.863183498106054</v>
      </c>
      <c r="J14" s="652">
        <v>105.87023091256333</v>
      </c>
      <c r="K14" s="652">
        <v>12.215795874526513</v>
      </c>
      <c r="L14" s="652">
        <v>333.89842057039277</v>
      </c>
    </row>
    <row r="15" spans="1:12">
      <c r="A15" s="667" t="s">
        <v>150</v>
      </c>
      <c r="B15" s="658">
        <v>2804.203808530116</v>
      </c>
      <c r="C15" s="658">
        <v>1886.6618072879357</v>
      </c>
      <c r="D15" s="658">
        <v>525.27922260464197</v>
      </c>
      <c r="E15" s="663">
        <v>1.3573106527251682</v>
      </c>
      <c r="F15" s="658">
        <v>251.10247075415708</v>
      </c>
      <c r="G15" s="663">
        <v>0</v>
      </c>
      <c r="H15" s="658">
        <v>608.0751724208742</v>
      </c>
      <c r="I15" s="658">
        <v>48.863183498106054</v>
      </c>
      <c r="J15" s="658">
        <v>105.87023091256333</v>
      </c>
      <c r="K15" s="658">
        <v>12.215795874526513</v>
      </c>
      <c r="L15" s="658">
        <v>333.89842057039277</v>
      </c>
    </row>
    <row r="16" spans="1:12">
      <c r="A16" s="661" t="s">
        <v>151</v>
      </c>
      <c r="B16" s="652">
        <v>7090.5908498370436</v>
      </c>
      <c r="C16" s="652">
        <v>3432.6386407418458</v>
      </c>
      <c r="D16" s="652">
        <v>1526.9744843157794</v>
      </c>
      <c r="E16" s="662">
        <v>5.4292426109006726</v>
      </c>
      <c r="F16" s="652">
        <v>291.82179033591234</v>
      </c>
      <c r="G16" s="662">
        <v>9.5011745690761771</v>
      </c>
      <c r="H16" s="652">
        <v>1020.6976108493102</v>
      </c>
      <c r="I16" s="652">
        <v>40.719319581755045</v>
      </c>
      <c r="J16" s="652">
        <v>142.51761853614306</v>
      </c>
      <c r="K16" s="652">
        <v>29.860834359953699</v>
      </c>
      <c r="L16" s="652">
        <v>365.1165655830718</v>
      </c>
    </row>
    <row r="17" spans="1:12">
      <c r="A17" s="667" t="s">
        <v>151</v>
      </c>
      <c r="B17" s="658">
        <v>7090.5908498370436</v>
      </c>
      <c r="C17" s="658">
        <v>3432.6386407418458</v>
      </c>
      <c r="D17" s="658">
        <v>1526.9744843157794</v>
      </c>
      <c r="E17" s="663">
        <v>5.4292426109006726</v>
      </c>
      <c r="F17" s="658">
        <v>291.82179033591234</v>
      </c>
      <c r="G17" s="663">
        <v>9.5011745690761771</v>
      </c>
      <c r="H17" s="658">
        <v>1020.6976108493102</v>
      </c>
      <c r="I17" s="658">
        <v>40.719319581755045</v>
      </c>
      <c r="J17" s="658">
        <v>142.51761853614306</v>
      </c>
      <c r="K17" s="658">
        <v>29.860834359953699</v>
      </c>
      <c r="L17" s="658">
        <v>365.1165655830718</v>
      </c>
    </row>
    <row r="18" spans="1:12">
      <c r="A18" s="661" t="s">
        <v>152</v>
      </c>
      <c r="B18" s="652">
        <v>1748.2161207099737</v>
      </c>
      <c r="C18" s="652">
        <v>1256.8696644234808</v>
      </c>
      <c r="D18" s="652">
        <v>426.19554495570469</v>
      </c>
      <c r="E18" s="662">
        <v>0</v>
      </c>
      <c r="F18" s="652">
        <v>24.431591749053027</v>
      </c>
      <c r="G18" s="662">
        <v>4.0719319581755045</v>
      </c>
      <c r="H18" s="652">
        <v>612.14710437904955</v>
      </c>
      <c r="I18" s="652">
        <v>6.7865532636258408</v>
      </c>
      <c r="J18" s="652">
        <v>118.08602678708991</v>
      </c>
      <c r="K18" s="652">
        <v>5.4292426109006726</v>
      </c>
      <c r="L18" s="652">
        <v>59.721668719907399</v>
      </c>
    </row>
    <row r="19" spans="1:12">
      <c r="A19" s="667" t="s">
        <v>152</v>
      </c>
      <c r="B19" s="658">
        <v>1157.7859867745472</v>
      </c>
      <c r="C19" s="658">
        <v>868.67881774409693</v>
      </c>
      <c r="D19" s="658">
        <v>318.96800339041584</v>
      </c>
      <c r="E19" s="663">
        <v>0</v>
      </c>
      <c r="F19" s="658">
        <v>23.074281096327859</v>
      </c>
      <c r="G19" s="663">
        <v>4.0719319581755045</v>
      </c>
      <c r="H19" s="659">
        <v>355.61539101399558</v>
      </c>
      <c r="I19" s="659">
        <v>6.7865532636258408</v>
      </c>
      <c r="J19" s="659">
        <v>105.87023091256333</v>
      </c>
      <c r="K19" s="659">
        <v>5.4292426109006726</v>
      </c>
      <c r="L19" s="659">
        <v>48.863183498106054</v>
      </c>
    </row>
    <row r="20" spans="1:12">
      <c r="A20" s="667" t="s">
        <v>153</v>
      </c>
      <c r="B20" s="658">
        <v>590.43013393544766</v>
      </c>
      <c r="C20" s="658">
        <v>388.19084667939978</v>
      </c>
      <c r="D20" s="658">
        <v>107.2275415652885</v>
      </c>
      <c r="E20" s="663">
        <v>0</v>
      </c>
      <c r="F20" s="658">
        <v>1.3573106527251682</v>
      </c>
      <c r="G20" s="663">
        <v>0</v>
      </c>
      <c r="H20" s="663">
        <v>256.53171336505778</v>
      </c>
      <c r="I20" s="663">
        <v>0</v>
      </c>
      <c r="J20" s="663">
        <v>12.215795874526513</v>
      </c>
      <c r="K20" s="663">
        <v>0</v>
      </c>
      <c r="L20" s="663">
        <v>10.858485221801345</v>
      </c>
    </row>
    <row r="21" spans="1:12">
      <c r="A21" s="661" t="s">
        <v>154</v>
      </c>
      <c r="B21" s="652">
        <v>758.73665487336234</v>
      </c>
      <c r="C21" s="652">
        <v>439.76865148295644</v>
      </c>
      <c r="D21" s="652">
        <v>390.90546798485013</v>
      </c>
      <c r="E21" s="662">
        <v>0</v>
      </c>
      <c r="F21" s="652">
        <v>2.7146213054503363</v>
      </c>
      <c r="G21" s="662">
        <v>0</v>
      </c>
      <c r="H21" s="662">
        <v>31.218145012678868</v>
      </c>
      <c r="I21" s="662">
        <v>0</v>
      </c>
      <c r="J21" s="662">
        <v>14.93041717997685</v>
      </c>
      <c r="K21" s="662">
        <v>0</v>
      </c>
      <c r="L21" s="662">
        <v>0</v>
      </c>
    </row>
    <row r="22" spans="1:12">
      <c r="A22" s="667" t="s">
        <v>154</v>
      </c>
      <c r="B22" s="658">
        <v>499.49032020286415</v>
      </c>
      <c r="C22" s="658">
        <v>294.53641164136269</v>
      </c>
      <c r="D22" s="658">
        <v>287.74985837773681</v>
      </c>
      <c r="E22" s="663">
        <v>0</v>
      </c>
      <c r="F22" s="658">
        <v>1.3573106527251682</v>
      </c>
      <c r="G22" s="663">
        <v>0</v>
      </c>
      <c r="H22" s="663">
        <v>4.0719319581755045</v>
      </c>
      <c r="I22" s="663">
        <v>0</v>
      </c>
      <c r="J22" s="663">
        <v>1.3573106527251682</v>
      </c>
      <c r="K22" s="663">
        <v>0</v>
      </c>
      <c r="L22" s="663">
        <v>0</v>
      </c>
    </row>
    <row r="23" spans="1:12">
      <c r="A23" s="667" t="s">
        <v>155</v>
      </c>
      <c r="B23" s="658">
        <v>259.24633467050813</v>
      </c>
      <c r="C23" s="658">
        <v>145.23223984159341</v>
      </c>
      <c r="D23" s="658">
        <v>103.15560960711298</v>
      </c>
      <c r="E23" s="663">
        <v>0</v>
      </c>
      <c r="F23" s="658">
        <v>1.3573106527251682</v>
      </c>
      <c r="G23" s="663">
        <v>0</v>
      </c>
      <c r="H23" s="663">
        <v>27.146213054503363</v>
      </c>
      <c r="I23" s="663">
        <v>0</v>
      </c>
      <c r="J23" s="663">
        <v>13.573106527251682</v>
      </c>
      <c r="K23" s="663">
        <v>0</v>
      </c>
      <c r="L23" s="663">
        <v>0</v>
      </c>
    </row>
    <row r="24" spans="1:12">
      <c r="A24" s="661" t="s">
        <v>156</v>
      </c>
      <c r="B24" s="652">
        <v>4139.7974908116475</v>
      </c>
      <c r="C24" s="652">
        <v>2753.9833143792866</v>
      </c>
      <c r="D24" s="652">
        <v>884.96654557679835</v>
      </c>
      <c r="E24" s="662">
        <v>8.1438639163510089</v>
      </c>
      <c r="F24" s="652">
        <v>181.87962746517314</v>
      </c>
      <c r="G24" s="662">
        <v>0</v>
      </c>
      <c r="H24" s="653">
        <v>766.88051878971305</v>
      </c>
      <c r="I24" s="653">
        <v>70.580153941708772</v>
      </c>
      <c r="J24" s="653">
        <v>154.73341441066964</v>
      </c>
      <c r="K24" s="653">
        <v>9.5011745690761771</v>
      </c>
      <c r="L24" s="653">
        <v>677.29801570985524</v>
      </c>
    </row>
    <row r="25" spans="1:12">
      <c r="A25" s="667" t="s">
        <v>156</v>
      </c>
      <c r="B25" s="658">
        <v>1980.3162423259689</v>
      </c>
      <c r="C25" s="658">
        <v>1456.3943303740732</v>
      </c>
      <c r="D25" s="658">
        <v>378.68967211032356</v>
      </c>
      <c r="E25" s="663">
        <v>0</v>
      </c>
      <c r="F25" s="658">
        <v>54.292426109006726</v>
      </c>
      <c r="G25" s="663">
        <v>0</v>
      </c>
      <c r="H25" s="659">
        <v>639.29331743355192</v>
      </c>
      <c r="I25" s="659">
        <v>58.364358067182231</v>
      </c>
      <c r="J25" s="659">
        <v>143.87492918886824</v>
      </c>
      <c r="K25" s="659">
        <v>5.4292426109006726</v>
      </c>
      <c r="L25" s="659">
        <v>176.45038485427244</v>
      </c>
    </row>
    <row r="26" spans="1:12">
      <c r="A26" s="667" t="s">
        <v>157</v>
      </c>
      <c r="B26" s="658">
        <v>2159.4812484856848</v>
      </c>
      <c r="C26" s="658">
        <v>1297.5889840052344</v>
      </c>
      <c r="D26" s="658">
        <v>506.27687346649003</v>
      </c>
      <c r="E26" s="663">
        <v>8.1438639163510089</v>
      </c>
      <c r="F26" s="658">
        <v>127.58720135616613</v>
      </c>
      <c r="G26" s="663">
        <v>0</v>
      </c>
      <c r="H26" s="659">
        <v>127.58720135616613</v>
      </c>
      <c r="I26" s="659">
        <v>12.215795874526513</v>
      </c>
      <c r="J26" s="659">
        <v>10.858485221801345</v>
      </c>
      <c r="K26" s="659">
        <v>4.0719319581755045</v>
      </c>
      <c r="L26" s="659">
        <v>500.84763085558933</v>
      </c>
    </row>
    <row r="27" spans="1:12">
      <c r="A27" s="661" t="s">
        <v>158</v>
      </c>
      <c r="B27" s="652">
        <v>6323.7103310470948</v>
      </c>
      <c r="C27" s="652">
        <v>5169.9962762303576</v>
      </c>
      <c r="D27" s="652">
        <v>2933.1483205390023</v>
      </c>
      <c r="E27" s="662">
        <v>2.7146213054503363</v>
      </c>
      <c r="F27" s="652">
        <v>215.81239378330253</v>
      </c>
      <c r="G27" s="662">
        <v>1.3573106527251682</v>
      </c>
      <c r="H27" s="652">
        <v>1369.5264485996656</v>
      </c>
      <c r="I27" s="652">
        <v>25.788902401778195</v>
      </c>
      <c r="J27" s="652">
        <v>435.69671952478092</v>
      </c>
      <c r="K27" s="652">
        <v>2.7146213054503363</v>
      </c>
      <c r="L27" s="652">
        <v>183.23693811789832</v>
      </c>
    </row>
    <row r="28" spans="1:12">
      <c r="A28" s="667" t="s">
        <v>158</v>
      </c>
      <c r="B28" s="658">
        <v>5377.6648060973703</v>
      </c>
      <c r="C28" s="658">
        <v>4491.340949867571</v>
      </c>
      <c r="D28" s="658">
        <v>2394.2959914071303</v>
      </c>
      <c r="E28" s="663">
        <v>2.7146213054503363</v>
      </c>
      <c r="F28" s="658">
        <v>214.45508313057735</v>
      </c>
      <c r="G28" s="663">
        <v>1.3573106527251682</v>
      </c>
      <c r="H28" s="658">
        <v>1369.5264485996656</v>
      </c>
      <c r="I28" s="658">
        <v>23.074281096327859</v>
      </c>
      <c r="J28" s="658">
        <v>310.82413947406479</v>
      </c>
      <c r="K28" s="658">
        <v>2.7146213054503363</v>
      </c>
      <c r="L28" s="658">
        <v>172.37845289609692</v>
      </c>
    </row>
    <row r="29" spans="1:12">
      <c r="A29" s="667" t="s">
        <v>159</v>
      </c>
      <c r="B29" s="658">
        <v>946.04552494942868</v>
      </c>
      <c r="C29" s="658">
        <v>678.65532636258035</v>
      </c>
      <c r="D29" s="658">
        <v>538.85232913189316</v>
      </c>
      <c r="E29" s="663">
        <v>0</v>
      </c>
      <c r="F29" s="658">
        <v>1.3573106527251682</v>
      </c>
      <c r="G29" s="663">
        <v>0</v>
      </c>
      <c r="H29" s="663">
        <v>0</v>
      </c>
      <c r="I29" s="663">
        <v>2.7146213054503363</v>
      </c>
      <c r="J29" s="663">
        <v>124.87258005071578</v>
      </c>
      <c r="K29" s="663">
        <v>0</v>
      </c>
      <c r="L29" s="663">
        <v>10.858485221801345</v>
      </c>
    </row>
    <row r="30" spans="1:12">
      <c r="A30" s="661" t="s">
        <v>160</v>
      </c>
      <c r="B30" s="652">
        <v>1749.5734313626988</v>
      </c>
      <c r="C30" s="652">
        <v>998.9806404057083</v>
      </c>
      <c r="D30" s="652">
        <v>517.13535868829126</v>
      </c>
      <c r="E30" s="662">
        <v>0</v>
      </c>
      <c r="F30" s="652">
        <v>291.82179033591234</v>
      </c>
      <c r="G30" s="662">
        <v>0</v>
      </c>
      <c r="H30" s="662">
        <v>8.1438639163510089</v>
      </c>
      <c r="I30" s="662">
        <v>8.1438639163510089</v>
      </c>
      <c r="J30" s="662">
        <v>80.081328510784999</v>
      </c>
      <c r="K30" s="662">
        <v>0</v>
      </c>
      <c r="L30" s="662">
        <v>93.654435038036752</v>
      </c>
    </row>
    <row r="31" spans="1:12">
      <c r="A31" s="667" t="s">
        <v>160</v>
      </c>
      <c r="B31" s="658">
        <v>1749.5734313626988</v>
      </c>
      <c r="C31" s="658">
        <v>998.9806404057083</v>
      </c>
      <c r="D31" s="658">
        <v>517.13535868829126</v>
      </c>
      <c r="E31" s="663">
        <v>0</v>
      </c>
      <c r="F31" s="658">
        <v>291.82179033591234</v>
      </c>
      <c r="G31" s="663">
        <v>0</v>
      </c>
      <c r="H31" s="663">
        <v>8.1438639163510089</v>
      </c>
      <c r="I31" s="663">
        <v>8.1438639163510089</v>
      </c>
      <c r="J31" s="663">
        <v>80.081328510784999</v>
      </c>
      <c r="K31" s="663">
        <v>0</v>
      </c>
      <c r="L31" s="663">
        <v>93.654435038036752</v>
      </c>
    </row>
    <row r="32" spans="1:12">
      <c r="A32" s="661" t="s">
        <v>161</v>
      </c>
      <c r="B32" s="652">
        <v>7605.0115872200358</v>
      </c>
      <c r="C32" s="652">
        <v>4781.8054295508437</v>
      </c>
      <c r="D32" s="652">
        <v>712.58809268070831</v>
      </c>
      <c r="E32" s="662">
        <v>29.860834359953699</v>
      </c>
      <c r="F32" s="652">
        <v>659.6529772244287</v>
      </c>
      <c r="G32" s="662">
        <v>4.0719319581755045</v>
      </c>
      <c r="H32" s="653">
        <v>810.31445967691684</v>
      </c>
      <c r="I32" s="653">
        <v>204.95390856150112</v>
      </c>
      <c r="J32" s="652">
        <v>1904.3068457733623</v>
      </c>
      <c r="K32" s="652">
        <v>24.431591749053027</v>
      </c>
      <c r="L32" s="652">
        <v>431.62478756660539</v>
      </c>
    </row>
    <row r="33" spans="1:12">
      <c r="A33" s="667" t="s">
        <v>161</v>
      </c>
      <c r="B33" s="658">
        <v>6319.638399088918</v>
      </c>
      <c r="C33" s="658">
        <v>3714.9592565086705</v>
      </c>
      <c r="D33" s="658">
        <v>637.9360067808268</v>
      </c>
      <c r="E33" s="663">
        <v>29.860834359953699</v>
      </c>
      <c r="F33" s="658">
        <v>228.0281896578291</v>
      </c>
      <c r="G33" s="663">
        <v>4.0719319581755045</v>
      </c>
      <c r="H33" s="659">
        <v>686.79919027893106</v>
      </c>
      <c r="I33" s="659">
        <v>194.09542333969972</v>
      </c>
      <c r="J33" s="658">
        <v>1578.5522891193339</v>
      </c>
      <c r="K33" s="658">
        <v>17.645038485427186</v>
      </c>
      <c r="L33" s="658">
        <v>337.9703525285683</v>
      </c>
    </row>
    <row r="34" spans="1:12">
      <c r="A34" s="667" t="s">
        <v>162</v>
      </c>
      <c r="B34" s="658">
        <v>1285.3731881307083</v>
      </c>
      <c r="C34" s="658">
        <v>1066.8461730419642</v>
      </c>
      <c r="D34" s="658">
        <v>74.652085899884298</v>
      </c>
      <c r="E34" s="663">
        <v>0</v>
      </c>
      <c r="F34" s="658">
        <v>431.62478756660539</v>
      </c>
      <c r="G34" s="663">
        <v>0</v>
      </c>
      <c r="H34" s="659">
        <v>123.51526939799061</v>
      </c>
      <c r="I34" s="659">
        <v>10.858485221801345</v>
      </c>
      <c r="J34" s="658">
        <v>325.75455665404172</v>
      </c>
      <c r="K34" s="658">
        <v>6.7865532636258408</v>
      </c>
      <c r="L34" s="658">
        <v>93.654435038036752</v>
      </c>
    </row>
    <row r="35" spans="1:12">
      <c r="A35" s="661" t="s">
        <v>163</v>
      </c>
      <c r="B35" s="652">
        <v>5773.9995166932376</v>
      </c>
      <c r="C35" s="652">
        <v>4016.2822214136468</v>
      </c>
      <c r="D35" s="652">
        <v>1780.7915763753765</v>
      </c>
      <c r="E35" s="662">
        <v>6.7865532636258408</v>
      </c>
      <c r="F35" s="652">
        <v>605.36055111542396</v>
      </c>
      <c r="G35" s="662">
        <v>1.3573106527251682</v>
      </c>
      <c r="H35" s="653">
        <v>746.52085899883627</v>
      </c>
      <c r="I35" s="653">
        <v>46.148562192655717</v>
      </c>
      <c r="J35" s="652">
        <v>393.62008929030048</v>
      </c>
      <c r="K35" s="652">
        <v>19.002349138152354</v>
      </c>
      <c r="L35" s="652">
        <v>416.69437038662846</v>
      </c>
    </row>
    <row r="36" spans="1:12">
      <c r="A36" s="667" t="s">
        <v>163</v>
      </c>
      <c r="B36" s="658">
        <v>4228.0226832388098</v>
      </c>
      <c r="C36" s="658">
        <v>2713.2639947975331</v>
      </c>
      <c r="D36" s="658">
        <v>726.1611992079595</v>
      </c>
      <c r="E36" s="663">
        <v>1.3573106527251682</v>
      </c>
      <c r="F36" s="658">
        <v>522.56460129919174</v>
      </c>
      <c r="G36" s="663">
        <v>1.3573106527251682</v>
      </c>
      <c r="H36" s="659">
        <v>731.59044181885997</v>
      </c>
      <c r="I36" s="659">
        <v>21.71697044360269</v>
      </c>
      <c r="J36" s="659">
        <v>356.97270166672075</v>
      </c>
      <c r="K36" s="659">
        <v>14.93041717997685</v>
      </c>
      <c r="L36" s="659">
        <v>336.61304187584312</v>
      </c>
    </row>
    <row r="37" spans="1:12">
      <c r="A37" s="668" t="s">
        <v>164</v>
      </c>
      <c r="B37" s="664">
        <v>1545.976833453931</v>
      </c>
      <c r="C37" s="664">
        <v>1303.0182266161348</v>
      </c>
      <c r="D37" s="664">
        <v>1054.6303771674382</v>
      </c>
      <c r="E37" s="665">
        <v>5.4292426109006726</v>
      </c>
      <c r="F37" s="666">
        <v>82.79594981623535</v>
      </c>
      <c r="G37" s="665">
        <v>0</v>
      </c>
      <c r="H37" s="666">
        <v>14.93041717997685</v>
      </c>
      <c r="I37" s="666">
        <v>24.431591749053027</v>
      </c>
      <c r="J37" s="666">
        <v>36.64738762357954</v>
      </c>
      <c r="K37" s="666">
        <v>4.0719319581755045</v>
      </c>
      <c r="L37" s="666">
        <v>80.081328510784999</v>
      </c>
    </row>
  </sheetData>
  <mergeCells count="6">
    <mergeCell ref="A9:C9"/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37"/>
  <sheetViews>
    <sheetView workbookViewId="0">
      <selection activeCell="F12" sqref="F12"/>
    </sheetView>
  </sheetViews>
  <sheetFormatPr defaultRowHeight="15"/>
  <cols>
    <col min="1" max="1" width="17.28515625" style="26" customWidth="1"/>
    <col min="2" max="2" width="15.85546875" style="26" customWidth="1"/>
    <col min="3" max="3" width="15.28515625" style="26" customWidth="1"/>
    <col min="4" max="4" width="13" style="26" customWidth="1"/>
    <col min="5" max="16384" width="9.140625" style="26"/>
  </cols>
  <sheetData>
    <row r="1" spans="1:4" ht="22.5" customHeight="1">
      <c r="A1" s="1134" t="s">
        <v>413</v>
      </c>
      <c r="B1" s="1134"/>
      <c r="C1" s="1134"/>
      <c r="D1" s="1134"/>
    </row>
    <row r="2" spans="1:4" ht="30.75" customHeight="1">
      <c r="A2" s="1135" t="s">
        <v>314</v>
      </c>
      <c r="B2" s="1136" t="s">
        <v>372</v>
      </c>
      <c r="C2" s="1137" t="s">
        <v>414</v>
      </c>
      <c r="D2" s="1137"/>
    </row>
    <row r="3" spans="1:4">
      <c r="A3" s="1135"/>
      <c r="B3" s="1136"/>
      <c r="C3" s="669" t="s">
        <v>415</v>
      </c>
      <c r="D3" s="669" t="s">
        <v>416</v>
      </c>
    </row>
    <row r="4" spans="1:4">
      <c r="A4" s="670" t="s">
        <v>147</v>
      </c>
      <c r="B4" s="671">
        <v>128875.28916529956</v>
      </c>
      <c r="C4" s="671">
        <v>7976.9147060668429</v>
      </c>
      <c r="D4" s="671">
        <v>120898.37445927413</v>
      </c>
    </row>
    <row r="5" spans="1:4">
      <c r="A5" s="672"/>
      <c r="B5" s="673"/>
      <c r="C5" s="673"/>
      <c r="D5" s="673"/>
    </row>
    <row r="6" spans="1:4">
      <c r="A6" s="654" t="s">
        <v>3</v>
      </c>
      <c r="B6" s="674"/>
      <c r="C6" s="674"/>
      <c r="D6" s="674"/>
    </row>
    <row r="7" spans="1:4">
      <c r="A7" s="675" t="s">
        <v>4</v>
      </c>
      <c r="B7" s="673">
        <v>84854.990076339745</v>
      </c>
      <c r="C7" s="673">
        <v>2877.4985837772724</v>
      </c>
      <c r="D7" s="673">
        <v>81977.491492576955</v>
      </c>
    </row>
    <row r="8" spans="1:4">
      <c r="A8" s="675" t="s">
        <v>5</v>
      </c>
      <c r="B8" s="673">
        <v>44020.299089194436</v>
      </c>
      <c r="C8" s="673">
        <v>5099.4161222886278</v>
      </c>
      <c r="D8" s="673">
        <v>38920.882966904457</v>
      </c>
    </row>
    <row r="9" spans="1:4">
      <c r="A9" s="1129" t="s">
        <v>327</v>
      </c>
      <c r="B9" s="1129"/>
      <c r="C9" s="1129"/>
      <c r="D9" s="674"/>
    </row>
    <row r="10" spans="1:4">
      <c r="A10" s="676" t="s">
        <v>148</v>
      </c>
      <c r="B10" s="677">
        <v>82847.527620969384</v>
      </c>
      <c r="C10" s="677">
        <v>2867.9974092081966</v>
      </c>
      <c r="D10" s="677">
        <v>79979.530211775622</v>
      </c>
    </row>
    <row r="11" spans="1:4">
      <c r="A11" s="678" t="s">
        <v>148</v>
      </c>
      <c r="B11" s="673">
        <v>82847.527620969384</v>
      </c>
      <c r="C11" s="673">
        <v>2867.9974092081966</v>
      </c>
      <c r="D11" s="673">
        <v>79979.530211775622</v>
      </c>
    </row>
    <row r="12" spans="1:4">
      <c r="A12" s="676" t="s">
        <v>149</v>
      </c>
      <c r="B12" s="677">
        <v>8033.921753481317</v>
      </c>
      <c r="C12" s="677">
        <v>529.35115456281733</v>
      </c>
      <c r="D12" s="677">
        <v>7504.5705989183434</v>
      </c>
    </row>
    <row r="13" spans="1:4">
      <c r="A13" s="678" t="s">
        <v>149</v>
      </c>
      <c r="B13" s="673">
        <v>8033.921753481317</v>
      </c>
      <c r="C13" s="673">
        <v>529.35115456281733</v>
      </c>
      <c r="D13" s="673">
        <v>7504.5705989183434</v>
      </c>
    </row>
    <row r="14" spans="1:4">
      <c r="A14" s="676" t="s">
        <v>150</v>
      </c>
      <c r="B14" s="677">
        <v>2804.203808530116</v>
      </c>
      <c r="C14" s="677">
        <v>599.93130850452349</v>
      </c>
      <c r="D14" s="677">
        <v>2204.2725000256137</v>
      </c>
    </row>
    <row r="15" spans="1:4">
      <c r="A15" s="678" t="s">
        <v>150</v>
      </c>
      <c r="B15" s="673">
        <v>2804.203808530116</v>
      </c>
      <c r="C15" s="673">
        <v>599.93130850452349</v>
      </c>
      <c r="D15" s="673">
        <v>2204.2725000256137</v>
      </c>
    </row>
    <row r="16" spans="1:4">
      <c r="A16" s="676" t="s">
        <v>151</v>
      </c>
      <c r="B16" s="677">
        <v>7090.5908498370436</v>
      </c>
      <c r="C16" s="677">
        <v>724.80388855523438</v>
      </c>
      <c r="D16" s="677">
        <v>6365.7869612815875</v>
      </c>
    </row>
    <row r="17" spans="1:4">
      <c r="A17" s="678" t="s">
        <v>151</v>
      </c>
      <c r="B17" s="673">
        <v>7090.5908498370436</v>
      </c>
      <c r="C17" s="673">
        <v>724.80388855523438</v>
      </c>
      <c r="D17" s="673">
        <v>6365.7869612815875</v>
      </c>
    </row>
    <row r="18" spans="1:4">
      <c r="A18" s="676" t="s">
        <v>152</v>
      </c>
      <c r="B18" s="677">
        <v>1748.2161207099737</v>
      </c>
      <c r="C18" s="677">
        <v>252.45978140688226</v>
      </c>
      <c r="D18" s="677">
        <v>1495.7563393031016</v>
      </c>
    </row>
    <row r="19" spans="1:4">
      <c r="A19" s="678" t="s">
        <v>152</v>
      </c>
      <c r="B19" s="673">
        <v>1157.7859867745472</v>
      </c>
      <c r="C19" s="673">
        <v>191.38080203424937</v>
      </c>
      <c r="D19" s="673">
        <v>966.40518474030546</v>
      </c>
    </row>
    <row r="20" spans="1:4">
      <c r="A20" s="678" t="s">
        <v>153</v>
      </c>
      <c r="B20" s="673">
        <v>590.43013393544766</v>
      </c>
      <c r="C20" s="673">
        <v>61.078979372632567</v>
      </c>
      <c r="D20" s="673">
        <v>529.35115456281733</v>
      </c>
    </row>
    <row r="21" spans="1:4">
      <c r="A21" s="676" t="s">
        <v>154</v>
      </c>
      <c r="B21" s="677">
        <v>758.73665487336234</v>
      </c>
      <c r="C21" s="677">
        <v>63.793600678082903</v>
      </c>
      <c r="D21" s="677">
        <v>694.94305419528177</v>
      </c>
    </row>
    <row r="22" spans="1:4">
      <c r="A22" s="678" t="s">
        <v>154</v>
      </c>
      <c r="B22" s="673">
        <v>499.49032020286415</v>
      </c>
      <c r="C22" s="673">
        <v>21.71697044360269</v>
      </c>
      <c r="D22" s="673">
        <v>477.77334975926135</v>
      </c>
    </row>
    <row r="23" spans="1:4">
      <c r="A23" s="678" t="s">
        <v>155</v>
      </c>
      <c r="B23" s="673">
        <v>259.24633467050813</v>
      </c>
      <c r="C23" s="673">
        <v>42.076630234480213</v>
      </c>
      <c r="D23" s="673">
        <v>217.1697044360277</v>
      </c>
    </row>
    <row r="24" spans="1:4">
      <c r="A24" s="676" t="s">
        <v>156</v>
      </c>
      <c r="B24" s="677">
        <v>4139.7974908116475</v>
      </c>
      <c r="C24" s="677">
        <v>481.84528171743688</v>
      </c>
      <c r="D24" s="677">
        <v>3657.9522090942155</v>
      </c>
    </row>
    <row r="25" spans="1:4">
      <c r="A25" s="678" t="s">
        <v>156</v>
      </c>
      <c r="B25" s="673">
        <v>1980.3162423259689</v>
      </c>
      <c r="C25" s="673">
        <v>217.1697044360277</v>
      </c>
      <c r="D25" s="673">
        <v>1763.14653788995</v>
      </c>
    </row>
    <row r="26" spans="1:4">
      <c r="A26" s="678" t="s">
        <v>157</v>
      </c>
      <c r="B26" s="673">
        <v>2159.4812484856848</v>
      </c>
      <c r="C26" s="673">
        <v>264.67557728140883</v>
      </c>
      <c r="D26" s="673">
        <v>1894.8056712042865</v>
      </c>
    </row>
    <row r="27" spans="1:4">
      <c r="A27" s="676" t="s">
        <v>158</v>
      </c>
      <c r="B27" s="677">
        <v>6323.7103310470948</v>
      </c>
      <c r="C27" s="677">
        <v>525.27922260464197</v>
      </c>
      <c r="D27" s="677">
        <v>5798.431108442298</v>
      </c>
    </row>
    <row r="28" spans="1:4">
      <c r="A28" s="678" t="s">
        <v>158</v>
      </c>
      <c r="B28" s="673">
        <v>5377.6648060973703</v>
      </c>
      <c r="C28" s="673">
        <v>413.97974908117811</v>
      </c>
      <c r="D28" s="673">
        <v>4963.6850570160705</v>
      </c>
    </row>
    <row r="29" spans="1:4">
      <c r="A29" s="678" t="s">
        <v>159</v>
      </c>
      <c r="B29" s="673">
        <v>946.04552494942868</v>
      </c>
      <c r="C29" s="673">
        <v>111.29947352346403</v>
      </c>
      <c r="D29" s="673">
        <v>834.74605142596897</v>
      </c>
    </row>
    <row r="30" spans="1:4">
      <c r="A30" s="676" t="s">
        <v>160</v>
      </c>
      <c r="B30" s="677">
        <v>1749.5734313626988</v>
      </c>
      <c r="C30" s="677">
        <v>285.03523707228646</v>
      </c>
      <c r="D30" s="677">
        <v>1464.5381942904239</v>
      </c>
    </row>
    <row r="31" spans="1:4">
      <c r="A31" s="678" t="s">
        <v>160</v>
      </c>
      <c r="B31" s="673">
        <v>1749.5734313626988</v>
      </c>
      <c r="C31" s="673">
        <v>285.03523707228646</v>
      </c>
      <c r="D31" s="673">
        <v>1464.5381942904239</v>
      </c>
    </row>
    <row r="32" spans="1:4">
      <c r="A32" s="676" t="s">
        <v>161</v>
      </c>
      <c r="B32" s="677">
        <v>7605.0115872200358</v>
      </c>
      <c r="C32" s="677">
        <v>570.07047414457088</v>
      </c>
      <c r="D32" s="677">
        <v>7034.9411130752951</v>
      </c>
    </row>
    <row r="33" spans="1:4">
      <c r="A33" s="678" t="s">
        <v>161</v>
      </c>
      <c r="B33" s="673">
        <v>6319.638399088918</v>
      </c>
      <c r="C33" s="673">
        <v>510.34880542466556</v>
      </c>
      <c r="D33" s="673">
        <v>5809.2895936641025</v>
      </c>
    </row>
    <row r="34" spans="1:4">
      <c r="A34" s="678" t="s">
        <v>162</v>
      </c>
      <c r="B34" s="673">
        <v>1285.3731881307083</v>
      </c>
      <c r="C34" s="673">
        <v>59.721668719907399</v>
      </c>
      <c r="D34" s="673">
        <v>1225.6515194108031</v>
      </c>
    </row>
    <row r="35" spans="1:4">
      <c r="A35" s="676" t="s">
        <v>163</v>
      </c>
      <c r="B35" s="677">
        <v>5773.9995166932376</v>
      </c>
      <c r="C35" s="677">
        <v>1076.34734761104</v>
      </c>
      <c r="D35" s="677">
        <v>4697.6521690818581</v>
      </c>
    </row>
    <row r="36" spans="1:4">
      <c r="A36" s="678" t="s">
        <v>163</v>
      </c>
      <c r="B36" s="673">
        <v>4228.0226832388098</v>
      </c>
      <c r="C36" s="673">
        <v>732.94775247158509</v>
      </c>
      <c r="D36" s="673">
        <v>3495.0749307672013</v>
      </c>
    </row>
    <row r="37" spans="1:4">
      <c r="A37" s="679" t="s">
        <v>164</v>
      </c>
      <c r="B37" s="680">
        <v>1545.976833453931</v>
      </c>
      <c r="C37" s="680">
        <v>343.399595139469</v>
      </c>
      <c r="D37" s="680">
        <v>1202.5772383144761</v>
      </c>
    </row>
  </sheetData>
  <mergeCells count="5">
    <mergeCell ref="A1:D1"/>
    <mergeCell ref="A2:A3"/>
    <mergeCell ref="B2:B3"/>
    <mergeCell ref="C2:D2"/>
    <mergeCell ref="A9:C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37"/>
  <sheetViews>
    <sheetView workbookViewId="0">
      <selection activeCell="D2" sqref="D2:D3"/>
    </sheetView>
  </sheetViews>
  <sheetFormatPr defaultRowHeight="15"/>
  <cols>
    <col min="1" max="1" width="26.42578125" style="26" customWidth="1"/>
    <col min="2" max="2" width="16.5703125" style="26" customWidth="1"/>
    <col min="3" max="3" width="21.7109375" style="26" customWidth="1"/>
    <col min="4" max="4" width="14.140625" style="26" customWidth="1"/>
    <col min="5" max="5" width="14.28515625" style="26" customWidth="1"/>
    <col min="6" max="6" width="16.140625" style="26" customWidth="1"/>
    <col min="7" max="7" width="13.85546875" style="26" customWidth="1"/>
    <col min="8" max="8" width="15.140625" style="26" customWidth="1"/>
    <col min="9" max="16384" width="9.140625" style="26"/>
  </cols>
  <sheetData>
    <row r="1" spans="1:8" ht="24.75" customHeight="1">
      <c r="A1" s="1138" t="s">
        <v>417</v>
      </c>
      <c r="B1" s="1138"/>
      <c r="C1" s="1138"/>
      <c r="D1" s="1138"/>
      <c r="E1" s="1138"/>
      <c r="F1" s="1138"/>
      <c r="G1" s="1138"/>
      <c r="H1" s="1138"/>
    </row>
    <row r="2" spans="1:8" ht="33.75" customHeight="1">
      <c r="A2" s="1139" t="s">
        <v>314</v>
      </c>
      <c r="B2" s="1140" t="s">
        <v>315</v>
      </c>
      <c r="C2" s="1140" t="s">
        <v>418</v>
      </c>
      <c r="D2" s="1141" t="s">
        <v>419</v>
      </c>
      <c r="E2" s="1141" t="s">
        <v>420</v>
      </c>
      <c r="F2" s="1141" t="s">
        <v>421</v>
      </c>
      <c r="G2" s="1141" t="s">
        <v>422</v>
      </c>
      <c r="H2" s="1141" t="s">
        <v>423</v>
      </c>
    </row>
    <row r="3" spans="1:8" ht="32.25" customHeight="1">
      <c r="A3" s="1139"/>
      <c r="B3" s="1140"/>
      <c r="C3" s="1140"/>
      <c r="D3" s="1140"/>
      <c r="E3" s="1140"/>
      <c r="F3" s="1140"/>
      <c r="G3" s="1140"/>
      <c r="H3" s="1140"/>
    </row>
    <row r="4" spans="1:8">
      <c r="A4" s="681" t="s">
        <v>147</v>
      </c>
      <c r="B4" s="682">
        <v>128875.28916529956</v>
      </c>
      <c r="C4" s="682">
        <v>7976.9147060668429</v>
      </c>
      <c r="D4" s="682">
        <v>6255.8447984108161</v>
      </c>
      <c r="E4" s="682">
        <v>3249.4017026239549</v>
      </c>
      <c r="F4" s="682">
        <v>2862.5681665972961</v>
      </c>
      <c r="G4" s="683">
        <v>595.85937654634813</v>
      </c>
      <c r="H4" s="683">
        <v>762.8085868315377</v>
      </c>
    </row>
    <row r="5" spans="1:8">
      <c r="A5" s="684"/>
      <c r="B5" s="685"/>
      <c r="C5" s="685"/>
      <c r="D5" s="685"/>
      <c r="E5" s="685"/>
      <c r="F5" s="685"/>
      <c r="G5" s="686"/>
      <c r="H5" s="686"/>
    </row>
    <row r="6" spans="1:8">
      <c r="A6" s="654" t="s">
        <v>3</v>
      </c>
      <c r="B6" s="687"/>
      <c r="C6" s="687"/>
      <c r="D6" s="687"/>
      <c r="E6" s="687"/>
      <c r="F6" s="687"/>
      <c r="G6" s="688"/>
      <c r="H6" s="688"/>
    </row>
    <row r="7" spans="1:8">
      <c r="A7" s="689" t="s">
        <v>4</v>
      </c>
      <c r="B7" s="690">
        <v>84854.990076339745</v>
      </c>
      <c r="C7" s="690">
        <v>2877.4985837772724</v>
      </c>
      <c r="D7" s="690">
        <v>2452.6603494743104</v>
      </c>
      <c r="E7" s="690">
        <v>1026.1268534602107</v>
      </c>
      <c r="F7" s="690">
        <v>758.73665487336234</v>
      </c>
      <c r="G7" s="691">
        <v>217.1697044360277</v>
      </c>
      <c r="H7" s="691">
        <v>210.38315117240182</v>
      </c>
    </row>
    <row r="8" spans="1:8">
      <c r="A8" s="689" t="s">
        <v>5</v>
      </c>
      <c r="B8" s="690">
        <v>44020.299089194436</v>
      </c>
      <c r="C8" s="690">
        <v>5099.4161222886278</v>
      </c>
      <c r="D8" s="690">
        <v>3803.1844489358032</v>
      </c>
      <c r="E8" s="690">
        <v>2223.2748491637653</v>
      </c>
      <c r="F8" s="690">
        <v>2103.8315117239549</v>
      </c>
      <c r="G8" s="691">
        <v>378.68967211032356</v>
      </c>
      <c r="H8" s="691">
        <v>552.42543565914434</v>
      </c>
    </row>
    <row r="9" spans="1:8">
      <c r="A9" s="1129" t="s">
        <v>327</v>
      </c>
      <c r="B9" s="1129"/>
      <c r="C9" s="1129"/>
      <c r="D9" s="692"/>
      <c r="E9" s="692"/>
      <c r="F9" s="692"/>
      <c r="G9" s="693"/>
      <c r="H9" s="693"/>
    </row>
    <row r="10" spans="1:8">
      <c r="A10" s="694" t="s">
        <v>148</v>
      </c>
      <c r="B10" s="685">
        <v>82847.527620969384</v>
      </c>
      <c r="C10" s="685">
        <v>2867.9974092081966</v>
      </c>
      <c r="D10" s="685">
        <v>2125.5484821675568</v>
      </c>
      <c r="E10" s="685">
        <v>1146.9275015527462</v>
      </c>
      <c r="F10" s="685">
        <v>1212.0784128835519</v>
      </c>
      <c r="G10" s="695">
        <v>313.53876077951514</v>
      </c>
      <c r="H10" s="695">
        <v>191.38080203424937</v>
      </c>
    </row>
    <row r="11" spans="1:8">
      <c r="A11" s="696" t="s">
        <v>148</v>
      </c>
      <c r="B11" s="690">
        <v>82847.527620969384</v>
      </c>
      <c r="C11" s="690">
        <v>2867.9974092081966</v>
      </c>
      <c r="D11" s="690">
        <v>2125.5484821675568</v>
      </c>
      <c r="E11" s="690">
        <v>1146.9275015527462</v>
      </c>
      <c r="F11" s="690">
        <v>1212.0784128835519</v>
      </c>
      <c r="G11" s="697">
        <v>313.53876077951514</v>
      </c>
      <c r="H11" s="697">
        <v>191.38080203424937</v>
      </c>
    </row>
    <row r="12" spans="1:8">
      <c r="A12" s="694" t="s">
        <v>149</v>
      </c>
      <c r="B12" s="685">
        <v>8033.921753481317</v>
      </c>
      <c r="C12" s="685">
        <v>529.35115456281733</v>
      </c>
      <c r="D12" s="685">
        <v>453.3417580102082</v>
      </c>
      <c r="E12" s="685">
        <v>229.38550031055428</v>
      </c>
      <c r="F12" s="685">
        <v>169.66383159064657</v>
      </c>
      <c r="G12" s="695">
        <v>47.505872845380885</v>
      </c>
      <c r="H12" s="695">
        <v>27.146213054503363</v>
      </c>
    </row>
    <row r="13" spans="1:8">
      <c r="A13" s="696" t="s">
        <v>149</v>
      </c>
      <c r="B13" s="690">
        <v>8033.921753481317</v>
      </c>
      <c r="C13" s="690">
        <v>529.35115456281733</v>
      </c>
      <c r="D13" s="690">
        <v>453.3417580102082</v>
      </c>
      <c r="E13" s="690">
        <v>229.38550031055428</v>
      </c>
      <c r="F13" s="690">
        <v>169.66383159064657</v>
      </c>
      <c r="G13" s="697">
        <v>47.505872845380885</v>
      </c>
      <c r="H13" s="697">
        <v>27.146213054503363</v>
      </c>
    </row>
    <row r="14" spans="1:8">
      <c r="A14" s="694" t="s">
        <v>150</v>
      </c>
      <c r="B14" s="685">
        <v>2804.203808530116</v>
      </c>
      <c r="C14" s="685">
        <v>599.93130850452349</v>
      </c>
      <c r="D14" s="685">
        <v>552.42543565914434</v>
      </c>
      <c r="E14" s="685">
        <v>168.30652093792139</v>
      </c>
      <c r="F14" s="685">
        <v>103.15560960711298</v>
      </c>
      <c r="G14" s="695">
        <v>9.5011745690761771</v>
      </c>
      <c r="H14" s="695">
        <v>76.009396552609473</v>
      </c>
    </row>
    <row r="15" spans="1:8">
      <c r="A15" s="696" t="s">
        <v>150</v>
      </c>
      <c r="B15" s="690">
        <v>2804.203808530116</v>
      </c>
      <c r="C15" s="690">
        <v>599.93130850452349</v>
      </c>
      <c r="D15" s="690">
        <v>552.42543565914434</v>
      </c>
      <c r="E15" s="690">
        <v>168.30652093792139</v>
      </c>
      <c r="F15" s="690">
        <v>103.15560960711298</v>
      </c>
      <c r="G15" s="697">
        <v>9.5011745690761771</v>
      </c>
      <c r="H15" s="697">
        <v>76.009396552609473</v>
      </c>
    </row>
    <row r="16" spans="1:8">
      <c r="A16" s="694" t="s">
        <v>151</v>
      </c>
      <c r="B16" s="685">
        <v>7090.5908498370436</v>
      </c>
      <c r="C16" s="685">
        <v>724.80388855523438</v>
      </c>
      <c r="D16" s="685">
        <v>692.22843288983154</v>
      </c>
      <c r="E16" s="685">
        <v>139.80299723069271</v>
      </c>
      <c r="F16" s="685">
        <v>104.51292025983815</v>
      </c>
      <c r="G16" s="695">
        <v>8.1438639163510089</v>
      </c>
      <c r="H16" s="695">
        <v>71.937464594433948</v>
      </c>
    </row>
    <row r="17" spans="1:8">
      <c r="A17" s="696" t="s">
        <v>151</v>
      </c>
      <c r="B17" s="690">
        <v>7090.5908498370436</v>
      </c>
      <c r="C17" s="690">
        <v>724.80388855523438</v>
      </c>
      <c r="D17" s="690">
        <v>692.22843288983154</v>
      </c>
      <c r="E17" s="690">
        <v>139.80299723069271</v>
      </c>
      <c r="F17" s="690">
        <v>104.51292025983815</v>
      </c>
      <c r="G17" s="697">
        <v>8.1438639163510089</v>
      </c>
      <c r="H17" s="697">
        <v>71.937464594433948</v>
      </c>
    </row>
    <row r="18" spans="1:8">
      <c r="A18" s="694" t="s">
        <v>152</v>
      </c>
      <c r="B18" s="685">
        <v>1748.2161207099737</v>
      </c>
      <c r="C18" s="685">
        <v>252.45978140688226</v>
      </c>
      <c r="D18" s="685">
        <v>219.88432574147805</v>
      </c>
      <c r="E18" s="685">
        <v>82.79594981623535</v>
      </c>
      <c r="F18" s="685">
        <v>14.93041717997685</v>
      </c>
      <c r="G18" s="686">
        <v>2.7146213054503363</v>
      </c>
      <c r="H18" s="686">
        <v>52.935115456281558</v>
      </c>
    </row>
    <row r="19" spans="1:8">
      <c r="A19" s="696" t="s">
        <v>152</v>
      </c>
      <c r="B19" s="690">
        <v>1157.7859867745472</v>
      </c>
      <c r="C19" s="690">
        <v>191.38080203424937</v>
      </c>
      <c r="D19" s="690">
        <v>158.80534636884516</v>
      </c>
      <c r="E19" s="690">
        <v>69.222843288983597</v>
      </c>
      <c r="F19" s="690">
        <v>9.5011745690761771</v>
      </c>
      <c r="G19" s="691">
        <v>2.7146213054503363</v>
      </c>
      <c r="H19" s="691">
        <v>33.932766318129204</v>
      </c>
    </row>
    <row r="20" spans="1:8">
      <c r="A20" s="696" t="s">
        <v>153</v>
      </c>
      <c r="B20" s="690">
        <v>590.43013393544766</v>
      </c>
      <c r="C20" s="690">
        <v>61.078979372632567</v>
      </c>
      <c r="D20" s="690">
        <v>61.078979372632567</v>
      </c>
      <c r="E20" s="690">
        <v>13.573106527251682</v>
      </c>
      <c r="F20" s="690">
        <v>5.4292426109006726</v>
      </c>
      <c r="G20" s="691">
        <v>0</v>
      </c>
      <c r="H20" s="691">
        <v>19.002349138152354</v>
      </c>
    </row>
    <row r="21" spans="1:8">
      <c r="A21" s="694" t="s">
        <v>154</v>
      </c>
      <c r="B21" s="685">
        <v>758.73665487336234</v>
      </c>
      <c r="C21" s="685">
        <v>63.793600678082903</v>
      </c>
      <c r="D21" s="685">
        <v>52.935115456281558</v>
      </c>
      <c r="E21" s="685">
        <v>25.788902401778195</v>
      </c>
      <c r="F21" s="685">
        <v>13.573106527251682</v>
      </c>
      <c r="G21" s="686">
        <v>1.3573106527251682</v>
      </c>
      <c r="H21" s="686">
        <v>14.93041717997685</v>
      </c>
    </row>
    <row r="22" spans="1:8">
      <c r="A22" s="696" t="s">
        <v>154</v>
      </c>
      <c r="B22" s="690">
        <v>499.49032020286415</v>
      </c>
      <c r="C22" s="690">
        <v>21.71697044360269</v>
      </c>
      <c r="D22" s="690">
        <v>14.93041717997685</v>
      </c>
      <c r="E22" s="690">
        <v>9.5011745690761771</v>
      </c>
      <c r="F22" s="690">
        <v>2.7146213054503363</v>
      </c>
      <c r="G22" s="691">
        <v>0</v>
      </c>
      <c r="H22" s="691">
        <v>0</v>
      </c>
    </row>
    <row r="23" spans="1:8">
      <c r="A23" s="696" t="s">
        <v>155</v>
      </c>
      <c r="B23" s="690">
        <v>259.24633467050813</v>
      </c>
      <c r="C23" s="690">
        <v>42.076630234480213</v>
      </c>
      <c r="D23" s="690">
        <v>38.004698276304708</v>
      </c>
      <c r="E23" s="690">
        <v>16.287727832702018</v>
      </c>
      <c r="F23" s="690">
        <v>10.858485221801345</v>
      </c>
      <c r="G23" s="691">
        <v>1.3573106527251682</v>
      </c>
      <c r="H23" s="691">
        <v>14.93041717997685</v>
      </c>
    </row>
    <row r="24" spans="1:8">
      <c r="A24" s="694" t="s">
        <v>156</v>
      </c>
      <c r="B24" s="685">
        <v>4139.7974908116475</v>
      </c>
      <c r="C24" s="685">
        <v>481.84528171743688</v>
      </c>
      <c r="D24" s="685">
        <v>462.84293257928442</v>
      </c>
      <c r="E24" s="685">
        <v>153.37610375794446</v>
      </c>
      <c r="F24" s="685">
        <v>85.5105711216857</v>
      </c>
      <c r="G24" s="686">
        <v>2.7146213054503363</v>
      </c>
      <c r="H24" s="686">
        <v>108.58485221801368</v>
      </c>
    </row>
    <row r="25" spans="1:8">
      <c r="A25" s="696" t="s">
        <v>156</v>
      </c>
      <c r="B25" s="690">
        <v>1980.3162423259689</v>
      </c>
      <c r="C25" s="690">
        <v>217.1697044360277</v>
      </c>
      <c r="D25" s="690">
        <v>209.02584051967665</v>
      </c>
      <c r="E25" s="690">
        <v>46.148562192655717</v>
      </c>
      <c r="F25" s="690">
        <v>36.64738762357954</v>
      </c>
      <c r="G25" s="697">
        <v>1.3573106527251682</v>
      </c>
      <c r="H25" s="691">
        <v>59.721668719907399</v>
      </c>
    </row>
    <row r="26" spans="1:8">
      <c r="A26" s="696" t="s">
        <v>157</v>
      </c>
      <c r="B26" s="690">
        <v>2159.4812484856848</v>
      </c>
      <c r="C26" s="690">
        <v>264.67557728140883</v>
      </c>
      <c r="D26" s="690">
        <v>253.81709205960743</v>
      </c>
      <c r="E26" s="690">
        <v>107.2275415652885</v>
      </c>
      <c r="F26" s="690">
        <v>48.863183498106054</v>
      </c>
      <c r="G26" s="697">
        <v>1.3573106527251682</v>
      </c>
      <c r="H26" s="691">
        <v>48.863183498106054</v>
      </c>
    </row>
    <row r="27" spans="1:8">
      <c r="A27" s="694" t="s">
        <v>158</v>
      </c>
      <c r="B27" s="685">
        <v>6323.7103310470948</v>
      </c>
      <c r="C27" s="685">
        <v>525.27922260464197</v>
      </c>
      <c r="D27" s="685">
        <v>221.24163639420323</v>
      </c>
      <c r="E27" s="685">
        <v>245.67322814325638</v>
      </c>
      <c r="F27" s="685">
        <v>241.60129618508086</v>
      </c>
      <c r="G27" s="695">
        <v>25.788902401778195</v>
      </c>
      <c r="H27" s="686">
        <v>107.2275415652885</v>
      </c>
    </row>
    <row r="28" spans="1:8">
      <c r="A28" s="696" t="s">
        <v>158</v>
      </c>
      <c r="B28" s="690">
        <v>5377.6648060973703</v>
      </c>
      <c r="C28" s="690">
        <v>413.97974908117811</v>
      </c>
      <c r="D28" s="690">
        <v>172.37845289609692</v>
      </c>
      <c r="E28" s="690">
        <v>185.95155942334867</v>
      </c>
      <c r="F28" s="690">
        <v>206.3112192142263</v>
      </c>
      <c r="G28" s="697">
        <v>25.788902401778195</v>
      </c>
      <c r="H28" s="691">
        <v>104.51292025983815</v>
      </c>
    </row>
    <row r="29" spans="1:8">
      <c r="A29" s="696" t="s">
        <v>159</v>
      </c>
      <c r="B29" s="690">
        <v>946.04552494942868</v>
      </c>
      <c r="C29" s="690">
        <v>111.29947352346403</v>
      </c>
      <c r="D29" s="690">
        <v>48.863183498106054</v>
      </c>
      <c r="E29" s="690">
        <v>59.721668719907399</v>
      </c>
      <c r="F29" s="690">
        <v>35.290076970854372</v>
      </c>
      <c r="G29" s="697">
        <v>0</v>
      </c>
      <c r="H29" s="691">
        <v>2.7146213054503363</v>
      </c>
    </row>
    <row r="30" spans="1:8">
      <c r="A30" s="694" t="s">
        <v>160</v>
      </c>
      <c r="B30" s="685">
        <v>1749.5734313626988</v>
      </c>
      <c r="C30" s="685">
        <v>285.03523707228646</v>
      </c>
      <c r="D30" s="685">
        <v>196.81004464515007</v>
      </c>
      <c r="E30" s="685">
        <v>211.740461825127</v>
      </c>
      <c r="F30" s="685">
        <v>169.66383159064657</v>
      </c>
      <c r="G30" s="695">
        <v>13.573106527251682</v>
      </c>
      <c r="H30" s="686">
        <v>0</v>
      </c>
    </row>
    <row r="31" spans="1:8">
      <c r="A31" s="696" t="s">
        <v>160</v>
      </c>
      <c r="B31" s="690">
        <v>1749.5734313626988</v>
      </c>
      <c r="C31" s="690">
        <v>285.03523707228646</v>
      </c>
      <c r="D31" s="690">
        <v>196.81004464515007</v>
      </c>
      <c r="E31" s="690">
        <v>211.740461825127</v>
      </c>
      <c r="F31" s="690">
        <v>169.66383159064657</v>
      </c>
      <c r="G31" s="697">
        <v>13.573106527251682</v>
      </c>
      <c r="H31" s="691">
        <v>0</v>
      </c>
    </row>
    <row r="32" spans="1:8">
      <c r="A32" s="694" t="s">
        <v>161</v>
      </c>
      <c r="B32" s="685">
        <v>7605.0115872200358</v>
      </c>
      <c r="C32" s="685">
        <v>570.07047414457088</v>
      </c>
      <c r="D32" s="685">
        <v>431.62478756660539</v>
      </c>
      <c r="E32" s="685">
        <v>285.03523707228646</v>
      </c>
      <c r="F32" s="685">
        <v>256.53171336505778</v>
      </c>
      <c r="G32" s="695">
        <v>57.007047414457062</v>
      </c>
      <c r="H32" s="686">
        <v>14.93041717997685</v>
      </c>
    </row>
    <row r="33" spans="1:8">
      <c r="A33" s="696" t="s">
        <v>161</v>
      </c>
      <c r="B33" s="690">
        <v>6319.638399088918</v>
      </c>
      <c r="C33" s="690">
        <v>510.34880542466556</v>
      </c>
      <c r="D33" s="690">
        <v>382.76160406849908</v>
      </c>
      <c r="E33" s="690">
        <v>260.60364532323331</v>
      </c>
      <c r="F33" s="690">
        <v>218.52701508875288</v>
      </c>
      <c r="G33" s="697">
        <v>55.649736761731894</v>
      </c>
      <c r="H33" s="691">
        <v>14.93041717997685</v>
      </c>
    </row>
    <row r="34" spans="1:8">
      <c r="A34" s="696" t="s">
        <v>162</v>
      </c>
      <c r="B34" s="690">
        <v>1285.3731881307083</v>
      </c>
      <c r="C34" s="690">
        <v>59.721668719907399</v>
      </c>
      <c r="D34" s="690">
        <v>48.863183498106054</v>
      </c>
      <c r="E34" s="690">
        <v>24.431591749053027</v>
      </c>
      <c r="F34" s="690">
        <v>38.004698276304708</v>
      </c>
      <c r="G34" s="697">
        <v>1.3573106527251682</v>
      </c>
      <c r="H34" s="691">
        <v>0</v>
      </c>
    </row>
    <row r="35" spans="1:8">
      <c r="A35" s="694" t="s">
        <v>163</v>
      </c>
      <c r="B35" s="685">
        <v>5773.9995166932376</v>
      </c>
      <c r="C35" s="685">
        <v>1076.34734761104</v>
      </c>
      <c r="D35" s="685">
        <v>846.96184730049504</v>
      </c>
      <c r="E35" s="685">
        <v>560.56929957549505</v>
      </c>
      <c r="F35" s="685">
        <v>491.3464562865131</v>
      </c>
      <c r="G35" s="695">
        <v>114.01409482891438</v>
      </c>
      <c r="H35" s="686">
        <v>97.726366996212278</v>
      </c>
    </row>
    <row r="36" spans="1:8">
      <c r="A36" s="696" t="s">
        <v>163</v>
      </c>
      <c r="B36" s="690">
        <v>4228.0226832388098</v>
      </c>
      <c r="C36" s="690">
        <v>732.94775247158509</v>
      </c>
      <c r="D36" s="690">
        <v>605.36055111542396</v>
      </c>
      <c r="E36" s="690">
        <v>423.48092365025434</v>
      </c>
      <c r="F36" s="690">
        <v>324.39724600131655</v>
      </c>
      <c r="G36" s="697">
        <v>95.011745690761927</v>
      </c>
      <c r="H36" s="691">
        <v>54.292426109006726</v>
      </c>
    </row>
    <row r="37" spans="1:8">
      <c r="A37" s="698" t="s">
        <v>164</v>
      </c>
      <c r="B37" s="699">
        <v>1545.976833453931</v>
      </c>
      <c r="C37" s="699">
        <v>343.399595139469</v>
      </c>
      <c r="D37" s="699">
        <v>241.60129618508086</v>
      </c>
      <c r="E37" s="699">
        <v>137.08837592524236</v>
      </c>
      <c r="F37" s="699">
        <v>166.94921028519622</v>
      </c>
      <c r="G37" s="700">
        <v>19.002349138152354</v>
      </c>
      <c r="H37" s="701">
        <v>43.433940887205381</v>
      </c>
    </row>
  </sheetData>
  <mergeCells count="10">
    <mergeCell ref="A9:C9"/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9"/>
  <sheetViews>
    <sheetView workbookViewId="0">
      <selection activeCell="E15" sqref="E15"/>
    </sheetView>
  </sheetViews>
  <sheetFormatPr defaultRowHeight="15"/>
  <cols>
    <col min="1" max="1" width="19.42578125" style="26" customWidth="1"/>
    <col min="2" max="2" width="16.28515625" style="26" customWidth="1"/>
    <col min="3" max="3" width="21.140625" style="26" customWidth="1"/>
    <col min="4" max="4" width="16.42578125" style="26" customWidth="1"/>
    <col min="5" max="5" width="18.140625" style="26" customWidth="1"/>
    <col min="6" max="6" width="11.7109375" style="26" customWidth="1"/>
    <col min="7" max="16384" width="9.140625" style="26"/>
  </cols>
  <sheetData>
    <row r="1" spans="1:6" ht="31.5" customHeight="1">
      <c r="A1" s="1142" t="s">
        <v>424</v>
      </c>
      <c r="B1" s="1142"/>
      <c r="C1" s="1142"/>
      <c r="D1" s="1142"/>
      <c r="E1" s="1142"/>
      <c r="F1" s="1142"/>
    </row>
    <row r="2" spans="1:6">
      <c r="A2" s="1143" t="s">
        <v>314</v>
      </c>
      <c r="B2" s="1144" t="s">
        <v>372</v>
      </c>
      <c r="C2" s="1144" t="s">
        <v>425</v>
      </c>
      <c r="D2" s="1145" t="s">
        <v>426</v>
      </c>
      <c r="E2" s="1145"/>
      <c r="F2" s="1145"/>
    </row>
    <row r="3" spans="1:6">
      <c r="A3" s="1139"/>
      <c r="B3" s="1144"/>
      <c r="C3" s="1144"/>
      <c r="D3" s="1144" t="s">
        <v>427</v>
      </c>
      <c r="E3" s="1144" t="s">
        <v>428</v>
      </c>
      <c r="F3" s="1144" t="s">
        <v>429</v>
      </c>
    </row>
    <row r="4" spans="1:6">
      <c r="A4" s="1139"/>
      <c r="B4" s="1144"/>
      <c r="C4" s="1144"/>
      <c r="D4" s="1144"/>
      <c r="E4" s="1144"/>
      <c r="F4" s="1144"/>
    </row>
    <row r="5" spans="1:6">
      <c r="A5" s="1139"/>
      <c r="B5" s="1144"/>
      <c r="C5" s="1144"/>
      <c r="D5" s="1144"/>
      <c r="E5" s="1144"/>
      <c r="F5" s="1144"/>
    </row>
    <row r="6" spans="1:6">
      <c r="A6" s="702" t="s">
        <v>147</v>
      </c>
      <c r="B6" s="703">
        <v>128875.28916529956</v>
      </c>
      <c r="C6" s="703">
        <v>3063.4501432006136</v>
      </c>
      <c r="D6" s="703">
        <v>2331.8597013817748</v>
      </c>
      <c r="E6" s="704">
        <v>4.0719319581755045</v>
      </c>
      <c r="F6" s="703">
        <v>1125.2105311091443</v>
      </c>
    </row>
    <row r="7" spans="1:6">
      <c r="A7" s="705"/>
      <c r="B7" s="706"/>
      <c r="C7" s="706"/>
      <c r="D7" s="706"/>
      <c r="E7" s="707"/>
      <c r="F7" s="707"/>
    </row>
    <row r="8" spans="1:6" ht="16.5" customHeight="1">
      <c r="A8" s="654" t="s">
        <v>3</v>
      </c>
      <c r="B8" s="708"/>
      <c r="C8" s="708"/>
      <c r="D8" s="708"/>
      <c r="E8" s="709"/>
      <c r="F8" s="709"/>
    </row>
    <row r="9" spans="1:6">
      <c r="A9" s="710" t="s">
        <v>4</v>
      </c>
      <c r="B9" s="711">
        <v>84854.990076339745</v>
      </c>
      <c r="C9" s="711">
        <v>872.75074970227229</v>
      </c>
      <c r="D9" s="711">
        <v>642.00793873900216</v>
      </c>
      <c r="E9" s="707">
        <v>2.7146213054503363</v>
      </c>
      <c r="F9" s="712">
        <v>441.12596213568162</v>
      </c>
    </row>
    <row r="10" spans="1:6">
      <c r="A10" s="710" t="s">
        <v>5</v>
      </c>
      <c r="B10" s="711">
        <v>44020.299089194436</v>
      </c>
      <c r="C10" s="711">
        <v>2190.6993934983625</v>
      </c>
      <c r="D10" s="711">
        <v>1689.8517626427936</v>
      </c>
      <c r="E10" s="707">
        <v>1.3573106527251682</v>
      </c>
      <c r="F10" s="712">
        <v>684.08456897348083</v>
      </c>
    </row>
    <row r="11" spans="1:6">
      <c r="A11" s="1129" t="s">
        <v>327</v>
      </c>
      <c r="B11" s="1129"/>
      <c r="C11" s="1129"/>
      <c r="D11" s="713"/>
      <c r="E11" s="709"/>
      <c r="F11" s="714"/>
    </row>
    <row r="12" spans="1:6">
      <c r="A12" s="715" t="s">
        <v>148</v>
      </c>
      <c r="B12" s="706">
        <v>82847.527620969384</v>
      </c>
      <c r="C12" s="706">
        <v>1045.1292025983623</v>
      </c>
      <c r="D12" s="706">
        <v>713.94540333343343</v>
      </c>
      <c r="E12" s="707">
        <v>4.0719319581755045</v>
      </c>
      <c r="F12" s="707">
        <v>413.97974908117811</v>
      </c>
    </row>
    <row r="13" spans="1:6">
      <c r="A13" s="716" t="s">
        <v>148</v>
      </c>
      <c r="B13" s="711">
        <v>82847.527620969384</v>
      </c>
      <c r="C13" s="711">
        <v>1045.1292025983623</v>
      </c>
      <c r="D13" s="711">
        <v>713.94540333343343</v>
      </c>
      <c r="E13" s="707">
        <v>4.0719319581755045</v>
      </c>
      <c r="F13" s="712">
        <v>413.97974908117811</v>
      </c>
    </row>
    <row r="14" spans="1:6">
      <c r="A14" s="715" t="s">
        <v>149</v>
      </c>
      <c r="B14" s="706">
        <v>8033.921753481317</v>
      </c>
      <c r="C14" s="706">
        <v>123.51526939799061</v>
      </c>
      <c r="D14" s="706">
        <v>86.867881774410876</v>
      </c>
      <c r="E14" s="707">
        <v>0</v>
      </c>
      <c r="F14" s="707">
        <v>80.081328510784999</v>
      </c>
    </row>
    <row r="15" spans="1:6">
      <c r="A15" s="716" t="s">
        <v>149</v>
      </c>
      <c r="B15" s="711">
        <v>8033.921753481317</v>
      </c>
      <c r="C15" s="711">
        <v>123.51526939799061</v>
      </c>
      <c r="D15" s="711">
        <v>86.867881774410876</v>
      </c>
      <c r="E15" s="707">
        <v>0</v>
      </c>
      <c r="F15" s="712">
        <v>80.081328510784999</v>
      </c>
    </row>
    <row r="16" spans="1:6">
      <c r="A16" s="715" t="s">
        <v>150</v>
      </c>
      <c r="B16" s="706">
        <v>2804.203808530116</v>
      </c>
      <c r="C16" s="706">
        <v>76.009396552609473</v>
      </c>
      <c r="D16" s="706">
        <v>66.508221983533247</v>
      </c>
      <c r="E16" s="707">
        <v>0</v>
      </c>
      <c r="F16" s="707">
        <v>21.71697044360269</v>
      </c>
    </row>
    <row r="17" spans="1:6">
      <c r="A17" s="716" t="s">
        <v>150</v>
      </c>
      <c r="B17" s="711">
        <v>2804.203808530116</v>
      </c>
      <c r="C17" s="711">
        <v>76.009396552609473</v>
      </c>
      <c r="D17" s="711">
        <v>66.508221983533247</v>
      </c>
      <c r="E17" s="707">
        <v>0</v>
      </c>
      <c r="F17" s="712">
        <v>21.71697044360269</v>
      </c>
    </row>
    <row r="18" spans="1:6">
      <c r="A18" s="715" t="s">
        <v>151</v>
      </c>
      <c r="B18" s="706">
        <v>7090.5908498370436</v>
      </c>
      <c r="C18" s="706">
        <v>138.44568657796754</v>
      </c>
      <c r="D18" s="706">
        <v>124.87258005071578</v>
      </c>
      <c r="E18" s="707">
        <v>0</v>
      </c>
      <c r="F18" s="707">
        <v>32.575455665404036</v>
      </c>
    </row>
    <row r="19" spans="1:6">
      <c r="A19" s="716" t="s">
        <v>151</v>
      </c>
      <c r="B19" s="711">
        <v>7090.5908498370436</v>
      </c>
      <c r="C19" s="711">
        <v>138.44568657796754</v>
      </c>
      <c r="D19" s="711">
        <v>124.87258005071578</v>
      </c>
      <c r="E19" s="707">
        <v>0</v>
      </c>
      <c r="F19" s="712">
        <v>32.575455665404036</v>
      </c>
    </row>
    <row r="20" spans="1:6">
      <c r="A20" s="715" t="s">
        <v>152</v>
      </c>
      <c r="B20" s="706">
        <v>1748.2161207099737</v>
      </c>
      <c r="C20" s="706">
        <v>475.058728453811</v>
      </c>
      <c r="D20" s="706">
        <v>465.55755388473477</v>
      </c>
      <c r="E20" s="707">
        <v>0</v>
      </c>
      <c r="F20" s="707">
        <v>16.287727832702018</v>
      </c>
    </row>
    <row r="21" spans="1:6">
      <c r="A21" s="716" t="s">
        <v>152</v>
      </c>
      <c r="B21" s="711">
        <v>1157.7859867745472</v>
      </c>
      <c r="C21" s="711">
        <v>403.12126385937671</v>
      </c>
      <c r="D21" s="711">
        <v>393.62008929030048</v>
      </c>
      <c r="E21" s="707">
        <v>0</v>
      </c>
      <c r="F21" s="712">
        <v>14.93041717997685</v>
      </c>
    </row>
    <row r="22" spans="1:6">
      <c r="A22" s="716" t="s">
        <v>153</v>
      </c>
      <c r="B22" s="711">
        <v>590.43013393544766</v>
      </c>
      <c r="C22" s="711">
        <v>71.937464594433948</v>
      </c>
      <c r="D22" s="711">
        <v>71.937464594433948</v>
      </c>
      <c r="E22" s="707">
        <v>0</v>
      </c>
      <c r="F22" s="712">
        <v>1.3573106527251682</v>
      </c>
    </row>
    <row r="23" spans="1:6">
      <c r="A23" s="715" t="s">
        <v>154</v>
      </c>
      <c r="B23" s="706">
        <v>758.73665487336234</v>
      </c>
      <c r="C23" s="706">
        <v>20.359659790877522</v>
      </c>
      <c r="D23" s="706">
        <v>19.002349138152354</v>
      </c>
      <c r="E23" s="707">
        <v>0</v>
      </c>
      <c r="F23" s="707">
        <v>1.3573106527251682</v>
      </c>
    </row>
    <row r="24" spans="1:6">
      <c r="A24" s="717" t="s">
        <v>154</v>
      </c>
      <c r="B24" s="712">
        <v>499.49032020286415</v>
      </c>
      <c r="C24" s="712">
        <v>0</v>
      </c>
      <c r="D24" s="712">
        <v>0</v>
      </c>
      <c r="E24" s="707">
        <v>0</v>
      </c>
      <c r="F24" s="712">
        <v>0</v>
      </c>
    </row>
    <row r="25" spans="1:6">
      <c r="A25" s="717" t="s">
        <v>155</v>
      </c>
      <c r="B25" s="712">
        <v>259.24633467050813</v>
      </c>
      <c r="C25" s="712">
        <v>20.359659790877522</v>
      </c>
      <c r="D25" s="712">
        <v>19.002349138152354</v>
      </c>
      <c r="E25" s="707">
        <v>0</v>
      </c>
      <c r="F25" s="712">
        <v>1.3573106527251682</v>
      </c>
    </row>
    <row r="26" spans="1:6">
      <c r="A26" s="718" t="s">
        <v>156</v>
      </c>
      <c r="B26" s="706">
        <v>4139.7974908116475</v>
      </c>
      <c r="C26" s="706">
        <v>78.724017858059824</v>
      </c>
      <c r="D26" s="706">
        <v>61.078979372632567</v>
      </c>
      <c r="E26" s="707">
        <v>0</v>
      </c>
      <c r="F26" s="707">
        <v>17.645038485427186</v>
      </c>
    </row>
    <row r="27" spans="1:6">
      <c r="A27" s="717" t="s">
        <v>156</v>
      </c>
      <c r="B27" s="711">
        <v>1980.3162423259689</v>
      </c>
      <c r="C27" s="711">
        <v>54.292426109006726</v>
      </c>
      <c r="D27" s="711">
        <v>46.148562192655717</v>
      </c>
      <c r="E27" s="707">
        <v>0</v>
      </c>
      <c r="F27" s="712">
        <v>10.858485221801345</v>
      </c>
    </row>
    <row r="28" spans="1:6">
      <c r="A28" s="717" t="s">
        <v>157</v>
      </c>
      <c r="B28" s="711">
        <v>2159.4812484856848</v>
      </c>
      <c r="C28" s="711">
        <v>24.431591749053027</v>
      </c>
      <c r="D28" s="711">
        <v>14.93041717997685</v>
      </c>
      <c r="E28" s="707">
        <v>0</v>
      </c>
      <c r="F28" s="712">
        <v>6.7865532636258408</v>
      </c>
    </row>
    <row r="29" spans="1:6">
      <c r="A29" s="718" t="s">
        <v>158</v>
      </c>
      <c r="B29" s="706">
        <v>6323.7103310470948</v>
      </c>
      <c r="C29" s="706">
        <v>218.52701508875288</v>
      </c>
      <c r="D29" s="706">
        <v>158.80534636884516</v>
      </c>
      <c r="E29" s="707">
        <v>0</v>
      </c>
      <c r="F29" s="707">
        <v>27.146213054503363</v>
      </c>
    </row>
    <row r="30" spans="1:6">
      <c r="A30" s="717" t="s">
        <v>158</v>
      </c>
      <c r="B30" s="711">
        <v>5377.6648060973703</v>
      </c>
      <c r="C30" s="711">
        <v>154.73341441066964</v>
      </c>
      <c r="D30" s="711">
        <v>97.726366996212278</v>
      </c>
      <c r="E30" s="707">
        <v>0</v>
      </c>
      <c r="F30" s="712">
        <v>27.146213054503363</v>
      </c>
    </row>
    <row r="31" spans="1:6">
      <c r="A31" s="717" t="s">
        <v>159</v>
      </c>
      <c r="B31" s="711">
        <v>946.04552494942868</v>
      </c>
      <c r="C31" s="711">
        <v>63.793600678082903</v>
      </c>
      <c r="D31" s="711">
        <v>61.078979372632567</v>
      </c>
      <c r="E31" s="707">
        <v>0</v>
      </c>
      <c r="F31" s="712">
        <v>0</v>
      </c>
    </row>
    <row r="32" spans="1:6">
      <c r="A32" s="718" t="s">
        <v>160</v>
      </c>
      <c r="B32" s="706">
        <v>1749.5734313626988</v>
      </c>
      <c r="C32" s="706">
        <v>33.932766318129204</v>
      </c>
      <c r="D32" s="706">
        <v>16.287727832702018</v>
      </c>
      <c r="E32" s="707">
        <v>0</v>
      </c>
      <c r="F32" s="707">
        <v>0</v>
      </c>
    </row>
    <row r="33" spans="1:6">
      <c r="A33" s="717" t="s">
        <v>160</v>
      </c>
      <c r="B33" s="711">
        <v>1749.5734313626988</v>
      </c>
      <c r="C33" s="711">
        <v>33.932766318129204</v>
      </c>
      <c r="D33" s="711">
        <v>16.287727832702018</v>
      </c>
      <c r="E33" s="707">
        <v>0</v>
      </c>
      <c r="F33" s="712">
        <v>0</v>
      </c>
    </row>
    <row r="34" spans="1:6">
      <c r="A34" s="718" t="s">
        <v>161</v>
      </c>
      <c r="B34" s="706">
        <v>7605.0115872200358</v>
      </c>
      <c r="C34" s="706">
        <v>488.63183498106275</v>
      </c>
      <c r="D34" s="706">
        <v>336.61304187584312</v>
      </c>
      <c r="E34" s="707">
        <v>0</v>
      </c>
      <c r="F34" s="707">
        <v>342.04228448674382</v>
      </c>
    </row>
    <row r="35" spans="1:6">
      <c r="A35" s="717" t="s">
        <v>161</v>
      </c>
      <c r="B35" s="711">
        <v>6319.638399088918</v>
      </c>
      <c r="C35" s="711">
        <v>469.6294858429103</v>
      </c>
      <c r="D35" s="711">
        <v>321.6826246958662</v>
      </c>
      <c r="E35" s="707">
        <v>0</v>
      </c>
      <c r="F35" s="712">
        <v>332.5411099176676</v>
      </c>
    </row>
    <row r="36" spans="1:6">
      <c r="A36" s="717" t="s">
        <v>162</v>
      </c>
      <c r="B36" s="711">
        <v>1285.3731881307083</v>
      </c>
      <c r="C36" s="711">
        <v>19.002349138152354</v>
      </c>
      <c r="D36" s="711">
        <v>14.93041717997685</v>
      </c>
      <c r="E36" s="707">
        <v>0</v>
      </c>
      <c r="F36" s="712">
        <v>9.5011745690761771</v>
      </c>
    </row>
    <row r="37" spans="1:6">
      <c r="A37" s="718" t="s">
        <v>163</v>
      </c>
      <c r="B37" s="706">
        <v>5773.9995166932376</v>
      </c>
      <c r="C37" s="706">
        <v>365.1165655830718</v>
      </c>
      <c r="D37" s="706">
        <v>282.32061576683611</v>
      </c>
      <c r="E37" s="707">
        <v>0</v>
      </c>
      <c r="F37" s="707">
        <v>172.37845289609692</v>
      </c>
    </row>
    <row r="38" spans="1:6">
      <c r="A38" s="717" t="s">
        <v>163</v>
      </c>
      <c r="B38" s="711">
        <v>4228.0226832388098</v>
      </c>
      <c r="C38" s="711">
        <v>180.52231681244797</v>
      </c>
      <c r="D38" s="711">
        <v>138.44568657796754</v>
      </c>
      <c r="E38" s="707">
        <v>0</v>
      </c>
      <c r="F38" s="712">
        <v>130.30182266161648</v>
      </c>
    </row>
    <row r="39" spans="1:6">
      <c r="A39" s="719" t="s">
        <v>164</v>
      </c>
      <c r="B39" s="720">
        <v>1545.976833453931</v>
      </c>
      <c r="C39" s="720">
        <v>184.59424877062349</v>
      </c>
      <c r="D39" s="720">
        <v>143.87492918886824</v>
      </c>
      <c r="E39" s="721">
        <v>0</v>
      </c>
      <c r="F39" s="722">
        <v>42.076630234480213</v>
      </c>
    </row>
  </sheetData>
  <mergeCells count="9">
    <mergeCell ref="A11:C11"/>
    <mergeCell ref="A1:F1"/>
    <mergeCell ref="A2:A5"/>
    <mergeCell ref="B2:B5"/>
    <mergeCell ref="C2:C5"/>
    <mergeCell ref="D2:F2"/>
    <mergeCell ref="D3:D5"/>
    <mergeCell ref="E3:E5"/>
    <mergeCell ref="F3:F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37"/>
  <sheetViews>
    <sheetView workbookViewId="0">
      <selection activeCell="F8" sqref="F8"/>
    </sheetView>
  </sheetViews>
  <sheetFormatPr defaultRowHeight="15"/>
  <cols>
    <col min="1" max="1" width="17.85546875" style="26" customWidth="1"/>
    <col min="2" max="2" width="12.7109375" style="26" customWidth="1"/>
    <col min="3" max="6" width="9.140625" style="26"/>
    <col min="7" max="7" width="11" style="26" customWidth="1"/>
    <col min="8" max="8" width="11.85546875" style="26" customWidth="1"/>
    <col min="9" max="9" width="10.85546875" style="26" customWidth="1"/>
    <col min="10" max="10" width="10.5703125" style="26" customWidth="1"/>
    <col min="11" max="11" width="9.140625" style="26"/>
    <col min="12" max="12" width="11" style="26" customWidth="1"/>
    <col min="13" max="16384" width="9.140625" style="26"/>
  </cols>
  <sheetData>
    <row r="1" spans="1:12" ht="23.25" customHeight="1">
      <c r="A1" s="1147" t="s">
        <v>430</v>
      </c>
      <c r="B1" s="1147"/>
      <c r="C1" s="1147"/>
      <c r="D1" s="1147"/>
      <c r="E1" s="1147"/>
      <c r="F1" s="1147"/>
      <c r="G1" s="1147"/>
      <c r="H1" s="1147"/>
      <c r="I1" s="1147"/>
      <c r="J1" s="1147"/>
      <c r="K1" s="1147"/>
      <c r="L1" s="1147"/>
    </row>
    <row r="2" spans="1:12">
      <c r="A2" s="1148" t="s">
        <v>314</v>
      </c>
      <c r="B2" s="1148" t="s">
        <v>315</v>
      </c>
      <c r="C2" s="1146" t="s">
        <v>541</v>
      </c>
      <c r="D2" s="1146"/>
      <c r="E2" s="1146"/>
      <c r="F2" s="1146"/>
      <c r="G2" s="1146"/>
      <c r="H2" s="1146"/>
      <c r="I2" s="1146"/>
      <c r="J2" s="1146"/>
      <c r="K2" s="1146"/>
      <c r="L2" s="1146"/>
    </row>
    <row r="3" spans="1:12" ht="34.5" customHeight="1">
      <c r="A3" s="1149"/>
      <c r="B3" s="1149"/>
      <c r="C3" s="887" t="s">
        <v>431</v>
      </c>
      <c r="D3" s="887" t="s">
        <v>432</v>
      </c>
      <c r="E3" s="900" t="s">
        <v>433</v>
      </c>
      <c r="F3" s="887" t="s">
        <v>434</v>
      </c>
      <c r="G3" s="887" t="s">
        <v>435</v>
      </c>
      <c r="H3" s="887" t="s">
        <v>436</v>
      </c>
      <c r="I3" s="887" t="s">
        <v>437</v>
      </c>
      <c r="J3" s="887" t="s">
        <v>438</v>
      </c>
      <c r="K3" s="887" t="s">
        <v>439</v>
      </c>
      <c r="L3" s="887" t="s">
        <v>440</v>
      </c>
    </row>
    <row r="4" spans="1:12">
      <c r="A4" s="723" t="s">
        <v>147</v>
      </c>
      <c r="B4" s="724">
        <v>128875.28916529956</v>
      </c>
      <c r="C4" s="724">
        <v>45829.594189277625</v>
      </c>
      <c r="D4" s="724">
        <v>46629.050163732987</v>
      </c>
      <c r="E4" s="724">
        <v>9543.2511993121534</v>
      </c>
      <c r="F4" s="724">
        <v>6724.1169736011389</v>
      </c>
      <c r="G4" s="724">
        <v>10003.379510586123</v>
      </c>
      <c r="H4" s="724">
        <v>7624.0139363581939</v>
      </c>
      <c r="I4" s="724">
        <v>8299.9546414155284</v>
      </c>
      <c r="J4" s="724">
        <v>11993.196927481813</v>
      </c>
      <c r="K4" s="724">
        <v>6524.5923076504796</v>
      </c>
      <c r="L4" s="724">
        <v>20715.275181896344</v>
      </c>
    </row>
    <row r="5" spans="1:12">
      <c r="A5" s="725"/>
      <c r="B5" s="726"/>
      <c r="C5" s="726"/>
      <c r="D5" s="726"/>
      <c r="E5" s="726"/>
      <c r="F5" s="726"/>
      <c r="G5" s="726"/>
      <c r="H5" s="726"/>
      <c r="I5" s="726"/>
      <c r="J5" s="726"/>
      <c r="K5" s="726"/>
      <c r="L5" s="726"/>
    </row>
    <row r="6" spans="1:12">
      <c r="A6" s="654" t="s">
        <v>3</v>
      </c>
      <c r="B6" s="727"/>
      <c r="C6" s="912"/>
      <c r="D6" s="912"/>
      <c r="E6" s="912"/>
      <c r="F6" s="912"/>
      <c r="G6" s="912"/>
      <c r="H6" s="912"/>
      <c r="I6" s="912"/>
      <c r="J6" s="912"/>
      <c r="K6" s="912"/>
      <c r="L6" s="912"/>
    </row>
    <row r="7" spans="1:12">
      <c r="A7" s="728" t="s">
        <v>4</v>
      </c>
      <c r="B7" s="726">
        <v>84854.990076339745</v>
      </c>
      <c r="C7" s="726">
        <v>31204.571906159574</v>
      </c>
      <c r="D7" s="726">
        <v>42174.356601487656</v>
      </c>
      <c r="E7" s="726">
        <v>6067.1786176819614</v>
      </c>
      <c r="F7" s="726">
        <v>3856.1195643920828</v>
      </c>
      <c r="G7" s="726">
        <v>7109.5931989752016</v>
      </c>
      <c r="H7" s="726">
        <v>4806.237021299904</v>
      </c>
      <c r="I7" s="726">
        <v>5379.0221167500958</v>
      </c>
      <c r="J7" s="726">
        <v>8142.5066056993628</v>
      </c>
      <c r="K7" s="726">
        <v>3463.8567857545236</v>
      </c>
      <c r="L7" s="726">
        <v>17803.84383179999</v>
      </c>
    </row>
    <row r="8" spans="1:12">
      <c r="A8" s="728" t="s">
        <v>5</v>
      </c>
      <c r="B8" s="726">
        <v>44020.299089194436</v>
      </c>
      <c r="C8" s="726">
        <v>14625.022283116699</v>
      </c>
      <c r="D8" s="726">
        <v>4454.6935622439805</v>
      </c>
      <c r="E8" s="726">
        <v>3476.0725816290496</v>
      </c>
      <c r="F8" s="726">
        <v>2867.9974092081966</v>
      </c>
      <c r="G8" s="726">
        <v>2893.7863116099738</v>
      </c>
      <c r="H8" s="726">
        <v>2817.7769150573672</v>
      </c>
      <c r="I8" s="726">
        <v>2920.9325246644762</v>
      </c>
      <c r="J8" s="726">
        <v>3850.6903217811823</v>
      </c>
      <c r="K8" s="726">
        <v>3060.7355218951634</v>
      </c>
      <c r="L8" s="726">
        <v>2911.4313500954004</v>
      </c>
    </row>
    <row r="9" spans="1:12">
      <c r="A9" s="1129" t="s">
        <v>327</v>
      </c>
      <c r="B9" s="1129"/>
      <c r="C9" s="1129"/>
      <c r="D9" s="729"/>
      <c r="E9" s="729"/>
      <c r="F9" s="729"/>
      <c r="G9" s="729"/>
      <c r="H9" s="729"/>
      <c r="I9" s="729"/>
      <c r="J9" s="729"/>
      <c r="K9" s="729"/>
      <c r="L9" s="729"/>
    </row>
    <row r="10" spans="1:12">
      <c r="A10" s="730" t="s">
        <v>148</v>
      </c>
      <c r="B10" s="731">
        <v>82847.527620969384</v>
      </c>
      <c r="C10" s="731">
        <v>31163.852586577807</v>
      </c>
      <c r="D10" s="731">
        <v>40453.286693831629</v>
      </c>
      <c r="E10" s="731">
        <v>5919.231756534874</v>
      </c>
      <c r="F10" s="731">
        <v>3938.915514208315</v>
      </c>
      <c r="G10" s="731">
        <v>6885.6369412754821</v>
      </c>
      <c r="H10" s="731">
        <v>4726.1556927890952</v>
      </c>
      <c r="I10" s="731">
        <v>5419.741436331863</v>
      </c>
      <c r="J10" s="731">
        <v>7971.4854634559406</v>
      </c>
      <c r="K10" s="731">
        <v>3584.6574338470591</v>
      </c>
      <c r="L10" s="731">
        <v>17269.063434626114</v>
      </c>
    </row>
    <row r="11" spans="1:12">
      <c r="A11" s="732" t="s">
        <v>148</v>
      </c>
      <c r="B11" s="726">
        <v>82847.527620969384</v>
      </c>
      <c r="C11" s="726">
        <v>31163.852586577807</v>
      </c>
      <c r="D11" s="726">
        <v>40453.286693831629</v>
      </c>
      <c r="E11" s="726">
        <v>5919.231756534874</v>
      </c>
      <c r="F11" s="726">
        <v>3938.915514208315</v>
      </c>
      <c r="G11" s="726">
        <v>6885.6369412754821</v>
      </c>
      <c r="H11" s="726">
        <v>4726.1556927890952</v>
      </c>
      <c r="I11" s="726">
        <v>5419.741436331863</v>
      </c>
      <c r="J11" s="726">
        <v>7971.4854634559406</v>
      </c>
      <c r="K11" s="726">
        <v>3584.6574338470591</v>
      </c>
      <c r="L11" s="726">
        <v>17269.063434626114</v>
      </c>
    </row>
    <row r="12" spans="1:12">
      <c r="A12" s="730" t="s">
        <v>149</v>
      </c>
      <c r="B12" s="731">
        <v>8033.921753481317</v>
      </c>
      <c r="C12" s="731">
        <v>2741.7675185047606</v>
      </c>
      <c r="D12" s="731">
        <v>1433.3200492777462</v>
      </c>
      <c r="E12" s="731">
        <v>674.583394404405</v>
      </c>
      <c r="F12" s="731">
        <v>480.4879710647117</v>
      </c>
      <c r="G12" s="731">
        <v>507.63418411921521</v>
      </c>
      <c r="H12" s="731">
        <v>438.41134083023127</v>
      </c>
      <c r="I12" s="731">
        <v>464.2002432320096</v>
      </c>
      <c r="J12" s="731">
        <v>751.95010160973675</v>
      </c>
      <c r="K12" s="731">
        <v>564.64123153367041</v>
      </c>
      <c r="L12" s="731">
        <v>513.06342673011591</v>
      </c>
    </row>
    <row r="13" spans="1:12">
      <c r="A13" s="732" t="s">
        <v>149</v>
      </c>
      <c r="B13" s="726">
        <v>8033.921753481317</v>
      </c>
      <c r="C13" s="726">
        <v>2741.7675185047606</v>
      </c>
      <c r="D13" s="726">
        <v>1433.3200492777462</v>
      </c>
      <c r="E13" s="726">
        <v>674.583394404405</v>
      </c>
      <c r="F13" s="726">
        <v>480.4879710647117</v>
      </c>
      <c r="G13" s="726">
        <v>507.63418411921521</v>
      </c>
      <c r="H13" s="726">
        <v>438.41134083023127</v>
      </c>
      <c r="I13" s="726">
        <v>464.2002432320096</v>
      </c>
      <c r="J13" s="726">
        <v>751.95010160973675</v>
      </c>
      <c r="K13" s="726">
        <v>564.64123153367041</v>
      </c>
      <c r="L13" s="726">
        <v>513.06342673011591</v>
      </c>
    </row>
    <row r="14" spans="1:12">
      <c r="A14" s="730" t="s">
        <v>150</v>
      </c>
      <c r="B14" s="731">
        <v>2804.203808530116</v>
      </c>
      <c r="C14" s="731">
        <v>857.82033252229598</v>
      </c>
      <c r="D14" s="731">
        <v>795.38404249694054</v>
      </c>
      <c r="E14" s="731">
        <v>373.26042949942286</v>
      </c>
      <c r="F14" s="731">
        <v>336.61304187584312</v>
      </c>
      <c r="G14" s="731">
        <v>389.54815733212496</v>
      </c>
      <c r="H14" s="731">
        <v>396.33471059575083</v>
      </c>
      <c r="I14" s="731">
        <v>370.5458081939725</v>
      </c>
      <c r="J14" s="731">
        <v>426.19554495570469</v>
      </c>
      <c r="K14" s="731">
        <v>320.32531404314102</v>
      </c>
      <c r="L14" s="731">
        <v>500.84763085558933</v>
      </c>
    </row>
    <row r="15" spans="1:12">
      <c r="A15" s="732" t="s">
        <v>150</v>
      </c>
      <c r="B15" s="726">
        <v>2804.203808530116</v>
      </c>
      <c r="C15" s="726">
        <v>857.82033252229598</v>
      </c>
      <c r="D15" s="726">
        <v>795.38404249694054</v>
      </c>
      <c r="E15" s="726">
        <v>373.26042949942286</v>
      </c>
      <c r="F15" s="726">
        <v>336.61304187584312</v>
      </c>
      <c r="G15" s="726">
        <v>389.54815733212496</v>
      </c>
      <c r="H15" s="726">
        <v>396.33471059575083</v>
      </c>
      <c r="I15" s="726">
        <v>370.5458081939725</v>
      </c>
      <c r="J15" s="726">
        <v>426.19554495570469</v>
      </c>
      <c r="K15" s="726">
        <v>320.32531404314102</v>
      </c>
      <c r="L15" s="726">
        <v>500.84763085558933</v>
      </c>
    </row>
    <row r="16" spans="1:12">
      <c r="A16" s="730" t="s">
        <v>151</v>
      </c>
      <c r="B16" s="731">
        <v>7090.5908498370436</v>
      </c>
      <c r="C16" s="731">
        <v>2272.1380326618696</v>
      </c>
      <c r="D16" s="731">
        <v>1423.8188747086704</v>
      </c>
      <c r="E16" s="731">
        <v>585.00089132454718</v>
      </c>
      <c r="F16" s="731">
        <v>316.25338208496549</v>
      </c>
      <c r="G16" s="731">
        <v>446.55520474658232</v>
      </c>
      <c r="H16" s="731">
        <v>388.19084667939978</v>
      </c>
      <c r="I16" s="731">
        <v>312.18145012678997</v>
      </c>
      <c r="J16" s="731">
        <v>392.26277863757531</v>
      </c>
      <c r="K16" s="731">
        <v>327.1118673067669</v>
      </c>
      <c r="L16" s="731">
        <v>697.65767550073201</v>
      </c>
    </row>
    <row r="17" spans="1:12">
      <c r="A17" s="732" t="s">
        <v>151</v>
      </c>
      <c r="B17" s="726">
        <v>7090.5908498370436</v>
      </c>
      <c r="C17" s="726">
        <v>2272.1380326618696</v>
      </c>
      <c r="D17" s="726">
        <v>1423.8188747086704</v>
      </c>
      <c r="E17" s="726">
        <v>585.00089132454718</v>
      </c>
      <c r="F17" s="726">
        <v>316.25338208496549</v>
      </c>
      <c r="G17" s="726">
        <v>446.55520474658232</v>
      </c>
      <c r="H17" s="726">
        <v>388.19084667939978</v>
      </c>
      <c r="I17" s="726">
        <v>312.18145012678997</v>
      </c>
      <c r="J17" s="726">
        <v>392.26277863757531</v>
      </c>
      <c r="K17" s="726">
        <v>327.1118673067669</v>
      </c>
      <c r="L17" s="726">
        <v>697.65767550073201</v>
      </c>
    </row>
    <row r="18" spans="1:12">
      <c r="A18" s="730" t="s">
        <v>152</v>
      </c>
      <c r="B18" s="731">
        <v>1748.2161207099737</v>
      </c>
      <c r="C18" s="731">
        <v>333.89842057039277</v>
      </c>
      <c r="D18" s="731">
        <v>160.16265702157034</v>
      </c>
      <c r="E18" s="731">
        <v>74.652085899884298</v>
      </c>
      <c r="F18" s="731">
        <v>76.009396552609473</v>
      </c>
      <c r="G18" s="731">
        <v>90.939813732586401</v>
      </c>
      <c r="H18" s="731">
        <v>73.294775247159123</v>
      </c>
      <c r="I18" s="731">
        <v>69.222843288983597</v>
      </c>
      <c r="J18" s="731">
        <v>63.793600678082903</v>
      </c>
      <c r="K18" s="731">
        <v>65.150911330808071</v>
      </c>
      <c r="L18" s="731">
        <v>80.081328510784999</v>
      </c>
    </row>
    <row r="19" spans="1:12">
      <c r="A19" s="732" t="s">
        <v>152</v>
      </c>
      <c r="B19" s="726">
        <v>1157.7859867745472</v>
      </c>
      <c r="C19" s="726">
        <v>295.89372229408787</v>
      </c>
      <c r="D19" s="726">
        <v>142.51761853614306</v>
      </c>
      <c r="E19" s="726">
        <v>57.007047414457062</v>
      </c>
      <c r="F19" s="726">
        <v>61.078979372632567</v>
      </c>
      <c r="G19" s="726">
        <v>73.294775247159123</v>
      </c>
      <c r="H19" s="726">
        <v>58.364358067182231</v>
      </c>
      <c r="I19" s="726">
        <v>52.935115456281558</v>
      </c>
      <c r="J19" s="726">
        <v>55.649736761731894</v>
      </c>
      <c r="K19" s="726">
        <v>50.220494150831222</v>
      </c>
      <c r="L19" s="726">
        <v>70.580153941708772</v>
      </c>
    </row>
    <row r="20" spans="1:12">
      <c r="A20" s="733" t="s">
        <v>153</v>
      </c>
      <c r="B20" s="734">
        <v>590.43013393544766</v>
      </c>
      <c r="C20" s="734">
        <v>38.004698276304708</v>
      </c>
      <c r="D20" s="734">
        <v>17.645038485427186</v>
      </c>
      <c r="E20" s="735">
        <v>17.645038485427186</v>
      </c>
      <c r="F20" s="735">
        <v>14.93041717997685</v>
      </c>
      <c r="G20" s="735">
        <v>17.645038485427186</v>
      </c>
      <c r="H20" s="735">
        <v>14.93041717997685</v>
      </c>
      <c r="I20" s="735">
        <v>16.287727832702018</v>
      </c>
      <c r="J20" s="735">
        <v>8.1438639163510089</v>
      </c>
      <c r="K20" s="735">
        <v>14.93041717997685</v>
      </c>
      <c r="L20" s="735">
        <v>9.5011745690761771</v>
      </c>
    </row>
    <row r="21" spans="1:12">
      <c r="A21" s="736" t="s">
        <v>154</v>
      </c>
      <c r="B21" s="737">
        <v>758.73665487336234</v>
      </c>
      <c r="C21" s="737">
        <v>325.75455665404172</v>
      </c>
      <c r="D21" s="737">
        <v>21.71697044360269</v>
      </c>
      <c r="E21" s="738">
        <v>4.0719319581755045</v>
      </c>
      <c r="F21" s="738">
        <v>5.4292426109006726</v>
      </c>
      <c r="G21" s="738">
        <v>5.4292426109006726</v>
      </c>
      <c r="H21" s="738">
        <v>1.3573106527251682</v>
      </c>
      <c r="I21" s="738">
        <v>0</v>
      </c>
      <c r="J21" s="738">
        <v>2.7146213054503363</v>
      </c>
      <c r="K21" s="738">
        <v>2.7146213054503363</v>
      </c>
      <c r="L21" s="738">
        <v>0</v>
      </c>
    </row>
    <row r="22" spans="1:12">
      <c r="A22" s="733" t="s">
        <v>154</v>
      </c>
      <c r="B22" s="734">
        <v>499.49032020286415</v>
      </c>
      <c r="C22" s="734">
        <v>176.45038485427244</v>
      </c>
      <c r="D22" s="734">
        <v>16.287727832702018</v>
      </c>
      <c r="E22" s="735">
        <v>2.7146213054503363</v>
      </c>
      <c r="F22" s="735">
        <v>5.4292426109006726</v>
      </c>
      <c r="G22" s="735">
        <v>5.4292426109006726</v>
      </c>
      <c r="H22" s="735">
        <v>0</v>
      </c>
      <c r="I22" s="735">
        <v>0</v>
      </c>
      <c r="J22" s="735">
        <v>0</v>
      </c>
      <c r="K22" s="735">
        <v>2.7146213054503363</v>
      </c>
      <c r="L22" s="735">
        <v>0</v>
      </c>
    </row>
    <row r="23" spans="1:12">
      <c r="A23" s="733" t="s">
        <v>155</v>
      </c>
      <c r="B23" s="734">
        <v>259.24633467050813</v>
      </c>
      <c r="C23" s="734">
        <v>149.30417179976894</v>
      </c>
      <c r="D23" s="734">
        <v>5.4292426109006726</v>
      </c>
      <c r="E23" s="735">
        <v>1.3573106527251682</v>
      </c>
      <c r="F23" s="735">
        <v>0</v>
      </c>
      <c r="G23" s="735">
        <v>0</v>
      </c>
      <c r="H23" s="735">
        <v>1.3573106527251682</v>
      </c>
      <c r="I23" s="735">
        <v>0</v>
      </c>
      <c r="J23" s="735">
        <v>2.7146213054503363</v>
      </c>
      <c r="K23" s="735">
        <v>0</v>
      </c>
      <c r="L23" s="735">
        <v>0</v>
      </c>
    </row>
    <row r="24" spans="1:12">
      <c r="A24" s="736" t="s">
        <v>156</v>
      </c>
      <c r="B24" s="731">
        <v>4139.7974908116475</v>
      </c>
      <c r="C24" s="731">
        <v>963.69056343485522</v>
      </c>
      <c r="D24" s="731">
        <v>780.45362531696424</v>
      </c>
      <c r="E24" s="731">
        <v>686.79919027893106</v>
      </c>
      <c r="F24" s="731">
        <v>627.07752155902585</v>
      </c>
      <c r="G24" s="731">
        <v>640.65062808627704</v>
      </c>
      <c r="H24" s="731">
        <v>651.50911330807799</v>
      </c>
      <c r="I24" s="731">
        <v>666.43953048805429</v>
      </c>
      <c r="J24" s="731">
        <v>745.16354834611116</v>
      </c>
      <c r="K24" s="731">
        <v>618.93365764267514</v>
      </c>
      <c r="L24" s="731">
        <v>652.8664239608031</v>
      </c>
    </row>
    <row r="25" spans="1:12">
      <c r="A25" s="733" t="s">
        <v>156</v>
      </c>
      <c r="B25" s="726">
        <v>1980.3162423259689</v>
      </c>
      <c r="C25" s="726">
        <v>313.53876077951514</v>
      </c>
      <c r="D25" s="726">
        <v>253.81709205960743</v>
      </c>
      <c r="E25" s="726">
        <v>221.24163639420323</v>
      </c>
      <c r="F25" s="726">
        <v>158.80534636884516</v>
      </c>
      <c r="G25" s="726">
        <v>176.45038485427244</v>
      </c>
      <c r="H25" s="726">
        <v>196.81004464515007</v>
      </c>
      <c r="I25" s="726">
        <v>180.52231681244797</v>
      </c>
      <c r="J25" s="726">
        <v>203.59659790877595</v>
      </c>
      <c r="K25" s="726">
        <v>162.87727832702069</v>
      </c>
      <c r="L25" s="726">
        <v>202.23928725605077</v>
      </c>
    </row>
    <row r="26" spans="1:12">
      <c r="A26" s="733" t="s">
        <v>157</v>
      </c>
      <c r="B26" s="726">
        <v>2159.4812484856848</v>
      </c>
      <c r="C26" s="726">
        <v>650.15180265535287</v>
      </c>
      <c r="D26" s="726">
        <v>526.63653325736709</v>
      </c>
      <c r="E26" s="726">
        <v>465.55755388473477</v>
      </c>
      <c r="F26" s="726">
        <v>468.27217519018512</v>
      </c>
      <c r="G26" s="726">
        <v>464.2002432320096</v>
      </c>
      <c r="H26" s="726">
        <v>454.69906866293337</v>
      </c>
      <c r="I26" s="726">
        <v>485.9172136756124</v>
      </c>
      <c r="J26" s="726">
        <v>541.56695043734339</v>
      </c>
      <c r="K26" s="726">
        <v>456.05637931565855</v>
      </c>
      <c r="L26" s="726">
        <v>450.62713670475785</v>
      </c>
    </row>
    <row r="27" spans="1:12">
      <c r="A27" s="736" t="s">
        <v>158</v>
      </c>
      <c r="B27" s="731">
        <v>6323.7103310470948</v>
      </c>
      <c r="C27" s="731">
        <v>922.97124385310167</v>
      </c>
      <c r="D27" s="731">
        <v>332.5411099176676</v>
      </c>
      <c r="E27" s="731">
        <v>215.81239378330253</v>
      </c>
      <c r="F27" s="731">
        <v>152.01879310521929</v>
      </c>
      <c r="G27" s="731">
        <v>190.0234913815242</v>
      </c>
      <c r="H27" s="731">
        <v>165.59189963247104</v>
      </c>
      <c r="I27" s="731">
        <v>185.95155942334867</v>
      </c>
      <c r="J27" s="731">
        <v>442.48327278840679</v>
      </c>
      <c r="K27" s="731">
        <v>158.80534636884516</v>
      </c>
      <c r="L27" s="731">
        <v>171.02114224337174</v>
      </c>
    </row>
    <row r="28" spans="1:12">
      <c r="A28" s="733" t="s">
        <v>158</v>
      </c>
      <c r="B28" s="726">
        <v>5377.6648060973703</v>
      </c>
      <c r="C28" s="726">
        <v>823.88756620416802</v>
      </c>
      <c r="D28" s="726">
        <v>327.1118673067669</v>
      </c>
      <c r="E28" s="726">
        <v>209.02584051967665</v>
      </c>
      <c r="F28" s="726">
        <v>150.66148245249411</v>
      </c>
      <c r="G28" s="726">
        <v>185.95155942334867</v>
      </c>
      <c r="H28" s="726">
        <v>162.87727832702069</v>
      </c>
      <c r="I28" s="726">
        <v>181.87962746517314</v>
      </c>
      <c r="J28" s="726">
        <v>426.19554495570469</v>
      </c>
      <c r="K28" s="726">
        <v>156.09072506339481</v>
      </c>
      <c r="L28" s="726">
        <v>168.30652093792139</v>
      </c>
    </row>
    <row r="29" spans="1:12">
      <c r="A29" s="733" t="s">
        <v>159</v>
      </c>
      <c r="B29" s="726">
        <v>946.04552494942868</v>
      </c>
      <c r="C29" s="726">
        <v>99.083677648937453</v>
      </c>
      <c r="D29" s="726">
        <v>5.4292426109006726</v>
      </c>
      <c r="E29" s="726">
        <v>6.7865532636258408</v>
      </c>
      <c r="F29" s="726">
        <v>1.3573106527251682</v>
      </c>
      <c r="G29" s="726">
        <v>4.0719319581755045</v>
      </c>
      <c r="H29" s="726">
        <v>2.7146213054503363</v>
      </c>
      <c r="I29" s="726">
        <v>4.0719319581755045</v>
      </c>
      <c r="J29" s="726">
        <v>16.287727832702018</v>
      </c>
      <c r="K29" s="726">
        <v>2.7146213054503363</v>
      </c>
      <c r="L29" s="726">
        <v>2.7146213054503363</v>
      </c>
    </row>
    <row r="30" spans="1:12">
      <c r="A30" s="736" t="s">
        <v>160</v>
      </c>
      <c r="B30" s="731">
        <v>1749.5734313626988</v>
      </c>
      <c r="C30" s="731">
        <v>732.94775247158509</v>
      </c>
      <c r="D30" s="731">
        <v>55.649736761731894</v>
      </c>
      <c r="E30" s="731">
        <v>54.292426109006726</v>
      </c>
      <c r="F30" s="731">
        <v>43.433940887205381</v>
      </c>
      <c r="G30" s="731">
        <v>33.932766318129204</v>
      </c>
      <c r="H30" s="731">
        <v>47.505872845380885</v>
      </c>
      <c r="I30" s="731">
        <v>42.076630234480213</v>
      </c>
      <c r="J30" s="731">
        <v>71.937464594433948</v>
      </c>
      <c r="K30" s="731">
        <v>54.292426109006726</v>
      </c>
      <c r="L30" s="731">
        <v>55.649736761731894</v>
      </c>
    </row>
    <row r="31" spans="1:12">
      <c r="A31" s="733" t="s">
        <v>160</v>
      </c>
      <c r="B31" s="726">
        <v>1749.5734313626988</v>
      </c>
      <c r="C31" s="726">
        <v>732.94775247158509</v>
      </c>
      <c r="D31" s="726">
        <v>55.649736761731894</v>
      </c>
      <c r="E31" s="726">
        <v>54.292426109006726</v>
      </c>
      <c r="F31" s="726">
        <v>43.433940887205381</v>
      </c>
      <c r="G31" s="726">
        <v>33.932766318129204</v>
      </c>
      <c r="H31" s="726">
        <v>47.505872845380885</v>
      </c>
      <c r="I31" s="726">
        <v>42.076630234480213</v>
      </c>
      <c r="J31" s="726">
        <v>71.937464594433948</v>
      </c>
      <c r="K31" s="726">
        <v>54.292426109006726</v>
      </c>
      <c r="L31" s="726">
        <v>55.649736761731894</v>
      </c>
    </row>
    <row r="32" spans="1:12">
      <c r="A32" s="736" t="s">
        <v>161</v>
      </c>
      <c r="B32" s="731">
        <v>7605.0115872200358</v>
      </c>
      <c r="C32" s="731">
        <v>3839.8318365593814</v>
      </c>
      <c r="D32" s="731">
        <v>576.85702740819647</v>
      </c>
      <c r="E32" s="731">
        <v>412.62243842845294</v>
      </c>
      <c r="F32" s="731">
        <v>337.9703525285683</v>
      </c>
      <c r="G32" s="731">
        <v>371.90311884669768</v>
      </c>
      <c r="H32" s="731">
        <v>329.82648861221725</v>
      </c>
      <c r="I32" s="731">
        <v>356.97270166672075</v>
      </c>
      <c r="J32" s="731">
        <v>527.99384391009221</v>
      </c>
      <c r="K32" s="731">
        <v>428.91016626115504</v>
      </c>
      <c r="L32" s="731">
        <v>371.90311884669768</v>
      </c>
    </row>
    <row r="33" spans="1:12">
      <c r="A33" s="733" t="s">
        <v>161</v>
      </c>
      <c r="B33" s="726">
        <v>6319.638399088918</v>
      </c>
      <c r="C33" s="726">
        <v>3181.5361699876989</v>
      </c>
      <c r="D33" s="726">
        <v>525.27922260464197</v>
      </c>
      <c r="E33" s="726">
        <v>380.04698276304873</v>
      </c>
      <c r="F33" s="726">
        <v>320.32531404314102</v>
      </c>
      <c r="G33" s="726">
        <v>343.399595139469</v>
      </c>
      <c r="H33" s="726">
        <v>305.39489686316409</v>
      </c>
      <c r="I33" s="726">
        <v>333.89842057039277</v>
      </c>
      <c r="J33" s="726">
        <v>457.41368996838372</v>
      </c>
      <c r="K33" s="726">
        <v>399.04933190120119</v>
      </c>
      <c r="L33" s="726">
        <v>351.54345905582005</v>
      </c>
    </row>
    <row r="34" spans="1:12">
      <c r="A34" s="733" t="s">
        <v>162</v>
      </c>
      <c r="B34" s="726">
        <v>1285.3731881307083</v>
      </c>
      <c r="C34" s="726">
        <v>658.29566657170358</v>
      </c>
      <c r="D34" s="726">
        <v>51.57780480355639</v>
      </c>
      <c r="E34" s="726">
        <v>32.575455665404036</v>
      </c>
      <c r="F34" s="726">
        <v>17.645038485427186</v>
      </c>
      <c r="G34" s="726">
        <v>28.503523707228531</v>
      </c>
      <c r="H34" s="726">
        <v>24.431591749053027</v>
      </c>
      <c r="I34" s="726">
        <v>23.074281096327859</v>
      </c>
      <c r="J34" s="726">
        <v>70.580153941708772</v>
      </c>
      <c r="K34" s="726">
        <v>29.860834359953699</v>
      </c>
      <c r="L34" s="726">
        <v>20.359659790877522</v>
      </c>
    </row>
    <row r="35" spans="1:12">
      <c r="A35" s="736" t="s">
        <v>163</v>
      </c>
      <c r="B35" s="731">
        <v>5773.9995166932376</v>
      </c>
      <c r="C35" s="731">
        <v>1674.9213454628173</v>
      </c>
      <c r="D35" s="731">
        <v>595.85937654634813</v>
      </c>
      <c r="E35" s="731">
        <v>542.92426109006851</v>
      </c>
      <c r="F35" s="731">
        <v>409.90781712300259</v>
      </c>
      <c r="G35" s="731">
        <v>441.12596213568162</v>
      </c>
      <c r="H35" s="731">
        <v>405.83588516482706</v>
      </c>
      <c r="I35" s="731">
        <v>412.62243842845294</v>
      </c>
      <c r="J35" s="731">
        <v>597.21668719907325</v>
      </c>
      <c r="K35" s="731">
        <v>399.04933190120119</v>
      </c>
      <c r="L35" s="731">
        <v>403.12126385937671</v>
      </c>
    </row>
    <row r="36" spans="1:12">
      <c r="A36" s="733" t="s">
        <v>163</v>
      </c>
      <c r="B36" s="726">
        <v>4228.0226832388098</v>
      </c>
      <c r="C36" s="726">
        <v>1191.7187530926751</v>
      </c>
      <c r="D36" s="726">
        <v>515.77804803556614</v>
      </c>
      <c r="E36" s="726">
        <v>480.4879710647117</v>
      </c>
      <c r="F36" s="726">
        <v>366.47387623579698</v>
      </c>
      <c r="G36" s="726">
        <v>381.40429341577391</v>
      </c>
      <c r="H36" s="726">
        <v>358.33001231944593</v>
      </c>
      <c r="I36" s="726">
        <v>362.40194427762145</v>
      </c>
      <c r="J36" s="726">
        <v>515.77804803556614</v>
      </c>
      <c r="K36" s="726">
        <v>337.9703525285683</v>
      </c>
      <c r="L36" s="726">
        <v>359.6873229721711</v>
      </c>
    </row>
    <row r="37" spans="1:12">
      <c r="A37" s="739" t="s">
        <v>164</v>
      </c>
      <c r="B37" s="740">
        <v>1545.976833453931</v>
      </c>
      <c r="C37" s="740">
        <v>483.20259237016205</v>
      </c>
      <c r="D37" s="740">
        <v>80.081328510784999</v>
      </c>
      <c r="E37" s="740">
        <v>62.436290025357735</v>
      </c>
      <c r="F37" s="740">
        <v>43.433940887205381</v>
      </c>
      <c r="G37" s="740">
        <v>59.721668719907399</v>
      </c>
      <c r="H37" s="740">
        <v>47.505872845380885</v>
      </c>
      <c r="I37" s="740">
        <v>50.220494150831222</v>
      </c>
      <c r="J37" s="740">
        <v>81.438639163510175</v>
      </c>
      <c r="K37" s="740">
        <v>61.078979372632567</v>
      </c>
      <c r="L37" s="740">
        <v>43.433940887205381</v>
      </c>
    </row>
  </sheetData>
  <mergeCells count="5">
    <mergeCell ref="C2:L2"/>
    <mergeCell ref="A9:C9"/>
    <mergeCell ref="A1:L1"/>
    <mergeCell ref="B2:B3"/>
    <mergeCell ref="A2:A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7"/>
  <sheetViews>
    <sheetView workbookViewId="0">
      <selection activeCell="C8" sqref="C8"/>
    </sheetView>
  </sheetViews>
  <sheetFormatPr defaultRowHeight="15"/>
  <cols>
    <col min="1" max="1" width="19.28515625" style="26" customWidth="1"/>
    <col min="2" max="2" width="13" style="26" customWidth="1"/>
    <col min="3" max="3" width="13.42578125" style="26" customWidth="1"/>
    <col min="4" max="4" width="14.28515625" style="26" customWidth="1"/>
    <col min="5" max="5" width="14.140625" style="26" customWidth="1"/>
    <col min="6" max="16384" width="9.140625" style="26"/>
  </cols>
  <sheetData>
    <row r="1" spans="1:5" ht="32.25" customHeight="1">
      <c r="A1" s="1150" t="s">
        <v>441</v>
      </c>
      <c r="B1" s="1150"/>
      <c r="C1" s="1150"/>
      <c r="D1" s="1150"/>
      <c r="E1" s="1150"/>
    </row>
    <row r="2" spans="1:5" ht="30.75" customHeight="1">
      <c r="A2" s="1151" t="s">
        <v>314</v>
      </c>
      <c r="B2" s="1152" t="s">
        <v>315</v>
      </c>
      <c r="C2" s="1153" t="s">
        <v>442</v>
      </c>
      <c r="D2" s="1153"/>
      <c r="E2" s="1153"/>
    </row>
    <row r="3" spans="1:5">
      <c r="A3" s="1151"/>
      <c r="B3" s="1152"/>
      <c r="C3" s="741" t="s">
        <v>443</v>
      </c>
      <c r="D3" s="741" t="s">
        <v>444</v>
      </c>
      <c r="E3" s="741" t="s">
        <v>306</v>
      </c>
    </row>
    <row r="4" spans="1:5">
      <c r="A4" s="742" t="s">
        <v>147</v>
      </c>
      <c r="B4" s="743">
        <v>128875.28916529956</v>
      </c>
      <c r="C4" s="743">
        <v>13191.702233838494</v>
      </c>
      <c r="D4" s="743">
        <v>115594.00442845102</v>
      </c>
      <c r="E4" s="744">
        <v>89.582503079861226</v>
      </c>
    </row>
    <row r="5" spans="1:5">
      <c r="A5" s="745"/>
      <c r="B5" s="746"/>
      <c r="C5" s="746"/>
      <c r="D5" s="746"/>
      <c r="E5" s="747"/>
    </row>
    <row r="6" spans="1:5">
      <c r="A6" s="654" t="s">
        <v>3</v>
      </c>
      <c r="B6" s="743"/>
      <c r="C6" s="743"/>
      <c r="D6" s="743"/>
      <c r="E6" s="744"/>
    </row>
    <row r="7" spans="1:5">
      <c r="A7" s="748" t="s">
        <v>4</v>
      </c>
      <c r="B7" s="749">
        <v>84854.990076339745</v>
      </c>
      <c r="C7" s="749">
        <v>5908.3732713130694</v>
      </c>
      <c r="D7" s="749">
        <v>78897.753621559139</v>
      </c>
      <c r="E7" s="750">
        <v>48.863183498106054</v>
      </c>
    </row>
    <row r="8" spans="1:5">
      <c r="A8" s="748" t="s">
        <v>5</v>
      </c>
      <c r="B8" s="749">
        <v>44020.299089194436</v>
      </c>
      <c r="C8" s="749">
        <v>7283.328962524075</v>
      </c>
      <c r="D8" s="749">
        <v>36696.250807087243</v>
      </c>
      <c r="E8" s="750">
        <v>40.719319581755045</v>
      </c>
    </row>
    <row r="9" spans="1:5">
      <c r="A9" s="1129" t="s">
        <v>327</v>
      </c>
      <c r="B9" s="1129"/>
      <c r="C9" s="1129"/>
      <c r="D9" s="751"/>
      <c r="E9" s="752"/>
    </row>
    <row r="10" spans="1:5">
      <c r="A10" s="753" t="s">
        <v>148</v>
      </c>
      <c r="B10" s="754">
        <v>82847.527620969384</v>
      </c>
      <c r="C10" s="754">
        <v>4147.941354728001</v>
      </c>
      <c r="D10" s="754">
        <v>78639.864597542663</v>
      </c>
      <c r="E10" s="755">
        <v>59.721668719907399</v>
      </c>
    </row>
    <row r="11" spans="1:5">
      <c r="A11" s="756" t="s">
        <v>148</v>
      </c>
      <c r="B11" s="749">
        <v>82847.527620969384</v>
      </c>
      <c r="C11" s="749">
        <v>4147.941354728001</v>
      </c>
      <c r="D11" s="749">
        <v>78639.864597542663</v>
      </c>
      <c r="E11" s="750">
        <v>59.721668719907399</v>
      </c>
    </row>
    <row r="12" spans="1:5">
      <c r="A12" s="757" t="s">
        <v>149</v>
      </c>
      <c r="B12" s="754">
        <v>8033.921753481317</v>
      </c>
      <c r="C12" s="754">
        <v>1586.6961530356846</v>
      </c>
      <c r="D12" s="754">
        <v>6443.1536684869452</v>
      </c>
      <c r="E12" s="755">
        <v>4.0719319581755045</v>
      </c>
    </row>
    <row r="13" spans="1:5">
      <c r="A13" s="756" t="s">
        <v>149</v>
      </c>
      <c r="B13" s="749">
        <v>8033.921753481317</v>
      </c>
      <c r="C13" s="749">
        <v>1586.6961530356846</v>
      </c>
      <c r="D13" s="749">
        <v>6443.1536684869452</v>
      </c>
      <c r="E13" s="750">
        <v>4.0719319581755045</v>
      </c>
    </row>
    <row r="14" spans="1:5">
      <c r="A14" s="757" t="s">
        <v>150</v>
      </c>
      <c r="B14" s="754">
        <v>2804.203808530116</v>
      </c>
      <c r="C14" s="754">
        <v>362.40194427762145</v>
      </c>
      <c r="D14" s="754">
        <v>2441.8018642525094</v>
      </c>
      <c r="E14" s="755">
        <v>0</v>
      </c>
    </row>
    <row r="15" spans="1:5">
      <c r="A15" s="756" t="s">
        <v>150</v>
      </c>
      <c r="B15" s="749">
        <v>2804.203808530116</v>
      </c>
      <c r="C15" s="749">
        <v>362.40194427762145</v>
      </c>
      <c r="D15" s="749">
        <v>2441.8018642525094</v>
      </c>
      <c r="E15" s="750">
        <v>0</v>
      </c>
    </row>
    <row r="16" spans="1:5">
      <c r="A16" s="757" t="s">
        <v>151</v>
      </c>
      <c r="B16" s="754">
        <v>7090.5908498370436</v>
      </c>
      <c r="C16" s="754">
        <v>380.04698276304873</v>
      </c>
      <c r="D16" s="754">
        <v>6709.1865564211575</v>
      </c>
      <c r="E16" s="755">
        <v>1.3573106527251682</v>
      </c>
    </row>
    <row r="17" spans="1:5">
      <c r="A17" s="756" t="s">
        <v>151</v>
      </c>
      <c r="B17" s="749">
        <v>7090.5908498370436</v>
      </c>
      <c r="C17" s="749">
        <v>380.04698276304873</v>
      </c>
      <c r="D17" s="749">
        <v>6709.1865564211575</v>
      </c>
      <c r="E17" s="750">
        <v>1.3573106527251682</v>
      </c>
    </row>
    <row r="18" spans="1:5">
      <c r="A18" s="757" t="s">
        <v>152</v>
      </c>
      <c r="B18" s="754">
        <v>1748.2161207099737</v>
      </c>
      <c r="C18" s="754">
        <v>632.50676416992633</v>
      </c>
      <c r="D18" s="754">
        <v>1115.7093565400685</v>
      </c>
      <c r="E18" s="755">
        <v>0</v>
      </c>
    </row>
    <row r="19" spans="1:5">
      <c r="A19" s="756" t="s">
        <v>152</v>
      </c>
      <c r="B19" s="749">
        <v>1157.7859867745472</v>
      </c>
      <c r="C19" s="749">
        <v>532.06577586826756</v>
      </c>
      <c r="D19" s="749">
        <v>625.72021090630074</v>
      </c>
      <c r="E19" s="750">
        <v>0</v>
      </c>
    </row>
    <row r="20" spans="1:5">
      <c r="A20" s="756" t="s">
        <v>153</v>
      </c>
      <c r="B20" s="749">
        <v>590.43013393544766</v>
      </c>
      <c r="C20" s="749">
        <v>100.44098830166263</v>
      </c>
      <c r="D20" s="749">
        <v>489.98914563378793</v>
      </c>
      <c r="E20" s="750">
        <v>0</v>
      </c>
    </row>
    <row r="21" spans="1:5">
      <c r="A21" s="757" t="s">
        <v>154</v>
      </c>
      <c r="B21" s="754">
        <v>758.73665487336234</v>
      </c>
      <c r="C21" s="754">
        <v>16.287727832702018</v>
      </c>
      <c r="D21" s="754">
        <v>742.44892704066092</v>
      </c>
      <c r="E21" s="755">
        <v>0</v>
      </c>
    </row>
    <row r="22" spans="1:5">
      <c r="A22" s="756" t="s">
        <v>154</v>
      </c>
      <c r="B22" s="749">
        <v>499.49032020286415</v>
      </c>
      <c r="C22" s="749">
        <v>14.93041717997685</v>
      </c>
      <c r="D22" s="749">
        <v>484.55990302288723</v>
      </c>
      <c r="E22" s="750">
        <v>0</v>
      </c>
    </row>
    <row r="23" spans="1:5">
      <c r="A23" s="756" t="s">
        <v>155</v>
      </c>
      <c r="B23" s="749">
        <v>259.24633467050813</v>
      </c>
      <c r="C23" s="749">
        <v>1.3573106527251682</v>
      </c>
      <c r="D23" s="749">
        <v>257.88902401778296</v>
      </c>
      <c r="E23" s="750">
        <v>0</v>
      </c>
    </row>
    <row r="24" spans="1:5">
      <c r="A24" s="757" t="s">
        <v>156</v>
      </c>
      <c r="B24" s="754">
        <v>4139.7974908116475</v>
      </c>
      <c r="C24" s="754">
        <v>688.15650093165618</v>
      </c>
      <c r="D24" s="754">
        <v>3451.6409898799975</v>
      </c>
      <c r="E24" s="755">
        <v>0</v>
      </c>
    </row>
    <row r="25" spans="1:5">
      <c r="A25" s="756" t="s">
        <v>156</v>
      </c>
      <c r="B25" s="749">
        <v>1980.3162423259689</v>
      </c>
      <c r="C25" s="749">
        <v>179.16500615972279</v>
      </c>
      <c r="D25" s="749">
        <v>1801.1512361662533</v>
      </c>
      <c r="E25" s="750">
        <v>0</v>
      </c>
    </row>
    <row r="26" spans="1:5">
      <c r="A26" s="756" t="s">
        <v>157</v>
      </c>
      <c r="B26" s="749">
        <v>2159.4812484856848</v>
      </c>
      <c r="C26" s="749">
        <v>508.99149477194038</v>
      </c>
      <c r="D26" s="749">
        <v>1650.4897537137651</v>
      </c>
      <c r="E26" s="750">
        <v>0</v>
      </c>
    </row>
    <row r="27" spans="1:5">
      <c r="A27" s="757" t="s">
        <v>158</v>
      </c>
      <c r="B27" s="754">
        <v>6323.7103310470948</v>
      </c>
      <c r="C27" s="754">
        <v>2930.433699233552</v>
      </c>
      <c r="D27" s="754">
        <v>3376.988903980116</v>
      </c>
      <c r="E27" s="755">
        <v>16.287727832702018</v>
      </c>
    </row>
    <row r="28" spans="1:5">
      <c r="A28" s="756" t="s">
        <v>158</v>
      </c>
      <c r="B28" s="749">
        <v>5377.6648060973703</v>
      </c>
      <c r="C28" s="749">
        <v>2544.9574738596184</v>
      </c>
      <c r="D28" s="749">
        <v>2816.4196044046421</v>
      </c>
      <c r="E28" s="750">
        <v>16.287727832702018</v>
      </c>
    </row>
    <row r="29" spans="1:5">
      <c r="A29" s="756" t="s">
        <v>159</v>
      </c>
      <c r="B29" s="749">
        <v>946.04552494942868</v>
      </c>
      <c r="C29" s="749">
        <v>385.47622537394943</v>
      </c>
      <c r="D29" s="749">
        <v>560.56929957549505</v>
      </c>
      <c r="E29" s="750">
        <v>0</v>
      </c>
    </row>
    <row r="30" spans="1:5">
      <c r="A30" s="757" t="s">
        <v>160</v>
      </c>
      <c r="B30" s="754">
        <v>1749.5734313626988</v>
      </c>
      <c r="C30" s="754">
        <v>373.26042949942286</v>
      </c>
      <c r="D30" s="754">
        <v>1376.3130018632912</v>
      </c>
      <c r="E30" s="755">
        <v>0</v>
      </c>
    </row>
    <row r="31" spans="1:5">
      <c r="A31" s="756" t="s">
        <v>160</v>
      </c>
      <c r="B31" s="749">
        <v>1749.5734313626988</v>
      </c>
      <c r="C31" s="749">
        <v>373.26042949942286</v>
      </c>
      <c r="D31" s="749">
        <v>1376.3130018632912</v>
      </c>
      <c r="E31" s="750">
        <v>0</v>
      </c>
    </row>
    <row r="32" spans="1:5">
      <c r="A32" s="757" t="s">
        <v>161</v>
      </c>
      <c r="B32" s="754">
        <v>7605.0115872200358</v>
      </c>
      <c r="C32" s="754">
        <v>1589.4107743411348</v>
      </c>
      <c r="D32" s="754">
        <v>6010.1715702674874</v>
      </c>
      <c r="E32" s="755">
        <v>5.4292426109006726</v>
      </c>
    </row>
    <row r="33" spans="1:5">
      <c r="A33" s="756" t="s">
        <v>161</v>
      </c>
      <c r="B33" s="749">
        <v>6319.638399088918</v>
      </c>
      <c r="C33" s="749">
        <v>1494.3990286503765</v>
      </c>
      <c r="D33" s="749">
        <v>4819.8101278271597</v>
      </c>
      <c r="E33" s="750">
        <v>5.4292426109006726</v>
      </c>
    </row>
    <row r="34" spans="1:5">
      <c r="A34" s="756" t="s">
        <v>162</v>
      </c>
      <c r="B34" s="749">
        <v>1285.3731881307083</v>
      </c>
      <c r="C34" s="749">
        <v>95.011745690761927</v>
      </c>
      <c r="D34" s="749">
        <v>1190.36144243995</v>
      </c>
      <c r="E34" s="750">
        <v>0</v>
      </c>
    </row>
    <row r="35" spans="1:5">
      <c r="A35" s="757" t="s">
        <v>163</v>
      </c>
      <c r="B35" s="754">
        <v>5773.9995166932376</v>
      </c>
      <c r="C35" s="754">
        <v>484.55990302288723</v>
      </c>
      <c r="D35" s="754">
        <v>5286.7249923647569</v>
      </c>
      <c r="E35" s="755">
        <v>2.7146213054503363</v>
      </c>
    </row>
    <row r="36" spans="1:5">
      <c r="A36" s="756" t="s">
        <v>163</v>
      </c>
      <c r="B36" s="749">
        <v>4228.0226832388098</v>
      </c>
      <c r="C36" s="749">
        <v>401.76395320665154</v>
      </c>
      <c r="D36" s="749">
        <v>3824.9014193794051</v>
      </c>
      <c r="E36" s="750">
        <v>1.3573106527251682</v>
      </c>
    </row>
    <row r="37" spans="1:5">
      <c r="A37" s="758" t="s">
        <v>164</v>
      </c>
      <c r="B37" s="759">
        <v>1545.976833453931</v>
      </c>
      <c r="C37" s="759">
        <v>82.79594981623535</v>
      </c>
      <c r="D37" s="759">
        <v>1461.8235729849737</v>
      </c>
      <c r="E37" s="760">
        <v>1.3573106527251682</v>
      </c>
    </row>
  </sheetData>
  <mergeCells count="5">
    <mergeCell ref="A1:E1"/>
    <mergeCell ref="A2:A3"/>
    <mergeCell ref="B2:B3"/>
    <mergeCell ref="C2:E2"/>
    <mergeCell ref="A9:C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37"/>
  <sheetViews>
    <sheetView workbookViewId="0">
      <selection activeCell="H13" sqref="H13"/>
    </sheetView>
  </sheetViews>
  <sheetFormatPr defaultRowHeight="15"/>
  <cols>
    <col min="1" max="1" width="14.42578125" style="26" customWidth="1"/>
    <col min="2" max="2" width="13.42578125" style="26" customWidth="1"/>
    <col min="3" max="3" width="12.5703125" style="26" customWidth="1"/>
    <col min="4" max="4" width="13.28515625" style="26" customWidth="1"/>
    <col min="5" max="5" width="13.5703125" style="26" customWidth="1"/>
    <col min="6" max="6" width="19.85546875" style="26" customWidth="1"/>
    <col min="7" max="16384" width="9.140625" style="26"/>
  </cols>
  <sheetData>
    <row r="1" spans="1:9" ht="31.5" customHeight="1">
      <c r="A1" s="1154" t="s">
        <v>445</v>
      </c>
      <c r="B1" s="1154"/>
      <c r="C1" s="1154"/>
      <c r="D1" s="1154"/>
      <c r="E1" s="1154"/>
      <c r="F1" s="1154"/>
    </row>
    <row r="2" spans="1:9">
      <c r="A2" s="1155" t="s">
        <v>314</v>
      </c>
      <c r="B2" s="1156" t="s">
        <v>315</v>
      </c>
      <c r="C2" s="1156" t="s">
        <v>446</v>
      </c>
      <c r="D2" s="1157" t="s">
        <v>447</v>
      </c>
      <c r="E2" s="1157"/>
      <c r="F2" s="1157"/>
    </row>
    <row r="3" spans="1:9" ht="72">
      <c r="A3" s="1155"/>
      <c r="B3" s="1156"/>
      <c r="C3" s="1156"/>
      <c r="D3" s="762" t="s">
        <v>448</v>
      </c>
      <c r="E3" s="762" t="s">
        <v>449</v>
      </c>
      <c r="F3" s="762" t="s">
        <v>450</v>
      </c>
    </row>
    <row r="4" spans="1:9">
      <c r="A4" s="763" t="s">
        <v>147</v>
      </c>
      <c r="B4" s="764">
        <v>128875.28916529956</v>
      </c>
      <c r="C4" s="764">
        <v>13191.702233838494</v>
      </c>
      <c r="D4" s="764">
        <v>5566.3309868262249</v>
      </c>
      <c r="E4" s="764">
        <v>355.61539101399558</v>
      </c>
      <c r="F4" s="764">
        <v>7269.7558559968193</v>
      </c>
      <c r="G4" s="903"/>
      <c r="H4" s="903"/>
      <c r="I4" s="903"/>
    </row>
    <row r="5" spans="1:9">
      <c r="A5" s="765"/>
      <c r="B5" s="766"/>
      <c r="C5" s="766"/>
      <c r="D5" s="767"/>
      <c r="E5" s="767"/>
      <c r="F5" s="767"/>
    </row>
    <row r="6" spans="1:9">
      <c r="A6" s="768" t="s">
        <v>3</v>
      </c>
      <c r="B6" s="769"/>
      <c r="C6" s="769"/>
      <c r="D6" s="770"/>
      <c r="E6" s="770"/>
      <c r="F6" s="770"/>
    </row>
    <row r="7" spans="1:9">
      <c r="A7" s="771" t="s">
        <v>4</v>
      </c>
      <c r="B7" s="772">
        <v>84854.990076339745</v>
      </c>
      <c r="C7" s="772">
        <v>5908.3732713130694</v>
      </c>
      <c r="D7" s="773">
        <v>2029.1794258240732</v>
      </c>
      <c r="E7" s="773">
        <v>314.89607143224032</v>
      </c>
      <c r="F7" s="772">
        <v>3564.2977740561823</v>
      </c>
    </row>
    <row r="8" spans="1:9">
      <c r="A8" s="771" t="s">
        <v>5</v>
      </c>
      <c r="B8" s="772">
        <v>44020.299089194436</v>
      </c>
      <c r="C8" s="772">
        <v>7283.328962524075</v>
      </c>
      <c r="D8" s="773">
        <v>3537.15156100168</v>
      </c>
      <c r="E8" s="773">
        <v>40.719319581755045</v>
      </c>
      <c r="F8" s="772">
        <v>3705.4580819395946</v>
      </c>
    </row>
    <row r="9" spans="1:9">
      <c r="A9" s="1129" t="s">
        <v>327</v>
      </c>
      <c r="B9" s="1129"/>
      <c r="C9" s="1129"/>
      <c r="D9" s="774"/>
      <c r="E9" s="774"/>
      <c r="F9" s="775"/>
    </row>
    <row r="10" spans="1:9">
      <c r="A10" s="776" t="s">
        <v>148</v>
      </c>
      <c r="B10" s="766">
        <v>82847.527620969384</v>
      </c>
      <c r="C10" s="766">
        <v>4147.941354728001</v>
      </c>
      <c r="D10" s="767">
        <v>179.16500615972279</v>
      </c>
      <c r="E10" s="767">
        <v>316.25338208496549</v>
      </c>
      <c r="F10" s="766">
        <v>3652.522966483315</v>
      </c>
    </row>
    <row r="11" spans="1:9">
      <c r="A11" s="777" t="s">
        <v>148</v>
      </c>
      <c r="B11" s="772">
        <v>82847.527620969384</v>
      </c>
      <c r="C11" s="772">
        <v>4147.941354728001</v>
      </c>
      <c r="D11" s="778">
        <v>179.16500615972279</v>
      </c>
      <c r="E11" s="778">
        <v>316.25338208496549</v>
      </c>
      <c r="F11" s="772">
        <v>3652.522966483315</v>
      </c>
    </row>
    <row r="12" spans="1:9">
      <c r="A12" s="776" t="s">
        <v>149</v>
      </c>
      <c r="B12" s="766">
        <v>8033.921753481317</v>
      </c>
      <c r="C12" s="766">
        <v>1586.6961530356846</v>
      </c>
      <c r="D12" s="767">
        <v>1087.205832832841</v>
      </c>
      <c r="E12" s="767">
        <v>6.7865532636258408</v>
      </c>
      <c r="F12" s="766">
        <v>492.70376693923828</v>
      </c>
    </row>
    <row r="13" spans="1:9">
      <c r="A13" s="777" t="s">
        <v>149</v>
      </c>
      <c r="B13" s="772">
        <v>8033.921753481317</v>
      </c>
      <c r="C13" s="772">
        <v>1586.6961530356846</v>
      </c>
      <c r="D13" s="778">
        <v>1087.205832832841</v>
      </c>
      <c r="E13" s="778">
        <v>6.7865532636258408</v>
      </c>
      <c r="F13" s="772">
        <v>492.70376693923828</v>
      </c>
    </row>
    <row r="14" spans="1:9">
      <c r="A14" s="776" t="s">
        <v>150</v>
      </c>
      <c r="B14" s="766">
        <v>2804.203808530116</v>
      </c>
      <c r="C14" s="766">
        <v>362.40194427762145</v>
      </c>
      <c r="D14" s="767">
        <v>0</v>
      </c>
      <c r="E14" s="767">
        <v>1.3573106527251682</v>
      </c>
      <c r="F14" s="766">
        <v>361.04463362489628</v>
      </c>
    </row>
    <row r="15" spans="1:9">
      <c r="A15" s="777" t="s">
        <v>150</v>
      </c>
      <c r="B15" s="772">
        <v>2804.203808530116</v>
      </c>
      <c r="C15" s="772">
        <v>362.40194427762145</v>
      </c>
      <c r="D15" s="778">
        <v>0</v>
      </c>
      <c r="E15" s="778">
        <v>1.3573106527251682</v>
      </c>
      <c r="F15" s="772">
        <v>361.04463362489628</v>
      </c>
    </row>
    <row r="16" spans="1:9">
      <c r="A16" s="776" t="s">
        <v>151</v>
      </c>
      <c r="B16" s="766">
        <v>7090.5908498370436</v>
      </c>
      <c r="C16" s="766">
        <v>380.04698276304873</v>
      </c>
      <c r="D16" s="767">
        <v>4.0719319581755045</v>
      </c>
      <c r="E16" s="767">
        <v>0</v>
      </c>
      <c r="F16" s="766">
        <v>375.97505080487321</v>
      </c>
    </row>
    <row r="17" spans="1:6">
      <c r="A17" s="777" t="s">
        <v>151</v>
      </c>
      <c r="B17" s="772">
        <v>7090.5908498370436</v>
      </c>
      <c r="C17" s="772">
        <v>380.04698276304873</v>
      </c>
      <c r="D17" s="778">
        <v>4.0719319581755045</v>
      </c>
      <c r="E17" s="778">
        <v>0</v>
      </c>
      <c r="F17" s="772">
        <v>375.97505080487321</v>
      </c>
    </row>
    <row r="18" spans="1:6">
      <c r="A18" s="776" t="s">
        <v>152</v>
      </c>
      <c r="B18" s="766">
        <v>1748.2161207099737</v>
      </c>
      <c r="C18" s="766">
        <v>632.50676416992633</v>
      </c>
      <c r="D18" s="767">
        <v>0</v>
      </c>
      <c r="E18" s="767">
        <v>0</v>
      </c>
      <c r="F18" s="766">
        <v>632.50676416992633</v>
      </c>
    </row>
    <row r="19" spans="1:6">
      <c r="A19" s="777" t="s">
        <v>152</v>
      </c>
      <c r="B19" s="772">
        <v>1157.7859867745472</v>
      </c>
      <c r="C19" s="772">
        <v>532.06577586826756</v>
      </c>
      <c r="D19" s="778">
        <v>0</v>
      </c>
      <c r="E19" s="778">
        <v>0</v>
      </c>
      <c r="F19" s="772">
        <v>532.06577586826756</v>
      </c>
    </row>
    <row r="20" spans="1:6">
      <c r="A20" s="777" t="s">
        <v>153</v>
      </c>
      <c r="B20" s="772">
        <v>590.43013393544766</v>
      </c>
      <c r="C20" s="772">
        <v>100.44098830166263</v>
      </c>
      <c r="D20" s="778">
        <v>0</v>
      </c>
      <c r="E20" s="778">
        <v>0</v>
      </c>
      <c r="F20" s="772">
        <v>100.44098830166263</v>
      </c>
    </row>
    <row r="21" spans="1:6">
      <c r="A21" s="776" t="s">
        <v>154</v>
      </c>
      <c r="B21" s="766">
        <v>758.73665487336234</v>
      </c>
      <c r="C21" s="766">
        <v>16.287727832702018</v>
      </c>
      <c r="D21" s="767">
        <v>0</v>
      </c>
      <c r="E21" s="767">
        <v>0</v>
      </c>
      <c r="F21" s="766">
        <v>16.287727832702018</v>
      </c>
    </row>
    <row r="22" spans="1:6">
      <c r="A22" s="777" t="s">
        <v>154</v>
      </c>
      <c r="B22" s="772">
        <v>499.49032020286415</v>
      </c>
      <c r="C22" s="772">
        <v>14.93041717997685</v>
      </c>
      <c r="D22" s="778">
        <v>0</v>
      </c>
      <c r="E22" s="778">
        <v>0</v>
      </c>
      <c r="F22" s="772">
        <v>14.93041717997685</v>
      </c>
    </row>
    <row r="23" spans="1:6">
      <c r="A23" s="777" t="s">
        <v>155</v>
      </c>
      <c r="B23" s="772">
        <v>259.24633467050813</v>
      </c>
      <c r="C23" s="772">
        <v>1.3573106527251682</v>
      </c>
      <c r="D23" s="778">
        <v>0</v>
      </c>
      <c r="E23" s="778">
        <v>0</v>
      </c>
      <c r="F23" s="772">
        <v>1.3573106527251682</v>
      </c>
    </row>
    <row r="24" spans="1:6">
      <c r="A24" s="776" t="s">
        <v>156</v>
      </c>
      <c r="B24" s="766">
        <v>4139.7974908116475</v>
      </c>
      <c r="C24" s="766">
        <v>688.15650093165618</v>
      </c>
      <c r="D24" s="767">
        <v>0</v>
      </c>
      <c r="E24" s="767">
        <v>5.4292426109006726</v>
      </c>
      <c r="F24" s="766">
        <v>682.72725832075571</v>
      </c>
    </row>
    <row r="25" spans="1:6">
      <c r="A25" s="777" t="s">
        <v>156</v>
      </c>
      <c r="B25" s="772">
        <v>1980.3162423259689</v>
      </c>
      <c r="C25" s="772">
        <v>179.16500615972279</v>
      </c>
      <c r="D25" s="778">
        <v>0</v>
      </c>
      <c r="E25" s="778">
        <v>1.3573106527251682</v>
      </c>
      <c r="F25" s="772">
        <v>177.80769550699762</v>
      </c>
    </row>
    <row r="26" spans="1:6">
      <c r="A26" s="777" t="s">
        <v>157</v>
      </c>
      <c r="B26" s="772">
        <v>2159.4812484856848</v>
      </c>
      <c r="C26" s="772">
        <v>508.99149477194038</v>
      </c>
      <c r="D26" s="778">
        <v>0</v>
      </c>
      <c r="E26" s="778">
        <v>4.0719319581755045</v>
      </c>
      <c r="F26" s="772">
        <v>504.91956281376486</v>
      </c>
    </row>
    <row r="27" spans="1:6">
      <c r="A27" s="776" t="s">
        <v>158</v>
      </c>
      <c r="B27" s="766">
        <v>6323.7103310470948</v>
      </c>
      <c r="C27" s="766">
        <v>2930.433699233552</v>
      </c>
      <c r="D27" s="766">
        <v>2760.7698676429122</v>
      </c>
      <c r="E27" s="767">
        <v>13.573106527251682</v>
      </c>
      <c r="F27" s="766">
        <v>156.09072506339481</v>
      </c>
    </row>
    <row r="28" spans="1:6">
      <c r="A28" s="777" t="s">
        <v>158</v>
      </c>
      <c r="B28" s="772">
        <v>5377.6648060973703</v>
      </c>
      <c r="C28" s="772">
        <v>2544.9574738596184</v>
      </c>
      <c r="D28" s="772">
        <v>2386.1521274907795</v>
      </c>
      <c r="E28" s="778">
        <v>6.7865532636258408</v>
      </c>
      <c r="F28" s="772">
        <v>152.01879310521929</v>
      </c>
    </row>
    <row r="29" spans="1:6">
      <c r="A29" s="777" t="s">
        <v>159</v>
      </c>
      <c r="B29" s="772">
        <v>946.04552494942868</v>
      </c>
      <c r="C29" s="772">
        <v>385.47622537394943</v>
      </c>
      <c r="D29" s="772">
        <v>374.61774015214803</v>
      </c>
      <c r="E29" s="778">
        <v>6.7865532636258408</v>
      </c>
      <c r="F29" s="772">
        <v>4.0719319581755045</v>
      </c>
    </row>
    <row r="30" spans="1:6">
      <c r="A30" s="776" t="s">
        <v>160</v>
      </c>
      <c r="B30" s="766">
        <v>1749.5734313626988</v>
      </c>
      <c r="C30" s="766">
        <v>373.26042949942286</v>
      </c>
      <c r="D30" s="766">
        <v>316.25338208496549</v>
      </c>
      <c r="E30" s="767">
        <v>0</v>
      </c>
      <c r="F30" s="766">
        <v>57.007047414457062</v>
      </c>
    </row>
    <row r="31" spans="1:6">
      <c r="A31" s="777" t="s">
        <v>160</v>
      </c>
      <c r="B31" s="772">
        <v>1749.5734313626988</v>
      </c>
      <c r="C31" s="772">
        <v>373.26042949942286</v>
      </c>
      <c r="D31" s="772">
        <v>316.25338208496549</v>
      </c>
      <c r="E31" s="778">
        <v>0</v>
      </c>
      <c r="F31" s="772">
        <v>57.007047414457062</v>
      </c>
    </row>
    <row r="32" spans="1:6">
      <c r="A32" s="776" t="s">
        <v>161</v>
      </c>
      <c r="B32" s="766">
        <v>7605.0115872200358</v>
      </c>
      <c r="C32" s="766">
        <v>1589.4107743411348</v>
      </c>
      <c r="D32" s="766">
        <v>1214.7930341890021</v>
      </c>
      <c r="E32" s="767">
        <v>0</v>
      </c>
      <c r="F32" s="766">
        <v>374.61774015214803</v>
      </c>
    </row>
    <row r="33" spans="1:6">
      <c r="A33" s="777" t="s">
        <v>161</v>
      </c>
      <c r="B33" s="772">
        <v>6319.638399088918</v>
      </c>
      <c r="C33" s="772">
        <v>1494.3990286503765</v>
      </c>
      <c r="D33" s="772">
        <v>1138.7836376363955</v>
      </c>
      <c r="E33" s="778">
        <v>0</v>
      </c>
      <c r="F33" s="772">
        <v>355.61539101399558</v>
      </c>
    </row>
    <row r="34" spans="1:6">
      <c r="A34" s="777" t="s">
        <v>162</v>
      </c>
      <c r="B34" s="772">
        <v>1285.3731881307083</v>
      </c>
      <c r="C34" s="772">
        <v>95.011745690761927</v>
      </c>
      <c r="D34" s="778">
        <v>76.009396552609473</v>
      </c>
      <c r="E34" s="778">
        <v>0</v>
      </c>
      <c r="F34" s="772">
        <v>19.002349138152354</v>
      </c>
    </row>
    <row r="35" spans="1:6">
      <c r="A35" s="776" t="s">
        <v>163</v>
      </c>
      <c r="B35" s="766">
        <v>5773.9995166932376</v>
      </c>
      <c r="C35" s="766">
        <v>484.55990302288723</v>
      </c>
      <c r="D35" s="767">
        <v>4.0719319581755045</v>
      </c>
      <c r="E35" s="767">
        <v>12.215795874526513</v>
      </c>
      <c r="F35" s="767">
        <v>468.27217519018512</v>
      </c>
    </row>
    <row r="36" spans="1:6">
      <c r="A36" s="777" t="s">
        <v>163</v>
      </c>
      <c r="B36" s="772">
        <v>4228.0226832388098</v>
      </c>
      <c r="C36" s="772">
        <v>401.76395320665154</v>
      </c>
      <c r="D36" s="778">
        <v>2.7146213054503363</v>
      </c>
      <c r="E36" s="778">
        <v>12.215795874526513</v>
      </c>
      <c r="F36" s="778">
        <v>386.83353602667461</v>
      </c>
    </row>
    <row r="37" spans="1:6">
      <c r="A37" s="779" t="s">
        <v>164</v>
      </c>
      <c r="B37" s="780">
        <v>1545.976833453931</v>
      </c>
      <c r="C37" s="780">
        <v>82.79594981623535</v>
      </c>
      <c r="D37" s="781">
        <v>1.3573106527251682</v>
      </c>
      <c r="E37" s="781">
        <v>0</v>
      </c>
      <c r="F37" s="781">
        <v>81.438639163510175</v>
      </c>
    </row>
  </sheetData>
  <mergeCells count="6">
    <mergeCell ref="A9:C9"/>
    <mergeCell ref="A1:F1"/>
    <mergeCell ref="A2:A3"/>
    <mergeCell ref="B2:B3"/>
    <mergeCell ref="C2:C3"/>
    <mergeCell ref="D2:F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37"/>
  <sheetViews>
    <sheetView workbookViewId="0">
      <selection activeCell="D9" sqref="D9"/>
    </sheetView>
  </sheetViews>
  <sheetFormatPr defaultRowHeight="15"/>
  <cols>
    <col min="1" max="1" width="18.7109375" style="26" customWidth="1"/>
    <col min="2" max="2" width="15.28515625" style="26" customWidth="1"/>
    <col min="3" max="3" width="14.85546875" style="26" customWidth="1"/>
    <col min="4" max="4" width="17.42578125" style="26" customWidth="1"/>
    <col min="5" max="16384" width="9.140625" style="26"/>
  </cols>
  <sheetData>
    <row r="1" spans="1:4" ht="33" customHeight="1" thickBot="1">
      <c r="A1" s="1158" t="s">
        <v>451</v>
      </c>
      <c r="B1" s="1158"/>
      <c r="C1" s="1158"/>
      <c r="D1" s="1158"/>
    </row>
    <row r="2" spans="1:4" ht="27.75" customHeight="1">
      <c r="A2" s="1159" t="s">
        <v>314</v>
      </c>
      <c r="B2" s="1160" t="s">
        <v>315</v>
      </c>
      <c r="C2" s="1161" t="s">
        <v>452</v>
      </c>
      <c r="D2" s="1161"/>
    </row>
    <row r="3" spans="1:4">
      <c r="A3" s="1159"/>
      <c r="B3" s="1160"/>
      <c r="C3" s="901" t="s">
        <v>1</v>
      </c>
      <c r="D3" s="901" t="s">
        <v>2</v>
      </c>
    </row>
    <row r="4" spans="1:4">
      <c r="A4" s="782" t="s">
        <v>147</v>
      </c>
      <c r="B4" s="783">
        <v>128875.28916529956</v>
      </c>
      <c r="C4" s="783">
        <v>74399.626118450702</v>
      </c>
      <c r="D4" s="783">
        <v>54475.663047139526</v>
      </c>
    </row>
    <row r="5" spans="1:4">
      <c r="A5" s="784"/>
      <c r="B5" s="785"/>
      <c r="C5" s="785"/>
      <c r="D5" s="785"/>
    </row>
    <row r="6" spans="1:4">
      <c r="A6" s="768" t="s">
        <v>3</v>
      </c>
      <c r="B6" s="783"/>
      <c r="C6" s="783"/>
      <c r="D6" s="783"/>
    </row>
    <row r="7" spans="1:4">
      <c r="A7" s="786" t="s">
        <v>4</v>
      </c>
      <c r="B7" s="787">
        <v>84854.990076339745</v>
      </c>
      <c r="C7" s="787">
        <v>48428.844089247097</v>
      </c>
      <c r="D7" s="787">
        <v>36426.145987194854</v>
      </c>
    </row>
    <row r="8" spans="1:4">
      <c r="A8" s="786" t="s">
        <v>5</v>
      </c>
      <c r="B8" s="787">
        <v>44020.299089194436</v>
      </c>
      <c r="C8" s="787">
        <v>25970.782029249764</v>
      </c>
      <c r="D8" s="787">
        <v>18049.517059943319</v>
      </c>
    </row>
    <row r="9" spans="1:4">
      <c r="A9" s="1129" t="s">
        <v>327</v>
      </c>
      <c r="B9" s="1129"/>
      <c r="C9" s="1129"/>
      <c r="D9" s="783"/>
    </row>
    <row r="10" spans="1:4">
      <c r="A10" s="788" t="s">
        <v>148</v>
      </c>
      <c r="B10" s="785">
        <v>82847.527620969384</v>
      </c>
      <c r="C10" s="785">
        <v>48143.808852174727</v>
      </c>
      <c r="D10" s="785">
        <v>34703.718768886101</v>
      </c>
    </row>
    <row r="11" spans="1:4">
      <c r="A11" s="789" t="s">
        <v>148</v>
      </c>
      <c r="B11" s="787">
        <v>82847.527620969384</v>
      </c>
      <c r="C11" s="787">
        <v>48143.808852174727</v>
      </c>
      <c r="D11" s="787">
        <v>34703.718768886101</v>
      </c>
    </row>
    <row r="12" spans="1:4">
      <c r="A12" s="788" t="s">
        <v>149</v>
      </c>
      <c r="B12" s="785">
        <v>8033.921753481317</v>
      </c>
      <c r="C12" s="785">
        <v>4054.2869196899501</v>
      </c>
      <c r="D12" s="785">
        <v>3979.6348337900686</v>
      </c>
    </row>
    <row r="13" spans="1:4">
      <c r="A13" s="789" t="s">
        <v>149</v>
      </c>
      <c r="B13" s="787">
        <v>8033.921753481317</v>
      </c>
      <c r="C13" s="787">
        <v>4054.2869196899501</v>
      </c>
      <c r="D13" s="787">
        <v>3979.6348337900686</v>
      </c>
    </row>
    <row r="14" spans="1:4">
      <c r="A14" s="788" t="s">
        <v>150</v>
      </c>
      <c r="B14" s="785">
        <v>2804.203808530116</v>
      </c>
      <c r="C14" s="785">
        <v>1684.4225200318931</v>
      </c>
      <c r="D14" s="785">
        <v>1119.7812884982438</v>
      </c>
    </row>
    <row r="15" spans="1:4">
      <c r="A15" s="789" t="s">
        <v>150</v>
      </c>
      <c r="B15" s="787">
        <v>2804.203808530116</v>
      </c>
      <c r="C15" s="787">
        <v>1684.4225200318931</v>
      </c>
      <c r="D15" s="787">
        <v>1119.7812884982438</v>
      </c>
    </row>
    <row r="16" spans="1:4">
      <c r="A16" s="788" t="s">
        <v>151</v>
      </c>
      <c r="B16" s="785">
        <v>7090.5908498370436</v>
      </c>
      <c r="C16" s="785">
        <v>3698.6715286759691</v>
      </c>
      <c r="D16" s="785">
        <v>3391.9193211600923</v>
      </c>
    </row>
    <row r="17" spans="1:4">
      <c r="A17" s="789" t="s">
        <v>151</v>
      </c>
      <c r="B17" s="787">
        <v>7090.5908498370436</v>
      </c>
      <c r="C17" s="787">
        <v>3698.6715286759691</v>
      </c>
      <c r="D17" s="787">
        <v>3391.9193211600923</v>
      </c>
    </row>
    <row r="18" spans="1:4">
      <c r="A18" s="788" t="s">
        <v>152</v>
      </c>
      <c r="B18" s="785">
        <v>1748.2161207099737</v>
      </c>
      <c r="C18" s="785">
        <v>1077.7046582637652</v>
      </c>
      <c r="D18" s="785">
        <v>670.51146244622964</v>
      </c>
    </row>
    <row r="19" spans="1:4">
      <c r="A19" s="789" t="s">
        <v>152</v>
      </c>
      <c r="B19" s="787">
        <v>1157.7859867745472</v>
      </c>
      <c r="C19" s="787">
        <v>666.43953048805429</v>
      </c>
      <c r="D19" s="787">
        <v>491.3464562865131</v>
      </c>
    </row>
    <row r="20" spans="1:4">
      <c r="A20" s="789" t="s">
        <v>153</v>
      </c>
      <c r="B20" s="787">
        <v>590.43013393544766</v>
      </c>
      <c r="C20" s="787">
        <v>411.26512777572776</v>
      </c>
      <c r="D20" s="787">
        <v>179.16500615972279</v>
      </c>
    </row>
    <row r="21" spans="1:4">
      <c r="A21" s="788" t="s">
        <v>154</v>
      </c>
      <c r="B21" s="785">
        <v>758.73665487336234</v>
      </c>
      <c r="C21" s="785">
        <v>442.48327278840679</v>
      </c>
      <c r="D21" s="785">
        <v>316.25338208496549</v>
      </c>
    </row>
    <row r="22" spans="1:4">
      <c r="A22" s="789" t="s">
        <v>154</v>
      </c>
      <c r="B22" s="787">
        <v>499.49032020286415</v>
      </c>
      <c r="C22" s="787">
        <v>280.96330511411094</v>
      </c>
      <c r="D22" s="787">
        <v>218.52701508875288</v>
      </c>
    </row>
    <row r="23" spans="1:4">
      <c r="A23" s="789" t="s">
        <v>155</v>
      </c>
      <c r="B23" s="787">
        <v>259.24633467050813</v>
      </c>
      <c r="C23" s="787">
        <v>161.51996767429551</v>
      </c>
      <c r="D23" s="787">
        <v>97.726366996212278</v>
      </c>
    </row>
    <row r="24" spans="1:4">
      <c r="A24" s="788" t="s">
        <v>156</v>
      </c>
      <c r="B24" s="785">
        <v>4139.7974908116475</v>
      </c>
      <c r="C24" s="785">
        <v>2363.0778463944525</v>
      </c>
      <c r="D24" s="785">
        <v>1776.7196444172012</v>
      </c>
    </row>
    <row r="25" spans="1:4">
      <c r="A25" s="789" t="s">
        <v>156</v>
      </c>
      <c r="B25" s="787">
        <v>1980.3162423259689</v>
      </c>
      <c r="C25" s="787">
        <v>1170.0017826490732</v>
      </c>
      <c r="D25" s="787">
        <v>810.31445967691684</v>
      </c>
    </row>
    <row r="26" spans="1:4">
      <c r="A26" s="789" t="s">
        <v>157</v>
      </c>
      <c r="B26" s="787">
        <v>2159.4812484856848</v>
      </c>
      <c r="C26" s="787">
        <v>1193.0760637454002</v>
      </c>
      <c r="D26" s="787">
        <v>966.40518474030546</v>
      </c>
    </row>
    <row r="27" spans="1:4">
      <c r="A27" s="788" t="s">
        <v>158</v>
      </c>
      <c r="B27" s="785">
        <v>6323.7103310470948</v>
      </c>
      <c r="C27" s="785">
        <v>4037.9991918572487</v>
      </c>
      <c r="D27" s="785">
        <v>2285.7111391891208</v>
      </c>
    </row>
    <row r="28" spans="1:4">
      <c r="A28" s="789" t="s">
        <v>158</v>
      </c>
      <c r="B28" s="787">
        <v>5377.6648060973703</v>
      </c>
      <c r="C28" s="787">
        <v>3488.2883775035757</v>
      </c>
      <c r="D28" s="787">
        <v>1889.376428593386</v>
      </c>
    </row>
    <row r="29" spans="1:4">
      <c r="A29" s="789" t="s">
        <v>159</v>
      </c>
      <c r="B29" s="787">
        <v>946.04552494942868</v>
      </c>
      <c r="C29" s="787">
        <v>549.7108143536941</v>
      </c>
      <c r="D29" s="787">
        <v>396.33471059575083</v>
      </c>
    </row>
    <row r="30" spans="1:4">
      <c r="A30" s="788" t="s">
        <v>160</v>
      </c>
      <c r="B30" s="785">
        <v>1749.5734313626988</v>
      </c>
      <c r="C30" s="785">
        <v>893.11040949314906</v>
      </c>
      <c r="D30" s="785">
        <v>856.46302186957087</v>
      </c>
    </row>
    <row r="31" spans="1:4">
      <c r="A31" s="789" t="s">
        <v>160</v>
      </c>
      <c r="B31" s="787">
        <v>1749.5734313626988</v>
      </c>
      <c r="C31" s="787">
        <v>893.11040949314906</v>
      </c>
      <c r="D31" s="787">
        <v>856.46302186957087</v>
      </c>
    </row>
    <row r="32" spans="1:4">
      <c r="A32" s="788" t="s">
        <v>161</v>
      </c>
      <c r="B32" s="785">
        <v>7605.0115872200358</v>
      </c>
      <c r="C32" s="785">
        <v>4310.8186330550698</v>
      </c>
      <c r="D32" s="785">
        <v>3294.1929541638838</v>
      </c>
    </row>
    <row r="33" spans="1:4">
      <c r="A33" s="789" t="s">
        <v>161</v>
      </c>
      <c r="B33" s="787">
        <v>6319.638399088918</v>
      </c>
      <c r="C33" s="787">
        <v>3602.3024723324856</v>
      </c>
      <c r="D33" s="787">
        <v>2717.3359267557084</v>
      </c>
    </row>
    <row r="34" spans="1:4">
      <c r="A34" s="789" t="s">
        <v>162</v>
      </c>
      <c r="B34" s="787">
        <v>1285.3731881307083</v>
      </c>
      <c r="C34" s="787">
        <v>708.51616072253296</v>
      </c>
      <c r="D34" s="787">
        <v>576.85702740819647</v>
      </c>
    </row>
    <row r="35" spans="1:4">
      <c r="A35" s="788" t="s">
        <v>163</v>
      </c>
      <c r="B35" s="785">
        <v>5773.9995166932376</v>
      </c>
      <c r="C35" s="785">
        <v>3693.2422860650686</v>
      </c>
      <c r="D35" s="785">
        <v>2080.7572306276279</v>
      </c>
    </row>
    <row r="36" spans="1:4">
      <c r="A36" s="789" t="s">
        <v>163</v>
      </c>
      <c r="B36" s="787">
        <v>4228.0226832388098</v>
      </c>
      <c r="C36" s="787">
        <v>2622.3241810649502</v>
      </c>
      <c r="D36" s="787">
        <v>1605.6985021738362</v>
      </c>
    </row>
    <row r="37" spans="1:4">
      <c r="A37" s="790" t="s">
        <v>164</v>
      </c>
      <c r="B37" s="791">
        <v>1545.976833453931</v>
      </c>
      <c r="C37" s="791">
        <v>1070.9181050001396</v>
      </c>
      <c r="D37" s="791">
        <v>475.058728453811</v>
      </c>
    </row>
  </sheetData>
  <mergeCells count="5">
    <mergeCell ref="A1:D1"/>
    <mergeCell ref="A2:A3"/>
    <mergeCell ref="B2:B3"/>
    <mergeCell ref="C2:D2"/>
    <mergeCell ref="A9:C9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0"/>
  <sheetViews>
    <sheetView workbookViewId="0">
      <selection activeCell="G4" sqref="G4"/>
    </sheetView>
  </sheetViews>
  <sheetFormatPr defaultRowHeight="15"/>
  <cols>
    <col min="1" max="1" width="22.7109375" style="26" customWidth="1"/>
    <col min="2" max="3" width="9.140625" style="26"/>
    <col min="4" max="5" width="11.42578125" style="26" customWidth="1"/>
    <col min="6" max="6" width="11.85546875" style="26" customWidth="1"/>
    <col min="7" max="7" width="11.140625" style="26" customWidth="1"/>
    <col min="8" max="8" width="12.140625" style="26" customWidth="1"/>
    <col min="9" max="9" width="12.85546875" style="26" customWidth="1"/>
    <col min="10" max="16384" width="9.140625" style="26"/>
  </cols>
  <sheetData>
    <row r="1" spans="1:10">
      <c r="A1" s="1162" t="s">
        <v>592</v>
      </c>
      <c r="B1" s="1162"/>
      <c r="C1" s="1162"/>
      <c r="D1" s="1162"/>
      <c r="E1" s="1162"/>
      <c r="F1" s="1162"/>
      <c r="G1" s="1162"/>
      <c r="H1" s="1162"/>
      <c r="I1" s="1162"/>
      <c r="J1" s="1162"/>
    </row>
    <row r="2" spans="1:10">
      <c r="A2" s="1163" t="s">
        <v>453</v>
      </c>
      <c r="B2" s="1164" t="s">
        <v>315</v>
      </c>
      <c r="C2" s="1165" t="s">
        <v>454</v>
      </c>
      <c r="D2" s="1165"/>
      <c r="E2" s="1165"/>
      <c r="F2" s="1165"/>
      <c r="G2" s="1165"/>
      <c r="H2" s="1165"/>
      <c r="I2" s="1165"/>
      <c r="J2" s="1165"/>
    </row>
    <row r="3" spans="1:10" ht="48">
      <c r="A3" s="1163"/>
      <c r="B3" s="1164"/>
      <c r="C3" s="792" t="s">
        <v>455</v>
      </c>
      <c r="D3" s="792" t="s">
        <v>456</v>
      </c>
      <c r="E3" s="792" t="s">
        <v>457</v>
      </c>
      <c r="F3" s="792" t="s">
        <v>458</v>
      </c>
      <c r="G3" s="792" t="s">
        <v>459</v>
      </c>
      <c r="H3" s="792" t="s">
        <v>460</v>
      </c>
      <c r="I3" s="792" t="s">
        <v>461</v>
      </c>
      <c r="J3" s="792" t="s">
        <v>462</v>
      </c>
    </row>
    <row r="4" spans="1:10">
      <c r="A4" s="793" t="s">
        <v>147</v>
      </c>
      <c r="B4" s="794">
        <v>128875.28916529956</v>
      </c>
      <c r="C4" s="795">
        <v>23.760123856014499</v>
      </c>
      <c r="D4" s="795">
        <v>4.4065761619500305</v>
      </c>
      <c r="E4" s="795">
        <v>1.760945349612915</v>
      </c>
      <c r="F4" s="795">
        <v>29.060864253497147</v>
      </c>
      <c r="G4" s="795">
        <v>10.943769813294132</v>
      </c>
      <c r="H4" s="795">
        <v>14.755289681866049</v>
      </c>
      <c r="I4" s="795">
        <v>8.5456402911227443</v>
      </c>
      <c r="J4" s="795">
        <v>6.7667905928597678</v>
      </c>
    </row>
    <row r="5" spans="1:10">
      <c r="A5" s="796"/>
      <c r="B5" s="797"/>
      <c r="C5" s="798"/>
      <c r="D5" s="798"/>
      <c r="E5" s="798"/>
      <c r="F5" s="798"/>
      <c r="G5" s="798"/>
      <c r="H5" s="798"/>
      <c r="I5" s="798"/>
      <c r="J5" s="798"/>
    </row>
    <row r="6" spans="1:10">
      <c r="A6" s="799" t="s">
        <v>3</v>
      </c>
      <c r="B6" s="800"/>
      <c r="C6" s="801"/>
      <c r="D6" s="801"/>
      <c r="E6" s="801"/>
      <c r="F6" s="801"/>
      <c r="G6" s="801"/>
      <c r="H6" s="801"/>
      <c r="I6" s="801"/>
      <c r="J6" s="801"/>
    </row>
    <row r="7" spans="1:10">
      <c r="A7" s="802" t="s">
        <v>4</v>
      </c>
      <c r="B7" s="803">
        <v>84854.990076339745</v>
      </c>
      <c r="C7" s="804">
        <v>21.043876065732551</v>
      </c>
      <c r="D7" s="804">
        <v>3.824559719759979</v>
      </c>
      <c r="E7" s="804">
        <v>1.6459523009756614</v>
      </c>
      <c r="F7" s="804">
        <v>27.784442631631141</v>
      </c>
      <c r="G7" s="804">
        <v>12.916486715623988</v>
      </c>
      <c r="H7" s="804">
        <v>15.501383623668749</v>
      </c>
      <c r="I7" s="804">
        <v>10.515539773190426</v>
      </c>
      <c r="J7" s="804">
        <v>6.7677591695124022</v>
      </c>
    </row>
    <row r="8" spans="1:10">
      <c r="A8" s="802" t="s">
        <v>5</v>
      </c>
      <c r="B8" s="803">
        <v>44020.299089194436</v>
      </c>
      <c r="C8" s="804">
        <v>28.996053280701894</v>
      </c>
      <c r="D8" s="804">
        <v>5.5284903798704157</v>
      </c>
      <c r="E8" s="804">
        <v>1.9826097681296841</v>
      </c>
      <c r="F8" s="804">
        <v>31.521336951151454</v>
      </c>
      <c r="G8" s="804">
        <v>7.1410952146012496</v>
      </c>
      <c r="H8" s="804">
        <v>13.317094227919689</v>
      </c>
      <c r="I8" s="804">
        <v>4.7483966452874311</v>
      </c>
      <c r="J8" s="804">
        <v>6.7649235323122214</v>
      </c>
    </row>
    <row r="9" spans="1:10">
      <c r="A9" s="1129" t="s">
        <v>327</v>
      </c>
      <c r="B9" s="1129"/>
      <c r="C9" s="1129"/>
      <c r="D9" s="801"/>
      <c r="E9" s="801"/>
      <c r="F9" s="801"/>
      <c r="G9" s="801"/>
      <c r="H9" s="801"/>
      <c r="I9" s="801"/>
      <c r="J9" s="801"/>
    </row>
    <row r="10" spans="1:10">
      <c r="A10" s="802" t="s">
        <v>148</v>
      </c>
      <c r="B10" s="803">
        <v>82847.527620969384</v>
      </c>
      <c r="C10" s="804">
        <v>21.09997051019419</v>
      </c>
      <c r="D10" s="804">
        <v>4.2858547134609823</v>
      </c>
      <c r="E10" s="804">
        <v>1.687473377241804</v>
      </c>
      <c r="F10" s="804">
        <v>28.88200792951114</v>
      </c>
      <c r="G10" s="804">
        <v>12.524984435933893</v>
      </c>
      <c r="H10" s="804">
        <v>15.00376814444658</v>
      </c>
      <c r="I10" s="804">
        <v>10.219863036149015</v>
      </c>
      <c r="J10" s="804">
        <v>6.2960778531463122</v>
      </c>
    </row>
    <row r="11" spans="1:10">
      <c r="A11" s="802" t="s">
        <v>149</v>
      </c>
      <c r="B11" s="803">
        <v>8033.921753481317</v>
      </c>
      <c r="C11" s="804">
        <v>31.542490285518099</v>
      </c>
      <c r="D11" s="804">
        <v>5.8286872782556713</v>
      </c>
      <c r="E11" s="804">
        <v>2.5004223686430298</v>
      </c>
      <c r="F11" s="804">
        <v>25.460381821250767</v>
      </c>
      <c r="G11" s="804">
        <v>7.0451089711090074</v>
      </c>
      <c r="H11" s="804">
        <v>13.076533198173465</v>
      </c>
      <c r="I11" s="804">
        <v>5.2542659232971518</v>
      </c>
      <c r="J11" s="804">
        <v>9.2921101537408646</v>
      </c>
    </row>
    <row r="12" spans="1:10">
      <c r="A12" s="802" t="s">
        <v>150</v>
      </c>
      <c r="B12" s="803">
        <v>2804.203808530116</v>
      </c>
      <c r="C12" s="804">
        <v>30.348499515973369</v>
      </c>
      <c r="D12" s="804">
        <v>2.3717328170378202</v>
      </c>
      <c r="E12" s="804">
        <v>1.0164569215876385</v>
      </c>
      <c r="F12" s="804">
        <v>31.219748305905611</v>
      </c>
      <c r="G12" s="804">
        <v>12.39109390125884</v>
      </c>
      <c r="H12" s="804">
        <v>11.229428848015839</v>
      </c>
      <c r="I12" s="804">
        <v>7.0183930300098938</v>
      </c>
      <c r="J12" s="804">
        <v>4.4046466602131007</v>
      </c>
    </row>
    <row r="13" spans="1:10">
      <c r="A13" s="802" t="s">
        <v>151</v>
      </c>
      <c r="B13" s="803">
        <v>7090.5908498370436</v>
      </c>
      <c r="C13" s="804">
        <v>32.676110260334262</v>
      </c>
      <c r="D13" s="804">
        <v>3.7136294027561148</v>
      </c>
      <c r="E13" s="804">
        <v>1.2251148545174773</v>
      </c>
      <c r="F13" s="804">
        <v>22.664624808573397</v>
      </c>
      <c r="G13" s="804">
        <v>8.4035222052057534</v>
      </c>
      <c r="H13" s="804">
        <v>15.869065849921467</v>
      </c>
      <c r="I13" s="804">
        <v>8.0972434915763909</v>
      </c>
      <c r="J13" s="804">
        <v>7.35068912710482</v>
      </c>
    </row>
    <row r="14" spans="1:10">
      <c r="A14" s="802" t="s">
        <v>152</v>
      </c>
      <c r="B14" s="803">
        <v>1748.2161207099737</v>
      </c>
      <c r="C14" s="804">
        <v>20.962732919255163</v>
      </c>
      <c r="D14" s="804">
        <v>3.6490683229814525</v>
      </c>
      <c r="E14" s="804">
        <v>1.7080745341615327</v>
      </c>
      <c r="F14" s="804">
        <v>27.56211180124275</v>
      </c>
      <c r="G14" s="804">
        <v>11.257763975155571</v>
      </c>
      <c r="H14" s="804">
        <v>14.90683229813704</v>
      </c>
      <c r="I14" s="804">
        <v>7.6086956521741032</v>
      </c>
      <c r="J14" s="804">
        <v>12.344720496894732</v>
      </c>
    </row>
    <row r="15" spans="1:10">
      <c r="A15" s="802" t="s">
        <v>154</v>
      </c>
      <c r="B15" s="803">
        <v>758.73665487336234</v>
      </c>
      <c r="C15" s="804">
        <v>28.622540250447521</v>
      </c>
      <c r="D15" s="804">
        <v>3.7567084078712316</v>
      </c>
      <c r="E15" s="804">
        <v>2.146690518783561</v>
      </c>
      <c r="F15" s="804">
        <v>22.003577817531522</v>
      </c>
      <c r="G15" s="804">
        <v>6.0822898032200881</v>
      </c>
      <c r="H15" s="804">
        <v>10.554561717352492</v>
      </c>
      <c r="I15" s="804">
        <v>4.1144901610018252</v>
      </c>
      <c r="J15" s="804">
        <v>22.719141323792709</v>
      </c>
    </row>
    <row r="16" spans="1:10">
      <c r="A16" s="802" t="s">
        <v>156</v>
      </c>
      <c r="B16" s="803">
        <v>4139.7974908116475</v>
      </c>
      <c r="C16" s="804">
        <v>37.377049180328854</v>
      </c>
      <c r="D16" s="804">
        <v>1.9672131147541503</v>
      </c>
      <c r="E16" s="804">
        <v>1.3114754098361012</v>
      </c>
      <c r="F16" s="804">
        <v>28.426229508197057</v>
      </c>
      <c r="G16" s="804">
        <v>9.4426229508199171</v>
      </c>
      <c r="H16" s="804">
        <v>11.836065573770748</v>
      </c>
      <c r="I16" s="804">
        <v>4.983606557377195</v>
      </c>
      <c r="J16" s="804">
        <v>4.6557377049181685</v>
      </c>
    </row>
    <row r="17" spans="1:10">
      <c r="A17" s="802" t="s">
        <v>158</v>
      </c>
      <c r="B17" s="803">
        <v>6323.7103310470948</v>
      </c>
      <c r="C17" s="804">
        <v>20.540888602702356</v>
      </c>
      <c r="D17" s="804">
        <v>5.4518136939252786</v>
      </c>
      <c r="E17" s="804">
        <v>2.4254131787935287</v>
      </c>
      <c r="F17" s="804">
        <v>31.573298991197714</v>
      </c>
      <c r="G17" s="804">
        <v>10.710452886884575</v>
      </c>
      <c r="H17" s="804">
        <v>14.488087572439007</v>
      </c>
      <c r="I17" s="804">
        <v>6.5464691993984374</v>
      </c>
      <c r="J17" s="804">
        <v>8.2635758746504528</v>
      </c>
    </row>
    <row r="18" spans="1:10">
      <c r="A18" s="802" t="s">
        <v>160</v>
      </c>
      <c r="B18" s="803">
        <v>1749.5734313626988</v>
      </c>
      <c r="C18" s="804">
        <v>22.187742435997404</v>
      </c>
      <c r="D18" s="804">
        <v>6.1287820015517385</v>
      </c>
      <c r="E18" s="804">
        <v>3.1807602792863445</v>
      </c>
      <c r="F18" s="804">
        <v>40.961986035687111</v>
      </c>
      <c r="G18" s="804">
        <v>7.7579519006984095</v>
      </c>
      <c r="H18" s="804">
        <v>11.947245927075564</v>
      </c>
      <c r="I18" s="804">
        <v>3.5686578743212634</v>
      </c>
      <c r="J18" s="804">
        <v>4.2668735453841178</v>
      </c>
    </row>
    <row r="19" spans="1:10">
      <c r="A19" s="802" t="s">
        <v>161</v>
      </c>
      <c r="B19" s="803">
        <v>7605.0115872200358</v>
      </c>
      <c r="C19" s="804">
        <v>25.71836516151793</v>
      </c>
      <c r="D19" s="804">
        <v>5.300731750847107</v>
      </c>
      <c r="E19" s="804">
        <v>2.2666428698908581</v>
      </c>
      <c r="F19" s="804">
        <v>33.357130108867281</v>
      </c>
      <c r="G19" s="804">
        <v>5.6398358022480926</v>
      </c>
      <c r="H19" s="804">
        <v>16.633946100301124</v>
      </c>
      <c r="I19" s="804">
        <v>3.6230590754948397</v>
      </c>
      <c r="J19" s="804">
        <v>7.4602891308218089</v>
      </c>
    </row>
    <row r="20" spans="1:10">
      <c r="A20" s="805" t="s">
        <v>163</v>
      </c>
      <c r="B20" s="806">
        <v>5773.9995166932376</v>
      </c>
      <c r="C20" s="807">
        <v>28.819934179593947</v>
      </c>
      <c r="D20" s="807">
        <v>5.2186177715088427</v>
      </c>
      <c r="E20" s="807">
        <v>1.269393511988633</v>
      </c>
      <c r="F20" s="807">
        <v>33.262811471554542</v>
      </c>
      <c r="G20" s="807">
        <v>5.9238363892803019</v>
      </c>
      <c r="H20" s="807">
        <v>15.138692994827215</v>
      </c>
      <c r="I20" s="807">
        <v>3.996238834038301</v>
      </c>
      <c r="J20" s="807">
        <v>6.3704748472022192</v>
      </c>
    </row>
  </sheetData>
  <mergeCells count="5">
    <mergeCell ref="A1:J1"/>
    <mergeCell ref="A2:A3"/>
    <mergeCell ref="B2:B3"/>
    <mergeCell ref="C2:J2"/>
    <mergeCell ref="A9:C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2"/>
  <sheetViews>
    <sheetView workbookViewId="0">
      <selection activeCell="F16" sqref="F16"/>
    </sheetView>
  </sheetViews>
  <sheetFormatPr defaultRowHeight="15"/>
  <cols>
    <col min="1" max="1" width="20" style="26" customWidth="1"/>
    <col min="2" max="2" width="11.28515625" style="26" customWidth="1"/>
    <col min="3" max="3" width="10.5703125" style="26" customWidth="1"/>
    <col min="4" max="4" width="11" style="26" customWidth="1"/>
    <col min="5" max="5" width="10.42578125" style="26" customWidth="1"/>
    <col min="6" max="6" width="13.28515625" style="26" customWidth="1"/>
    <col min="7" max="16384" width="9.140625" style="26"/>
  </cols>
  <sheetData>
    <row r="1" spans="1:6" ht="33" customHeight="1">
      <c r="A1" s="1166" t="s">
        <v>463</v>
      </c>
      <c r="B1" s="1166"/>
      <c r="C1" s="1166"/>
      <c r="D1" s="1166"/>
      <c r="E1" s="1166"/>
      <c r="F1" s="1166"/>
    </row>
    <row r="2" spans="1:6">
      <c r="A2" s="1167" t="s">
        <v>273</v>
      </c>
      <c r="B2" s="1169" t="s">
        <v>315</v>
      </c>
      <c r="C2" s="1171" t="s">
        <v>1</v>
      </c>
      <c r="D2" s="1171"/>
      <c r="E2" s="1171" t="s">
        <v>2</v>
      </c>
      <c r="F2" s="1171"/>
    </row>
    <row r="3" spans="1:6" ht="20.25" customHeight="1">
      <c r="A3" s="1168"/>
      <c r="B3" s="1170"/>
      <c r="C3" s="888" t="s">
        <v>464</v>
      </c>
      <c r="D3" s="888" t="s">
        <v>465</v>
      </c>
      <c r="E3" s="888" t="s">
        <v>464</v>
      </c>
      <c r="F3" s="888" t="s">
        <v>465</v>
      </c>
    </row>
    <row r="4" spans="1:6">
      <c r="A4" s="891" t="s">
        <v>147</v>
      </c>
      <c r="B4" s="892">
        <v>128875.28916529956</v>
      </c>
      <c r="C4" s="892">
        <v>74399.626118450702</v>
      </c>
      <c r="D4" s="893">
        <v>100</v>
      </c>
      <c r="E4" s="892">
        <v>54475.663047139526</v>
      </c>
      <c r="F4" s="893">
        <v>100</v>
      </c>
    </row>
    <row r="5" spans="1:6">
      <c r="A5" s="896"/>
      <c r="B5" s="897"/>
      <c r="C5" s="897"/>
      <c r="D5" s="898"/>
      <c r="E5" s="897"/>
      <c r="F5" s="898"/>
    </row>
    <row r="6" spans="1:6" ht="15" customHeight="1">
      <c r="A6" s="808" t="s">
        <v>273</v>
      </c>
      <c r="B6" s="894"/>
      <c r="C6" s="894"/>
      <c r="D6" s="895"/>
      <c r="E6" s="894"/>
      <c r="F6" s="895"/>
    </row>
    <row r="7" spans="1:6" ht="15" customHeight="1">
      <c r="A7" s="889" t="s">
        <v>466</v>
      </c>
      <c r="B7" s="809">
        <v>17691.187047623767</v>
      </c>
      <c r="C7" s="809">
        <v>9122.4848969672257</v>
      </c>
      <c r="D7" s="810">
        <v>12.261466048825881</v>
      </c>
      <c r="E7" s="809">
        <v>8568.7021506551919</v>
      </c>
      <c r="F7" s="810">
        <v>15.729413230345486</v>
      </c>
    </row>
    <row r="8" spans="1:6" ht="15" customHeight="1">
      <c r="A8" s="889" t="s">
        <v>467</v>
      </c>
      <c r="B8" s="809">
        <v>37996.554412398342</v>
      </c>
      <c r="C8" s="809">
        <v>22790.603169913746</v>
      </c>
      <c r="D8" s="810">
        <v>30.6326850804722</v>
      </c>
      <c r="E8" s="809">
        <v>15205.951242483245</v>
      </c>
      <c r="F8" s="810">
        <v>27.913292637347158</v>
      </c>
    </row>
    <row r="9" spans="1:6" ht="15" customHeight="1">
      <c r="A9" s="889" t="s">
        <v>468</v>
      </c>
      <c r="B9" s="809">
        <v>27599.554812520451</v>
      </c>
      <c r="C9" s="809">
        <v>16914.805354264739</v>
      </c>
      <c r="D9" s="810">
        <v>22.73506768345165</v>
      </c>
      <c r="E9" s="809">
        <v>10684.74945825436</v>
      </c>
      <c r="F9" s="810">
        <v>19.613803413477513</v>
      </c>
    </row>
    <row r="10" spans="1:6" ht="15" customHeight="1">
      <c r="A10" s="889" t="s">
        <v>469</v>
      </c>
      <c r="B10" s="809">
        <v>19617.210863841356</v>
      </c>
      <c r="C10" s="809">
        <v>11486.920054015174</v>
      </c>
      <c r="D10" s="810">
        <v>15.439486262641958</v>
      </c>
      <c r="E10" s="809">
        <v>8130.2908098248326</v>
      </c>
      <c r="F10" s="810">
        <v>14.924629375854376</v>
      </c>
    </row>
    <row r="11" spans="1:6" ht="15" customHeight="1">
      <c r="A11" s="889" t="s">
        <v>130</v>
      </c>
      <c r="B11" s="809">
        <v>13239.208106683889</v>
      </c>
      <c r="C11" s="809">
        <v>7310.4751755785865</v>
      </c>
      <c r="D11" s="810">
        <v>9.8259568723365245</v>
      </c>
      <c r="E11" s="809">
        <v>5928.732931103953</v>
      </c>
      <c r="F11" s="810">
        <v>10.883268967233372</v>
      </c>
    </row>
    <row r="12" spans="1:6" ht="15" customHeight="1">
      <c r="A12" s="890" t="s">
        <v>136</v>
      </c>
      <c r="B12" s="811">
        <v>12731.573922564525</v>
      </c>
      <c r="C12" s="811">
        <v>6774.3374677519851</v>
      </c>
      <c r="D12" s="812">
        <v>9.1053380523265641</v>
      </c>
      <c r="E12" s="811">
        <v>5957.23645481119</v>
      </c>
      <c r="F12" s="812">
        <v>10.935592375729698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0"/>
  <sheetViews>
    <sheetView workbookViewId="0">
      <selection activeCell="E5" sqref="E5"/>
    </sheetView>
  </sheetViews>
  <sheetFormatPr defaultRowHeight="15"/>
  <cols>
    <col min="1" max="1" width="17" style="26" customWidth="1"/>
    <col min="2" max="9" width="9.140625" style="26"/>
    <col min="10" max="10" width="11" style="26" customWidth="1"/>
    <col min="11" max="16384" width="9.140625" style="26"/>
  </cols>
  <sheetData>
    <row r="1" spans="1:10" ht="32.25" customHeight="1">
      <c r="A1" s="1172" t="s">
        <v>470</v>
      </c>
      <c r="B1" s="1172"/>
      <c r="C1" s="1172"/>
      <c r="D1" s="1172"/>
      <c r="E1" s="1172"/>
      <c r="F1" s="1172"/>
      <c r="G1" s="1172"/>
      <c r="H1" s="1172"/>
      <c r="I1" s="1172"/>
      <c r="J1" s="1172"/>
    </row>
    <row r="2" spans="1:10">
      <c r="A2" s="1173" t="s">
        <v>453</v>
      </c>
      <c r="B2" s="1174" t="s">
        <v>315</v>
      </c>
      <c r="C2" s="1175" t="s">
        <v>471</v>
      </c>
      <c r="D2" s="1175"/>
      <c r="E2" s="1175"/>
      <c r="F2" s="1175"/>
      <c r="G2" s="1175"/>
      <c r="H2" s="1175"/>
      <c r="I2" s="1175"/>
      <c r="J2" s="1174" t="s">
        <v>472</v>
      </c>
    </row>
    <row r="3" spans="1:10" ht="42.75" customHeight="1">
      <c r="A3" s="1173"/>
      <c r="B3" s="1174"/>
      <c r="C3" s="813" t="s">
        <v>473</v>
      </c>
      <c r="D3" s="813" t="s">
        <v>474</v>
      </c>
      <c r="E3" s="813" t="s">
        <v>475</v>
      </c>
      <c r="F3" s="813" t="s">
        <v>476</v>
      </c>
      <c r="G3" s="813" t="s">
        <v>477</v>
      </c>
      <c r="H3" s="813" t="s">
        <v>478</v>
      </c>
      <c r="I3" s="813" t="s">
        <v>479</v>
      </c>
      <c r="J3" s="1174"/>
    </row>
    <row r="4" spans="1:10">
      <c r="A4" s="814" t="s">
        <v>147</v>
      </c>
      <c r="B4" s="815">
        <v>128875.28916529956</v>
      </c>
      <c r="C4" s="816">
        <v>23.760123856026578</v>
      </c>
      <c r="D4" s="816">
        <v>10.943769813296074</v>
      </c>
      <c r="E4" s="816">
        <v>11.563049637203177</v>
      </c>
      <c r="F4" s="816">
        <v>11.870583155197862</v>
      </c>
      <c r="G4" s="816">
        <v>11.132292072614733</v>
      </c>
      <c r="H4" s="816">
        <v>9.1059410841840087</v>
      </c>
      <c r="I4" s="816">
        <v>21.624240381734733</v>
      </c>
      <c r="J4" s="816">
        <v>4.3152007920148394</v>
      </c>
    </row>
    <row r="5" spans="1:10">
      <c r="A5" s="817"/>
      <c r="B5" s="818"/>
      <c r="C5" s="819"/>
      <c r="D5" s="819"/>
      <c r="E5" s="819"/>
      <c r="F5" s="819"/>
      <c r="G5" s="819"/>
      <c r="H5" s="819"/>
      <c r="I5" s="819"/>
      <c r="J5" s="819"/>
    </row>
    <row r="6" spans="1:10">
      <c r="A6" s="799" t="s">
        <v>3</v>
      </c>
      <c r="B6" s="820"/>
      <c r="C6" s="821"/>
      <c r="D6" s="821"/>
      <c r="E6" s="821"/>
      <c r="F6" s="821"/>
      <c r="G6" s="821"/>
      <c r="H6" s="821"/>
      <c r="I6" s="821"/>
      <c r="J6" s="821"/>
    </row>
    <row r="7" spans="1:10">
      <c r="A7" s="822" t="s">
        <v>4</v>
      </c>
      <c r="B7" s="818">
        <v>84854.990076339745</v>
      </c>
      <c r="C7" s="819">
        <v>21.043876065734551</v>
      </c>
      <c r="D7" s="819">
        <v>10.616312363048786</v>
      </c>
      <c r="E7" s="819">
        <v>11.574451749136955</v>
      </c>
      <c r="F7" s="819">
        <v>12.103907737108882</v>
      </c>
      <c r="G7" s="819">
        <v>11.697618247849459</v>
      </c>
      <c r="H7" s="819">
        <v>9.5414047379214928</v>
      </c>
      <c r="I7" s="819">
        <v>23.422429099312357</v>
      </c>
      <c r="J7" s="819">
        <v>4.5008077802876993</v>
      </c>
    </row>
    <row r="8" spans="1:10">
      <c r="A8" s="822" t="s">
        <v>5</v>
      </c>
      <c r="B8" s="818">
        <v>44020.299089194436</v>
      </c>
      <c r="C8" s="819">
        <v>28.996053280708232</v>
      </c>
      <c r="D8" s="819">
        <v>11.574987666499508</v>
      </c>
      <c r="E8" s="819">
        <v>11.541070547604589</v>
      </c>
      <c r="F8" s="819">
        <v>11.420818944249874</v>
      </c>
      <c r="G8" s="819">
        <v>10.042550567338138</v>
      </c>
      <c r="H8" s="819">
        <v>8.2665268870226942</v>
      </c>
      <c r="I8" s="819">
        <v>18.157992106558911</v>
      </c>
      <c r="J8" s="819">
        <v>3.9574185989130872</v>
      </c>
    </row>
    <row r="9" spans="1:10">
      <c r="A9" s="1129" t="s">
        <v>327</v>
      </c>
      <c r="B9" s="1129"/>
      <c r="C9" s="1129"/>
      <c r="D9" s="1129"/>
      <c r="E9" s="1129"/>
      <c r="F9" s="1129"/>
      <c r="G9" s="1129"/>
      <c r="H9" s="1129"/>
      <c r="I9" s="1129"/>
      <c r="J9" s="761"/>
    </row>
    <row r="10" spans="1:10">
      <c r="A10" s="822" t="s">
        <v>148</v>
      </c>
      <c r="B10" s="818">
        <v>82847.527620969384</v>
      </c>
      <c r="C10" s="819">
        <v>13.564123898127489</v>
      </c>
      <c r="D10" s="819">
        <v>6.920557351858772</v>
      </c>
      <c r="E10" s="819">
        <v>7.466113387205505</v>
      </c>
      <c r="F10" s="819">
        <v>7.7431041927966078</v>
      </c>
      <c r="G10" s="819">
        <v>7.4619005992877696</v>
      </c>
      <c r="H10" s="819">
        <v>6.1285532233245181</v>
      </c>
      <c r="I10" s="819">
        <v>15.000684578075258</v>
      </c>
      <c r="J10" s="819">
        <v>4.4990006225664327</v>
      </c>
    </row>
    <row r="11" spans="1:10">
      <c r="A11" s="822" t="s">
        <v>149</v>
      </c>
      <c r="B11" s="818">
        <v>8033.921753481317</v>
      </c>
      <c r="C11" s="819">
        <v>1.9663187606023536</v>
      </c>
      <c r="D11" s="819">
        <v>0.79727011343117282</v>
      </c>
      <c r="E11" s="819">
        <v>0.74355706748006456</v>
      </c>
      <c r="F11" s="819">
        <v>0.7193335369530941</v>
      </c>
      <c r="G11" s="819">
        <v>0.61822662692747854</v>
      </c>
      <c r="H11" s="819">
        <v>0.44655551927981868</v>
      </c>
      <c r="I11" s="819">
        <v>0.94261129659299525</v>
      </c>
      <c r="J11" s="819">
        <v>3.6705524581851638</v>
      </c>
    </row>
    <row r="12" spans="1:10">
      <c r="A12" s="822" t="s">
        <v>150</v>
      </c>
      <c r="B12" s="818">
        <v>2804.203808530116</v>
      </c>
      <c r="C12" s="819">
        <v>0.66035450610481838</v>
      </c>
      <c r="D12" s="819">
        <v>0.1411283952440941</v>
      </c>
      <c r="E12" s="819">
        <v>0.19589463817463817</v>
      </c>
      <c r="F12" s="819">
        <v>0.20853300192784066</v>
      </c>
      <c r="G12" s="819">
        <v>0.22433095661934377</v>
      </c>
      <c r="H12" s="819">
        <v>0.19589463817463817</v>
      </c>
      <c r="I12" s="819">
        <v>0.54976882326430132</v>
      </c>
      <c r="J12" s="819">
        <v>4.4099709583738509</v>
      </c>
    </row>
    <row r="13" spans="1:10">
      <c r="A13" s="822" t="s">
        <v>151</v>
      </c>
      <c r="B13" s="818">
        <v>7090.5908498370436</v>
      </c>
      <c r="C13" s="819">
        <v>1.7978072438929942</v>
      </c>
      <c r="D13" s="819">
        <v>0.63929056651614846</v>
      </c>
      <c r="E13" s="819">
        <v>0.51817291388129638</v>
      </c>
      <c r="F13" s="819">
        <v>0.56346038399693676</v>
      </c>
      <c r="G13" s="819">
        <v>0.54660923232600078</v>
      </c>
      <c r="H13" s="819">
        <v>0.4391831404237842</v>
      </c>
      <c r="I13" s="819">
        <v>0.99737753952353703</v>
      </c>
      <c r="J13" s="819">
        <v>3.8453292496168663</v>
      </c>
    </row>
    <row r="14" spans="1:10">
      <c r="A14" s="822" t="s">
        <v>152</v>
      </c>
      <c r="B14" s="818">
        <v>1748.2161207099737</v>
      </c>
      <c r="C14" s="819">
        <v>0.28436318444705555</v>
      </c>
      <c r="D14" s="819">
        <v>0.16535192577106553</v>
      </c>
      <c r="E14" s="819">
        <v>0.1411283952440941</v>
      </c>
      <c r="F14" s="819">
        <v>0.15481995597673012</v>
      </c>
      <c r="G14" s="819">
        <v>0.14850077410012888</v>
      </c>
      <c r="H14" s="819">
        <v>0.13164962242919223</v>
      </c>
      <c r="I14" s="819">
        <v>0.33070385154213133</v>
      </c>
      <c r="J14" s="819">
        <v>4.7259316770187585</v>
      </c>
    </row>
    <row r="15" spans="1:10">
      <c r="A15" s="822" t="s">
        <v>154</v>
      </c>
      <c r="B15" s="818">
        <v>758.73665487336234</v>
      </c>
      <c r="C15" s="819">
        <v>0.16851151670936615</v>
      </c>
      <c r="D15" s="819">
        <v>0.1200644556554233</v>
      </c>
      <c r="E15" s="819">
        <v>9.5840925128451881E-2</v>
      </c>
      <c r="F15" s="819">
        <v>6.424501574544568E-2</v>
      </c>
      <c r="G15" s="819">
        <v>4.6340667095075519E-2</v>
      </c>
      <c r="H15" s="819">
        <v>3.686189428017371E-2</v>
      </c>
      <c r="I15" s="819">
        <v>5.6872636889410896E-2</v>
      </c>
      <c r="J15" s="819">
        <v>3.1735241502683551</v>
      </c>
    </row>
    <row r="16" spans="1:10">
      <c r="A16" s="822" t="s">
        <v>156</v>
      </c>
      <c r="B16" s="818">
        <v>4139.7974908116475</v>
      </c>
      <c r="C16" s="819">
        <v>1.2006445565542017</v>
      </c>
      <c r="D16" s="819">
        <v>0.18325627442143569</v>
      </c>
      <c r="E16" s="819">
        <v>0.21590538078387544</v>
      </c>
      <c r="F16" s="819">
        <v>0.32017188174779593</v>
      </c>
      <c r="G16" s="819">
        <v>0.27804400257045431</v>
      </c>
      <c r="H16" s="819">
        <v>0.27488441163215366</v>
      </c>
      <c r="I16" s="819">
        <v>0.73934427956233051</v>
      </c>
      <c r="J16" s="819">
        <v>4.0590163934428398</v>
      </c>
    </row>
    <row r="17" spans="1:10">
      <c r="A17" s="822" t="s">
        <v>158</v>
      </c>
      <c r="B17" s="818">
        <v>6323.7103310470948</v>
      </c>
      <c r="C17" s="819">
        <v>1.007909509317872</v>
      </c>
      <c r="D17" s="819">
        <v>0.62138621786577897</v>
      </c>
      <c r="E17" s="819">
        <v>0.61927982390691205</v>
      </c>
      <c r="F17" s="819">
        <v>0.61296064203031109</v>
      </c>
      <c r="G17" s="819">
        <v>0.50974733804582839</v>
      </c>
      <c r="H17" s="819">
        <v>0.50658774710752796</v>
      </c>
      <c r="I17" s="819">
        <v>1.0289734489065419</v>
      </c>
      <c r="J17" s="819">
        <v>4.3256063532944227</v>
      </c>
    </row>
    <row r="18" spans="1:10">
      <c r="A18" s="822" t="s">
        <v>160</v>
      </c>
      <c r="B18" s="818">
        <v>1749.5734313626988</v>
      </c>
      <c r="C18" s="819">
        <v>0.3012143361179922</v>
      </c>
      <c r="D18" s="819">
        <v>0.15271356201786304</v>
      </c>
      <c r="E18" s="819">
        <v>0.16640512275049907</v>
      </c>
      <c r="F18" s="819">
        <v>0.20747980494840712</v>
      </c>
      <c r="G18" s="819">
        <v>0.16008594087389783</v>
      </c>
      <c r="H18" s="819">
        <v>0.12322404659372392</v>
      </c>
      <c r="I18" s="819">
        <v>0.24644809318744809</v>
      </c>
      <c r="J18" s="819">
        <v>4.0519782777348023</v>
      </c>
    </row>
    <row r="19" spans="1:10">
      <c r="A19" s="822" t="s">
        <v>161</v>
      </c>
      <c r="B19" s="818">
        <v>7605.0115872200358</v>
      </c>
      <c r="C19" s="819">
        <v>1.517656847363684</v>
      </c>
      <c r="D19" s="819">
        <v>0.71722714299422718</v>
      </c>
      <c r="E19" s="819">
        <v>0.84782356844398066</v>
      </c>
      <c r="F19" s="819">
        <v>0.71301435507649313</v>
      </c>
      <c r="G19" s="819">
        <v>0.63402458161898101</v>
      </c>
      <c r="H19" s="819">
        <v>0.45498109511528667</v>
      </c>
      <c r="I19" s="819">
        <v>1.0163350851533399</v>
      </c>
      <c r="J19" s="819">
        <v>4.0335534535067064</v>
      </c>
    </row>
    <row r="20" spans="1:10">
      <c r="A20" s="823" t="s">
        <v>163</v>
      </c>
      <c r="B20" s="824">
        <v>5773.9995166932376</v>
      </c>
      <c r="C20" s="825">
        <v>1.2912194967854824</v>
      </c>
      <c r="D20" s="825">
        <v>0.48552380751885804</v>
      </c>
      <c r="E20" s="825">
        <v>0.55292841420260175</v>
      </c>
      <c r="F20" s="825">
        <v>0.56346038399693676</v>
      </c>
      <c r="G20" s="825">
        <v>0.50448135314866094</v>
      </c>
      <c r="H20" s="825">
        <v>0.36756574582230522</v>
      </c>
      <c r="I20" s="825">
        <v>0.71512074903536016</v>
      </c>
      <c r="J20" s="825">
        <v>3.7545839210153433</v>
      </c>
    </row>
  </sheetData>
  <mergeCells count="8">
    <mergeCell ref="A9:C9"/>
    <mergeCell ref="D9:F9"/>
    <mergeCell ref="G9:I9"/>
    <mergeCell ref="A1:J1"/>
    <mergeCell ref="A2:A3"/>
    <mergeCell ref="B2:B3"/>
    <mergeCell ref="C2:I2"/>
    <mergeCell ref="J2:J3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03300"/>
  </sheetPr>
  <dimension ref="A1"/>
  <sheetViews>
    <sheetView workbookViewId="0">
      <selection activeCell="N9" sqref="N9"/>
    </sheetView>
  </sheetViews>
  <sheetFormatPr defaultRowHeight="15"/>
  <cols>
    <col min="1" max="16384" width="9.140625" style="26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37"/>
  <sheetViews>
    <sheetView workbookViewId="0">
      <selection activeCell="A4" sqref="A4"/>
    </sheetView>
  </sheetViews>
  <sheetFormatPr defaultRowHeight="15"/>
  <cols>
    <col min="1" max="1" width="25.28515625" style="26" customWidth="1"/>
    <col min="2" max="3" width="9.140625" style="26"/>
    <col min="4" max="4" width="10.7109375" style="26" customWidth="1"/>
    <col min="5" max="5" width="12.140625" style="26" customWidth="1"/>
    <col min="6" max="6" width="14.42578125" style="26" customWidth="1"/>
    <col min="7" max="16384" width="9.140625" style="26"/>
  </cols>
  <sheetData>
    <row r="1" spans="1:6" ht="26.25" customHeight="1">
      <c r="A1" s="1176" t="s">
        <v>480</v>
      </c>
      <c r="B1" s="1176"/>
      <c r="C1" s="1176"/>
      <c r="D1" s="1176"/>
      <c r="E1" s="1176"/>
      <c r="F1" s="1176"/>
    </row>
    <row r="2" spans="1:6">
      <c r="A2" s="1177" t="s">
        <v>314</v>
      </c>
      <c r="B2" s="1177" t="s">
        <v>201</v>
      </c>
      <c r="C2" s="1179" t="s">
        <v>133</v>
      </c>
      <c r="D2" s="1179"/>
      <c r="E2" s="1179"/>
      <c r="F2" s="1179"/>
    </row>
    <row r="3" spans="1:6">
      <c r="A3" s="1178"/>
      <c r="B3" s="1178"/>
      <c r="C3" s="899" t="s">
        <v>481</v>
      </c>
      <c r="D3" s="899" t="s">
        <v>482</v>
      </c>
      <c r="E3" s="899" t="s">
        <v>135</v>
      </c>
      <c r="F3" s="899" t="s">
        <v>136</v>
      </c>
    </row>
    <row r="4" spans="1:6">
      <c r="A4" s="1186" t="s">
        <v>147</v>
      </c>
      <c r="B4" s="245">
        <v>570447.17662695551</v>
      </c>
      <c r="C4" s="245">
        <v>88520.605997207575</v>
      </c>
      <c r="D4" s="245">
        <v>152192.51489792884</v>
      </c>
      <c r="E4" s="245">
        <v>312020.00987445994</v>
      </c>
      <c r="F4" s="245">
        <v>17714.045856792225</v>
      </c>
    </row>
    <row r="5" spans="1:6">
      <c r="A5" s="826"/>
      <c r="B5" s="215"/>
      <c r="C5" s="215"/>
      <c r="D5" s="215"/>
      <c r="E5" s="215"/>
      <c r="F5" s="215"/>
    </row>
    <row r="6" spans="1:6" ht="15.75" customHeight="1">
      <c r="A6" s="1185" t="s">
        <v>483</v>
      </c>
      <c r="B6" s="245"/>
      <c r="C6" s="245"/>
      <c r="D6" s="245"/>
      <c r="E6" s="245"/>
      <c r="F6" s="245"/>
    </row>
    <row r="7" spans="1:6">
      <c r="A7" s="827" t="s">
        <v>4</v>
      </c>
      <c r="B7" s="215">
        <v>391855.92340030614</v>
      </c>
      <c r="C7" s="215">
        <v>59720.310359691954</v>
      </c>
      <c r="D7" s="215">
        <v>106086.66708774779</v>
      </c>
      <c r="E7" s="215">
        <v>215791.34065501232</v>
      </c>
      <c r="F7" s="215">
        <v>10257.605297767885</v>
      </c>
    </row>
    <row r="8" spans="1:6">
      <c r="A8" s="827" t="s">
        <v>5</v>
      </c>
      <c r="B8" s="215">
        <v>178591.25322581443</v>
      </c>
      <c r="C8" s="215">
        <v>28800.295637448504</v>
      </c>
      <c r="D8" s="215">
        <v>46105.847810270039</v>
      </c>
      <c r="E8" s="215">
        <v>96228.669219247386</v>
      </c>
      <c r="F8" s="215">
        <v>7456.4405590233009</v>
      </c>
    </row>
    <row r="9" spans="1:6" ht="14.25" customHeight="1">
      <c r="A9" s="1184" t="s">
        <v>593</v>
      </c>
      <c r="B9" s="245"/>
      <c r="C9" s="245"/>
      <c r="D9" s="245"/>
      <c r="E9" s="245"/>
      <c r="F9" s="245"/>
    </row>
    <row r="10" spans="1:6">
      <c r="A10" s="828" t="s">
        <v>148</v>
      </c>
      <c r="B10" s="240">
        <f>+B11</f>
        <v>382634.98871321097</v>
      </c>
      <c r="C10" s="240">
        <f t="shared" ref="C10:F10" si="0">+C11</f>
        <v>56917.02924557629</v>
      </c>
      <c r="D10" s="240">
        <f t="shared" si="0"/>
        <v>102848.72774822435</v>
      </c>
      <c r="E10" s="240">
        <f t="shared" si="0"/>
        <v>212524.49177135981</v>
      </c>
      <c r="F10" s="240">
        <f t="shared" si="0"/>
        <v>10344.739947978705</v>
      </c>
    </row>
    <row r="11" spans="1:6">
      <c r="A11" s="829" t="s">
        <v>148</v>
      </c>
      <c r="B11" s="215">
        <v>382634.98871321097</v>
      </c>
      <c r="C11" s="215">
        <v>56917.02924557629</v>
      </c>
      <c r="D11" s="215">
        <v>102848.72774822435</v>
      </c>
      <c r="E11" s="215">
        <v>212524.49177135981</v>
      </c>
      <c r="F11" s="215">
        <v>10344.739947978705</v>
      </c>
    </row>
    <row r="12" spans="1:6">
      <c r="A12" s="828" t="s">
        <v>149</v>
      </c>
      <c r="B12" s="240">
        <f>+B13</f>
        <v>30231.271440747085</v>
      </c>
      <c r="C12" s="240">
        <f t="shared" ref="C12:F12" si="1">+C13</f>
        <v>4881.0389654837472</v>
      </c>
      <c r="D12" s="240">
        <f t="shared" si="1"/>
        <v>7532.8919345315298</v>
      </c>
      <c r="E12" s="240">
        <f t="shared" si="1"/>
        <v>16794.579728420333</v>
      </c>
      <c r="F12" s="240">
        <f t="shared" si="1"/>
        <v>1022.7608123103942</v>
      </c>
    </row>
    <row r="13" spans="1:6">
      <c r="A13" s="829" t="s">
        <v>149</v>
      </c>
      <c r="B13" s="215">
        <v>30231.271440747085</v>
      </c>
      <c r="C13" s="215">
        <v>4881.0389654837472</v>
      </c>
      <c r="D13" s="215">
        <v>7532.8919345315298</v>
      </c>
      <c r="E13" s="215">
        <v>16794.579728420333</v>
      </c>
      <c r="F13" s="215">
        <v>1022.7608123103942</v>
      </c>
    </row>
    <row r="14" spans="1:6">
      <c r="A14" s="828" t="s">
        <v>150</v>
      </c>
      <c r="B14" s="240">
        <f>+B15</f>
        <v>12680.796776416362</v>
      </c>
      <c r="C14" s="240">
        <f t="shared" ref="C14:F14" si="2">+C15</f>
        <v>2107.5367912528936</v>
      </c>
      <c r="D14" s="240">
        <f t="shared" si="2"/>
        <v>3410.5402382096986</v>
      </c>
      <c r="E14" s="240">
        <f t="shared" si="2"/>
        <v>6652.7677776865885</v>
      </c>
      <c r="F14" s="240">
        <f t="shared" si="2"/>
        <v>509.95196926650539</v>
      </c>
    </row>
    <row r="15" spans="1:6">
      <c r="A15" s="829" t="s">
        <v>150</v>
      </c>
      <c r="B15" s="215">
        <v>12680.796776416362</v>
      </c>
      <c r="C15" s="215">
        <v>2107.5367912528936</v>
      </c>
      <c r="D15" s="215">
        <v>3410.5402382096986</v>
      </c>
      <c r="E15" s="215">
        <v>6652.7677776865885</v>
      </c>
      <c r="F15" s="215">
        <v>509.95196926650539</v>
      </c>
    </row>
    <row r="16" spans="1:6">
      <c r="A16" s="828" t="s">
        <v>151</v>
      </c>
      <c r="B16" s="240">
        <f>+B17</f>
        <v>27932.073323219793</v>
      </c>
      <c r="C16" s="240">
        <f t="shared" ref="C16:F16" si="3">+C17</f>
        <v>4575.1280375305887</v>
      </c>
      <c r="D16" s="240">
        <f t="shared" si="3"/>
        <v>7020.4412043493612</v>
      </c>
      <c r="E16" s="240">
        <f t="shared" si="3"/>
        <v>15110.90523083287</v>
      </c>
      <c r="F16" s="240">
        <f t="shared" si="3"/>
        <v>1225.5988505060432</v>
      </c>
    </row>
    <row r="17" spans="1:6">
      <c r="A17" s="829" t="s">
        <v>151</v>
      </c>
      <c r="B17" s="215">
        <v>27932.073323219793</v>
      </c>
      <c r="C17" s="215">
        <v>4575.1280375305887</v>
      </c>
      <c r="D17" s="215">
        <v>7020.4412043493612</v>
      </c>
      <c r="E17" s="215">
        <v>15110.90523083287</v>
      </c>
      <c r="F17" s="215">
        <v>1225.5988505060432</v>
      </c>
    </row>
    <row r="18" spans="1:6">
      <c r="A18" s="828" t="s">
        <v>152</v>
      </c>
      <c r="B18" s="240">
        <f>+B19+B20</f>
        <v>8459.7874414902017</v>
      </c>
      <c r="C18" s="240">
        <f t="shared" ref="C18:F18" si="4">+C19+C20</f>
        <v>1312.9805314806176</v>
      </c>
      <c r="D18" s="240">
        <f t="shared" si="4"/>
        <v>2382.9627949200744</v>
      </c>
      <c r="E18" s="240">
        <f t="shared" si="4"/>
        <v>4458.1586209073903</v>
      </c>
      <c r="F18" s="240">
        <f t="shared" si="4"/>
        <v>305.68549418216247</v>
      </c>
    </row>
    <row r="19" spans="1:6">
      <c r="A19" s="829" t="s">
        <v>152</v>
      </c>
      <c r="B19" s="215">
        <v>6234.8349044034339</v>
      </c>
      <c r="C19" s="215">
        <v>986.76578087563678</v>
      </c>
      <c r="D19" s="215">
        <v>1743.40287578938</v>
      </c>
      <c r="E19" s="215">
        <v>3284.6869668784334</v>
      </c>
      <c r="F19" s="215">
        <v>219.97928086006098</v>
      </c>
    </row>
    <row r="20" spans="1:6">
      <c r="A20" s="829" t="s">
        <v>153</v>
      </c>
      <c r="B20" s="215">
        <v>2224.9525370867677</v>
      </c>
      <c r="C20" s="215">
        <v>326.21475060498096</v>
      </c>
      <c r="D20" s="215">
        <v>639.55991913069431</v>
      </c>
      <c r="E20" s="215">
        <v>1173.4716540289567</v>
      </c>
      <c r="F20" s="215">
        <v>85.70621332210149</v>
      </c>
    </row>
    <row r="21" spans="1:6">
      <c r="A21" s="828" t="s">
        <v>154</v>
      </c>
      <c r="B21" s="240">
        <f>+B22+B23</f>
        <v>2464.5697814306805</v>
      </c>
      <c r="C21" s="240">
        <f t="shared" ref="C21:F21" si="5">+C22+C23</f>
        <v>494.05968452621659</v>
      </c>
      <c r="D21" s="240">
        <f t="shared" si="5"/>
        <v>714.48744103721936</v>
      </c>
      <c r="E21" s="240">
        <f t="shared" si="5"/>
        <v>1183.1723745434479</v>
      </c>
      <c r="F21" s="240">
        <f t="shared" si="5"/>
        <v>72.850281323786177</v>
      </c>
    </row>
    <row r="22" spans="1:6">
      <c r="A22" s="829" t="s">
        <v>154</v>
      </c>
      <c r="B22" s="215">
        <v>1707.3355894837798</v>
      </c>
      <c r="C22" s="215">
        <v>366.82239590850611</v>
      </c>
      <c r="D22" s="215">
        <v>504.42278140642628</v>
      </c>
      <c r="E22" s="215">
        <v>784.66668417557446</v>
      </c>
      <c r="F22" s="215">
        <v>51.423727993260833</v>
      </c>
    </row>
    <row r="23" spans="1:6">
      <c r="A23" s="829" t="s">
        <v>155</v>
      </c>
      <c r="B23" s="215">
        <v>757.23419194690041</v>
      </c>
      <c r="C23" s="215">
        <v>127.23728861771046</v>
      </c>
      <c r="D23" s="215">
        <v>210.06465963079307</v>
      </c>
      <c r="E23" s="215">
        <v>398.5056903678734</v>
      </c>
      <c r="F23" s="215">
        <v>21.426553330525348</v>
      </c>
    </row>
    <row r="24" spans="1:6">
      <c r="A24" s="828" t="s">
        <v>156</v>
      </c>
      <c r="B24" s="240">
        <f>+B25+B26</f>
        <v>17191.579558660887</v>
      </c>
      <c r="C24" s="240">
        <f t="shared" ref="C24:F24" si="6">+C25+C26</f>
        <v>3006.3193406375531</v>
      </c>
      <c r="D24" s="240">
        <f t="shared" si="6"/>
        <v>4982.68020678415</v>
      </c>
      <c r="E24" s="240">
        <f t="shared" si="6"/>
        <v>8289.8088393587877</v>
      </c>
      <c r="F24" s="240">
        <f t="shared" si="6"/>
        <v>912.77117188038244</v>
      </c>
    </row>
    <row r="25" spans="1:6">
      <c r="A25" s="829" t="s">
        <v>156</v>
      </c>
      <c r="B25" s="215">
        <v>9638.8855901455609</v>
      </c>
      <c r="C25" s="215">
        <v>1827.3440386585721</v>
      </c>
      <c r="D25" s="215">
        <v>2964.9890811583614</v>
      </c>
      <c r="E25" s="215">
        <v>4472.3020054886911</v>
      </c>
      <c r="F25" s="215">
        <v>374.2504648398442</v>
      </c>
    </row>
    <row r="26" spans="1:6">
      <c r="A26" s="829" t="s">
        <v>157</v>
      </c>
      <c r="B26" s="215">
        <v>7552.6939685153266</v>
      </c>
      <c r="C26" s="215">
        <v>1178.9753019789812</v>
      </c>
      <c r="D26" s="215">
        <v>2017.6911256257888</v>
      </c>
      <c r="E26" s="215">
        <v>3817.5068338700971</v>
      </c>
      <c r="F26" s="215">
        <v>538.52070704053824</v>
      </c>
    </row>
    <row r="27" spans="1:6">
      <c r="A27" s="828" t="s">
        <v>158</v>
      </c>
      <c r="B27" s="240">
        <f>+B28+B29</f>
        <v>28013.773732907008</v>
      </c>
      <c r="C27" s="240">
        <f t="shared" ref="C27:F27" si="7">+C28+C29</f>
        <v>4078.3611766508166</v>
      </c>
      <c r="D27" s="240">
        <f t="shared" si="7"/>
        <v>7271.9835993212091</v>
      </c>
      <c r="E27" s="240">
        <f t="shared" si="7"/>
        <v>15436.401669539222</v>
      </c>
      <c r="F27" s="240">
        <f t="shared" si="7"/>
        <v>1227.0272873947379</v>
      </c>
    </row>
    <row r="28" spans="1:6">
      <c r="A28" s="829" t="s">
        <v>158</v>
      </c>
      <c r="B28" s="215">
        <v>24782.30617124381</v>
      </c>
      <c r="C28" s="215">
        <v>3505.793377871119</v>
      </c>
      <c r="D28" s="215">
        <v>6346.0935071905806</v>
      </c>
      <c r="E28" s="215">
        <v>13870.519114764504</v>
      </c>
      <c r="F28" s="215">
        <v>1059.9001714166398</v>
      </c>
    </row>
    <row r="29" spans="1:6">
      <c r="A29" s="829" t="s">
        <v>159</v>
      </c>
      <c r="B29" s="215">
        <v>3231.467561663198</v>
      </c>
      <c r="C29" s="215">
        <v>572.56779877969768</v>
      </c>
      <c r="D29" s="215">
        <v>925.89009213062843</v>
      </c>
      <c r="E29" s="215">
        <v>1565.8825547747183</v>
      </c>
      <c r="F29" s="215">
        <v>167.1271159780982</v>
      </c>
    </row>
    <row r="30" spans="1:6">
      <c r="A30" s="828" t="s">
        <v>160</v>
      </c>
      <c r="B30" s="240">
        <f>+B31</f>
        <v>7225.595572019055</v>
      </c>
      <c r="C30" s="240">
        <f t="shared" ref="C30:F30" si="8">+C31</f>
        <v>1421.2675856233377</v>
      </c>
      <c r="D30" s="240">
        <f t="shared" si="8"/>
        <v>2041.7749719528881</v>
      </c>
      <c r="E30" s="240">
        <f t="shared" si="8"/>
        <v>3525.4324909183879</v>
      </c>
      <c r="F30" s="240">
        <f t="shared" si="8"/>
        <v>237.12052352448134</v>
      </c>
    </row>
    <row r="31" spans="1:6">
      <c r="A31" s="829" t="s">
        <v>160</v>
      </c>
      <c r="B31" s="215">
        <v>7225.595572019055</v>
      </c>
      <c r="C31" s="215">
        <v>1421.2675856233377</v>
      </c>
      <c r="D31" s="215">
        <v>2041.7749719528881</v>
      </c>
      <c r="E31" s="215">
        <v>3525.4324909183879</v>
      </c>
      <c r="F31" s="215">
        <v>237.12052352448134</v>
      </c>
    </row>
    <row r="32" spans="1:6">
      <c r="A32" s="828" t="s">
        <v>161</v>
      </c>
      <c r="B32" s="240">
        <f>+B33+B34</f>
        <v>31419.257342679906</v>
      </c>
      <c r="C32" s="240">
        <f t="shared" ref="C32:F32" si="9">+C33+C34</f>
        <v>5771.6999858077415</v>
      </c>
      <c r="D32" s="240">
        <f t="shared" si="9"/>
        <v>8056.0465964145451</v>
      </c>
      <c r="E32" s="240">
        <f t="shared" si="9"/>
        <v>16615.888365473289</v>
      </c>
      <c r="F32" s="240">
        <f t="shared" si="9"/>
        <v>975.62239498324629</v>
      </c>
    </row>
    <row r="33" spans="1:6">
      <c r="A33" s="829" t="s">
        <v>161</v>
      </c>
      <c r="B33" s="215">
        <v>25793.116447531542</v>
      </c>
      <c r="C33" s="215">
        <v>4703.718914325058</v>
      </c>
      <c r="D33" s="215">
        <v>6552.1441924335413</v>
      </c>
      <c r="E33" s="215">
        <v>13727.32962487799</v>
      </c>
      <c r="F33" s="215">
        <v>809.92371589384982</v>
      </c>
    </row>
    <row r="34" spans="1:6">
      <c r="A34" s="829" t="s">
        <v>162</v>
      </c>
      <c r="B34" s="215">
        <v>5626.1408951483645</v>
      </c>
      <c r="C34" s="215">
        <v>1067.9810714826838</v>
      </c>
      <c r="D34" s="215">
        <v>1503.9024039810035</v>
      </c>
      <c r="E34" s="215">
        <v>2888.5587405952992</v>
      </c>
      <c r="F34" s="215">
        <v>165.69867908939651</v>
      </c>
    </row>
    <row r="35" spans="1:6">
      <c r="A35" s="828" t="s">
        <v>163</v>
      </c>
      <c r="B35" s="240">
        <f>+B36+B37</f>
        <v>22193.482943585652</v>
      </c>
      <c r="C35" s="240">
        <f t="shared" ref="C35:F35" si="10">+C36+C37</f>
        <v>3955.1846525633296</v>
      </c>
      <c r="D35" s="240">
        <f t="shared" si="10"/>
        <v>5929.9781623167228</v>
      </c>
      <c r="E35" s="240">
        <f t="shared" si="10"/>
        <v>11428.40300526413</v>
      </c>
      <c r="F35" s="240">
        <f t="shared" si="10"/>
        <v>879.91712344023881</v>
      </c>
    </row>
    <row r="36" spans="1:6">
      <c r="A36" s="829" t="s">
        <v>163</v>
      </c>
      <c r="B36" s="215">
        <v>15803.094424051522</v>
      </c>
      <c r="C36" s="215">
        <v>2715.2978826290632</v>
      </c>
      <c r="D36" s="215">
        <v>4183.8993036021093</v>
      </c>
      <c r="E36" s="215">
        <v>8248.2447059050501</v>
      </c>
      <c r="F36" s="215">
        <v>655.65253191407271</v>
      </c>
    </row>
    <row r="37" spans="1:6">
      <c r="A37" s="830" t="s">
        <v>164</v>
      </c>
      <c r="B37" s="218">
        <v>6390.3885195341309</v>
      </c>
      <c r="C37" s="218">
        <v>1239.8867699342663</v>
      </c>
      <c r="D37" s="218">
        <v>1746.0788587146133</v>
      </c>
      <c r="E37" s="218">
        <v>3180.1582993590805</v>
      </c>
      <c r="F37" s="218">
        <v>224.26459152616607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37"/>
  <sheetViews>
    <sheetView workbookViewId="0">
      <selection activeCell="A9" sqref="A9"/>
    </sheetView>
  </sheetViews>
  <sheetFormatPr defaultRowHeight="15"/>
  <cols>
    <col min="1" max="1" width="20.28515625" style="26" customWidth="1"/>
    <col min="2" max="2" width="18.140625" style="26" customWidth="1"/>
    <col min="3" max="3" width="9.140625" style="26"/>
    <col min="4" max="4" width="11.85546875" style="26" customWidth="1"/>
    <col min="5" max="5" width="11.28515625" style="26" customWidth="1"/>
    <col min="6" max="6" width="9.140625" style="26"/>
    <col min="7" max="7" width="22.85546875" style="26" customWidth="1"/>
    <col min="8" max="16384" width="9.140625" style="26"/>
  </cols>
  <sheetData>
    <row r="1" spans="1:12" ht="33" customHeight="1">
      <c r="A1" s="1180" t="s">
        <v>484</v>
      </c>
      <c r="B1" s="1180"/>
      <c r="C1" s="1180"/>
      <c r="D1" s="1180"/>
      <c r="E1" s="1180"/>
      <c r="F1" s="1180"/>
      <c r="G1" s="1180"/>
      <c r="H1" s="1180"/>
    </row>
    <row r="2" spans="1:12">
      <c r="A2" s="1181" t="s">
        <v>314</v>
      </c>
      <c r="B2" s="1181" t="s">
        <v>542</v>
      </c>
      <c r="C2" s="1183" t="s">
        <v>486</v>
      </c>
      <c r="D2" s="1183"/>
      <c r="E2" s="1183"/>
      <c r="F2" s="1183"/>
      <c r="G2" s="1183"/>
      <c r="H2" s="1183"/>
    </row>
    <row r="3" spans="1:12" ht="33" customHeight="1">
      <c r="A3" s="1182"/>
      <c r="B3" s="1182"/>
      <c r="C3" s="831" t="s">
        <v>487</v>
      </c>
      <c r="D3" s="831" t="s">
        <v>488</v>
      </c>
      <c r="E3" s="831" t="s">
        <v>489</v>
      </c>
      <c r="F3" s="831" t="s">
        <v>490</v>
      </c>
      <c r="G3" s="831" t="s">
        <v>491</v>
      </c>
      <c r="H3" s="831" t="s">
        <v>492</v>
      </c>
    </row>
    <row r="4" spans="1:12">
      <c r="A4" s="832" t="s">
        <v>147</v>
      </c>
      <c r="B4" s="833">
        <v>128465.38134817863</v>
      </c>
      <c r="C4" s="833">
        <v>8643.3542365550984</v>
      </c>
      <c r="D4" s="833">
        <v>94991.386030839989</v>
      </c>
      <c r="E4" s="833">
        <v>230.74281096327945</v>
      </c>
      <c r="F4" s="833">
        <v>23845.233547081516</v>
      </c>
      <c r="G4" s="833">
        <v>731.59044181885997</v>
      </c>
      <c r="H4" s="833">
        <v>23.074281096327859</v>
      </c>
    </row>
    <row r="5" spans="1:12">
      <c r="A5" s="834"/>
      <c r="B5" s="835"/>
      <c r="C5" s="835"/>
      <c r="D5" s="835"/>
      <c r="E5" s="835"/>
      <c r="F5" s="835"/>
      <c r="G5" s="835"/>
      <c r="H5" s="835"/>
    </row>
    <row r="6" spans="1:12" ht="16.5" customHeight="1">
      <c r="A6" s="836" t="s">
        <v>3</v>
      </c>
      <c r="B6" s="833"/>
      <c r="C6" s="833"/>
      <c r="D6" s="833"/>
      <c r="E6" s="833"/>
      <c r="F6" s="833"/>
      <c r="G6" s="833"/>
      <c r="H6" s="833"/>
    </row>
    <row r="7" spans="1:12">
      <c r="A7" s="837" t="s">
        <v>4</v>
      </c>
      <c r="B7" s="835">
        <v>84564.52559665803</v>
      </c>
      <c r="C7" s="835">
        <v>5725.136333195117</v>
      </c>
      <c r="D7" s="835">
        <v>74153.95289030869</v>
      </c>
      <c r="E7" s="835">
        <v>226.67087900510393</v>
      </c>
      <c r="F7" s="835">
        <v>3998.6371829282202</v>
      </c>
      <c r="G7" s="835">
        <v>441.12596213568162</v>
      </c>
      <c r="H7" s="835">
        <v>19.002349138152354</v>
      </c>
    </row>
    <row r="8" spans="1:12">
      <c r="A8" s="837" t="s">
        <v>5</v>
      </c>
      <c r="B8" s="835">
        <v>43900.855751754585</v>
      </c>
      <c r="C8" s="835">
        <v>2918.217903359026</v>
      </c>
      <c r="D8" s="835">
        <v>20837.433140641646</v>
      </c>
      <c r="E8" s="835">
        <v>4.0719319581755045</v>
      </c>
      <c r="F8" s="835">
        <v>19846.596364151977</v>
      </c>
      <c r="G8" s="835">
        <v>290.46447968318716</v>
      </c>
      <c r="H8" s="835">
        <v>4.0719319581755045</v>
      </c>
    </row>
    <row r="9" spans="1:12" ht="17.25" customHeight="1">
      <c r="A9" s="1184" t="s">
        <v>593</v>
      </c>
      <c r="B9" s="833"/>
      <c r="C9" s="833"/>
      <c r="D9" s="833"/>
      <c r="E9" s="833"/>
      <c r="F9" s="833"/>
      <c r="G9" s="833"/>
      <c r="H9" s="833"/>
    </row>
    <row r="10" spans="1:12">
      <c r="A10" s="838" t="s">
        <v>148</v>
      </c>
      <c r="B10" s="839">
        <f t="shared" ref="B10:H10" si="0">+B11</f>
        <v>82487.840297999035</v>
      </c>
      <c r="C10" s="839">
        <f>+C11</f>
        <v>5575.832161395304</v>
      </c>
      <c r="D10" s="839">
        <f t="shared" si="0"/>
        <v>70145.814532831559</v>
      </c>
      <c r="E10" s="839">
        <f t="shared" si="0"/>
        <v>222.5989470469284</v>
      </c>
      <c r="F10" s="839">
        <f t="shared" si="0"/>
        <v>6135.0441503182401</v>
      </c>
      <c r="G10" s="839">
        <f t="shared" si="0"/>
        <v>399.04933190120119</v>
      </c>
      <c r="H10" s="839">
        <f t="shared" si="0"/>
        <v>9.5011745690761771</v>
      </c>
    </row>
    <row r="11" spans="1:12">
      <c r="A11" s="837" t="s">
        <v>148</v>
      </c>
      <c r="B11" s="835">
        <v>82487.840297999035</v>
      </c>
      <c r="C11" s="835">
        <v>5575.832161395304</v>
      </c>
      <c r="D11" s="835">
        <v>70145.814532831559</v>
      </c>
      <c r="E11" s="835">
        <v>222.5989470469284</v>
      </c>
      <c r="F11" s="835">
        <v>6135.0441503182401</v>
      </c>
      <c r="G11" s="835">
        <v>399.04933190120119</v>
      </c>
      <c r="H11" s="835">
        <v>9.5011745690761771</v>
      </c>
    </row>
    <row r="12" spans="1:12">
      <c r="A12" s="838" t="s">
        <v>149</v>
      </c>
      <c r="B12" s="839">
        <f t="shared" ref="B12:H12" si="1">+B13</f>
        <v>8027.1352002176891</v>
      </c>
      <c r="C12" s="839">
        <f>+C13</f>
        <v>468.27217519018512</v>
      </c>
      <c r="D12" s="839">
        <f t="shared" si="1"/>
        <v>5080.4137731504698</v>
      </c>
      <c r="E12" s="839">
        <f t="shared" si="1"/>
        <v>1.3573106527251682</v>
      </c>
      <c r="F12" s="839">
        <f t="shared" si="1"/>
        <v>2287.0684498418459</v>
      </c>
      <c r="G12" s="839">
        <f t="shared" si="1"/>
        <v>190.0234913815242</v>
      </c>
      <c r="H12" s="839">
        <f t="shared" si="1"/>
        <v>0</v>
      </c>
    </row>
    <row r="13" spans="1:12">
      <c r="A13" s="837" t="s">
        <v>149</v>
      </c>
      <c r="B13" s="835">
        <v>8027.1352002176891</v>
      </c>
      <c r="C13" s="835">
        <v>468.27217519018512</v>
      </c>
      <c r="D13" s="835">
        <v>5080.4137731504698</v>
      </c>
      <c r="E13" s="835">
        <v>1.3573106527251682</v>
      </c>
      <c r="F13" s="835">
        <v>2287.0684498418459</v>
      </c>
      <c r="G13" s="835">
        <v>190.0234913815242</v>
      </c>
      <c r="H13" s="835">
        <v>0</v>
      </c>
    </row>
    <row r="14" spans="1:12">
      <c r="A14" s="838" t="s">
        <v>150</v>
      </c>
      <c r="B14" s="839">
        <f t="shared" ref="B14:H14" si="2">+B15</f>
        <v>2804.203808530116</v>
      </c>
      <c r="C14" s="839">
        <f>+C15</f>
        <v>485.9172136756124</v>
      </c>
      <c r="D14" s="839">
        <f t="shared" si="2"/>
        <v>1708.8541117809452</v>
      </c>
      <c r="E14" s="839">
        <f t="shared" si="2"/>
        <v>0</v>
      </c>
      <c r="F14" s="839">
        <f t="shared" si="2"/>
        <v>604.00324046269884</v>
      </c>
      <c r="G14" s="839">
        <f t="shared" si="2"/>
        <v>5.4292426109006726</v>
      </c>
      <c r="H14" s="839">
        <f t="shared" si="2"/>
        <v>0</v>
      </c>
      <c r="L14" s="31"/>
    </row>
    <row r="15" spans="1:12">
      <c r="A15" s="837" t="s">
        <v>150</v>
      </c>
      <c r="B15" s="835">
        <v>2804.203808530116</v>
      </c>
      <c r="C15" s="835">
        <v>485.9172136756124</v>
      </c>
      <c r="D15" s="835">
        <v>1708.8541117809452</v>
      </c>
      <c r="E15" s="835">
        <v>0</v>
      </c>
      <c r="F15" s="835">
        <v>604.00324046269884</v>
      </c>
      <c r="G15" s="835">
        <v>5.4292426109006726</v>
      </c>
      <c r="H15" s="835">
        <v>0</v>
      </c>
    </row>
    <row r="16" spans="1:12">
      <c r="A16" s="838" t="s">
        <v>151</v>
      </c>
      <c r="B16" s="839">
        <f t="shared" ref="B16:H16" si="3">+B17</f>
        <v>7086.5189178788669</v>
      </c>
      <c r="C16" s="839">
        <f>+C17</f>
        <v>373.26042949942286</v>
      </c>
      <c r="D16" s="839">
        <f t="shared" si="3"/>
        <v>3960.6324846519169</v>
      </c>
      <c r="E16" s="839">
        <f t="shared" si="3"/>
        <v>1.3573106527251682</v>
      </c>
      <c r="F16" s="839">
        <f t="shared" si="3"/>
        <v>2692.9043350066563</v>
      </c>
      <c r="G16" s="839">
        <f t="shared" si="3"/>
        <v>48.863183498106054</v>
      </c>
      <c r="H16" s="839">
        <f t="shared" si="3"/>
        <v>9.5011745690761771</v>
      </c>
    </row>
    <row r="17" spans="1:8">
      <c r="A17" s="837" t="s">
        <v>151</v>
      </c>
      <c r="B17" s="835">
        <v>7086.5189178788669</v>
      </c>
      <c r="C17" s="835">
        <v>373.26042949942286</v>
      </c>
      <c r="D17" s="835">
        <v>3960.6324846519169</v>
      </c>
      <c r="E17" s="835">
        <v>1.3573106527251682</v>
      </c>
      <c r="F17" s="835">
        <v>2692.9043350066563</v>
      </c>
      <c r="G17" s="835">
        <v>48.863183498106054</v>
      </c>
      <c r="H17" s="835">
        <v>9.5011745690761771</v>
      </c>
    </row>
    <row r="18" spans="1:8">
      <c r="A18" s="838" t="s">
        <v>152</v>
      </c>
      <c r="B18" s="839">
        <f t="shared" ref="B18:H18" si="4">+B19+B20</f>
        <v>1748.2161207099948</v>
      </c>
      <c r="C18" s="839">
        <f>+C19+C20</f>
        <v>69.222843288983569</v>
      </c>
      <c r="D18" s="839">
        <f t="shared" si="4"/>
        <v>1083.1339008746711</v>
      </c>
      <c r="E18" s="839">
        <f t="shared" si="4"/>
        <v>1.3573106527251682</v>
      </c>
      <c r="F18" s="839">
        <f t="shared" si="4"/>
        <v>589.07282328272538</v>
      </c>
      <c r="G18" s="839">
        <f t="shared" si="4"/>
        <v>5.4292426109006726</v>
      </c>
      <c r="H18" s="839">
        <f t="shared" si="4"/>
        <v>0</v>
      </c>
    </row>
    <row r="19" spans="1:8">
      <c r="A19" s="837" t="s">
        <v>152</v>
      </c>
      <c r="B19" s="835">
        <v>1157.7859867745472</v>
      </c>
      <c r="C19" s="835">
        <v>55.649736761731894</v>
      </c>
      <c r="D19" s="835">
        <v>946.04552494942868</v>
      </c>
      <c r="E19" s="835">
        <v>0</v>
      </c>
      <c r="F19" s="835">
        <v>150.66148245249411</v>
      </c>
      <c r="G19" s="835">
        <v>5.4292426109006726</v>
      </c>
      <c r="H19" s="835">
        <v>0</v>
      </c>
    </row>
    <row r="20" spans="1:8">
      <c r="A20" s="837" t="s">
        <v>153</v>
      </c>
      <c r="B20" s="835">
        <v>590.43013393544766</v>
      </c>
      <c r="C20" s="835">
        <v>13.573106527251682</v>
      </c>
      <c r="D20" s="835">
        <v>137.08837592524236</v>
      </c>
      <c r="E20" s="835">
        <v>1.3573106527251682</v>
      </c>
      <c r="F20" s="835">
        <v>438.41134083023127</v>
      </c>
      <c r="G20" s="835">
        <v>0</v>
      </c>
      <c r="H20" s="835">
        <v>0</v>
      </c>
    </row>
    <row r="21" spans="1:8">
      <c r="A21" s="838" t="s">
        <v>154</v>
      </c>
      <c r="B21" s="839">
        <f t="shared" ref="B21:H21" si="5">+B22+B23</f>
        <v>757.37934422064711</v>
      </c>
      <c r="C21" s="839">
        <f>+C22+C23</f>
        <v>1.3573106527251682</v>
      </c>
      <c r="D21" s="839">
        <f t="shared" si="5"/>
        <v>84.153260468960468</v>
      </c>
      <c r="E21" s="839">
        <f t="shared" si="5"/>
        <v>0</v>
      </c>
      <c r="F21" s="839">
        <f t="shared" si="5"/>
        <v>671.86877309896113</v>
      </c>
      <c r="G21" s="839">
        <f t="shared" si="5"/>
        <v>0</v>
      </c>
      <c r="H21" s="839">
        <f t="shared" si="5"/>
        <v>0</v>
      </c>
    </row>
    <row r="22" spans="1:8">
      <c r="A22" s="837" t="s">
        <v>154</v>
      </c>
      <c r="B22" s="835">
        <v>499.49032020286415</v>
      </c>
      <c r="C22" s="835">
        <v>1.3573106527251682</v>
      </c>
      <c r="D22" s="835">
        <v>12.215795874526513</v>
      </c>
      <c r="E22" s="835">
        <v>0</v>
      </c>
      <c r="F22" s="835">
        <v>485.9172136756124</v>
      </c>
      <c r="G22" s="835">
        <v>0</v>
      </c>
      <c r="H22" s="835">
        <v>0</v>
      </c>
    </row>
    <row r="23" spans="1:8">
      <c r="A23" s="837" t="s">
        <v>155</v>
      </c>
      <c r="B23" s="835">
        <v>257.88902401778296</v>
      </c>
      <c r="C23" s="835">
        <v>0</v>
      </c>
      <c r="D23" s="835">
        <v>71.937464594433948</v>
      </c>
      <c r="E23" s="835">
        <v>0</v>
      </c>
      <c r="F23" s="835">
        <v>185.95155942334867</v>
      </c>
      <c r="G23" s="835">
        <v>0</v>
      </c>
      <c r="H23" s="835">
        <v>0</v>
      </c>
    </row>
    <row r="24" spans="1:8">
      <c r="A24" s="838" t="s">
        <v>156</v>
      </c>
      <c r="B24" s="839">
        <f t="shared" ref="B24:H24" si="6">+B25+B26</f>
        <v>4137.0828695062037</v>
      </c>
      <c r="C24" s="839">
        <f>+C25+C26</f>
        <v>685.44187962621277</v>
      </c>
      <c r="D24" s="839">
        <f t="shared" si="6"/>
        <v>3060.7355218951843</v>
      </c>
      <c r="E24" s="839">
        <f t="shared" si="6"/>
        <v>0</v>
      </c>
      <c r="F24" s="839">
        <f t="shared" si="6"/>
        <v>362.40194427762111</v>
      </c>
      <c r="G24" s="839">
        <f t="shared" si="6"/>
        <v>25.788902401778195</v>
      </c>
      <c r="H24" s="839">
        <f t="shared" si="6"/>
        <v>2.7146213054503363</v>
      </c>
    </row>
    <row r="25" spans="1:8">
      <c r="A25" s="837" t="s">
        <v>156</v>
      </c>
      <c r="B25" s="835">
        <v>1978.9589316732438</v>
      </c>
      <c r="C25" s="835">
        <v>175.09307420154727</v>
      </c>
      <c r="D25" s="835">
        <v>1520.1879310521538</v>
      </c>
      <c r="E25" s="835">
        <v>0</v>
      </c>
      <c r="F25" s="835">
        <v>280.96330511411094</v>
      </c>
      <c r="G25" s="835">
        <v>2.7146213054503363</v>
      </c>
      <c r="H25" s="835">
        <v>0</v>
      </c>
    </row>
    <row r="26" spans="1:8">
      <c r="A26" s="837" t="s">
        <v>157</v>
      </c>
      <c r="B26" s="835">
        <v>2158.1239378329597</v>
      </c>
      <c r="C26" s="835">
        <v>510.34880542466556</v>
      </c>
      <c r="D26" s="835">
        <v>1540.5475908430305</v>
      </c>
      <c r="E26" s="835">
        <v>0</v>
      </c>
      <c r="F26" s="835">
        <v>81.438639163510175</v>
      </c>
      <c r="G26" s="835">
        <v>23.074281096327859</v>
      </c>
      <c r="H26" s="835">
        <v>2.7146213054503363</v>
      </c>
    </row>
    <row r="27" spans="1:8">
      <c r="A27" s="838" t="s">
        <v>158</v>
      </c>
      <c r="B27" s="839">
        <f t="shared" ref="B27:H27" si="7">SUM(B28:B29)</f>
        <v>6319.6383990886234</v>
      </c>
      <c r="C27" s="839">
        <f>SUM(C28:C29)</f>
        <v>154.73341441066964</v>
      </c>
      <c r="D27" s="839">
        <f t="shared" si="7"/>
        <v>4487.2690179092897</v>
      </c>
      <c r="E27" s="839">
        <f t="shared" si="7"/>
        <v>0</v>
      </c>
      <c r="F27" s="839">
        <f t="shared" si="7"/>
        <v>1651.8470643665114</v>
      </c>
      <c r="G27" s="839">
        <f t="shared" si="7"/>
        <v>25.788902401778195</v>
      </c>
      <c r="H27" s="839">
        <f t="shared" si="7"/>
        <v>0</v>
      </c>
    </row>
    <row r="28" spans="1:8">
      <c r="A28" s="837" t="s">
        <v>158</v>
      </c>
      <c r="B28" s="835">
        <v>5376.3074954446447</v>
      </c>
      <c r="C28" s="835">
        <v>153.37610375794446</v>
      </c>
      <c r="D28" s="835">
        <v>4133.0109375480197</v>
      </c>
      <c r="E28" s="835">
        <v>0</v>
      </c>
      <c r="F28" s="835">
        <v>1069.5607943474145</v>
      </c>
      <c r="G28" s="835">
        <v>20.359659790877522</v>
      </c>
      <c r="H28" s="835">
        <v>0</v>
      </c>
    </row>
    <row r="29" spans="1:8">
      <c r="A29" s="837" t="s">
        <v>159</v>
      </c>
      <c r="B29" s="835">
        <v>943.33090364397844</v>
      </c>
      <c r="C29" s="835">
        <v>1.3573106527251682</v>
      </c>
      <c r="D29" s="835">
        <v>354.2580803612704</v>
      </c>
      <c r="E29" s="835">
        <v>0</v>
      </c>
      <c r="F29" s="835">
        <v>582.28627001909695</v>
      </c>
      <c r="G29" s="835">
        <v>5.4292426109006726</v>
      </c>
      <c r="H29" s="835">
        <v>0</v>
      </c>
    </row>
    <row r="30" spans="1:8">
      <c r="A30" s="838" t="s">
        <v>160</v>
      </c>
      <c r="B30" s="839">
        <f t="shared" ref="B30:H30" si="8">+B31</f>
        <v>1749.5734313626988</v>
      </c>
      <c r="C30" s="839">
        <f>+C31</f>
        <v>48.863183498106054</v>
      </c>
      <c r="D30" s="839">
        <f t="shared" si="8"/>
        <v>199.52466595060042</v>
      </c>
      <c r="E30" s="839">
        <f t="shared" si="8"/>
        <v>0</v>
      </c>
      <c r="F30" s="839">
        <f t="shared" si="8"/>
        <v>1498.4709606085519</v>
      </c>
      <c r="G30" s="839">
        <f t="shared" si="8"/>
        <v>2.7146213054503363</v>
      </c>
      <c r="H30" s="839">
        <f t="shared" si="8"/>
        <v>0</v>
      </c>
    </row>
    <row r="31" spans="1:8">
      <c r="A31" s="837" t="s">
        <v>160</v>
      </c>
      <c r="B31" s="835">
        <v>1749.5734313626988</v>
      </c>
      <c r="C31" s="835">
        <v>48.863183498106054</v>
      </c>
      <c r="D31" s="835">
        <v>199.52466595060042</v>
      </c>
      <c r="E31" s="835">
        <v>0</v>
      </c>
      <c r="F31" s="835">
        <v>1498.4709606085519</v>
      </c>
      <c r="G31" s="835">
        <v>2.7146213054503363</v>
      </c>
      <c r="H31" s="835">
        <v>0</v>
      </c>
    </row>
    <row r="32" spans="1:8">
      <c r="A32" s="838" t="s">
        <v>161</v>
      </c>
      <c r="B32" s="839">
        <f t="shared" ref="B32:H32" si="9">SUM(B33:B34)</f>
        <v>7575.150752859664</v>
      </c>
      <c r="C32" s="839">
        <f>SUM(C33:C34)</f>
        <v>329.82648861221719</v>
      </c>
      <c r="D32" s="839">
        <f t="shared" si="9"/>
        <v>2443.159174905245</v>
      </c>
      <c r="E32" s="839">
        <f t="shared" si="9"/>
        <v>1.3573106527251682</v>
      </c>
      <c r="F32" s="839">
        <f t="shared" si="9"/>
        <v>4798.0931573833359</v>
      </c>
      <c r="G32" s="839">
        <f t="shared" si="9"/>
        <v>2.7146213054503363</v>
      </c>
      <c r="H32" s="839">
        <f t="shared" si="9"/>
        <v>0</v>
      </c>
    </row>
    <row r="33" spans="1:8">
      <c r="A33" s="837" t="s">
        <v>161</v>
      </c>
      <c r="B33" s="835">
        <v>6289.7775647289554</v>
      </c>
      <c r="C33" s="835">
        <v>313.53876077951514</v>
      </c>
      <c r="D33" s="835">
        <v>2185.270150887462</v>
      </c>
      <c r="E33" s="835">
        <v>1.3573106527251682</v>
      </c>
      <c r="F33" s="835">
        <v>3786.8967211031018</v>
      </c>
      <c r="G33" s="835">
        <v>2.7146213054503363</v>
      </c>
      <c r="H33" s="835">
        <v>0</v>
      </c>
    </row>
    <row r="34" spans="1:8">
      <c r="A34" s="837" t="s">
        <v>162</v>
      </c>
      <c r="B34" s="835">
        <v>1285.3731881307083</v>
      </c>
      <c r="C34" s="835">
        <v>16.287727832702018</v>
      </c>
      <c r="D34" s="835">
        <v>257.88902401778296</v>
      </c>
      <c r="E34" s="835">
        <v>0</v>
      </c>
      <c r="F34" s="835">
        <v>1011.1964362802344</v>
      </c>
      <c r="G34" s="835">
        <v>0</v>
      </c>
      <c r="H34" s="835">
        <v>0</v>
      </c>
    </row>
    <row r="35" spans="1:8">
      <c r="A35" s="838" t="s">
        <v>163</v>
      </c>
      <c r="B35" s="839">
        <f t="shared" ref="B35:H35" si="10">SUM(B36:B37)</f>
        <v>5772.6422060400155</v>
      </c>
      <c r="C35" s="839">
        <f>SUM(C36:C37)</f>
        <v>450.6271367047575</v>
      </c>
      <c r="D35" s="839">
        <f t="shared" si="10"/>
        <v>2737.6955865466061</v>
      </c>
      <c r="E35" s="839">
        <f t="shared" si="10"/>
        <v>2.7146213054503363</v>
      </c>
      <c r="F35" s="839">
        <f t="shared" si="10"/>
        <v>2554.4586484287152</v>
      </c>
      <c r="G35" s="839">
        <f t="shared" si="10"/>
        <v>25.788902401778195</v>
      </c>
      <c r="H35" s="839">
        <f t="shared" si="10"/>
        <v>1.3573106527251682</v>
      </c>
    </row>
    <row r="36" spans="1:8">
      <c r="A36" s="837" t="s">
        <v>163</v>
      </c>
      <c r="B36" s="835">
        <v>4226.6653725860842</v>
      </c>
      <c r="C36" s="835">
        <v>388.19084667939978</v>
      </c>
      <c r="D36" s="835">
        <v>2228.7040917746658</v>
      </c>
      <c r="E36" s="835">
        <v>2.7146213054503363</v>
      </c>
      <c r="F36" s="835">
        <v>1598.9119489102106</v>
      </c>
      <c r="G36" s="835">
        <v>6.7865532636258408</v>
      </c>
      <c r="H36" s="835">
        <v>1.3573106527251682</v>
      </c>
    </row>
    <row r="37" spans="1:8">
      <c r="A37" s="840" t="s">
        <v>164</v>
      </c>
      <c r="B37" s="841">
        <v>1545.976833453931</v>
      </c>
      <c r="C37" s="841">
        <v>62.436290025357735</v>
      </c>
      <c r="D37" s="841">
        <v>508.99149477194038</v>
      </c>
      <c r="E37" s="841">
        <v>0</v>
      </c>
      <c r="F37" s="841">
        <v>955.54669951850451</v>
      </c>
      <c r="G37" s="841">
        <v>19.002349138152354</v>
      </c>
      <c r="H37" s="841">
        <v>0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7"/>
  <sheetViews>
    <sheetView workbookViewId="0">
      <selection activeCell="A25" sqref="A25"/>
    </sheetView>
  </sheetViews>
  <sheetFormatPr defaultRowHeight="15"/>
  <cols>
    <col min="1" max="1" width="26.42578125" style="136" customWidth="1"/>
    <col min="2" max="2" width="10.28515625" style="136" customWidth="1"/>
    <col min="3" max="3" width="13.85546875" style="136" customWidth="1"/>
    <col min="4" max="4" width="14" style="136" customWidth="1"/>
    <col min="5" max="5" width="13.42578125" style="136" customWidth="1"/>
    <col min="6" max="16384" width="9.140625" style="136"/>
  </cols>
  <sheetData>
    <row r="1" spans="1:5" ht="37.5" customHeight="1">
      <c r="A1" s="1187" t="s">
        <v>494</v>
      </c>
      <c r="B1" s="1187"/>
      <c r="C1" s="1187"/>
      <c r="D1" s="1187"/>
      <c r="E1" s="1187"/>
    </row>
    <row r="2" spans="1:5">
      <c r="A2" s="1188" t="s">
        <v>314</v>
      </c>
      <c r="B2" s="1188" t="s">
        <v>542</v>
      </c>
      <c r="C2" s="1189" t="s">
        <v>495</v>
      </c>
      <c r="D2" s="1189"/>
      <c r="E2" s="1189"/>
    </row>
    <row r="3" spans="1:5" ht="36.75">
      <c r="A3" s="1190"/>
      <c r="B3" s="1190"/>
      <c r="C3" s="1191" t="s">
        <v>496</v>
      </c>
      <c r="D3" s="1191" t="s">
        <v>497</v>
      </c>
      <c r="E3" s="1191" t="s">
        <v>498</v>
      </c>
    </row>
    <row r="4" spans="1:5">
      <c r="A4" s="1192" t="s">
        <v>147</v>
      </c>
      <c r="B4" s="1193">
        <v>128465.38134817863</v>
      </c>
      <c r="C4" s="1193">
        <v>126905.83140820531</v>
      </c>
      <c r="D4" s="1193">
        <v>1422.4615640559452</v>
      </c>
      <c r="E4" s="1193">
        <v>137.08837592524236</v>
      </c>
    </row>
    <row r="5" spans="1:5">
      <c r="A5" s="1194"/>
      <c r="B5" s="1195"/>
      <c r="C5" s="1195"/>
      <c r="D5" s="1195"/>
      <c r="E5" s="1195"/>
    </row>
    <row r="6" spans="1:5">
      <c r="A6" s="1192" t="s">
        <v>3</v>
      </c>
      <c r="B6" s="1193"/>
      <c r="C6" s="1193"/>
      <c r="D6" s="1193"/>
      <c r="E6" s="1193"/>
    </row>
    <row r="7" spans="1:5">
      <c r="A7" s="1196" t="s">
        <v>4</v>
      </c>
      <c r="B7" s="1197">
        <v>84564.52559665803</v>
      </c>
      <c r="C7" s="1197">
        <v>83534.326811244842</v>
      </c>
      <c r="D7" s="1197">
        <v>908.04082667312537</v>
      </c>
      <c r="E7" s="1197">
        <v>122.15795874526543</v>
      </c>
    </row>
    <row r="8" spans="1:5">
      <c r="A8" s="1196" t="s">
        <v>5</v>
      </c>
      <c r="B8" s="1197">
        <v>43900.855751754585</v>
      </c>
      <c r="C8" s="1197">
        <v>43371.504597191612</v>
      </c>
      <c r="D8" s="1197">
        <v>514.42073738284103</v>
      </c>
      <c r="E8" s="1197">
        <v>14.93041717997685</v>
      </c>
    </row>
    <row r="9" spans="1:5" ht="18" customHeight="1">
      <c r="A9" s="1184" t="s">
        <v>593</v>
      </c>
      <c r="B9" s="1193"/>
      <c r="C9" s="1193"/>
      <c r="D9" s="1193"/>
      <c r="E9" s="1193"/>
    </row>
    <row r="10" spans="1:5">
      <c r="A10" s="1198" t="s">
        <v>148</v>
      </c>
      <c r="B10" s="1199">
        <f>+B11</f>
        <v>82487.840297999035</v>
      </c>
      <c r="C10" s="1199">
        <f t="shared" ref="C10:E10" si="0">+C11</f>
        <v>81173.963586167723</v>
      </c>
      <c r="D10" s="1199">
        <f t="shared" si="0"/>
        <v>1184.9321998290495</v>
      </c>
      <c r="E10" s="1199">
        <f t="shared" si="0"/>
        <v>128.94451200889131</v>
      </c>
    </row>
    <row r="11" spans="1:5">
      <c r="A11" s="1196" t="s">
        <v>148</v>
      </c>
      <c r="B11" s="1197">
        <v>82487.840297999035</v>
      </c>
      <c r="C11" s="1197">
        <v>81173.963586167723</v>
      </c>
      <c r="D11" s="1197">
        <v>1184.9321998290495</v>
      </c>
      <c r="E11" s="1197">
        <v>128.94451200889131</v>
      </c>
    </row>
    <row r="12" spans="1:5">
      <c r="A12" s="1198" t="s">
        <v>149</v>
      </c>
      <c r="B12" s="1199">
        <f>+B13</f>
        <v>8027.1352002176891</v>
      </c>
      <c r="C12" s="1199">
        <f t="shared" ref="C12:E12" si="1">+C13</f>
        <v>8010.8474723849822</v>
      </c>
      <c r="D12" s="1199">
        <f t="shared" si="1"/>
        <v>13.573106527251682</v>
      </c>
      <c r="E12" s="1199">
        <f t="shared" si="1"/>
        <v>2.7146213054503363</v>
      </c>
    </row>
    <row r="13" spans="1:5">
      <c r="A13" s="1196" t="s">
        <v>149</v>
      </c>
      <c r="B13" s="1197">
        <v>8027.1352002176891</v>
      </c>
      <c r="C13" s="1197">
        <v>8010.8474723849822</v>
      </c>
      <c r="D13" s="1197">
        <v>13.573106527251682</v>
      </c>
      <c r="E13" s="1197">
        <v>2.7146213054503363</v>
      </c>
    </row>
    <row r="14" spans="1:5">
      <c r="A14" s="1198" t="s">
        <v>150</v>
      </c>
      <c r="B14" s="1199">
        <f>+B15</f>
        <v>2804.203808530116</v>
      </c>
      <c r="C14" s="1199">
        <f t="shared" ref="C14:E14" si="2">+C15</f>
        <v>2782.4868380865141</v>
      </c>
      <c r="D14" s="1199">
        <f t="shared" si="2"/>
        <v>21.71697044360269</v>
      </c>
      <c r="E14" s="1199">
        <f t="shared" si="2"/>
        <v>0</v>
      </c>
    </row>
    <row r="15" spans="1:5">
      <c r="A15" s="1196" t="s">
        <v>150</v>
      </c>
      <c r="B15" s="1197">
        <v>2804.203808530116</v>
      </c>
      <c r="C15" s="1197">
        <v>2782.4868380865141</v>
      </c>
      <c r="D15" s="1197">
        <v>21.71697044360269</v>
      </c>
      <c r="E15" s="1197">
        <v>0</v>
      </c>
    </row>
    <row r="16" spans="1:5">
      <c r="A16" s="1198" t="s">
        <v>151</v>
      </c>
      <c r="B16" s="1199">
        <f>+B17</f>
        <v>7086.5189178788669</v>
      </c>
      <c r="C16" s="1199">
        <f t="shared" ref="C16:E16" si="3">+C17</f>
        <v>7074.3031220043367</v>
      </c>
      <c r="D16" s="1199">
        <f t="shared" si="3"/>
        <v>12.215795874526513</v>
      </c>
      <c r="E16" s="1199">
        <f t="shared" si="3"/>
        <v>0</v>
      </c>
    </row>
    <row r="17" spans="1:5">
      <c r="A17" s="1196" t="s">
        <v>151</v>
      </c>
      <c r="B17" s="1197">
        <v>7086.5189178788669</v>
      </c>
      <c r="C17" s="1197">
        <v>7074.3031220043367</v>
      </c>
      <c r="D17" s="1197">
        <v>12.215795874526513</v>
      </c>
      <c r="E17" s="1197">
        <v>0</v>
      </c>
    </row>
    <row r="18" spans="1:5">
      <c r="A18" s="1198" t="s">
        <v>152</v>
      </c>
      <c r="B18" s="1199">
        <f>+B19+B20</f>
        <v>1748.2161207099948</v>
      </c>
      <c r="C18" s="1199">
        <f t="shared" ref="C18:E18" si="4">+C19+C20</f>
        <v>1746.8588100572697</v>
      </c>
      <c r="D18" s="1199">
        <f t="shared" si="4"/>
        <v>1.3573106527251682</v>
      </c>
      <c r="E18" s="1199">
        <f t="shared" si="4"/>
        <v>0</v>
      </c>
    </row>
    <row r="19" spans="1:5">
      <c r="A19" s="1196" t="s">
        <v>152</v>
      </c>
      <c r="B19" s="1197">
        <v>1157.7859867745472</v>
      </c>
      <c r="C19" s="1197">
        <v>1156.428676121822</v>
      </c>
      <c r="D19" s="1197">
        <v>1.3573106527251682</v>
      </c>
      <c r="E19" s="1197">
        <v>0</v>
      </c>
    </row>
    <row r="20" spans="1:5">
      <c r="A20" s="1196" t="s">
        <v>153</v>
      </c>
      <c r="B20" s="1197">
        <v>590.43013393544766</v>
      </c>
      <c r="C20" s="1197">
        <v>590.43013393544766</v>
      </c>
      <c r="D20" s="1197">
        <v>0</v>
      </c>
      <c r="E20" s="1197">
        <v>0</v>
      </c>
    </row>
    <row r="21" spans="1:5">
      <c r="A21" s="1198" t="s">
        <v>154</v>
      </c>
      <c r="B21" s="1199">
        <f>+B22+B23</f>
        <v>757.37934422064711</v>
      </c>
      <c r="C21" s="1199">
        <f t="shared" ref="C21:E21" si="5">+C22+C23</f>
        <v>757.37934422064711</v>
      </c>
      <c r="D21" s="1199">
        <f t="shared" si="5"/>
        <v>0</v>
      </c>
      <c r="E21" s="1199">
        <f t="shared" si="5"/>
        <v>0</v>
      </c>
    </row>
    <row r="22" spans="1:5">
      <c r="A22" s="1196" t="s">
        <v>154</v>
      </c>
      <c r="B22" s="1197">
        <v>499.49032020286415</v>
      </c>
      <c r="C22" s="1197">
        <v>499.49032020286415</v>
      </c>
      <c r="D22" s="1197">
        <v>0</v>
      </c>
      <c r="E22" s="1197">
        <v>0</v>
      </c>
    </row>
    <row r="23" spans="1:5">
      <c r="A23" s="1196" t="s">
        <v>155</v>
      </c>
      <c r="B23" s="1197">
        <v>257.88902401778296</v>
      </c>
      <c r="C23" s="1197">
        <v>257.88902401778296</v>
      </c>
      <c r="D23" s="1197">
        <v>0</v>
      </c>
      <c r="E23" s="1197">
        <v>0</v>
      </c>
    </row>
    <row r="24" spans="1:5">
      <c r="A24" s="1198" t="s">
        <v>156</v>
      </c>
      <c r="B24" s="1199">
        <f>+B25+B26</f>
        <v>4137.0828695062037</v>
      </c>
      <c r="C24" s="1199">
        <f t="shared" ref="C24:E24" si="6">+C25+C26</f>
        <v>4122.1524523262269</v>
      </c>
      <c r="D24" s="1199">
        <f t="shared" si="6"/>
        <v>13.573106527251682</v>
      </c>
      <c r="E24" s="1199">
        <f t="shared" si="6"/>
        <v>1.3573106527251682</v>
      </c>
    </row>
    <row r="25" spans="1:5">
      <c r="A25" s="1196" t="s">
        <v>156</v>
      </c>
      <c r="B25" s="1197">
        <v>1978.9589316732438</v>
      </c>
      <c r="C25" s="1197">
        <v>1973.5296890623433</v>
      </c>
      <c r="D25" s="1197">
        <v>5.4292426109006726</v>
      </c>
      <c r="E25" s="1197">
        <v>0</v>
      </c>
    </row>
    <row r="26" spans="1:5">
      <c r="A26" s="1196" t="s">
        <v>157</v>
      </c>
      <c r="B26" s="1197">
        <v>2158.1239378329597</v>
      </c>
      <c r="C26" s="1197">
        <v>2148.6227632638838</v>
      </c>
      <c r="D26" s="1197">
        <v>8.1438639163510089</v>
      </c>
      <c r="E26" s="1197">
        <v>1.3573106527251682</v>
      </c>
    </row>
    <row r="27" spans="1:5">
      <c r="A27" s="1198" t="s">
        <v>158</v>
      </c>
      <c r="B27" s="1199">
        <f>+B28+B29</f>
        <v>6319.6383990886234</v>
      </c>
      <c r="C27" s="1199">
        <f t="shared" ref="C27:E27" si="7">+C28+C29</f>
        <v>6285.7056327704868</v>
      </c>
      <c r="D27" s="1199">
        <f t="shared" si="7"/>
        <v>33.932766318129204</v>
      </c>
      <c r="E27" s="1199">
        <f t="shared" si="7"/>
        <v>0</v>
      </c>
    </row>
    <row r="28" spans="1:5">
      <c r="A28" s="1196" t="s">
        <v>158</v>
      </c>
      <c r="B28" s="1197">
        <v>5376.3074954446447</v>
      </c>
      <c r="C28" s="1197">
        <v>5351.8759036955844</v>
      </c>
      <c r="D28" s="1197">
        <v>24.431591749053027</v>
      </c>
      <c r="E28" s="1197">
        <v>0</v>
      </c>
    </row>
    <row r="29" spans="1:5">
      <c r="A29" s="1196" t="s">
        <v>159</v>
      </c>
      <c r="B29" s="1197">
        <v>943.33090364397844</v>
      </c>
      <c r="C29" s="1197">
        <v>933.82972907490262</v>
      </c>
      <c r="D29" s="1197">
        <v>9.5011745690761771</v>
      </c>
      <c r="E29" s="1197">
        <v>0</v>
      </c>
    </row>
    <row r="30" spans="1:5">
      <c r="A30" s="1198" t="s">
        <v>160</v>
      </c>
      <c r="B30" s="1199">
        <f>+B31</f>
        <v>1749.5734313626988</v>
      </c>
      <c r="C30" s="1199">
        <f t="shared" ref="C30:E30" si="8">+C31</f>
        <v>1748.2161207099737</v>
      </c>
      <c r="D30" s="1199">
        <f t="shared" si="8"/>
        <v>1.3573106527251682</v>
      </c>
      <c r="E30" s="1199">
        <f t="shared" si="8"/>
        <v>0</v>
      </c>
    </row>
    <row r="31" spans="1:5">
      <c r="A31" s="1196" t="s">
        <v>160</v>
      </c>
      <c r="B31" s="1197">
        <v>1749.5734313626988</v>
      </c>
      <c r="C31" s="1197">
        <v>1748.2161207099737</v>
      </c>
      <c r="D31" s="1197">
        <v>1.3573106527251682</v>
      </c>
      <c r="E31" s="1197">
        <v>0</v>
      </c>
    </row>
    <row r="32" spans="1:5">
      <c r="A32" s="1198" t="s">
        <v>161</v>
      </c>
      <c r="B32" s="1199">
        <f>+B33+B34</f>
        <v>7575.150752859664</v>
      </c>
      <c r="C32" s="1199">
        <f t="shared" ref="C32:E32" si="9">+C33+C34</f>
        <v>7562.9349569851338</v>
      </c>
      <c r="D32" s="1199">
        <f t="shared" si="9"/>
        <v>12.215795874526513</v>
      </c>
      <c r="E32" s="1199">
        <f t="shared" si="9"/>
        <v>0</v>
      </c>
    </row>
    <row r="33" spans="1:5">
      <c r="A33" s="1196" t="s">
        <v>161</v>
      </c>
      <c r="B33" s="1197">
        <v>6289.7775647289554</v>
      </c>
      <c r="C33" s="1197">
        <v>6278.9190795071509</v>
      </c>
      <c r="D33" s="1197">
        <v>10.858485221801345</v>
      </c>
      <c r="E33" s="1197">
        <v>0</v>
      </c>
    </row>
    <row r="34" spans="1:5">
      <c r="A34" s="1196" t="s">
        <v>162</v>
      </c>
      <c r="B34" s="1197">
        <v>1285.3731881307083</v>
      </c>
      <c r="C34" s="1197">
        <v>1284.0158774779832</v>
      </c>
      <c r="D34" s="1197">
        <v>1.3573106527251682</v>
      </c>
      <c r="E34" s="1197">
        <v>0</v>
      </c>
    </row>
    <row r="35" spans="1:5">
      <c r="A35" s="1198" t="s">
        <v>163</v>
      </c>
      <c r="B35" s="1199">
        <f>+B36+B37</f>
        <v>5772.6422060400155</v>
      </c>
      <c r="C35" s="1199">
        <f t="shared" ref="C35:E35" si="10">+C36+C37</f>
        <v>5640.9830727256358</v>
      </c>
      <c r="D35" s="1199">
        <f t="shared" si="10"/>
        <v>127.5872013561661</v>
      </c>
      <c r="E35" s="1199">
        <f t="shared" si="10"/>
        <v>4.0719319581755045</v>
      </c>
    </row>
    <row r="36" spans="1:5">
      <c r="A36" s="1196" t="s">
        <v>163</v>
      </c>
      <c r="B36" s="1197">
        <v>4226.6653725860842</v>
      </c>
      <c r="C36" s="1197">
        <v>4099.0781712298804</v>
      </c>
      <c r="D36" s="1197">
        <v>123.51526939799061</v>
      </c>
      <c r="E36" s="1197">
        <v>4.0719319581755045</v>
      </c>
    </row>
    <row r="37" spans="1:5">
      <c r="A37" s="1200" t="s">
        <v>164</v>
      </c>
      <c r="B37" s="1201">
        <v>1545.976833453931</v>
      </c>
      <c r="C37" s="1201">
        <v>1541.9049014957557</v>
      </c>
      <c r="D37" s="1201">
        <v>4.0719319581755045</v>
      </c>
      <c r="E37" s="1201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7"/>
  <sheetViews>
    <sheetView workbookViewId="0">
      <selection activeCell="B18" sqref="B18"/>
    </sheetView>
  </sheetViews>
  <sheetFormatPr defaultRowHeight="15"/>
  <cols>
    <col min="1" max="1" width="19.5703125" style="136" customWidth="1"/>
    <col min="2" max="2" width="13.5703125" style="136" customWidth="1"/>
    <col min="3" max="16384" width="9.140625" style="136"/>
  </cols>
  <sheetData>
    <row r="1" spans="1:10" ht="37.5" customHeight="1">
      <c r="A1" s="1202" t="s">
        <v>499</v>
      </c>
      <c r="B1" s="1202"/>
      <c r="C1" s="1202"/>
      <c r="D1" s="1202"/>
      <c r="E1" s="1202"/>
      <c r="F1" s="1202"/>
      <c r="G1" s="1202"/>
      <c r="H1" s="1202"/>
      <c r="I1" s="1202"/>
      <c r="J1" s="1202"/>
    </row>
    <row r="2" spans="1:10">
      <c r="A2" s="1203" t="s">
        <v>314</v>
      </c>
      <c r="B2" s="1203" t="s">
        <v>542</v>
      </c>
      <c r="C2" s="1204" t="s">
        <v>500</v>
      </c>
      <c r="D2" s="1204"/>
      <c r="E2" s="1204"/>
      <c r="F2" s="1204"/>
      <c r="G2" s="1204"/>
      <c r="H2" s="1204"/>
      <c r="I2" s="1204"/>
      <c r="J2" s="1204"/>
    </row>
    <row r="3" spans="1:10" ht="24">
      <c r="A3" s="1205"/>
      <c r="B3" s="1205"/>
      <c r="C3" s="1206" t="s">
        <v>501</v>
      </c>
      <c r="D3" s="1206" t="s">
        <v>502</v>
      </c>
      <c r="E3" s="1206" t="s">
        <v>503</v>
      </c>
      <c r="F3" s="1206" t="s">
        <v>504</v>
      </c>
      <c r="G3" s="1206" t="s">
        <v>505</v>
      </c>
      <c r="H3" s="1206" t="s">
        <v>506</v>
      </c>
      <c r="I3" s="1206" t="s">
        <v>507</v>
      </c>
      <c r="J3" s="1206" t="s">
        <v>492</v>
      </c>
    </row>
    <row r="4" spans="1:10">
      <c r="A4" s="1207" t="s">
        <v>147</v>
      </c>
      <c r="B4" s="1208">
        <v>128465.38134817863</v>
      </c>
      <c r="C4" s="1208">
        <v>903.96889471495001</v>
      </c>
      <c r="D4" s="1208">
        <v>32909.354085982894</v>
      </c>
      <c r="E4" s="1208">
        <v>780.45362531696424</v>
      </c>
      <c r="F4" s="1208">
        <v>64941.88549030642</v>
      </c>
      <c r="G4" s="1208">
        <v>67.865532636258422</v>
      </c>
      <c r="H4" s="1208">
        <v>1137.4263269836704</v>
      </c>
      <c r="I4" s="1208">
        <v>18217.82358088129</v>
      </c>
      <c r="J4" s="1208">
        <v>9506.6038116885629</v>
      </c>
    </row>
    <row r="5" spans="1:10">
      <c r="A5" s="1209"/>
      <c r="B5" s="1210"/>
      <c r="C5" s="1210"/>
      <c r="D5" s="1210"/>
      <c r="E5" s="1210"/>
      <c r="F5" s="1210"/>
      <c r="G5" s="1210"/>
      <c r="H5" s="1210"/>
      <c r="I5" s="1210"/>
      <c r="J5" s="1210"/>
    </row>
    <row r="6" spans="1:10" ht="20.25" customHeight="1">
      <c r="A6" s="1207" t="s">
        <v>3</v>
      </c>
      <c r="B6" s="1211"/>
      <c r="C6" s="1211"/>
      <c r="D6" s="1211"/>
      <c r="E6" s="1211"/>
      <c r="F6" s="1211"/>
      <c r="G6" s="1211"/>
      <c r="H6" s="1211"/>
      <c r="I6" s="1211"/>
      <c r="J6" s="1211"/>
    </row>
    <row r="7" spans="1:10">
      <c r="A7" s="1212" t="s">
        <v>4</v>
      </c>
      <c r="B7" s="1210">
        <v>84564.52559665803</v>
      </c>
      <c r="C7" s="1210">
        <v>750.59279095701163</v>
      </c>
      <c r="D7" s="1210">
        <v>26687.442053888866</v>
      </c>
      <c r="E7" s="1210">
        <v>726.1611992079595</v>
      </c>
      <c r="F7" s="1210">
        <v>49693.857617587331</v>
      </c>
      <c r="G7" s="1210">
        <v>44.791251539930549</v>
      </c>
      <c r="H7" s="1210">
        <v>347.47152709764453</v>
      </c>
      <c r="I7" s="1210">
        <v>2430.9433790307085</v>
      </c>
      <c r="J7" s="1210">
        <v>3883.2657774465852</v>
      </c>
    </row>
    <row r="8" spans="1:10">
      <c r="A8" s="1212" t="s">
        <v>5</v>
      </c>
      <c r="B8" s="1210">
        <v>43900.855751754585</v>
      </c>
      <c r="C8" s="1210">
        <v>153.37610375794446</v>
      </c>
      <c r="D8" s="1210">
        <v>6221.9120320926768</v>
      </c>
      <c r="E8" s="1210">
        <v>54.292426109006726</v>
      </c>
      <c r="F8" s="1210">
        <v>15248.027872717737</v>
      </c>
      <c r="G8" s="1210">
        <v>23.074281096327859</v>
      </c>
      <c r="H8" s="1210">
        <v>789.95479988604006</v>
      </c>
      <c r="I8" s="1210">
        <v>15786.88020184979</v>
      </c>
      <c r="J8" s="1210">
        <v>5623.338034240699</v>
      </c>
    </row>
    <row r="9" spans="1:10" ht="21" customHeight="1">
      <c r="A9" s="1207" t="s">
        <v>493</v>
      </c>
      <c r="B9" s="1208"/>
      <c r="C9" s="1208"/>
      <c r="D9" s="1208"/>
      <c r="E9" s="1208"/>
      <c r="F9" s="1208"/>
      <c r="G9" s="1208"/>
      <c r="H9" s="1208"/>
      <c r="I9" s="1208"/>
      <c r="J9" s="1208"/>
    </row>
    <row r="10" spans="1:10">
      <c r="A10" s="1213" t="s">
        <v>148</v>
      </c>
      <c r="B10" s="1214">
        <f>+B11</f>
        <v>82487.840297999035</v>
      </c>
      <c r="C10" s="1214">
        <f t="shared" ref="C10:J10" si="0">+C11</f>
        <v>593.14475524089789</v>
      </c>
      <c r="D10" s="1214">
        <f t="shared" si="0"/>
        <v>25786.187780479086</v>
      </c>
      <c r="E10" s="1214">
        <f t="shared" si="0"/>
        <v>696.30036484800689</v>
      </c>
      <c r="F10" s="1214">
        <f t="shared" si="0"/>
        <v>48517.069281674259</v>
      </c>
      <c r="G10" s="1214">
        <f t="shared" si="0"/>
        <v>20.359659790877522</v>
      </c>
      <c r="H10" s="1214">
        <f t="shared" si="0"/>
        <v>301.32296490498857</v>
      </c>
      <c r="I10" s="1214">
        <f t="shared" si="0"/>
        <v>3847.9757004757321</v>
      </c>
      <c r="J10" s="1214">
        <f t="shared" si="0"/>
        <v>2725.4797906720592</v>
      </c>
    </row>
    <row r="11" spans="1:10">
      <c r="A11" s="1212" t="s">
        <v>148</v>
      </c>
      <c r="B11" s="1210">
        <v>82487.840297999035</v>
      </c>
      <c r="C11" s="1210">
        <v>593.14475524089789</v>
      </c>
      <c r="D11" s="1210">
        <v>25786.187780479086</v>
      </c>
      <c r="E11" s="1210">
        <v>696.30036484800689</v>
      </c>
      <c r="F11" s="1210">
        <v>48517.069281674259</v>
      </c>
      <c r="G11" s="1210">
        <v>20.359659790877522</v>
      </c>
      <c r="H11" s="1210">
        <v>301.32296490498857</v>
      </c>
      <c r="I11" s="1210">
        <v>3847.9757004757321</v>
      </c>
      <c r="J11" s="1210">
        <v>2725.4797906720592</v>
      </c>
    </row>
    <row r="12" spans="1:10">
      <c r="A12" s="1213" t="s">
        <v>149</v>
      </c>
      <c r="B12" s="1214">
        <f>+B13</f>
        <v>8027.1352002176891</v>
      </c>
      <c r="C12" s="1214">
        <f t="shared" ref="C12:J12" si="1">+C13</f>
        <v>48.863183498106054</v>
      </c>
      <c r="D12" s="1214">
        <f t="shared" si="1"/>
        <v>1058.7023091256135</v>
      </c>
      <c r="E12" s="1214">
        <f t="shared" si="1"/>
        <v>27.146213054503363</v>
      </c>
      <c r="F12" s="1214">
        <f t="shared" si="1"/>
        <v>4564.6357251147519</v>
      </c>
      <c r="G12" s="1214">
        <f t="shared" si="1"/>
        <v>4.0719319581755045</v>
      </c>
      <c r="H12" s="1214">
        <f t="shared" si="1"/>
        <v>55.649736761731894</v>
      </c>
      <c r="I12" s="1214">
        <f t="shared" si="1"/>
        <v>1835.0840024843812</v>
      </c>
      <c r="J12" s="1214">
        <f t="shared" si="1"/>
        <v>432.98209821933057</v>
      </c>
    </row>
    <row r="13" spans="1:10">
      <c r="A13" s="1212" t="s">
        <v>149</v>
      </c>
      <c r="B13" s="1210">
        <v>8027.1352002176891</v>
      </c>
      <c r="C13" s="1210">
        <v>48.863183498106054</v>
      </c>
      <c r="D13" s="1210">
        <v>1058.7023091256135</v>
      </c>
      <c r="E13" s="1210">
        <v>27.146213054503363</v>
      </c>
      <c r="F13" s="1210">
        <v>4564.6357251147519</v>
      </c>
      <c r="G13" s="1210">
        <v>4.0719319581755045</v>
      </c>
      <c r="H13" s="1210">
        <v>55.649736761731894</v>
      </c>
      <c r="I13" s="1210">
        <v>1835.0840024843812</v>
      </c>
      <c r="J13" s="1210">
        <v>432.98209821933057</v>
      </c>
    </row>
    <row r="14" spans="1:10">
      <c r="A14" s="1213" t="s">
        <v>150</v>
      </c>
      <c r="B14" s="1214">
        <f>+B15</f>
        <v>2804.203808530116</v>
      </c>
      <c r="C14" s="1214">
        <f t="shared" ref="C14:J14" si="2">+C15</f>
        <v>99.083677648937453</v>
      </c>
      <c r="D14" s="1214">
        <f t="shared" si="2"/>
        <v>871.39343904954717</v>
      </c>
      <c r="E14" s="1214">
        <f t="shared" si="2"/>
        <v>5.4292426109006726</v>
      </c>
      <c r="F14" s="1214">
        <f t="shared" si="2"/>
        <v>890.39578818769883</v>
      </c>
      <c r="G14" s="1214">
        <f t="shared" si="2"/>
        <v>1.3573106527251682</v>
      </c>
      <c r="H14" s="1214">
        <f t="shared" si="2"/>
        <v>44.791251539930549</v>
      </c>
      <c r="I14" s="1214">
        <f t="shared" si="2"/>
        <v>499.49032020286415</v>
      </c>
      <c r="J14" s="1214">
        <f t="shared" si="2"/>
        <v>392.26277863757531</v>
      </c>
    </row>
    <row r="15" spans="1:10">
      <c r="A15" s="1212" t="s">
        <v>150</v>
      </c>
      <c r="B15" s="1210">
        <v>2804.203808530116</v>
      </c>
      <c r="C15" s="1210">
        <v>99.083677648937453</v>
      </c>
      <c r="D15" s="1210">
        <v>871.39343904954717</v>
      </c>
      <c r="E15" s="1210">
        <v>5.4292426109006726</v>
      </c>
      <c r="F15" s="1210">
        <v>890.39578818769883</v>
      </c>
      <c r="G15" s="1210">
        <v>1.3573106527251682</v>
      </c>
      <c r="H15" s="1210">
        <v>44.791251539930549</v>
      </c>
      <c r="I15" s="1210">
        <v>499.49032020286415</v>
      </c>
      <c r="J15" s="1210">
        <v>392.26277863757531</v>
      </c>
    </row>
    <row r="16" spans="1:10">
      <c r="A16" s="1213" t="s">
        <v>151</v>
      </c>
      <c r="B16" s="1214">
        <f>+B17</f>
        <v>7086.5189178788669</v>
      </c>
      <c r="C16" s="1214">
        <f t="shared" ref="C16:J16" si="3">+C17</f>
        <v>48.863183498106054</v>
      </c>
      <c r="D16" s="1214">
        <f t="shared" si="3"/>
        <v>1419.746942750495</v>
      </c>
      <c r="E16" s="1214">
        <f t="shared" si="3"/>
        <v>0</v>
      </c>
      <c r="F16" s="1214">
        <f t="shared" si="3"/>
        <v>441.12596213568162</v>
      </c>
      <c r="G16" s="1214">
        <f t="shared" si="3"/>
        <v>20.359659790877522</v>
      </c>
      <c r="H16" s="1214">
        <f t="shared" si="3"/>
        <v>245.67322814325638</v>
      </c>
      <c r="I16" s="1214">
        <f t="shared" si="3"/>
        <v>2331.8597013817748</v>
      </c>
      <c r="J16" s="1214">
        <f t="shared" si="3"/>
        <v>2578.8902401777464</v>
      </c>
    </row>
    <row r="17" spans="1:10">
      <c r="A17" s="1212" t="s">
        <v>151</v>
      </c>
      <c r="B17" s="1210">
        <v>7086.5189178788669</v>
      </c>
      <c r="C17" s="1210">
        <v>48.863183498106054</v>
      </c>
      <c r="D17" s="1210">
        <v>1419.746942750495</v>
      </c>
      <c r="E17" s="1210">
        <v>0</v>
      </c>
      <c r="F17" s="1210">
        <v>441.12596213568162</v>
      </c>
      <c r="G17" s="1210">
        <v>20.359659790877522</v>
      </c>
      <c r="H17" s="1210">
        <v>245.67322814325638</v>
      </c>
      <c r="I17" s="1210">
        <v>2331.8597013817748</v>
      </c>
      <c r="J17" s="1210">
        <v>2578.8902401777464</v>
      </c>
    </row>
    <row r="18" spans="1:10">
      <c r="A18" s="1213" t="s">
        <v>152</v>
      </c>
      <c r="B18" s="1214">
        <f>+B19+B20</f>
        <v>1748.2161207099948</v>
      </c>
      <c r="C18" s="1214">
        <f t="shared" ref="C18:J18" si="4">+C19+C20</f>
        <v>5.4292426109006726</v>
      </c>
      <c r="D18" s="1214">
        <f t="shared" si="4"/>
        <v>299.96565425226305</v>
      </c>
      <c r="E18" s="1214">
        <f t="shared" si="4"/>
        <v>0</v>
      </c>
      <c r="F18" s="1214">
        <f t="shared" si="4"/>
        <v>749.23548030429583</v>
      </c>
      <c r="G18" s="1214">
        <f t="shared" si="4"/>
        <v>1.3573106527251682</v>
      </c>
      <c r="H18" s="1214">
        <f t="shared" si="4"/>
        <v>40.719319581755045</v>
      </c>
      <c r="I18" s="1214">
        <f t="shared" si="4"/>
        <v>316.25338208496515</v>
      </c>
      <c r="J18" s="1214">
        <f t="shared" si="4"/>
        <v>335.25573122311789</v>
      </c>
    </row>
    <row r="19" spans="1:10">
      <c r="A19" s="1212" t="s">
        <v>152</v>
      </c>
      <c r="B19" s="1210">
        <v>1157.7859867745472</v>
      </c>
      <c r="C19" s="1210">
        <v>5.4292426109006726</v>
      </c>
      <c r="D19" s="1210">
        <v>162.87727832702069</v>
      </c>
      <c r="E19" s="1210">
        <v>0</v>
      </c>
      <c r="F19" s="1210">
        <v>519.8499799937415</v>
      </c>
      <c r="G19" s="1210">
        <v>0</v>
      </c>
      <c r="H19" s="1210">
        <v>10.858485221801345</v>
      </c>
      <c r="I19" s="1210">
        <v>139.80299723069271</v>
      </c>
      <c r="J19" s="1210">
        <v>318.96800339041584</v>
      </c>
    </row>
    <row r="20" spans="1:10">
      <c r="A20" s="1212" t="s">
        <v>153</v>
      </c>
      <c r="B20" s="1210">
        <v>590.43013393544766</v>
      </c>
      <c r="C20" s="1210">
        <v>0</v>
      </c>
      <c r="D20" s="1210">
        <v>137.08837592524236</v>
      </c>
      <c r="E20" s="1210">
        <v>0</v>
      </c>
      <c r="F20" s="1210">
        <v>229.38550031055428</v>
      </c>
      <c r="G20" s="1210">
        <v>1.3573106527251682</v>
      </c>
      <c r="H20" s="1210">
        <v>29.860834359953699</v>
      </c>
      <c r="I20" s="1210">
        <v>176.45038485427244</v>
      </c>
      <c r="J20" s="1210">
        <v>16.287727832702018</v>
      </c>
    </row>
    <row r="21" spans="1:10">
      <c r="A21" s="1213" t="s">
        <v>154</v>
      </c>
      <c r="B21" s="1214">
        <f>+B22+B23</f>
        <v>757.37934422064711</v>
      </c>
      <c r="C21" s="1214">
        <f t="shared" ref="C21:J21" si="5">+C22+C23</f>
        <v>0</v>
      </c>
      <c r="D21" s="1214">
        <f t="shared" si="5"/>
        <v>1.3573106527251682</v>
      </c>
      <c r="E21" s="1214">
        <f t="shared" si="5"/>
        <v>0</v>
      </c>
      <c r="F21" s="1214">
        <f t="shared" si="5"/>
        <v>9.5011745690761771</v>
      </c>
      <c r="G21" s="1214">
        <f t="shared" si="5"/>
        <v>0</v>
      </c>
      <c r="H21" s="1214">
        <f t="shared" si="5"/>
        <v>181.87962746517314</v>
      </c>
      <c r="I21" s="1214">
        <f t="shared" si="5"/>
        <v>458.77100062110856</v>
      </c>
      <c r="J21" s="1214">
        <f t="shared" si="5"/>
        <v>105.87023091256312</v>
      </c>
    </row>
    <row r="22" spans="1:10">
      <c r="A22" s="1212" t="s">
        <v>154</v>
      </c>
      <c r="B22" s="1210">
        <v>499.49032020286415</v>
      </c>
      <c r="C22" s="1210">
        <v>0</v>
      </c>
      <c r="D22" s="1210">
        <v>1.3573106527251682</v>
      </c>
      <c r="E22" s="1210">
        <v>0</v>
      </c>
      <c r="F22" s="1210">
        <v>0</v>
      </c>
      <c r="G22" s="1210">
        <v>0</v>
      </c>
      <c r="H22" s="1210">
        <v>180.52231681244797</v>
      </c>
      <c r="I22" s="1210">
        <v>274.17675185048506</v>
      </c>
      <c r="J22" s="1210">
        <v>43.433940887205381</v>
      </c>
    </row>
    <row r="23" spans="1:10">
      <c r="A23" s="1212" t="s">
        <v>155</v>
      </c>
      <c r="B23" s="1210">
        <v>257.88902401778296</v>
      </c>
      <c r="C23" s="1210">
        <v>0</v>
      </c>
      <c r="D23" s="1210">
        <v>0</v>
      </c>
      <c r="E23" s="1210">
        <v>0</v>
      </c>
      <c r="F23" s="1210">
        <v>9.5011745690761771</v>
      </c>
      <c r="G23" s="1210">
        <v>0</v>
      </c>
      <c r="H23" s="1210">
        <v>1.3573106527251682</v>
      </c>
      <c r="I23" s="1210">
        <v>184.59424877062349</v>
      </c>
      <c r="J23" s="1210">
        <v>62.436290025357735</v>
      </c>
    </row>
    <row r="24" spans="1:10">
      <c r="A24" s="1213" t="s">
        <v>156</v>
      </c>
      <c r="B24" s="1214">
        <f>+B25+B26</f>
        <v>4137.0828695062037</v>
      </c>
      <c r="C24" s="1214">
        <f t="shared" ref="C24:J24" si="6">+C25+C26</f>
        <v>66.508221983533247</v>
      </c>
      <c r="D24" s="1214">
        <f t="shared" si="6"/>
        <v>1388.5287977378337</v>
      </c>
      <c r="E24" s="1214">
        <f t="shared" si="6"/>
        <v>14.93041717997685</v>
      </c>
      <c r="F24" s="1214">
        <f t="shared" si="6"/>
        <v>1600.2692595629569</v>
      </c>
      <c r="G24" s="1214">
        <f t="shared" si="6"/>
        <v>10.858485221801345</v>
      </c>
      <c r="H24" s="1214">
        <f t="shared" si="6"/>
        <v>28.503523707228531</v>
      </c>
      <c r="I24" s="1214">
        <f t="shared" si="6"/>
        <v>272.8194411977596</v>
      </c>
      <c r="J24" s="1214">
        <f t="shared" si="6"/>
        <v>754.66472291519676</v>
      </c>
    </row>
    <row r="25" spans="1:10">
      <c r="A25" s="1212" t="s">
        <v>156</v>
      </c>
      <c r="B25" s="1210">
        <v>1978.9589316732438</v>
      </c>
      <c r="C25" s="1210">
        <v>65.150911330808071</v>
      </c>
      <c r="D25" s="1210">
        <v>400.40664255392636</v>
      </c>
      <c r="E25" s="1210">
        <v>0</v>
      </c>
      <c r="F25" s="1210">
        <v>868.67881774409693</v>
      </c>
      <c r="G25" s="1210">
        <v>8.1438639163510089</v>
      </c>
      <c r="H25" s="1210">
        <v>5.4292426109006726</v>
      </c>
      <c r="I25" s="1210">
        <v>219.88432574147805</v>
      </c>
      <c r="J25" s="1210">
        <v>411.26512777572776</v>
      </c>
    </row>
    <row r="26" spans="1:10">
      <c r="A26" s="1212" t="s">
        <v>157</v>
      </c>
      <c r="B26" s="1210">
        <v>2158.1239378329597</v>
      </c>
      <c r="C26" s="1210">
        <v>1.3573106527251682</v>
      </c>
      <c r="D26" s="1210">
        <v>988.12215518390735</v>
      </c>
      <c r="E26" s="1210">
        <v>14.93041717997685</v>
      </c>
      <c r="F26" s="1210">
        <v>731.59044181885997</v>
      </c>
      <c r="G26" s="1210">
        <v>2.7146213054503363</v>
      </c>
      <c r="H26" s="1210">
        <v>23.074281096327859</v>
      </c>
      <c r="I26" s="1210">
        <v>52.935115456281558</v>
      </c>
      <c r="J26" s="1210">
        <v>343.399595139469</v>
      </c>
    </row>
    <row r="27" spans="1:10">
      <c r="A27" s="1213" t="s">
        <v>158</v>
      </c>
      <c r="B27" s="1214">
        <f>+B28+B29</f>
        <v>6319.6383990886234</v>
      </c>
      <c r="C27" s="1214">
        <f t="shared" ref="C27:J27" si="7">+C28+C29</f>
        <v>6.7865532636258408</v>
      </c>
      <c r="D27" s="1214">
        <f t="shared" si="7"/>
        <v>366.47387623579692</v>
      </c>
      <c r="E27" s="1214">
        <f t="shared" si="7"/>
        <v>20.359659790877522</v>
      </c>
      <c r="F27" s="1214">
        <f t="shared" si="7"/>
        <v>3701.3861499814352</v>
      </c>
      <c r="G27" s="1214">
        <f t="shared" si="7"/>
        <v>2.7146213054503363</v>
      </c>
      <c r="H27" s="1214">
        <f t="shared" si="7"/>
        <v>35.290076970854372</v>
      </c>
      <c r="I27" s="1214">
        <f t="shared" si="7"/>
        <v>1327.4498183652065</v>
      </c>
      <c r="J27" s="1214">
        <f t="shared" si="7"/>
        <v>859.17764317502315</v>
      </c>
    </row>
    <row r="28" spans="1:10">
      <c r="A28" s="1212" t="s">
        <v>158</v>
      </c>
      <c r="B28" s="1210">
        <v>5376.3074954446447</v>
      </c>
      <c r="C28" s="1210">
        <v>4.0719319581755045</v>
      </c>
      <c r="D28" s="1210">
        <v>359.6873229721711</v>
      </c>
      <c r="E28" s="1210">
        <v>17.645038485427186</v>
      </c>
      <c r="F28" s="1210">
        <v>3310.4806819965852</v>
      </c>
      <c r="G28" s="1210">
        <v>2.7146213054503363</v>
      </c>
      <c r="H28" s="1210">
        <v>28.503523707228531</v>
      </c>
      <c r="I28" s="1210">
        <v>851.03377925867039</v>
      </c>
      <c r="J28" s="1210">
        <v>802.17059576056613</v>
      </c>
    </row>
    <row r="29" spans="1:10">
      <c r="A29" s="1212" t="s">
        <v>159</v>
      </c>
      <c r="B29" s="1210">
        <v>943.33090364397844</v>
      </c>
      <c r="C29" s="1210">
        <v>2.7146213054503363</v>
      </c>
      <c r="D29" s="1210">
        <v>6.7865532636258408</v>
      </c>
      <c r="E29" s="1210">
        <v>2.7146213054503363</v>
      </c>
      <c r="F29" s="1210">
        <v>390.90546798485013</v>
      </c>
      <c r="G29" s="1210">
        <v>0</v>
      </c>
      <c r="H29" s="1210">
        <v>6.7865532636258408</v>
      </c>
      <c r="I29" s="1210">
        <v>476.41603910653618</v>
      </c>
      <c r="J29" s="1210">
        <v>57.007047414457062</v>
      </c>
    </row>
    <row r="30" spans="1:10">
      <c r="A30" s="1213" t="s">
        <v>160</v>
      </c>
      <c r="B30" s="1214">
        <f>+B31</f>
        <v>1749.5734313626988</v>
      </c>
      <c r="C30" s="1214">
        <f t="shared" ref="C30:J30" si="8">+C31</f>
        <v>0</v>
      </c>
      <c r="D30" s="1214">
        <f t="shared" si="8"/>
        <v>105.87023091256333</v>
      </c>
      <c r="E30" s="1214">
        <f t="shared" si="8"/>
        <v>0</v>
      </c>
      <c r="F30" s="1214">
        <f t="shared" si="8"/>
        <v>152.01879310521929</v>
      </c>
      <c r="G30" s="1214">
        <f t="shared" si="8"/>
        <v>0</v>
      </c>
      <c r="H30" s="1214">
        <f t="shared" si="8"/>
        <v>23.074281096327859</v>
      </c>
      <c r="I30" s="1214">
        <f t="shared" si="8"/>
        <v>1431.9627386250211</v>
      </c>
      <c r="J30" s="1214">
        <f t="shared" si="8"/>
        <v>36.64738762357954</v>
      </c>
    </row>
    <row r="31" spans="1:10">
      <c r="A31" s="1212" t="s">
        <v>160</v>
      </c>
      <c r="B31" s="1210">
        <v>1749.5734313626988</v>
      </c>
      <c r="C31" s="1210">
        <v>0</v>
      </c>
      <c r="D31" s="1210">
        <v>105.87023091256333</v>
      </c>
      <c r="E31" s="1210">
        <v>0</v>
      </c>
      <c r="F31" s="1210">
        <v>152.01879310521929</v>
      </c>
      <c r="G31" s="1210">
        <v>0</v>
      </c>
      <c r="H31" s="1210">
        <v>23.074281096327859</v>
      </c>
      <c r="I31" s="1210">
        <v>1431.9627386250211</v>
      </c>
      <c r="J31" s="1210">
        <v>36.64738762357954</v>
      </c>
    </row>
    <row r="32" spans="1:10">
      <c r="A32" s="1213" t="s">
        <v>161</v>
      </c>
      <c r="B32" s="1214">
        <f>+B33+B34</f>
        <v>7575.150752859664</v>
      </c>
      <c r="C32" s="1214">
        <f t="shared" ref="C32:J32" si="9">+C33+C34</f>
        <v>24.431591749053027</v>
      </c>
      <c r="D32" s="1214">
        <f t="shared" si="9"/>
        <v>682.72725832075719</v>
      </c>
      <c r="E32" s="1214">
        <f t="shared" si="9"/>
        <v>12.215795874526513</v>
      </c>
      <c r="F32" s="1214">
        <f t="shared" si="9"/>
        <v>2504.2381542778858</v>
      </c>
      <c r="G32" s="1214">
        <f t="shared" si="9"/>
        <v>2.7146213054503363</v>
      </c>
      <c r="H32" s="1214">
        <f t="shared" si="9"/>
        <v>128.94451200889119</v>
      </c>
      <c r="I32" s="1214">
        <f t="shared" si="9"/>
        <v>3766.5370613122459</v>
      </c>
      <c r="J32" s="1214">
        <f t="shared" si="9"/>
        <v>453.34175801020814</v>
      </c>
    </row>
    <row r="33" spans="1:10">
      <c r="A33" s="1212" t="s">
        <v>161</v>
      </c>
      <c r="B33" s="1210">
        <v>6289.7775647289554</v>
      </c>
      <c r="C33" s="1210">
        <v>24.431591749053027</v>
      </c>
      <c r="D33" s="1210">
        <v>642.00793873900216</v>
      </c>
      <c r="E33" s="1210">
        <v>8.1438639163510089</v>
      </c>
      <c r="F33" s="1210">
        <v>1844.5851770534571</v>
      </c>
      <c r="G33" s="1210">
        <v>2.7146213054503363</v>
      </c>
      <c r="H33" s="1210">
        <v>108.58485221801368</v>
      </c>
      <c r="I33" s="1210">
        <v>3220.8981789167274</v>
      </c>
      <c r="J33" s="1210">
        <v>438.41134083023127</v>
      </c>
    </row>
    <row r="34" spans="1:10">
      <c r="A34" s="1212" t="s">
        <v>162</v>
      </c>
      <c r="B34" s="1210">
        <v>1285.3731881307083</v>
      </c>
      <c r="C34" s="1210">
        <v>0</v>
      </c>
      <c r="D34" s="1210">
        <v>40.719319581755045</v>
      </c>
      <c r="E34" s="1210">
        <v>4.0719319581755045</v>
      </c>
      <c r="F34" s="1210">
        <v>659.6529772244287</v>
      </c>
      <c r="G34" s="1210">
        <v>0</v>
      </c>
      <c r="H34" s="1210">
        <v>20.359659790877522</v>
      </c>
      <c r="I34" s="1210">
        <v>545.63888239551875</v>
      </c>
      <c r="J34" s="1210">
        <v>14.93041717997685</v>
      </c>
    </row>
    <row r="35" spans="1:10">
      <c r="A35" s="1213" t="s">
        <v>163</v>
      </c>
      <c r="B35" s="1214">
        <f>+B36+B37</f>
        <v>5772.6422060400155</v>
      </c>
      <c r="C35" s="1214">
        <f t="shared" ref="C35:J35" si="10">+C36+C37</f>
        <v>10.858485221801345</v>
      </c>
      <c r="D35" s="1214">
        <f t="shared" si="10"/>
        <v>928.40048646400669</v>
      </c>
      <c r="E35" s="1214">
        <f t="shared" si="10"/>
        <v>4.0719319581755045</v>
      </c>
      <c r="F35" s="1214">
        <f t="shared" si="10"/>
        <v>1812.0097213880722</v>
      </c>
      <c r="G35" s="1214">
        <f t="shared" si="10"/>
        <v>4.0719319581755045</v>
      </c>
      <c r="H35" s="1214">
        <f t="shared" si="10"/>
        <v>51.57780480355639</v>
      </c>
      <c r="I35" s="1214">
        <f t="shared" si="10"/>
        <v>2129.6204141257531</v>
      </c>
      <c r="J35" s="1214">
        <f t="shared" si="10"/>
        <v>832.0314301205234</v>
      </c>
    </row>
    <row r="36" spans="1:10">
      <c r="A36" s="1212" t="s">
        <v>163</v>
      </c>
      <c r="B36" s="1210">
        <v>4226.6653725860842</v>
      </c>
      <c r="C36" s="1210">
        <v>9.5011745690761771</v>
      </c>
      <c r="D36" s="1210">
        <v>813.02908098236708</v>
      </c>
      <c r="E36" s="1210">
        <v>4.0719319581755045</v>
      </c>
      <c r="F36" s="1210">
        <v>1376.3130018632912</v>
      </c>
      <c r="G36" s="1210">
        <v>1.3573106527251682</v>
      </c>
      <c r="H36" s="1210">
        <v>40.719319581755045</v>
      </c>
      <c r="I36" s="1210">
        <v>1269.0854602980069</v>
      </c>
      <c r="J36" s="1210">
        <v>712.58809268070831</v>
      </c>
    </row>
    <row r="37" spans="1:10">
      <c r="A37" s="1215" t="s">
        <v>164</v>
      </c>
      <c r="B37" s="1216">
        <v>1545.976833453931</v>
      </c>
      <c r="C37" s="1216">
        <v>1.3573106527251682</v>
      </c>
      <c r="D37" s="1216">
        <v>115.37140548163956</v>
      </c>
      <c r="E37" s="1216">
        <v>0</v>
      </c>
      <c r="F37" s="1216">
        <v>435.69671952478092</v>
      </c>
      <c r="G37" s="1216">
        <v>2.7146213054503363</v>
      </c>
      <c r="H37" s="1216">
        <v>10.858485221801345</v>
      </c>
      <c r="I37" s="1216">
        <v>860.53495382774622</v>
      </c>
      <c r="J37" s="1216">
        <v>119.44333743981508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37"/>
  <sheetViews>
    <sheetView workbookViewId="0">
      <selection activeCell="B22" sqref="B22"/>
    </sheetView>
  </sheetViews>
  <sheetFormatPr defaultRowHeight="15"/>
  <cols>
    <col min="1" max="1" width="19" style="136" customWidth="1"/>
    <col min="2" max="2" width="11.28515625" style="136" customWidth="1"/>
    <col min="3" max="4" width="9.140625" style="136"/>
    <col min="5" max="5" width="12.5703125" style="136" customWidth="1"/>
    <col min="6" max="6" width="11.5703125" style="136" customWidth="1"/>
    <col min="7" max="7" width="9.140625" style="136"/>
    <col min="8" max="8" width="11.28515625" style="136" customWidth="1"/>
    <col min="9" max="16384" width="9.140625" style="136"/>
  </cols>
  <sheetData>
    <row r="1" spans="1:8" ht="29.25" customHeight="1">
      <c r="A1" s="1217" t="s">
        <v>508</v>
      </c>
      <c r="B1" s="1217"/>
      <c r="C1" s="1217"/>
      <c r="D1" s="1217"/>
      <c r="E1" s="1217"/>
      <c r="F1" s="1217"/>
      <c r="G1" s="1217"/>
      <c r="H1" s="1217"/>
    </row>
    <row r="2" spans="1:8">
      <c r="A2" s="1218" t="s">
        <v>314</v>
      </c>
      <c r="B2" s="1219" t="s">
        <v>542</v>
      </c>
      <c r="C2" s="1219" t="s">
        <v>509</v>
      </c>
      <c r="D2" s="1219"/>
      <c r="E2" s="1219"/>
      <c r="F2" s="1219"/>
      <c r="G2" s="1219"/>
      <c r="H2" s="1219"/>
    </row>
    <row r="3" spans="1:8" ht="27.75" customHeight="1">
      <c r="A3" s="1220"/>
      <c r="B3" s="1221"/>
      <c r="C3" s="1222" t="s">
        <v>510</v>
      </c>
      <c r="D3" s="1222" t="s">
        <v>511</v>
      </c>
      <c r="E3" s="1222" t="s">
        <v>512</v>
      </c>
      <c r="F3" s="1222" t="s">
        <v>506</v>
      </c>
      <c r="G3" s="1222" t="s">
        <v>513</v>
      </c>
      <c r="H3" s="1222" t="s">
        <v>514</v>
      </c>
    </row>
    <row r="4" spans="1:8">
      <c r="A4" s="1223" t="s">
        <v>147</v>
      </c>
      <c r="B4" s="1224">
        <v>128465.38134817863</v>
      </c>
      <c r="C4" s="1224">
        <v>4.0719319581755045</v>
      </c>
      <c r="D4" s="1224">
        <v>3652.522966483315</v>
      </c>
      <c r="E4" s="1224">
        <v>3353.914622883789</v>
      </c>
      <c r="F4" s="1224">
        <v>95014.4603119362</v>
      </c>
      <c r="G4" s="1224">
        <v>18137.742252370481</v>
      </c>
      <c r="H4" s="1224">
        <v>8302.6692627209795</v>
      </c>
    </row>
    <row r="5" spans="1:8">
      <c r="A5" s="1225"/>
      <c r="B5" s="1226"/>
      <c r="C5" s="1226"/>
      <c r="D5" s="1226"/>
      <c r="E5" s="1226"/>
      <c r="F5" s="1226"/>
      <c r="G5" s="1226"/>
      <c r="H5" s="1226"/>
    </row>
    <row r="6" spans="1:8">
      <c r="A6" s="842" t="s">
        <v>3</v>
      </c>
      <c r="B6" s="843"/>
      <c r="C6" s="843"/>
      <c r="D6" s="843"/>
      <c r="E6" s="843"/>
      <c r="F6" s="843"/>
      <c r="G6" s="843"/>
      <c r="H6" s="843"/>
    </row>
    <row r="7" spans="1:8">
      <c r="A7" s="1227" t="s">
        <v>4</v>
      </c>
      <c r="B7" s="1228">
        <v>84564.52559665803</v>
      </c>
      <c r="C7" s="1228">
        <v>0</v>
      </c>
      <c r="D7" s="1228">
        <v>2097.0449584603293</v>
      </c>
      <c r="E7" s="1228">
        <v>1907.0214670788125</v>
      </c>
      <c r="F7" s="1228">
        <v>75215.369820734399</v>
      </c>
      <c r="G7" s="1228">
        <v>2310.1427309381729</v>
      </c>
      <c r="H7" s="1228">
        <v>3034.9466194933862</v>
      </c>
    </row>
    <row r="8" spans="1:8">
      <c r="A8" s="1227" t="s">
        <v>5</v>
      </c>
      <c r="B8" s="1228">
        <v>43900.855751754585</v>
      </c>
      <c r="C8" s="1228">
        <v>4.0719319581755045</v>
      </c>
      <c r="D8" s="1228">
        <v>1555.4780080230069</v>
      </c>
      <c r="E8" s="1228">
        <v>1446.8931558049974</v>
      </c>
      <c r="F8" s="1228">
        <v>19799.090491306582</v>
      </c>
      <c r="G8" s="1228">
        <v>15827.599521431557</v>
      </c>
      <c r="H8" s="1228">
        <v>5267.7226432265988</v>
      </c>
    </row>
    <row r="9" spans="1:8" ht="18.75" customHeight="1">
      <c r="A9" s="1229" t="s">
        <v>493</v>
      </c>
      <c r="B9" s="1224"/>
      <c r="C9" s="1224"/>
      <c r="D9" s="1224"/>
      <c r="E9" s="1224"/>
      <c r="F9" s="1224"/>
      <c r="G9" s="1224"/>
      <c r="H9" s="1224"/>
    </row>
    <row r="10" spans="1:8">
      <c r="A10" s="1230" t="s">
        <v>148</v>
      </c>
      <c r="B10" s="1231">
        <f t="shared" ref="B10:H10" si="0">+B11</f>
        <v>82487.840297999035</v>
      </c>
      <c r="C10" s="1231">
        <f>+C11</f>
        <v>2.7146213054503363</v>
      </c>
      <c r="D10" s="1231">
        <f t="shared" si="0"/>
        <v>2177.1262869711113</v>
      </c>
      <c r="E10" s="1231">
        <f t="shared" si="0"/>
        <v>1983.0308636314192</v>
      </c>
      <c r="F10" s="1231">
        <f t="shared" si="0"/>
        <v>71538.415262520532</v>
      </c>
      <c r="G10" s="1231">
        <f t="shared" si="0"/>
        <v>3423.13746617277</v>
      </c>
      <c r="H10" s="1231">
        <f t="shared" si="0"/>
        <v>3363.4157974528648</v>
      </c>
    </row>
    <row r="11" spans="1:8">
      <c r="A11" s="1227" t="s">
        <v>148</v>
      </c>
      <c r="B11" s="1228">
        <v>82487.840297999035</v>
      </c>
      <c r="C11" s="1228">
        <v>2.7146213054503363</v>
      </c>
      <c r="D11" s="1228">
        <v>2177.1262869711113</v>
      </c>
      <c r="E11" s="1228">
        <v>1983.0308636314192</v>
      </c>
      <c r="F11" s="1228">
        <v>71538.415262520532</v>
      </c>
      <c r="G11" s="1228">
        <v>3423.13746617277</v>
      </c>
      <c r="H11" s="1228">
        <v>3363.4157974528648</v>
      </c>
    </row>
    <row r="12" spans="1:8">
      <c r="A12" s="1230" t="s">
        <v>149</v>
      </c>
      <c r="B12" s="1231">
        <f t="shared" ref="B12:H12" si="1">+B13</f>
        <v>8027.1352002176891</v>
      </c>
      <c r="C12" s="1231">
        <f>+C13</f>
        <v>0</v>
      </c>
      <c r="D12" s="1231">
        <f t="shared" si="1"/>
        <v>278.24868380866059</v>
      </c>
      <c r="E12" s="1231">
        <f t="shared" si="1"/>
        <v>222.5989470469284</v>
      </c>
      <c r="F12" s="1231">
        <f t="shared" si="1"/>
        <v>4914.8218735179498</v>
      </c>
      <c r="G12" s="1231">
        <f t="shared" si="1"/>
        <v>2095.6876478076042</v>
      </c>
      <c r="H12" s="1231">
        <f t="shared" si="1"/>
        <v>515.77804803556614</v>
      </c>
    </row>
    <row r="13" spans="1:8">
      <c r="A13" s="1227" t="s">
        <v>149</v>
      </c>
      <c r="B13" s="1228">
        <v>8027.1352002176891</v>
      </c>
      <c r="C13" s="1228">
        <v>0</v>
      </c>
      <c r="D13" s="1228">
        <v>278.24868380866059</v>
      </c>
      <c r="E13" s="1228">
        <v>222.5989470469284</v>
      </c>
      <c r="F13" s="1228">
        <v>4914.8218735179498</v>
      </c>
      <c r="G13" s="1228">
        <v>2095.6876478076042</v>
      </c>
      <c r="H13" s="1228">
        <v>515.77804803556614</v>
      </c>
    </row>
    <row r="14" spans="1:8">
      <c r="A14" s="1230" t="s">
        <v>150</v>
      </c>
      <c r="B14" s="1231">
        <f t="shared" ref="B14:H14" si="2">+B15</f>
        <v>2804.203808530116</v>
      </c>
      <c r="C14" s="1231">
        <f>+C15</f>
        <v>0</v>
      </c>
      <c r="D14" s="1231">
        <f t="shared" si="2"/>
        <v>172.37845289609692</v>
      </c>
      <c r="E14" s="1231">
        <f t="shared" si="2"/>
        <v>190.0234913815242</v>
      </c>
      <c r="F14" s="1231">
        <f t="shared" si="2"/>
        <v>1593.4827062993102</v>
      </c>
      <c r="G14" s="1231">
        <f t="shared" si="2"/>
        <v>485.9172136756124</v>
      </c>
      <c r="H14" s="1231">
        <f t="shared" si="2"/>
        <v>362.40194427762145</v>
      </c>
    </row>
    <row r="15" spans="1:8">
      <c r="A15" s="1227" t="s">
        <v>150</v>
      </c>
      <c r="B15" s="1228">
        <v>2804.203808530116</v>
      </c>
      <c r="C15" s="1228">
        <v>0</v>
      </c>
      <c r="D15" s="1228">
        <v>172.37845289609692</v>
      </c>
      <c r="E15" s="1228">
        <v>190.0234913815242</v>
      </c>
      <c r="F15" s="1228">
        <v>1593.4827062993102</v>
      </c>
      <c r="G15" s="1228">
        <v>485.9172136756124</v>
      </c>
      <c r="H15" s="1228">
        <v>362.40194427762145</v>
      </c>
    </row>
    <row r="16" spans="1:8">
      <c r="A16" s="1230" t="s">
        <v>151</v>
      </c>
      <c r="B16" s="1231">
        <f>+B17</f>
        <v>7086.5189178788669</v>
      </c>
      <c r="C16" s="1231">
        <f t="shared" ref="C16:H16" si="3">+C17</f>
        <v>0</v>
      </c>
      <c r="D16" s="1231">
        <f t="shared" si="3"/>
        <v>164.23458897974587</v>
      </c>
      <c r="E16" s="1231">
        <f t="shared" si="3"/>
        <v>145.23223984159341</v>
      </c>
      <c r="F16" s="1231">
        <f t="shared" si="3"/>
        <v>3983.7067657482439</v>
      </c>
      <c r="G16" s="1231">
        <f t="shared" si="3"/>
        <v>2110.6180649875805</v>
      </c>
      <c r="H16" s="1231">
        <f t="shared" si="3"/>
        <v>682.72725832075571</v>
      </c>
    </row>
    <row r="17" spans="1:8">
      <c r="A17" s="1227" t="s">
        <v>151</v>
      </c>
      <c r="B17" s="1228">
        <v>7086.5189178788669</v>
      </c>
      <c r="C17" s="1228">
        <v>0</v>
      </c>
      <c r="D17" s="1228">
        <v>164.23458897974587</v>
      </c>
      <c r="E17" s="1228">
        <v>145.23223984159341</v>
      </c>
      <c r="F17" s="1228">
        <v>3983.7067657482439</v>
      </c>
      <c r="G17" s="1228">
        <v>2110.6180649875805</v>
      </c>
      <c r="H17" s="1228">
        <v>682.72725832075571</v>
      </c>
    </row>
    <row r="18" spans="1:8">
      <c r="A18" s="1230" t="s">
        <v>152</v>
      </c>
      <c r="B18" s="1231">
        <f>+B19+B20</f>
        <v>1748.2161207099948</v>
      </c>
      <c r="C18" s="1231">
        <f t="shared" ref="C18:H18" si="4">+C19+C20</f>
        <v>0</v>
      </c>
      <c r="D18" s="1231">
        <f t="shared" si="4"/>
        <v>21.71697044360269</v>
      </c>
      <c r="E18" s="1231">
        <f t="shared" si="4"/>
        <v>27.146213054503363</v>
      </c>
      <c r="F18" s="1231">
        <f t="shared" si="4"/>
        <v>1138.783637636413</v>
      </c>
      <c r="G18" s="1231">
        <f t="shared" si="4"/>
        <v>271.46213054503437</v>
      </c>
      <c r="H18" s="1231">
        <f t="shared" si="4"/>
        <v>289.10716903046193</v>
      </c>
    </row>
    <row r="19" spans="1:8">
      <c r="A19" s="1227" t="s">
        <v>152</v>
      </c>
      <c r="B19" s="1228">
        <v>1157.7859867745472</v>
      </c>
      <c r="C19" s="1228">
        <v>0</v>
      </c>
      <c r="D19" s="1228">
        <v>16.287727832702018</v>
      </c>
      <c r="E19" s="1228">
        <v>19.002349138152354</v>
      </c>
      <c r="F19" s="1228">
        <v>712.58809268070831</v>
      </c>
      <c r="G19" s="1228">
        <v>127.58720135616613</v>
      </c>
      <c r="H19" s="1228">
        <v>282.32061576683611</v>
      </c>
    </row>
    <row r="20" spans="1:8">
      <c r="A20" s="1227" t="s">
        <v>153</v>
      </c>
      <c r="B20" s="1228">
        <v>590.43013393544766</v>
      </c>
      <c r="C20" s="1228">
        <v>0</v>
      </c>
      <c r="D20" s="1228">
        <v>5.4292426109006726</v>
      </c>
      <c r="E20" s="1228">
        <v>8.1438639163510089</v>
      </c>
      <c r="F20" s="1228">
        <v>426.19554495570469</v>
      </c>
      <c r="G20" s="1228">
        <v>143.87492918886824</v>
      </c>
      <c r="H20" s="1228">
        <v>6.7865532636258408</v>
      </c>
    </row>
    <row r="21" spans="1:8">
      <c r="A21" s="1230" t="s">
        <v>154</v>
      </c>
      <c r="B21" s="1231">
        <f>+B22+B23</f>
        <v>757.37934422064711</v>
      </c>
      <c r="C21" s="1231">
        <f t="shared" ref="C21:H21" si="5">+C22+C23</f>
        <v>0</v>
      </c>
      <c r="D21" s="1231">
        <f t="shared" si="5"/>
        <v>0</v>
      </c>
      <c r="E21" s="1231">
        <f t="shared" si="5"/>
        <v>0</v>
      </c>
      <c r="F21" s="1231">
        <f t="shared" si="5"/>
        <v>242.95860683780569</v>
      </c>
      <c r="G21" s="1231">
        <f t="shared" si="5"/>
        <v>507.63418411921486</v>
      </c>
      <c r="H21" s="1231">
        <f t="shared" si="5"/>
        <v>6.7865532636258408</v>
      </c>
    </row>
    <row r="22" spans="1:8">
      <c r="A22" s="1227" t="s">
        <v>154</v>
      </c>
      <c r="B22" s="1228">
        <v>499.49032020286415</v>
      </c>
      <c r="C22" s="1228">
        <v>0</v>
      </c>
      <c r="D22" s="1228">
        <v>0</v>
      </c>
      <c r="E22" s="1228">
        <v>0</v>
      </c>
      <c r="F22" s="1228">
        <v>172.37845289609692</v>
      </c>
      <c r="G22" s="1228">
        <v>325.75455665404172</v>
      </c>
      <c r="H22" s="1228">
        <v>1.3573106527251682</v>
      </c>
    </row>
    <row r="23" spans="1:8">
      <c r="A23" s="1227" t="s">
        <v>155</v>
      </c>
      <c r="B23" s="1228">
        <v>257.88902401778296</v>
      </c>
      <c r="C23" s="1228">
        <v>0</v>
      </c>
      <c r="D23" s="1228">
        <v>0</v>
      </c>
      <c r="E23" s="1228">
        <v>0</v>
      </c>
      <c r="F23" s="1228">
        <v>70.580153941708772</v>
      </c>
      <c r="G23" s="1228">
        <v>181.87962746517314</v>
      </c>
      <c r="H23" s="1228">
        <v>5.4292426109006726</v>
      </c>
    </row>
    <row r="24" spans="1:8">
      <c r="A24" s="1230" t="s">
        <v>156</v>
      </c>
      <c r="B24" s="1231">
        <f>+B25+B26</f>
        <v>4137.0828695062037</v>
      </c>
      <c r="C24" s="1231">
        <f t="shared" ref="C24:H24" si="6">+C25+C26</f>
        <v>1.3573106527251682</v>
      </c>
      <c r="D24" s="1231">
        <f t="shared" si="6"/>
        <v>337.97035252856796</v>
      </c>
      <c r="E24" s="1231">
        <f t="shared" si="6"/>
        <v>302.6802755577134</v>
      </c>
      <c r="F24" s="1231">
        <f t="shared" si="6"/>
        <v>2448.5884175161559</v>
      </c>
      <c r="G24" s="1231">
        <f t="shared" si="6"/>
        <v>222.59894704692812</v>
      </c>
      <c r="H24" s="1231">
        <f t="shared" si="6"/>
        <v>823.88756620418076</v>
      </c>
    </row>
    <row r="25" spans="1:8">
      <c r="A25" s="1227" t="s">
        <v>156</v>
      </c>
      <c r="B25" s="1228">
        <v>1978.9589316732438</v>
      </c>
      <c r="C25" s="1228">
        <v>0</v>
      </c>
      <c r="D25" s="1228">
        <v>100.44098830166263</v>
      </c>
      <c r="E25" s="1228">
        <v>73.294775247159123</v>
      </c>
      <c r="F25" s="1228">
        <v>1243.2965578962296</v>
      </c>
      <c r="G25" s="1228">
        <v>166.94921028519622</v>
      </c>
      <c r="H25" s="1228">
        <v>394.97739994302566</v>
      </c>
    </row>
    <row r="26" spans="1:8">
      <c r="A26" s="1227" t="s">
        <v>157</v>
      </c>
      <c r="B26" s="1228">
        <v>2158.1239378329597</v>
      </c>
      <c r="C26" s="1228">
        <v>1.3573106527251682</v>
      </c>
      <c r="D26" s="1228">
        <v>237.52936422690533</v>
      </c>
      <c r="E26" s="1228">
        <v>229.38550031055428</v>
      </c>
      <c r="F26" s="1228">
        <v>1205.2918596199263</v>
      </c>
      <c r="G26" s="1228">
        <v>55.649736761731894</v>
      </c>
      <c r="H26" s="1228">
        <v>428.91016626115504</v>
      </c>
    </row>
    <row r="27" spans="1:8">
      <c r="A27" s="1230" t="s">
        <v>158</v>
      </c>
      <c r="B27" s="1231">
        <f>+B28+B29</f>
        <v>6319.6383990886234</v>
      </c>
      <c r="C27" s="1231">
        <f t="shared" ref="C27:H27" si="7">+C28+C29</f>
        <v>0</v>
      </c>
      <c r="D27" s="1231">
        <f t="shared" si="7"/>
        <v>105.87023091256333</v>
      </c>
      <c r="E27" s="1231">
        <f t="shared" si="7"/>
        <v>74.652085899884298</v>
      </c>
      <c r="F27" s="1231">
        <f t="shared" si="7"/>
        <v>4222.5934406278848</v>
      </c>
      <c r="G27" s="1231">
        <f t="shared" si="7"/>
        <v>1193.0760637454166</v>
      </c>
      <c r="H27" s="1231">
        <f t="shared" si="7"/>
        <v>723.44657790251085</v>
      </c>
    </row>
    <row r="28" spans="1:8">
      <c r="A28" s="1227" t="s">
        <v>158</v>
      </c>
      <c r="B28" s="1228">
        <v>5376.3074954446447</v>
      </c>
      <c r="C28" s="1228">
        <v>0</v>
      </c>
      <c r="D28" s="1228">
        <v>104.51292025983815</v>
      </c>
      <c r="E28" s="1228">
        <v>73.294775247159123</v>
      </c>
      <c r="F28" s="1228">
        <v>3727.1750523831965</v>
      </c>
      <c r="G28" s="1228">
        <v>792.6694211914903</v>
      </c>
      <c r="H28" s="1228">
        <v>678.65532636258035</v>
      </c>
    </row>
    <row r="29" spans="1:8">
      <c r="A29" s="1227" t="s">
        <v>159</v>
      </c>
      <c r="B29" s="1228">
        <v>943.33090364397844</v>
      </c>
      <c r="C29" s="1228">
        <v>0</v>
      </c>
      <c r="D29" s="1228">
        <v>1.3573106527251682</v>
      </c>
      <c r="E29" s="1228">
        <v>1.3573106527251682</v>
      </c>
      <c r="F29" s="1228">
        <v>495.41838824468863</v>
      </c>
      <c r="G29" s="1228">
        <v>400.40664255392636</v>
      </c>
      <c r="H29" s="1228">
        <v>44.791251539930549</v>
      </c>
    </row>
    <row r="30" spans="1:8">
      <c r="A30" s="1230" t="s">
        <v>160</v>
      </c>
      <c r="B30" s="1231">
        <f>+B31</f>
        <v>1749.5734313626988</v>
      </c>
      <c r="C30" s="1231">
        <f t="shared" ref="C30:H30" si="8">+C31</f>
        <v>0</v>
      </c>
      <c r="D30" s="1231">
        <f t="shared" si="8"/>
        <v>23.074281096327859</v>
      </c>
      <c r="E30" s="1231">
        <f t="shared" si="8"/>
        <v>31.218145012678868</v>
      </c>
      <c r="F30" s="1231">
        <f t="shared" si="8"/>
        <v>198.16735529787525</v>
      </c>
      <c r="G30" s="1231">
        <f t="shared" si="8"/>
        <v>1471.3247475540495</v>
      </c>
      <c r="H30" s="1231">
        <f t="shared" si="8"/>
        <v>25.788902401778195</v>
      </c>
    </row>
    <row r="31" spans="1:8">
      <c r="A31" s="1227" t="s">
        <v>160</v>
      </c>
      <c r="B31" s="1228">
        <v>1749.5734313626988</v>
      </c>
      <c r="C31" s="1228">
        <v>0</v>
      </c>
      <c r="D31" s="1228">
        <v>23.074281096327859</v>
      </c>
      <c r="E31" s="1228">
        <v>31.218145012678868</v>
      </c>
      <c r="F31" s="1228">
        <v>198.16735529787525</v>
      </c>
      <c r="G31" s="1228">
        <v>1471.3247475540495</v>
      </c>
      <c r="H31" s="1228">
        <v>25.788902401778195</v>
      </c>
    </row>
    <row r="32" spans="1:8">
      <c r="A32" s="1230" t="s">
        <v>161</v>
      </c>
      <c r="B32" s="1231">
        <f>+B33+B34</f>
        <v>7575.150752859664</v>
      </c>
      <c r="C32" s="1231">
        <f t="shared" ref="C32:H32" si="9">+C33+C34</f>
        <v>0</v>
      </c>
      <c r="D32" s="1231">
        <f t="shared" si="9"/>
        <v>166.9492102851961</v>
      </c>
      <c r="E32" s="1231">
        <f t="shared" si="9"/>
        <v>160.16265702157028</v>
      </c>
      <c r="F32" s="1231">
        <f t="shared" si="9"/>
        <v>2190.6993934983734</v>
      </c>
      <c r="G32" s="1231">
        <f t="shared" si="9"/>
        <v>4465.5520474656823</v>
      </c>
      <c r="H32" s="1231">
        <f t="shared" si="9"/>
        <v>591.78744458817494</v>
      </c>
    </row>
    <row r="33" spans="1:8">
      <c r="A33" s="1227" t="s">
        <v>161</v>
      </c>
      <c r="B33" s="1228">
        <v>6289.7775647289554</v>
      </c>
      <c r="C33" s="1228">
        <v>0</v>
      </c>
      <c r="D33" s="1228">
        <v>147.94686114704376</v>
      </c>
      <c r="E33" s="1228">
        <v>150.66148245249411</v>
      </c>
      <c r="F33" s="1228">
        <v>1913.8080203424381</v>
      </c>
      <c r="G33" s="1228">
        <v>3545.2954249180307</v>
      </c>
      <c r="H33" s="1228">
        <v>532.06577586826756</v>
      </c>
    </row>
    <row r="34" spans="1:8">
      <c r="A34" s="1227" t="s">
        <v>162</v>
      </c>
      <c r="B34" s="1228">
        <v>1285.3731881307083</v>
      </c>
      <c r="C34" s="1228">
        <v>0</v>
      </c>
      <c r="D34" s="1228">
        <v>19.002349138152354</v>
      </c>
      <c r="E34" s="1228">
        <v>9.5011745690761771</v>
      </c>
      <c r="F34" s="1228">
        <v>276.89137315593541</v>
      </c>
      <c r="G34" s="1228">
        <v>920.25662254765143</v>
      </c>
      <c r="H34" s="1228">
        <v>59.721668719907399</v>
      </c>
    </row>
    <row r="35" spans="1:8">
      <c r="A35" s="1230" t="s">
        <v>163</v>
      </c>
      <c r="B35" s="1231">
        <f>+B36+B37</f>
        <v>5772.6422060400155</v>
      </c>
      <c r="C35" s="1231">
        <f t="shared" ref="C35:H35" si="10">+C36+C37</f>
        <v>0</v>
      </c>
      <c r="D35" s="1231">
        <f t="shared" si="10"/>
        <v>204.95390856150101</v>
      </c>
      <c r="E35" s="1231">
        <f t="shared" si="10"/>
        <v>217.16970443602753</v>
      </c>
      <c r="F35" s="1231">
        <f t="shared" si="10"/>
        <v>2542.2428525541891</v>
      </c>
      <c r="G35" s="1231">
        <f t="shared" si="10"/>
        <v>1890.7337392461322</v>
      </c>
      <c r="H35" s="1231">
        <f t="shared" si="10"/>
        <v>917.54200124220608</v>
      </c>
    </row>
    <row r="36" spans="1:8">
      <c r="A36" s="1227" t="s">
        <v>163</v>
      </c>
      <c r="B36" s="1228">
        <v>4226.6653725860842</v>
      </c>
      <c r="C36" s="1228">
        <v>0</v>
      </c>
      <c r="D36" s="1228">
        <v>183.23693811789832</v>
      </c>
      <c r="E36" s="1228">
        <v>183.23693811789832</v>
      </c>
      <c r="F36" s="1228">
        <v>1985.7454849368694</v>
      </c>
      <c r="G36" s="1228">
        <v>1081.7765902219405</v>
      </c>
      <c r="H36" s="1228">
        <v>792.6694211914903</v>
      </c>
    </row>
    <row r="37" spans="1:8">
      <c r="A37" s="1232" t="s">
        <v>164</v>
      </c>
      <c r="B37" s="1233">
        <v>1545.976833453931</v>
      </c>
      <c r="C37" s="1233">
        <v>0</v>
      </c>
      <c r="D37" s="1233">
        <v>21.71697044360269</v>
      </c>
      <c r="E37" s="1233">
        <v>33.932766318129204</v>
      </c>
      <c r="F37" s="1233">
        <v>556.4973676173197</v>
      </c>
      <c r="G37" s="1233">
        <v>808.95714902419172</v>
      </c>
      <c r="H37" s="1233">
        <v>124.87258005071578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7"/>
  <sheetViews>
    <sheetView workbookViewId="0">
      <selection activeCell="B17" sqref="B17"/>
    </sheetView>
  </sheetViews>
  <sheetFormatPr defaultRowHeight="15"/>
  <cols>
    <col min="1" max="1" width="19.28515625" style="136" customWidth="1"/>
    <col min="2" max="2" width="12.42578125" style="136" customWidth="1"/>
    <col min="3" max="3" width="10.7109375" style="136" customWidth="1"/>
    <col min="4" max="4" width="9.140625" style="136"/>
    <col min="5" max="5" width="11.42578125" style="136" customWidth="1"/>
    <col min="6" max="16384" width="9.140625" style="136"/>
  </cols>
  <sheetData>
    <row r="1" spans="1:10" ht="36.75" customHeight="1">
      <c r="A1" s="1234" t="s">
        <v>515</v>
      </c>
      <c r="B1" s="1234"/>
      <c r="C1" s="1234"/>
      <c r="D1" s="1234"/>
      <c r="E1" s="1234"/>
      <c r="F1" s="1234"/>
      <c r="G1" s="1234"/>
      <c r="H1" s="1234"/>
      <c r="I1" s="1234"/>
      <c r="J1" s="1234"/>
    </row>
    <row r="2" spans="1:10">
      <c r="A2" s="1235" t="s">
        <v>314</v>
      </c>
      <c r="B2" s="1236" t="s">
        <v>542</v>
      </c>
      <c r="C2" s="1237" t="s">
        <v>516</v>
      </c>
      <c r="D2" s="1237"/>
      <c r="E2" s="1237"/>
      <c r="F2" s="1237"/>
      <c r="G2" s="1237"/>
      <c r="H2" s="1237"/>
      <c r="I2" s="1237"/>
      <c r="J2" s="1237"/>
    </row>
    <row r="3" spans="1:10" ht="24">
      <c r="A3" s="1238"/>
      <c r="B3" s="1239"/>
      <c r="C3" s="1240" t="s">
        <v>517</v>
      </c>
      <c r="D3" s="1240" t="s">
        <v>518</v>
      </c>
      <c r="E3" s="1240" t="s">
        <v>519</v>
      </c>
      <c r="F3" s="1240" t="s">
        <v>520</v>
      </c>
      <c r="G3" s="1240" t="s">
        <v>521</v>
      </c>
      <c r="H3" s="1240" t="s">
        <v>522</v>
      </c>
      <c r="I3" s="1240" t="s">
        <v>504</v>
      </c>
      <c r="J3" s="1240" t="s">
        <v>523</v>
      </c>
    </row>
    <row r="4" spans="1:10">
      <c r="A4" s="1241" t="s">
        <v>147</v>
      </c>
      <c r="B4" s="1242">
        <v>128465.38134817863</v>
      </c>
      <c r="C4" s="1242">
        <v>74847.53863384774</v>
      </c>
      <c r="D4" s="1242">
        <v>35581.898761199547</v>
      </c>
      <c r="E4" s="1242">
        <v>11227.67371934459</v>
      </c>
      <c r="F4" s="1242">
        <v>43.433940887205381</v>
      </c>
      <c r="G4" s="1242">
        <v>85.5105711216857</v>
      </c>
      <c r="H4" s="1242">
        <v>99.083677648937453</v>
      </c>
      <c r="I4" s="1242">
        <v>6185.2646444690863</v>
      </c>
      <c r="J4" s="1242">
        <v>394.97739994302566</v>
      </c>
    </row>
    <row r="5" spans="1:10">
      <c r="A5" s="1243"/>
      <c r="B5" s="1244"/>
      <c r="C5" s="1244"/>
      <c r="D5" s="1244"/>
      <c r="E5" s="1244"/>
      <c r="F5" s="1244"/>
      <c r="G5" s="1244"/>
      <c r="H5" s="1244"/>
      <c r="I5" s="1244"/>
      <c r="J5" s="1244"/>
    </row>
    <row r="6" spans="1:10" ht="19.5" customHeight="1">
      <c r="A6" s="1241" t="s">
        <v>3</v>
      </c>
      <c r="B6" s="1242"/>
      <c r="C6" s="1242"/>
      <c r="D6" s="1242"/>
      <c r="E6" s="1242"/>
      <c r="F6" s="1242"/>
      <c r="G6" s="1242"/>
      <c r="H6" s="1242"/>
      <c r="I6" s="1242"/>
      <c r="J6" s="1242"/>
    </row>
    <row r="7" spans="1:10">
      <c r="A7" s="1245" t="s">
        <v>4</v>
      </c>
      <c r="B7" s="1246">
        <v>84564.52559665803</v>
      </c>
      <c r="C7" s="1246">
        <v>37642.296332036967</v>
      </c>
      <c r="D7" s="1246">
        <v>32658.251615228663</v>
      </c>
      <c r="E7" s="1246">
        <v>9179.4919443816998</v>
      </c>
      <c r="F7" s="1246">
        <v>40.719319581755045</v>
      </c>
      <c r="G7" s="1246">
        <v>73.294775247159123</v>
      </c>
      <c r="H7" s="1246">
        <v>31.218145012678868</v>
      </c>
      <c r="I7" s="1246">
        <v>4646.0743642782863</v>
      </c>
      <c r="J7" s="1246">
        <v>293.17910098863752</v>
      </c>
    </row>
    <row r="8" spans="1:10">
      <c r="A8" s="1245" t="s">
        <v>5</v>
      </c>
      <c r="B8" s="1246">
        <v>43900.855751754585</v>
      </c>
      <c r="C8" s="1246">
        <v>37205.242301859333</v>
      </c>
      <c r="D8" s="1246">
        <v>2923.6471459699264</v>
      </c>
      <c r="E8" s="1246">
        <v>2048.1817749622251</v>
      </c>
      <c r="F8" s="1246">
        <v>2.7146213054503363</v>
      </c>
      <c r="G8" s="1246">
        <v>12.215795874526513</v>
      </c>
      <c r="H8" s="1246">
        <v>67.865532636258422</v>
      </c>
      <c r="I8" s="1246">
        <v>1539.1902801903054</v>
      </c>
      <c r="J8" s="1246">
        <v>101.7982989543878</v>
      </c>
    </row>
    <row r="9" spans="1:10" ht="18" customHeight="1">
      <c r="A9" s="1247" t="s">
        <v>493</v>
      </c>
      <c r="B9" s="1242"/>
      <c r="C9" s="1242"/>
      <c r="D9" s="1242"/>
      <c r="E9" s="1242"/>
      <c r="F9" s="1242"/>
      <c r="G9" s="1242"/>
      <c r="H9" s="1242"/>
      <c r="I9" s="1242"/>
      <c r="J9" s="1242"/>
    </row>
    <row r="10" spans="1:10">
      <c r="A10" s="1248" t="s">
        <v>148</v>
      </c>
      <c r="B10" s="1249">
        <f>+B11</f>
        <v>82487.840297999035</v>
      </c>
      <c r="C10" s="1249">
        <f t="shared" ref="C10:J10" si="0">+C11</f>
        <v>37476.704432404447</v>
      </c>
      <c r="D10" s="1249">
        <f t="shared" si="0"/>
        <v>31056.625045012486</v>
      </c>
      <c r="E10" s="1249">
        <f t="shared" si="0"/>
        <v>8937.8906481965478</v>
      </c>
      <c r="F10" s="1249">
        <f t="shared" si="0"/>
        <v>27.146213054503363</v>
      </c>
      <c r="G10" s="1249">
        <f t="shared" si="0"/>
        <v>61.078979372632567</v>
      </c>
      <c r="H10" s="1249">
        <f t="shared" si="0"/>
        <v>71.937464594433948</v>
      </c>
      <c r="I10" s="1249">
        <f t="shared" si="0"/>
        <v>4552.4199292402218</v>
      </c>
      <c r="J10" s="1249">
        <f t="shared" si="0"/>
        <v>304.03758621043892</v>
      </c>
    </row>
    <row r="11" spans="1:10">
      <c r="A11" s="1245" t="s">
        <v>148</v>
      </c>
      <c r="B11" s="1246">
        <v>82487.840297999035</v>
      </c>
      <c r="C11" s="1246">
        <v>37476.704432404447</v>
      </c>
      <c r="D11" s="1246">
        <v>31056.625045012486</v>
      </c>
      <c r="E11" s="1246">
        <v>8937.8906481965478</v>
      </c>
      <c r="F11" s="1246">
        <v>27.146213054503363</v>
      </c>
      <c r="G11" s="1246">
        <v>61.078979372632567</v>
      </c>
      <c r="H11" s="1246">
        <v>71.937464594433948</v>
      </c>
      <c r="I11" s="1246">
        <v>4552.4199292402218</v>
      </c>
      <c r="J11" s="1246">
        <v>304.03758621043892</v>
      </c>
    </row>
    <row r="12" spans="1:10">
      <c r="A12" s="1248" t="s">
        <v>149</v>
      </c>
      <c r="B12" s="1249">
        <f>+B13</f>
        <v>8027.1352002176891</v>
      </c>
      <c r="C12" s="1249">
        <f t="shared" ref="C12:J12" si="1">+C13</f>
        <v>6120.1137331382588</v>
      </c>
      <c r="D12" s="1249">
        <f t="shared" si="1"/>
        <v>852.39108991139551</v>
      </c>
      <c r="E12" s="1249">
        <f t="shared" si="1"/>
        <v>351.54345905582005</v>
      </c>
      <c r="F12" s="1249">
        <f t="shared" si="1"/>
        <v>0</v>
      </c>
      <c r="G12" s="1249">
        <f t="shared" si="1"/>
        <v>4.0719319581755045</v>
      </c>
      <c r="H12" s="1249">
        <f t="shared" si="1"/>
        <v>2.7146213054503363</v>
      </c>
      <c r="I12" s="1249">
        <f t="shared" si="1"/>
        <v>686.79919027893106</v>
      </c>
      <c r="J12" s="1249">
        <f t="shared" si="1"/>
        <v>9.5011745690761771</v>
      </c>
    </row>
    <row r="13" spans="1:10">
      <c r="A13" s="1245" t="s">
        <v>149</v>
      </c>
      <c r="B13" s="1246">
        <v>8027.1352002176891</v>
      </c>
      <c r="C13" s="1246">
        <v>6120.1137331382588</v>
      </c>
      <c r="D13" s="1246">
        <v>852.39108991139551</v>
      </c>
      <c r="E13" s="1246">
        <v>351.54345905582005</v>
      </c>
      <c r="F13" s="1246">
        <v>0</v>
      </c>
      <c r="G13" s="1246">
        <v>4.0719319581755045</v>
      </c>
      <c r="H13" s="1246">
        <v>2.7146213054503363</v>
      </c>
      <c r="I13" s="1246">
        <v>686.79919027893106</v>
      </c>
      <c r="J13" s="1246">
        <v>9.5011745690761771</v>
      </c>
    </row>
    <row r="14" spans="1:10">
      <c r="A14" s="1248" t="s">
        <v>150</v>
      </c>
      <c r="B14" s="1249">
        <f>+B15</f>
        <v>2804.203808530116</v>
      </c>
      <c r="C14" s="1249">
        <f t="shared" ref="C14:J14" si="2">+C15</f>
        <v>1748.2161207099737</v>
      </c>
      <c r="D14" s="1249">
        <f t="shared" si="2"/>
        <v>718.01733529160879</v>
      </c>
      <c r="E14" s="1249">
        <f t="shared" si="2"/>
        <v>268.74750923958436</v>
      </c>
      <c r="F14" s="1249">
        <f t="shared" si="2"/>
        <v>0</v>
      </c>
      <c r="G14" s="1249">
        <f t="shared" si="2"/>
        <v>0</v>
      </c>
      <c r="H14" s="1249">
        <f t="shared" si="2"/>
        <v>10.858485221801345</v>
      </c>
      <c r="I14" s="1249">
        <f t="shared" si="2"/>
        <v>44.791251539930549</v>
      </c>
      <c r="J14" s="1249">
        <f t="shared" si="2"/>
        <v>13.573106527251682</v>
      </c>
    </row>
    <row r="15" spans="1:10">
      <c r="A15" s="1245" t="s">
        <v>150</v>
      </c>
      <c r="B15" s="1246">
        <v>2804.203808530116</v>
      </c>
      <c r="C15" s="1246">
        <v>1748.2161207099737</v>
      </c>
      <c r="D15" s="1246">
        <v>718.01733529160879</v>
      </c>
      <c r="E15" s="1246">
        <v>268.74750923958436</v>
      </c>
      <c r="F15" s="1246">
        <v>0</v>
      </c>
      <c r="G15" s="1246">
        <v>0</v>
      </c>
      <c r="H15" s="1246">
        <v>10.858485221801345</v>
      </c>
      <c r="I15" s="1246">
        <v>44.791251539930549</v>
      </c>
      <c r="J15" s="1246">
        <v>13.573106527251682</v>
      </c>
    </row>
    <row r="16" spans="1:10">
      <c r="A16" s="1248" t="s">
        <v>151</v>
      </c>
      <c r="B16" s="1249">
        <f>+B17</f>
        <v>7086.5189178788669</v>
      </c>
      <c r="C16" s="1249">
        <f t="shared" ref="C16:J16" si="3">+C17</f>
        <v>5601.6210637970898</v>
      </c>
      <c r="D16" s="1249">
        <f t="shared" si="3"/>
        <v>1031.5560960711111</v>
      </c>
      <c r="E16" s="1249">
        <f t="shared" si="3"/>
        <v>407.19319581755224</v>
      </c>
      <c r="F16" s="1249">
        <f t="shared" si="3"/>
        <v>13.573106527251682</v>
      </c>
      <c r="G16" s="1249">
        <f t="shared" si="3"/>
        <v>13.573106527251682</v>
      </c>
      <c r="H16" s="1249">
        <f t="shared" si="3"/>
        <v>4.0719319581755045</v>
      </c>
      <c r="I16" s="1249">
        <f t="shared" si="3"/>
        <v>9.5011745690761771</v>
      </c>
      <c r="J16" s="1249">
        <f t="shared" si="3"/>
        <v>5.4292426109006726</v>
      </c>
    </row>
    <row r="17" spans="1:10">
      <c r="A17" s="1245" t="s">
        <v>151</v>
      </c>
      <c r="B17" s="1246">
        <v>7086.5189178788669</v>
      </c>
      <c r="C17" s="1246">
        <v>5601.6210637970898</v>
      </c>
      <c r="D17" s="1246">
        <v>1031.5560960711111</v>
      </c>
      <c r="E17" s="1246">
        <v>407.19319581755224</v>
      </c>
      <c r="F17" s="1246">
        <v>13.573106527251682</v>
      </c>
      <c r="G17" s="1246">
        <v>13.573106527251682</v>
      </c>
      <c r="H17" s="1246">
        <v>4.0719319581755045</v>
      </c>
      <c r="I17" s="1246">
        <v>9.5011745690761771</v>
      </c>
      <c r="J17" s="1246">
        <v>5.4292426109006726</v>
      </c>
    </row>
    <row r="18" spans="1:10">
      <c r="A18" s="1248" t="s">
        <v>152</v>
      </c>
      <c r="B18" s="1249">
        <f>+B19+B20</f>
        <v>1748.2161207099948</v>
      </c>
      <c r="C18" s="1249">
        <f t="shared" ref="C18:J18" si="4">+C19+C20</f>
        <v>1445.5358451522909</v>
      </c>
      <c r="D18" s="1249">
        <f t="shared" si="4"/>
        <v>223.95625769965324</v>
      </c>
      <c r="E18" s="1249">
        <f t="shared" si="4"/>
        <v>73.29477524715908</v>
      </c>
      <c r="F18" s="1249">
        <f t="shared" si="4"/>
        <v>0</v>
      </c>
      <c r="G18" s="1249">
        <f t="shared" si="4"/>
        <v>0</v>
      </c>
      <c r="H18" s="1249">
        <f t="shared" si="4"/>
        <v>0</v>
      </c>
      <c r="I18" s="1249">
        <f t="shared" si="4"/>
        <v>4.0719319581755045</v>
      </c>
      <c r="J18" s="1249">
        <f t="shared" si="4"/>
        <v>1.3573106527251682</v>
      </c>
    </row>
    <row r="19" spans="1:10">
      <c r="A19" s="1245" t="s">
        <v>152</v>
      </c>
      <c r="B19" s="1246">
        <v>1157.7859867745472</v>
      </c>
      <c r="C19" s="1246">
        <v>992.19408714208271</v>
      </c>
      <c r="D19" s="1246">
        <v>101.7982989543878</v>
      </c>
      <c r="E19" s="1246">
        <v>58.364358067182231</v>
      </c>
      <c r="F19" s="1246">
        <v>0</v>
      </c>
      <c r="G19" s="1246">
        <v>0</v>
      </c>
      <c r="H19" s="1246">
        <v>0</v>
      </c>
      <c r="I19" s="1246">
        <v>4.0719319581755045</v>
      </c>
      <c r="J19" s="1246">
        <v>1.3573106527251682</v>
      </c>
    </row>
    <row r="20" spans="1:10">
      <c r="A20" s="1245" t="s">
        <v>153</v>
      </c>
      <c r="B20" s="1246">
        <v>590.43013393544766</v>
      </c>
      <c r="C20" s="1246">
        <v>453.3417580102082</v>
      </c>
      <c r="D20" s="1246">
        <v>122.15795874526543</v>
      </c>
      <c r="E20" s="1246">
        <v>14.93041717997685</v>
      </c>
      <c r="F20" s="1246">
        <v>0</v>
      </c>
      <c r="G20" s="1246">
        <v>0</v>
      </c>
      <c r="H20" s="1246">
        <v>0</v>
      </c>
      <c r="I20" s="1246">
        <v>0</v>
      </c>
      <c r="J20" s="1246">
        <v>0</v>
      </c>
    </row>
    <row r="21" spans="1:10">
      <c r="A21" s="1248" t="s">
        <v>154</v>
      </c>
      <c r="B21" s="1249">
        <f>+B22+B23</f>
        <v>757.37934422064711</v>
      </c>
      <c r="C21" s="1249">
        <f t="shared" ref="C21:J21" si="5">+C22+C23</f>
        <v>743.80623769339536</v>
      </c>
      <c r="D21" s="1249">
        <f t="shared" si="5"/>
        <v>9.5011745690761771</v>
      </c>
      <c r="E21" s="1249">
        <f t="shared" si="5"/>
        <v>2.7146213054503363</v>
      </c>
      <c r="F21" s="1249">
        <f t="shared" si="5"/>
        <v>0</v>
      </c>
      <c r="G21" s="1249">
        <f t="shared" si="5"/>
        <v>0</v>
      </c>
      <c r="H21" s="1249">
        <f t="shared" si="5"/>
        <v>1.3573106527251682</v>
      </c>
      <c r="I21" s="1249">
        <f t="shared" si="5"/>
        <v>0</v>
      </c>
      <c r="J21" s="1249">
        <f t="shared" si="5"/>
        <v>0</v>
      </c>
    </row>
    <row r="22" spans="1:10">
      <c r="A22" s="1245" t="s">
        <v>154</v>
      </c>
      <c r="B22" s="1246">
        <v>499.49032020286415</v>
      </c>
      <c r="C22" s="1246">
        <v>492.70376693923828</v>
      </c>
      <c r="D22" s="1246">
        <v>5.4292426109006726</v>
      </c>
      <c r="E22" s="1246">
        <v>0</v>
      </c>
      <c r="F22" s="1246">
        <v>0</v>
      </c>
      <c r="G22" s="1246">
        <v>0</v>
      </c>
      <c r="H22" s="1246">
        <v>1.3573106527251682</v>
      </c>
      <c r="I22" s="1246">
        <v>0</v>
      </c>
      <c r="J22" s="1246">
        <v>0</v>
      </c>
    </row>
    <row r="23" spans="1:10">
      <c r="A23" s="1245" t="s">
        <v>155</v>
      </c>
      <c r="B23" s="1246">
        <v>257.88902401778296</v>
      </c>
      <c r="C23" s="1246">
        <v>251.10247075415708</v>
      </c>
      <c r="D23" s="1246">
        <v>4.0719319581755045</v>
      </c>
      <c r="E23" s="1246">
        <v>2.7146213054503363</v>
      </c>
      <c r="F23" s="1246">
        <v>0</v>
      </c>
      <c r="G23" s="1246">
        <v>0</v>
      </c>
      <c r="H23" s="1246">
        <v>0</v>
      </c>
      <c r="I23" s="1246">
        <v>0</v>
      </c>
      <c r="J23" s="1246">
        <v>0</v>
      </c>
    </row>
    <row r="24" spans="1:10">
      <c r="A24" s="1248" t="s">
        <v>156</v>
      </c>
      <c r="B24" s="1249">
        <f>+B25+B26</f>
        <v>4137.0828695062037</v>
      </c>
      <c r="C24" s="1249">
        <f t="shared" ref="C24:J24" si="6">+C25+C26</f>
        <v>3003.7284744807293</v>
      </c>
      <c r="D24" s="1249">
        <f t="shared" si="6"/>
        <v>602.64592980997713</v>
      </c>
      <c r="E24" s="1249">
        <f t="shared" si="6"/>
        <v>468.27217519018478</v>
      </c>
      <c r="F24" s="1249">
        <f t="shared" si="6"/>
        <v>1.3573106527251682</v>
      </c>
      <c r="G24" s="1249">
        <f t="shared" si="6"/>
        <v>5.4292426109006726</v>
      </c>
      <c r="H24" s="1249">
        <f t="shared" si="6"/>
        <v>1.3573106527251682</v>
      </c>
      <c r="I24" s="1249">
        <f t="shared" si="6"/>
        <v>44.791251539930549</v>
      </c>
      <c r="J24" s="1249">
        <f t="shared" si="6"/>
        <v>9.5011745690761771</v>
      </c>
    </row>
    <row r="25" spans="1:10">
      <c r="A25" s="1245" t="s">
        <v>156</v>
      </c>
      <c r="B25" s="1246">
        <v>1978.9589316732438</v>
      </c>
      <c r="C25" s="1246">
        <v>1632.8447152283386</v>
      </c>
      <c r="D25" s="1246">
        <v>213.09777247785217</v>
      </c>
      <c r="E25" s="1246">
        <v>118.08602678708991</v>
      </c>
      <c r="F25" s="1246">
        <v>0</v>
      </c>
      <c r="G25" s="1246">
        <v>0</v>
      </c>
      <c r="H25" s="1246">
        <v>1.3573106527251682</v>
      </c>
      <c r="I25" s="1246">
        <v>9.5011745690761771</v>
      </c>
      <c r="J25" s="1246">
        <v>4.0719319581755045</v>
      </c>
    </row>
    <row r="26" spans="1:10">
      <c r="A26" s="1245" t="s">
        <v>157</v>
      </c>
      <c r="B26" s="1246">
        <v>2158.1239378329597</v>
      </c>
      <c r="C26" s="1246">
        <v>1370.8837592523907</v>
      </c>
      <c r="D26" s="1246">
        <v>389.54815733212496</v>
      </c>
      <c r="E26" s="1246">
        <v>350.18614840309488</v>
      </c>
      <c r="F26" s="1246">
        <v>1.3573106527251682</v>
      </c>
      <c r="G26" s="1246">
        <v>5.4292426109006726</v>
      </c>
      <c r="H26" s="1246">
        <v>0</v>
      </c>
      <c r="I26" s="1246">
        <v>35.290076970854372</v>
      </c>
      <c r="J26" s="1246">
        <v>5.4292426109006726</v>
      </c>
    </row>
    <row r="27" spans="1:10">
      <c r="A27" s="1248" t="s">
        <v>158</v>
      </c>
      <c r="B27" s="1249">
        <f>+B28+B29</f>
        <v>6319.6383990886234</v>
      </c>
      <c r="C27" s="1249">
        <f t="shared" ref="C27:J27" si="7">+C28+C29</f>
        <v>5369.5209421807349</v>
      </c>
      <c r="D27" s="1249">
        <f t="shared" si="7"/>
        <v>268.7475092395843</v>
      </c>
      <c r="E27" s="1249">
        <f t="shared" si="7"/>
        <v>137.08837592524233</v>
      </c>
      <c r="F27" s="1249">
        <f t="shared" si="7"/>
        <v>1.3573106527251682</v>
      </c>
      <c r="G27" s="1249">
        <f t="shared" si="7"/>
        <v>1.3573106527251682</v>
      </c>
      <c r="H27" s="1249">
        <f t="shared" si="7"/>
        <v>4.0719319581755045</v>
      </c>
      <c r="I27" s="1249">
        <f t="shared" si="7"/>
        <v>513.06342673011579</v>
      </c>
      <c r="J27" s="1249">
        <f t="shared" si="7"/>
        <v>24.431591749053027</v>
      </c>
    </row>
    <row r="28" spans="1:10">
      <c r="A28" s="1245" t="s">
        <v>158</v>
      </c>
      <c r="B28" s="1246">
        <v>5376.3074954446447</v>
      </c>
      <c r="C28" s="1246">
        <v>4465.5520474657851</v>
      </c>
      <c r="D28" s="1246">
        <v>256.53171336505778</v>
      </c>
      <c r="E28" s="1246">
        <v>131.65913331434166</v>
      </c>
      <c r="F28" s="1246">
        <v>1.3573106527251682</v>
      </c>
      <c r="G28" s="1246">
        <v>1.3573106527251682</v>
      </c>
      <c r="H28" s="1246">
        <v>2.7146213054503363</v>
      </c>
      <c r="I28" s="1246">
        <v>499.49032020286415</v>
      </c>
      <c r="J28" s="1246">
        <v>17.645038485427186</v>
      </c>
    </row>
    <row r="29" spans="1:10">
      <c r="A29" s="1245" t="s">
        <v>159</v>
      </c>
      <c r="B29" s="1246">
        <v>943.33090364397844</v>
      </c>
      <c r="C29" s="1246">
        <v>903.96889471495001</v>
      </c>
      <c r="D29" s="1246">
        <v>12.215795874526513</v>
      </c>
      <c r="E29" s="1246">
        <v>5.4292426109006726</v>
      </c>
      <c r="F29" s="1246">
        <v>0</v>
      </c>
      <c r="G29" s="1246">
        <v>0</v>
      </c>
      <c r="H29" s="1246">
        <v>1.3573106527251682</v>
      </c>
      <c r="I29" s="1246">
        <v>13.573106527251682</v>
      </c>
      <c r="J29" s="1246">
        <v>6.7865532636258408</v>
      </c>
    </row>
    <row r="30" spans="1:10">
      <c r="A30" s="1248" t="s">
        <v>160</v>
      </c>
      <c r="B30" s="1249">
        <f>+B31</f>
        <v>1749.5734313626988</v>
      </c>
      <c r="C30" s="1249">
        <f t="shared" ref="C30:J30" si="8">+C31</f>
        <v>1658.6336176301159</v>
      </c>
      <c r="D30" s="1249">
        <f t="shared" si="8"/>
        <v>33.932766318129204</v>
      </c>
      <c r="E30" s="1249">
        <f t="shared" si="8"/>
        <v>43.433940887205381</v>
      </c>
      <c r="F30" s="1249">
        <f t="shared" si="8"/>
        <v>0</v>
      </c>
      <c r="G30" s="1249">
        <f t="shared" si="8"/>
        <v>0</v>
      </c>
      <c r="H30" s="1249">
        <f t="shared" si="8"/>
        <v>0</v>
      </c>
      <c r="I30" s="1249">
        <f t="shared" si="8"/>
        <v>13.573106527251682</v>
      </c>
      <c r="J30" s="1249">
        <f t="shared" si="8"/>
        <v>0</v>
      </c>
    </row>
    <row r="31" spans="1:10">
      <c r="A31" s="1245" t="s">
        <v>160</v>
      </c>
      <c r="B31" s="1246">
        <v>1749.5734313626988</v>
      </c>
      <c r="C31" s="1246">
        <v>1658.6336176301159</v>
      </c>
      <c r="D31" s="1246">
        <v>33.932766318129204</v>
      </c>
      <c r="E31" s="1246">
        <v>43.433940887205381</v>
      </c>
      <c r="F31" s="1246">
        <v>0</v>
      </c>
      <c r="G31" s="1246">
        <v>0</v>
      </c>
      <c r="H31" s="1246">
        <v>0</v>
      </c>
      <c r="I31" s="1246">
        <v>13.573106527251682</v>
      </c>
      <c r="J31" s="1246">
        <v>0</v>
      </c>
    </row>
    <row r="32" spans="1:10">
      <c r="A32" s="1248" t="s">
        <v>161</v>
      </c>
      <c r="B32" s="1249">
        <f>+B33+B34</f>
        <v>7575.150752859664</v>
      </c>
      <c r="C32" s="1249">
        <f t="shared" ref="C32:J32" si="9">+C33+C34</f>
        <v>6709.1865564207737</v>
      </c>
      <c r="D32" s="1249">
        <f t="shared" si="9"/>
        <v>332.54110991766754</v>
      </c>
      <c r="E32" s="1249">
        <f t="shared" si="9"/>
        <v>241.60129618508074</v>
      </c>
      <c r="F32" s="1249">
        <f t="shared" si="9"/>
        <v>0</v>
      </c>
      <c r="G32" s="1249">
        <f t="shared" si="9"/>
        <v>0</v>
      </c>
      <c r="H32" s="1249">
        <f t="shared" si="9"/>
        <v>2.7146213054503363</v>
      </c>
      <c r="I32" s="1249">
        <f t="shared" si="9"/>
        <v>263.31826662868343</v>
      </c>
      <c r="J32" s="1249">
        <f t="shared" si="9"/>
        <v>25.788902401778195</v>
      </c>
    </row>
    <row r="33" spans="1:10">
      <c r="A33" s="1245" t="s">
        <v>161</v>
      </c>
      <c r="B33" s="1246">
        <v>6289.7775647289554</v>
      </c>
      <c r="C33" s="1246">
        <v>5499.8227648426719</v>
      </c>
      <c r="D33" s="1246">
        <v>323.03993534859137</v>
      </c>
      <c r="E33" s="1246">
        <v>219.88432574147805</v>
      </c>
      <c r="F33" s="1246">
        <v>0</v>
      </c>
      <c r="G33" s="1246">
        <v>0</v>
      </c>
      <c r="H33" s="1246">
        <v>2.7146213054503363</v>
      </c>
      <c r="I33" s="1246">
        <v>221.24163639420323</v>
      </c>
      <c r="J33" s="1246">
        <v>23.074281096327859</v>
      </c>
    </row>
    <row r="34" spans="1:10">
      <c r="A34" s="1245" t="s">
        <v>162</v>
      </c>
      <c r="B34" s="1246">
        <v>1285.3731881307083</v>
      </c>
      <c r="C34" s="1246">
        <v>1209.3637915781017</v>
      </c>
      <c r="D34" s="1246">
        <v>9.5011745690761771</v>
      </c>
      <c r="E34" s="1246">
        <v>21.71697044360269</v>
      </c>
      <c r="F34" s="1246">
        <v>0</v>
      </c>
      <c r="G34" s="1246">
        <v>0</v>
      </c>
      <c r="H34" s="1246">
        <v>0</v>
      </c>
      <c r="I34" s="1246">
        <v>42.076630234480213</v>
      </c>
      <c r="J34" s="1246">
        <v>2.7146213054503363</v>
      </c>
    </row>
    <row r="35" spans="1:10">
      <c r="A35" s="1248" t="s">
        <v>163</v>
      </c>
      <c r="B35" s="1249">
        <f>+B36+B37</f>
        <v>5772.6422060400155</v>
      </c>
      <c r="C35" s="1249">
        <f t="shared" ref="C35:J35" si="10">+C36+C37</f>
        <v>4970.4716102794264</v>
      </c>
      <c r="D35" s="1249">
        <f t="shared" si="10"/>
        <v>451.98444735748268</v>
      </c>
      <c r="E35" s="1249">
        <f t="shared" si="10"/>
        <v>295.89372229408769</v>
      </c>
      <c r="F35" s="1249">
        <f t="shared" si="10"/>
        <v>0</v>
      </c>
      <c r="G35" s="1249">
        <f t="shared" si="10"/>
        <v>0</v>
      </c>
      <c r="H35" s="1249">
        <f t="shared" si="10"/>
        <v>0</v>
      </c>
      <c r="I35" s="1249">
        <f t="shared" si="10"/>
        <v>52.935115456281558</v>
      </c>
      <c r="J35" s="1249">
        <f t="shared" si="10"/>
        <v>1.3573106527251682</v>
      </c>
    </row>
    <row r="36" spans="1:10">
      <c r="A36" s="1245" t="s">
        <v>163</v>
      </c>
      <c r="B36" s="1246">
        <v>4226.6653725860842</v>
      </c>
      <c r="C36" s="1246">
        <v>3530.3650077380544</v>
      </c>
      <c r="D36" s="1246">
        <v>385.47622537394943</v>
      </c>
      <c r="E36" s="1246">
        <v>260.60364532323331</v>
      </c>
      <c r="F36" s="1246">
        <v>0</v>
      </c>
      <c r="G36" s="1246">
        <v>0</v>
      </c>
      <c r="H36" s="1246">
        <v>0</v>
      </c>
      <c r="I36" s="1246">
        <v>48.863183498106054</v>
      </c>
      <c r="J36" s="1246">
        <v>1.3573106527251682</v>
      </c>
    </row>
    <row r="37" spans="1:10">
      <c r="A37" s="1250" t="s">
        <v>164</v>
      </c>
      <c r="B37" s="1251">
        <v>1545.976833453931</v>
      </c>
      <c r="C37" s="1251">
        <v>1440.1066025413718</v>
      </c>
      <c r="D37" s="1251">
        <v>66.508221983533247</v>
      </c>
      <c r="E37" s="1251">
        <v>35.290076970854372</v>
      </c>
      <c r="F37" s="1251">
        <v>0</v>
      </c>
      <c r="G37" s="1251">
        <v>0</v>
      </c>
      <c r="H37" s="1251">
        <v>0</v>
      </c>
      <c r="I37" s="1251">
        <v>4.0719319581755045</v>
      </c>
      <c r="J37" s="1251">
        <v>0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20"/>
  <sheetViews>
    <sheetView tabSelected="1" workbookViewId="0">
      <selection activeCell="B26" sqref="B26"/>
    </sheetView>
  </sheetViews>
  <sheetFormatPr defaultRowHeight="15"/>
  <cols>
    <col min="1" max="1" width="20.28515625" style="136" customWidth="1"/>
    <col min="2" max="2" width="13" style="136" customWidth="1"/>
    <col min="3" max="3" width="13.7109375" style="136" customWidth="1"/>
    <col min="4" max="4" width="15" style="136" customWidth="1"/>
    <col min="5" max="5" width="3" style="136" customWidth="1"/>
    <col min="6" max="6" width="16" style="136" customWidth="1"/>
    <col min="7" max="7" width="16.7109375" style="136" customWidth="1"/>
    <col min="8" max="16384" width="9.140625" style="136"/>
  </cols>
  <sheetData>
    <row r="1" spans="1:7" ht="34.5" customHeight="1">
      <c r="A1" s="1252" t="s">
        <v>524</v>
      </c>
      <c r="B1" s="1252"/>
      <c r="C1" s="1252"/>
      <c r="D1" s="1252"/>
      <c r="E1" s="1252"/>
      <c r="F1" s="1252"/>
      <c r="G1" s="1252"/>
    </row>
    <row r="2" spans="1:7">
      <c r="A2" s="1203" t="s">
        <v>314</v>
      </c>
      <c r="B2" s="1203" t="s">
        <v>485</v>
      </c>
      <c r="C2" s="1204" t="s">
        <v>525</v>
      </c>
      <c r="D2" s="1204"/>
      <c r="E2" s="1253"/>
      <c r="F2" s="1204" t="s">
        <v>526</v>
      </c>
      <c r="G2" s="1204"/>
    </row>
    <row r="3" spans="1:7" ht="36">
      <c r="A3" s="1205"/>
      <c r="B3" s="1205"/>
      <c r="C3" s="1206" t="s">
        <v>527</v>
      </c>
      <c r="D3" s="1206" t="s">
        <v>528</v>
      </c>
      <c r="E3" s="1254"/>
      <c r="F3" s="1206" t="s">
        <v>529</v>
      </c>
      <c r="G3" s="1206" t="s">
        <v>530</v>
      </c>
    </row>
    <row r="4" spans="1:7">
      <c r="A4" s="1255" t="s">
        <v>147</v>
      </c>
      <c r="B4" s="210">
        <v>128465.38134817863</v>
      </c>
      <c r="C4" s="1256">
        <v>2.6945386541638894</v>
      </c>
      <c r="D4" s="1256">
        <v>1.6012704387717789</v>
      </c>
      <c r="E4" s="1256"/>
      <c r="F4" s="1257">
        <v>1.6300992107554431</v>
      </c>
      <c r="G4" s="1257">
        <v>2.6468849653886766</v>
      </c>
    </row>
    <row r="5" spans="1:7">
      <c r="A5" s="1258"/>
      <c r="B5" s="1259"/>
      <c r="C5" s="1260"/>
      <c r="D5" s="1260"/>
      <c r="E5" s="1260"/>
      <c r="F5" s="1261"/>
      <c r="G5" s="1261"/>
    </row>
    <row r="6" spans="1:7">
      <c r="A6" s="1262" t="s">
        <v>3</v>
      </c>
      <c r="B6" s="1263"/>
      <c r="C6" s="1264"/>
      <c r="D6" s="1264"/>
      <c r="E6" s="1264"/>
      <c r="F6" s="1265"/>
      <c r="G6" s="1265"/>
    </row>
    <row r="7" spans="1:7">
      <c r="A7" s="1212" t="s">
        <v>271</v>
      </c>
      <c r="B7" s="206">
        <v>84564.52559665803</v>
      </c>
      <c r="C7" s="1266">
        <v>3.0400622762961942</v>
      </c>
      <c r="D7" s="1266">
        <v>1.4809482326238488</v>
      </c>
      <c r="E7" s="1266"/>
      <c r="F7" s="1267">
        <v>1.8341171372175644</v>
      </c>
      <c r="G7" s="1267">
        <v>2.4546822903455769</v>
      </c>
    </row>
    <row r="8" spans="1:7">
      <c r="A8" s="1212" t="s">
        <v>5</v>
      </c>
      <c r="B8" s="206">
        <v>43900.855751754585</v>
      </c>
      <c r="C8" s="1266">
        <v>2.0289698243868539</v>
      </c>
      <c r="D8" s="1266">
        <v>1.9485409523811232</v>
      </c>
      <c r="E8" s="1266"/>
      <c r="F8" s="1267">
        <v>1.2371073460301529</v>
      </c>
      <c r="G8" s="1267">
        <v>3.1957863694287352</v>
      </c>
    </row>
    <row r="9" spans="1:7">
      <c r="A9" s="1247" t="s">
        <v>493</v>
      </c>
      <c r="B9" s="1268"/>
      <c r="C9" s="1269"/>
      <c r="D9" s="1269"/>
      <c r="E9" s="1269"/>
      <c r="F9" s="1270"/>
      <c r="G9" s="1270"/>
    </row>
    <row r="10" spans="1:7">
      <c r="A10" s="1212" t="s">
        <v>148</v>
      </c>
      <c r="B10" s="206">
        <v>82487.840297999035</v>
      </c>
      <c r="C10" s="1266">
        <v>3.0414493278275367</v>
      </c>
      <c r="D10" s="1266">
        <v>1.4792196409835132</v>
      </c>
      <c r="E10" s="1266"/>
      <c r="F10" s="1267">
        <v>1.8312079377361252</v>
      </c>
      <c r="G10" s="1267">
        <v>2.45683272230709</v>
      </c>
    </row>
    <row r="11" spans="1:7">
      <c r="A11" s="1212" t="s">
        <v>149</v>
      </c>
      <c r="B11" s="206">
        <v>8027.1352002176891</v>
      </c>
      <c r="C11" s="1266">
        <v>2.3347987825497345</v>
      </c>
      <c r="D11" s="1266">
        <v>1.5722769409037769</v>
      </c>
      <c r="E11" s="1266"/>
      <c r="F11" s="1267">
        <v>1.3870476834629308</v>
      </c>
      <c r="G11" s="1267">
        <v>2.6465927099839797</v>
      </c>
    </row>
    <row r="12" spans="1:7">
      <c r="A12" s="1212" t="s">
        <v>150</v>
      </c>
      <c r="B12" s="206">
        <v>2804.203808530116</v>
      </c>
      <c r="C12" s="1266">
        <v>2.7971926427880809</v>
      </c>
      <c r="D12" s="1266">
        <v>1.5765703408894445</v>
      </c>
      <c r="E12" s="1266"/>
      <c r="F12" s="1267">
        <v>1.5353339787028248</v>
      </c>
      <c r="G12" s="1267">
        <v>2.8723203026482569</v>
      </c>
    </row>
    <row r="13" spans="1:7">
      <c r="A13" s="1212" t="s">
        <v>151</v>
      </c>
      <c r="B13" s="206">
        <v>7086.5189178788669</v>
      </c>
      <c r="C13" s="1266">
        <v>1.9189810381152084</v>
      </c>
      <c r="D13" s="1266">
        <v>2.0033935522506745</v>
      </c>
      <c r="E13" s="1266"/>
      <c r="F13" s="1267">
        <v>1.2595288258953843</v>
      </c>
      <c r="G13" s="1267">
        <v>3.0523114355229803</v>
      </c>
    </row>
    <row r="14" spans="1:7">
      <c r="A14" s="1212" t="s">
        <v>152</v>
      </c>
      <c r="B14" s="206">
        <v>1748.2161207099737</v>
      </c>
      <c r="C14" s="1266">
        <v>1.9534161490683375</v>
      </c>
      <c r="D14" s="1266">
        <v>2.4193163751987741</v>
      </c>
      <c r="E14" s="1266"/>
      <c r="F14" s="1267">
        <v>1.2927018633540452</v>
      </c>
      <c r="G14" s="1267">
        <v>3.6558558558559295</v>
      </c>
    </row>
    <row r="15" spans="1:7">
      <c r="A15" s="1212" t="s">
        <v>154</v>
      </c>
      <c r="B15" s="206">
        <v>757.37934422063722</v>
      </c>
      <c r="C15" s="1266">
        <v>1.1917562724014299</v>
      </c>
      <c r="D15" s="1266">
        <v>2.6646616541353629</v>
      </c>
      <c r="E15" s="1266"/>
      <c r="F15" s="1267">
        <v>1.0232974910394259</v>
      </c>
      <c r="G15" s="1267">
        <v>3.1033274956217367</v>
      </c>
    </row>
    <row r="16" spans="1:7">
      <c r="A16" s="1212" t="s">
        <v>156</v>
      </c>
      <c r="B16" s="206">
        <v>4137.0828695061964</v>
      </c>
      <c r="C16" s="1266">
        <v>2.7234251968504948</v>
      </c>
      <c r="D16" s="1266">
        <v>1.4905433080352013</v>
      </c>
      <c r="E16" s="1266"/>
      <c r="F16" s="1267">
        <v>1.4274934383202633</v>
      </c>
      <c r="G16" s="1267">
        <v>2.8437140887152843</v>
      </c>
    </row>
    <row r="17" spans="1:7">
      <c r="A17" s="1212" t="s">
        <v>158</v>
      </c>
      <c r="B17" s="206">
        <v>6319.638399088918</v>
      </c>
      <c r="C17" s="1266">
        <v>1.8591065292095943</v>
      </c>
      <c r="D17" s="1266">
        <v>2.3262476894638424</v>
      </c>
      <c r="E17" s="1266"/>
      <c r="F17" s="1267">
        <v>1.2012457044673497</v>
      </c>
      <c r="G17" s="1267">
        <v>3.600214553906453</v>
      </c>
    </row>
    <row r="18" spans="1:7">
      <c r="A18" s="1212" t="s">
        <v>160</v>
      </c>
      <c r="B18" s="206">
        <v>1749.5734313626988</v>
      </c>
      <c r="C18" s="1266">
        <v>1.1070597362296455</v>
      </c>
      <c r="D18" s="1266">
        <v>3.6601261387527062</v>
      </c>
      <c r="E18" s="1266"/>
      <c r="F18" s="1271">
        <v>0.8347556245151323</v>
      </c>
      <c r="G18" s="1267">
        <v>4.8540892193309784</v>
      </c>
    </row>
    <row r="19" spans="1:7">
      <c r="A19" s="1212" t="s">
        <v>161</v>
      </c>
      <c r="B19" s="206">
        <v>7575.1507528600732</v>
      </c>
      <c r="C19" s="1266">
        <v>1.7469987457444236</v>
      </c>
      <c r="D19" s="1266">
        <v>2.3079999999998928</v>
      </c>
      <c r="E19" s="1266"/>
      <c r="F19" s="1267">
        <v>1.1686077763841514</v>
      </c>
      <c r="G19" s="1267">
        <v>3.4503219871202502</v>
      </c>
    </row>
    <row r="20" spans="1:7">
      <c r="A20" s="1215" t="s">
        <v>163</v>
      </c>
      <c r="B20" s="208">
        <v>5772.6422060405121</v>
      </c>
      <c r="C20" s="1272">
        <v>2.1798730308017671</v>
      </c>
      <c r="D20" s="1272">
        <v>1.7224679106891834</v>
      </c>
      <c r="E20" s="1272"/>
      <c r="F20" s="1273">
        <v>1.2384199388666823</v>
      </c>
      <c r="G20" s="1273">
        <v>3.0318967153976217</v>
      </c>
    </row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População</vt:lpstr>
      <vt:lpstr>Q1.1</vt:lpstr>
      <vt:lpstr>Q1.2</vt:lpstr>
      <vt:lpstr>Q1.3</vt:lpstr>
      <vt:lpstr>Q1.4</vt:lpstr>
      <vt:lpstr>Q1.5</vt:lpstr>
      <vt:lpstr>Q1.6</vt:lpstr>
      <vt:lpstr>Q1.7</vt:lpstr>
      <vt:lpstr>Estado Civil</vt:lpstr>
      <vt:lpstr>Q.2.1</vt:lpstr>
      <vt:lpstr>Registo Civil</vt:lpstr>
      <vt:lpstr>Q.3.1</vt:lpstr>
      <vt:lpstr>Q.3.2</vt:lpstr>
      <vt:lpstr>Q.3.3</vt:lpstr>
      <vt:lpstr>Q.3.4</vt:lpstr>
      <vt:lpstr>Deficiência e Albinismo</vt:lpstr>
      <vt:lpstr>Q4.1</vt:lpstr>
      <vt:lpstr>Q.4.2</vt:lpstr>
      <vt:lpstr>Q.4.3</vt:lpstr>
      <vt:lpstr>Orfandade</vt:lpstr>
      <vt:lpstr>Q.5.1</vt:lpstr>
      <vt:lpstr>Q.5.2</vt:lpstr>
      <vt:lpstr>Língua Materna</vt:lpstr>
      <vt:lpstr>Q.6.1</vt:lpstr>
      <vt:lpstr>Q.6.2</vt:lpstr>
      <vt:lpstr>Religião</vt:lpstr>
      <vt:lpstr>Q.7.1</vt:lpstr>
      <vt:lpstr>Educação</vt:lpstr>
      <vt:lpstr>Q.8.1</vt:lpstr>
      <vt:lpstr>Q.8.2</vt:lpstr>
      <vt:lpstr>Q.8.3</vt:lpstr>
      <vt:lpstr>Q.8.4</vt:lpstr>
      <vt:lpstr>Q.8.5</vt:lpstr>
      <vt:lpstr>Q.8.6</vt:lpstr>
      <vt:lpstr>Q.8.7</vt:lpstr>
      <vt:lpstr>Q.8.8</vt:lpstr>
      <vt:lpstr>Q.8.9</vt:lpstr>
      <vt:lpstr>Q.8.10</vt:lpstr>
      <vt:lpstr>Q.8.11</vt:lpstr>
      <vt:lpstr>Q.8.12</vt:lpstr>
      <vt:lpstr>Q.8.13</vt:lpstr>
      <vt:lpstr>Q.8.14</vt:lpstr>
      <vt:lpstr>Q.8.15</vt:lpstr>
      <vt:lpstr>Q.8.16</vt:lpstr>
      <vt:lpstr>Agregado Familiar</vt:lpstr>
      <vt:lpstr>Q.9.1</vt:lpstr>
      <vt:lpstr>Q.9.2</vt:lpstr>
      <vt:lpstr>Q.9.3</vt:lpstr>
      <vt:lpstr>Q.9.4</vt:lpstr>
      <vt:lpstr>Q.9.5</vt:lpstr>
      <vt:lpstr>Q.9.6</vt:lpstr>
      <vt:lpstr>Q.9.7</vt:lpstr>
      <vt:lpstr>Q.9.8</vt:lpstr>
      <vt:lpstr>Q.9.9</vt:lpstr>
      <vt:lpstr>Q.9.10</vt:lpstr>
      <vt:lpstr>Q.9.11</vt:lpstr>
      <vt:lpstr>Q.9.12</vt:lpstr>
      <vt:lpstr>Q.9.13</vt:lpstr>
      <vt:lpstr>Q.9.14</vt:lpstr>
      <vt:lpstr>Q.9.15</vt:lpstr>
      <vt:lpstr>Q.9.16</vt:lpstr>
      <vt:lpstr>Q.9.17</vt:lpstr>
      <vt:lpstr>Q.9.18</vt:lpstr>
      <vt:lpstr>Q.9.19</vt:lpstr>
      <vt:lpstr>Q.9.20</vt:lpstr>
      <vt:lpstr>Habitação</vt:lpstr>
      <vt:lpstr>Q.10.1</vt:lpstr>
      <vt:lpstr>Q.10.2</vt:lpstr>
      <vt:lpstr>Q.10.3</vt:lpstr>
      <vt:lpstr>Q.10.4</vt:lpstr>
      <vt:lpstr>Q.10.5</vt:lpstr>
      <vt:lpstr>Q.10.6</vt:lpstr>
      <vt:lpstr>Q.10.7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Valnirio Magalhaes</cp:lastModifiedBy>
  <dcterms:created xsi:type="dcterms:W3CDTF">2025-12-01T09:31:40Z</dcterms:created>
  <dcterms:modified xsi:type="dcterms:W3CDTF">2026-03-30T13:43:13Z</dcterms:modified>
</cp:coreProperties>
</file>