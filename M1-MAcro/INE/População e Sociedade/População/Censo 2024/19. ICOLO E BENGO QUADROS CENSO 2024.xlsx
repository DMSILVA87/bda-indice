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PERFINS_PROVINCIAIS\10 PORTAL INE\00 REVISTOS PELA EQUIPA 27_03_2026\000 COMPILADO\"/>
    </mc:Choice>
  </mc:AlternateContent>
  <xr:revisionPtr revIDLastSave="0" documentId="13_ncr:1_{7276D9B9-B58F-4D9D-ABDB-FFEB798AD758}" xr6:coauthVersionLast="47" xr6:coauthVersionMax="47" xr10:uidLastSave="{00000000-0000-0000-0000-000000000000}"/>
  <bookViews>
    <workbookView xWindow="2295" yWindow="2295" windowWidth="21600" windowHeight="12945" tabRatio="953" firstSheet="23" activeTab="28" xr2:uid="{8F160241-C3A0-4750-9606-333FD63652DA}"/>
  </bookViews>
  <sheets>
    <sheet name="População" sheetId="8" r:id="rId1"/>
    <sheet name="Q1.1" sheetId="1" r:id="rId2"/>
    <sheet name="Q1.2" sheetId="2" r:id="rId3"/>
    <sheet name="Q1.3" sheetId="3" r:id="rId4"/>
    <sheet name="Q1.4" sheetId="4" r:id="rId5"/>
    <sheet name="Q1.5" sheetId="5" r:id="rId6"/>
    <sheet name="Q1.6" sheetId="6" r:id="rId7"/>
    <sheet name="Q1.7" sheetId="7" r:id="rId8"/>
    <sheet name="2. Estado Civil" sheetId="33" r:id="rId9"/>
    <sheet name="Q2.1" sheetId="21" r:id="rId10"/>
    <sheet name="3. Registo Civil" sheetId="22" r:id="rId11"/>
    <sheet name="Q3.1" sheetId="23" r:id="rId12"/>
    <sheet name="Q3.2" sheetId="24" r:id="rId13"/>
    <sheet name="Q3.3" sheetId="25" r:id="rId14"/>
    <sheet name="Q3.4" sheetId="26" r:id="rId15"/>
    <sheet name="Deficiência e Albinismo" sheetId="45" r:id="rId16"/>
    <sheet name="Q 4.1" sheetId="86" r:id="rId17"/>
    <sheet name="Quadro 4.2" sheetId="46" r:id="rId18"/>
    <sheet name="Quadro 4.3" sheetId="47" r:id="rId19"/>
    <sheet name="Orfandade" sheetId="27" r:id="rId20"/>
    <sheet name="Q5.1" sheetId="28" r:id="rId21"/>
    <sheet name="Q5.2" sheetId="29" r:id="rId22"/>
    <sheet name="6. Língua Materna" sheetId="30" r:id="rId23"/>
    <sheet name="Q 6.1" sheetId="31" r:id="rId24"/>
    <sheet name="Q 6.2" sheetId="32" r:id="rId25"/>
    <sheet name="7.Religião" sheetId="35" r:id="rId26"/>
    <sheet name="Q7.1" sheetId="68" r:id="rId27"/>
    <sheet name="Educação" sheetId="69" r:id="rId28"/>
    <sheet name="Q8.1" sheetId="70" r:id="rId29"/>
    <sheet name="Q8.2" sheetId="71" r:id="rId30"/>
    <sheet name="Q8.3" sheetId="72" r:id="rId31"/>
    <sheet name="Q8.4" sheetId="73" r:id="rId32"/>
    <sheet name="Q8.5" sheetId="74" r:id="rId33"/>
    <sheet name="Q8.6" sheetId="75" r:id="rId34"/>
    <sheet name="Q8.7" sheetId="76" r:id="rId35"/>
    <sheet name="Q8.8" sheetId="77" r:id="rId36"/>
    <sheet name="Q8.9" sheetId="78" r:id="rId37"/>
    <sheet name="Q8.10" sheetId="79" r:id="rId38"/>
    <sheet name="Q8.11" sheetId="80" r:id="rId39"/>
    <sheet name="Q8.12" sheetId="81" r:id="rId40"/>
    <sheet name="Q8.13" sheetId="82" r:id="rId41"/>
    <sheet name="Q8.14" sheetId="83" r:id="rId42"/>
    <sheet name="Q8.15" sheetId="84" r:id="rId43"/>
    <sheet name="Q8.16" sheetId="85" r:id="rId44"/>
    <sheet name="Agregado Familiar" sheetId="44" r:id="rId45"/>
    <sheet name="Q9.1" sheetId="48" r:id="rId46"/>
    <sheet name="Q9.2" sheetId="49" r:id="rId47"/>
    <sheet name="Q9.3" sheetId="50" r:id="rId48"/>
    <sheet name="Q9.4" sheetId="51" r:id="rId49"/>
    <sheet name="Q9.5" sheetId="52" r:id="rId50"/>
    <sheet name="Q9.6" sheetId="53" r:id="rId51"/>
    <sheet name="Q9.7" sheetId="54" r:id="rId52"/>
    <sheet name="Q9.8" sheetId="55" r:id="rId53"/>
    <sheet name="Q9.9" sheetId="56" r:id="rId54"/>
    <sheet name="Q9.10" sheetId="57" r:id="rId55"/>
    <sheet name="Q9.11" sheetId="58" r:id="rId56"/>
    <sheet name="Q9.12" sheetId="59" r:id="rId57"/>
    <sheet name="Q9.13" sheetId="60" r:id="rId58"/>
    <sheet name="Q9.14" sheetId="61" r:id="rId59"/>
    <sheet name="Q9.15" sheetId="62" r:id="rId60"/>
    <sheet name="Q9.16" sheetId="63" r:id="rId61"/>
    <sheet name="Q9.17" sheetId="64" r:id="rId62"/>
    <sheet name="Q9.18" sheetId="65" r:id="rId63"/>
    <sheet name="Q9.19" sheetId="66" r:id="rId64"/>
    <sheet name="Q9.20" sheetId="67" r:id="rId65"/>
    <sheet name="Habitação" sheetId="36" r:id="rId66"/>
    <sheet name="Q.10.1" sheetId="37" r:id="rId67"/>
    <sheet name="Q.10.2" sheetId="38" r:id="rId68"/>
    <sheet name="Q.10.3 " sheetId="39" r:id="rId69"/>
    <sheet name="Q.10.4" sheetId="40" r:id="rId70"/>
    <sheet name="Q.10.5 " sheetId="41" r:id="rId71"/>
    <sheet name="Q.10.6" sheetId="42" r:id="rId72"/>
    <sheet name="Quadro 10.7" sheetId="43" r:id="rId7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1" l="1"/>
  <c r="C6" i="21"/>
  <c r="M8" i="72"/>
  <c r="M9" i="72"/>
  <c r="M11" i="72"/>
  <c r="M12" i="72"/>
  <c r="M13" i="72"/>
  <c r="M14" i="72"/>
  <c r="M15" i="72"/>
  <c r="M16" i="72"/>
  <c r="M17" i="72"/>
  <c r="M18" i="72"/>
  <c r="M19" i="72"/>
  <c r="M20" i="72"/>
  <c r="M21" i="72"/>
  <c r="M22" i="72"/>
  <c r="M23" i="72"/>
  <c r="M24" i="72"/>
  <c r="M25" i="72"/>
  <c r="M26" i="72"/>
  <c r="M27" i="72"/>
  <c r="M28" i="72"/>
  <c r="M29" i="72"/>
  <c r="M30" i="72"/>
  <c r="M31" i="72"/>
  <c r="M32" i="72"/>
  <c r="M5" i="72"/>
  <c r="M32" i="85" l="1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M17" i="85"/>
  <c r="M16" i="85"/>
  <c r="M15" i="85"/>
  <c r="M14" i="85"/>
  <c r="M13" i="85"/>
  <c r="M12" i="85"/>
  <c r="M11" i="85"/>
  <c r="M9" i="85"/>
  <c r="M8" i="85"/>
  <c r="M5" i="85"/>
  <c r="M33" i="84"/>
  <c r="M32" i="84"/>
  <c r="M31" i="84"/>
  <c r="M30" i="84"/>
  <c r="M29" i="84"/>
  <c r="M28" i="84"/>
  <c r="M27" i="84"/>
  <c r="M26" i="84"/>
  <c r="M25" i="84"/>
  <c r="M24" i="84"/>
  <c r="M23" i="84"/>
  <c r="M22" i="84"/>
  <c r="M21" i="84"/>
  <c r="M20" i="84"/>
  <c r="M19" i="84"/>
  <c r="M18" i="84"/>
  <c r="M17" i="84"/>
  <c r="M16" i="84"/>
  <c r="M15" i="84"/>
  <c r="M14" i="84"/>
  <c r="M13" i="84"/>
  <c r="M12" i="84"/>
  <c r="M10" i="84"/>
  <c r="M9" i="84"/>
  <c r="M6" i="84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B15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B10" i="31"/>
  <c r="L13" i="29"/>
  <c r="H13" i="29"/>
  <c r="D13" i="29"/>
  <c r="C13" i="29"/>
  <c r="O13" i="29" s="1"/>
  <c r="L12" i="29"/>
  <c r="H12" i="29"/>
  <c r="D12" i="29"/>
  <c r="C12" i="29"/>
  <c r="O12" i="29" s="1"/>
  <c r="L11" i="29"/>
  <c r="H11" i="29"/>
  <c r="D11" i="29"/>
  <c r="C11" i="29"/>
  <c r="O11" i="29" s="1"/>
  <c r="L10" i="29"/>
  <c r="H10" i="29"/>
  <c r="D10" i="29"/>
  <c r="C10" i="29"/>
  <c r="O10" i="29" s="1"/>
  <c r="L8" i="29"/>
  <c r="H8" i="29"/>
  <c r="D8" i="29"/>
  <c r="C8" i="29"/>
  <c r="O8" i="29" s="1"/>
  <c r="L7" i="29"/>
  <c r="H7" i="29"/>
  <c r="D7" i="29"/>
  <c r="C7" i="29"/>
  <c r="O7" i="29" s="1"/>
  <c r="L4" i="29"/>
  <c r="H4" i="29"/>
  <c r="D4" i="29"/>
  <c r="C4" i="29"/>
  <c r="O4" i="29" s="1"/>
  <c r="L32" i="28"/>
  <c r="C32" i="28" s="1"/>
  <c r="H32" i="28"/>
  <c r="D32" i="28"/>
  <c r="L31" i="28"/>
  <c r="H31" i="28"/>
  <c r="D31" i="28"/>
  <c r="C31" i="28"/>
  <c r="L30" i="28"/>
  <c r="H30" i="28"/>
  <c r="D30" i="28"/>
  <c r="C30" i="28"/>
  <c r="L29" i="28"/>
  <c r="H29" i="28"/>
  <c r="D29" i="28"/>
  <c r="C29" i="28"/>
  <c r="L28" i="28"/>
  <c r="H28" i="28"/>
  <c r="D28" i="28"/>
  <c r="C28" i="28"/>
  <c r="L27" i="28"/>
  <c r="C27" i="28" s="1"/>
  <c r="H27" i="28"/>
  <c r="D27" i="28"/>
  <c r="L26" i="28"/>
  <c r="H26" i="28"/>
  <c r="D26" i="28"/>
  <c r="C26" i="28"/>
  <c r="L25" i="28"/>
  <c r="H25" i="28"/>
  <c r="D25" i="28"/>
  <c r="C25" i="28"/>
  <c r="L24" i="28"/>
  <c r="H24" i="28"/>
  <c r="D24" i="28"/>
  <c r="C24" i="28"/>
  <c r="L23" i="28"/>
  <c r="H23" i="28"/>
  <c r="D23" i="28"/>
  <c r="C23" i="28"/>
  <c r="L22" i="28"/>
  <c r="C22" i="28" s="1"/>
  <c r="H22" i="28"/>
  <c r="D22" i="28"/>
  <c r="N21" i="28"/>
  <c r="M21" i="28"/>
  <c r="L21" i="28"/>
  <c r="J21" i="28"/>
  <c r="I21" i="28"/>
  <c r="H21" i="28"/>
  <c r="F21" i="28"/>
  <c r="E21" i="28"/>
  <c r="D21" i="28"/>
  <c r="C21" i="28"/>
  <c r="B21" i="28"/>
  <c r="L20" i="28"/>
  <c r="H20" i="28"/>
  <c r="D20" i="28"/>
  <c r="C20" i="28"/>
  <c r="L19" i="28"/>
  <c r="H19" i="28"/>
  <c r="D19" i="28"/>
  <c r="L18" i="28"/>
  <c r="H18" i="28"/>
  <c r="D18" i="28"/>
  <c r="C18" i="28"/>
  <c r="L17" i="28"/>
  <c r="H17" i="28"/>
  <c r="D17" i="28"/>
  <c r="C17" i="28"/>
  <c r="N16" i="28"/>
  <c r="M16" i="28"/>
  <c r="L16" i="28"/>
  <c r="J16" i="28"/>
  <c r="I16" i="28"/>
  <c r="H16" i="28"/>
  <c r="F16" i="28"/>
  <c r="E16" i="28"/>
  <c r="D16" i="28"/>
  <c r="C16" i="28" s="1"/>
  <c r="B16" i="28"/>
  <c r="L15" i="28"/>
  <c r="C15" i="28" s="1"/>
  <c r="H15" i="28"/>
  <c r="D15" i="28"/>
  <c r="L14" i="28"/>
  <c r="H14" i="28"/>
  <c r="D14" i="28"/>
  <c r="C14" i="28"/>
  <c r="L13" i="28"/>
  <c r="H13" i="28"/>
  <c r="D13" i="28"/>
  <c r="C13" i="28"/>
  <c r="L12" i="28"/>
  <c r="H12" i="28"/>
  <c r="D12" i="28"/>
  <c r="C12" i="28"/>
  <c r="N11" i="28"/>
  <c r="M11" i="28"/>
  <c r="L11" i="28" s="1"/>
  <c r="J11" i="28"/>
  <c r="I11" i="28"/>
  <c r="H11" i="28"/>
  <c r="F11" i="28"/>
  <c r="E11" i="28"/>
  <c r="D11" i="28"/>
  <c r="B11" i="28"/>
  <c r="L9" i="28"/>
  <c r="H9" i="28"/>
  <c r="D9" i="28"/>
  <c r="C9" i="28"/>
  <c r="L8" i="28"/>
  <c r="H8" i="28"/>
  <c r="D8" i="28"/>
  <c r="C8" i="28"/>
  <c r="L5" i="28"/>
  <c r="H5" i="28"/>
  <c r="D5" i="28"/>
  <c r="C5" i="28" s="1"/>
  <c r="E20" i="26"/>
  <c r="D20" i="26"/>
  <c r="C20" i="26"/>
  <c r="B20" i="26"/>
  <c r="E15" i="26"/>
  <c r="D15" i="26"/>
  <c r="C15" i="26"/>
  <c r="B15" i="26"/>
  <c r="E10" i="26"/>
  <c r="D10" i="26"/>
  <c r="C10" i="26"/>
  <c r="B10" i="26"/>
  <c r="E20" i="23"/>
  <c r="D20" i="23"/>
  <c r="C20" i="23"/>
  <c r="B20" i="23"/>
  <c r="E15" i="23"/>
  <c r="D15" i="23"/>
  <c r="C15" i="23"/>
  <c r="B15" i="23"/>
  <c r="E10" i="23"/>
  <c r="D10" i="23"/>
  <c r="C10" i="23"/>
  <c r="B10" i="23"/>
  <c r="H20" i="21"/>
  <c r="G20" i="21"/>
  <c r="F20" i="21"/>
  <c r="E20" i="21"/>
  <c r="D20" i="21"/>
  <c r="C20" i="21"/>
  <c r="B20" i="21"/>
  <c r="H15" i="21"/>
  <c r="G15" i="21"/>
  <c r="F15" i="21"/>
  <c r="E15" i="21"/>
  <c r="D15" i="21"/>
  <c r="C15" i="21"/>
  <c r="B15" i="21"/>
  <c r="H10" i="21"/>
  <c r="G10" i="21"/>
  <c r="F10" i="21"/>
  <c r="E10" i="21"/>
  <c r="D10" i="21"/>
  <c r="C10" i="21"/>
  <c r="B10" i="21"/>
  <c r="H6" i="21"/>
  <c r="G6" i="21"/>
  <c r="F6" i="21"/>
  <c r="E6" i="21"/>
  <c r="M59" i="71"/>
  <c r="M58" i="71"/>
  <c r="M57" i="71"/>
  <c r="M56" i="71"/>
  <c r="M55" i="71"/>
  <c r="M54" i="71"/>
  <c r="M53" i="71"/>
  <c r="M52" i="71"/>
  <c r="M51" i="71"/>
  <c r="M50" i="71"/>
  <c r="M49" i="71"/>
  <c r="M48" i="71"/>
  <c r="M47" i="71"/>
  <c r="M46" i="71"/>
  <c r="M45" i="71"/>
  <c r="M44" i="71"/>
  <c r="M43" i="71"/>
  <c r="M42" i="71"/>
  <c r="M41" i="71"/>
  <c r="M40" i="71"/>
  <c r="M39" i="71"/>
  <c r="M38" i="71"/>
  <c r="M37" i="71"/>
  <c r="M36" i="71"/>
  <c r="M35" i="71"/>
  <c r="M34" i="71"/>
  <c r="M33" i="71"/>
  <c r="M32" i="71"/>
  <c r="M31" i="71"/>
  <c r="M30" i="71"/>
  <c r="M29" i="71"/>
  <c r="M28" i="71"/>
  <c r="M27" i="71"/>
  <c r="M26" i="71"/>
  <c r="M25" i="71"/>
  <c r="M24" i="71"/>
  <c r="M23" i="71"/>
  <c r="M22" i="71"/>
  <c r="M21" i="71"/>
  <c r="M20" i="71"/>
  <c r="M19" i="71"/>
  <c r="M18" i="71"/>
  <c r="M17" i="71"/>
  <c r="M16" i="71"/>
  <c r="M15" i="71"/>
  <c r="M14" i="71"/>
  <c r="M13" i="71"/>
  <c r="M12" i="71"/>
  <c r="M11" i="71"/>
  <c r="M10" i="71"/>
  <c r="M9" i="71"/>
  <c r="M8" i="71"/>
  <c r="M7" i="71"/>
  <c r="M4" i="71"/>
  <c r="M32" i="70"/>
  <c r="M31" i="70"/>
  <c r="M30" i="70"/>
  <c r="M29" i="70"/>
  <c r="M28" i="70"/>
  <c r="M27" i="70"/>
  <c r="M26" i="70"/>
  <c r="M25" i="70"/>
  <c r="M24" i="70"/>
  <c r="M23" i="70"/>
  <c r="M22" i="70"/>
  <c r="M21" i="70"/>
  <c r="M20" i="70"/>
  <c r="M19" i="70"/>
  <c r="M18" i="70"/>
  <c r="M17" i="70"/>
  <c r="M16" i="70"/>
  <c r="M15" i="70"/>
  <c r="M14" i="70"/>
  <c r="M13" i="70"/>
  <c r="M12" i="70"/>
  <c r="M11" i="70"/>
  <c r="M9" i="70"/>
  <c r="M8" i="70"/>
  <c r="M5" i="70"/>
  <c r="C19" i="28" l="1"/>
  <c r="C11" i="28"/>
  <c r="C31" i="47"/>
  <c r="G30" i="47"/>
  <c r="F30" i="47"/>
  <c r="E30" i="47"/>
  <c r="D30" i="47"/>
  <c r="C30" i="47"/>
  <c r="B30" i="47"/>
  <c r="C29" i="47"/>
  <c r="G28" i="47"/>
  <c r="F28" i="47"/>
  <c r="E28" i="47"/>
  <c r="D28" i="47"/>
  <c r="C28" i="47"/>
  <c r="B28" i="47"/>
  <c r="C27" i="47"/>
  <c r="G26" i="47"/>
  <c r="F26" i="47"/>
  <c r="E26" i="47"/>
  <c r="D26" i="47"/>
  <c r="C26" i="47"/>
  <c r="B26" i="47"/>
  <c r="C25" i="47"/>
  <c r="G24" i="47"/>
  <c r="F24" i="47"/>
  <c r="E24" i="47"/>
  <c r="D24" i="47"/>
  <c r="C24" i="47"/>
  <c r="B24" i="47"/>
  <c r="G20" i="47"/>
  <c r="F20" i="47"/>
  <c r="E20" i="47"/>
  <c r="D20" i="47"/>
  <c r="C20" i="47"/>
  <c r="B20" i="47"/>
  <c r="C19" i="47"/>
  <c r="C18" i="47"/>
  <c r="C17" i="47"/>
  <c r="C16" i="47"/>
  <c r="G15" i="47"/>
  <c r="F15" i="47"/>
  <c r="E15" i="47"/>
  <c r="D15" i="47"/>
  <c r="C15" i="47"/>
  <c r="C14" i="47"/>
  <c r="C13" i="47"/>
  <c r="C12" i="47"/>
  <c r="C11" i="47"/>
  <c r="G10" i="47"/>
  <c r="F10" i="47"/>
  <c r="E10" i="47"/>
  <c r="D10" i="47"/>
  <c r="C10" i="47"/>
  <c r="B10" i="47"/>
  <c r="C31" i="46"/>
  <c r="E30" i="46"/>
  <c r="D30" i="46"/>
  <c r="C30" i="46"/>
  <c r="B30" i="46"/>
  <c r="C29" i="46"/>
  <c r="E28" i="46"/>
  <c r="D28" i="46"/>
  <c r="C28" i="46"/>
  <c r="B28" i="46"/>
  <c r="C27" i="46"/>
  <c r="E26" i="46"/>
  <c r="D26" i="46"/>
  <c r="C26" i="46"/>
  <c r="B26" i="46"/>
  <c r="C25" i="46"/>
  <c r="E24" i="46"/>
  <c r="D24" i="46"/>
  <c r="C24" i="46"/>
  <c r="B24" i="46"/>
  <c r="E20" i="46"/>
  <c r="D20" i="46"/>
  <c r="C20" i="46"/>
  <c r="B20" i="46"/>
  <c r="E15" i="46"/>
  <c r="D15" i="46"/>
  <c r="C15" i="46"/>
  <c r="B15" i="46"/>
  <c r="E10" i="46"/>
  <c r="D10" i="46"/>
  <c r="C10" i="46"/>
  <c r="B10" i="46"/>
  <c r="J31" i="6"/>
  <c r="F31" i="6"/>
  <c r="B31" i="6"/>
  <c r="J29" i="6"/>
  <c r="F29" i="6"/>
  <c r="B29" i="6"/>
  <c r="J27" i="6"/>
  <c r="F27" i="6"/>
  <c r="B27" i="6"/>
  <c r="J25" i="6"/>
  <c r="F25" i="6"/>
  <c r="B25" i="6"/>
  <c r="J24" i="6"/>
  <c r="F24" i="6"/>
  <c r="B24" i="6"/>
  <c r="J23" i="6"/>
  <c r="F23" i="6"/>
  <c r="B23" i="6"/>
  <c r="B21" i="6" s="1"/>
  <c r="J22" i="6"/>
  <c r="J21" i="6" s="1"/>
  <c r="F22" i="6"/>
  <c r="B22" i="6"/>
  <c r="L21" i="6"/>
  <c r="K21" i="6"/>
  <c r="I21" i="6"/>
  <c r="H21" i="6"/>
  <c r="G21" i="6"/>
  <c r="E21" i="6"/>
  <c r="D21" i="6"/>
  <c r="C21" i="6"/>
  <c r="J9" i="6"/>
  <c r="F9" i="6"/>
  <c r="B9" i="6"/>
  <c r="J8" i="6"/>
  <c r="F8" i="6"/>
  <c r="B8" i="6"/>
  <c r="J5" i="6"/>
  <c r="F5" i="6"/>
  <c r="B5" i="6"/>
  <c r="H29" i="5"/>
  <c r="G29" i="5"/>
  <c r="F29" i="5"/>
  <c r="E29" i="5"/>
  <c r="D29" i="5"/>
  <c r="C29" i="5"/>
  <c r="B29" i="5"/>
  <c r="H27" i="5"/>
  <c r="G27" i="5"/>
  <c r="F27" i="5"/>
  <c r="E27" i="5"/>
  <c r="D27" i="5"/>
  <c r="C27" i="5"/>
  <c r="B27" i="5"/>
  <c r="H25" i="5"/>
  <c r="G25" i="5"/>
  <c r="F25" i="5"/>
  <c r="E25" i="5"/>
  <c r="D25" i="5"/>
  <c r="C25" i="5"/>
  <c r="B25" i="5"/>
  <c r="H23" i="5"/>
  <c r="G23" i="5"/>
  <c r="F23" i="5"/>
  <c r="E23" i="5"/>
  <c r="D23" i="5"/>
  <c r="C23" i="5"/>
  <c r="B23" i="5"/>
  <c r="H19" i="5"/>
  <c r="G19" i="5"/>
  <c r="F19" i="5"/>
  <c r="E19" i="5"/>
  <c r="D19" i="5"/>
  <c r="C19" i="5"/>
  <c r="B19" i="5"/>
  <c r="H14" i="5"/>
  <c r="G14" i="5"/>
  <c r="F14" i="5"/>
  <c r="E14" i="5"/>
  <c r="D14" i="5"/>
  <c r="C14" i="5"/>
  <c r="B14" i="5"/>
  <c r="H9" i="5"/>
  <c r="G9" i="5"/>
  <c r="F9" i="5"/>
  <c r="E9" i="5"/>
  <c r="D9" i="5"/>
  <c r="C9" i="5"/>
  <c r="B9" i="5"/>
  <c r="E29" i="4"/>
  <c r="D29" i="4"/>
  <c r="C29" i="4"/>
  <c r="B29" i="4"/>
  <c r="E27" i="4"/>
  <c r="D27" i="4"/>
  <c r="C27" i="4"/>
  <c r="B27" i="4"/>
  <c r="E25" i="4"/>
  <c r="D25" i="4"/>
  <c r="C25" i="4"/>
  <c r="B25" i="4"/>
  <c r="E23" i="4"/>
  <c r="D23" i="4"/>
  <c r="C23" i="4"/>
  <c r="B23" i="4"/>
  <c r="E19" i="4"/>
  <c r="D19" i="4"/>
  <c r="C19" i="4"/>
  <c r="B19" i="4"/>
  <c r="E14" i="4"/>
  <c r="D14" i="4"/>
  <c r="C14" i="4"/>
  <c r="B14" i="4"/>
  <c r="E9" i="4"/>
  <c r="D9" i="4"/>
  <c r="C9" i="4"/>
  <c r="B9" i="4"/>
  <c r="H25" i="3"/>
  <c r="G25" i="3"/>
  <c r="F25" i="3"/>
  <c r="H24" i="3"/>
  <c r="F24" i="3"/>
  <c r="G24" i="3" s="1"/>
  <c r="H23" i="3"/>
  <c r="F23" i="3"/>
  <c r="G23" i="3" s="1"/>
  <c r="H22" i="3"/>
  <c r="F22" i="3"/>
  <c r="G22" i="3" s="1"/>
  <c r="H21" i="3"/>
  <c r="F21" i="3"/>
  <c r="G21" i="3" s="1"/>
  <c r="H20" i="3"/>
  <c r="F20" i="3"/>
  <c r="G20" i="3" s="1"/>
  <c r="H19" i="3"/>
  <c r="F19" i="3"/>
  <c r="G19" i="3" s="1"/>
  <c r="H18" i="3"/>
  <c r="G18" i="3"/>
  <c r="F18" i="3"/>
  <c r="H17" i="3"/>
  <c r="F17" i="3"/>
  <c r="G17" i="3" s="1"/>
  <c r="H16" i="3"/>
  <c r="F16" i="3"/>
  <c r="G16" i="3" s="1"/>
  <c r="H15" i="3"/>
  <c r="F15" i="3"/>
  <c r="G15" i="3" s="1"/>
  <c r="H14" i="3"/>
  <c r="F14" i="3"/>
  <c r="G14" i="3" s="1"/>
  <c r="H13" i="3"/>
  <c r="F13" i="3"/>
  <c r="G13" i="3" s="1"/>
  <c r="H12" i="3"/>
  <c r="F12" i="3"/>
  <c r="G12" i="3" s="1"/>
  <c r="H11" i="3"/>
  <c r="F11" i="3"/>
  <c r="G11" i="3" s="1"/>
  <c r="H10" i="3"/>
  <c r="G10" i="3"/>
  <c r="F10" i="3"/>
  <c r="H9" i="3"/>
  <c r="G9" i="3"/>
  <c r="F9" i="3"/>
  <c r="H8" i="3"/>
  <c r="F8" i="3"/>
  <c r="G8" i="3" s="1"/>
  <c r="H7" i="3"/>
  <c r="F7" i="3"/>
  <c r="G7" i="3" s="1"/>
  <c r="H6" i="3"/>
  <c r="F6" i="3"/>
  <c r="G6" i="3" s="1"/>
  <c r="D19" i="1"/>
  <c r="C19" i="1"/>
  <c r="B19" i="1"/>
  <c r="F21" i="6" l="1"/>
  <c r="C12" i="66"/>
  <c r="C11" i="66"/>
  <c r="C10" i="66"/>
  <c r="C9" i="66"/>
  <c r="C8" i="66"/>
  <c r="C7" i="66"/>
  <c r="F31" i="53"/>
  <c r="F30" i="53"/>
  <c r="F29" i="53"/>
  <c r="F28" i="53"/>
  <c r="F27" i="53"/>
  <c r="F26" i="53"/>
  <c r="F25" i="53"/>
  <c r="F24" i="53"/>
  <c r="F23" i="53"/>
  <c r="F22" i="53"/>
  <c r="F21" i="53"/>
  <c r="F20" i="53"/>
  <c r="F19" i="53"/>
  <c r="F18" i="53"/>
  <c r="F17" i="53"/>
  <c r="F16" i="53"/>
  <c r="F15" i="53"/>
  <c r="F14" i="53"/>
  <c r="F13" i="53"/>
  <c r="F12" i="53"/>
  <c r="F11" i="53"/>
  <c r="F10" i="53"/>
  <c r="F8" i="53"/>
  <c r="F7" i="53"/>
  <c r="F4" i="53"/>
  <c r="Q5" i="50"/>
  <c r="I5" i="50"/>
  <c r="F30" i="37" l="1"/>
  <c r="E30" i="37"/>
  <c r="D30" i="37"/>
  <c r="C30" i="37"/>
  <c r="B30" i="37"/>
  <c r="F28" i="37"/>
  <c r="E28" i="37"/>
  <c r="D28" i="37"/>
  <c r="C28" i="37"/>
  <c r="B28" i="37"/>
  <c r="F26" i="37"/>
  <c r="E26" i="37"/>
  <c r="D26" i="37"/>
  <c r="C26" i="37"/>
  <c r="B26" i="37"/>
  <c r="F24" i="37"/>
  <c r="E24" i="37"/>
  <c r="D24" i="37"/>
  <c r="C24" i="37"/>
  <c r="B24" i="37"/>
  <c r="F20" i="37"/>
  <c r="E20" i="37"/>
  <c r="D20" i="37"/>
  <c r="C20" i="37"/>
  <c r="B20" i="37"/>
  <c r="F15" i="37"/>
  <c r="E15" i="37"/>
  <c r="D15" i="37"/>
  <c r="C15" i="37"/>
  <c r="B15" i="37"/>
  <c r="F10" i="37"/>
  <c r="E10" i="37"/>
  <c r="D10" i="37"/>
  <c r="C10" i="37"/>
  <c r="B10" i="37"/>
</calcChain>
</file>

<file path=xl/sharedStrings.xml><?xml version="1.0" encoding="utf-8"?>
<sst xmlns="http://schemas.openxmlformats.org/spreadsheetml/2006/main" count="2434" uniqueCount="581">
  <si>
    <t>Total</t>
  </si>
  <si>
    <t>Homens</t>
  </si>
  <si>
    <t>Mulheres</t>
  </si>
  <si>
    <t>Área de residência</t>
  </si>
  <si>
    <t>Urbana</t>
  </si>
  <si>
    <t>Rural</t>
  </si>
  <si>
    <t>Idade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</si>
  <si>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</si>
  <si>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</si>
  <si>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</si>
  <si>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</si>
  <si>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</si>
  <si>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</si>
  <si>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</si>
  <si>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</si>
  <si>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</si>
  <si>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</si>
  <si>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</si>
  <si>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</si>
  <si>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</si>
  <si>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</si>
  <si>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</si>
  <si>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</si>
  <si>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</si>
  <si>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</si>
  <si>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</si>
  <si>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</si>
  <si>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</si>
  <si>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</si>
  <si>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</si>
  <si>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</si>
  <si>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</si>
  <si>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</si>
  <si>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</si>
  <si>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</si>
  <si>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</si>
  <si>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</si>
  <si>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</si>
  <si>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</si>
  <si>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</si>
  <si>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</si>
  <si>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</si>
  <si>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</si>
  <si>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</si>
  <si>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</si>
  <si>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</si>
  <si>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</si>
  <si>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</si>
  <si>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</si>
  <si>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</si>
  <si>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</si>
  <si>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</si>
  <si>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</si>
  <si>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</si>
  <si>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</si>
  <si>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</si>
  <si>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</si>
  <si>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</si>
  <si>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</si>
  <si>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</si>
  <si>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</si>
  <si>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</si>
  <si>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</si>
  <si>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</si>
  <si>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</si>
  <si>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</si>
  <si>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</si>
  <si>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</si>
  <si>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</si>
  <si>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</si>
  <si>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</si>
  <si>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</si>
  <si>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</si>
  <si>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</si>
  <si>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</si>
  <si>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</si>
  <si>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</si>
  <si>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</si>
  <si>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</si>
  <si>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</si>
  <si>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</si>
  <si>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</si>
  <si>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</si>
  <si>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</si>
  <si>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</si>
  <si>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</si>
  <si>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</si>
  <si>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</si>
  <si>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</si>
  <si>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</si>
  <si>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</si>
  <si>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</si>
  <si>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</si>
  <si>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</si>
  <si>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</si>
  <si>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</si>
  <si>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</si>
  <si>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</si>
  <si>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</si>
  <si>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</si>
  <si>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</si>
  <si>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</si>
  <si>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Quadro 1.3 - População por grupos etários quinquenais, 2024</t>
  </si>
  <si>
    <t xml:space="preserve"> Grupos etários</t>
  </si>
  <si>
    <t>95 ou mais anos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</si>
  <si>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</si>
  <si>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</si>
  <si>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</si>
  <si>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</si>
  <si>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</si>
  <si>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</si>
  <si>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</si>
  <si>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</si>
  <si>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</si>
  <si>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</si>
  <si>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</si>
  <si>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</si>
  <si>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</si>
  <si>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</si>
  <si>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</si>
  <si>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</si>
  <si>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</si>
  <si>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</si>
  <si>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</si>
  <si>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 xml:space="preserve"> 0 - 14 anos</t>
  </si>
  <si>
    <t xml:space="preserve"> 15-64 anos</t>
  </si>
  <si>
    <t xml:space="preserve"> 65 ou mais anos</t>
  </si>
  <si>
    <t>0-19 anos</t>
  </si>
  <si>
    <t>20-29 anos</t>
  </si>
  <si>
    <t>30-54 anos</t>
  </si>
  <si>
    <t>55-64 anos</t>
  </si>
  <si>
    <t>65-74 anos</t>
  </si>
  <si>
    <t>75 ou mais anos</t>
  </si>
  <si>
    <t>Grupos etários</t>
  </si>
  <si>
    <t>0 - 14 anos</t>
  </si>
  <si>
    <t>15 - 64 anos</t>
  </si>
  <si>
    <t>65 ou mais anos</t>
  </si>
  <si>
    <t>Municípios</t>
  </si>
  <si>
    <t>Média</t>
  </si>
  <si>
    <t>Mediana</t>
  </si>
  <si>
    <t>Área de Residência</t>
  </si>
  <si>
    <t>Sexo</t>
  </si>
  <si>
    <t>Município / comuna</t>
  </si>
  <si>
    <t>Municípios / comuna</t>
  </si>
  <si>
    <t>Idades Simples</t>
  </si>
  <si>
    <t>95 ou mais</t>
  </si>
  <si>
    <t>Icolo e Bengo</t>
  </si>
  <si>
    <t>Icolo Bengo</t>
  </si>
  <si>
    <t>Catete</t>
  </si>
  <si>
    <t>Cassoneca</t>
  </si>
  <si>
    <t>Caculo Cahango</t>
  </si>
  <si>
    <t>Caxicane</t>
  </si>
  <si>
    <t>Quiçama</t>
  </si>
  <si>
    <t>Muxima</t>
  </si>
  <si>
    <t>Demba Chio</t>
  </si>
  <si>
    <t>Mumbondo</t>
  </si>
  <si>
    <t>Quixinge</t>
  </si>
  <si>
    <t>Sequele</t>
  </si>
  <si>
    <t>Funda</t>
  </si>
  <si>
    <t>Quifangondo</t>
  </si>
  <si>
    <t>Calumbo</t>
  </si>
  <si>
    <t>Cabo Ledo</t>
  </si>
  <si>
    <t>Bom Jesus</t>
  </si>
  <si>
    <t>Cabiri</t>
  </si>
  <si>
    <t>(-homens)</t>
  </si>
  <si>
    <t>Estado Civil</t>
  </si>
  <si>
    <t>Solteiro(a)</t>
  </si>
  <si>
    <t>Casado(união de facto)</t>
  </si>
  <si>
    <t>Separado(a)</t>
  </si>
  <si>
    <t>Divorciado(a)</t>
  </si>
  <si>
    <t>Viúvo(a)</t>
  </si>
  <si>
    <t>Não declarado</t>
  </si>
  <si>
    <t>Municípios / Comunas</t>
  </si>
  <si>
    <t xml:space="preserve">Total da população </t>
  </si>
  <si>
    <t>População com registo de nascimento</t>
  </si>
  <si>
    <t>Grupos Etários</t>
  </si>
  <si>
    <t>População com  5 ou mais anos</t>
  </si>
  <si>
    <t>População com Bilhete de Identidade</t>
  </si>
  <si>
    <t>População com 5 ou mais anos</t>
  </si>
  <si>
    <t>População com bilhete de identidade</t>
  </si>
  <si>
    <t>Urbano</t>
  </si>
  <si>
    <t>Mãe vive noutro agregado</t>
  </si>
  <si>
    <t xml:space="preserve"> Pai vive noutro agregado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</si>
  <si>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</si>
  <si>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</si>
  <si>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</si>
  <si>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</si>
  <si>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</si>
  <si>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15-17 anos</t>
  </si>
  <si>
    <t>População com 2 ou mais anos</t>
  </si>
  <si>
    <t xml:space="preserve"> Grupo_Étnico da população com 2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</si>
  <si>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</si>
  <si>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</si>
  <si>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</si>
  <si>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</si>
  <si>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</si>
  <si>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</si>
  <si>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</si>
  <si>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</si>
  <si>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</si>
  <si>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</si>
  <si>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</si>
  <si>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</si>
  <si>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</si>
  <si>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</si>
  <si>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Número de pessoas com 2 ou mais anos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</si>
  <si>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</si>
  <si>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</si>
  <si>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</si>
  <si>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</si>
  <si>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</si>
  <si>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</si>
  <si>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</si>
  <si>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</si>
  <si>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</si>
  <si>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</si>
  <si>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</si>
  <si>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</si>
  <si>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</si>
  <si>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Quadro 7.1 - População com 2 ou mais anos por área de residência e município, segundo a religião ou espiritualidade, 2024</t>
  </si>
  <si>
    <t>Área de residência e município</t>
  </si>
  <si>
    <t xml:space="preserve">Católica </t>
  </si>
  <si>
    <t>Bom Deus</t>
  </si>
  <si>
    <t>Islâmica/ Muçulmana</t>
  </si>
  <si>
    <t>Animista</t>
  </si>
  <si>
    <t>Judaica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</si>
  <si>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</si>
  <si>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</si>
  <si>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</si>
  <si>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</si>
  <si>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</si>
  <si>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</si>
  <si>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</si>
  <si>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</si>
  <si>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</si>
  <si>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ultimos Tempos</t>
  </si>
  <si>
    <t>Sem religião</t>
  </si>
  <si>
    <t>Outra religião</t>
  </si>
  <si>
    <t>Não sabe/ Não respondeu</t>
  </si>
  <si>
    <t>Total da população</t>
  </si>
  <si>
    <t>0 - 4 anos</t>
  </si>
  <si>
    <t>5 - 14 anos</t>
  </si>
  <si>
    <t>Município/Comuna</t>
  </si>
  <si>
    <t>Total de habitações familiares</t>
  </si>
  <si>
    <t>Habitação Familiar</t>
  </si>
  <si>
    <t>Vivenda</t>
  </si>
  <si>
    <t>Casa convencional</t>
  </si>
  <si>
    <t>Apartamento</t>
  </si>
  <si>
    <t>Cubata</t>
  </si>
  <si>
    <t>Barraca ( casa de chapa, lata , madeira rudimentar)</t>
  </si>
  <si>
    <t>Outros</t>
  </si>
  <si>
    <t>Municípios / Comuna</t>
  </si>
  <si>
    <t>Estado de ocupação da habitação</t>
  </si>
  <si>
    <t xml:space="preserve"> Residência de uso habitual ocupada</t>
  </si>
  <si>
    <t xml:space="preserve"> Residência de uso ocasional / secundária</t>
  </si>
  <si>
    <t xml:space="preserve"> Residência fechada (habitada)</t>
  </si>
  <si>
    <t>Tipo de material usado principamente nas paredes exteriores</t>
  </si>
  <si>
    <t xml:space="preserve"> Pedra</t>
  </si>
  <si>
    <t xml:space="preserve"> Cimento/ Bloco</t>
  </si>
  <si>
    <t xml:space="preserve"> Tijolo</t>
  </si>
  <si>
    <t xml:space="preserve"> Adobe</t>
  </si>
  <si>
    <t xml:space="preserve"> Madeira</t>
  </si>
  <si>
    <t xml:space="preserve"> Zinco / Chapa</t>
  </si>
  <si>
    <t xml:space="preserve"> Pau-a-pique</t>
  </si>
  <si>
    <t>Municipio / comuna</t>
  </si>
  <si>
    <t xml:space="preserve"> Placa de betão</t>
  </si>
  <si>
    <t xml:space="preserve"> Telha</t>
  </si>
  <si>
    <t xml:space="preserve"> Lusalite / Fibrocimento</t>
  </si>
  <si>
    <t xml:space="preserve"> Capim</t>
  </si>
  <si>
    <t xml:space="preserve"> Outro</t>
  </si>
  <si>
    <t xml:space="preserve"> Terra batida</t>
  </si>
  <si>
    <t xml:space="preserve"> Cimento</t>
  </si>
  <si>
    <t xml:space="preserve"> Mosaicos de cerâmica</t>
  </si>
  <si>
    <t xml:space="preserve"> Gránito</t>
  </si>
  <si>
    <t xml:space="preserve"> Mármore</t>
  </si>
  <si>
    <t xml:space="preserve"> Tacos de madeira</t>
  </si>
  <si>
    <t>Divisões da habitação</t>
  </si>
  <si>
    <t>Quartos só para dormir</t>
  </si>
  <si>
    <t>Média de divisões por habitação</t>
  </si>
  <si>
    <t>Média de pessoas por divisão</t>
  </si>
  <si>
    <t>Média de quartos só para dormir por habitação</t>
  </si>
  <si>
    <t>Média de pessoas por quarto sópara dormir</t>
  </si>
  <si>
    <t>População com albinismo</t>
  </si>
  <si>
    <t>Grandes grupos de idade</t>
  </si>
  <si>
    <t>5-14 anos</t>
  </si>
  <si>
    <t>15-64 anos</t>
  </si>
  <si>
    <t>65 ou mais</t>
  </si>
  <si>
    <t xml:space="preserve"> Icolo e Bengo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</si>
  <si>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</si>
  <si>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</si>
  <si>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</si>
  <si>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Electricidade da rede pública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</si>
  <si>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</si>
  <si>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</si>
  <si>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</si>
  <si>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</si>
  <si>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</si>
  <si>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</si>
  <si>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</si>
  <si>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</si>
  <si>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Município/comunas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</si>
  <si>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</si>
  <si>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</si>
  <si>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</si>
  <si>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</si>
  <si>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</si>
  <si>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</si>
  <si>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</si>
  <si>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</si>
  <si>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 xml:space="preserve"> Outro (Especifique)</t>
  </si>
  <si>
    <t>Municipios/comunas</t>
  </si>
  <si>
    <t>Quadro 9.3 - Agregados familiares por área de residência, município e comuna, segundo o tipo de sanitário (casa de banho, retrete) que o agregado familiar utiliza normalmente dentro ou fora de casa, 2024</t>
  </si>
  <si>
    <t xml:space="preserve">Dentro de Casa </t>
  </si>
  <si>
    <t>Total de AF com sanitário dentro de casa</t>
  </si>
  <si>
    <t xml:space="preserve">Fora de Casa </t>
  </si>
  <si>
    <t>Total de AF com sanitário fora de casa</t>
  </si>
  <si>
    <t>Sanita ligada á rede pública de esgotos</t>
  </si>
  <si>
    <t>Sanita ligada á fossa séptica</t>
  </si>
  <si>
    <t>Retrete/latrina ligada á rede pública de esgotos</t>
  </si>
  <si>
    <t>Retrete/latrina ligada á fossa séptica</t>
  </si>
  <si>
    <t>Retrete/latrina ligada á fossa aberta ( vala ou rio)</t>
  </si>
  <si>
    <t>Sanita  ligada á fossa aberta (vala ou rio)</t>
  </si>
  <si>
    <t>Nenhum sanitário/Espaço livre/Ar livre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</si>
  <si>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</si>
  <si>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</si>
  <si>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</si>
  <si>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</si>
  <si>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</si>
  <si>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</si>
  <si>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</si>
  <si>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</si>
  <si>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</si>
  <si>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</si>
  <si>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>Municípios/comunas</t>
  </si>
  <si>
    <t>Sim</t>
  </si>
  <si>
    <t>Não</t>
  </si>
  <si>
    <t>Total de Agregados familiares</t>
  </si>
  <si>
    <t xml:space="preserve"> Acesso a água da rede pública</t>
  </si>
  <si>
    <t>Total de agregados familiares com acesso a água da rede pública</t>
  </si>
  <si>
    <t>Sim, dentro do quintal</t>
  </si>
  <si>
    <t>Não tem acesso</t>
  </si>
  <si>
    <t>Situação se a água utilizada para beber provém da mesma fonte</t>
  </si>
  <si>
    <t xml:space="preserve"> Sim</t>
  </si>
  <si>
    <t xml:space="preserve"> Não</t>
  </si>
  <si>
    <t>Icolo e bengo</t>
  </si>
  <si>
    <t>Quadro 9.8 - Agregados familiares por área de residência, município e comuna, segundo a principal fonte utilizada para abastecimento de água, 2024</t>
  </si>
  <si>
    <t>Principal fonte utilizado para abastecimento de água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</si>
  <si>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</si>
  <si>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</si>
  <si>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</si>
  <si>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</si>
  <si>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</si>
  <si>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</si>
  <si>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</si>
  <si>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</si>
  <si>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</si>
  <si>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</si>
  <si>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</si>
  <si>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Outra fonte</t>
  </si>
  <si>
    <t>Possui</t>
  </si>
  <si>
    <t>Não possui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</si>
  <si>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</si>
  <si>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</si>
  <si>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</si>
  <si>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</si>
  <si>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</si>
  <si>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</si>
  <si>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</si>
  <si>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</si>
  <si>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</si>
  <si>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</si>
  <si>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</si>
  <si>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</si>
  <si>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</si>
  <si>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>Total de agregados familiares que praticaram actividade pecuária nos últimos 12 meses</t>
  </si>
  <si>
    <t>Tipo de animais</t>
  </si>
  <si>
    <t xml:space="preserve"> Bois/Vacas</t>
  </si>
  <si>
    <t>Cabrito/cabra</t>
  </si>
  <si>
    <t>Porco/leitão</t>
  </si>
  <si>
    <t>Carneiro/ovelha</t>
  </si>
  <si>
    <t>Equino/cavalo</t>
  </si>
  <si>
    <t>Quadro 9.13 - Agregados familiares por área de residência, município e comuna, segundo o tipo de actividade piscatória praticada, 2024</t>
  </si>
  <si>
    <t>Total de agregados familiares que praticaram actividade piscatória nos últimos 12 meses</t>
  </si>
  <si>
    <t>Pesca continental/Fluvial</t>
  </si>
  <si>
    <t>Pesca artesanal marítima</t>
  </si>
  <si>
    <t>Aquicultura</t>
  </si>
  <si>
    <t>Situação se o agregado recebe algum tipo de apoio social</t>
  </si>
  <si>
    <t>Recebe</t>
  </si>
  <si>
    <t>Não recebe</t>
  </si>
  <si>
    <t>Quadro 9.16 - Agregados familiares por área de residência, município e comuna, segundo a entidade que prestou o apoio social, 2024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</si>
  <si>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</si>
  <si>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</si>
  <si>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</si>
  <si>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</si>
  <si>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</si>
  <si>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Quadro 9.17 - Agregados familiares por área de residência, município e comuna, segundo o sexo do chefe, 2024</t>
  </si>
  <si>
    <t>Sexo do Chefe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</si>
  <si>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</si>
  <si>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</si>
  <si>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</si>
  <si>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</si>
  <si>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</si>
  <si>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</si>
  <si>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</si>
  <si>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</si>
  <si>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Icole e Bengo</t>
  </si>
  <si>
    <t>Nº</t>
  </si>
  <si>
    <t>%</t>
  </si>
  <si>
    <t>Grupo etário</t>
  </si>
  <si>
    <t>Menor de 24 anos</t>
  </si>
  <si>
    <t>25-34 anos</t>
  </si>
  <si>
    <t>35-44 anos</t>
  </si>
  <si>
    <t>45-54 anos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</si>
  <si>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</si>
  <si>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</si>
  <si>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</si>
  <si>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</si>
  <si>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</si>
  <si>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</si>
  <si>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</si>
  <si>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</si>
  <si>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</si>
  <si>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Area de residencia</t>
  </si>
  <si>
    <t xml:space="preserve">Protestante </t>
  </si>
  <si>
    <t xml:space="preserve">Universal do reino de Deus </t>
  </si>
  <si>
    <t xml:space="preserve">Nova apostolica </t>
  </si>
  <si>
    <t>Total da população com 15 ou mais anos</t>
  </si>
  <si>
    <t>População com que sabe ler e escrever</t>
  </si>
  <si>
    <t>Taxa de alfabetização</t>
  </si>
  <si>
    <t>Índice de paridade no Género</t>
  </si>
  <si>
    <t>Municípios e comunas</t>
  </si>
  <si>
    <t>Total da população com 15-24 anos</t>
  </si>
  <si>
    <t>População com 15-24 anos que sabe ler e escrever</t>
  </si>
  <si>
    <t>Aárea de residência</t>
  </si>
  <si>
    <t xml:space="preserve"> População com 5 ou mais anos</t>
  </si>
  <si>
    <t>A frequentar</t>
  </si>
  <si>
    <t>Alguma vez frequentou</t>
  </si>
  <si>
    <t>Nunca frequentou</t>
  </si>
  <si>
    <t>População com 5-11 anos fora do sistema de ensino</t>
  </si>
  <si>
    <t xml:space="preserve"> População com 12-14 anos fora do sistema do ensino</t>
  </si>
  <si>
    <t xml:space="preserve">Total </t>
  </si>
  <si>
    <t xml:space="preserve"> População com 15-18 anos</t>
  </si>
  <si>
    <t xml:space="preserve"> População com 15-18 anos fora do sistema de ensino</t>
  </si>
  <si>
    <t xml:space="preserve">A frequentar </t>
  </si>
  <si>
    <t xml:space="preserve"> População com 5-18 anos</t>
  </si>
  <si>
    <t xml:space="preserve"> População com 5-18 anos fora do sistema do ensino </t>
  </si>
  <si>
    <t>População com 5-11 anos</t>
  </si>
  <si>
    <t>Iniciação ou alfabetização</t>
  </si>
  <si>
    <t>Ensino Primário</t>
  </si>
  <si>
    <t>I Ciclo do ensino secundário</t>
  </si>
  <si>
    <t>II Ciclo do ensino secundário</t>
  </si>
  <si>
    <t>Ensino Superior</t>
  </si>
  <si>
    <t>População com 12-14 anos</t>
  </si>
  <si>
    <t>Zona de residência</t>
  </si>
  <si>
    <t>População com 18 ou mais anos</t>
  </si>
  <si>
    <t>População com 18 ou mais anos que frequenta ou alguma vez frequentou a escola</t>
  </si>
  <si>
    <t>Ensino primário</t>
  </si>
  <si>
    <t>Ensino superior</t>
  </si>
  <si>
    <t>Nenhum nível</t>
  </si>
  <si>
    <t>População com 6-11 anos</t>
  </si>
  <si>
    <t>Frequência líquida no ensino primário</t>
  </si>
  <si>
    <t>Taxa líquida de frêquencia no ensino primário</t>
  </si>
  <si>
    <t>População com 12-18 anos</t>
  </si>
  <si>
    <t xml:space="preserve">Frequência líquida no ensino secundário </t>
  </si>
  <si>
    <t>Taxa líquida de frêquencia no ensino secundário</t>
  </si>
  <si>
    <t>Tipo de material usado principamente no tecto</t>
  </si>
  <si>
    <t xml:space="preserve">Tipo de material usado principamente no chão </t>
  </si>
  <si>
    <t>População com 12 ou mais anoss</t>
  </si>
  <si>
    <t>Área de residência e grupos etários</t>
  </si>
  <si>
    <t>Línguas estrangeira</t>
  </si>
  <si>
    <t xml:space="preserve">População com 5-11 anos </t>
  </si>
  <si>
    <t xml:space="preserve"> População com 12-14 anos </t>
  </si>
  <si>
    <t>Quadro 1.1 - População por área de residência, Municípios e comunas, segundo o sexo 2024</t>
  </si>
  <si>
    <t>Quadro 1.2 - População por idades simples, segundo o sexo 2024</t>
  </si>
  <si>
    <t>Quadro 3.3 - População  residente com Bilhete de identidade por área de residência, segundo os grupos etários e sexo, 2024</t>
  </si>
  <si>
    <t>Domínio Funcional</t>
  </si>
  <si>
    <t>Grau de dificuldade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</si>
  <si>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</si>
  <si>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</si>
  <si>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</si>
  <si>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</si>
  <si>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</si>
  <si>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</si>
  <si>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</si>
  <si>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</si>
  <si>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</si>
  <si>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</si>
  <si>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</si>
  <si>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</si>
  <si>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</si>
  <si>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</si>
  <si>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</si>
  <si>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</si>
  <si>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</si>
  <si>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>Quadro 4.1- Resumo síntese dos indicadores da dificiência</t>
  </si>
  <si>
    <t>Área de residência, município e comuna</t>
  </si>
  <si>
    <t>Número de pessoas com 0 -17 anos de idade</t>
  </si>
  <si>
    <t>Crianças com 0 - 17 anos que não vivem com pelo menos um dos pais</t>
  </si>
  <si>
    <t>Ambos vivem noutro agregado</t>
  </si>
  <si>
    <t>Quadro 5.1 - Crianças com 0-17 anos que não vivem com os pais por área de residência, município e comuna, segundo sexo, 2024</t>
  </si>
  <si>
    <t>Número de pessoas com 0 - 17 anos</t>
  </si>
  <si>
    <t>Quadro 6.1 - População com 2 ou mais anos por área de residência, município e comuna, segundo os grupos étnicos ou tribos, 2024</t>
  </si>
  <si>
    <t>Quadro 6.2   População por área de residência, município segundo a língua materna, 2024</t>
  </si>
  <si>
    <t>Quadro 8.1 - População com 15 ou mais anos que sabe ler e escrever por área de residência, município e comuna, segundo o sexo, 2024</t>
  </si>
  <si>
    <t>Área de residência e município e comuna</t>
  </si>
  <si>
    <t>Quadro 8.2 - População com 15 ou mais anos que sabe ler e escrever por grupo etário e área de residência, segundo o sexo, 2024</t>
  </si>
  <si>
    <t>População com 15 ou mais anos que sabe ler e escrever</t>
  </si>
  <si>
    <t>Quadro 8.3 - População com 15-24 anos que sabe ler e escrever por área de residência, município e comuna, segundo o sexo, 2024</t>
  </si>
  <si>
    <t>Índice de paridade no género</t>
  </si>
  <si>
    <t>Municipios / comuna</t>
  </si>
  <si>
    <t>Quadro 8.4 - População com 5 ou mais anos por área de residência, município e comuna, segundo a situação de frequência escolar, 2024</t>
  </si>
  <si>
    <t>Frequência escolar</t>
  </si>
  <si>
    <t>Quadro 8.5 - População com 5-11 anos fora do sistema de ensino por área de residência, município e comuna, segundo o sexo, 2024</t>
  </si>
  <si>
    <t>Municípios / comunas</t>
  </si>
  <si>
    <t>Grupo etário e área de 
residência</t>
  </si>
  <si>
    <t>Quadro 8.6 - População com 12-14 anos fora do sistema de ensino por área de residência, município e comuna, segundo o sexo, 2024</t>
  </si>
  <si>
    <t>Área de residência  município e comuna</t>
  </si>
  <si>
    <t>Municipios / comunas</t>
  </si>
  <si>
    <t>Quadro 8.7 - População com 15-18 anos fora do sistema de ensino por área de residência, município e comuna, segundo o sexo, 2024</t>
  </si>
  <si>
    <t>Quadro 8.8 - População com 5 ou mais anos por área de residência e grupos etários, segundo a situação de frequência escolar e sexo, 2024</t>
  </si>
  <si>
    <t>Grupo etário e área de residência e município</t>
  </si>
  <si>
    <t>Quadro 8.9 - População com 5-18 anos fora do sistema de ensino por área de residência, município e comuna, segundo o sexo, 2024</t>
  </si>
  <si>
    <t>Quadro 8.10 - População com 5-18 anos por área de residência, município e comuna, segundo a situação de frequência escolar no ensino primário, 2024</t>
  </si>
  <si>
    <t>População com 5 -18 anos</t>
  </si>
  <si>
    <t>Área de residência  município e cumuna</t>
  </si>
  <si>
    <t>Quadro 8.10 - População com 5-11 anos  por área de residência, município e comuna, segundo a situação de frequência escolar no ensino primário, 2024</t>
  </si>
  <si>
    <t>Nível de ensino a frequentar</t>
  </si>
  <si>
    <t xml:space="preserve"> População com 5 ou mais anos a frequentar a escola</t>
  </si>
  <si>
    <t>Quadro 8.12 - População com 5 ou mais anos por área de residência, município e comuna, segundo o nível de ensino a frequentar, 2024</t>
  </si>
  <si>
    <t>Área de residência,  município e comunas</t>
  </si>
  <si>
    <t>Quadro 8.13 - População com 12-14 anos por área de residência, município e comuna, segundo a situação de frequência escolar no ensino primário, 2024</t>
  </si>
  <si>
    <t>Quadro 8.14 - População com 18 ou mais anos por área de residência, município e comuna, segundo o nível de ensino concluído, 2024</t>
  </si>
  <si>
    <t>Área de residência  município / comuna</t>
  </si>
  <si>
    <t>Nível de ensino concluído</t>
  </si>
  <si>
    <t>Quadro 8.15 - Taxa líquida de frequência do ensino primário por área de residência, município e comuna, segundo o sexo, 2024</t>
  </si>
  <si>
    <t>Municípioe / comunas</t>
  </si>
  <si>
    <t>Quadro 8.16 - Taxa líquida de frequência do ensino secundário por área de residência, município e comuna, segundo o sexo, 2024</t>
  </si>
  <si>
    <t>Área de residência, município e comunas</t>
  </si>
  <si>
    <t>Quadro 9.2 - Agregados familiares por área de residência, município e comuna, segundo a principal fonte de energia/combustível utilizado para cozinhar</t>
  </si>
  <si>
    <t>Tipo de sanitário</t>
  </si>
  <si>
    <t>Quadro 9.4 -Agregados familiares por área de residência, município e comuna, segundo o modo de tratamento habitual que se da a água para beber, 2024</t>
  </si>
  <si>
    <t>Quadro 9.5 -Agregados familiares por área de residência, município e comuna, segundo a situação de partilha da casa de banho, 2024</t>
  </si>
  <si>
    <t>Agregados que partilham a casa de banho</t>
  </si>
  <si>
    <t>Quadro 9.6 -Agregados familiares por área de residência, município e comuna, segundo o acesso a água da rede pública, 2024</t>
  </si>
  <si>
    <t>Quadro 9.7 - Agregados familiares por área de residência, município e comuna, segundo situação se a água utilizada para beber provém da mesma fonte, 2024</t>
  </si>
  <si>
    <t>Quadro 9.9 - Agregados familiares por área de residência, município e comuna, segundo a posse de parcela/lavra,  2024</t>
  </si>
  <si>
    <t>Situação de posse de parcela/lavra ou prática de actividade agrícola</t>
  </si>
  <si>
    <t>Quadro 9.10 - Agregados familiares por área de residência, município e comuna, segundo o regime de ocupação da lavra/exploração (parcela), 2024</t>
  </si>
  <si>
    <t>Quadro 9.12 - Agregados familiares criadores de animais  por área de residência, município e comuna, segundo o tipo de animais criados nos últimos 12 meses, 2024</t>
  </si>
  <si>
    <t>Tipo de pesca</t>
  </si>
  <si>
    <t>Quadro 9.14 - Agregados familiares por área de residência, município e comuna, segundo a posse de bens que funcionam em casa, 2024</t>
  </si>
  <si>
    <t>Posse de bens que funcionam</t>
  </si>
  <si>
    <t>Quadro 9.15 - Agregados familiares por área de residência, município e comuna, segundo a situação se recebe algum tipo de apoio social, 2024</t>
  </si>
  <si>
    <t>Quadro 9.18 - Agregados familiares por  província e área de residência, segundo o tipo  de núcleo, 2024</t>
  </si>
  <si>
    <t>Quadro 9.19- Agregados familiares por grupo etário, segundo o sexo do chefe, 2024</t>
  </si>
  <si>
    <t>Quadro 9.20 - Agregados familiares por província e área de residência, segundo o tamanho e média de pessoas por agregado, 2024</t>
  </si>
  <si>
    <t>Quadro 10.1 - População recenseada por área de residência, município e comuna, segundo grupos etários, 2024</t>
  </si>
  <si>
    <t>Município / Comuna</t>
  </si>
  <si>
    <t>Quadro 10.2 - Habitações familiares por área de residência, município e comuna, segundo o tipo de habitação, 2024</t>
  </si>
  <si>
    <t>Total de Habitaçãoes</t>
  </si>
  <si>
    <t>Quadro 10.3 - Habitações familiares por área de residência, município e comuna, segundo o estado de ocupação da habitação, 2024</t>
  </si>
  <si>
    <t>Área de residência,Município e Comuna</t>
  </si>
  <si>
    <t>Total de  Habitações</t>
  </si>
  <si>
    <t>Quadro 10.4 - Habitações familiares área de residência, município e comuna, segundo o tipo de material usado principalmente nas paredes exteriores, 2024</t>
  </si>
  <si>
    <t>Quadro 10.5 - Habitações familiares por área de residência, município e comuna, segundo o tipo de material usado principalmente no tecto, 2024</t>
  </si>
  <si>
    <t>Área de residência município e Comuna</t>
  </si>
  <si>
    <t>Quadro 10.6 - Habitações familiares por área de residência, município e comuna, segundo o tipo de material usado principalmente no chão, 2024</t>
  </si>
  <si>
    <t>Quadro 10.7 - Habitações familiares por área de residência e município, segundo a média de divisões da habitação e a média de quartos para dormir, 2024</t>
  </si>
  <si>
    <t>Município e área de residência, município e comuna</t>
  </si>
  <si>
    <t>Área de residência e grupos quinquenais</t>
  </si>
  <si>
    <t>Quadro 1.4 - População por área de residência, município e comuna, segundo os grandes grupos etários, 2024</t>
  </si>
  <si>
    <t>Quadro 1.5 - População por área de residência, município e comuna, segundo outros grupos etários, 2024</t>
  </si>
  <si>
    <t>Quadro 1.6 - População por área de residência, município e comuna, segundo os grandes grupos etários e sexo, 2024</t>
  </si>
  <si>
    <t xml:space="preserve">Quadro 1.7 - Idade média e mediana da população por área de residência, município e comuna, segundo o sexo, 2024    
</t>
  </si>
  <si>
    <t xml:space="preserve">Quadro 2.1 - População com 12 ou mais por área de residência, município e comuna, segundo o estado civil, 2024 </t>
  </si>
  <si>
    <t>Quadro 3.1 - População com registo de nascimento por área de residência e grupos etários, segundo sexo, 2024</t>
  </si>
  <si>
    <t xml:space="preserve">Quadro 3.2 - População com registo de nascimento por área de residência e grupos etários, segundo sexo, 2024
</t>
  </si>
  <si>
    <t>Quadro 3.4 - População com 5 anos ou mais, residente com Bilhete de identidade por, área de residência, município e comuna, segundo sexo, 2024</t>
  </si>
  <si>
    <t>Quadro 4.2 - Pessoas com albinismo por área de residência, município e comuna, segundo o sexo, 2024</t>
  </si>
  <si>
    <t>Quadro 4.3 - População com albinismo por área de residência, município e comuna, segundo grupo etário, 2024</t>
  </si>
  <si>
    <t>Quadro 5.2 - Crianças orfãos com 0-17 anos por área de residência,  grupo etário, segundo tipo e taxa de orfandade,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</si>
</sst>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##\ ###\ ###"/>
    <numFmt numFmtId="165" formatCode="###0"/>
    <numFmt numFmtId="166" formatCode="###\.\ ###"/>
    <numFmt numFmtId="167" formatCode="###0.00"/>
    <numFmt numFmtId="168" formatCode="0.0"/>
    <numFmt numFmtId="169" formatCode="###0.0"/>
    <numFmt numFmtId="170" formatCode="###.#"/>
    <numFmt numFmtId="171" formatCode="###.0"/>
    <numFmt numFmtId="172" formatCode="_-* #,##0_-;\-* #,##0_-;_-* &quot;-&quot;??_-;_-@_-"/>
    <numFmt numFmtId="173" formatCode="###,###,###"/>
    <numFmt numFmtId="174" formatCode="#,##0.0"/>
    <numFmt numFmtId="175" formatCode="_-* #,##0.00\ _€_-;\-* #,##0.00\ _€_-;_-* &quot;-&quot;??\ _€_-;_-@_-"/>
    <numFmt numFmtId="176" formatCode="_-* #,##0.00\ _K_z_-;\-* #,##0.00\ _K_z_-;_-* &quot;-&quot;??\ _K_z_-;_-@_-"/>
  </numFmts>
  <fonts count="4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name val="Calibri"/>
      <family val="2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sz val="11"/>
      <color theme="0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sz val="10"/>
      <color rgb="FF000000"/>
      <name val="Times New Roman"/>
      <family val="1"/>
    </font>
    <font>
      <b/>
      <sz val="9"/>
      <color indexed="8"/>
      <name val="Calibri "/>
    </font>
    <font>
      <sz val="9"/>
      <name val="Calibri "/>
    </font>
    <font>
      <sz val="9"/>
      <color theme="1"/>
      <name val="Calibri "/>
    </font>
    <font>
      <sz val="9"/>
      <color indexed="8"/>
      <name val="Calibri "/>
    </font>
    <font>
      <b/>
      <sz val="9"/>
      <color theme="0"/>
      <name val="Calibri "/>
    </font>
    <font>
      <b/>
      <sz val="9"/>
      <name val="Calibri "/>
    </font>
    <font>
      <b/>
      <sz val="9"/>
      <color theme="1"/>
      <name val="Calibri 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0"/>
      <name val="Calibri "/>
    </font>
    <font>
      <sz val="11"/>
      <color theme="1"/>
      <name val="Calibri "/>
    </font>
    <font>
      <b/>
      <sz val="11"/>
      <color theme="1"/>
      <name val="Calibri 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B3415"/>
        <bgColor indexed="64"/>
      </patternFill>
    </fill>
    <fill>
      <patternFill patternType="solid">
        <fgColor rgb="FF353415"/>
        <bgColor indexed="64"/>
      </patternFill>
    </fill>
    <fill>
      <patternFill patternType="solid">
        <fgColor rgb="FF342B15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1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4" fillId="0" borderId="0"/>
    <xf numFmtId="43" fontId="23" fillId="0" borderId="0" applyFont="0" applyFill="0" applyBorder="0" applyAlignment="0" applyProtection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5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435">
    <xf numFmtId="0" fontId="0" fillId="0" borderId="0" xfId="0"/>
    <xf numFmtId="0" fontId="3" fillId="3" borderId="0" xfId="2" applyFont="1" applyFill="1"/>
    <xf numFmtId="0" fontId="3" fillId="4" borderId="0" xfId="2" applyFont="1" applyFill="1"/>
    <xf numFmtId="0" fontId="0" fillId="4" borderId="0" xfId="0" applyFill="1"/>
    <xf numFmtId="0" fontId="6" fillId="2" borderId="0" xfId="0" applyFont="1" applyFill="1"/>
    <xf numFmtId="164" fontId="6" fillId="2" borderId="0" xfId="0" applyNumberFormat="1" applyFont="1" applyFill="1"/>
    <xf numFmtId="164" fontId="4" fillId="2" borderId="0" xfId="4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/>
    </xf>
    <xf numFmtId="0" fontId="2" fillId="2" borderId="0" xfId="5" applyFont="1" applyFill="1" applyAlignment="1">
      <alignment vertical="top" wrapText="1"/>
    </xf>
    <xf numFmtId="165" fontId="2" fillId="2" borderId="0" xfId="5" applyNumberFormat="1" applyFont="1" applyFill="1" applyAlignment="1">
      <alignment horizontal="right" vertical="center"/>
    </xf>
    <xf numFmtId="3" fontId="4" fillId="2" borderId="0" xfId="5" applyNumberFormat="1" applyFont="1" applyFill="1" applyAlignment="1">
      <alignment horizontal="right" vertical="center"/>
    </xf>
    <xf numFmtId="0" fontId="4" fillId="2" borderId="0" xfId="5" applyFont="1" applyFill="1" applyAlignment="1">
      <alignment horizontal="right" wrapText="1"/>
    </xf>
    <xf numFmtId="0" fontId="8" fillId="4" borderId="0" xfId="0" applyFont="1" applyFill="1"/>
    <xf numFmtId="0" fontId="0" fillId="4" borderId="0" xfId="0" applyFill="1" applyAlignment="1">
      <alignment horizontal="center"/>
    </xf>
    <xf numFmtId="0" fontId="0" fillId="3" borderId="0" xfId="0" applyFill="1"/>
    <xf numFmtId="0" fontId="9" fillId="3" borderId="0" xfId="2" applyFont="1" applyFill="1"/>
    <xf numFmtId="3" fontId="7" fillId="2" borderId="0" xfId="0" applyNumberFormat="1" applyFont="1" applyFill="1"/>
    <xf numFmtId="0" fontId="0" fillId="3" borderId="0" xfId="0" applyFill="1" applyAlignment="1">
      <alignment horizontal="center"/>
    </xf>
    <xf numFmtId="3" fontId="0" fillId="3" borderId="0" xfId="0" applyNumberFormat="1" applyFill="1"/>
    <xf numFmtId="168" fontId="3" fillId="3" borderId="0" xfId="2" applyNumberFormat="1" applyFont="1" applyFill="1"/>
    <xf numFmtId="1" fontId="3" fillId="3" borderId="0" xfId="2" applyNumberFormat="1" applyFont="1" applyFill="1"/>
    <xf numFmtId="3" fontId="3" fillId="3" borderId="0" xfId="2" applyNumberFormat="1" applyFont="1" applyFill="1"/>
    <xf numFmtId="0" fontId="4" fillId="2" borderId="0" xfId="5" applyFont="1" applyFill="1" applyAlignment="1">
      <alignment vertical="top" wrapText="1"/>
    </xf>
    <xf numFmtId="166" fontId="4" fillId="2" borderId="0" xfId="5" applyNumberFormat="1" applyFont="1" applyFill="1" applyAlignment="1">
      <alignment vertical="center"/>
    </xf>
    <xf numFmtId="0" fontId="2" fillId="4" borderId="0" xfId="8" applyFont="1" applyFill="1" applyAlignment="1">
      <alignment horizontal="center" vertical="center" wrapText="1"/>
    </xf>
    <xf numFmtId="164" fontId="10" fillId="2" borderId="0" xfId="1" applyNumberFormat="1" applyFont="1" applyFill="1" applyAlignment="1">
      <alignment horizontal="right" vertical="center"/>
    </xf>
    <xf numFmtId="164" fontId="11" fillId="2" borderId="0" xfId="1" applyNumberFormat="1" applyFont="1" applyFill="1" applyAlignment="1">
      <alignment horizontal="right" vertical="center"/>
    </xf>
    <xf numFmtId="0" fontId="2" fillId="3" borderId="0" xfId="1" applyFont="1" applyFill="1" applyAlignment="1">
      <alignment horizontal="left" vertical="top" wrapText="1"/>
    </xf>
    <xf numFmtId="3" fontId="12" fillId="3" borderId="0" xfId="0" applyNumberFormat="1" applyFont="1" applyFill="1"/>
    <xf numFmtId="0" fontId="4" fillId="3" borderId="0" xfId="1" applyFont="1" applyFill="1" applyAlignment="1">
      <alignment horizontal="left" vertical="top" wrapText="1" indent="1"/>
    </xf>
    <xf numFmtId="3" fontId="7" fillId="3" borderId="0" xfId="0" applyNumberFormat="1" applyFont="1" applyFill="1"/>
    <xf numFmtId="0" fontId="8" fillId="3" borderId="0" xfId="0" applyFont="1" applyFill="1"/>
    <xf numFmtId="3" fontId="7" fillId="3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/>
    </xf>
    <xf numFmtId="164" fontId="0" fillId="4" borderId="0" xfId="0" applyNumberFormat="1" applyFill="1"/>
    <xf numFmtId="0" fontId="13" fillId="5" borderId="0" xfId="0" applyFont="1" applyFill="1" applyAlignment="1">
      <alignment horizontal="left"/>
    </xf>
    <xf numFmtId="164" fontId="6" fillId="5" borderId="0" xfId="0" applyNumberFormat="1" applyFont="1" applyFill="1"/>
    <xf numFmtId="0" fontId="13" fillId="5" borderId="0" xfId="5" applyFont="1" applyFill="1" applyAlignment="1">
      <alignment vertical="top" wrapText="1"/>
    </xf>
    <xf numFmtId="3" fontId="13" fillId="5" borderId="0" xfId="5" applyNumberFormat="1" applyFont="1" applyFill="1" applyAlignment="1">
      <alignment horizontal="right" vertical="center"/>
    </xf>
    <xf numFmtId="0" fontId="13" fillId="5" borderId="0" xfId="5" applyFont="1" applyFill="1" applyAlignment="1">
      <alignment horizontal="left" vertical="top" wrapText="1"/>
    </xf>
    <xf numFmtId="165" fontId="2" fillId="5" borderId="0" xfId="5" applyNumberFormat="1" applyFont="1" applyFill="1" applyAlignment="1">
      <alignment horizontal="right" vertical="center"/>
    </xf>
    <xf numFmtId="164" fontId="11" fillId="3" borderId="0" xfId="1" applyNumberFormat="1" applyFont="1" applyFill="1" applyAlignment="1">
      <alignment horizontal="right" vertical="center"/>
    </xf>
    <xf numFmtId="164" fontId="10" fillId="3" borderId="0" xfId="1" applyNumberFormat="1" applyFont="1" applyFill="1" applyAlignment="1">
      <alignment horizontal="right" vertical="center"/>
    </xf>
    <xf numFmtId="164" fontId="4" fillId="3" borderId="0" xfId="1" applyNumberFormat="1" applyFont="1" applyFill="1" applyAlignment="1">
      <alignment horizontal="right" vertical="center"/>
    </xf>
    <xf numFmtId="164" fontId="13" fillId="5" borderId="0" xfId="0" applyNumberFormat="1" applyFont="1" applyFill="1" applyAlignment="1">
      <alignment horizontal="right"/>
    </xf>
    <xf numFmtId="165" fontId="0" fillId="4" borderId="0" xfId="0" applyNumberFormat="1" applyFill="1"/>
    <xf numFmtId="3" fontId="10" fillId="2" borderId="0" xfId="8" applyNumberFormat="1" applyFont="1" applyFill="1" applyAlignment="1">
      <alignment horizontal="center" wrapText="1"/>
    </xf>
    <xf numFmtId="0" fontId="20" fillId="5" borderId="0" xfId="8" applyFont="1" applyFill="1" applyAlignment="1">
      <alignment horizontal="left" vertical="top" wrapText="1"/>
    </xf>
    <xf numFmtId="0" fontId="10" fillId="2" borderId="0" xfId="8" applyFont="1" applyFill="1" applyAlignment="1">
      <alignment vertical="top" wrapText="1"/>
    </xf>
    <xf numFmtId="3" fontId="10" fillId="5" borderId="0" xfId="9" applyNumberFormat="1" applyFont="1" applyFill="1" applyAlignment="1">
      <alignment horizontal="center" vertical="center"/>
    </xf>
    <xf numFmtId="0" fontId="20" fillId="5" borderId="0" xfId="6" applyFont="1" applyFill="1" applyAlignment="1">
      <alignment vertical="top" wrapText="1"/>
    </xf>
    <xf numFmtId="0" fontId="12" fillId="2" borderId="0" xfId="6" applyFont="1" applyFill="1" applyAlignment="1">
      <alignment vertical="top" wrapText="1"/>
    </xf>
    <xf numFmtId="0" fontId="10" fillId="2" borderId="0" xfId="6" applyFont="1" applyFill="1" applyAlignment="1">
      <alignment horizontal="left" vertical="top" wrapText="1" indent="1"/>
    </xf>
    <xf numFmtId="0" fontId="10" fillId="3" borderId="0" xfId="1" applyFont="1" applyFill="1" applyAlignment="1">
      <alignment horizontal="left" vertical="top" wrapText="1" indent="1"/>
    </xf>
    <xf numFmtId="0" fontId="11" fillId="3" borderId="0" xfId="1" applyFont="1" applyFill="1" applyAlignment="1">
      <alignment horizontal="left" vertical="top" wrapText="1"/>
    </xf>
    <xf numFmtId="0" fontId="18" fillId="3" borderId="0" xfId="0" applyFont="1" applyFill="1"/>
    <xf numFmtId="0" fontId="18" fillId="4" borderId="0" xfId="0" applyFont="1" applyFill="1"/>
    <xf numFmtId="3" fontId="0" fillId="4" borderId="0" xfId="0" applyNumberFormat="1" applyFill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center"/>
    </xf>
    <xf numFmtId="168" fontId="0" fillId="4" borderId="0" xfId="0" applyNumberFormat="1" applyFill="1"/>
    <xf numFmtId="168" fontId="0" fillId="4" borderId="0" xfId="0" applyNumberFormat="1" applyFill="1" applyAlignment="1">
      <alignment horizontal="left"/>
    </xf>
    <xf numFmtId="168" fontId="0" fillId="4" borderId="0" xfId="0" applyNumberFormat="1" applyFill="1" applyAlignment="1">
      <alignment horizontal="center"/>
    </xf>
    <xf numFmtId="0" fontId="22" fillId="3" borderId="0" xfId="12" applyFont="1" applyFill="1"/>
    <xf numFmtId="0" fontId="23" fillId="3" borderId="0" xfId="12" applyFill="1"/>
    <xf numFmtId="0" fontId="7" fillId="3" borderId="0" xfId="12" applyFont="1" applyFill="1"/>
    <xf numFmtId="0" fontId="20" fillId="5" borderId="0" xfId="13" applyFont="1" applyFill="1" applyAlignment="1">
      <alignment horizontal="left" vertical="top" wrapText="1"/>
    </xf>
    <xf numFmtId="0" fontId="10" fillId="2" borderId="0" xfId="13" applyFont="1" applyFill="1" applyAlignment="1">
      <alignment horizontal="left" vertical="top" wrapText="1" indent="1"/>
    </xf>
    <xf numFmtId="0" fontId="11" fillId="2" borderId="0" xfId="13" applyFont="1" applyFill="1" applyAlignment="1">
      <alignment horizontal="left" vertical="top" wrapText="1"/>
    </xf>
    <xf numFmtId="0" fontId="12" fillId="3" borderId="0" xfId="12" applyFont="1" applyFill="1"/>
    <xf numFmtId="0" fontId="21" fillId="2" borderId="0" xfId="13" applyFont="1" applyFill="1" applyAlignment="1">
      <alignment vertical="top" wrapText="1"/>
    </xf>
    <xf numFmtId="172" fontId="10" fillId="2" borderId="0" xfId="14" applyNumberFormat="1" applyFont="1" applyFill="1" applyBorder="1" applyAlignment="1">
      <alignment horizontal="right" vertical="center"/>
    </xf>
    <xf numFmtId="172" fontId="10" fillId="5" borderId="0" xfId="14" applyNumberFormat="1" applyFont="1" applyFill="1" applyBorder="1" applyAlignment="1">
      <alignment horizontal="right" vertical="center"/>
    </xf>
    <xf numFmtId="172" fontId="11" fillId="2" borderId="0" xfId="14" applyNumberFormat="1" applyFont="1" applyFill="1" applyBorder="1" applyAlignment="1">
      <alignment horizontal="right" vertical="center"/>
    </xf>
    <xf numFmtId="0" fontId="21" fillId="5" borderId="0" xfId="16" applyFont="1" applyFill="1" applyAlignment="1">
      <alignment vertical="top" wrapText="1"/>
    </xf>
    <xf numFmtId="0" fontId="10" fillId="2" borderId="1" xfId="20" applyFont="1" applyFill="1" applyBorder="1" applyAlignment="1">
      <alignment horizontal="center" vertical="center" wrapText="1"/>
    </xf>
    <xf numFmtId="0" fontId="7" fillId="2" borderId="1" xfId="22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wrapText="1"/>
    </xf>
    <xf numFmtId="172" fontId="21" fillId="2" borderId="0" xfId="14" applyNumberFormat="1" applyFont="1" applyFill="1" applyBorder="1" applyAlignment="1">
      <alignment vertical="center"/>
    </xf>
    <xf numFmtId="172" fontId="20" fillId="5" borderId="0" xfId="14" applyNumberFormat="1" applyFont="1" applyFill="1" applyBorder="1" applyAlignment="1">
      <alignment vertical="center" wrapText="1"/>
    </xf>
    <xf numFmtId="0" fontId="10" fillId="2" borderId="1" xfId="3" applyFont="1" applyFill="1" applyBorder="1" applyAlignment="1">
      <alignment vertical="center" wrapText="1"/>
    </xf>
    <xf numFmtId="0" fontId="20" fillId="5" borderId="0" xfId="10" applyFont="1" applyFill="1" applyAlignment="1">
      <alignment horizontal="left" vertical="top" wrapText="1"/>
    </xf>
    <xf numFmtId="0" fontId="11" fillId="2" borderId="0" xfId="10" applyFont="1" applyFill="1" applyAlignment="1">
      <alignment horizontal="left" vertical="top" wrapText="1"/>
    </xf>
    <xf numFmtId="167" fontId="11" fillId="2" borderId="0" xfId="10" applyNumberFormat="1" applyFont="1" applyFill="1" applyAlignment="1">
      <alignment horizontal="center"/>
    </xf>
    <xf numFmtId="0" fontId="10" fillId="2" borderId="0" xfId="10" applyFont="1" applyFill="1" applyAlignment="1">
      <alignment horizontal="left" vertical="top" wrapText="1"/>
    </xf>
    <xf numFmtId="169" fontId="11" fillId="5" borderId="0" xfId="10" applyNumberFormat="1" applyFont="1" applyFill="1" applyAlignment="1">
      <alignment horizontal="center"/>
    </xf>
    <xf numFmtId="167" fontId="10" fillId="5" borderId="0" xfId="10" applyNumberFormat="1" applyFont="1" applyFill="1" applyAlignment="1">
      <alignment horizontal="center"/>
    </xf>
    <xf numFmtId="0" fontId="20" fillId="5" borderId="0" xfId="1" applyFont="1" applyFill="1" applyAlignment="1">
      <alignment horizontal="left" vertical="top" wrapText="1"/>
    </xf>
    <xf numFmtId="164" fontId="20" fillId="5" borderId="0" xfId="1" applyNumberFormat="1" applyFont="1" applyFill="1" applyAlignment="1">
      <alignment horizontal="right" vertical="center"/>
    </xf>
    <xf numFmtId="0" fontId="10" fillId="2" borderId="0" xfId="1" applyFont="1" applyFill="1" applyAlignment="1">
      <alignment horizontal="left" vertical="top" wrapText="1" indent="1"/>
    </xf>
    <xf numFmtId="0" fontId="20" fillId="5" borderId="0" xfId="3" applyFont="1" applyFill="1" applyAlignment="1">
      <alignment vertical="center" wrapText="1"/>
    </xf>
    <xf numFmtId="0" fontId="10" fillId="2" borderId="0" xfId="11" applyFont="1" applyFill="1" applyAlignment="1">
      <alignment horizontal="left" vertical="center" wrapText="1"/>
    </xf>
    <xf numFmtId="0" fontId="10" fillId="2" borderId="0" xfId="25" applyFont="1" applyFill="1" applyAlignment="1">
      <alignment horizontal="center" vertical="center" wrapText="1"/>
    </xf>
    <xf numFmtId="0" fontId="20" fillId="5" borderId="0" xfId="25" applyFont="1" applyFill="1" applyAlignment="1">
      <alignment horizontal="left" vertical="top" wrapText="1"/>
    </xf>
    <xf numFmtId="0" fontId="11" fillId="2" borderId="0" xfId="25" applyFont="1" applyFill="1" applyAlignment="1">
      <alignment horizontal="left" vertical="top" wrapText="1"/>
    </xf>
    <xf numFmtId="173" fontId="11" fillId="2" borderId="0" xfId="25" applyNumberFormat="1" applyFont="1" applyFill="1" applyAlignment="1">
      <alignment vertical="center"/>
    </xf>
    <xf numFmtId="0" fontId="20" fillId="5" borderId="0" xfId="11" applyFont="1" applyFill="1" applyAlignment="1">
      <alignment horizontal="left" vertical="top" wrapText="1"/>
    </xf>
    <xf numFmtId="173" fontId="11" fillId="5" borderId="0" xfId="25" applyNumberFormat="1" applyFont="1" applyFill="1" applyAlignment="1">
      <alignment vertical="center"/>
    </xf>
    <xf numFmtId="0" fontId="10" fillId="2" borderId="0" xfId="25" applyFont="1" applyFill="1" applyAlignment="1">
      <alignment horizontal="left" vertical="top" wrapText="1" indent="1"/>
    </xf>
    <xf numFmtId="173" fontId="10" fillId="2" borderId="0" xfId="25" applyNumberFormat="1" applyFont="1" applyFill="1" applyAlignment="1">
      <alignment vertical="center"/>
    </xf>
    <xf numFmtId="173" fontId="20" fillId="5" borderId="0" xfId="26" applyNumberFormat="1" applyFont="1" applyFill="1" applyAlignment="1">
      <alignment horizontal="left" vertical="top" wrapText="1"/>
    </xf>
    <xf numFmtId="173" fontId="10" fillId="5" borderId="0" xfId="25" applyNumberFormat="1" applyFont="1" applyFill="1" applyAlignment="1">
      <alignment vertical="center"/>
    </xf>
    <xf numFmtId="0" fontId="16" fillId="2" borderId="3" xfId="28" applyFont="1" applyFill="1" applyBorder="1" applyAlignment="1">
      <alignment horizontal="center" wrapText="1"/>
    </xf>
    <xf numFmtId="0" fontId="25" fillId="6" borderId="0" xfId="28" applyFont="1" applyFill="1" applyAlignment="1">
      <alignment horizontal="left" vertical="top" wrapText="1"/>
    </xf>
    <xf numFmtId="172" fontId="25" fillId="6" borderId="0" xfId="27" applyNumberFormat="1" applyFont="1" applyFill="1" applyBorder="1" applyAlignment="1">
      <alignment horizontal="right" vertical="center"/>
    </xf>
    <xf numFmtId="0" fontId="16" fillId="2" borderId="0" xfId="28" applyFont="1" applyFill="1" applyAlignment="1">
      <alignment horizontal="left" vertical="top" wrapText="1"/>
    </xf>
    <xf numFmtId="172" fontId="16" fillId="2" borderId="0" xfId="27" applyNumberFormat="1" applyFont="1" applyFill="1" applyBorder="1" applyAlignment="1">
      <alignment horizontal="right" vertical="center"/>
    </xf>
    <xf numFmtId="0" fontId="16" fillId="2" borderId="0" xfId="28" applyFont="1" applyFill="1" applyAlignment="1">
      <alignment horizontal="left" vertical="top" indent="1"/>
    </xf>
    <xf numFmtId="0" fontId="15" fillId="2" borderId="0" xfId="28" applyFont="1" applyFill="1" applyAlignment="1">
      <alignment vertical="top"/>
    </xf>
    <xf numFmtId="172" fontId="15" fillId="2" borderId="0" xfId="27" applyNumberFormat="1" applyFont="1" applyFill="1" applyBorder="1" applyAlignment="1">
      <alignment horizontal="right" vertical="center"/>
    </xf>
    <xf numFmtId="0" fontId="16" fillId="2" borderId="0" xfId="28" applyFont="1" applyFill="1" applyAlignment="1">
      <alignment horizontal="left" vertical="top" wrapText="1" indent="1"/>
    </xf>
    <xf numFmtId="0" fontId="15" fillId="2" borderId="0" xfId="28" applyFont="1" applyFill="1" applyAlignment="1">
      <alignment horizontal="left" vertical="top" wrapText="1"/>
    </xf>
    <xf numFmtId="172" fontId="0" fillId="3" borderId="0" xfId="0" applyNumberFormat="1" applyFill="1"/>
    <xf numFmtId="0" fontId="10" fillId="2" borderId="3" xfId="29" applyFont="1" applyFill="1" applyBorder="1" applyAlignment="1">
      <alignment horizontal="right" wrapText="1"/>
    </xf>
    <xf numFmtId="0" fontId="20" fillId="6" borderId="0" xfId="29" applyFont="1" applyFill="1" applyAlignment="1">
      <alignment vertical="top"/>
    </xf>
    <xf numFmtId="172" fontId="20" fillId="6" borderId="0" xfId="27" applyNumberFormat="1" applyFont="1" applyFill="1" applyBorder="1" applyAlignment="1">
      <alignment horizontal="right" vertical="center"/>
    </xf>
    <xf numFmtId="0" fontId="10" fillId="2" borderId="0" xfId="29" applyFont="1" applyFill="1" applyAlignment="1">
      <alignment vertical="top"/>
    </xf>
    <xf numFmtId="172" fontId="10" fillId="2" borderId="0" xfId="27" applyNumberFormat="1" applyFont="1" applyFill="1" applyBorder="1" applyAlignment="1">
      <alignment horizontal="right" vertical="center"/>
    </xf>
    <xf numFmtId="0" fontId="21" fillId="6" borderId="0" xfId="29" applyFont="1" applyFill="1" applyAlignment="1">
      <alignment vertical="top"/>
    </xf>
    <xf numFmtId="172" fontId="21" fillId="6" borderId="0" xfId="27" applyNumberFormat="1" applyFont="1" applyFill="1" applyBorder="1" applyAlignment="1">
      <alignment horizontal="right" vertical="center"/>
    </xf>
    <xf numFmtId="0" fontId="10" fillId="2" borderId="0" xfId="29" applyFont="1" applyFill="1" applyAlignment="1">
      <alignment horizontal="left" vertical="top" wrapText="1" indent="1"/>
    </xf>
    <xf numFmtId="0" fontId="21" fillId="6" borderId="0" xfId="29" applyFont="1" applyFill="1" applyAlignment="1">
      <alignment wrapText="1"/>
    </xf>
    <xf numFmtId="172" fontId="10" fillId="6" borderId="0" xfId="27" applyNumberFormat="1" applyFont="1" applyFill="1" applyBorder="1" applyAlignment="1">
      <alignment horizontal="right" vertical="center"/>
    </xf>
    <xf numFmtId="0" fontId="11" fillId="2" borderId="0" xfId="29" applyFont="1" applyFill="1" applyAlignment="1">
      <alignment horizontal="left" vertical="top" wrapText="1"/>
    </xf>
    <xf numFmtId="172" fontId="11" fillId="2" borderId="0" xfId="27" applyNumberFormat="1" applyFont="1" applyFill="1" applyBorder="1" applyAlignment="1">
      <alignment horizontal="right" vertical="center"/>
    </xf>
    <xf numFmtId="172" fontId="11" fillId="2" borderId="0" xfId="27" applyNumberFormat="1" applyFont="1" applyFill="1" applyBorder="1" applyAlignment="1">
      <alignment horizontal="right" indent="1"/>
    </xf>
    <xf numFmtId="1" fontId="10" fillId="2" borderId="0" xfId="27" applyNumberFormat="1" applyFont="1" applyFill="1" applyBorder="1" applyAlignment="1">
      <alignment horizontal="right" vertical="center"/>
    </xf>
    <xf numFmtId="172" fontId="12" fillId="2" borderId="0" xfId="0" applyNumberFormat="1" applyFont="1" applyFill="1"/>
    <xf numFmtId="172" fontId="12" fillId="2" borderId="0" xfId="0" applyNumberFormat="1" applyFont="1" applyFill="1" applyAlignment="1">
      <alignment horizontal="right"/>
    </xf>
    <xf numFmtId="1" fontId="11" fillId="2" borderId="0" xfId="27" applyNumberFormat="1" applyFont="1" applyFill="1" applyBorder="1" applyAlignment="1">
      <alignment horizontal="right" vertical="center"/>
    </xf>
    <xf numFmtId="0" fontId="10" fillId="2" borderId="3" xfId="30" applyFont="1" applyFill="1" applyBorder="1" applyAlignment="1">
      <alignment horizontal="right" wrapText="1"/>
    </xf>
    <xf numFmtId="0" fontId="20" fillId="6" borderId="0" xfId="30" applyFont="1" applyFill="1" applyAlignment="1">
      <alignment vertical="top" wrapText="1"/>
    </xf>
    <xf numFmtId="0" fontId="10" fillId="2" borderId="0" xfId="30" applyFont="1" applyFill="1" applyAlignment="1">
      <alignment horizontal="left" vertical="top" wrapText="1"/>
    </xf>
    <xf numFmtId="0" fontId="20" fillId="6" borderId="0" xfId="30" applyFont="1" applyFill="1" applyAlignment="1">
      <alignment horizontal="left" vertical="top" wrapText="1"/>
    </xf>
    <xf numFmtId="0" fontId="10" fillId="2" borderId="0" xfId="30" applyFont="1" applyFill="1" applyAlignment="1">
      <alignment horizontal="left" vertical="top" wrapText="1" indent="1"/>
    </xf>
    <xf numFmtId="3" fontId="10" fillId="2" borderId="0" xfId="27" applyNumberFormat="1" applyFont="1" applyFill="1" applyBorder="1" applyAlignment="1">
      <alignment horizontal="right" vertical="center"/>
    </xf>
    <xf numFmtId="3" fontId="10" fillId="6" borderId="0" xfId="27" applyNumberFormat="1" applyFont="1" applyFill="1" applyBorder="1" applyAlignment="1">
      <alignment horizontal="right" vertical="center"/>
    </xf>
    <xf numFmtId="0" fontId="11" fillId="2" borderId="0" xfId="30" applyFont="1" applyFill="1" applyAlignment="1">
      <alignment horizontal="left" vertical="top" wrapText="1"/>
    </xf>
    <xf numFmtId="3" fontId="11" fillId="2" borderId="0" xfId="27" applyNumberFormat="1" applyFont="1" applyFill="1" applyBorder="1" applyAlignment="1">
      <alignment horizontal="right" vertical="center"/>
    </xf>
    <xf numFmtId="0" fontId="10" fillId="3" borderId="0" xfId="30" applyFont="1" applyFill="1" applyAlignment="1">
      <alignment vertical="top" wrapText="1"/>
    </xf>
    <xf numFmtId="3" fontId="10" fillId="3" borderId="0" xfId="30" applyNumberFormat="1" applyFont="1" applyFill="1" applyAlignment="1">
      <alignment vertical="top" wrapText="1"/>
    </xf>
    <xf numFmtId="0" fontId="10" fillId="2" borderId="3" xfId="31" applyFont="1" applyFill="1" applyBorder="1" applyAlignment="1">
      <alignment horizontal="right" vertical="center" wrapText="1"/>
    </xf>
    <xf numFmtId="0" fontId="20" fillId="6" borderId="0" xfId="31" applyFont="1" applyFill="1" applyAlignment="1">
      <alignment horizontal="left" vertical="top" wrapText="1"/>
    </xf>
    <xf numFmtId="165" fontId="20" fillId="6" borderId="0" xfId="31" applyNumberFormat="1" applyFont="1" applyFill="1" applyAlignment="1">
      <alignment horizontal="right" vertical="center"/>
    </xf>
    <xf numFmtId="0" fontId="10" fillId="2" borderId="0" xfId="31" applyFont="1" applyFill="1" applyAlignment="1">
      <alignment horizontal="left" vertical="top" wrapText="1"/>
    </xf>
    <xf numFmtId="165" fontId="10" fillId="2" borderId="0" xfId="31" applyNumberFormat="1" applyFont="1" applyFill="1" applyAlignment="1">
      <alignment horizontal="right" vertical="center"/>
    </xf>
    <xf numFmtId="0" fontId="10" fillId="2" borderId="0" xfId="31" applyFont="1" applyFill="1" applyAlignment="1">
      <alignment horizontal="left" vertical="top" wrapText="1" indent="1"/>
    </xf>
    <xf numFmtId="165" fontId="10" fillId="6" borderId="0" xfId="31" applyNumberFormat="1" applyFont="1" applyFill="1" applyAlignment="1">
      <alignment horizontal="right" vertical="center"/>
    </xf>
    <xf numFmtId="0" fontId="11" fillId="2" borderId="0" xfId="31" applyFont="1" applyFill="1" applyAlignment="1">
      <alignment horizontal="left" vertical="top" wrapText="1"/>
    </xf>
    <xf numFmtId="3" fontId="11" fillId="2" borderId="0" xfId="31" applyNumberFormat="1" applyFont="1" applyFill="1" applyAlignment="1">
      <alignment horizontal="right" vertical="center"/>
    </xf>
    <xf numFmtId="3" fontId="10" fillId="2" borderId="0" xfId="31" applyNumberFormat="1" applyFont="1" applyFill="1" applyAlignment="1">
      <alignment horizontal="right" vertical="center"/>
    </xf>
    <xf numFmtId="0" fontId="10" fillId="3" borderId="0" xfId="31" applyFont="1" applyFill="1" applyAlignment="1">
      <alignment vertical="top" wrapText="1"/>
    </xf>
    <xf numFmtId="3" fontId="10" fillId="3" borderId="0" xfId="31" applyNumberFormat="1" applyFont="1" applyFill="1" applyAlignment="1">
      <alignment vertical="top" wrapText="1"/>
    </xf>
    <xf numFmtId="165" fontId="18" fillId="3" borderId="0" xfId="0" applyNumberFormat="1" applyFont="1" applyFill="1"/>
    <xf numFmtId="0" fontId="17" fillId="2" borderId="3" xfId="32" applyFont="1" applyFill="1" applyBorder="1" applyAlignment="1">
      <alignment horizontal="right" wrapText="1"/>
    </xf>
    <xf numFmtId="0" fontId="17" fillId="2" borderId="0" xfId="32" applyFont="1" applyFill="1" applyAlignment="1">
      <alignment horizontal="left" vertical="top" wrapText="1"/>
    </xf>
    <xf numFmtId="3" fontId="17" fillId="2" borderId="0" xfId="27" applyNumberFormat="1" applyFont="1" applyFill="1" applyBorder="1" applyAlignment="1">
      <alignment horizontal="right" vertical="center"/>
    </xf>
    <xf numFmtId="3" fontId="20" fillId="6" borderId="0" xfId="27" applyNumberFormat="1" applyFont="1" applyFill="1" applyBorder="1" applyAlignment="1">
      <alignment horizontal="right" vertical="center"/>
    </xf>
    <xf numFmtId="0" fontId="17" fillId="2" borderId="0" xfId="32" applyFont="1" applyFill="1" applyAlignment="1">
      <alignment horizontal="left" vertical="top" wrapText="1" indent="1"/>
    </xf>
    <xf numFmtId="3" fontId="21" fillId="6" borderId="0" xfId="27" applyNumberFormat="1" applyFont="1" applyFill="1" applyBorder="1" applyAlignment="1">
      <alignment horizontal="right" vertical="center"/>
    </xf>
    <xf numFmtId="0" fontId="19" fillId="2" borderId="0" xfId="32" applyFont="1" applyFill="1" applyAlignment="1">
      <alignment horizontal="left" vertical="top" wrapText="1"/>
    </xf>
    <xf numFmtId="3" fontId="19" fillId="2" borderId="0" xfId="27" applyNumberFormat="1" applyFont="1" applyFill="1" applyBorder="1" applyAlignment="1">
      <alignment horizontal="right" vertical="center"/>
    </xf>
    <xf numFmtId="0" fontId="10" fillId="2" borderId="3" xfId="33" applyFont="1" applyFill="1" applyBorder="1" applyAlignment="1">
      <alignment horizontal="right" wrapText="1"/>
    </xf>
    <xf numFmtId="0" fontId="21" fillId="6" borderId="0" xfId="33" applyFont="1" applyFill="1" applyAlignment="1">
      <alignment vertical="top" wrapText="1"/>
    </xf>
    <xf numFmtId="3" fontId="21" fillId="6" borderId="0" xfId="33" applyNumberFormat="1" applyFont="1" applyFill="1" applyAlignment="1">
      <alignment horizontal="right" vertical="center"/>
    </xf>
    <xf numFmtId="0" fontId="10" fillId="2" borderId="0" xfId="33" applyFont="1" applyFill="1" applyAlignment="1">
      <alignment horizontal="left" vertical="top" wrapText="1"/>
    </xf>
    <xf numFmtId="3" fontId="10" fillId="2" borderId="0" xfId="33" applyNumberFormat="1" applyFont="1" applyFill="1" applyAlignment="1">
      <alignment horizontal="right" vertical="center"/>
    </xf>
    <xf numFmtId="0" fontId="21" fillId="6" borderId="0" xfId="33" applyFont="1" applyFill="1" applyAlignment="1">
      <alignment horizontal="left" vertical="top" wrapText="1"/>
    </xf>
    <xf numFmtId="0" fontId="10" fillId="2" borderId="0" xfId="33" applyFont="1" applyFill="1" applyAlignment="1">
      <alignment horizontal="left" vertical="top" wrapText="1" indent="1"/>
    </xf>
    <xf numFmtId="3" fontId="10" fillId="6" borderId="0" xfId="33" applyNumberFormat="1" applyFont="1" applyFill="1" applyAlignment="1">
      <alignment horizontal="right" vertical="center"/>
    </xf>
    <xf numFmtId="0" fontId="11" fillId="2" borderId="0" xfId="33" applyFont="1" applyFill="1" applyAlignment="1">
      <alignment horizontal="left" vertical="top" wrapText="1"/>
    </xf>
    <xf numFmtId="3" fontId="11" fillId="2" borderId="0" xfId="33" applyNumberFormat="1" applyFont="1" applyFill="1" applyAlignment="1">
      <alignment horizontal="right" vertical="center"/>
    </xf>
    <xf numFmtId="0" fontId="10" fillId="3" borderId="0" xfId="33" applyFont="1" applyFill="1" applyAlignment="1">
      <alignment vertical="top" wrapText="1"/>
    </xf>
    <xf numFmtId="3" fontId="10" fillId="3" borderId="0" xfId="33" applyNumberFormat="1" applyFont="1" applyFill="1" applyAlignment="1">
      <alignment vertical="top" wrapText="1"/>
    </xf>
    <xf numFmtId="0" fontId="7" fillId="2" borderId="3" xfId="34" applyFont="1" applyFill="1" applyBorder="1" applyAlignment="1">
      <alignment horizontal="right" wrapText="1"/>
    </xf>
    <xf numFmtId="0" fontId="7" fillId="2" borderId="1" xfId="34" applyFont="1" applyFill="1" applyBorder="1" applyAlignment="1">
      <alignment horizontal="center" wrapText="1"/>
    </xf>
    <xf numFmtId="0" fontId="21" fillId="6" borderId="0" xfId="34" applyFont="1" applyFill="1" applyAlignment="1">
      <alignment horizontal="left" vertical="top" wrapText="1"/>
    </xf>
    <xf numFmtId="169" fontId="21" fillId="6" borderId="0" xfId="34" applyNumberFormat="1" applyFont="1" applyFill="1" applyAlignment="1">
      <alignment horizontal="right" vertical="center"/>
    </xf>
    <xf numFmtId="0" fontId="21" fillId="2" borderId="0" xfId="34" applyFont="1" applyFill="1" applyAlignment="1">
      <alignment horizontal="left" vertical="top" wrapText="1"/>
    </xf>
    <xf numFmtId="169" fontId="21" fillId="2" borderId="0" xfId="34" applyNumberFormat="1" applyFont="1" applyFill="1" applyAlignment="1">
      <alignment horizontal="right" vertical="center"/>
    </xf>
    <xf numFmtId="0" fontId="7" fillId="2" borderId="0" xfId="34" applyFont="1" applyFill="1" applyAlignment="1">
      <alignment horizontal="left" vertical="top" wrapText="1" indent="1"/>
    </xf>
    <xf numFmtId="169" fontId="7" fillId="2" borderId="0" xfId="34" applyNumberFormat="1" applyFont="1" applyFill="1" applyAlignment="1">
      <alignment horizontal="right" vertical="center"/>
    </xf>
    <xf numFmtId="0" fontId="20" fillId="6" borderId="0" xfId="34" applyFont="1" applyFill="1" applyAlignment="1">
      <alignment horizontal="left" vertical="top" wrapText="1"/>
    </xf>
    <xf numFmtId="169" fontId="20" fillId="6" borderId="0" xfId="34" applyNumberFormat="1" applyFont="1" applyFill="1" applyAlignment="1">
      <alignment horizontal="right" vertical="center"/>
    </xf>
    <xf numFmtId="165" fontId="0" fillId="3" borderId="0" xfId="0" applyNumberFormat="1" applyFill="1"/>
    <xf numFmtId="0" fontId="7" fillId="3" borderId="0" xfId="0" applyFont="1" applyFill="1"/>
    <xf numFmtId="0" fontId="11" fillId="2" borderId="0" xfId="35" applyFont="1" applyFill="1" applyAlignment="1">
      <alignment horizontal="left" vertical="top" wrapText="1"/>
    </xf>
    <xf numFmtId="0" fontId="10" fillId="2" borderId="0" xfId="35" applyFont="1" applyFill="1" applyAlignment="1">
      <alignment horizontal="left" vertical="top" wrapText="1" indent="1"/>
    </xf>
    <xf numFmtId="3" fontId="20" fillId="5" borderId="0" xfId="3" applyNumberFormat="1" applyFont="1" applyFill="1" applyAlignment="1">
      <alignment vertical="top" wrapText="1"/>
    </xf>
    <xf numFmtId="3" fontId="20" fillId="5" borderId="0" xfId="3" applyNumberFormat="1" applyFont="1" applyFill="1" applyAlignment="1">
      <alignment horizontal="right" vertical="center"/>
    </xf>
    <xf numFmtId="3" fontId="20" fillId="5" borderId="0" xfId="3" applyNumberFormat="1" applyFont="1" applyFill="1" applyAlignment="1">
      <alignment horizontal="left" vertical="top" wrapText="1"/>
    </xf>
    <xf numFmtId="3" fontId="20" fillId="5" borderId="0" xfId="6" applyNumberFormat="1" applyFont="1" applyFill="1" applyAlignment="1">
      <alignment vertical="top" wrapText="1"/>
    </xf>
    <xf numFmtId="3" fontId="20" fillId="5" borderId="0" xfId="6" applyNumberFormat="1" applyFont="1" applyFill="1" applyAlignment="1">
      <alignment horizontal="right" vertical="center"/>
    </xf>
    <xf numFmtId="3" fontId="10" fillId="2" borderId="0" xfId="6" applyNumberFormat="1" applyFont="1" applyFill="1" applyAlignment="1">
      <alignment vertical="top" wrapText="1"/>
    </xf>
    <xf numFmtId="3" fontId="10" fillId="2" borderId="0" xfId="6" applyNumberFormat="1" applyFont="1" applyFill="1" applyAlignment="1">
      <alignment horizontal="right" vertical="center"/>
    </xf>
    <xf numFmtId="3" fontId="10" fillId="5" borderId="0" xfId="6" applyNumberFormat="1" applyFont="1" applyFill="1" applyAlignment="1">
      <alignment horizontal="right" vertical="center"/>
    </xf>
    <xf numFmtId="3" fontId="10" fillId="2" borderId="0" xfId="6" applyNumberFormat="1" applyFont="1" applyFill="1" applyAlignment="1">
      <alignment horizontal="left" vertical="top" wrapText="1"/>
    </xf>
    <xf numFmtId="3" fontId="20" fillId="5" borderId="0" xfId="6" applyNumberFormat="1" applyFont="1" applyFill="1" applyAlignment="1">
      <alignment horizontal="left" vertical="top" wrapText="1"/>
    </xf>
    <xf numFmtId="3" fontId="11" fillId="2" borderId="0" xfId="6" applyNumberFormat="1" applyFont="1" applyFill="1" applyAlignment="1">
      <alignment vertical="top" wrapText="1"/>
    </xf>
    <xf numFmtId="3" fontId="11" fillId="2" borderId="0" xfId="6" applyNumberFormat="1" applyFont="1" applyFill="1" applyAlignment="1">
      <alignment horizontal="right" vertical="center"/>
    </xf>
    <xf numFmtId="3" fontId="20" fillId="5" borderId="0" xfId="40" applyNumberFormat="1" applyFont="1" applyFill="1" applyAlignment="1">
      <alignment vertical="top" wrapText="1"/>
    </xf>
    <xf numFmtId="3" fontId="20" fillId="5" borderId="0" xfId="40" applyNumberFormat="1" applyFont="1" applyFill="1" applyAlignment="1">
      <alignment horizontal="right" vertical="center"/>
    </xf>
    <xf numFmtId="3" fontId="20" fillId="5" borderId="0" xfId="40" applyNumberFormat="1" applyFont="1" applyFill="1"/>
    <xf numFmtId="3" fontId="10" fillId="2" borderId="0" xfId="40" applyNumberFormat="1" applyFont="1" applyFill="1" applyAlignment="1">
      <alignment vertical="top" wrapText="1"/>
    </xf>
    <xf numFmtId="3" fontId="10" fillId="2" borderId="0" xfId="40" applyNumberFormat="1" applyFont="1" applyFill="1" applyAlignment="1">
      <alignment horizontal="right" vertical="center"/>
    </xf>
    <xf numFmtId="3" fontId="17" fillId="2" borderId="0" xfId="40" applyNumberFormat="1" applyFont="1" applyFill="1"/>
    <xf numFmtId="3" fontId="10" fillId="2" borderId="0" xfId="40" applyNumberFormat="1" applyFont="1" applyFill="1" applyAlignment="1">
      <alignment horizontal="left" vertical="top" wrapText="1"/>
    </xf>
    <xf numFmtId="3" fontId="11" fillId="2" borderId="0" xfId="40" applyNumberFormat="1" applyFont="1" applyFill="1" applyAlignment="1">
      <alignment vertical="top" wrapText="1"/>
    </xf>
    <xf numFmtId="3" fontId="11" fillId="2" borderId="0" xfId="40" applyNumberFormat="1" applyFont="1" applyFill="1" applyAlignment="1">
      <alignment horizontal="right" vertical="center"/>
    </xf>
    <xf numFmtId="3" fontId="31" fillId="5" borderId="0" xfId="42" applyNumberFormat="1" applyFont="1" applyFill="1" applyAlignment="1">
      <alignment vertical="center" wrapText="1"/>
    </xf>
    <xf numFmtId="3" fontId="31" fillId="5" borderId="0" xfId="42" applyNumberFormat="1" applyFont="1" applyFill="1" applyAlignment="1">
      <alignment horizontal="right" vertical="center"/>
    </xf>
    <xf numFmtId="3" fontId="10" fillId="2" borderId="0" xfId="38" applyNumberFormat="1" applyFont="1" applyFill="1" applyAlignment="1">
      <alignment horizontal="right" vertical="center" wrapText="1"/>
    </xf>
    <xf numFmtId="3" fontId="10" fillId="2" borderId="0" xfId="44" applyNumberFormat="1" applyFont="1" applyFill="1" applyAlignment="1">
      <alignment horizontal="left" vertical="top" wrapText="1"/>
    </xf>
    <xf numFmtId="3" fontId="20" fillId="5" borderId="0" xfId="44" applyNumberFormat="1" applyFont="1" applyFill="1" applyAlignment="1">
      <alignment horizontal="left" vertical="top" wrapText="1"/>
    </xf>
    <xf numFmtId="3" fontId="11" fillId="2" borderId="0" xfId="44" applyNumberFormat="1" applyFont="1" applyFill="1" applyAlignment="1">
      <alignment vertical="top" wrapText="1"/>
    </xf>
    <xf numFmtId="3" fontId="20" fillId="5" borderId="0" xfId="46" applyNumberFormat="1" applyFont="1" applyFill="1" applyAlignment="1">
      <alignment vertical="top" wrapText="1"/>
    </xf>
    <xf numFmtId="3" fontId="31" fillId="5" borderId="0" xfId="50" applyNumberFormat="1" applyFont="1" applyFill="1" applyAlignment="1">
      <alignment vertical="top" wrapText="1"/>
    </xf>
    <xf numFmtId="3" fontId="31" fillId="5" borderId="0" xfId="50" applyNumberFormat="1" applyFont="1" applyFill="1" applyAlignment="1">
      <alignment horizontal="right" vertical="center"/>
    </xf>
    <xf numFmtId="3" fontId="30" fillId="2" borderId="0" xfId="50" applyNumberFormat="1" applyFont="1" applyFill="1" applyAlignment="1">
      <alignment vertical="top" wrapText="1"/>
    </xf>
    <xf numFmtId="3" fontId="30" fillId="2" borderId="0" xfId="50" applyNumberFormat="1" applyFont="1" applyFill="1" applyAlignment="1">
      <alignment horizontal="right" vertical="center"/>
    </xf>
    <xf numFmtId="3" fontId="30" fillId="2" borderId="0" xfId="50" applyNumberFormat="1" applyFont="1" applyFill="1" applyAlignment="1">
      <alignment horizontal="left" vertical="top" wrapText="1"/>
    </xf>
    <xf numFmtId="3" fontId="31" fillId="5" borderId="0" xfId="50" applyNumberFormat="1" applyFont="1" applyFill="1" applyAlignment="1">
      <alignment horizontal="left" vertical="top" wrapText="1"/>
    </xf>
    <xf numFmtId="3" fontId="27" fillId="2" borderId="0" xfId="50" applyNumberFormat="1" applyFont="1" applyFill="1" applyAlignment="1">
      <alignment vertical="top" wrapText="1"/>
    </xf>
    <xf numFmtId="3" fontId="27" fillId="2" borderId="0" xfId="50" applyNumberFormat="1" applyFont="1" applyFill="1" applyAlignment="1">
      <alignment horizontal="right" vertical="center"/>
    </xf>
    <xf numFmtId="3" fontId="21" fillId="5" borderId="0" xfId="51" applyNumberFormat="1" applyFont="1" applyFill="1" applyAlignment="1">
      <alignment horizontal="right" vertical="center"/>
    </xf>
    <xf numFmtId="3" fontId="10" fillId="2" borderId="0" xfId="51" applyNumberFormat="1" applyFont="1" applyFill="1" applyAlignment="1">
      <alignment vertical="top" wrapText="1"/>
    </xf>
    <xf numFmtId="3" fontId="10" fillId="2" borderId="0" xfId="51" applyNumberFormat="1" applyFont="1" applyFill="1" applyAlignment="1">
      <alignment horizontal="right" vertical="center"/>
    </xf>
    <xf numFmtId="3" fontId="20" fillId="5" borderId="0" xfId="51" applyNumberFormat="1" applyFont="1" applyFill="1" applyAlignment="1">
      <alignment vertical="top" wrapText="1"/>
    </xf>
    <xf numFmtId="3" fontId="10" fillId="5" borderId="0" xfId="51" applyNumberFormat="1" applyFont="1" applyFill="1" applyAlignment="1">
      <alignment horizontal="right" vertical="center"/>
    </xf>
    <xf numFmtId="3" fontId="10" fillId="2" borderId="0" xfId="51" applyNumberFormat="1" applyFont="1" applyFill="1" applyAlignment="1">
      <alignment horizontal="left" vertical="top" wrapText="1"/>
    </xf>
    <xf numFmtId="3" fontId="20" fillId="5" borderId="0" xfId="51" applyNumberFormat="1" applyFont="1" applyFill="1" applyAlignment="1">
      <alignment horizontal="left" vertical="top" wrapText="1"/>
    </xf>
    <xf numFmtId="3" fontId="11" fillId="2" borderId="0" xfId="51" applyNumberFormat="1" applyFont="1" applyFill="1" applyAlignment="1">
      <alignment vertical="top" wrapText="1"/>
    </xf>
    <xf numFmtId="3" fontId="11" fillId="2" borderId="0" xfId="51" applyNumberFormat="1" applyFont="1" applyFill="1" applyAlignment="1">
      <alignment horizontal="right" vertical="center"/>
    </xf>
    <xf numFmtId="3" fontId="20" fillId="5" borderId="0" xfId="53" applyNumberFormat="1" applyFont="1" applyFill="1" applyAlignment="1">
      <alignment vertical="top" wrapText="1"/>
    </xf>
    <xf numFmtId="3" fontId="20" fillId="5" borderId="0" xfId="53" applyNumberFormat="1" applyFont="1" applyFill="1" applyAlignment="1">
      <alignment horizontal="right" vertical="center"/>
    </xf>
    <xf numFmtId="3" fontId="10" fillId="2" borderId="0" xfId="53" applyNumberFormat="1" applyFont="1" applyFill="1" applyAlignment="1">
      <alignment vertical="top" wrapText="1"/>
    </xf>
    <xf numFmtId="3" fontId="10" fillId="2" borderId="0" xfId="53" applyNumberFormat="1" applyFont="1" applyFill="1" applyAlignment="1">
      <alignment horizontal="right" vertical="center"/>
    </xf>
    <xf numFmtId="3" fontId="10" fillId="2" borderId="0" xfId="53" applyNumberFormat="1" applyFont="1" applyFill="1" applyAlignment="1">
      <alignment horizontal="left" vertical="top" wrapText="1"/>
    </xf>
    <xf numFmtId="3" fontId="11" fillId="2" borderId="0" xfId="53" applyNumberFormat="1" applyFont="1" applyFill="1" applyAlignment="1">
      <alignment vertical="top" wrapText="1"/>
    </xf>
    <xf numFmtId="3" fontId="11" fillId="2" borderId="0" xfId="53" applyNumberFormat="1" applyFont="1" applyFill="1" applyAlignment="1">
      <alignment horizontal="right" vertical="center"/>
    </xf>
    <xf numFmtId="3" fontId="20" fillId="5" borderId="0" xfId="55" applyNumberFormat="1" applyFont="1" applyFill="1" applyAlignment="1">
      <alignment vertical="top" wrapText="1"/>
    </xf>
    <xf numFmtId="3" fontId="10" fillId="2" borderId="0" xfId="55" applyNumberFormat="1" applyFont="1" applyFill="1" applyAlignment="1">
      <alignment vertical="top" wrapText="1"/>
    </xf>
    <xf numFmtId="3" fontId="10" fillId="2" borderId="0" xfId="55" applyNumberFormat="1" applyFont="1" applyFill="1" applyAlignment="1">
      <alignment horizontal="left" vertical="top" wrapText="1"/>
    </xf>
    <xf numFmtId="3" fontId="11" fillId="2" borderId="0" xfId="55" applyNumberFormat="1" applyFont="1" applyFill="1" applyAlignment="1">
      <alignment vertical="top" wrapText="1"/>
    </xf>
    <xf numFmtId="3" fontId="31" fillId="5" borderId="0" xfId="57" applyNumberFormat="1" applyFont="1" applyFill="1" applyAlignment="1">
      <alignment vertical="center" wrapText="1"/>
    </xf>
    <xf numFmtId="3" fontId="30" fillId="2" borderId="0" xfId="57" applyNumberFormat="1" applyFont="1" applyFill="1" applyAlignment="1">
      <alignment vertical="top" wrapText="1"/>
    </xf>
    <xf numFmtId="3" fontId="30" fillId="2" borderId="0" xfId="57" applyNumberFormat="1" applyFont="1" applyFill="1" applyAlignment="1">
      <alignment horizontal="left" vertical="top" wrapText="1"/>
    </xf>
    <xf numFmtId="3" fontId="31" fillId="5" borderId="0" xfId="57" applyNumberFormat="1" applyFont="1" applyFill="1" applyAlignment="1">
      <alignment horizontal="left" vertical="center" wrapText="1"/>
    </xf>
    <xf numFmtId="3" fontId="27" fillId="2" borderId="0" xfId="57" applyNumberFormat="1" applyFont="1" applyFill="1" applyAlignment="1">
      <alignment vertical="top" wrapText="1"/>
    </xf>
    <xf numFmtId="3" fontId="31" fillId="5" borderId="0" xfId="58" applyNumberFormat="1" applyFont="1" applyFill="1" applyAlignment="1">
      <alignment vertical="top" wrapText="1"/>
    </xf>
    <xf numFmtId="3" fontId="30" fillId="2" borderId="0" xfId="58" applyNumberFormat="1" applyFont="1" applyFill="1" applyAlignment="1">
      <alignment vertical="top" wrapText="1"/>
    </xf>
    <xf numFmtId="3" fontId="30" fillId="2" borderId="0" xfId="58" applyNumberFormat="1" applyFont="1" applyFill="1" applyAlignment="1">
      <alignment horizontal="left" vertical="top" wrapText="1"/>
    </xf>
    <xf numFmtId="3" fontId="27" fillId="2" borderId="0" xfId="58" applyNumberFormat="1" applyFont="1" applyFill="1" applyAlignment="1">
      <alignment vertical="top" wrapText="1"/>
    </xf>
    <xf numFmtId="3" fontId="21" fillId="5" borderId="0" xfId="61" applyNumberFormat="1" applyFont="1" applyFill="1" applyAlignment="1">
      <alignment vertical="top" wrapText="1"/>
    </xf>
    <xf numFmtId="3" fontId="21" fillId="2" borderId="0" xfId="61" applyNumberFormat="1" applyFont="1" applyFill="1" applyAlignment="1">
      <alignment vertical="top" wrapText="1"/>
    </xf>
    <xf numFmtId="3" fontId="21" fillId="2" borderId="0" xfId="61" applyNumberFormat="1" applyFont="1" applyFill="1" applyAlignment="1">
      <alignment horizontal="center" vertical="top" wrapText="1"/>
    </xf>
    <xf numFmtId="3" fontId="20" fillId="5" borderId="0" xfId="61" applyNumberFormat="1" applyFont="1" applyFill="1" applyAlignment="1">
      <alignment vertical="top" wrapText="1"/>
    </xf>
    <xf numFmtId="3" fontId="10" fillId="2" borderId="0" xfId="59" applyNumberFormat="1" applyFont="1" applyFill="1" applyAlignment="1">
      <alignment horizontal="left" vertical="top" wrapText="1"/>
    </xf>
    <xf numFmtId="3" fontId="11" fillId="2" borderId="0" xfId="59" applyNumberFormat="1" applyFont="1" applyFill="1" applyAlignment="1">
      <alignment vertical="top" wrapText="1"/>
    </xf>
    <xf numFmtId="3" fontId="31" fillId="5" borderId="0" xfId="61" applyNumberFormat="1" applyFont="1" applyFill="1" applyAlignment="1">
      <alignment vertical="center" wrapText="1"/>
    </xf>
    <xf numFmtId="3" fontId="36" fillId="2" borderId="0" xfId="61" applyNumberFormat="1" applyFont="1" applyFill="1" applyAlignment="1">
      <alignment vertical="top" wrapText="1"/>
    </xf>
    <xf numFmtId="3" fontId="36" fillId="5" borderId="0" xfId="61" applyNumberFormat="1" applyFont="1" applyFill="1" applyAlignment="1">
      <alignment vertical="center" wrapText="1"/>
    </xf>
    <xf numFmtId="3" fontId="30" fillId="2" borderId="0" xfId="63" applyNumberFormat="1" applyFont="1" applyFill="1" applyAlignment="1">
      <alignment horizontal="center" wrapText="1"/>
    </xf>
    <xf numFmtId="3" fontId="31" fillId="5" borderId="0" xfId="61" applyNumberFormat="1" applyFont="1" applyFill="1" applyAlignment="1">
      <alignment vertical="top" wrapText="1"/>
    </xf>
    <xf numFmtId="3" fontId="31" fillId="5" borderId="0" xfId="61" applyNumberFormat="1" applyFont="1" applyFill="1" applyAlignment="1">
      <alignment horizontal="right" vertical="top" wrapText="1"/>
    </xf>
    <xf numFmtId="3" fontId="36" fillId="2" borderId="0" xfId="61" applyNumberFormat="1" applyFont="1" applyFill="1" applyAlignment="1">
      <alignment horizontal="center" vertical="top" wrapText="1"/>
    </xf>
    <xf numFmtId="3" fontId="36" fillId="2" borderId="0" xfId="61" applyNumberFormat="1" applyFont="1" applyFill="1" applyAlignment="1">
      <alignment horizontal="right" vertical="top" wrapText="1"/>
    </xf>
    <xf numFmtId="3" fontId="31" fillId="5" borderId="0" xfId="57" applyNumberFormat="1" applyFont="1" applyFill="1" applyAlignment="1">
      <alignment vertical="top" wrapText="1"/>
    </xf>
    <xf numFmtId="3" fontId="30" fillId="2" borderId="0" xfId="63" applyNumberFormat="1" applyFont="1" applyFill="1" applyAlignment="1">
      <alignment horizontal="right" vertical="center"/>
    </xf>
    <xf numFmtId="3" fontId="30" fillId="5" borderId="0" xfId="63" applyNumberFormat="1" applyFont="1" applyFill="1" applyAlignment="1">
      <alignment horizontal="right" vertical="center"/>
    </xf>
    <xf numFmtId="3" fontId="27" fillId="2" borderId="0" xfId="63" applyNumberFormat="1" applyFont="1" applyFill="1" applyAlignment="1">
      <alignment horizontal="left" vertical="top" wrapText="1"/>
    </xf>
    <xf numFmtId="3" fontId="27" fillId="2" borderId="0" xfId="63" applyNumberFormat="1" applyFont="1" applyFill="1" applyAlignment="1">
      <alignment horizontal="right" vertical="center"/>
    </xf>
    <xf numFmtId="3" fontId="30" fillId="2" borderId="0" xfId="64" applyNumberFormat="1" applyFont="1" applyFill="1" applyAlignment="1">
      <alignment horizontal="left" vertical="top" wrapText="1"/>
    </xf>
    <xf numFmtId="3" fontId="30" fillId="2" borderId="0" xfId="64" applyNumberFormat="1" applyFont="1" applyFill="1" applyAlignment="1">
      <alignment horizontal="right" vertical="center"/>
    </xf>
    <xf numFmtId="3" fontId="30" fillId="5" borderId="0" xfId="64" applyNumberFormat="1" applyFont="1" applyFill="1" applyAlignment="1">
      <alignment horizontal="right" vertical="center"/>
    </xf>
    <xf numFmtId="3" fontId="27" fillId="2" borderId="0" xfId="64" applyNumberFormat="1" applyFont="1" applyFill="1" applyAlignment="1">
      <alignment vertical="top" wrapText="1"/>
    </xf>
    <xf numFmtId="3" fontId="27" fillId="2" borderId="0" xfId="64" applyNumberFormat="1" applyFont="1" applyFill="1" applyAlignment="1">
      <alignment horizontal="right" vertical="center"/>
    </xf>
    <xf numFmtId="3" fontId="30" fillId="2" borderId="0" xfId="65" applyNumberFormat="1" applyFont="1" applyFill="1" applyAlignment="1">
      <alignment horizontal="left" vertical="top" wrapText="1"/>
    </xf>
    <xf numFmtId="3" fontId="31" fillId="5" borderId="0" xfId="65" applyNumberFormat="1" applyFont="1" applyFill="1" applyAlignment="1">
      <alignment horizontal="left" vertical="top" wrapText="1"/>
    </xf>
    <xf numFmtId="3" fontId="30" fillId="2" borderId="0" xfId="65" applyNumberFormat="1" applyFont="1" applyFill="1" applyAlignment="1">
      <alignment vertical="top" wrapText="1"/>
    </xf>
    <xf numFmtId="3" fontId="36" fillId="2" borderId="0" xfId="61" applyNumberFormat="1" applyFont="1" applyFill="1" applyAlignment="1">
      <alignment vertical="center" wrapText="1"/>
    </xf>
    <xf numFmtId="0" fontId="20" fillId="5" borderId="0" xfId="67" applyFont="1" applyFill="1" applyAlignment="1">
      <alignment horizontal="left" vertical="top"/>
    </xf>
    <xf numFmtId="3" fontId="30" fillId="2" borderId="0" xfId="66" applyNumberFormat="1" applyFont="1" applyFill="1" applyAlignment="1">
      <alignment horizontal="left" vertical="top" wrapText="1"/>
    </xf>
    <xf numFmtId="3" fontId="30" fillId="2" borderId="0" xfId="66" applyNumberFormat="1" applyFont="1" applyFill="1" applyAlignment="1">
      <alignment horizontal="right" vertical="center"/>
    </xf>
    <xf numFmtId="3" fontId="36" fillId="5" borderId="0" xfId="61" applyNumberFormat="1" applyFont="1" applyFill="1" applyAlignment="1">
      <alignment horizontal="center" vertical="center" wrapText="1"/>
    </xf>
    <xf numFmtId="3" fontId="7" fillId="3" borderId="0" xfId="0" applyNumberFormat="1" applyFont="1" applyFill="1" applyAlignment="1">
      <alignment vertical="center"/>
    </xf>
    <xf numFmtId="3" fontId="12" fillId="2" borderId="0" xfId="3" applyNumberFormat="1" applyFont="1" applyFill="1" applyAlignment="1">
      <alignment vertical="top" wrapText="1"/>
    </xf>
    <xf numFmtId="3" fontId="12" fillId="2" borderId="0" xfId="3" applyNumberFormat="1" applyFont="1" applyFill="1" applyAlignment="1">
      <alignment horizontal="right" vertical="center"/>
    </xf>
    <xf numFmtId="3" fontId="7" fillId="2" borderId="0" xfId="3" applyNumberFormat="1" applyFont="1" applyFill="1" applyAlignment="1">
      <alignment vertical="top" wrapText="1"/>
    </xf>
    <xf numFmtId="3" fontId="7" fillId="2" borderId="0" xfId="3" applyNumberFormat="1" applyFont="1" applyFill="1" applyAlignment="1">
      <alignment horizontal="right" vertical="center"/>
    </xf>
    <xf numFmtId="3" fontId="7" fillId="2" borderId="0" xfId="3" applyNumberFormat="1" applyFont="1" applyFill="1" applyAlignment="1">
      <alignment horizontal="left" vertical="top" wrapText="1"/>
    </xf>
    <xf numFmtId="3" fontId="7" fillId="2" borderId="0" xfId="38" applyNumberFormat="1" applyFont="1" applyFill="1" applyAlignment="1">
      <alignment horizontal="right" wrapText="1"/>
    </xf>
    <xf numFmtId="3" fontId="7" fillId="2" borderId="0" xfId="3" applyNumberFormat="1" applyFont="1" applyFill="1" applyAlignment="1">
      <alignment horizontal="left" vertical="top" wrapText="1" indent="1"/>
    </xf>
    <xf numFmtId="3" fontId="10" fillId="3" borderId="0" xfId="6" applyNumberFormat="1" applyFont="1" applyFill="1" applyAlignment="1">
      <alignment vertical="top" wrapText="1"/>
    </xf>
    <xf numFmtId="3" fontId="10" fillId="2" borderId="0" xfId="6" applyNumberFormat="1" applyFont="1" applyFill="1" applyAlignment="1">
      <alignment horizontal="left" vertical="top" wrapText="1" indent="1"/>
    </xf>
    <xf numFmtId="3" fontId="10" fillId="2" borderId="0" xfId="40" applyNumberFormat="1" applyFont="1" applyFill="1" applyAlignment="1">
      <alignment horizontal="left" vertical="top" wrapText="1" indent="1"/>
    </xf>
    <xf numFmtId="3" fontId="28" fillId="3" borderId="0" xfId="42" applyNumberFormat="1" applyFont="1" applyFill="1"/>
    <xf numFmtId="3" fontId="29" fillId="3" borderId="0" xfId="0" applyNumberFormat="1" applyFont="1" applyFill="1"/>
    <xf numFmtId="3" fontId="28" fillId="3" borderId="0" xfId="42" applyNumberFormat="1" applyFont="1" applyFill="1" applyAlignment="1">
      <alignment vertical="center"/>
    </xf>
    <xf numFmtId="3" fontId="29" fillId="3" borderId="0" xfId="0" applyNumberFormat="1" applyFont="1" applyFill="1" applyAlignment="1">
      <alignment vertical="center"/>
    </xf>
    <xf numFmtId="3" fontId="32" fillId="3" borderId="0" xfId="42" applyNumberFormat="1" applyFont="1" applyFill="1"/>
    <xf numFmtId="3" fontId="33" fillId="3" borderId="0" xfId="0" applyNumberFormat="1" applyFont="1" applyFill="1"/>
    <xf numFmtId="3" fontId="32" fillId="2" borderId="0" xfId="42" applyNumberFormat="1" applyFont="1" applyFill="1" applyAlignment="1">
      <alignment horizontal="right" vertical="center"/>
    </xf>
    <xf numFmtId="3" fontId="28" fillId="2" borderId="0" xfId="42" applyNumberFormat="1" applyFont="1" applyFill="1" applyAlignment="1">
      <alignment vertical="top" wrapText="1"/>
    </xf>
    <xf numFmtId="3" fontId="28" fillId="2" borderId="0" xfId="42" applyNumberFormat="1" applyFont="1" applyFill="1" applyAlignment="1">
      <alignment horizontal="right" vertical="center"/>
    </xf>
    <xf numFmtId="3" fontId="28" fillId="2" borderId="0" xfId="42" applyNumberFormat="1" applyFont="1" applyFill="1" applyAlignment="1">
      <alignment horizontal="left" vertical="top" wrapText="1"/>
    </xf>
    <xf numFmtId="3" fontId="32" fillId="2" borderId="0" xfId="42" applyNumberFormat="1" applyFont="1" applyFill="1" applyAlignment="1">
      <alignment vertical="top" wrapText="1"/>
    </xf>
    <xf numFmtId="3" fontId="28" fillId="2" borderId="0" xfId="42" applyNumberFormat="1" applyFont="1" applyFill="1" applyAlignment="1">
      <alignment horizontal="right" wrapText="1"/>
    </xf>
    <xf numFmtId="3" fontId="28" fillId="3" borderId="0" xfId="0" applyNumberFormat="1" applyFont="1" applyFill="1"/>
    <xf numFmtId="3" fontId="28" fillId="2" borderId="0" xfId="42" applyNumberFormat="1" applyFont="1" applyFill="1" applyAlignment="1">
      <alignment horizontal="left" vertical="top" wrapText="1" indent="1"/>
    </xf>
    <xf numFmtId="3" fontId="21" fillId="5" borderId="0" xfId="44" applyNumberFormat="1" applyFont="1" applyFill="1" applyAlignment="1">
      <alignment vertical="top" wrapText="1"/>
    </xf>
    <xf numFmtId="3" fontId="10" fillId="2" borderId="0" xfId="44" applyNumberFormat="1" applyFont="1" applyFill="1" applyAlignment="1">
      <alignment horizontal="left" vertical="top" wrapText="1" indent="1"/>
    </xf>
    <xf numFmtId="3" fontId="30" fillId="2" borderId="0" xfId="50" applyNumberFormat="1" applyFont="1" applyFill="1" applyAlignment="1">
      <alignment horizontal="left" vertical="top" wrapText="1" indent="1"/>
    </xf>
    <xf numFmtId="3" fontId="30" fillId="2" borderId="0" xfId="50" applyNumberFormat="1" applyFont="1" applyFill="1" applyAlignment="1">
      <alignment horizontal="right" wrapText="1"/>
    </xf>
    <xf numFmtId="3" fontId="34" fillId="3" borderId="0" xfId="51" applyNumberFormat="1" applyFont="1" applyFill="1"/>
    <xf numFmtId="3" fontId="18" fillId="3" borderId="0" xfId="0" applyNumberFormat="1" applyFont="1" applyFill="1"/>
    <xf numFmtId="3" fontId="35" fillId="3" borderId="0" xfId="51" applyNumberFormat="1" applyFont="1" applyFill="1"/>
    <xf numFmtId="3" fontId="22" fillId="3" borderId="0" xfId="0" applyNumberFormat="1" applyFont="1" applyFill="1"/>
    <xf numFmtId="3" fontId="10" fillId="2" borderId="0" xfId="51" applyNumberFormat="1" applyFont="1" applyFill="1" applyAlignment="1">
      <alignment horizontal="left" vertical="top" wrapText="1" indent="1"/>
    </xf>
    <xf numFmtId="3" fontId="10" fillId="2" borderId="0" xfId="53" applyNumberFormat="1" applyFont="1" applyFill="1" applyAlignment="1">
      <alignment horizontal="right" wrapText="1"/>
    </xf>
    <xf numFmtId="3" fontId="10" fillId="2" borderId="0" xfId="53" applyNumberFormat="1" applyFont="1" applyFill="1" applyAlignment="1">
      <alignment horizontal="left" vertical="top" wrapText="1" indent="1"/>
    </xf>
    <xf numFmtId="3" fontId="10" fillId="2" borderId="0" xfId="55" applyNumberFormat="1" applyFont="1" applyFill="1" applyAlignment="1">
      <alignment horizontal="left" vertical="top" wrapText="1" indent="1"/>
    </xf>
    <xf numFmtId="3" fontId="28" fillId="3" borderId="0" xfId="57" applyNumberFormat="1" applyFont="1" applyFill="1"/>
    <xf numFmtId="3" fontId="28" fillId="3" borderId="0" xfId="57" applyNumberFormat="1" applyFont="1" applyFill="1" applyAlignment="1">
      <alignment vertical="center"/>
    </xf>
    <xf numFmtId="3" fontId="32" fillId="3" borderId="0" xfId="57" applyNumberFormat="1" applyFont="1" applyFill="1"/>
    <xf numFmtId="3" fontId="30" fillId="2" borderId="0" xfId="57" applyNumberFormat="1" applyFont="1" applyFill="1" applyAlignment="1">
      <alignment horizontal="left" vertical="top" wrapText="1" indent="1"/>
    </xf>
    <xf numFmtId="3" fontId="29" fillId="3" borderId="0" xfId="0" applyNumberFormat="1" applyFont="1" applyFill="1" applyAlignment="1">
      <alignment horizontal="right" vertical="center"/>
    </xf>
    <xf numFmtId="3" fontId="29" fillId="3" borderId="0" xfId="0" applyNumberFormat="1" applyFont="1" applyFill="1" applyAlignment="1">
      <alignment horizontal="center"/>
    </xf>
    <xf numFmtId="3" fontId="33" fillId="3" borderId="0" xfId="0" applyNumberFormat="1" applyFont="1" applyFill="1" applyAlignment="1">
      <alignment vertical="center"/>
    </xf>
    <xf numFmtId="3" fontId="31" fillId="2" borderId="0" xfId="61" applyNumberFormat="1" applyFont="1" applyFill="1" applyAlignment="1">
      <alignment vertical="center" wrapText="1"/>
    </xf>
    <xf numFmtId="3" fontId="37" fillId="3" borderId="0" xfId="0" applyNumberFormat="1" applyFont="1" applyFill="1"/>
    <xf numFmtId="3" fontId="38" fillId="3" borderId="0" xfId="0" applyNumberFormat="1" applyFont="1" applyFill="1"/>
    <xf numFmtId="3" fontId="30" fillId="2" borderId="0" xfId="64" applyNumberFormat="1" applyFont="1" applyFill="1" applyAlignment="1">
      <alignment horizontal="left" vertical="top" wrapText="1" indent="1"/>
    </xf>
    <xf numFmtId="3" fontId="30" fillId="3" borderId="0" xfId="63" applyNumberFormat="1" applyFont="1" applyFill="1" applyAlignment="1">
      <alignment vertical="top" wrapText="1"/>
    </xf>
    <xf numFmtId="3" fontId="30" fillId="2" borderId="0" xfId="63" applyNumberFormat="1" applyFont="1" applyFill="1" applyAlignment="1">
      <alignment horizontal="left" vertical="top" wrapText="1" indent="1"/>
    </xf>
    <xf numFmtId="3" fontId="30" fillId="3" borderId="0" xfId="63" applyNumberFormat="1" applyFont="1" applyFill="1" applyAlignment="1">
      <alignment horizontal="right" vertical="top" wrapText="1"/>
    </xf>
    <xf numFmtId="3" fontId="18" fillId="3" borderId="0" xfId="0" applyNumberFormat="1" applyFont="1" applyFill="1" applyAlignment="1">
      <alignment horizontal="center"/>
    </xf>
    <xf numFmtId="3" fontId="10" fillId="2" borderId="0" xfId="59" applyNumberFormat="1" applyFont="1" applyFill="1" applyAlignment="1">
      <alignment horizontal="left" vertical="top" wrapText="1" indent="1"/>
    </xf>
    <xf numFmtId="3" fontId="11" fillId="2" borderId="0" xfId="59" applyNumberFormat="1" applyFont="1" applyFill="1" applyAlignment="1">
      <alignment horizontal="right" vertical="center"/>
    </xf>
    <xf numFmtId="3" fontId="10" fillId="2" borderId="0" xfId="59" applyNumberFormat="1" applyFont="1" applyFill="1" applyAlignment="1">
      <alignment horizontal="right" vertical="center"/>
    </xf>
    <xf numFmtId="3" fontId="21" fillId="5" borderId="0" xfId="61" applyNumberFormat="1" applyFont="1" applyFill="1" applyAlignment="1">
      <alignment horizontal="right" vertical="top" wrapText="1"/>
    </xf>
    <xf numFmtId="3" fontId="30" fillId="2" borderId="0" xfId="58" applyNumberFormat="1" applyFont="1" applyFill="1" applyAlignment="1">
      <alignment horizontal="left" vertical="top" wrapText="1" indent="1"/>
    </xf>
    <xf numFmtId="173" fontId="25" fillId="5" borderId="0" xfId="3" applyNumberFormat="1" applyFont="1" applyFill="1" applyAlignment="1">
      <alignment horizontal="right" vertical="center"/>
    </xf>
    <xf numFmtId="173" fontId="16" fillId="2" borderId="0" xfId="3" applyNumberFormat="1" applyFont="1" applyFill="1" applyAlignment="1">
      <alignment horizontal="right" vertical="center"/>
    </xf>
    <xf numFmtId="0" fontId="10" fillId="2" borderId="1" xfId="25" applyFont="1" applyFill="1" applyBorder="1" applyAlignment="1">
      <alignment horizontal="left" vertical="top" wrapText="1" indent="1"/>
    </xf>
    <xf numFmtId="173" fontId="10" fillId="2" borderId="1" xfId="25" applyNumberFormat="1" applyFont="1" applyFill="1" applyBorder="1" applyAlignment="1">
      <alignment vertical="center"/>
    </xf>
    <xf numFmtId="3" fontId="17" fillId="2" borderId="0" xfId="68" applyNumberFormat="1" applyFont="1" applyFill="1" applyAlignment="1">
      <alignment horizontal="center" wrapText="1"/>
    </xf>
    <xf numFmtId="3" fontId="17" fillId="2" borderId="0" xfId="68" applyNumberFormat="1" applyFont="1" applyFill="1" applyAlignment="1">
      <alignment horizontal="right" wrapText="1"/>
    </xf>
    <xf numFmtId="3" fontId="10" fillId="2" borderId="0" xfId="3" applyNumberFormat="1" applyFont="1" applyFill="1" applyAlignment="1">
      <alignment horizontal="right"/>
    </xf>
    <xf numFmtId="174" fontId="17" fillId="2" borderId="0" xfId="68" applyNumberFormat="1" applyFont="1" applyFill="1" applyAlignment="1">
      <alignment horizontal="right" wrapText="1"/>
    </xf>
    <xf numFmtId="174" fontId="10" fillId="2" borderId="0" xfId="3" applyNumberFormat="1" applyFont="1" applyFill="1" applyAlignment="1">
      <alignment horizontal="right"/>
    </xf>
    <xf numFmtId="3" fontId="20" fillId="5" borderId="0" xfId="69" applyNumberFormat="1" applyFont="1" applyFill="1" applyAlignment="1">
      <alignment vertical="center" wrapText="1"/>
    </xf>
    <xf numFmtId="174" fontId="7" fillId="2" borderId="0" xfId="0" applyNumberFormat="1" applyFont="1" applyFill="1"/>
    <xf numFmtId="3" fontId="17" fillId="2" borderId="0" xfId="68" applyNumberFormat="1" applyFont="1" applyFill="1" applyAlignment="1">
      <alignment horizontal="center" vertical="top" wrapText="1"/>
    </xf>
    <xf numFmtId="3" fontId="17" fillId="2" borderId="0" xfId="68" applyNumberFormat="1" applyFont="1" applyFill="1" applyAlignment="1">
      <alignment vertical="center" wrapText="1"/>
    </xf>
    <xf numFmtId="3" fontId="10" fillId="2" borderId="0" xfId="3" applyNumberFormat="1" applyFont="1" applyFill="1" applyAlignment="1">
      <alignment horizontal="center"/>
    </xf>
    <xf numFmtId="174" fontId="10" fillId="2" borderId="0" xfId="3" applyNumberFormat="1" applyFont="1" applyFill="1" applyAlignment="1">
      <alignment horizontal="center"/>
    </xf>
    <xf numFmtId="3" fontId="20" fillId="5" borderId="0" xfId="70" applyNumberFormat="1" applyFont="1" applyFill="1" applyAlignment="1">
      <alignment vertical="top" wrapText="1"/>
    </xf>
    <xf numFmtId="3" fontId="20" fillId="5" borderId="0" xfId="70" applyNumberFormat="1" applyFont="1" applyFill="1" applyAlignment="1">
      <alignment horizontal="right" vertical="center"/>
    </xf>
    <xf numFmtId="3" fontId="11" fillId="2" borderId="0" xfId="70" applyNumberFormat="1" applyFont="1" applyFill="1" applyAlignment="1">
      <alignment vertical="top" wrapText="1"/>
    </xf>
    <xf numFmtId="3" fontId="11" fillId="2" borderId="0" xfId="70" applyNumberFormat="1" applyFont="1" applyFill="1" applyAlignment="1">
      <alignment horizontal="right" vertical="center"/>
    </xf>
    <xf numFmtId="3" fontId="10" fillId="2" borderId="0" xfId="70" applyNumberFormat="1" applyFont="1" applyFill="1" applyAlignment="1">
      <alignment vertical="top" wrapText="1"/>
    </xf>
    <xf numFmtId="3" fontId="10" fillId="2" borderId="0" xfId="70" applyNumberFormat="1" applyFont="1" applyFill="1" applyAlignment="1">
      <alignment horizontal="right" vertical="center"/>
    </xf>
    <xf numFmtId="3" fontId="20" fillId="5" borderId="0" xfId="70" applyNumberFormat="1" applyFont="1" applyFill="1" applyAlignment="1">
      <alignment horizontal="left" vertical="center" wrapText="1"/>
    </xf>
    <xf numFmtId="3" fontId="21" fillId="5" borderId="0" xfId="70" applyNumberFormat="1" applyFont="1" applyFill="1" applyAlignment="1">
      <alignment horizontal="right" vertical="center"/>
    </xf>
    <xf numFmtId="3" fontId="10" fillId="2" borderId="0" xfId="71" applyNumberFormat="1" applyFont="1" applyFill="1" applyAlignment="1">
      <alignment horizontal="center" vertical="center" wrapText="1"/>
    </xf>
    <xf numFmtId="3" fontId="17" fillId="2" borderId="0" xfId="68" applyNumberFormat="1" applyFont="1" applyFill="1" applyAlignment="1">
      <alignment horizontal="center" vertical="center"/>
    </xf>
    <xf numFmtId="3" fontId="20" fillId="5" borderId="0" xfId="71" applyNumberFormat="1" applyFont="1" applyFill="1" applyAlignment="1">
      <alignment horizontal="right" vertical="center"/>
    </xf>
    <xf numFmtId="3" fontId="10" fillId="2" borderId="0" xfId="71" applyNumberFormat="1" applyFont="1" applyFill="1" applyAlignment="1">
      <alignment horizontal="right" vertical="center"/>
    </xf>
    <xf numFmtId="3" fontId="11" fillId="2" borderId="0" xfId="71" applyNumberFormat="1" applyFont="1" applyFill="1" applyAlignment="1">
      <alignment horizontal="right" vertical="center"/>
    </xf>
    <xf numFmtId="3" fontId="21" fillId="5" borderId="0" xfId="72" applyNumberFormat="1" applyFont="1" applyFill="1" applyAlignment="1">
      <alignment vertical="center" wrapText="1"/>
    </xf>
    <xf numFmtId="3" fontId="21" fillId="5" borderId="0" xfId="72" applyNumberFormat="1" applyFont="1" applyFill="1" applyAlignment="1">
      <alignment horizontal="right" vertical="center"/>
    </xf>
    <xf numFmtId="3" fontId="10" fillId="2" borderId="0" xfId="72" applyNumberFormat="1" applyFont="1" applyFill="1" applyAlignment="1">
      <alignment vertical="top" wrapText="1"/>
    </xf>
    <xf numFmtId="3" fontId="10" fillId="2" borderId="0" xfId="72" applyNumberFormat="1" applyFont="1" applyFill="1" applyAlignment="1">
      <alignment horizontal="right" vertical="center"/>
    </xf>
    <xf numFmtId="3" fontId="20" fillId="5" borderId="0" xfId="72" applyNumberFormat="1" applyFont="1" applyFill="1" applyAlignment="1">
      <alignment vertical="center" wrapText="1"/>
    </xf>
    <xf numFmtId="3" fontId="11" fillId="2" borderId="0" xfId="72" applyNumberFormat="1" applyFont="1" applyFill="1" applyAlignment="1">
      <alignment vertical="top" wrapText="1"/>
    </xf>
    <xf numFmtId="3" fontId="11" fillId="2" borderId="0" xfId="72" applyNumberFormat="1" applyFont="1" applyFill="1" applyAlignment="1">
      <alignment horizontal="right" vertical="center"/>
    </xf>
    <xf numFmtId="3" fontId="7" fillId="2" borderId="0" xfId="68" applyNumberFormat="1" applyFont="1" applyFill="1" applyAlignment="1">
      <alignment horizontal="center" wrapText="1"/>
    </xf>
    <xf numFmtId="3" fontId="7" fillId="2" borderId="0" xfId="0" applyNumberFormat="1" applyFont="1" applyFill="1" applyAlignment="1">
      <alignment horizontal="center"/>
    </xf>
    <xf numFmtId="3" fontId="10" fillId="2" borderId="0" xfId="73" applyNumberFormat="1" applyFont="1" applyFill="1" applyAlignment="1">
      <alignment vertical="top" wrapText="1"/>
    </xf>
    <xf numFmtId="3" fontId="20" fillId="5" borderId="0" xfId="73" applyNumberFormat="1" applyFont="1" applyFill="1" applyAlignment="1">
      <alignment vertical="center" wrapText="1"/>
    </xf>
    <xf numFmtId="3" fontId="11" fillId="2" borderId="0" xfId="73" applyNumberFormat="1" applyFont="1" applyFill="1" applyAlignment="1">
      <alignment vertical="top" wrapText="1"/>
    </xf>
    <xf numFmtId="3" fontId="21" fillId="5" borderId="0" xfId="76" applyNumberFormat="1" applyFont="1" applyFill="1" applyAlignment="1">
      <alignment horizontal="right" vertical="center"/>
    </xf>
    <xf numFmtId="3" fontId="11" fillId="2" borderId="0" xfId="76" applyNumberFormat="1" applyFont="1" applyFill="1" applyAlignment="1">
      <alignment vertical="top" wrapText="1"/>
    </xf>
    <xf numFmtId="3" fontId="10" fillId="2" borderId="0" xfId="76" applyNumberFormat="1" applyFont="1" applyFill="1" applyAlignment="1">
      <alignment horizontal="right" vertical="center"/>
    </xf>
    <xf numFmtId="3" fontId="20" fillId="5" borderId="0" xfId="76" applyNumberFormat="1" applyFont="1" applyFill="1" applyAlignment="1">
      <alignment vertical="center" wrapText="1"/>
    </xf>
    <xf numFmtId="3" fontId="10" fillId="2" borderId="0" xfId="76" applyNumberFormat="1" applyFont="1" applyFill="1" applyAlignment="1">
      <alignment vertical="top" wrapText="1"/>
    </xf>
    <xf numFmtId="3" fontId="10" fillId="5" borderId="0" xfId="76" applyNumberFormat="1" applyFont="1" applyFill="1" applyAlignment="1">
      <alignment horizontal="right" vertical="center"/>
    </xf>
    <xf numFmtId="3" fontId="11" fillId="2" borderId="0" xfId="76" applyNumberFormat="1" applyFont="1" applyFill="1" applyAlignment="1">
      <alignment horizontal="right" vertical="center"/>
    </xf>
    <xf numFmtId="3" fontId="28" fillId="2" borderId="0" xfId="68" applyNumberFormat="1" applyFont="1" applyFill="1" applyAlignment="1">
      <alignment horizontal="center" vertical="center" wrapText="1"/>
    </xf>
    <xf numFmtId="3" fontId="29" fillId="2" borderId="0" xfId="68" applyNumberFormat="1" applyFont="1" applyFill="1" applyAlignment="1">
      <alignment horizontal="center" vertical="center" wrapText="1"/>
    </xf>
    <xf numFmtId="3" fontId="36" fillId="5" borderId="0" xfId="77" applyNumberFormat="1" applyFont="1" applyFill="1" applyAlignment="1">
      <alignment vertical="center" wrapText="1"/>
    </xf>
    <xf numFmtId="3" fontId="30" fillId="2" borderId="0" xfId="77" applyNumberFormat="1" applyFont="1" applyFill="1" applyAlignment="1">
      <alignment vertical="top" wrapText="1"/>
    </xf>
    <xf numFmtId="3" fontId="30" fillId="2" borderId="0" xfId="77" applyNumberFormat="1" applyFont="1" applyFill="1" applyAlignment="1">
      <alignment horizontal="left" vertical="top" wrapText="1"/>
    </xf>
    <xf numFmtId="3" fontId="20" fillId="5" borderId="0" xfId="78" applyNumberFormat="1" applyFont="1" applyFill="1" applyAlignment="1">
      <alignment vertical="top" wrapText="1"/>
    </xf>
    <xf numFmtId="3" fontId="20" fillId="5" borderId="0" xfId="78" applyNumberFormat="1" applyFont="1" applyFill="1" applyAlignment="1">
      <alignment horizontal="right" vertical="center"/>
    </xf>
    <xf numFmtId="3" fontId="10" fillId="2" borderId="0" xfId="78" applyNumberFormat="1" applyFont="1" applyFill="1" applyAlignment="1">
      <alignment vertical="top" wrapText="1"/>
    </xf>
    <xf numFmtId="3" fontId="10" fillId="2" borderId="0" xfId="78" applyNumberFormat="1" applyFont="1" applyFill="1" applyAlignment="1">
      <alignment horizontal="right" vertical="center"/>
    </xf>
    <xf numFmtId="3" fontId="11" fillId="2" borderId="0" xfId="78" applyNumberFormat="1" applyFont="1" applyFill="1" applyAlignment="1">
      <alignment vertical="top" wrapText="1"/>
    </xf>
    <xf numFmtId="3" fontId="11" fillId="2" borderId="0" xfId="78" applyNumberFormat="1" applyFont="1" applyFill="1" applyAlignment="1">
      <alignment horizontal="right" vertical="center"/>
    </xf>
    <xf numFmtId="3" fontId="20" fillId="5" borderId="0" xfId="69" applyNumberFormat="1" applyFont="1" applyFill="1" applyAlignment="1">
      <alignment horizontal="right" vertical="center"/>
    </xf>
    <xf numFmtId="3" fontId="10" fillId="2" borderId="0" xfId="69" applyNumberFormat="1" applyFont="1" applyFill="1" applyAlignment="1">
      <alignment vertical="top" wrapText="1"/>
    </xf>
    <xf numFmtId="3" fontId="10" fillId="2" borderId="0" xfId="69" applyNumberFormat="1" applyFont="1" applyFill="1" applyAlignment="1">
      <alignment horizontal="right" vertical="center"/>
    </xf>
    <xf numFmtId="3" fontId="20" fillId="5" borderId="0" xfId="79" applyNumberFormat="1" applyFont="1" applyFill="1" applyAlignment="1">
      <alignment vertical="center" wrapText="1"/>
    </xf>
    <xf numFmtId="3" fontId="11" fillId="2" borderId="0" xfId="69" applyNumberFormat="1" applyFont="1" applyFill="1" applyAlignment="1">
      <alignment vertical="top" wrapText="1"/>
    </xf>
    <xf numFmtId="3" fontId="11" fillId="2" borderId="0" xfId="69" applyNumberFormat="1" applyFont="1" applyFill="1" applyAlignment="1">
      <alignment horizontal="right" vertical="center"/>
    </xf>
    <xf numFmtId="3" fontId="20" fillId="5" borderId="0" xfId="80" applyNumberFormat="1" applyFont="1" applyFill="1" applyAlignment="1">
      <alignment vertical="center" wrapText="1"/>
    </xf>
    <xf numFmtId="3" fontId="20" fillId="5" borderId="0" xfId="80" applyNumberFormat="1" applyFont="1" applyFill="1" applyAlignment="1">
      <alignment horizontal="right" vertical="center"/>
    </xf>
    <xf numFmtId="3" fontId="17" fillId="2" borderId="0" xfId="68" applyNumberFormat="1" applyFont="1" applyFill="1" applyAlignment="1">
      <alignment horizontal="right" vertical="center"/>
    </xf>
    <xf numFmtId="3" fontId="21" fillId="5" borderId="0" xfId="79" applyNumberFormat="1" applyFont="1" applyFill="1" applyAlignment="1">
      <alignment horizontal="right" vertical="center"/>
    </xf>
    <xf numFmtId="3" fontId="10" fillId="2" borderId="0" xfId="79" applyNumberFormat="1" applyFont="1" applyFill="1" applyAlignment="1">
      <alignment vertical="top" wrapText="1"/>
    </xf>
    <xf numFmtId="3" fontId="10" fillId="2" borderId="0" xfId="79" applyNumberFormat="1" applyFont="1" applyFill="1" applyAlignment="1">
      <alignment horizontal="right" vertical="center"/>
    </xf>
    <xf numFmtId="3" fontId="10" fillId="5" borderId="0" xfId="79" applyNumberFormat="1" applyFont="1" applyFill="1" applyAlignment="1">
      <alignment horizontal="right" vertical="center"/>
    </xf>
    <xf numFmtId="3" fontId="20" fillId="5" borderId="0" xfId="78" applyNumberFormat="1" applyFont="1" applyFill="1" applyAlignment="1">
      <alignment vertical="center" wrapText="1"/>
    </xf>
    <xf numFmtId="3" fontId="11" fillId="2" borderId="0" xfId="79" applyNumberFormat="1" applyFont="1" applyFill="1" applyAlignment="1">
      <alignment vertical="top" wrapText="1"/>
    </xf>
    <xf numFmtId="3" fontId="11" fillId="2" borderId="0" xfId="79" applyNumberFormat="1" applyFont="1" applyFill="1" applyAlignment="1">
      <alignment horizontal="right" vertical="center"/>
    </xf>
    <xf numFmtId="3" fontId="21" fillId="5" borderId="0" xfId="82" applyNumberFormat="1" applyFont="1" applyFill="1" applyAlignment="1">
      <alignment horizontal="right" vertical="center"/>
    </xf>
    <xf numFmtId="3" fontId="10" fillId="2" borderId="0" xfId="82" applyNumberFormat="1" applyFont="1" applyFill="1" applyAlignment="1">
      <alignment vertical="top" wrapText="1"/>
    </xf>
    <xf numFmtId="3" fontId="10" fillId="2" borderId="0" xfId="82" applyNumberFormat="1" applyFont="1" applyFill="1" applyAlignment="1">
      <alignment horizontal="right" vertical="center"/>
    </xf>
    <xf numFmtId="3" fontId="20" fillId="5" borderId="0" xfId="82" applyNumberFormat="1" applyFont="1" applyFill="1" applyAlignment="1">
      <alignment vertical="center" wrapText="1"/>
    </xf>
    <xf numFmtId="3" fontId="11" fillId="2" borderId="0" xfId="82" applyNumberFormat="1" applyFont="1" applyFill="1" applyAlignment="1">
      <alignment vertical="top" wrapText="1"/>
    </xf>
    <xf numFmtId="3" fontId="11" fillId="2" borderId="0" xfId="82" applyNumberFormat="1" applyFont="1" applyFill="1" applyAlignment="1">
      <alignment horizontal="right" vertical="center"/>
    </xf>
    <xf numFmtId="3" fontId="10" fillId="2" borderId="0" xfId="9" applyNumberFormat="1" applyFont="1" applyFill="1" applyAlignment="1">
      <alignment horizontal="center" vertical="center" wrapText="1"/>
    </xf>
    <xf numFmtId="3" fontId="20" fillId="5" borderId="0" xfId="83" applyNumberFormat="1" applyFont="1" applyFill="1" applyAlignment="1">
      <alignment vertical="center" wrapText="1"/>
    </xf>
    <xf numFmtId="3" fontId="20" fillId="5" borderId="0" xfId="83" applyNumberFormat="1" applyFont="1" applyFill="1" applyAlignment="1">
      <alignment horizontal="right" vertical="center"/>
    </xf>
    <xf numFmtId="3" fontId="10" fillId="2" borderId="0" xfId="83" applyNumberFormat="1" applyFont="1" applyFill="1" applyAlignment="1">
      <alignment vertical="top" wrapText="1"/>
    </xf>
    <xf numFmtId="3" fontId="10" fillId="2" borderId="0" xfId="83" applyNumberFormat="1" applyFont="1" applyFill="1" applyAlignment="1">
      <alignment horizontal="right" vertical="center"/>
    </xf>
    <xf numFmtId="3" fontId="21" fillId="5" borderId="0" xfId="83" applyNumberFormat="1" applyFont="1" applyFill="1" applyAlignment="1">
      <alignment horizontal="right" vertical="center"/>
    </xf>
    <xf numFmtId="3" fontId="11" fillId="2" borderId="0" xfId="83" applyNumberFormat="1" applyFont="1" applyFill="1" applyAlignment="1">
      <alignment vertical="top" wrapText="1"/>
    </xf>
    <xf numFmtId="3" fontId="11" fillId="2" borderId="0" xfId="83" applyNumberFormat="1" applyFont="1" applyFill="1" applyAlignment="1">
      <alignment horizontal="right" vertical="center"/>
    </xf>
    <xf numFmtId="3" fontId="10" fillId="2" borderId="0" xfId="84" applyNumberFormat="1" applyFont="1" applyFill="1" applyAlignment="1">
      <alignment wrapText="1"/>
    </xf>
    <xf numFmtId="3" fontId="21" fillId="5" borderId="0" xfId="84" applyNumberFormat="1" applyFont="1" applyFill="1" applyAlignment="1">
      <alignment horizontal="right" vertical="center"/>
    </xf>
    <xf numFmtId="174" fontId="21" fillId="5" borderId="0" xfId="84" applyNumberFormat="1" applyFont="1" applyFill="1" applyAlignment="1">
      <alignment horizontal="right" vertical="center"/>
    </xf>
    <xf numFmtId="3" fontId="10" fillId="2" borderId="0" xfId="84" applyNumberFormat="1" applyFont="1" applyFill="1" applyAlignment="1">
      <alignment vertical="top" wrapText="1"/>
    </xf>
    <xf numFmtId="3" fontId="10" fillId="2" borderId="0" xfId="84" applyNumberFormat="1" applyFont="1" applyFill="1" applyAlignment="1">
      <alignment horizontal="right" vertical="center"/>
    </xf>
    <xf numFmtId="174" fontId="10" fillId="2" borderId="0" xfId="84" applyNumberFormat="1" applyFont="1" applyFill="1" applyAlignment="1">
      <alignment horizontal="right" vertical="center"/>
    </xf>
    <xf numFmtId="3" fontId="20" fillId="5" borderId="0" xfId="84" applyNumberFormat="1" applyFont="1" applyFill="1" applyAlignment="1">
      <alignment vertical="center" wrapText="1"/>
    </xf>
    <xf numFmtId="3" fontId="10" fillId="5" borderId="0" xfId="84" applyNumberFormat="1" applyFont="1" applyFill="1" applyAlignment="1">
      <alignment horizontal="right" vertical="center"/>
    </xf>
    <xf numFmtId="174" fontId="10" fillId="5" borderId="0" xfId="84" applyNumberFormat="1" applyFont="1" applyFill="1" applyAlignment="1">
      <alignment horizontal="right" vertical="center"/>
    </xf>
    <xf numFmtId="3" fontId="11" fillId="2" borderId="0" xfId="84" applyNumberFormat="1" applyFont="1" applyFill="1" applyAlignment="1">
      <alignment horizontal="left" vertical="top" wrapText="1"/>
    </xf>
    <xf numFmtId="3" fontId="11" fillId="2" borderId="0" xfId="84" applyNumberFormat="1" applyFont="1" applyFill="1" applyAlignment="1">
      <alignment horizontal="right" vertical="center"/>
    </xf>
    <xf numFmtId="174" fontId="11" fillId="2" borderId="0" xfId="84" applyNumberFormat="1" applyFont="1" applyFill="1" applyAlignment="1">
      <alignment horizontal="right" vertical="center"/>
    </xf>
    <xf numFmtId="3" fontId="11" fillId="2" borderId="0" xfId="84" applyNumberFormat="1" applyFont="1" applyFill="1" applyAlignment="1">
      <alignment vertical="top" wrapText="1"/>
    </xf>
    <xf numFmtId="3" fontId="10" fillId="2" borderId="0" xfId="84" applyNumberFormat="1" applyFont="1" applyFill="1" applyAlignment="1">
      <alignment horizontal="left" vertical="top" wrapText="1" indent="1"/>
    </xf>
    <xf numFmtId="3" fontId="10" fillId="2" borderId="0" xfId="84" applyNumberFormat="1" applyFont="1" applyFill="1" applyAlignment="1">
      <alignment vertical="center"/>
    </xf>
    <xf numFmtId="174" fontId="10" fillId="2" borderId="0" xfId="84" applyNumberFormat="1" applyFont="1" applyFill="1" applyAlignment="1">
      <alignment vertical="center"/>
    </xf>
    <xf numFmtId="3" fontId="10" fillId="2" borderId="0" xfId="76" applyNumberFormat="1" applyFont="1" applyFill="1" applyAlignment="1">
      <alignment horizontal="left" vertical="top" wrapText="1" indent="1"/>
    </xf>
    <xf numFmtId="3" fontId="11" fillId="3" borderId="0" xfId="11" applyNumberFormat="1" applyFont="1" applyFill="1" applyAlignment="1">
      <alignment vertical="center" wrapText="1"/>
    </xf>
    <xf numFmtId="3" fontId="20" fillId="3" borderId="0" xfId="0" applyNumberFormat="1" applyFont="1" applyFill="1" applyAlignment="1">
      <alignment vertical="center"/>
    </xf>
    <xf numFmtId="174" fontId="7" fillId="3" borderId="0" xfId="0" applyNumberFormat="1" applyFont="1" applyFill="1"/>
    <xf numFmtId="3" fontId="10" fillId="2" borderId="0" xfId="70" applyNumberFormat="1" applyFont="1" applyFill="1" applyAlignment="1">
      <alignment horizontal="left" vertical="top" wrapText="1" indent="1"/>
    </xf>
    <xf numFmtId="3" fontId="11" fillId="3" borderId="0" xfId="68" applyNumberFormat="1" applyFont="1" applyFill="1" applyAlignment="1">
      <alignment vertical="center" wrapText="1"/>
    </xf>
    <xf numFmtId="3" fontId="10" fillId="2" borderId="0" xfId="72" applyNumberFormat="1" applyFont="1" applyFill="1" applyAlignment="1">
      <alignment horizontal="left" vertical="top" wrapText="1" indent="1"/>
    </xf>
    <xf numFmtId="3" fontId="10" fillId="2" borderId="0" xfId="73" applyNumberFormat="1" applyFont="1" applyFill="1" applyAlignment="1">
      <alignment horizontal="left" vertical="top" wrapText="1" indent="1"/>
    </xf>
    <xf numFmtId="3" fontId="20" fillId="3" borderId="0" xfId="0" applyNumberFormat="1" applyFont="1" applyFill="1"/>
    <xf numFmtId="3" fontId="10" fillId="2" borderId="0" xfId="78" applyNumberFormat="1" applyFont="1" applyFill="1" applyAlignment="1">
      <alignment horizontal="left" vertical="top" wrapText="1" indent="1"/>
    </xf>
    <xf numFmtId="3" fontId="10" fillId="2" borderId="0" xfId="69" applyNumberFormat="1" applyFont="1" applyFill="1" applyAlignment="1">
      <alignment horizontal="left" vertical="top" wrapText="1" indent="1"/>
    </xf>
    <xf numFmtId="3" fontId="17" fillId="3" borderId="0" xfId="80" applyNumberFormat="1" applyFont="1" applyFill="1"/>
    <xf numFmtId="3" fontId="17" fillId="3" borderId="0" xfId="80" applyNumberFormat="1" applyFont="1" applyFill="1" applyAlignment="1">
      <alignment vertical="center"/>
    </xf>
    <xf numFmtId="3" fontId="19" fillId="3" borderId="0" xfId="80" applyNumberFormat="1" applyFont="1" applyFill="1"/>
    <xf numFmtId="3" fontId="7" fillId="2" borderId="0" xfId="68" applyNumberFormat="1" applyFont="1" applyFill="1" applyAlignment="1">
      <alignment horizontal="center" vertical="center"/>
    </xf>
    <xf numFmtId="3" fontId="12" fillId="2" borderId="0" xfId="80" applyNumberFormat="1" applyFont="1" applyFill="1" applyAlignment="1">
      <alignment horizontal="right" vertical="center"/>
    </xf>
    <xf numFmtId="3" fontId="7" fillId="2" borderId="0" xfId="80" applyNumberFormat="1" applyFont="1" applyFill="1" applyAlignment="1">
      <alignment vertical="top" wrapText="1"/>
    </xf>
    <xf numFmtId="3" fontId="7" fillId="2" borderId="0" xfId="80" applyNumberFormat="1" applyFont="1" applyFill="1" applyAlignment="1">
      <alignment horizontal="right" vertical="center"/>
    </xf>
    <xf numFmtId="3" fontId="12" fillId="2" borderId="0" xfId="80" applyNumberFormat="1" applyFont="1" applyFill="1" applyAlignment="1">
      <alignment vertical="top" wrapText="1"/>
    </xf>
    <xf numFmtId="3" fontId="7" fillId="2" borderId="0" xfId="80" applyNumberFormat="1" applyFont="1" applyFill="1" applyAlignment="1">
      <alignment horizontal="left" vertical="top" wrapText="1" indent="1"/>
    </xf>
    <xf numFmtId="3" fontId="11" fillId="3" borderId="0" xfId="9" applyNumberFormat="1" applyFont="1" applyFill="1" applyAlignment="1">
      <alignment vertical="center" wrapText="1"/>
    </xf>
    <xf numFmtId="3" fontId="17" fillId="3" borderId="0" xfId="79" applyNumberFormat="1" applyFont="1" applyFill="1"/>
    <xf numFmtId="3" fontId="19" fillId="3" borderId="0" xfId="79" applyNumberFormat="1" applyFont="1" applyFill="1"/>
    <xf numFmtId="3" fontId="10" fillId="2" borderId="0" xfId="79" applyNumberFormat="1" applyFont="1" applyFill="1" applyAlignment="1">
      <alignment horizontal="left" vertical="top" wrapText="1" indent="1"/>
    </xf>
    <xf numFmtId="3" fontId="17" fillId="3" borderId="0" xfId="82" applyNumberFormat="1" applyFont="1" applyFill="1"/>
    <xf numFmtId="3" fontId="19" fillId="3" borderId="0" xfId="82" applyNumberFormat="1" applyFont="1" applyFill="1"/>
    <xf numFmtId="3" fontId="10" fillId="2" borderId="0" xfId="82" applyNumberFormat="1" applyFont="1" applyFill="1" applyAlignment="1">
      <alignment horizontal="left" vertical="top" wrapText="1" indent="1"/>
    </xf>
    <xf numFmtId="3" fontId="17" fillId="3" borderId="0" xfId="83" applyNumberFormat="1" applyFont="1" applyFill="1"/>
    <xf numFmtId="3" fontId="19" fillId="3" borderId="0" xfId="83" applyNumberFormat="1" applyFont="1" applyFill="1"/>
    <xf numFmtId="3" fontId="10" fillId="2" borderId="0" xfId="83" applyNumberFormat="1" applyFont="1" applyFill="1" applyAlignment="1">
      <alignment horizontal="left" vertical="top" wrapText="1" indent="1"/>
    </xf>
    <xf numFmtId="3" fontId="7" fillId="2" borderId="0" xfId="0" applyNumberFormat="1" applyFont="1" applyFill="1" applyAlignment="1">
      <alignment horizontal="right" vertical="center"/>
    </xf>
    <xf numFmtId="3" fontId="17" fillId="3" borderId="0" xfId="84" applyNumberFormat="1" applyFont="1" applyFill="1"/>
    <xf numFmtId="3" fontId="17" fillId="3" borderId="0" xfId="84" applyNumberFormat="1" applyFont="1" applyFill="1" applyAlignment="1">
      <alignment vertical="center"/>
    </xf>
    <xf numFmtId="3" fontId="19" fillId="3" borderId="0" xfId="84" applyNumberFormat="1" applyFont="1" applyFill="1"/>
    <xf numFmtId="0" fontId="10" fillId="2" borderId="3" xfId="35" applyFont="1" applyFill="1" applyBorder="1" applyAlignment="1">
      <alignment horizontal="center" wrapText="1"/>
    </xf>
    <xf numFmtId="0" fontId="11" fillId="2" borderId="0" xfId="25" applyFont="1" applyFill="1" applyAlignment="1">
      <alignment vertical="top" wrapText="1"/>
    </xf>
    <xf numFmtId="3" fontId="11" fillId="2" borderId="0" xfId="25" applyNumberFormat="1" applyFont="1" applyFill="1" applyAlignment="1">
      <alignment horizontal="right" vertical="center"/>
    </xf>
    <xf numFmtId="3" fontId="10" fillId="2" borderId="0" xfId="25" applyNumberFormat="1" applyFont="1" applyFill="1" applyAlignment="1">
      <alignment horizontal="right" vertical="center"/>
    </xf>
    <xf numFmtId="0" fontId="15" fillId="3" borderId="0" xfId="25" applyFont="1" applyFill="1" applyAlignment="1">
      <alignment horizontal="left" vertical="top" wrapText="1"/>
    </xf>
    <xf numFmtId="0" fontId="16" fillId="3" borderId="0" xfId="25" applyFont="1" applyFill="1" applyAlignment="1">
      <alignment horizontal="left" vertical="top" wrapText="1" indent="1"/>
    </xf>
    <xf numFmtId="0" fontId="0" fillId="3" borderId="0" xfId="0" applyFill="1" applyAlignment="1">
      <alignment horizontal="left" indent="1"/>
    </xf>
    <xf numFmtId="164" fontId="2" fillId="3" borderId="0" xfId="1" applyNumberFormat="1" applyFont="1" applyFill="1" applyAlignment="1">
      <alignment horizontal="right" vertical="center"/>
    </xf>
    <xf numFmtId="0" fontId="11" fillId="3" borderId="0" xfId="11" applyFont="1" applyFill="1" applyAlignment="1">
      <alignment horizontal="left" vertical="top" wrapText="1"/>
    </xf>
    <xf numFmtId="0" fontId="10" fillId="3" borderId="0" xfId="11" applyFont="1" applyFill="1" applyAlignment="1">
      <alignment horizontal="left" vertical="top" wrapText="1" indent="1"/>
    </xf>
    <xf numFmtId="0" fontId="3" fillId="3" borderId="0" xfId="2" applyFont="1" applyFill="1" applyAlignment="1">
      <alignment horizontal="left" indent="1"/>
    </xf>
    <xf numFmtId="0" fontId="7" fillId="2" borderId="0" xfId="0" applyFont="1" applyFill="1"/>
    <xf numFmtId="0" fontId="0" fillId="2" borderId="0" xfId="0" applyFill="1"/>
    <xf numFmtId="0" fontId="11" fillId="3" borderId="0" xfId="25" applyFont="1" applyFill="1" applyAlignment="1">
      <alignment horizontal="left" vertical="top" wrapText="1"/>
    </xf>
    <xf numFmtId="0" fontId="10" fillId="3" borderId="0" xfId="25" applyFont="1" applyFill="1" applyAlignment="1">
      <alignment horizontal="left" vertical="top" wrapText="1" indent="1"/>
    </xf>
    <xf numFmtId="0" fontId="10" fillId="2" borderId="3" xfId="35" applyFont="1" applyFill="1" applyBorder="1" applyAlignment="1">
      <alignment horizontal="center"/>
    </xf>
    <xf numFmtId="165" fontId="20" fillId="5" borderId="0" xfId="35" applyNumberFormat="1" applyFont="1" applyFill="1" applyAlignment="1">
      <alignment horizontal="left" vertical="center"/>
    </xf>
    <xf numFmtId="172" fontId="20" fillId="5" borderId="0" xfId="27" applyNumberFormat="1" applyFont="1" applyFill="1" applyAlignment="1">
      <alignment horizontal="center" vertical="center"/>
    </xf>
    <xf numFmtId="165" fontId="20" fillId="2" borderId="0" xfId="35" applyNumberFormat="1" applyFont="1" applyFill="1" applyAlignment="1">
      <alignment horizontal="left" vertical="center"/>
    </xf>
    <xf numFmtId="172" fontId="20" fillId="2" borderId="0" xfId="27" applyNumberFormat="1" applyFont="1" applyFill="1" applyAlignment="1">
      <alignment horizontal="center" vertical="center"/>
    </xf>
    <xf numFmtId="0" fontId="10" fillId="2" borderId="4" xfId="35" applyFont="1" applyFill="1" applyBorder="1" applyAlignment="1">
      <alignment horizontal="left" vertical="top" wrapText="1" indent="1"/>
    </xf>
    <xf numFmtId="172" fontId="10" fillId="2" borderId="4" xfId="27" applyNumberFormat="1" applyFont="1" applyFill="1" applyBorder="1" applyAlignment="1">
      <alignment horizontal="right" vertical="center"/>
    </xf>
    <xf numFmtId="172" fontId="22" fillId="2" borderId="0" xfId="27" applyNumberFormat="1" applyFont="1" applyFill="1" applyBorder="1"/>
    <xf numFmtId="3" fontId="7" fillId="2" borderId="0" xfId="68" applyNumberFormat="1" applyFont="1" applyFill="1" applyAlignment="1">
      <alignment horizontal="center" vertical="center" wrapText="1"/>
    </xf>
    <xf numFmtId="3" fontId="17" fillId="2" borderId="0" xfId="68" applyNumberFormat="1" applyFont="1" applyFill="1" applyAlignment="1">
      <alignment horizontal="center" vertical="center" wrapText="1"/>
    </xf>
    <xf numFmtId="170" fontId="3" fillId="3" borderId="0" xfId="2" applyNumberFormat="1" applyFont="1" applyFill="1"/>
    <xf numFmtId="0" fontId="10" fillId="2" borderId="1" xfId="3" applyFont="1" applyFill="1" applyBorder="1" applyAlignment="1">
      <alignment horizontal="center" vertical="center" wrapText="1"/>
    </xf>
    <xf numFmtId="3" fontId="20" fillId="5" borderId="0" xfId="3" applyNumberFormat="1" applyFont="1" applyFill="1" applyAlignment="1">
      <alignment vertical="center" wrapText="1"/>
    </xf>
    <xf numFmtId="174" fontId="20" fillId="5" borderId="0" xfId="3" applyNumberFormat="1" applyFont="1" applyFill="1" applyAlignment="1">
      <alignment horizontal="right" vertical="center"/>
    </xf>
    <xf numFmtId="3" fontId="10" fillId="2" borderId="0" xfId="3" applyNumberFormat="1" applyFont="1" applyFill="1" applyAlignment="1">
      <alignment vertical="top" wrapText="1"/>
    </xf>
    <xf numFmtId="3" fontId="10" fillId="2" borderId="0" xfId="3" applyNumberFormat="1" applyFont="1" applyFill="1" applyAlignment="1">
      <alignment horizontal="right" vertical="center"/>
    </xf>
    <xf numFmtId="174" fontId="10" fillId="2" borderId="0" xfId="3" applyNumberFormat="1" applyFont="1" applyFill="1" applyAlignment="1">
      <alignment horizontal="right" vertical="center"/>
    </xf>
    <xf numFmtId="3" fontId="11" fillId="2" borderId="0" xfId="3" applyNumberFormat="1" applyFont="1" applyFill="1" applyAlignment="1">
      <alignment vertical="top" wrapText="1"/>
    </xf>
    <xf numFmtId="3" fontId="11" fillId="2" borderId="0" xfId="3" applyNumberFormat="1" applyFont="1" applyFill="1" applyAlignment="1">
      <alignment horizontal="right" vertical="center"/>
    </xf>
    <xf numFmtId="174" fontId="11" fillId="2" borderId="0" xfId="3" applyNumberFormat="1" applyFont="1" applyFill="1" applyAlignment="1">
      <alignment horizontal="right" vertical="center"/>
    </xf>
    <xf numFmtId="3" fontId="10" fillId="2" borderId="0" xfId="3" applyNumberFormat="1" applyFont="1" applyFill="1" applyAlignment="1">
      <alignment horizontal="left" vertical="top" wrapText="1" indent="1"/>
    </xf>
    <xf numFmtId="3" fontId="10" fillId="2" borderId="1" xfId="3" applyNumberFormat="1" applyFont="1" applyFill="1" applyBorder="1" applyAlignment="1">
      <alignment horizontal="left" vertical="top" wrapText="1" indent="1"/>
    </xf>
    <xf numFmtId="3" fontId="10" fillId="2" borderId="1" xfId="3" applyNumberFormat="1" applyFont="1" applyFill="1" applyBorder="1" applyAlignment="1">
      <alignment horizontal="right" vertical="center"/>
    </xf>
    <xf numFmtId="174" fontId="10" fillId="2" borderId="1" xfId="3" applyNumberFormat="1" applyFont="1" applyFill="1" applyBorder="1" applyAlignment="1">
      <alignment horizontal="right" vertical="center"/>
    </xf>
    <xf numFmtId="174" fontId="17" fillId="2" borderId="0" xfId="68" applyNumberFormat="1" applyFont="1" applyFill="1" applyAlignment="1">
      <alignment horizontal="center" wrapText="1"/>
    </xf>
    <xf numFmtId="3" fontId="20" fillId="5" borderId="0" xfId="6" applyNumberFormat="1" applyFont="1" applyFill="1" applyAlignment="1">
      <alignment vertical="center" wrapText="1"/>
    </xf>
    <xf numFmtId="3" fontId="10" fillId="2" borderId="1" xfId="6" applyNumberFormat="1" applyFont="1" applyFill="1" applyBorder="1" applyAlignment="1">
      <alignment horizontal="left" vertical="top" wrapText="1"/>
    </xf>
    <xf numFmtId="3" fontId="10" fillId="2" borderId="1" xfId="6" applyNumberFormat="1" applyFont="1" applyFill="1" applyBorder="1" applyAlignment="1">
      <alignment horizontal="right" vertical="center"/>
    </xf>
    <xf numFmtId="174" fontId="20" fillId="5" borderId="0" xfId="70" applyNumberFormat="1" applyFont="1" applyFill="1" applyAlignment="1">
      <alignment horizontal="right" vertical="center"/>
    </xf>
    <xf numFmtId="174" fontId="11" fillId="2" borderId="0" xfId="70" applyNumberFormat="1" applyFont="1" applyFill="1" applyAlignment="1">
      <alignment horizontal="right" vertical="center"/>
    </xf>
    <xf numFmtId="174" fontId="10" fillId="2" borderId="0" xfId="70" applyNumberFormat="1" applyFont="1" applyFill="1" applyAlignment="1">
      <alignment horizontal="right" vertical="center"/>
    </xf>
    <xf numFmtId="174" fontId="21" fillId="5" borderId="0" xfId="70" applyNumberFormat="1" applyFont="1" applyFill="1" applyAlignment="1">
      <alignment horizontal="right" vertical="center"/>
    </xf>
    <xf numFmtId="3" fontId="21" fillId="5" borderId="0" xfId="77" applyNumberFormat="1" applyFont="1" applyFill="1" applyAlignment="1">
      <alignment horizontal="right" vertical="center" wrapText="1"/>
    </xf>
    <xf numFmtId="3" fontId="10" fillId="2" borderId="0" xfId="77" applyNumberFormat="1" applyFont="1" applyFill="1" applyAlignment="1">
      <alignment horizontal="right" vertical="center" wrapText="1"/>
    </xf>
    <xf numFmtId="3" fontId="30" fillId="2" borderId="1" xfId="77" applyNumberFormat="1" applyFont="1" applyFill="1" applyBorder="1" applyAlignment="1">
      <alignment horizontal="left" vertical="top" wrapText="1"/>
    </xf>
    <xf numFmtId="3" fontId="10" fillId="2" borderId="1" xfId="77" applyNumberFormat="1" applyFont="1" applyFill="1" applyBorder="1" applyAlignment="1">
      <alignment horizontal="right" vertical="center" wrapText="1"/>
    </xf>
    <xf numFmtId="3" fontId="29" fillId="3" borderId="0" xfId="0" applyNumberFormat="1" applyFont="1" applyFill="1" applyAlignment="1">
      <alignment wrapText="1"/>
    </xf>
    <xf numFmtId="0" fontId="17" fillId="2" borderId="1" xfId="13" applyFont="1" applyFill="1" applyBorder="1" applyAlignment="1">
      <alignment horizontal="center" vertical="center" wrapText="1"/>
    </xf>
    <xf numFmtId="0" fontId="20" fillId="5" borderId="0" xfId="13" applyFont="1" applyFill="1" applyAlignment="1">
      <alignment vertical="top" wrapText="1"/>
    </xf>
    <xf numFmtId="0" fontId="12" fillId="2" borderId="0" xfId="13" applyFont="1" applyFill="1" applyAlignment="1">
      <alignment horizontal="left" vertical="top" wrapText="1"/>
    </xf>
    <xf numFmtId="0" fontId="11" fillId="2" borderId="0" xfId="13" applyFont="1" applyFill="1" applyAlignment="1">
      <alignment vertical="top" wrapText="1"/>
    </xf>
    <xf numFmtId="0" fontId="10" fillId="2" borderId="1" xfId="13" applyFont="1" applyFill="1" applyBorder="1" applyAlignment="1">
      <alignment horizontal="left" vertical="top" wrapText="1" indent="1"/>
    </xf>
    <xf numFmtId="0" fontId="10" fillId="2" borderId="0" xfId="85" applyFont="1" applyFill="1" applyAlignment="1">
      <alignment horizontal="left" vertical="top" wrapText="1"/>
    </xf>
    <xf numFmtId="0" fontId="10" fillId="2" borderId="0" xfId="85" applyFont="1" applyFill="1" applyAlignment="1">
      <alignment horizontal="left" vertical="top" wrapText="1" indent="1"/>
    </xf>
    <xf numFmtId="0" fontId="11" fillId="2" borderId="0" xfId="85" applyFont="1" applyFill="1" applyAlignment="1">
      <alignment horizontal="left" vertical="top" wrapText="1"/>
    </xf>
    <xf numFmtId="0" fontId="10" fillId="2" borderId="1" xfId="85" applyFont="1" applyFill="1" applyBorder="1" applyAlignment="1">
      <alignment horizontal="left" vertical="top" wrapText="1" indent="1"/>
    </xf>
    <xf numFmtId="0" fontId="10" fillId="2" borderId="0" xfId="86" applyFont="1" applyFill="1" applyAlignment="1">
      <alignment horizontal="left" vertical="top" wrapText="1"/>
    </xf>
    <xf numFmtId="0" fontId="10" fillId="2" borderId="0" xfId="86" applyFont="1" applyFill="1" applyAlignment="1">
      <alignment horizontal="left" vertical="top" wrapText="1" indent="1"/>
    </xf>
    <xf numFmtId="0" fontId="10" fillId="2" borderId="1" xfId="86" applyFont="1" applyFill="1" applyBorder="1" applyAlignment="1">
      <alignment horizontal="left" vertical="top" wrapText="1"/>
    </xf>
    <xf numFmtId="172" fontId="10" fillId="2" borderId="1" xfId="14" applyNumberFormat="1" applyFont="1" applyFill="1" applyBorder="1" applyAlignment="1">
      <alignment horizontal="right" vertical="center"/>
    </xf>
    <xf numFmtId="0" fontId="21" fillId="5" borderId="0" xfId="87" applyFont="1" applyFill="1" applyAlignment="1">
      <alignment vertical="top" wrapText="1"/>
    </xf>
    <xf numFmtId="0" fontId="10" fillId="2" borderId="0" xfId="87" applyFont="1" applyFill="1" applyAlignment="1">
      <alignment horizontal="left" vertical="top" wrapText="1"/>
    </xf>
    <xf numFmtId="0" fontId="10" fillId="2" borderId="0" xfId="87" applyFont="1" applyFill="1" applyAlignment="1">
      <alignment horizontal="left" vertical="top" wrapText="1" indent="1"/>
    </xf>
    <xf numFmtId="0" fontId="10" fillId="2" borderId="1" xfId="87" applyFont="1" applyFill="1" applyBorder="1" applyAlignment="1">
      <alignment horizontal="left" vertical="top" wrapText="1"/>
    </xf>
    <xf numFmtId="0" fontId="10" fillId="2" borderId="0" xfId="88" applyFont="1" applyFill="1" applyAlignment="1">
      <alignment vertical="top" wrapText="1"/>
    </xf>
    <xf numFmtId="0" fontId="11" fillId="2" borderId="0" xfId="88" applyFont="1" applyFill="1" applyAlignment="1">
      <alignment horizontal="left" vertical="top" wrapText="1"/>
    </xf>
    <xf numFmtId="0" fontId="10" fillId="2" borderId="0" xfId="88" applyFont="1" applyFill="1" applyAlignment="1">
      <alignment horizontal="left" vertical="top" wrapText="1" indent="1"/>
    </xf>
    <xf numFmtId="0" fontId="11" fillId="2" borderId="0" xfId="88" applyFont="1" applyFill="1" applyAlignment="1">
      <alignment vertical="top" wrapText="1"/>
    </xf>
    <xf numFmtId="0" fontId="10" fillId="2" borderId="1" xfId="88" applyFont="1" applyFill="1" applyBorder="1" applyAlignment="1">
      <alignment horizontal="left" vertical="top" wrapText="1" indent="1"/>
    </xf>
    <xf numFmtId="3" fontId="21" fillId="5" borderId="0" xfId="89" applyNumberFormat="1" applyFont="1" applyFill="1" applyAlignment="1">
      <alignment horizontal="right" vertical="center"/>
    </xf>
    <xf numFmtId="0" fontId="10" fillId="2" borderId="0" xfId="89" applyFont="1" applyFill="1" applyAlignment="1">
      <alignment vertical="top" wrapText="1"/>
    </xf>
    <xf numFmtId="3" fontId="10" fillId="2" borderId="0" xfId="89" applyNumberFormat="1" applyFont="1" applyFill="1" applyAlignment="1">
      <alignment horizontal="right" vertical="center"/>
    </xf>
    <xf numFmtId="3" fontId="10" fillId="5" borderId="0" xfId="89" applyNumberFormat="1" applyFont="1" applyFill="1" applyAlignment="1">
      <alignment horizontal="right" vertical="center"/>
    </xf>
    <xf numFmtId="0" fontId="11" fillId="2" borderId="0" xfId="89" applyFont="1" applyFill="1" applyAlignment="1">
      <alignment vertical="top" wrapText="1"/>
    </xf>
    <xf numFmtId="3" fontId="11" fillId="2" borderId="0" xfId="89" applyNumberFormat="1" applyFont="1" applyFill="1" applyAlignment="1">
      <alignment horizontal="right" vertical="center"/>
    </xf>
    <xf numFmtId="0" fontId="12" fillId="3" borderId="0" xfId="0" applyFont="1" applyFill="1"/>
    <xf numFmtId="0" fontId="10" fillId="2" borderId="0" xfId="89" applyFont="1" applyFill="1" applyAlignment="1">
      <alignment horizontal="left" vertical="top" wrapText="1" indent="1"/>
    </xf>
    <xf numFmtId="0" fontId="11" fillId="2" borderId="0" xfId="89" applyFont="1" applyFill="1" applyAlignment="1">
      <alignment horizontal="left" vertical="top" wrapText="1"/>
    </xf>
    <xf numFmtId="0" fontId="10" fillId="2" borderId="1" xfId="89" applyFont="1" applyFill="1" applyBorder="1" applyAlignment="1">
      <alignment horizontal="left" vertical="top" wrapText="1" indent="1"/>
    </xf>
    <xf numFmtId="3" fontId="10" fillId="2" borderId="1" xfId="89" applyNumberFormat="1" applyFont="1" applyFill="1" applyBorder="1" applyAlignment="1">
      <alignment horizontal="right" vertical="center"/>
    </xf>
    <xf numFmtId="0" fontId="19" fillId="4" borderId="0" xfId="0" applyFont="1" applyFill="1"/>
    <xf numFmtId="3" fontId="21" fillId="5" borderId="0" xfId="90" applyNumberFormat="1" applyFont="1" applyFill="1" applyAlignment="1">
      <alignment horizontal="right" vertical="center"/>
    </xf>
    <xf numFmtId="174" fontId="21" fillId="5" borderId="0" xfId="0" applyNumberFormat="1" applyFont="1" applyFill="1"/>
    <xf numFmtId="0" fontId="7" fillId="4" borderId="0" xfId="0" applyFont="1" applyFill="1"/>
    <xf numFmtId="0" fontId="10" fillId="2" borderId="0" xfId="90" applyFont="1" applyFill="1" applyAlignment="1">
      <alignment vertical="top" wrapText="1"/>
    </xf>
    <xf numFmtId="3" fontId="10" fillId="2" borderId="0" xfId="90" applyNumberFormat="1" applyFont="1" applyFill="1" applyAlignment="1">
      <alignment horizontal="right" vertical="center"/>
    </xf>
    <xf numFmtId="174" fontId="21" fillId="2" borderId="0" xfId="0" applyNumberFormat="1" applyFont="1" applyFill="1"/>
    <xf numFmtId="174" fontId="21" fillId="5" borderId="0" xfId="90" applyNumberFormat="1" applyFont="1" applyFill="1" applyAlignment="1">
      <alignment horizontal="right" vertical="center"/>
    </xf>
    <xf numFmtId="0" fontId="10" fillId="2" borderId="0" xfId="90" applyFont="1" applyFill="1" applyAlignment="1">
      <alignment horizontal="left" vertical="top" wrapText="1"/>
    </xf>
    <xf numFmtId="3" fontId="7" fillId="2" borderId="0" xfId="90" applyNumberFormat="1" applyFont="1" applyFill="1" applyAlignment="1">
      <alignment horizontal="right" vertical="center"/>
    </xf>
    <xf numFmtId="3" fontId="10" fillId="5" borderId="0" xfId="90" applyNumberFormat="1" applyFont="1" applyFill="1" applyAlignment="1">
      <alignment horizontal="right" vertical="center"/>
    </xf>
    <xf numFmtId="0" fontId="10" fillId="2" borderId="1" xfId="90" applyFont="1" applyFill="1" applyBorder="1" applyAlignment="1">
      <alignment horizontal="left" vertical="top" wrapText="1"/>
    </xf>
    <xf numFmtId="3" fontId="10" fillId="2" borderId="1" xfId="90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10" fillId="2" borderId="1" xfId="91" applyFont="1" applyFill="1" applyBorder="1" applyAlignment="1">
      <alignment horizontal="center" vertical="center" wrapText="1"/>
    </xf>
    <xf numFmtId="0" fontId="21" fillId="5" borderId="0" xfId="91" applyFont="1" applyFill="1" applyAlignment="1">
      <alignment vertical="top" wrapText="1"/>
    </xf>
    <xf numFmtId="3" fontId="21" fillId="5" borderId="0" xfId="91" applyNumberFormat="1" applyFont="1" applyFill="1" applyAlignment="1">
      <alignment horizontal="right" vertical="center"/>
    </xf>
    <xf numFmtId="0" fontId="10" fillId="2" borderId="0" xfId="91" applyFont="1" applyFill="1" applyAlignment="1">
      <alignment vertical="top" wrapText="1"/>
    </xf>
    <xf numFmtId="3" fontId="10" fillId="2" borderId="0" xfId="91" applyNumberFormat="1" applyFont="1" applyFill="1" applyAlignment="1">
      <alignment horizontal="right" vertical="center"/>
    </xf>
    <xf numFmtId="3" fontId="10" fillId="5" borderId="0" xfId="91" applyNumberFormat="1" applyFont="1" applyFill="1" applyAlignment="1">
      <alignment horizontal="right" vertical="center"/>
    </xf>
    <xf numFmtId="0" fontId="11" fillId="2" borderId="0" xfId="91" applyFont="1" applyFill="1" applyAlignment="1">
      <alignment horizontal="left" vertical="top" wrapText="1"/>
    </xf>
    <xf numFmtId="3" fontId="11" fillId="2" borderId="0" xfId="91" applyNumberFormat="1" applyFont="1" applyFill="1" applyAlignment="1">
      <alignment horizontal="right" vertical="center"/>
    </xf>
    <xf numFmtId="0" fontId="10" fillId="2" borderId="0" xfId="91" applyFont="1" applyFill="1" applyAlignment="1">
      <alignment horizontal="left" vertical="top" wrapText="1" indent="1"/>
    </xf>
    <xf numFmtId="0" fontId="11" fillId="2" borderId="0" xfId="91" applyFont="1" applyFill="1" applyAlignment="1">
      <alignment vertical="top" wrapText="1"/>
    </xf>
    <xf numFmtId="0" fontId="10" fillId="2" borderId="1" xfId="91" applyFont="1" applyFill="1" applyBorder="1" applyAlignment="1">
      <alignment horizontal="left" vertical="top" wrapText="1" indent="1"/>
    </xf>
    <xf numFmtId="3" fontId="10" fillId="2" borderId="1" xfId="91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horizontal="center"/>
    </xf>
    <xf numFmtId="0" fontId="10" fillId="2" borderId="1" xfId="92" applyFont="1" applyFill="1" applyBorder="1" applyAlignment="1">
      <alignment horizontal="center" vertical="center" wrapText="1"/>
    </xf>
    <xf numFmtId="0" fontId="21" fillId="5" borderId="0" xfId="92" applyFont="1" applyFill="1" applyAlignment="1">
      <alignment vertical="top" wrapText="1"/>
    </xf>
    <xf numFmtId="3" fontId="21" fillId="5" borderId="0" xfId="92" applyNumberFormat="1" applyFont="1" applyFill="1" applyAlignment="1">
      <alignment horizontal="right" vertical="center"/>
    </xf>
    <xf numFmtId="0" fontId="10" fillId="2" borderId="0" xfId="92" applyFont="1" applyFill="1" applyAlignment="1">
      <alignment vertical="top" wrapText="1"/>
    </xf>
    <xf numFmtId="3" fontId="10" fillId="2" borderId="0" xfId="92" applyNumberFormat="1" applyFont="1" applyFill="1" applyAlignment="1">
      <alignment horizontal="right" vertical="center"/>
    </xf>
    <xf numFmtId="3" fontId="10" fillId="5" borderId="0" xfId="92" applyNumberFormat="1" applyFont="1" applyFill="1" applyAlignment="1">
      <alignment horizontal="right" vertical="center"/>
    </xf>
    <xf numFmtId="0" fontId="11" fillId="2" borderId="0" xfId="92" applyFont="1" applyFill="1" applyAlignment="1">
      <alignment horizontal="left" vertical="top" wrapText="1"/>
    </xf>
    <xf numFmtId="3" fontId="11" fillId="2" borderId="0" xfId="92" applyNumberFormat="1" applyFont="1" applyFill="1" applyAlignment="1">
      <alignment horizontal="right" vertical="center"/>
    </xf>
    <xf numFmtId="0" fontId="10" fillId="2" borderId="0" xfId="92" applyFont="1" applyFill="1" applyAlignment="1">
      <alignment horizontal="left" vertical="top" wrapText="1" indent="1"/>
    </xf>
    <xf numFmtId="0" fontId="11" fillId="2" borderId="0" xfId="92" applyFont="1" applyFill="1" applyAlignment="1">
      <alignment vertical="top" wrapText="1"/>
    </xf>
    <xf numFmtId="0" fontId="17" fillId="0" borderId="0" xfId="92" applyFont="1"/>
    <xf numFmtId="3" fontId="10" fillId="2" borderId="0" xfId="25" applyNumberFormat="1" applyFont="1" applyFill="1" applyAlignment="1">
      <alignment horizontal="center" vertical="center" wrapText="1"/>
    </xf>
    <xf numFmtId="3" fontId="10" fillId="2" borderId="0" xfId="83" applyNumberFormat="1" applyFont="1" applyFill="1" applyAlignment="1">
      <alignment horizontal="center" wrapText="1"/>
    </xf>
    <xf numFmtId="3" fontId="10" fillId="2" borderId="5" xfId="74" applyNumberFormat="1" applyFont="1" applyFill="1" applyBorder="1" applyAlignment="1">
      <alignment horizontal="center" vertical="center" wrapText="1"/>
    </xf>
    <xf numFmtId="3" fontId="17" fillId="4" borderId="0" xfId="83" applyNumberFormat="1" applyFont="1" applyFill="1"/>
    <xf numFmtId="3" fontId="7" fillId="4" borderId="0" xfId="0" applyNumberFormat="1" applyFont="1" applyFill="1"/>
    <xf numFmtId="3" fontId="7" fillId="3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horizontal="right"/>
    </xf>
    <xf numFmtId="3" fontId="17" fillId="2" borderId="0" xfId="68" applyNumberFormat="1" applyFont="1" applyFill="1" applyAlignment="1">
      <alignment horizontal="right"/>
    </xf>
    <xf numFmtId="0" fontId="10" fillId="2" borderId="1" xfId="20" applyFont="1" applyFill="1" applyBorder="1" applyAlignment="1">
      <alignment horizontal="center" vertical="center" wrapText="1"/>
    </xf>
    <xf numFmtId="3" fontId="17" fillId="2" borderId="1" xfId="68" applyNumberFormat="1" applyFont="1" applyFill="1" applyBorder="1" applyAlignment="1">
      <alignment horizontal="center" vertical="center" wrapText="1"/>
    </xf>
    <xf numFmtId="3" fontId="10" fillId="2" borderId="0" xfId="59" applyNumberFormat="1" applyFont="1" applyFill="1" applyAlignment="1">
      <alignment horizontal="right" wrapText="1"/>
    </xf>
    <xf numFmtId="0" fontId="0" fillId="8" borderId="0" xfId="0" applyFill="1"/>
    <xf numFmtId="0" fontId="20" fillId="5" borderId="9" xfId="0" applyFont="1" applyFill="1" applyBorder="1" applyAlignment="1">
      <alignment horizontal="center" vertical="center"/>
    </xf>
    <xf numFmtId="0" fontId="10" fillId="0" borderId="7" xfId="93" applyFont="1" applyBorder="1" applyAlignment="1">
      <alignment horizontal="left" vertical="center" wrapText="1"/>
    </xf>
    <xf numFmtId="3" fontId="16" fillId="0" borderId="7" xfId="94" applyNumberFormat="1" applyFont="1" applyBorder="1" applyAlignment="1">
      <alignment horizontal="right" vertical="center"/>
    </xf>
    <xf numFmtId="168" fontId="7" fillId="0" borderId="7" xfId="0" applyNumberFormat="1" applyFont="1" applyBorder="1"/>
    <xf numFmtId="0" fontId="11" fillId="0" borderId="9" xfId="93" applyFont="1" applyBorder="1" applyAlignment="1">
      <alignment horizontal="left" vertical="center" wrapText="1"/>
    </xf>
    <xf numFmtId="3" fontId="15" fillId="0" borderId="9" xfId="3" applyNumberFormat="1" applyFont="1" applyBorder="1" applyAlignment="1">
      <alignment horizontal="right" vertical="center"/>
    </xf>
    <xf numFmtId="1" fontId="12" fillId="0" borderId="9" xfId="0" applyNumberFormat="1" applyFont="1" applyBorder="1"/>
    <xf numFmtId="0" fontId="10" fillId="2" borderId="11" xfId="93" applyFont="1" applyFill="1" applyBorder="1" applyAlignment="1">
      <alignment horizontal="left" vertical="center" wrapText="1"/>
    </xf>
    <xf numFmtId="3" fontId="16" fillId="0" borderId="11" xfId="95" applyNumberFormat="1" applyFont="1" applyBorder="1" applyAlignment="1">
      <alignment horizontal="right" vertical="center"/>
    </xf>
    <xf numFmtId="168" fontId="7" fillId="0" borderId="11" xfId="0" applyNumberFormat="1" applyFont="1" applyBorder="1"/>
    <xf numFmtId="0" fontId="10" fillId="2" borderId="7" xfId="93" applyFont="1" applyFill="1" applyBorder="1" applyAlignment="1">
      <alignment horizontal="left" vertical="center" wrapText="1"/>
    </xf>
    <xf numFmtId="3" fontId="16" fillId="0" borderId="7" xfId="95" applyNumberFormat="1" applyFont="1" applyBorder="1" applyAlignment="1">
      <alignment horizontal="right" vertical="center"/>
    </xf>
    <xf numFmtId="0" fontId="11" fillId="2" borderId="9" xfId="93" applyFont="1" applyFill="1" applyBorder="1" applyAlignment="1">
      <alignment horizontal="left" vertical="center" wrapText="1"/>
    </xf>
    <xf numFmtId="0" fontId="10" fillId="0" borderId="11" xfId="93" applyFont="1" applyBorder="1" applyAlignment="1">
      <alignment horizontal="left" vertical="center" wrapText="1"/>
    </xf>
    <xf numFmtId="3" fontId="16" fillId="0" borderId="11" xfId="96" applyNumberFormat="1" applyFont="1" applyBorder="1" applyAlignment="1">
      <alignment horizontal="right" vertical="center"/>
    </xf>
    <xf numFmtId="3" fontId="16" fillId="0" borderId="7" xfId="96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/>
    </xf>
    <xf numFmtId="3" fontId="16" fillId="0" borderId="11" xfId="97" applyNumberFormat="1" applyFont="1" applyBorder="1" applyAlignment="1">
      <alignment horizontal="right" vertical="center"/>
    </xf>
    <xf numFmtId="3" fontId="16" fillId="0" borderId="7" xfId="97" applyNumberFormat="1" applyFont="1" applyBorder="1" applyAlignment="1">
      <alignment horizontal="right" vertical="center"/>
    </xf>
    <xf numFmtId="0" fontId="11" fillId="0" borderId="13" xfId="93" applyFont="1" applyBorder="1" applyAlignment="1">
      <alignment horizontal="left" vertical="center" wrapText="1"/>
    </xf>
    <xf numFmtId="3" fontId="15" fillId="0" borderId="13" xfId="3" applyNumberFormat="1" applyFont="1" applyBorder="1" applyAlignment="1">
      <alignment horizontal="right" vertical="center"/>
    </xf>
    <xf numFmtId="1" fontId="12" fillId="0" borderId="13" xfId="0" applyNumberFormat="1" applyFont="1" applyBorder="1"/>
    <xf numFmtId="173" fontId="10" fillId="5" borderId="0" xfId="11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0" fillId="2" borderId="0" xfId="3" applyFont="1" applyFill="1" applyBorder="1" applyAlignment="1">
      <alignment horizontal="center" vertical="center" wrapText="1"/>
    </xf>
    <xf numFmtId="0" fontId="11" fillId="2" borderId="0" xfId="19" applyFont="1" applyFill="1" applyBorder="1" applyAlignment="1">
      <alignment horizontal="center" vertical="center" wrapText="1"/>
    </xf>
    <xf numFmtId="0" fontId="20" fillId="5" borderId="0" xfId="13" applyFont="1" applyFill="1" applyAlignment="1">
      <alignment horizontal="left" vertical="center" wrapText="1"/>
    </xf>
    <xf numFmtId="3" fontId="21" fillId="5" borderId="0" xfId="92" applyNumberFormat="1" applyFont="1" applyFill="1" applyAlignment="1">
      <alignment horizontal="center" vertical="center"/>
    </xf>
    <xf numFmtId="173" fontId="10" fillId="5" borderId="0" xfId="25" applyNumberFormat="1" applyFont="1" applyFill="1" applyAlignment="1">
      <alignment horizontal="center" vertical="center"/>
    </xf>
    <xf numFmtId="3" fontId="10" fillId="2" borderId="1" xfId="89" applyNumberFormat="1" applyFont="1" applyFill="1" applyBorder="1" applyAlignment="1">
      <alignment horizontal="center" vertical="center"/>
    </xf>
    <xf numFmtId="173" fontId="10" fillId="2" borderId="1" xfId="25" applyNumberFormat="1" applyFont="1" applyFill="1" applyBorder="1" applyAlignment="1">
      <alignment horizontal="center" vertical="center"/>
    </xf>
    <xf numFmtId="0" fontId="10" fillId="2" borderId="0" xfId="20" applyFont="1" applyFill="1" applyBorder="1" applyAlignment="1">
      <alignment horizontal="center" wrapText="1"/>
    </xf>
    <xf numFmtId="173" fontId="11" fillId="2" borderId="0" xfId="25" applyNumberFormat="1" applyFont="1" applyFill="1" applyAlignment="1">
      <alignment horizontal="center" vertical="center"/>
    </xf>
    <xf numFmtId="0" fontId="10" fillId="2" borderId="0" xfId="20" applyFont="1" applyFill="1" applyBorder="1" applyAlignment="1">
      <alignment horizontal="center" vertical="center" wrapText="1"/>
    </xf>
    <xf numFmtId="165" fontId="10" fillId="2" borderId="1" xfId="25" applyNumberFormat="1" applyFont="1" applyFill="1" applyBorder="1" applyAlignment="1">
      <alignment horizontal="center" vertical="center"/>
    </xf>
    <xf numFmtId="173" fontId="16" fillId="2" borderId="0" xfId="3" applyNumberFormat="1" applyFont="1" applyFill="1" applyAlignment="1">
      <alignment horizontal="center" vertical="center"/>
    </xf>
    <xf numFmtId="3" fontId="11" fillId="2" borderId="0" xfId="89" applyNumberFormat="1" applyFont="1" applyFill="1" applyAlignment="1">
      <alignment horizontal="center" vertical="center"/>
    </xf>
    <xf numFmtId="173" fontId="10" fillId="2" borderId="1" xfId="25" applyNumberFormat="1" applyFont="1" applyFill="1" applyBorder="1" applyAlignment="1">
      <alignment horizontal="center" vertical="top" wrapText="1"/>
    </xf>
    <xf numFmtId="3" fontId="10" fillId="5" borderId="0" xfId="90" applyNumberFormat="1" applyFont="1" applyFill="1" applyAlignment="1">
      <alignment horizontal="center" vertical="center"/>
    </xf>
    <xf numFmtId="3" fontId="10" fillId="5" borderId="0" xfId="89" applyNumberFormat="1" applyFont="1" applyFill="1" applyAlignment="1">
      <alignment horizontal="center" vertical="center"/>
    </xf>
    <xf numFmtId="3" fontId="21" fillId="5" borderId="0" xfId="89" applyNumberFormat="1" applyFont="1" applyFill="1" applyAlignment="1">
      <alignment horizontal="center" vertical="center"/>
    </xf>
    <xf numFmtId="165" fontId="10" fillId="5" borderId="0" xfId="25" applyNumberFormat="1" applyFont="1" applyFill="1" applyAlignment="1">
      <alignment horizontal="center" vertical="center"/>
    </xf>
    <xf numFmtId="3" fontId="10" fillId="5" borderId="0" xfId="92" applyNumberFormat="1" applyFont="1" applyFill="1" applyAlignment="1">
      <alignment horizontal="center" vertical="center"/>
    </xf>
    <xf numFmtId="174" fontId="21" fillId="5" borderId="0" xfId="90" applyNumberFormat="1" applyFont="1" applyFill="1" applyAlignment="1">
      <alignment horizontal="center" vertical="center"/>
    </xf>
    <xf numFmtId="3" fontId="10" fillId="2" borderId="0" xfId="89" applyNumberFormat="1" applyFont="1" applyFill="1" applyAlignment="1">
      <alignment horizontal="center" vertical="center"/>
    </xf>
    <xf numFmtId="173" fontId="11" fillId="2" borderId="0" xfId="25" applyNumberFormat="1" applyFont="1" applyFill="1" applyAlignment="1">
      <alignment horizontal="center" vertical="top" wrapText="1"/>
    </xf>
    <xf numFmtId="173" fontId="10" fillId="2" borderId="0" xfId="25" applyNumberFormat="1" applyFont="1" applyFill="1" applyAlignment="1">
      <alignment horizontal="center" vertical="center"/>
    </xf>
    <xf numFmtId="3" fontId="21" fillId="5" borderId="0" xfId="90" applyNumberFormat="1" applyFont="1" applyFill="1" applyAlignment="1">
      <alignment horizontal="center" vertical="center"/>
    </xf>
    <xf numFmtId="173" fontId="20" fillId="5" borderId="0" xfId="11" applyNumberFormat="1" applyFont="1" applyFill="1" applyAlignment="1">
      <alignment horizontal="center" vertical="center"/>
    </xf>
    <xf numFmtId="3" fontId="10" fillId="2" borderId="0" xfId="92" applyNumberFormat="1" applyFont="1" applyFill="1" applyAlignment="1">
      <alignment horizontal="center" vertical="center"/>
    </xf>
    <xf numFmtId="173" fontId="25" fillId="5" borderId="0" xfId="3" applyNumberFormat="1" applyFont="1" applyFill="1" applyAlignment="1">
      <alignment horizontal="center" vertical="center"/>
    </xf>
    <xf numFmtId="3" fontId="11" fillId="2" borderId="0" xfId="92" applyNumberFormat="1" applyFont="1" applyFill="1" applyAlignment="1">
      <alignment horizontal="center" vertical="center"/>
    </xf>
    <xf numFmtId="3" fontId="21" fillId="5" borderId="0" xfId="91" applyNumberFormat="1" applyFont="1" applyFill="1" applyAlignment="1">
      <alignment horizontal="center" vertical="center"/>
    </xf>
    <xf numFmtId="165" fontId="10" fillId="2" borderId="0" xfId="25" applyNumberFormat="1" applyFont="1" applyFill="1" applyAlignment="1">
      <alignment horizontal="center" vertical="center"/>
    </xf>
    <xf numFmtId="173" fontId="11" fillId="5" borderId="0" xfId="25" applyNumberFormat="1" applyFont="1" applyFill="1" applyAlignment="1">
      <alignment horizontal="center" vertical="center"/>
    </xf>
    <xf numFmtId="173" fontId="10" fillId="2" borderId="0" xfId="25" applyNumberFormat="1" applyFont="1" applyFill="1" applyAlignment="1">
      <alignment horizontal="center" vertical="top" wrapText="1"/>
    </xf>
    <xf numFmtId="3" fontId="10" fillId="2" borderId="1" xfId="90" applyNumberFormat="1" applyFont="1" applyFill="1" applyBorder="1" applyAlignment="1">
      <alignment horizontal="center" vertical="center"/>
    </xf>
    <xf numFmtId="0" fontId="10" fillId="2" borderId="0" xfId="25" applyFont="1" applyFill="1" applyAlignment="1">
      <alignment horizontal="center" wrapText="1"/>
    </xf>
    <xf numFmtId="3" fontId="10" fillId="2" borderId="0" xfId="91" applyNumberFormat="1" applyFont="1" applyFill="1" applyAlignment="1">
      <alignment horizontal="center" vertical="center"/>
    </xf>
    <xf numFmtId="3" fontId="10" fillId="2" borderId="0" xfId="90" applyNumberFormat="1" applyFont="1" applyFill="1" applyAlignment="1">
      <alignment horizontal="center" vertical="center"/>
    </xf>
    <xf numFmtId="0" fontId="4" fillId="2" borderId="14" xfId="40" applyFont="1" applyFill="1" applyBorder="1" applyAlignment="1">
      <alignment horizontal="center" wrapText="1"/>
    </xf>
    <xf numFmtId="0" fontId="4" fillId="2" borderId="3" xfId="110" applyFont="1" applyFill="1" applyBorder="1" applyAlignment="1">
      <alignment horizontal="right" wrapText="1"/>
    </xf>
    <xf numFmtId="0" fontId="4" fillId="2" borderId="3" xfId="37" applyFont="1" applyFill="1" applyBorder="1" applyAlignment="1">
      <alignment horizontal="center" vertical="center" wrapText="1"/>
    </xf>
    <xf numFmtId="0" fontId="4" fillId="2" borderId="1" xfId="110" applyFont="1" applyFill="1" applyBorder="1" applyAlignment="1">
      <alignment horizontal="center" wrapText="1"/>
    </xf>
    <xf numFmtId="0" fontId="40" fillId="3" borderId="0" xfId="0" applyFont="1" applyFill="1"/>
    <xf numFmtId="174" fontId="20" fillId="5" borderId="0" xfId="3" applyNumberFormat="1" applyFont="1" applyFill="1" applyAlignment="1">
      <alignment horizontal="center" vertical="center"/>
    </xf>
    <xf numFmtId="174" fontId="19" fillId="2" borderId="0" xfId="3" applyNumberFormat="1" applyFont="1" applyFill="1" applyAlignment="1">
      <alignment horizontal="center" vertical="center"/>
    </xf>
    <xf numFmtId="174" fontId="19" fillId="5" borderId="0" xfId="3" applyNumberFormat="1" applyFont="1" applyFill="1" applyAlignment="1">
      <alignment horizontal="center" vertical="center"/>
    </xf>
    <xf numFmtId="174" fontId="19" fillId="2" borderId="1" xfId="3" applyNumberFormat="1" applyFont="1" applyFill="1" applyBorder="1" applyAlignment="1">
      <alignment horizontal="center" vertical="center"/>
    </xf>
    <xf numFmtId="3" fontId="7" fillId="3" borderId="0" xfId="0" applyNumberFormat="1" applyFont="1" applyFill="1" applyAlignment="1">
      <alignment horizontal="center"/>
    </xf>
    <xf numFmtId="174" fontId="20" fillId="5" borderId="0" xfId="6" applyNumberFormat="1" applyFont="1" applyFill="1" applyAlignment="1">
      <alignment horizontal="center" vertical="center"/>
    </xf>
    <xf numFmtId="174" fontId="19" fillId="2" borderId="0" xfId="6" applyNumberFormat="1" applyFont="1" applyFill="1" applyAlignment="1">
      <alignment horizontal="center"/>
    </xf>
    <xf numFmtId="174" fontId="17" fillId="2" borderId="0" xfId="6" applyNumberFormat="1" applyFont="1" applyFill="1" applyAlignment="1">
      <alignment horizontal="center"/>
    </xf>
    <xf numFmtId="174" fontId="17" fillId="2" borderId="1" xfId="6" applyNumberFormat="1" applyFont="1" applyFill="1" applyBorder="1" applyAlignment="1">
      <alignment horizontal="center"/>
    </xf>
    <xf numFmtId="174" fontId="7" fillId="3" borderId="0" xfId="0" applyNumberFormat="1" applyFont="1" applyFill="1" applyAlignment="1">
      <alignment horizontal="center"/>
    </xf>
    <xf numFmtId="3" fontId="20" fillId="5" borderId="0" xfId="6" applyNumberFormat="1" applyFont="1" applyFill="1" applyAlignment="1">
      <alignment horizontal="center" vertical="center"/>
    </xf>
    <xf numFmtId="3" fontId="11" fillId="2" borderId="0" xfId="6" applyNumberFormat="1" applyFont="1" applyFill="1" applyAlignment="1">
      <alignment horizontal="center" vertical="center"/>
    </xf>
    <xf numFmtId="3" fontId="10" fillId="2" borderId="0" xfId="6" applyNumberFormat="1" applyFont="1" applyFill="1" applyAlignment="1">
      <alignment horizontal="center" vertical="center"/>
    </xf>
    <xf numFmtId="3" fontId="10" fillId="2" borderId="1" xfId="6" applyNumberFormat="1" applyFont="1" applyFill="1" applyBorder="1" applyAlignment="1">
      <alignment horizontal="center" vertical="center"/>
    </xf>
    <xf numFmtId="174" fontId="11" fillId="2" borderId="0" xfId="6" applyNumberFormat="1" applyFont="1" applyFill="1" applyAlignment="1">
      <alignment horizontal="center" vertical="center"/>
    </xf>
    <xf numFmtId="174" fontId="10" fillId="2" borderId="0" xfId="6" applyNumberFormat="1" applyFont="1" applyFill="1" applyAlignment="1">
      <alignment horizontal="center" vertical="center"/>
    </xf>
    <xf numFmtId="174" fontId="10" fillId="2" borderId="1" xfId="6" applyNumberFormat="1" applyFont="1" applyFill="1" applyBorder="1" applyAlignment="1">
      <alignment horizontal="center" vertical="center"/>
    </xf>
    <xf numFmtId="3" fontId="20" fillId="5" borderId="0" xfId="0" applyNumberFormat="1" applyFont="1" applyFill="1" applyAlignment="1">
      <alignment vertical="center"/>
    </xf>
    <xf numFmtId="3" fontId="7" fillId="3" borderId="0" xfId="0" applyNumberFormat="1" applyFont="1" applyFill="1" applyAlignment="1">
      <alignment horizontal="center" vertical="center"/>
    </xf>
    <xf numFmtId="174" fontId="20" fillId="5" borderId="0" xfId="0" applyNumberFormat="1" applyFont="1" applyFill="1" applyAlignment="1">
      <alignment horizontal="center" vertical="center"/>
    </xf>
    <xf numFmtId="4" fontId="20" fillId="5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center" vertical="center"/>
    </xf>
    <xf numFmtId="4" fontId="12" fillId="2" borderId="0" xfId="0" applyNumberFormat="1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0" fontId="11" fillId="2" borderId="0" xfId="101" applyFont="1" applyFill="1" applyBorder="1" applyAlignment="1">
      <alignment horizontal="center" vertical="center" wrapText="1"/>
    </xf>
    <xf numFmtId="3" fontId="20" fillId="5" borderId="0" xfId="71" applyNumberFormat="1" applyFont="1" applyFill="1" applyAlignment="1">
      <alignment horizontal="left" vertical="center" wrapText="1"/>
    </xf>
    <xf numFmtId="3" fontId="10" fillId="2" borderId="0" xfId="71" applyNumberFormat="1" applyFont="1" applyFill="1" applyAlignment="1">
      <alignment horizontal="left" vertical="top" wrapText="1"/>
    </xf>
    <xf numFmtId="3" fontId="11" fillId="2" borderId="0" xfId="71" applyNumberFormat="1" applyFont="1" applyFill="1" applyAlignment="1">
      <alignment horizontal="left" vertical="top" wrapText="1"/>
    </xf>
    <xf numFmtId="3" fontId="7" fillId="3" borderId="0" xfId="0" applyNumberFormat="1" applyFont="1" applyFill="1" applyAlignment="1">
      <alignment horizontal="left" vertical="top"/>
    </xf>
    <xf numFmtId="3" fontId="12" fillId="3" borderId="0" xfId="0" applyNumberFormat="1" applyFont="1" applyFill="1" applyAlignment="1">
      <alignment vertical="center"/>
    </xf>
    <xf numFmtId="3" fontId="21" fillId="5" borderId="0" xfId="73" applyNumberFormat="1" applyFont="1" applyFill="1" applyAlignment="1">
      <alignment horizontal="center" vertical="center"/>
    </xf>
    <xf numFmtId="3" fontId="20" fillId="5" borderId="0" xfId="73" applyNumberFormat="1" applyFont="1" applyFill="1" applyAlignment="1">
      <alignment horizontal="left" vertical="center" wrapText="1"/>
    </xf>
    <xf numFmtId="3" fontId="12" fillId="3" borderId="0" xfId="0" applyNumberFormat="1" applyFont="1" applyFill="1" applyAlignment="1">
      <alignment horizontal="left" vertical="center"/>
    </xf>
    <xf numFmtId="3" fontId="17" fillId="2" borderId="0" xfId="68" applyNumberFormat="1" applyFont="1" applyFill="1" applyBorder="1" applyAlignment="1">
      <alignment horizontal="center" vertical="center" wrapText="1"/>
    </xf>
    <xf numFmtId="3" fontId="7" fillId="2" borderId="0" xfId="0" applyNumberFormat="1" applyFont="1" applyFill="1" applyBorder="1" applyAlignment="1">
      <alignment horizontal="center"/>
    </xf>
    <xf numFmtId="3" fontId="20" fillId="5" borderId="0" xfId="73" applyNumberFormat="1" applyFont="1" applyFill="1" applyBorder="1" applyAlignment="1">
      <alignment horizontal="left" vertical="center"/>
    </xf>
    <xf numFmtId="3" fontId="10" fillId="2" borderId="0" xfId="73" applyNumberFormat="1" applyFont="1" applyFill="1" applyBorder="1" applyAlignment="1">
      <alignment horizontal="right" vertical="center"/>
    </xf>
    <xf numFmtId="3" fontId="21" fillId="5" borderId="0" xfId="73" applyNumberFormat="1" applyFont="1" applyFill="1" applyBorder="1" applyAlignment="1">
      <alignment horizontal="right" vertical="center"/>
    </xf>
    <xf numFmtId="3" fontId="11" fillId="2" borderId="0" xfId="73" applyNumberFormat="1" applyFont="1" applyFill="1" applyBorder="1" applyAlignment="1">
      <alignment horizontal="right" vertical="center"/>
    </xf>
    <xf numFmtId="3" fontId="7" fillId="3" borderId="0" xfId="0" applyNumberFormat="1" applyFont="1" applyFill="1" applyBorder="1"/>
    <xf numFmtId="3" fontId="20" fillId="5" borderId="0" xfId="73" applyNumberFormat="1" applyFont="1" applyFill="1" applyAlignment="1">
      <alignment horizontal="center" vertical="center"/>
    </xf>
    <xf numFmtId="3" fontId="10" fillId="2" borderId="0" xfId="73" applyNumberFormat="1" applyFont="1" applyFill="1" applyAlignment="1">
      <alignment horizontal="center" vertical="center"/>
    </xf>
    <xf numFmtId="3" fontId="11" fillId="2" borderId="0" xfId="73" applyNumberFormat="1" applyFont="1" applyFill="1" applyAlignment="1">
      <alignment horizontal="center" vertical="center"/>
    </xf>
    <xf numFmtId="3" fontId="21" fillId="5" borderId="0" xfId="76" applyNumberFormat="1" applyFont="1" applyFill="1" applyAlignment="1">
      <alignment horizontal="center" vertical="center"/>
    </xf>
    <xf numFmtId="3" fontId="10" fillId="2" borderId="0" xfId="76" applyNumberFormat="1" applyFont="1" applyFill="1" applyAlignment="1">
      <alignment horizontal="center" vertical="center"/>
    </xf>
    <xf numFmtId="3" fontId="10" fillId="5" borderId="0" xfId="76" applyNumberFormat="1" applyFont="1" applyFill="1" applyAlignment="1">
      <alignment horizontal="center" vertical="center"/>
    </xf>
    <xf numFmtId="3" fontId="11" fillId="2" borderId="0" xfId="76" applyNumberFormat="1" applyFont="1" applyFill="1" applyAlignment="1">
      <alignment horizontal="center" vertical="center"/>
    </xf>
    <xf numFmtId="0" fontId="2" fillId="2" borderId="0" xfId="102" applyFont="1" applyFill="1" applyBorder="1" applyAlignment="1">
      <alignment horizontal="center" vertical="center" wrapText="1"/>
    </xf>
    <xf numFmtId="3" fontId="21" fillId="5" borderId="0" xfId="77" applyNumberFormat="1" applyFont="1" applyFill="1" applyAlignment="1">
      <alignment horizontal="center" vertical="center" wrapText="1"/>
    </xf>
    <xf numFmtId="3" fontId="10" fillId="2" borderId="0" xfId="77" applyNumberFormat="1" applyFont="1" applyFill="1" applyAlignment="1">
      <alignment horizontal="center" vertical="center" wrapText="1"/>
    </xf>
    <xf numFmtId="3" fontId="10" fillId="2" borderId="1" xfId="77" applyNumberFormat="1" applyFont="1" applyFill="1" applyBorder="1" applyAlignment="1">
      <alignment horizontal="center" vertical="center" wrapText="1"/>
    </xf>
    <xf numFmtId="3" fontId="29" fillId="3" borderId="0" xfId="0" applyNumberFormat="1" applyFont="1" applyFill="1" applyAlignment="1">
      <alignment horizontal="center" wrapText="1"/>
    </xf>
    <xf numFmtId="3" fontId="31" fillId="5" borderId="0" xfId="77" applyNumberFormat="1" applyFont="1" applyFill="1" applyAlignment="1">
      <alignment vertical="center" wrapText="1"/>
    </xf>
    <xf numFmtId="3" fontId="20" fillId="5" borderId="0" xfId="77" applyNumberFormat="1" applyFont="1" applyFill="1" applyAlignment="1">
      <alignment horizontal="center" vertical="center" wrapText="1"/>
    </xf>
    <xf numFmtId="3" fontId="20" fillId="5" borderId="0" xfId="77" applyNumberFormat="1" applyFont="1" applyFill="1" applyAlignment="1">
      <alignment horizontal="right" vertical="center" wrapText="1"/>
    </xf>
    <xf numFmtId="3" fontId="17" fillId="2" borderId="0" xfId="68" applyNumberFormat="1" applyFont="1" applyFill="1" applyAlignment="1">
      <alignment horizontal="center"/>
    </xf>
    <xf numFmtId="3" fontId="20" fillId="5" borderId="0" xfId="69" applyNumberFormat="1" applyFont="1" applyFill="1" applyAlignment="1">
      <alignment horizontal="center" vertical="center"/>
    </xf>
    <xf numFmtId="3" fontId="10" fillId="2" borderId="0" xfId="69" applyNumberFormat="1" applyFont="1" applyFill="1" applyAlignment="1">
      <alignment horizontal="center" vertical="center"/>
    </xf>
    <xf numFmtId="3" fontId="11" fillId="2" borderId="0" xfId="69" applyNumberFormat="1" applyFont="1" applyFill="1" applyAlignment="1">
      <alignment horizontal="center" vertical="center"/>
    </xf>
    <xf numFmtId="3" fontId="20" fillId="5" borderId="0" xfId="80" applyNumberFormat="1" applyFont="1" applyFill="1" applyAlignment="1">
      <alignment horizontal="center" vertical="center"/>
    </xf>
    <xf numFmtId="3" fontId="7" fillId="2" borderId="0" xfId="80" applyNumberFormat="1" applyFont="1" applyFill="1" applyAlignment="1">
      <alignment horizontal="center" vertical="center"/>
    </xf>
    <xf numFmtId="3" fontId="12" fillId="2" borderId="0" xfId="80" applyNumberFormat="1" applyFont="1" applyFill="1" applyAlignment="1">
      <alignment horizontal="center" vertical="center"/>
    </xf>
    <xf numFmtId="3" fontId="20" fillId="5" borderId="0" xfId="79" applyNumberFormat="1" applyFont="1" applyFill="1" applyAlignment="1">
      <alignment horizontal="right" vertical="center"/>
    </xf>
    <xf numFmtId="3" fontId="21" fillId="5" borderId="0" xfId="82" applyNumberFormat="1" applyFont="1" applyFill="1" applyAlignment="1">
      <alignment horizontal="center" vertical="center"/>
    </xf>
    <xf numFmtId="3" fontId="10" fillId="2" borderId="0" xfId="82" applyNumberFormat="1" applyFont="1" applyFill="1" applyAlignment="1">
      <alignment horizontal="center" vertical="center"/>
    </xf>
    <xf numFmtId="3" fontId="11" fillId="2" borderId="0" xfId="82" applyNumberFormat="1" applyFont="1" applyFill="1" applyAlignment="1">
      <alignment horizontal="center" vertical="center"/>
    </xf>
    <xf numFmtId="3" fontId="20" fillId="5" borderId="0" xfId="82" applyNumberFormat="1" applyFont="1" applyFill="1" applyAlignment="1">
      <alignment horizontal="center" vertical="center"/>
    </xf>
    <xf numFmtId="3" fontId="20" fillId="5" borderId="0" xfId="82" applyNumberFormat="1" applyFont="1" applyFill="1" applyAlignment="1">
      <alignment horizontal="right" vertical="center"/>
    </xf>
    <xf numFmtId="3" fontId="11" fillId="2" borderId="4" xfId="9" applyNumberFormat="1" applyFont="1" applyFill="1" applyBorder="1" applyAlignment="1">
      <alignment vertical="center" wrapText="1"/>
    </xf>
    <xf numFmtId="0" fontId="2" fillId="2" borderId="0" xfId="106" applyFont="1" applyFill="1" applyBorder="1" applyAlignment="1">
      <alignment horizontal="center" vertical="center" wrapText="1"/>
    </xf>
    <xf numFmtId="174" fontId="21" fillId="5" borderId="0" xfId="84" applyNumberFormat="1" applyFont="1" applyFill="1" applyAlignment="1">
      <alignment horizontal="center" vertical="center"/>
    </xf>
    <xf numFmtId="174" fontId="10" fillId="2" borderId="0" xfId="84" applyNumberFormat="1" applyFont="1" applyFill="1" applyAlignment="1">
      <alignment horizontal="center" vertical="center"/>
    </xf>
    <xf numFmtId="174" fontId="10" fillId="5" borderId="0" xfId="84" applyNumberFormat="1" applyFont="1" applyFill="1" applyAlignment="1">
      <alignment horizontal="center" vertical="center"/>
    </xf>
    <xf numFmtId="174" fontId="11" fillId="2" borderId="0" xfId="84" applyNumberFormat="1" applyFont="1" applyFill="1" applyAlignment="1">
      <alignment horizontal="center" vertical="center"/>
    </xf>
    <xf numFmtId="3" fontId="20" fillId="5" borderId="0" xfId="84" applyNumberFormat="1" applyFont="1" applyFill="1" applyAlignment="1">
      <alignment horizontal="right" vertical="center"/>
    </xf>
    <xf numFmtId="174" fontId="20" fillId="5" borderId="0" xfId="84" applyNumberFormat="1" applyFont="1" applyFill="1" applyAlignment="1">
      <alignment horizontal="right" vertical="center"/>
    </xf>
    <xf numFmtId="174" fontId="20" fillId="5" borderId="0" xfId="84" applyNumberFormat="1" applyFont="1" applyFill="1" applyAlignment="1">
      <alignment horizontal="center" vertical="center"/>
    </xf>
    <xf numFmtId="3" fontId="19" fillId="3" borderId="0" xfId="84" applyNumberFormat="1" applyFont="1" applyFill="1" applyAlignment="1">
      <alignment vertical="center"/>
    </xf>
    <xf numFmtId="174" fontId="7" fillId="2" borderId="0" xfId="0" applyNumberFormat="1" applyFont="1" applyFill="1" applyAlignment="1">
      <alignment horizontal="center"/>
    </xf>
    <xf numFmtId="174" fontId="21" fillId="5" borderId="0" xfId="0" applyNumberFormat="1" applyFont="1" applyFill="1" applyAlignment="1">
      <alignment horizontal="center" vertical="center"/>
    </xf>
    <xf numFmtId="174" fontId="7" fillId="5" borderId="0" xfId="0" applyNumberFormat="1" applyFont="1" applyFill="1" applyAlignment="1">
      <alignment horizontal="center" vertical="center"/>
    </xf>
    <xf numFmtId="174" fontId="12" fillId="2" borderId="0" xfId="0" applyNumberFormat="1" applyFont="1" applyFill="1" applyAlignment="1">
      <alignment horizontal="center"/>
    </xf>
    <xf numFmtId="3" fontId="7" fillId="2" borderId="0" xfId="3" applyNumberFormat="1" applyFont="1" applyFill="1" applyAlignment="1">
      <alignment horizontal="center" wrapText="1"/>
    </xf>
    <xf numFmtId="3" fontId="7" fillId="2" borderId="0" xfId="38" applyNumberFormat="1" applyFont="1" applyFill="1" applyAlignment="1">
      <alignment horizontal="center" wrapText="1"/>
    </xf>
    <xf numFmtId="3" fontId="7" fillId="2" borderId="0" xfId="3" applyNumberFormat="1" applyFont="1" applyFill="1" applyAlignment="1">
      <alignment horizontal="right" vertical="center" wrapText="1"/>
    </xf>
    <xf numFmtId="3" fontId="10" fillId="2" borderId="0" xfId="6" applyNumberFormat="1" applyFont="1" applyFill="1" applyAlignment="1">
      <alignment horizontal="right" vertical="center" wrapText="1"/>
    </xf>
    <xf numFmtId="3" fontId="10" fillId="2" borderId="0" xfId="6" applyNumberFormat="1" applyFont="1" applyFill="1" applyAlignment="1">
      <alignment horizontal="center" vertical="center" wrapText="1"/>
    </xf>
    <xf numFmtId="3" fontId="10" fillId="5" borderId="0" xfId="6" applyNumberFormat="1" applyFont="1" applyFill="1" applyAlignment="1">
      <alignment horizontal="center" vertical="center"/>
    </xf>
    <xf numFmtId="3" fontId="10" fillId="3" borderId="0" xfId="6" applyNumberFormat="1" applyFont="1" applyFill="1" applyAlignment="1">
      <alignment horizontal="center" vertical="top" wrapText="1"/>
    </xf>
    <xf numFmtId="0" fontId="2" fillId="2" borderId="0" xfId="26" applyFont="1" applyFill="1" applyBorder="1" applyAlignment="1">
      <alignment horizontal="center" wrapText="1"/>
    </xf>
    <xf numFmtId="3" fontId="20" fillId="5" borderId="0" xfId="40" applyNumberFormat="1" applyFont="1" applyFill="1" applyAlignment="1">
      <alignment horizontal="center" vertical="center"/>
    </xf>
    <xf numFmtId="3" fontId="10" fillId="2" borderId="0" xfId="40" applyNumberFormat="1" applyFont="1" applyFill="1" applyAlignment="1">
      <alignment horizontal="center" vertical="center"/>
    </xf>
    <xf numFmtId="3" fontId="11" fillId="2" borderId="0" xfId="40" applyNumberFormat="1" applyFont="1" applyFill="1" applyAlignment="1">
      <alignment horizontal="center" vertical="center"/>
    </xf>
    <xf numFmtId="3" fontId="20" fillId="5" borderId="0" xfId="40" applyNumberFormat="1" applyFont="1" applyFill="1" applyAlignment="1">
      <alignment horizontal="left" vertical="center" wrapText="1"/>
    </xf>
    <xf numFmtId="3" fontId="28" fillId="2" borderId="0" xfId="42" applyNumberFormat="1" applyFont="1" applyFill="1" applyAlignment="1">
      <alignment horizontal="center" wrapText="1"/>
    </xf>
    <xf numFmtId="3" fontId="31" fillId="5" borderId="0" xfId="42" applyNumberFormat="1" applyFont="1" applyFill="1" applyAlignment="1">
      <alignment horizontal="center" vertical="center"/>
    </xf>
    <xf numFmtId="3" fontId="28" fillId="2" borderId="0" xfId="42" applyNumberFormat="1" applyFont="1" applyFill="1" applyAlignment="1">
      <alignment horizontal="center" vertical="center"/>
    </xf>
    <xf numFmtId="3" fontId="32" fillId="2" borderId="0" xfId="42" applyNumberFormat="1" applyFont="1" applyFill="1" applyAlignment="1">
      <alignment horizontal="center" vertical="center"/>
    </xf>
    <xf numFmtId="3" fontId="28" fillId="3" borderId="0" xfId="0" applyNumberFormat="1" applyFont="1" applyFill="1" applyAlignment="1">
      <alignment horizontal="center"/>
    </xf>
    <xf numFmtId="3" fontId="31" fillId="5" borderId="0" xfId="42" applyNumberFormat="1" applyFont="1" applyFill="1" applyAlignment="1">
      <alignment horizontal="left" vertical="center"/>
    </xf>
    <xf numFmtId="3" fontId="10" fillId="4" borderId="0" xfId="6" applyNumberFormat="1" applyFont="1" applyFill="1" applyAlignment="1">
      <alignment horizontal="right" vertical="center"/>
    </xf>
    <xf numFmtId="3" fontId="21" fillId="5" borderId="0" xfId="44" applyNumberFormat="1" applyFont="1" applyFill="1" applyAlignment="1">
      <alignment horizontal="center" vertical="center"/>
    </xf>
    <xf numFmtId="3" fontId="10" fillId="2" borderId="0" xfId="44" applyNumberFormat="1" applyFont="1" applyFill="1" applyAlignment="1">
      <alignment horizontal="center" vertical="center"/>
    </xf>
    <xf numFmtId="3" fontId="20" fillId="5" borderId="0" xfId="44" applyNumberFormat="1" applyFont="1" applyFill="1" applyAlignment="1">
      <alignment horizontal="center" vertical="center"/>
    </xf>
    <xf numFmtId="3" fontId="11" fillId="2" borderId="0" xfId="44" applyNumberFormat="1" applyFont="1" applyFill="1" applyAlignment="1">
      <alignment horizontal="center" vertical="center"/>
    </xf>
    <xf numFmtId="3" fontId="10" fillId="2" borderId="0" xfId="38" applyNumberFormat="1" applyFont="1" applyFill="1" applyAlignment="1">
      <alignment horizontal="center" vertical="center" wrapText="1"/>
    </xf>
    <xf numFmtId="3" fontId="20" fillId="5" borderId="0" xfId="46" applyNumberFormat="1" applyFont="1" applyFill="1" applyAlignment="1">
      <alignment horizontal="left" vertical="center" wrapText="1"/>
    </xf>
    <xf numFmtId="3" fontId="17" fillId="2" borderId="0" xfId="2" applyNumberFormat="1" applyFont="1" applyFill="1" applyAlignment="1">
      <alignment horizontal="right" vertical="center" wrapText="1"/>
    </xf>
    <xf numFmtId="3" fontId="10" fillId="2" borderId="0" xfId="46" applyNumberFormat="1" applyFont="1" applyFill="1" applyAlignment="1">
      <alignment horizontal="center" vertical="center" wrapText="1"/>
    </xf>
    <xf numFmtId="3" fontId="20" fillId="5" borderId="0" xfId="46" applyNumberFormat="1" applyFont="1" applyFill="1" applyAlignment="1">
      <alignment horizontal="right" vertical="center"/>
    </xf>
    <xf numFmtId="3" fontId="20" fillId="5" borderId="0" xfId="46" applyNumberFormat="1" applyFont="1" applyFill="1" applyAlignment="1">
      <alignment horizontal="center" vertical="center"/>
    </xf>
    <xf numFmtId="3" fontId="20" fillId="5" borderId="0" xfId="46" applyNumberFormat="1" applyFont="1" applyFill="1" applyAlignment="1">
      <alignment horizontal="center"/>
    </xf>
    <xf numFmtId="3" fontId="10" fillId="2" borderId="0" xfId="46" applyNumberFormat="1" applyFont="1" applyFill="1" applyAlignment="1">
      <alignment vertical="top" wrapText="1"/>
    </xf>
    <xf numFmtId="3" fontId="10" fillId="2" borderId="0" xfId="46" applyNumberFormat="1" applyFont="1" applyFill="1" applyAlignment="1">
      <alignment horizontal="right" vertical="center"/>
    </xf>
    <xf numFmtId="3" fontId="10" fillId="2" borderId="0" xfId="46" applyNumberFormat="1" applyFont="1" applyFill="1" applyAlignment="1">
      <alignment horizontal="center" vertical="center"/>
    </xf>
    <xf numFmtId="3" fontId="17" fillId="2" borderId="0" xfId="46" applyNumberFormat="1" applyFont="1" applyFill="1" applyAlignment="1">
      <alignment horizontal="center"/>
    </xf>
    <xf numFmtId="3" fontId="10" fillId="2" borderId="0" xfId="46" applyNumberFormat="1" applyFont="1" applyFill="1" applyAlignment="1">
      <alignment horizontal="left" vertical="top" wrapText="1"/>
    </xf>
    <xf numFmtId="3" fontId="11" fillId="2" borderId="0" xfId="46" applyNumberFormat="1" applyFont="1" applyFill="1" applyAlignment="1">
      <alignment vertical="top" wrapText="1"/>
    </xf>
    <xf numFmtId="3" fontId="11" fillId="2" borderId="0" xfId="46" applyNumberFormat="1" applyFont="1" applyFill="1" applyAlignment="1">
      <alignment horizontal="right" vertical="center"/>
    </xf>
    <xf numFmtId="3" fontId="11" fillId="2" borderId="0" xfId="46" applyNumberFormat="1" applyFont="1" applyFill="1" applyAlignment="1">
      <alignment horizontal="center" vertical="center"/>
    </xf>
    <xf numFmtId="3" fontId="10" fillId="2" borderId="0" xfId="46" applyNumberFormat="1" applyFont="1" applyFill="1" applyAlignment="1">
      <alignment horizontal="left" vertical="top" wrapText="1" indent="1"/>
    </xf>
    <xf numFmtId="3" fontId="10" fillId="2" borderId="0" xfId="48" applyNumberFormat="1" applyFont="1" applyFill="1" applyAlignment="1">
      <alignment horizontal="center" wrapText="1"/>
    </xf>
    <xf numFmtId="3" fontId="20" fillId="5" borderId="0" xfId="48" applyNumberFormat="1" applyFont="1" applyFill="1" applyAlignment="1">
      <alignment vertical="top" wrapText="1"/>
    </xf>
    <xf numFmtId="3" fontId="20" fillId="5" borderId="0" xfId="48" applyNumberFormat="1" applyFont="1" applyFill="1" applyAlignment="1">
      <alignment horizontal="center" vertical="center"/>
    </xf>
    <xf numFmtId="3" fontId="10" fillId="2" borderId="0" xfId="48" applyNumberFormat="1" applyFont="1" applyFill="1" applyAlignment="1">
      <alignment vertical="top" wrapText="1"/>
    </xf>
    <xf numFmtId="3" fontId="10" fillId="2" borderId="0" xfId="48" applyNumberFormat="1" applyFont="1" applyFill="1" applyAlignment="1">
      <alignment horizontal="center" vertical="center"/>
    </xf>
    <xf numFmtId="3" fontId="20" fillId="5" borderId="0" xfId="48" applyNumberFormat="1" applyFont="1" applyFill="1" applyAlignment="1">
      <alignment vertical="center" wrapText="1"/>
    </xf>
    <xf numFmtId="3" fontId="10" fillId="2" borderId="0" xfId="48" applyNumberFormat="1" applyFont="1" applyFill="1" applyAlignment="1">
      <alignment horizontal="left" vertical="top" wrapText="1"/>
    </xf>
    <xf numFmtId="3" fontId="20" fillId="5" borderId="0" xfId="48" applyNumberFormat="1" applyFont="1" applyFill="1" applyAlignment="1">
      <alignment horizontal="left" vertical="center" wrapText="1"/>
    </xf>
    <xf numFmtId="3" fontId="11" fillId="2" borderId="0" xfId="48" applyNumberFormat="1" applyFont="1" applyFill="1" applyAlignment="1">
      <alignment vertical="top" wrapText="1"/>
    </xf>
    <xf numFmtId="3" fontId="11" fillId="2" borderId="0" xfId="48" applyNumberFormat="1" applyFont="1" applyFill="1" applyAlignment="1">
      <alignment horizontal="center" vertical="center"/>
    </xf>
    <xf numFmtId="3" fontId="10" fillId="2" borderId="0" xfId="48" applyNumberFormat="1" applyFont="1" applyFill="1" applyAlignment="1">
      <alignment horizontal="left" vertical="top" wrapText="1" indent="1"/>
    </xf>
    <xf numFmtId="3" fontId="10" fillId="3" borderId="0" xfId="48" applyNumberFormat="1" applyFont="1" applyFill="1" applyAlignment="1">
      <alignment vertical="top" wrapText="1"/>
    </xf>
    <xf numFmtId="3" fontId="10" fillId="3" borderId="0" xfId="48" applyNumberFormat="1" applyFont="1" applyFill="1" applyAlignment="1">
      <alignment horizontal="center" vertical="top" wrapText="1"/>
    </xf>
    <xf numFmtId="3" fontId="31" fillId="5" borderId="0" xfId="50" applyNumberFormat="1" applyFont="1" applyFill="1" applyAlignment="1">
      <alignment horizontal="center" vertical="center"/>
    </xf>
    <xf numFmtId="3" fontId="30" fillId="2" borderId="0" xfId="50" applyNumberFormat="1" applyFont="1" applyFill="1" applyAlignment="1">
      <alignment horizontal="center" vertical="center"/>
    </xf>
    <xf numFmtId="3" fontId="27" fillId="2" borderId="0" xfId="50" applyNumberFormat="1" applyFont="1" applyFill="1" applyAlignment="1">
      <alignment horizontal="center" vertical="center"/>
    </xf>
    <xf numFmtId="3" fontId="30" fillId="2" borderId="0" xfId="50" applyNumberFormat="1" applyFont="1" applyFill="1" applyAlignment="1">
      <alignment horizontal="center" wrapText="1"/>
    </xf>
    <xf numFmtId="3" fontId="21" fillId="5" borderId="0" xfId="51" applyNumberFormat="1" applyFont="1" applyFill="1" applyAlignment="1">
      <alignment horizontal="center" vertical="center"/>
    </xf>
    <xf numFmtId="3" fontId="10" fillId="2" borderId="0" xfId="51" applyNumberFormat="1" applyFont="1" applyFill="1" applyAlignment="1">
      <alignment horizontal="center" vertical="center"/>
    </xf>
    <xf numFmtId="3" fontId="11" fillId="2" borderId="0" xfId="51" applyNumberFormat="1" applyFont="1" applyFill="1" applyAlignment="1">
      <alignment horizontal="center" vertical="center"/>
    </xf>
    <xf numFmtId="3" fontId="20" fillId="5" borderId="0" xfId="51" applyNumberFormat="1" applyFont="1" applyFill="1" applyAlignment="1">
      <alignment horizontal="center" vertical="center"/>
    </xf>
    <xf numFmtId="3" fontId="20" fillId="5" borderId="0" xfId="51" applyNumberFormat="1" applyFont="1" applyFill="1" applyAlignment="1">
      <alignment horizontal="right" vertical="center"/>
    </xf>
    <xf numFmtId="3" fontId="10" fillId="2" borderId="0" xfId="51" applyNumberFormat="1" applyFont="1" applyFill="1" applyAlignment="1">
      <alignment horizontal="center" wrapText="1"/>
    </xf>
    <xf numFmtId="3" fontId="10" fillId="5" borderId="0" xfId="51" applyNumberFormat="1" applyFont="1" applyFill="1" applyAlignment="1">
      <alignment horizontal="center" vertical="center"/>
    </xf>
    <xf numFmtId="3" fontId="10" fillId="2" borderId="0" xfId="53" applyNumberFormat="1" applyFont="1" applyFill="1" applyAlignment="1">
      <alignment horizontal="center" wrapText="1"/>
    </xf>
    <xf numFmtId="3" fontId="20" fillId="5" borderId="0" xfId="53" applyNumberFormat="1" applyFont="1" applyFill="1" applyAlignment="1">
      <alignment horizontal="center" vertical="center"/>
    </xf>
    <xf numFmtId="3" fontId="10" fillId="2" borderId="0" xfId="53" applyNumberFormat="1" applyFont="1" applyFill="1" applyAlignment="1">
      <alignment horizontal="center" vertical="center"/>
    </xf>
    <xf numFmtId="3" fontId="11" fillId="2" borderId="0" xfId="53" applyNumberFormat="1" applyFont="1" applyFill="1" applyAlignment="1">
      <alignment horizontal="center" vertical="center"/>
    </xf>
    <xf numFmtId="3" fontId="20" fillId="5" borderId="0" xfId="53" applyNumberFormat="1" applyFont="1" applyFill="1" applyAlignment="1">
      <alignment horizontal="left" vertical="center" wrapText="1"/>
    </xf>
    <xf numFmtId="3" fontId="20" fillId="5" borderId="0" xfId="55" applyNumberFormat="1" applyFont="1" applyFill="1" applyAlignment="1">
      <alignment horizontal="center" vertical="center"/>
    </xf>
    <xf numFmtId="3" fontId="10" fillId="2" borderId="0" xfId="55" applyNumberFormat="1" applyFont="1" applyFill="1" applyAlignment="1">
      <alignment horizontal="center" vertical="center"/>
    </xf>
    <xf numFmtId="3" fontId="11" fillId="2" borderId="0" xfId="55" applyNumberFormat="1" applyFont="1" applyFill="1" applyAlignment="1">
      <alignment horizontal="center" vertical="center"/>
    </xf>
    <xf numFmtId="3" fontId="10" fillId="2" borderId="0" xfId="55" applyNumberFormat="1" applyFont="1" applyFill="1" applyAlignment="1">
      <alignment horizontal="center" wrapText="1"/>
    </xf>
    <xf numFmtId="3" fontId="20" fillId="5" borderId="0" xfId="55" applyNumberFormat="1" applyFont="1" applyFill="1" applyAlignment="1">
      <alignment horizontal="left" vertical="center" wrapText="1"/>
    </xf>
    <xf numFmtId="3" fontId="31" fillId="5" borderId="0" xfId="57" applyNumberFormat="1" applyFont="1" applyFill="1" applyAlignment="1">
      <alignment horizontal="center" vertical="center"/>
    </xf>
    <xf numFmtId="3" fontId="30" fillId="2" borderId="0" xfId="57" applyNumberFormat="1" applyFont="1" applyFill="1" applyAlignment="1">
      <alignment horizontal="center" vertical="center"/>
    </xf>
    <xf numFmtId="3" fontId="27" fillId="2" borderId="0" xfId="57" applyNumberFormat="1" applyFont="1" applyFill="1" applyAlignment="1">
      <alignment horizontal="center" vertical="center"/>
    </xf>
    <xf numFmtId="3" fontId="30" fillId="2" borderId="0" xfId="57" applyNumberFormat="1" applyFont="1" applyFill="1" applyAlignment="1">
      <alignment horizontal="center" wrapText="1"/>
    </xf>
    <xf numFmtId="3" fontId="31" fillId="5" borderId="0" xfId="58" applyNumberFormat="1" applyFont="1" applyFill="1" applyAlignment="1">
      <alignment horizontal="center" vertical="center"/>
    </xf>
    <xf numFmtId="3" fontId="30" fillId="2" borderId="0" xfId="58" applyNumberFormat="1" applyFont="1" applyFill="1" applyAlignment="1">
      <alignment horizontal="center" vertical="center"/>
    </xf>
    <xf numFmtId="3" fontId="36" fillId="5" borderId="0" xfId="58" applyNumberFormat="1" applyFont="1" applyFill="1" applyAlignment="1">
      <alignment horizontal="center" vertical="center"/>
    </xf>
    <xf numFmtId="3" fontId="27" fillId="2" borderId="0" xfId="58" applyNumberFormat="1" applyFont="1" applyFill="1" applyAlignment="1">
      <alignment horizontal="center" vertical="center"/>
    </xf>
    <xf numFmtId="3" fontId="30" fillId="2" borderId="0" xfId="58" applyNumberFormat="1" applyFont="1" applyFill="1" applyAlignment="1">
      <alignment horizontal="center" wrapText="1"/>
    </xf>
    <xf numFmtId="3" fontId="31" fillId="5" borderId="0" xfId="58" applyNumberFormat="1" applyFont="1" applyFill="1" applyAlignment="1">
      <alignment horizontal="left" vertical="center" wrapText="1"/>
    </xf>
    <xf numFmtId="3" fontId="10" fillId="2" borderId="0" xfId="59" applyNumberFormat="1" applyFont="1" applyFill="1" applyAlignment="1">
      <alignment horizontal="center" vertical="center"/>
    </xf>
    <xf numFmtId="3" fontId="21" fillId="5" borderId="0" xfId="61" applyNumberFormat="1" applyFont="1" applyFill="1" applyAlignment="1">
      <alignment horizontal="center" vertical="top" wrapText="1"/>
    </xf>
    <xf numFmtId="3" fontId="11" fillId="2" borderId="0" xfId="59" applyNumberFormat="1" applyFont="1" applyFill="1" applyAlignment="1">
      <alignment horizontal="center" vertical="center"/>
    </xf>
    <xf numFmtId="3" fontId="21" fillId="5" borderId="0" xfId="61" applyNumberFormat="1" applyFont="1" applyFill="1" applyAlignment="1">
      <alignment vertical="center" wrapText="1"/>
    </xf>
    <xf numFmtId="3" fontId="21" fillId="5" borderId="0" xfId="61" applyNumberFormat="1" applyFont="1" applyFill="1" applyAlignment="1">
      <alignment horizontal="center" vertical="center" wrapText="1"/>
    </xf>
    <xf numFmtId="3" fontId="20" fillId="5" borderId="0" xfId="61" applyNumberFormat="1" applyFont="1" applyFill="1" applyAlignment="1">
      <alignment vertical="center" wrapText="1"/>
    </xf>
    <xf numFmtId="3" fontId="20" fillId="5" borderId="0" xfId="61" applyNumberFormat="1" applyFont="1" applyFill="1" applyAlignment="1">
      <alignment horizontal="center" vertical="center" wrapText="1"/>
    </xf>
    <xf numFmtId="3" fontId="20" fillId="5" borderId="0" xfId="61" applyNumberFormat="1" applyFont="1" applyFill="1" applyAlignment="1">
      <alignment horizontal="right" vertical="center" wrapText="1"/>
    </xf>
    <xf numFmtId="3" fontId="22" fillId="3" borderId="0" xfId="0" applyNumberFormat="1" applyFont="1" applyFill="1" applyAlignment="1">
      <alignment vertical="center"/>
    </xf>
    <xf numFmtId="3" fontId="31" fillId="5" borderId="0" xfId="61" applyNumberFormat="1" applyFont="1" applyFill="1" applyAlignment="1">
      <alignment horizontal="center" vertical="center" wrapText="1"/>
    </xf>
    <xf numFmtId="3" fontId="11" fillId="3" borderId="0" xfId="62" applyNumberFormat="1" applyFont="1" applyFill="1" applyAlignment="1">
      <alignment vertical="center" wrapText="1"/>
    </xf>
    <xf numFmtId="3" fontId="17" fillId="3" borderId="0" xfId="62" applyNumberFormat="1" applyFont="1" applyFill="1"/>
    <xf numFmtId="3" fontId="10" fillId="2" borderId="0" xfId="62" applyNumberFormat="1" applyFont="1" applyFill="1" applyAlignment="1">
      <alignment horizontal="right" vertical="center" wrapText="1"/>
    </xf>
    <xf numFmtId="3" fontId="17" fillId="3" borderId="0" xfId="62" applyNumberFormat="1" applyFont="1" applyFill="1" applyAlignment="1">
      <alignment vertical="center"/>
    </xf>
    <xf numFmtId="3" fontId="19" fillId="3" borderId="0" xfId="62" applyNumberFormat="1" applyFont="1" applyFill="1" applyAlignment="1">
      <alignment vertical="center"/>
    </xf>
    <xf numFmtId="3" fontId="20" fillId="5" borderId="0" xfId="57" applyNumberFormat="1" applyFont="1" applyFill="1" applyAlignment="1">
      <alignment vertical="center" wrapText="1"/>
    </xf>
    <xf numFmtId="3" fontId="10" fillId="2" borderId="0" xfId="62" applyNumberFormat="1" applyFont="1" applyFill="1" applyAlignment="1">
      <alignment horizontal="left" vertical="top" wrapText="1"/>
    </xf>
    <xf numFmtId="3" fontId="10" fillId="2" borderId="0" xfId="62" applyNumberFormat="1" applyFont="1" applyFill="1" applyAlignment="1">
      <alignment horizontal="right" vertical="center"/>
    </xf>
    <xf numFmtId="3" fontId="10" fillId="2" borderId="0" xfId="62" applyNumberFormat="1" applyFont="1" applyFill="1" applyAlignment="1">
      <alignment horizontal="center" vertical="center"/>
    </xf>
    <xf numFmtId="3" fontId="20" fillId="5" borderId="0" xfId="57" applyNumberFormat="1" applyFont="1" applyFill="1" applyAlignment="1">
      <alignment horizontal="left" vertical="center" wrapText="1"/>
    </xf>
    <xf numFmtId="3" fontId="21" fillId="5" borderId="0" xfId="62" applyNumberFormat="1" applyFont="1" applyFill="1" applyAlignment="1">
      <alignment horizontal="right" vertical="center"/>
    </xf>
    <xf numFmtId="3" fontId="21" fillId="5" borderId="0" xfId="62" applyNumberFormat="1" applyFont="1" applyFill="1" applyAlignment="1">
      <alignment horizontal="center" vertical="center"/>
    </xf>
    <xf numFmtId="3" fontId="11" fillId="2" borderId="0" xfId="62" applyNumberFormat="1" applyFont="1" applyFill="1" applyAlignment="1">
      <alignment vertical="top" wrapText="1"/>
    </xf>
    <xf numFmtId="3" fontId="11" fillId="2" borderId="0" xfId="62" applyNumberFormat="1" applyFont="1" applyFill="1" applyAlignment="1">
      <alignment horizontal="right" vertical="center"/>
    </xf>
    <xf numFmtId="3" fontId="11" fillId="2" borderId="0" xfId="62" applyNumberFormat="1" applyFont="1" applyFill="1" applyAlignment="1">
      <alignment horizontal="center" vertical="center"/>
    </xf>
    <xf numFmtId="3" fontId="19" fillId="3" borderId="0" xfId="62" applyNumberFormat="1" applyFont="1" applyFill="1"/>
    <xf numFmtId="3" fontId="10" fillId="2" borderId="0" xfId="62" applyNumberFormat="1" applyFont="1" applyFill="1" applyAlignment="1">
      <alignment horizontal="left" vertical="top" wrapText="1" indent="1"/>
    </xf>
    <xf numFmtId="3" fontId="10" fillId="3" borderId="0" xfId="62" applyNumberFormat="1" applyFont="1" applyFill="1" applyAlignment="1">
      <alignment vertical="top" wrapText="1"/>
    </xf>
    <xf numFmtId="3" fontId="10" fillId="3" borderId="0" xfId="62" applyNumberFormat="1" applyFont="1" applyFill="1" applyAlignment="1">
      <alignment horizontal="center" vertical="top" wrapText="1"/>
    </xf>
    <xf numFmtId="3" fontId="31" fillId="5" borderId="0" xfId="61" applyNumberFormat="1" applyFont="1" applyFill="1" applyAlignment="1">
      <alignment horizontal="center" vertical="top" wrapText="1"/>
    </xf>
    <xf numFmtId="3" fontId="30" fillId="2" borderId="0" xfId="63" applyNumberFormat="1" applyFont="1" applyFill="1" applyAlignment="1">
      <alignment horizontal="center" vertical="center"/>
    </xf>
    <xf numFmtId="3" fontId="30" fillId="5" borderId="0" xfId="63" applyNumberFormat="1" applyFont="1" applyFill="1" applyAlignment="1">
      <alignment horizontal="center" vertical="center"/>
    </xf>
    <xf numFmtId="3" fontId="27" fillId="2" borderId="0" xfId="63" applyNumberFormat="1" applyFont="1" applyFill="1" applyAlignment="1">
      <alignment horizontal="center" vertical="center"/>
    </xf>
    <xf numFmtId="3" fontId="30" fillId="3" borderId="0" xfId="63" applyNumberFormat="1" applyFont="1" applyFill="1" applyAlignment="1">
      <alignment horizontal="center" vertical="top" wrapText="1"/>
    </xf>
    <xf numFmtId="3" fontId="30" fillId="2" borderId="0" xfId="63" applyNumberFormat="1" applyFont="1" applyFill="1" applyAlignment="1">
      <alignment horizontal="center" vertical="center" wrapText="1"/>
    </xf>
    <xf numFmtId="3" fontId="31" fillId="5" borderId="0" xfId="57" applyNumberFormat="1" applyFont="1" applyFill="1" applyAlignment="1">
      <alignment horizontal="left" vertical="top"/>
    </xf>
    <xf numFmtId="3" fontId="30" fillId="2" borderId="0" xfId="63" applyNumberFormat="1" applyFont="1" applyFill="1" applyAlignment="1">
      <alignment horizontal="right" vertical="center" wrapText="1"/>
    </xf>
    <xf numFmtId="3" fontId="30" fillId="2" borderId="0" xfId="64" applyNumberFormat="1" applyFont="1" applyFill="1" applyBorder="1" applyAlignment="1">
      <alignment horizontal="right" wrapText="1"/>
    </xf>
    <xf numFmtId="3" fontId="30" fillId="2" borderId="0" xfId="64" applyNumberFormat="1" applyFont="1" applyFill="1" applyAlignment="1">
      <alignment horizontal="center" vertical="center"/>
    </xf>
    <xf numFmtId="3" fontId="30" fillId="5" borderId="0" xfId="64" applyNumberFormat="1" applyFont="1" applyFill="1" applyAlignment="1">
      <alignment horizontal="center" vertical="center"/>
    </xf>
    <xf numFmtId="3" fontId="27" fillId="2" borderId="0" xfId="64" applyNumberFormat="1" applyFont="1" applyFill="1" applyAlignment="1">
      <alignment horizontal="center" vertical="center"/>
    </xf>
    <xf numFmtId="3" fontId="37" fillId="3" borderId="0" xfId="0" applyNumberFormat="1" applyFont="1" applyFill="1" applyAlignment="1">
      <alignment horizontal="center"/>
    </xf>
    <xf numFmtId="3" fontId="31" fillId="2" borderId="0" xfId="61" applyNumberFormat="1" applyFont="1" applyFill="1" applyAlignment="1">
      <alignment horizontal="center" vertical="center" wrapText="1"/>
    </xf>
    <xf numFmtId="3" fontId="30" fillId="2" borderId="0" xfId="65" applyNumberFormat="1" applyFont="1" applyFill="1" applyAlignment="1">
      <alignment horizontal="center" vertical="center"/>
    </xf>
    <xf numFmtId="3" fontId="31" fillId="5" borderId="0" xfId="65" applyNumberFormat="1" applyFont="1" applyFill="1" applyAlignment="1">
      <alignment horizontal="center" vertical="center"/>
    </xf>
    <xf numFmtId="3" fontId="30" fillId="2" borderId="0" xfId="65" applyNumberFormat="1" applyFont="1" applyFill="1" applyAlignment="1">
      <alignment horizontal="center" vertical="center" wrapText="1"/>
    </xf>
    <xf numFmtId="3" fontId="36" fillId="2" borderId="0" xfId="61" applyNumberFormat="1" applyFont="1" applyFill="1" applyAlignment="1">
      <alignment horizontal="center" vertical="center" wrapText="1"/>
    </xf>
    <xf numFmtId="3" fontId="30" fillId="2" borderId="0" xfId="66" applyNumberFormat="1" applyFont="1" applyFill="1" applyAlignment="1">
      <alignment horizontal="center" vertical="center"/>
    </xf>
    <xf numFmtId="0" fontId="4" fillId="2" borderId="0" xfId="110" applyFont="1" applyFill="1" applyAlignment="1">
      <alignment horizontal="center" wrapText="1"/>
    </xf>
    <xf numFmtId="3" fontId="30" fillId="4" borderId="0" xfId="66" applyNumberFormat="1" applyFont="1" applyFill="1" applyBorder="1" applyAlignment="1">
      <alignment horizontal="center" vertical="center" wrapText="1"/>
    </xf>
    <xf numFmtId="3" fontId="30" fillId="4" borderId="0" xfId="66" applyNumberFormat="1" applyFont="1" applyFill="1" applyBorder="1" applyAlignment="1">
      <alignment horizontal="right" vertical="center" wrapText="1"/>
    </xf>
    <xf numFmtId="3" fontId="36" fillId="4" borderId="0" xfId="61" applyNumberFormat="1" applyFont="1" applyFill="1" applyBorder="1" applyAlignment="1">
      <alignment vertical="center" wrapText="1"/>
    </xf>
    <xf numFmtId="3" fontId="36" fillId="4" borderId="0" xfId="61" applyNumberFormat="1" applyFont="1" applyFill="1" applyBorder="1" applyAlignment="1">
      <alignment horizontal="center" vertical="center" wrapText="1"/>
    </xf>
    <xf numFmtId="0" fontId="20" fillId="4" borderId="0" xfId="67" applyFont="1" applyFill="1" applyBorder="1" applyAlignment="1">
      <alignment horizontal="left" vertical="top"/>
    </xf>
    <xf numFmtId="3" fontId="30" fillId="4" borderId="0" xfId="66" applyNumberFormat="1" applyFont="1" applyFill="1" applyBorder="1" applyAlignment="1">
      <alignment horizontal="left" vertical="top" wrapText="1"/>
    </xf>
    <xf numFmtId="3" fontId="30" fillId="4" borderId="0" xfId="66" applyNumberFormat="1" applyFont="1" applyFill="1" applyBorder="1" applyAlignment="1">
      <alignment horizontal="center" vertical="center"/>
    </xf>
    <xf numFmtId="3" fontId="30" fillId="4" borderId="0" xfId="66" applyNumberFormat="1" applyFont="1" applyFill="1" applyBorder="1" applyAlignment="1">
      <alignment horizontal="right" vertical="center"/>
    </xf>
    <xf numFmtId="0" fontId="4" fillId="2" borderId="3" xfId="110" applyFont="1" applyFill="1" applyBorder="1" applyAlignment="1">
      <alignment horizontal="center" wrapText="1"/>
    </xf>
    <xf numFmtId="3" fontId="10" fillId="2" borderId="0" xfId="61" applyNumberFormat="1" applyFont="1" applyFill="1" applyBorder="1" applyAlignment="1">
      <alignment horizontal="center" wrapText="1"/>
    </xf>
    <xf numFmtId="174" fontId="21" fillId="5" borderId="0" xfId="61" applyNumberFormat="1" applyFont="1" applyFill="1" applyAlignment="1">
      <alignment horizontal="center" vertical="center" wrapText="1"/>
    </xf>
    <xf numFmtId="174" fontId="21" fillId="5" borderId="0" xfId="61" applyNumberFormat="1" applyFont="1" applyFill="1" applyAlignment="1">
      <alignment horizontal="right" vertical="center" wrapText="1"/>
    </xf>
    <xf numFmtId="174" fontId="21" fillId="2" borderId="0" xfId="61" applyNumberFormat="1" applyFont="1" applyFill="1" applyAlignment="1">
      <alignment horizontal="center" vertical="top" wrapText="1"/>
    </xf>
    <xf numFmtId="174" fontId="21" fillId="2" borderId="0" xfId="61" applyNumberFormat="1" applyFont="1" applyFill="1" applyAlignment="1">
      <alignment horizontal="right" vertical="top" wrapText="1"/>
    </xf>
    <xf numFmtId="3" fontId="10" fillId="2" borderId="0" xfId="61" applyNumberFormat="1" applyFont="1" applyFill="1" applyAlignment="1">
      <alignment horizontal="left" vertical="top" wrapText="1"/>
    </xf>
    <xf numFmtId="3" fontId="10" fillId="2" borderId="0" xfId="61" applyNumberFormat="1" applyFont="1" applyFill="1" applyAlignment="1">
      <alignment horizontal="center" vertical="center"/>
    </xf>
    <xf numFmtId="174" fontId="10" fillId="2" borderId="0" xfId="61" applyNumberFormat="1" applyFont="1" applyFill="1" applyAlignment="1">
      <alignment horizontal="center" vertical="center"/>
    </xf>
    <xf numFmtId="174" fontId="10" fillId="2" borderId="0" xfId="61" applyNumberFormat="1" applyFont="1" applyFill="1" applyAlignment="1">
      <alignment horizontal="right" vertical="center"/>
    </xf>
    <xf numFmtId="3" fontId="20" fillId="5" borderId="0" xfId="61" applyNumberFormat="1" applyFont="1" applyFill="1" applyAlignment="1">
      <alignment horizontal="left" vertical="center" wrapText="1"/>
    </xf>
    <xf numFmtId="3" fontId="20" fillId="5" borderId="0" xfId="61" applyNumberFormat="1" applyFont="1" applyFill="1" applyAlignment="1">
      <alignment horizontal="center" vertical="center"/>
    </xf>
    <xf numFmtId="174" fontId="20" fillId="5" borderId="0" xfId="61" applyNumberFormat="1" applyFont="1" applyFill="1" applyAlignment="1">
      <alignment horizontal="center" vertical="center"/>
    </xf>
    <xf numFmtId="174" fontId="20" fillId="5" borderId="0" xfId="61" applyNumberFormat="1" applyFont="1" applyFill="1" applyAlignment="1">
      <alignment horizontal="right" vertical="center"/>
    </xf>
    <xf numFmtId="3" fontId="10" fillId="2" borderId="0" xfId="61" applyNumberFormat="1" applyFont="1" applyFill="1" applyAlignment="1">
      <alignment vertical="top" wrapText="1"/>
    </xf>
    <xf numFmtId="172" fontId="25" fillId="6" borderId="0" xfId="27" applyNumberFormat="1" applyFont="1" applyFill="1" applyBorder="1" applyAlignment="1">
      <alignment horizontal="center" vertical="center"/>
    </xf>
    <xf numFmtId="172" fontId="16" fillId="2" borderId="0" xfId="27" applyNumberFormat="1" applyFont="1" applyFill="1" applyBorder="1" applyAlignment="1">
      <alignment horizontal="center" vertical="center"/>
    </xf>
    <xf numFmtId="172" fontId="15" fillId="2" borderId="0" xfId="27" applyNumberFormat="1" applyFont="1" applyFill="1" applyBorder="1" applyAlignment="1">
      <alignment horizontal="center" vertical="center"/>
    </xf>
    <xf numFmtId="172" fontId="0" fillId="3" borderId="0" xfId="0" applyNumberFormat="1" applyFill="1" applyAlignment="1">
      <alignment horizontal="center"/>
    </xf>
    <xf numFmtId="0" fontId="25" fillId="6" borderId="0" xfId="28" applyFont="1" applyFill="1" applyAlignment="1">
      <alignment horizontal="left" vertical="top"/>
    </xf>
    <xf numFmtId="172" fontId="20" fillId="6" borderId="0" xfId="27" applyNumberFormat="1" applyFont="1" applyFill="1" applyBorder="1" applyAlignment="1">
      <alignment horizontal="center" vertical="center"/>
    </xf>
    <xf numFmtId="172" fontId="10" fillId="2" borderId="0" xfId="27" applyNumberFormat="1" applyFont="1" applyFill="1" applyBorder="1" applyAlignment="1">
      <alignment horizontal="center" vertical="center"/>
    </xf>
    <xf numFmtId="172" fontId="21" fillId="6" borderId="0" xfId="27" applyNumberFormat="1" applyFont="1" applyFill="1" applyBorder="1" applyAlignment="1">
      <alignment horizontal="center" vertical="center"/>
    </xf>
    <xf numFmtId="172" fontId="10" fillId="6" borderId="0" xfId="27" applyNumberFormat="1" applyFont="1" applyFill="1" applyBorder="1" applyAlignment="1">
      <alignment horizontal="center" vertical="center"/>
    </xf>
    <xf numFmtId="172" fontId="11" fillId="2" borderId="0" xfId="27" applyNumberFormat="1" applyFont="1" applyFill="1" applyBorder="1" applyAlignment="1">
      <alignment horizontal="center" vertical="center"/>
    </xf>
    <xf numFmtId="172" fontId="12" fillId="2" borderId="0" xfId="0" applyNumberFormat="1" applyFont="1" applyFill="1" applyAlignment="1">
      <alignment horizontal="center"/>
    </xf>
    <xf numFmtId="3" fontId="17" fillId="2" borderId="0" xfId="27" applyNumberFormat="1" applyFont="1" applyFill="1" applyBorder="1" applyAlignment="1">
      <alignment horizontal="center" vertical="center"/>
    </xf>
    <xf numFmtId="3" fontId="20" fillId="6" borderId="0" xfId="27" applyNumberFormat="1" applyFont="1" applyFill="1" applyBorder="1" applyAlignment="1">
      <alignment horizontal="center" vertical="center"/>
    </xf>
    <xf numFmtId="3" fontId="21" fillId="6" borderId="0" xfId="27" applyNumberFormat="1" applyFont="1" applyFill="1" applyBorder="1" applyAlignment="1">
      <alignment horizontal="center" vertical="center"/>
    </xf>
    <xf numFmtId="3" fontId="19" fillId="2" borderId="0" xfId="27" applyNumberFormat="1" applyFont="1" applyFill="1" applyBorder="1" applyAlignment="1">
      <alignment horizontal="center" vertical="center"/>
    </xf>
    <xf numFmtId="0" fontId="20" fillId="6" borderId="2" xfId="32" applyFont="1" applyFill="1" applyBorder="1" applyAlignment="1">
      <alignment wrapText="1"/>
    </xf>
    <xf numFmtId="3" fontId="20" fillId="6" borderId="2" xfId="27" applyNumberFormat="1" applyFont="1" applyFill="1" applyBorder="1" applyAlignment="1">
      <alignment horizontal="center"/>
    </xf>
    <xf numFmtId="3" fontId="20" fillId="6" borderId="2" xfId="27" applyNumberFormat="1" applyFont="1" applyFill="1" applyBorder="1" applyAlignment="1">
      <alignment horizontal="right"/>
    </xf>
    <xf numFmtId="0" fontId="21" fillId="3" borderId="0" xfId="0" applyFont="1" applyFill="1"/>
    <xf numFmtId="0" fontId="21" fillId="3" borderId="0" xfId="0" applyFont="1" applyFill="1" applyAlignment="1"/>
    <xf numFmtId="0" fontId="20" fillId="6" borderId="0" xfId="0" applyFont="1" applyFill="1"/>
    <xf numFmtId="3" fontId="21" fillId="3" borderId="0" xfId="0" applyNumberFormat="1" applyFont="1" applyFill="1"/>
    <xf numFmtId="0" fontId="20" fillId="3" borderId="0" xfId="0" applyFont="1" applyFill="1"/>
    <xf numFmtId="0" fontId="21" fillId="3" borderId="0" xfId="0" applyFont="1" applyFill="1" applyAlignment="1">
      <alignment horizontal="center"/>
    </xf>
    <xf numFmtId="0" fontId="21" fillId="3" borderId="0" xfId="32" applyFont="1" applyFill="1" applyAlignment="1">
      <alignment vertical="top" wrapText="1"/>
    </xf>
    <xf numFmtId="3" fontId="21" fillId="3" borderId="0" xfId="32" applyNumberFormat="1" applyFont="1" applyFill="1" applyAlignment="1">
      <alignment horizontal="center" vertical="top" wrapText="1"/>
    </xf>
    <xf numFmtId="3" fontId="21" fillId="3" borderId="0" xfId="32" applyNumberFormat="1" applyFont="1" applyFill="1" applyAlignment="1">
      <alignment vertical="top" wrapText="1"/>
    </xf>
    <xf numFmtId="0" fontId="21" fillId="6" borderId="0" xfId="32" applyFont="1" applyFill="1" applyAlignment="1">
      <alignment vertical="center" wrapText="1"/>
    </xf>
    <xf numFmtId="0" fontId="20" fillId="6" borderId="0" xfId="33" applyFont="1" applyFill="1" applyAlignment="1">
      <alignment vertical="center" wrapText="1"/>
    </xf>
    <xf numFmtId="3" fontId="10" fillId="3" borderId="0" xfId="33" applyNumberFormat="1" applyFont="1" applyFill="1" applyAlignment="1">
      <alignment vertical="center" wrapText="1"/>
    </xf>
    <xf numFmtId="0" fontId="18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2" borderId="0" xfId="34" applyFont="1" applyFill="1" applyBorder="1" applyAlignment="1">
      <alignment horizontal="center" wrapText="1"/>
    </xf>
    <xf numFmtId="165" fontId="21" fillId="6" borderId="0" xfId="34" applyNumberFormat="1" applyFont="1" applyFill="1" applyAlignment="1">
      <alignment horizontal="center" vertical="center"/>
    </xf>
    <xf numFmtId="165" fontId="0" fillId="3" borderId="0" xfId="0" applyNumberFormat="1" applyFill="1" applyAlignment="1">
      <alignment horizontal="center"/>
    </xf>
    <xf numFmtId="3" fontId="21" fillId="6" borderId="0" xfId="34" applyNumberFormat="1" applyFont="1" applyFill="1" applyAlignment="1">
      <alignment horizontal="center" vertical="center"/>
    </xf>
    <xf numFmtId="3" fontId="21" fillId="2" borderId="0" xfId="34" applyNumberFormat="1" applyFont="1" applyFill="1" applyAlignment="1">
      <alignment horizontal="center" vertical="center"/>
    </xf>
    <xf numFmtId="3" fontId="7" fillId="2" borderId="0" xfId="34" applyNumberFormat="1" applyFont="1" applyFill="1" applyAlignment="1">
      <alignment horizontal="center" vertical="center"/>
    </xf>
    <xf numFmtId="3" fontId="20" fillId="6" borderId="0" xfId="34" applyNumberFormat="1" applyFont="1" applyFill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center" vertical="center" wrapText="1"/>
    </xf>
    <xf numFmtId="3" fontId="10" fillId="2" borderId="1" xfId="8" applyNumberFormat="1" applyFont="1" applyFill="1" applyBorder="1" applyAlignment="1">
      <alignment horizontal="center" wrapText="1"/>
    </xf>
    <xf numFmtId="0" fontId="10" fillId="2" borderId="1" xfId="1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10" fillId="2" borderId="3" xfId="3" applyFont="1" applyFill="1" applyBorder="1" applyAlignment="1">
      <alignment horizontal="center" vertical="center" wrapText="1"/>
    </xf>
    <xf numFmtId="0" fontId="10" fillId="2" borderId="0" xfId="15" applyFont="1" applyFill="1" applyAlignment="1">
      <alignment horizontal="left" vertical="center" wrapText="1"/>
    </xf>
    <xf numFmtId="0" fontId="10" fillId="2" borderId="1" xfId="15" applyFont="1" applyFill="1" applyBorder="1" applyAlignment="1">
      <alignment horizontal="left" vertical="center" wrapText="1"/>
    </xf>
    <xf numFmtId="0" fontId="10" fillId="2" borderId="0" xfId="3" applyFont="1" applyFill="1" applyAlignment="1">
      <alignment horizontal="center" vertical="center" wrapText="1"/>
    </xf>
    <xf numFmtId="0" fontId="11" fillId="2" borderId="1" xfId="17" applyFont="1" applyFill="1" applyBorder="1" applyAlignment="1">
      <alignment horizontal="center" vertical="center" wrapText="1"/>
    </xf>
    <xf numFmtId="0" fontId="10" fillId="2" borderId="2" xfId="17" applyFont="1" applyFill="1" applyBorder="1" applyAlignment="1">
      <alignment horizontal="left" vertical="center" wrapText="1"/>
    </xf>
    <xf numFmtId="0" fontId="10" fillId="2" borderId="1" xfId="17" applyFont="1" applyFill="1" applyBorder="1" applyAlignment="1">
      <alignment horizontal="left" vertical="center" wrapText="1"/>
    </xf>
    <xf numFmtId="0" fontId="10" fillId="2" borderId="2" xfId="17" applyFont="1" applyFill="1" applyBorder="1" applyAlignment="1">
      <alignment horizontal="center" vertical="center" wrapText="1"/>
    </xf>
    <xf numFmtId="0" fontId="10" fillId="2" borderId="1" xfId="17" applyFont="1" applyFill="1" applyBorder="1" applyAlignment="1">
      <alignment horizontal="center" vertical="center" wrapText="1"/>
    </xf>
    <xf numFmtId="0" fontId="10" fillId="2" borderId="3" xfId="17" applyFont="1" applyFill="1" applyBorder="1" applyAlignment="1">
      <alignment horizontal="center" vertical="center" wrapText="1"/>
    </xf>
    <xf numFmtId="0" fontId="10" fillId="2" borderId="2" xfId="18" applyFont="1" applyFill="1" applyBorder="1" applyAlignment="1">
      <alignment horizontal="center" vertical="center" wrapText="1"/>
    </xf>
    <xf numFmtId="0" fontId="10" fillId="2" borderId="1" xfId="18" applyFont="1" applyFill="1" applyBorder="1" applyAlignment="1">
      <alignment horizontal="center" vertical="center" wrapText="1"/>
    </xf>
    <xf numFmtId="0" fontId="10" fillId="2" borderId="3" xfId="18" applyFont="1" applyFill="1" applyBorder="1" applyAlignment="1">
      <alignment horizontal="center" vertical="center" wrapText="1"/>
    </xf>
    <xf numFmtId="0" fontId="10" fillId="0" borderId="9" xfId="93" applyFont="1" applyBorder="1" applyAlignment="1">
      <alignment horizontal="center" vertical="center" wrapText="1"/>
    </xf>
    <xf numFmtId="0" fontId="10" fillId="0" borderId="10" xfId="93" applyFont="1" applyBorder="1" applyAlignment="1">
      <alignment horizontal="center" vertical="center" wrapText="1"/>
    </xf>
    <xf numFmtId="0" fontId="10" fillId="0" borderId="8" xfId="93" applyFont="1" applyBorder="1" applyAlignment="1">
      <alignment horizontal="center" vertical="center" wrapText="1"/>
    </xf>
    <xf numFmtId="0" fontId="10" fillId="0" borderId="12" xfId="93" applyFont="1" applyBorder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0" fillId="5" borderId="9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/>
    </xf>
    <xf numFmtId="0" fontId="10" fillId="2" borderId="2" xfId="35" applyFont="1" applyFill="1" applyBorder="1" applyAlignment="1">
      <alignment horizontal="center" vertical="center" wrapText="1"/>
    </xf>
    <xf numFmtId="0" fontId="10" fillId="2" borderId="1" xfId="35" applyFont="1" applyFill="1" applyBorder="1" applyAlignment="1">
      <alignment horizontal="center" vertical="center" wrapText="1"/>
    </xf>
    <xf numFmtId="0" fontId="10" fillId="2" borderId="3" xfId="35" applyFont="1" applyFill="1" applyBorder="1" applyAlignment="1">
      <alignment horizontal="center" wrapText="1"/>
    </xf>
    <xf numFmtId="0" fontId="4" fillId="2" borderId="0" xfId="101" applyFont="1" applyFill="1" applyBorder="1" applyAlignment="1">
      <alignment horizontal="center" wrapText="1"/>
    </xf>
    <xf numFmtId="0" fontId="4" fillId="2" borderId="1" xfId="101" applyFont="1" applyFill="1" applyBorder="1" applyAlignment="1">
      <alignment horizontal="center" wrapText="1"/>
    </xf>
    <xf numFmtId="0" fontId="4" fillId="2" borderId="2" xfId="101" applyFont="1" applyFill="1" applyBorder="1" applyAlignment="1">
      <alignment horizontal="center" wrapText="1"/>
    </xf>
    <xf numFmtId="0" fontId="2" fillId="2" borderId="1" xfId="101" applyFont="1" applyFill="1" applyBorder="1" applyAlignment="1">
      <alignment horizontal="center" vertical="center" wrapText="1"/>
    </xf>
    <xf numFmtId="0" fontId="4" fillId="2" borderId="0" xfId="101" applyFont="1" applyFill="1" applyAlignment="1">
      <alignment horizontal="left" vertical="center" wrapText="1"/>
    </xf>
    <xf numFmtId="0" fontId="4" fillId="2" borderId="0" xfId="101" applyFont="1" applyFill="1" applyAlignment="1">
      <alignment horizontal="center" vertical="top" wrapText="1"/>
    </xf>
    <xf numFmtId="0" fontId="4" fillId="2" borderId="0" xfId="101" applyFont="1" applyFill="1" applyAlignment="1">
      <alignment horizontal="center" vertical="center" wrapText="1"/>
    </xf>
    <xf numFmtId="0" fontId="2" fillId="2" borderId="4" xfId="11" applyFont="1" applyFill="1" applyBorder="1" applyAlignment="1">
      <alignment horizontal="center" vertical="center" wrapText="1"/>
    </xf>
    <xf numFmtId="0" fontId="7" fillId="2" borderId="1" xfId="21" applyFont="1" applyFill="1" applyBorder="1" applyAlignment="1">
      <alignment horizontal="center" vertical="center" wrapText="1"/>
    </xf>
    <xf numFmtId="0" fontId="17" fillId="2" borderId="1" xfId="21" applyFont="1" applyFill="1" applyBorder="1" applyAlignment="1">
      <alignment horizontal="center" vertical="center" wrapText="1"/>
    </xf>
    <xf numFmtId="0" fontId="10" fillId="2" borderId="1" xfId="23" applyFont="1" applyFill="1" applyBorder="1" applyAlignment="1">
      <alignment horizontal="center" vertical="center" wrapText="1"/>
    </xf>
    <xf numFmtId="0" fontId="11" fillId="2" borderId="0" xfId="42" applyFont="1" applyFill="1" applyAlignment="1">
      <alignment horizontal="center" vertical="center" wrapText="1"/>
    </xf>
    <xf numFmtId="4" fontId="10" fillId="2" borderId="2" xfId="42" applyNumberFormat="1" applyFont="1" applyFill="1" applyBorder="1" applyAlignment="1">
      <alignment horizontal="left" vertical="center" wrapText="1"/>
    </xf>
    <xf numFmtId="4" fontId="10" fillId="2" borderId="1" xfId="42" applyNumberFormat="1" applyFont="1" applyFill="1" applyBorder="1" applyAlignment="1">
      <alignment horizontal="left" vertical="center" wrapText="1"/>
    </xf>
    <xf numFmtId="0" fontId="10" fillId="2" borderId="2" xfId="24" applyFont="1" applyFill="1" applyBorder="1" applyAlignment="1">
      <alignment horizontal="center" vertical="center" wrapText="1"/>
    </xf>
    <xf numFmtId="0" fontId="10" fillId="2" borderId="1" xfId="24" applyFont="1" applyFill="1" applyBorder="1" applyAlignment="1">
      <alignment horizontal="center" vertical="center" wrapText="1"/>
    </xf>
    <xf numFmtId="0" fontId="10" fillId="2" borderId="3" xfId="92" applyFont="1" applyFill="1" applyBorder="1" applyAlignment="1">
      <alignment horizontal="center" wrapText="1"/>
    </xf>
    <xf numFmtId="0" fontId="19" fillId="2" borderId="4" xfId="108" applyFont="1" applyFill="1" applyBorder="1" applyAlignment="1">
      <alignment horizontal="center" vertical="center"/>
    </xf>
    <xf numFmtId="3" fontId="17" fillId="2" borderId="6" xfId="68" applyNumberFormat="1" applyFont="1" applyFill="1" applyBorder="1" applyAlignment="1">
      <alignment horizontal="center" wrapText="1"/>
    </xf>
    <xf numFmtId="3" fontId="17" fillId="2" borderId="1" xfId="68" applyNumberFormat="1" applyFont="1" applyFill="1" applyBorder="1" applyAlignment="1">
      <alignment horizontal="center" wrapText="1"/>
    </xf>
    <xf numFmtId="174" fontId="17" fillId="2" borderId="6" xfId="68" applyNumberFormat="1" applyFont="1" applyFill="1" applyBorder="1" applyAlignment="1">
      <alignment horizontal="center" vertical="center"/>
    </xf>
    <xf numFmtId="174" fontId="17" fillId="2" borderId="1" xfId="68" applyNumberFormat="1" applyFont="1" applyFill="1" applyBorder="1" applyAlignment="1">
      <alignment horizontal="center" vertical="center"/>
    </xf>
    <xf numFmtId="174" fontId="17" fillId="2" borderId="0" xfId="68" applyNumberFormat="1" applyFont="1" applyFill="1" applyAlignment="1">
      <alignment horizontal="center" vertical="top" wrapText="1"/>
    </xf>
    <xf numFmtId="3" fontId="10" fillId="2" borderId="6" xfId="3" applyNumberFormat="1" applyFont="1" applyFill="1" applyBorder="1" applyAlignment="1">
      <alignment horizontal="left" wrapText="1"/>
    </xf>
    <xf numFmtId="3" fontId="10" fillId="2" borderId="0" xfId="3" applyNumberFormat="1" applyFont="1" applyFill="1" applyAlignment="1">
      <alignment horizontal="left" wrapText="1"/>
    </xf>
    <xf numFmtId="0" fontId="2" fillId="2" borderId="0" xfId="101" applyFont="1" applyFill="1" applyAlignment="1">
      <alignment horizontal="center" vertical="center" wrapText="1"/>
    </xf>
    <xf numFmtId="0" fontId="2" fillId="2" borderId="1" xfId="11" applyFont="1" applyFill="1" applyBorder="1" applyAlignment="1">
      <alignment horizontal="center" vertical="center" wrapText="1"/>
    </xf>
    <xf numFmtId="3" fontId="17" fillId="2" borderId="5" xfId="68" applyNumberFormat="1" applyFont="1" applyFill="1" applyBorder="1" applyAlignment="1">
      <alignment horizontal="center" vertical="top" wrapText="1"/>
    </xf>
    <xf numFmtId="0" fontId="4" fillId="2" borderId="3" xfId="101" applyFont="1" applyFill="1" applyBorder="1" applyAlignment="1">
      <alignment horizontal="center" wrapText="1"/>
    </xf>
    <xf numFmtId="3" fontId="17" fillId="2" borderId="5" xfId="68" applyNumberFormat="1" applyFont="1" applyFill="1" applyBorder="1" applyAlignment="1">
      <alignment horizontal="center" vertical="center" wrapText="1"/>
    </xf>
    <xf numFmtId="174" fontId="17" fillId="2" borderId="0" xfId="68" applyNumberFormat="1" applyFont="1" applyFill="1" applyAlignment="1">
      <alignment horizontal="center" vertical="center" wrapText="1"/>
    </xf>
    <xf numFmtId="0" fontId="4" fillId="0" borderId="2" xfId="11" applyFont="1" applyBorder="1" applyAlignment="1">
      <alignment horizontal="left" vertical="center" wrapText="1"/>
    </xf>
    <xf numFmtId="0" fontId="4" fillId="0" borderId="1" xfId="11" applyFont="1" applyBorder="1" applyAlignment="1">
      <alignment horizontal="left" vertical="center" wrapText="1"/>
    </xf>
    <xf numFmtId="3" fontId="17" fillId="2" borderId="0" xfId="68" applyNumberFormat="1" applyFont="1" applyFill="1" applyBorder="1" applyAlignment="1">
      <alignment horizontal="center" vertical="center" wrapText="1"/>
    </xf>
    <xf numFmtId="3" fontId="17" fillId="2" borderId="1" xfId="68" applyNumberFormat="1" applyFont="1" applyFill="1" applyBorder="1" applyAlignment="1">
      <alignment horizontal="center" vertical="center" wrapText="1"/>
    </xf>
    <xf numFmtId="174" fontId="17" fillId="2" borderId="0" xfId="68" applyNumberFormat="1" applyFont="1" applyFill="1" applyBorder="1" applyAlignment="1">
      <alignment horizontal="center" vertical="center" wrapText="1"/>
    </xf>
    <xf numFmtId="174" fontId="17" fillId="2" borderId="1" xfId="68" applyNumberFormat="1" applyFont="1" applyFill="1" applyBorder="1" applyAlignment="1">
      <alignment horizontal="center" vertical="center" wrapText="1"/>
    </xf>
    <xf numFmtId="3" fontId="10" fillId="2" borderId="0" xfId="70" applyNumberFormat="1" applyFont="1" applyFill="1" applyBorder="1" applyAlignment="1">
      <alignment vertical="center" wrapText="1"/>
    </xf>
    <xf numFmtId="3" fontId="10" fillId="2" borderId="0" xfId="70" applyNumberFormat="1" applyFont="1" applyFill="1" applyAlignment="1">
      <alignment vertical="center" wrapText="1"/>
    </xf>
    <xf numFmtId="0" fontId="2" fillId="2" borderId="4" xfId="21" applyFont="1" applyFill="1" applyBorder="1" applyAlignment="1">
      <alignment horizontal="center" vertical="center" wrapText="1"/>
    </xf>
    <xf numFmtId="0" fontId="4" fillId="2" borderId="0" xfId="101" applyFont="1" applyFill="1" applyBorder="1" applyAlignment="1">
      <alignment horizontal="center" vertical="center" wrapText="1"/>
    </xf>
    <xf numFmtId="0" fontId="11" fillId="2" borderId="4" xfId="101" applyFont="1" applyFill="1" applyBorder="1" applyAlignment="1">
      <alignment horizontal="center" vertical="center" wrapText="1"/>
    </xf>
    <xf numFmtId="3" fontId="10" fillId="2" borderId="0" xfId="71" applyNumberFormat="1" applyFont="1" applyFill="1" applyAlignment="1">
      <alignment horizontal="right" vertical="center" wrapText="1"/>
    </xf>
    <xf numFmtId="3" fontId="7" fillId="2" borderId="1" xfId="68" applyNumberFormat="1" applyFont="1" applyFill="1" applyBorder="1" applyAlignment="1">
      <alignment horizontal="center" vertical="center" wrapText="1"/>
    </xf>
    <xf numFmtId="0" fontId="10" fillId="2" borderId="5" xfId="101" applyFont="1" applyFill="1" applyBorder="1" applyAlignment="1">
      <alignment horizontal="center" wrapText="1"/>
    </xf>
    <xf numFmtId="3" fontId="10" fillId="2" borderId="6" xfId="71" applyNumberFormat="1" applyFont="1" applyFill="1" applyBorder="1" applyAlignment="1">
      <alignment vertical="center" wrapText="1"/>
    </xf>
    <xf numFmtId="3" fontId="10" fillId="2" borderId="0" xfId="71" applyNumberFormat="1" applyFont="1" applyFill="1" applyBorder="1" applyAlignment="1">
      <alignment vertical="center" wrapText="1"/>
    </xf>
    <xf numFmtId="3" fontId="10" fillId="2" borderId="0" xfId="72" applyNumberFormat="1" applyFont="1" applyFill="1" applyBorder="1" applyAlignment="1">
      <alignment horizontal="left" vertical="center" wrapText="1"/>
    </xf>
    <xf numFmtId="3" fontId="10" fillId="2" borderId="0" xfId="72" applyNumberFormat="1" applyFont="1" applyFill="1" applyAlignment="1">
      <alignment horizontal="left" vertical="center" wrapText="1"/>
    </xf>
    <xf numFmtId="0" fontId="11" fillId="2" borderId="4" xfId="21" applyFont="1" applyFill="1" applyBorder="1" applyAlignment="1">
      <alignment horizontal="center" vertical="center" wrapText="1"/>
    </xf>
    <xf numFmtId="3" fontId="10" fillId="2" borderId="0" xfId="73" applyNumberFormat="1" applyFont="1" applyFill="1" applyBorder="1" applyAlignment="1">
      <alignment horizontal="left" vertical="center" wrapText="1"/>
    </xf>
    <xf numFmtId="3" fontId="10" fillId="2" borderId="0" xfId="73" applyNumberFormat="1" applyFont="1" applyFill="1" applyAlignment="1">
      <alignment horizontal="left" vertical="center" wrapText="1"/>
    </xf>
    <xf numFmtId="3" fontId="10" fillId="2" borderId="1" xfId="74" applyNumberFormat="1" applyFont="1" applyFill="1" applyBorder="1" applyAlignment="1">
      <alignment horizontal="center" vertical="center" wrapText="1"/>
    </xf>
    <xf numFmtId="3" fontId="10" fillId="2" borderId="5" xfId="74" applyNumberFormat="1" applyFont="1" applyFill="1" applyBorder="1" applyAlignment="1">
      <alignment horizontal="center" vertical="center" wrapText="1"/>
    </xf>
    <xf numFmtId="3" fontId="17" fillId="2" borderId="5" xfId="68" applyNumberFormat="1" applyFont="1" applyFill="1" applyBorder="1" applyAlignment="1">
      <alignment horizontal="center" wrapText="1"/>
    </xf>
    <xf numFmtId="0" fontId="11" fillId="2" borderId="0" xfId="103" applyFont="1" applyFill="1" applyAlignment="1">
      <alignment horizontal="center" vertical="center" wrapText="1"/>
    </xf>
    <xf numFmtId="3" fontId="10" fillId="2" borderId="6" xfId="76" applyNumberFormat="1" applyFont="1" applyFill="1" applyBorder="1" applyAlignment="1">
      <alignment horizontal="left" vertical="center" wrapText="1"/>
    </xf>
    <xf numFmtId="3" fontId="10" fillId="2" borderId="0" xfId="76" applyNumberFormat="1" applyFont="1" applyFill="1" applyAlignment="1">
      <alignment horizontal="left" vertical="center" wrapText="1"/>
    </xf>
    <xf numFmtId="0" fontId="2" fillId="2" borderId="14" xfId="102" applyFont="1" applyFill="1" applyBorder="1" applyAlignment="1">
      <alignment horizontal="center" vertical="center" wrapText="1"/>
    </xf>
    <xf numFmtId="3" fontId="30" fillId="2" borderId="0" xfId="77" applyNumberFormat="1" applyFont="1" applyFill="1" applyAlignment="1">
      <alignment horizontal="center" vertical="center" wrapText="1"/>
    </xf>
    <xf numFmtId="3" fontId="28" fillId="2" borderId="1" xfId="68" applyNumberFormat="1" applyFont="1" applyFill="1" applyBorder="1" applyAlignment="1">
      <alignment horizontal="center" vertical="center" wrapText="1"/>
    </xf>
    <xf numFmtId="0" fontId="4" fillId="2" borderId="3" xfId="102" applyFont="1" applyFill="1" applyBorder="1" applyAlignment="1">
      <alignment horizontal="center" vertical="center" wrapText="1"/>
    </xf>
    <xf numFmtId="3" fontId="29" fillId="2" borderId="1" xfId="68" applyNumberFormat="1" applyFont="1" applyFill="1" applyBorder="1" applyAlignment="1">
      <alignment horizontal="center" vertical="center" wrapText="1"/>
    </xf>
    <xf numFmtId="3" fontId="30" fillId="2" borderId="6" xfId="77" applyNumberFormat="1" applyFont="1" applyFill="1" applyBorder="1" applyAlignment="1">
      <alignment horizontal="center" vertical="center" wrapText="1"/>
    </xf>
    <xf numFmtId="3" fontId="30" fillId="2" borderId="0" xfId="77" applyNumberFormat="1" applyFont="1" applyFill="1" applyBorder="1" applyAlignment="1">
      <alignment horizontal="center" vertical="center" wrapText="1"/>
    </xf>
    <xf numFmtId="0" fontId="4" fillId="2" borderId="5" xfId="102" applyFont="1" applyFill="1" applyBorder="1" applyAlignment="1">
      <alignment horizontal="center" wrapText="1"/>
    </xf>
    <xf numFmtId="0" fontId="2" fillId="2" borderId="4" xfId="104" applyFont="1" applyFill="1" applyBorder="1" applyAlignment="1">
      <alignment horizontal="center" vertical="center" wrapText="1"/>
    </xf>
    <xf numFmtId="3" fontId="10" fillId="2" borderId="0" xfId="78" applyNumberFormat="1" applyFont="1" applyFill="1" applyAlignment="1">
      <alignment horizontal="left" vertical="center" wrapText="1"/>
    </xf>
    <xf numFmtId="3" fontId="7" fillId="2" borderId="0" xfId="68" applyNumberFormat="1" applyFont="1" applyFill="1" applyAlignment="1">
      <alignment horizontal="center" vertical="center" wrapText="1"/>
    </xf>
    <xf numFmtId="0" fontId="11" fillId="2" borderId="4" xfId="105" applyFont="1" applyFill="1" applyBorder="1" applyAlignment="1">
      <alignment horizontal="center" vertical="center" wrapText="1"/>
    </xf>
    <xf numFmtId="0" fontId="10" fillId="2" borderId="1" xfId="102" applyFont="1" applyFill="1" applyBorder="1" applyAlignment="1">
      <alignment horizontal="center" wrapText="1"/>
    </xf>
    <xf numFmtId="3" fontId="10" fillId="2" borderId="6" xfId="69" applyNumberFormat="1" applyFont="1" applyFill="1" applyBorder="1" applyAlignment="1">
      <alignment horizontal="center" vertical="center" wrapText="1"/>
    </xf>
    <xf numFmtId="3" fontId="10" fillId="2" borderId="0" xfId="69" applyNumberFormat="1" applyFont="1" applyFill="1" applyBorder="1" applyAlignment="1">
      <alignment horizontal="center" vertical="center" wrapText="1"/>
    </xf>
    <xf numFmtId="0" fontId="11" fillId="2" borderId="0" xfId="9" applyFont="1" applyFill="1" applyAlignment="1">
      <alignment horizontal="center" vertical="center" wrapText="1"/>
    </xf>
    <xf numFmtId="0" fontId="10" fillId="2" borderId="5" xfId="102" applyFont="1" applyFill="1" applyBorder="1" applyAlignment="1">
      <alignment horizontal="center" wrapText="1"/>
    </xf>
    <xf numFmtId="3" fontId="7" fillId="2" borderId="6" xfId="68" applyNumberFormat="1" applyFont="1" applyFill="1" applyBorder="1" applyAlignment="1">
      <alignment horizontal="center" vertical="center" wrapText="1"/>
    </xf>
    <xf numFmtId="3" fontId="7" fillId="2" borderId="6" xfId="80" applyNumberFormat="1" applyFont="1" applyFill="1" applyBorder="1" applyAlignment="1">
      <alignment horizontal="left" vertical="center" wrapText="1"/>
    </xf>
    <xf numFmtId="3" fontId="7" fillId="2" borderId="0" xfId="80" applyNumberFormat="1" applyFont="1" applyFill="1" applyBorder="1" applyAlignment="1">
      <alignment horizontal="left" vertical="center" wrapText="1"/>
    </xf>
    <xf numFmtId="0" fontId="2" fillId="0" borderId="0" xfId="9" applyFont="1" applyAlignment="1">
      <alignment horizontal="center" vertical="center" wrapText="1"/>
    </xf>
    <xf numFmtId="3" fontId="10" fillId="2" borderId="1" xfId="25" applyNumberFormat="1" applyFont="1" applyFill="1" applyBorder="1" applyAlignment="1">
      <alignment horizontal="center" vertical="center" wrapText="1"/>
    </xf>
    <xf numFmtId="0" fontId="4" fillId="2" borderId="3" xfId="116" applyFont="1" applyFill="1" applyBorder="1" applyAlignment="1">
      <alignment horizontal="center" wrapText="1"/>
    </xf>
    <xf numFmtId="0" fontId="4" fillId="2" borderId="2" xfId="116" applyFont="1" applyFill="1" applyBorder="1" applyAlignment="1">
      <alignment horizontal="center" vertical="center" wrapText="1"/>
    </xf>
    <xf numFmtId="0" fontId="4" fillId="2" borderId="0" xfId="116" applyFont="1" applyFill="1" applyAlignment="1">
      <alignment horizontal="center" vertical="center" wrapText="1"/>
    </xf>
    <xf numFmtId="0" fontId="4" fillId="2" borderId="1" xfId="116" applyFont="1" applyFill="1" applyBorder="1" applyAlignment="1">
      <alignment horizontal="center" vertical="center" wrapText="1"/>
    </xf>
    <xf numFmtId="3" fontId="10" fillId="2" borderId="6" xfId="79" applyNumberFormat="1" applyFont="1" applyFill="1" applyBorder="1" applyAlignment="1">
      <alignment horizontal="center" vertical="center" wrapText="1"/>
    </xf>
    <xf numFmtId="3" fontId="10" fillId="2" borderId="0" xfId="79" applyNumberFormat="1" applyFont="1" applyFill="1" applyBorder="1" applyAlignment="1">
      <alignment horizontal="center" vertical="center" wrapText="1"/>
    </xf>
    <xf numFmtId="0" fontId="11" fillId="2" borderId="0" xfId="75" applyFont="1" applyFill="1" applyAlignment="1">
      <alignment horizontal="center" wrapText="1"/>
    </xf>
    <xf numFmtId="3" fontId="10" fillId="2" borderId="6" xfId="82" applyNumberFormat="1" applyFont="1" applyFill="1" applyBorder="1" applyAlignment="1">
      <alignment horizontal="left" vertical="center" wrapText="1"/>
    </xf>
    <xf numFmtId="3" fontId="10" fillId="2" borderId="0" xfId="82" applyNumberFormat="1" applyFont="1" applyFill="1" applyBorder="1" applyAlignment="1">
      <alignment horizontal="left" vertical="center" wrapText="1"/>
    </xf>
    <xf numFmtId="0" fontId="10" fillId="2" borderId="5" xfId="75" applyFont="1" applyFill="1" applyBorder="1" applyAlignment="1">
      <alignment horizontal="center" vertical="center" wrapText="1"/>
    </xf>
    <xf numFmtId="3" fontId="10" fillId="2" borderId="0" xfId="83" applyNumberFormat="1" applyFont="1" applyFill="1" applyBorder="1" applyAlignment="1">
      <alignment horizontal="center" vertical="center" wrapText="1"/>
    </xf>
    <xf numFmtId="3" fontId="10" fillId="2" borderId="0" xfId="83" applyNumberFormat="1" applyFont="1" applyFill="1" applyAlignment="1">
      <alignment horizontal="center" vertical="center" wrapText="1"/>
    </xf>
    <xf numFmtId="3" fontId="10" fillId="2" borderId="1" xfId="9" applyNumberFormat="1" applyFont="1" applyFill="1" applyBorder="1" applyAlignment="1">
      <alignment horizontal="center" vertical="center" wrapText="1"/>
    </xf>
    <xf numFmtId="3" fontId="10" fillId="2" borderId="0" xfId="83" applyNumberFormat="1" applyFont="1" applyFill="1" applyBorder="1" applyAlignment="1">
      <alignment horizontal="left" vertical="center" wrapText="1"/>
    </xf>
    <xf numFmtId="3" fontId="10" fillId="2" borderId="0" xfId="83" applyNumberFormat="1" applyFont="1" applyFill="1" applyAlignment="1">
      <alignment horizontal="left" vertical="center" wrapText="1"/>
    </xf>
    <xf numFmtId="0" fontId="2" fillId="2" borderId="4" xfId="106" applyFont="1" applyFill="1" applyBorder="1" applyAlignment="1">
      <alignment horizontal="center" vertical="center" wrapText="1"/>
    </xf>
    <xf numFmtId="3" fontId="10" fillId="2" borderId="6" xfId="83" applyNumberFormat="1" applyFont="1" applyFill="1" applyBorder="1" applyAlignment="1">
      <alignment horizontal="center" vertical="center" wrapText="1"/>
    </xf>
    <xf numFmtId="0" fontId="4" fillId="2" borderId="5" xfId="106" applyFont="1" applyFill="1" applyBorder="1" applyAlignment="1">
      <alignment horizontal="center" wrapText="1"/>
    </xf>
    <xf numFmtId="0" fontId="11" fillId="2" borderId="4" xfId="107" applyFont="1" applyFill="1" applyBorder="1" applyAlignment="1">
      <alignment horizontal="center" vertical="center" wrapText="1"/>
    </xf>
    <xf numFmtId="3" fontId="10" fillId="2" borderId="0" xfId="25" applyNumberFormat="1" applyFont="1" applyFill="1" applyBorder="1" applyAlignment="1">
      <alignment horizontal="center" vertical="center" wrapText="1"/>
    </xf>
    <xf numFmtId="3" fontId="10" fillId="2" borderId="0" xfId="25" applyNumberFormat="1" applyFont="1" applyFill="1" applyAlignment="1">
      <alignment horizontal="center" vertical="center" wrapText="1"/>
    </xf>
    <xf numFmtId="3" fontId="10" fillId="2" borderId="0" xfId="84" applyNumberFormat="1" applyFont="1" applyFill="1" applyBorder="1" applyAlignment="1">
      <alignment horizontal="left" vertical="center" wrapText="1"/>
    </xf>
    <xf numFmtId="3" fontId="10" fillId="2" borderId="0" xfId="84" applyNumberFormat="1" applyFont="1" applyFill="1" applyAlignment="1">
      <alignment horizontal="left" vertical="center" wrapText="1"/>
    </xf>
    <xf numFmtId="0" fontId="41" fillId="2" borderId="1" xfId="0" applyFont="1" applyFill="1" applyBorder="1" applyAlignment="1">
      <alignment horizontal="center"/>
    </xf>
    <xf numFmtId="3" fontId="10" fillId="2" borderId="6" xfId="25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10" fillId="2" borderId="6" xfId="25" applyNumberFormat="1" applyFont="1" applyFill="1" applyBorder="1" applyAlignment="1">
      <alignment horizontal="center" wrapText="1"/>
    </xf>
    <xf numFmtId="3" fontId="10" fillId="2" borderId="0" xfId="25" applyNumberFormat="1" applyFont="1" applyFill="1" applyAlignment="1">
      <alignment horizontal="center" wrapText="1"/>
    </xf>
    <xf numFmtId="3" fontId="10" fillId="2" borderId="6" xfId="84" applyNumberFormat="1" applyFont="1" applyFill="1" applyBorder="1" applyAlignment="1">
      <alignment horizontal="left" vertical="center" wrapText="1"/>
    </xf>
    <xf numFmtId="0" fontId="2" fillId="2" borderId="4" xfId="37" applyFont="1" applyFill="1" applyBorder="1" applyAlignment="1">
      <alignment horizontal="center" vertical="center" wrapText="1"/>
    </xf>
    <xf numFmtId="3" fontId="7" fillId="2" borderId="0" xfId="38" applyNumberFormat="1" applyFont="1" applyFill="1" applyAlignment="1">
      <alignment horizontal="center" vertical="center" wrapText="1"/>
    </xf>
    <xf numFmtId="3" fontId="7" fillId="2" borderId="1" xfId="38" applyNumberFormat="1" applyFont="1" applyFill="1" applyBorder="1" applyAlignment="1">
      <alignment horizontal="center" vertical="center" wrapText="1"/>
    </xf>
    <xf numFmtId="0" fontId="10" fillId="2" borderId="6" xfId="11" applyFont="1" applyFill="1" applyBorder="1" applyAlignment="1">
      <alignment horizontal="left" vertical="center" wrapText="1"/>
    </xf>
    <xf numFmtId="0" fontId="10" fillId="2" borderId="0" xfId="11" applyFont="1" applyFill="1" applyBorder="1" applyAlignment="1">
      <alignment horizontal="left" vertical="center" wrapText="1"/>
    </xf>
    <xf numFmtId="0" fontId="2" fillId="2" borderId="4" xfId="39" applyFont="1" applyFill="1" applyBorder="1" applyAlignment="1">
      <alignment horizontal="center" vertical="center" wrapText="1"/>
    </xf>
    <xf numFmtId="3" fontId="10" fillId="2" borderId="0" xfId="6" applyNumberFormat="1" applyFont="1" applyFill="1" applyAlignment="1">
      <alignment horizontal="center" wrapText="1"/>
    </xf>
    <xf numFmtId="0" fontId="4" fillId="2" borderId="0" xfId="101" applyFont="1" applyFill="1" applyBorder="1" applyAlignment="1">
      <alignment horizontal="left" vertical="center" wrapText="1"/>
    </xf>
    <xf numFmtId="0" fontId="4" fillId="2" borderId="1" xfId="101" applyFont="1" applyFill="1" applyBorder="1" applyAlignment="1">
      <alignment horizontal="left" vertical="center" wrapText="1"/>
    </xf>
    <xf numFmtId="0" fontId="4" fillId="2" borderId="3" xfId="39" applyFont="1" applyFill="1" applyBorder="1" applyAlignment="1">
      <alignment horizontal="center" vertical="center" wrapText="1"/>
    </xf>
    <xf numFmtId="0" fontId="2" fillId="0" borderId="4" xfId="26" applyFont="1" applyBorder="1" applyAlignment="1">
      <alignment horizontal="center" wrapText="1"/>
    </xf>
    <xf numFmtId="3" fontId="10" fillId="2" borderId="1" xfId="40" applyNumberFormat="1" applyFont="1" applyFill="1" applyBorder="1" applyAlignment="1">
      <alignment horizontal="center" vertical="center" wrapText="1"/>
    </xf>
    <xf numFmtId="3" fontId="10" fillId="2" borderId="0" xfId="40" applyNumberFormat="1" applyFont="1" applyFill="1" applyAlignment="1">
      <alignment horizontal="right" wrapText="1"/>
    </xf>
    <xf numFmtId="3" fontId="17" fillId="2" borderId="1" xfId="38" applyNumberFormat="1" applyFont="1" applyFill="1" applyBorder="1" applyAlignment="1">
      <alignment horizontal="center" vertical="center" wrapText="1"/>
    </xf>
    <xf numFmtId="3" fontId="7" fillId="2" borderId="0" xfId="6" applyNumberFormat="1" applyFont="1" applyFill="1" applyBorder="1" applyAlignment="1">
      <alignment horizontal="left" vertical="center" wrapText="1"/>
    </xf>
    <xf numFmtId="3" fontId="7" fillId="2" borderId="0" xfId="6" applyNumberFormat="1" applyFont="1" applyFill="1" applyAlignment="1">
      <alignment horizontal="left" vertical="center" wrapText="1"/>
    </xf>
    <xf numFmtId="0" fontId="4" fillId="2" borderId="5" xfId="26" applyFont="1" applyFill="1" applyBorder="1" applyAlignment="1">
      <alignment horizontal="center" wrapText="1"/>
    </xf>
    <xf numFmtId="3" fontId="17" fillId="2" borderId="6" xfId="40" applyNumberFormat="1" applyFont="1" applyFill="1" applyBorder="1" applyAlignment="1">
      <alignment horizontal="center" vertical="center" wrapText="1"/>
    </xf>
    <xf numFmtId="3" fontId="17" fillId="2" borderId="0" xfId="40" applyNumberFormat="1" applyFont="1" applyFill="1" applyAlignment="1">
      <alignment horizontal="center" vertical="center" wrapText="1"/>
    </xf>
    <xf numFmtId="0" fontId="2" fillId="0" borderId="4" xfId="117" applyFont="1" applyBorder="1" applyAlignment="1">
      <alignment horizontal="center" vertical="center" wrapText="1"/>
    </xf>
    <xf numFmtId="3" fontId="28" fillId="2" borderId="0" xfId="42" applyNumberFormat="1" applyFont="1" applyFill="1" applyAlignment="1">
      <alignment horizontal="center" vertical="center" wrapText="1"/>
    </xf>
    <xf numFmtId="0" fontId="4" fillId="2" borderId="1" xfId="41" applyFont="1" applyFill="1" applyBorder="1" applyAlignment="1">
      <alignment horizontal="center" vertical="center" wrapText="1"/>
    </xf>
    <xf numFmtId="3" fontId="28" fillId="2" borderId="0" xfId="42" applyNumberFormat="1" applyFont="1" applyFill="1" applyBorder="1" applyAlignment="1">
      <alignment horizontal="left" vertical="center" wrapText="1"/>
    </xf>
    <xf numFmtId="0" fontId="2" fillId="2" borderId="4" xfId="43" applyFont="1" applyFill="1" applyBorder="1" applyAlignment="1">
      <alignment horizontal="center" vertical="center" wrapText="1"/>
    </xf>
    <xf numFmtId="3" fontId="10" fillId="2" borderId="0" xfId="44" applyNumberFormat="1" applyFont="1" applyFill="1" applyAlignment="1">
      <alignment horizontal="center" wrapText="1"/>
    </xf>
    <xf numFmtId="0" fontId="4" fillId="2" borderId="5" xfId="43" applyFont="1" applyFill="1" applyBorder="1" applyAlignment="1">
      <alignment horizontal="center" vertical="center" wrapText="1"/>
    </xf>
    <xf numFmtId="0" fontId="4" fillId="2" borderId="2" xfId="101" applyFont="1" applyFill="1" applyBorder="1" applyAlignment="1">
      <alignment horizontal="left" vertical="center" wrapText="1"/>
    </xf>
    <xf numFmtId="0" fontId="11" fillId="2" borderId="4" xfId="45" applyFont="1" applyFill="1" applyBorder="1" applyAlignment="1">
      <alignment horizontal="center" vertical="center" wrapText="1"/>
    </xf>
    <xf numFmtId="3" fontId="10" fillId="2" borderId="0" xfId="46" applyNumberFormat="1" applyFont="1" applyFill="1" applyAlignment="1">
      <alignment horizontal="center" vertical="center" wrapText="1"/>
    </xf>
    <xf numFmtId="3" fontId="17" fillId="2" borderId="1" xfId="2" applyNumberFormat="1" applyFont="1" applyFill="1" applyBorder="1" applyAlignment="1">
      <alignment horizontal="center" vertical="center" wrapText="1"/>
    </xf>
    <xf numFmtId="3" fontId="17" fillId="2" borderId="0" xfId="2" applyNumberFormat="1" applyFont="1" applyFill="1" applyAlignment="1">
      <alignment horizontal="center" vertical="center" wrapText="1"/>
    </xf>
    <xf numFmtId="3" fontId="10" fillId="2" borderId="0" xfId="46" applyNumberFormat="1" applyFont="1" applyFill="1" applyBorder="1" applyAlignment="1">
      <alignment horizontal="left" vertical="center" wrapText="1"/>
    </xf>
    <xf numFmtId="3" fontId="10" fillId="2" borderId="0" xfId="46" applyNumberFormat="1" applyFont="1" applyFill="1" applyAlignment="1">
      <alignment horizontal="left" vertical="center" wrapText="1"/>
    </xf>
    <xf numFmtId="0" fontId="11" fillId="0" borderId="4" xfId="47" applyFont="1" applyBorder="1" applyAlignment="1">
      <alignment horizontal="center" vertical="center" wrapText="1"/>
    </xf>
    <xf numFmtId="3" fontId="10" fillId="2" borderId="0" xfId="48" applyNumberFormat="1" applyFont="1" applyFill="1" applyAlignment="1">
      <alignment horizontal="center" vertical="center" wrapText="1"/>
    </xf>
    <xf numFmtId="3" fontId="10" fillId="2" borderId="1" xfId="47" applyNumberFormat="1" applyFont="1" applyFill="1" applyBorder="1" applyAlignment="1">
      <alignment horizontal="center" wrapText="1"/>
    </xf>
    <xf numFmtId="3" fontId="10" fillId="2" borderId="0" xfId="48" applyNumberFormat="1" applyFont="1" applyFill="1" applyBorder="1" applyAlignment="1">
      <alignment horizontal="left" vertical="center" wrapText="1"/>
    </xf>
    <xf numFmtId="3" fontId="10" fillId="2" borderId="0" xfId="48" applyNumberFormat="1" applyFont="1" applyFill="1" applyAlignment="1">
      <alignment horizontal="left" vertical="center" wrapText="1"/>
    </xf>
    <xf numFmtId="0" fontId="2" fillId="2" borderId="4" xfId="49" applyFont="1" applyFill="1" applyBorder="1" applyAlignment="1">
      <alignment horizontal="center" vertical="center" wrapText="1"/>
    </xf>
    <xf numFmtId="3" fontId="30" fillId="2" borderId="0" xfId="50" applyNumberFormat="1" applyFont="1" applyFill="1" applyAlignment="1">
      <alignment horizontal="center" vertical="center" wrapText="1"/>
    </xf>
    <xf numFmtId="3" fontId="30" fillId="2" borderId="1" xfId="50" applyNumberFormat="1" applyFont="1" applyFill="1" applyBorder="1" applyAlignment="1">
      <alignment horizontal="center" vertical="center" wrapText="1"/>
    </xf>
    <xf numFmtId="3" fontId="30" fillId="2" borderId="0" xfId="50" applyNumberFormat="1" applyFont="1" applyFill="1" applyBorder="1" applyAlignment="1">
      <alignment horizontal="left" vertical="center" wrapText="1"/>
    </xf>
    <xf numFmtId="3" fontId="30" fillId="2" borderId="0" xfId="50" applyNumberFormat="1" applyFont="1" applyFill="1" applyAlignment="1">
      <alignment horizontal="left" vertical="center" wrapText="1"/>
    </xf>
    <xf numFmtId="0" fontId="2" fillId="2" borderId="4" xfId="100" applyFont="1" applyFill="1" applyBorder="1" applyAlignment="1">
      <alignment horizontal="center" vertical="center" wrapText="1"/>
    </xf>
    <xf numFmtId="3" fontId="10" fillId="2" borderId="0" xfId="51" applyNumberFormat="1" applyFont="1" applyFill="1" applyAlignment="1">
      <alignment horizontal="center" vertical="center" wrapText="1"/>
    </xf>
    <xf numFmtId="0" fontId="4" fillId="2" borderId="1" xfId="100" applyFont="1" applyFill="1" applyBorder="1" applyAlignment="1">
      <alignment horizontal="center" vertical="center" wrapText="1"/>
    </xf>
    <xf numFmtId="3" fontId="10" fillId="2" borderId="0" xfId="51" applyNumberFormat="1" applyFont="1" applyFill="1" applyBorder="1" applyAlignment="1">
      <alignment horizontal="left" vertical="center" wrapText="1"/>
    </xf>
    <xf numFmtId="3" fontId="10" fillId="2" borderId="0" xfId="51" applyNumberFormat="1" applyFont="1" applyFill="1" applyAlignment="1">
      <alignment horizontal="left" vertical="center" wrapText="1"/>
    </xf>
    <xf numFmtId="0" fontId="2" fillId="2" borderId="4" xfId="52" applyFont="1" applyFill="1" applyBorder="1" applyAlignment="1">
      <alignment horizontal="center" vertical="center" wrapText="1"/>
    </xf>
    <xf numFmtId="3" fontId="10" fillId="2" borderId="0" xfId="53" applyNumberFormat="1" applyFont="1" applyFill="1" applyAlignment="1">
      <alignment horizontal="right" wrapText="1"/>
    </xf>
    <xf numFmtId="3" fontId="10" fillId="2" borderId="0" xfId="53" applyNumberFormat="1" applyFont="1" applyFill="1" applyAlignment="1">
      <alignment horizontal="center" wrapText="1"/>
    </xf>
    <xf numFmtId="3" fontId="10" fillId="2" borderId="5" xfId="53" applyNumberFormat="1" applyFont="1" applyFill="1" applyBorder="1" applyAlignment="1">
      <alignment horizontal="center" vertical="center" wrapText="1"/>
    </xf>
    <xf numFmtId="3" fontId="10" fillId="2" borderId="0" xfId="53" applyNumberFormat="1" applyFont="1" applyFill="1" applyAlignment="1">
      <alignment horizontal="center" vertical="center" wrapText="1"/>
    </xf>
    <xf numFmtId="0" fontId="2" fillId="2" borderId="4" xfId="54" applyFont="1" applyFill="1" applyBorder="1" applyAlignment="1">
      <alignment horizontal="center" vertical="center" wrapText="1"/>
    </xf>
    <xf numFmtId="3" fontId="10" fillId="2" borderId="0" xfId="55" applyNumberFormat="1" applyFont="1" applyFill="1" applyAlignment="1">
      <alignment horizontal="center" vertical="center" wrapText="1"/>
    </xf>
    <xf numFmtId="0" fontId="4" fillId="2" borderId="5" xfId="54" applyFont="1" applyFill="1" applyBorder="1" applyAlignment="1">
      <alignment horizontal="center" vertical="center" wrapText="1"/>
    </xf>
    <xf numFmtId="3" fontId="10" fillId="2" borderId="0" xfId="55" applyNumberFormat="1" applyFont="1" applyFill="1" applyBorder="1" applyAlignment="1">
      <alignment horizontal="left" vertical="center" wrapText="1"/>
    </xf>
    <xf numFmtId="3" fontId="10" fillId="2" borderId="0" xfId="55" applyNumberFormat="1" applyFont="1" applyFill="1" applyAlignment="1">
      <alignment horizontal="left" vertical="center" wrapText="1"/>
    </xf>
    <xf numFmtId="0" fontId="2" fillId="2" borderId="4" xfId="56" applyFont="1" applyFill="1" applyBorder="1" applyAlignment="1">
      <alignment horizontal="center" vertical="center" wrapText="1"/>
    </xf>
    <xf numFmtId="3" fontId="30" fillId="2" borderId="0" xfId="57" applyNumberFormat="1" applyFont="1" applyFill="1" applyAlignment="1">
      <alignment horizontal="center" wrapText="1"/>
    </xf>
    <xf numFmtId="3" fontId="28" fillId="2" borderId="1" xfId="2" applyNumberFormat="1" applyFont="1" applyFill="1" applyBorder="1" applyAlignment="1">
      <alignment horizontal="center" vertical="center" wrapText="1"/>
    </xf>
    <xf numFmtId="3" fontId="30" fillId="2" borderId="0" xfId="57" applyNumberFormat="1" applyFont="1" applyFill="1" applyBorder="1" applyAlignment="1">
      <alignment horizontal="left" vertical="center" wrapText="1"/>
    </xf>
    <xf numFmtId="3" fontId="30" fillId="2" borderId="0" xfId="57" applyNumberFormat="1" applyFont="1" applyFill="1" applyAlignment="1">
      <alignment horizontal="left" vertical="center" wrapText="1"/>
    </xf>
    <xf numFmtId="3" fontId="30" fillId="2" borderId="0" xfId="58" applyNumberFormat="1" applyFont="1" applyFill="1" applyAlignment="1">
      <alignment horizontal="center" wrapText="1"/>
    </xf>
    <xf numFmtId="3" fontId="30" fillId="2" borderId="0" xfId="58" applyNumberFormat="1" applyFont="1" applyFill="1" applyAlignment="1">
      <alignment horizontal="center" vertical="center" wrapText="1"/>
    </xf>
    <xf numFmtId="0" fontId="2" fillId="2" borderId="4" xfId="114" applyFont="1" applyFill="1" applyBorder="1" applyAlignment="1">
      <alignment horizontal="center" vertical="center" wrapText="1"/>
    </xf>
    <xf numFmtId="0" fontId="4" fillId="2" borderId="3" xfId="114" applyFont="1" applyFill="1" applyBorder="1" applyAlignment="1">
      <alignment horizontal="center" vertical="center" wrapText="1"/>
    </xf>
    <xf numFmtId="3" fontId="30" fillId="2" borderId="6" xfId="58" applyNumberFormat="1" applyFont="1" applyFill="1" applyBorder="1" applyAlignment="1">
      <alignment horizontal="left" vertical="center" wrapText="1"/>
    </xf>
    <xf numFmtId="3" fontId="30" fillId="2" borderId="0" xfId="58" applyNumberFormat="1" applyFont="1" applyFill="1" applyAlignment="1">
      <alignment horizontal="left" vertical="center" wrapText="1"/>
    </xf>
    <xf numFmtId="0" fontId="2" fillId="2" borderId="4" xfId="60" applyFont="1" applyFill="1" applyBorder="1" applyAlignment="1">
      <alignment horizontal="center" vertical="center" wrapText="1"/>
    </xf>
    <xf numFmtId="0" fontId="4" fillId="2" borderId="1" xfId="60" applyFont="1" applyFill="1" applyBorder="1" applyAlignment="1">
      <alignment horizontal="center" vertical="center" wrapText="1"/>
    </xf>
    <xf numFmtId="3" fontId="10" fillId="2" borderId="0" xfId="59" applyNumberFormat="1" applyFont="1" applyFill="1" applyBorder="1" applyAlignment="1">
      <alignment horizontal="center" wrapText="1"/>
    </xf>
    <xf numFmtId="3" fontId="10" fillId="2" borderId="0" xfId="59" applyNumberFormat="1" applyFont="1" applyFill="1" applyAlignment="1">
      <alignment horizontal="center" wrapText="1"/>
    </xf>
    <xf numFmtId="0" fontId="11" fillId="2" borderId="4" xfId="113" applyFont="1" applyFill="1" applyBorder="1" applyAlignment="1">
      <alignment horizontal="center" vertical="center" wrapText="1"/>
    </xf>
    <xf numFmtId="0" fontId="10" fillId="2" borderId="6" xfId="101" applyFont="1" applyFill="1" applyBorder="1" applyAlignment="1">
      <alignment horizontal="center" vertical="center" wrapText="1"/>
    </xf>
    <xf numFmtId="0" fontId="10" fillId="2" borderId="0" xfId="101" applyFont="1" applyFill="1" applyBorder="1" applyAlignment="1">
      <alignment horizontal="center" vertical="center" wrapText="1"/>
    </xf>
    <xf numFmtId="0" fontId="10" fillId="2" borderId="1" xfId="101" applyFont="1" applyFill="1" applyBorder="1" applyAlignment="1">
      <alignment horizontal="center" vertical="center" wrapText="1"/>
    </xf>
    <xf numFmtId="3" fontId="10" fillId="2" borderId="6" xfId="62" applyNumberFormat="1" applyFont="1" applyFill="1" applyBorder="1" applyAlignment="1">
      <alignment horizontal="center" vertical="center" wrapText="1"/>
    </xf>
    <xf numFmtId="3" fontId="10" fillId="2" borderId="1" xfId="62" applyNumberFormat="1" applyFont="1" applyFill="1" applyBorder="1" applyAlignment="1">
      <alignment horizontal="center" vertical="center" wrapText="1"/>
    </xf>
    <xf numFmtId="3" fontId="10" fillId="2" borderId="0" xfId="62" applyNumberFormat="1" applyFont="1" applyFill="1" applyAlignment="1">
      <alignment horizontal="center" vertical="center" wrapText="1"/>
    </xf>
    <xf numFmtId="0" fontId="2" fillId="2" borderId="4" xfId="112" applyFont="1" applyFill="1" applyBorder="1" applyAlignment="1">
      <alignment horizontal="center" vertical="center" wrapText="1"/>
    </xf>
    <xf numFmtId="3" fontId="30" fillId="2" borderId="0" xfId="63" applyNumberFormat="1" applyFont="1" applyFill="1" applyAlignment="1">
      <alignment horizontal="right" vertical="center" wrapText="1"/>
    </xf>
    <xf numFmtId="0" fontId="4" fillId="2" borderId="2" xfId="112" applyFont="1" applyFill="1" applyBorder="1" applyAlignment="1">
      <alignment horizontal="center" vertical="center" wrapText="1"/>
    </xf>
    <xf numFmtId="0" fontId="4" fillId="2" borderId="1" xfId="112" applyFont="1" applyFill="1" applyBorder="1" applyAlignment="1">
      <alignment horizontal="center" vertical="center" wrapText="1"/>
    </xf>
    <xf numFmtId="3" fontId="30" fillId="2" borderId="1" xfId="63" applyNumberFormat="1" applyFont="1" applyFill="1" applyBorder="1" applyAlignment="1">
      <alignment horizontal="center" wrapText="1"/>
    </xf>
    <xf numFmtId="0" fontId="4" fillId="2" borderId="6" xfId="101" applyFont="1" applyFill="1" applyBorder="1" applyAlignment="1">
      <alignment horizontal="center" vertical="center" wrapText="1"/>
    </xf>
    <xf numFmtId="0" fontId="2" fillId="2" borderId="4" xfId="111" applyFont="1" applyFill="1" applyBorder="1" applyAlignment="1">
      <alignment horizontal="center" vertical="center" wrapText="1"/>
    </xf>
    <xf numFmtId="3" fontId="30" fillId="2" borderId="5" xfId="64" applyNumberFormat="1" applyFont="1" applyFill="1" applyBorder="1" applyAlignment="1">
      <alignment horizontal="center" wrapText="1"/>
    </xf>
    <xf numFmtId="0" fontId="4" fillId="2" borderId="6" xfId="101" applyFont="1" applyFill="1" applyBorder="1" applyAlignment="1">
      <alignment horizontal="left" vertical="center" wrapText="1"/>
    </xf>
    <xf numFmtId="0" fontId="4" fillId="2" borderId="2" xfId="111" applyFont="1" applyFill="1" applyBorder="1" applyAlignment="1">
      <alignment horizontal="center" wrapText="1"/>
    </xf>
    <xf numFmtId="0" fontId="4" fillId="2" borderId="1" xfId="111" applyFont="1" applyFill="1" applyBorder="1" applyAlignment="1">
      <alignment horizontal="center" wrapText="1"/>
    </xf>
    <xf numFmtId="0" fontId="2" fillId="2" borderId="1" xfId="38" applyFont="1" applyFill="1" applyBorder="1" applyAlignment="1">
      <alignment horizontal="center" vertical="center" wrapText="1"/>
    </xf>
    <xf numFmtId="3" fontId="30" fillId="2" borderId="0" xfId="65" applyNumberFormat="1" applyFont="1" applyFill="1" applyAlignment="1">
      <alignment horizontal="center" vertical="center" wrapText="1"/>
    </xf>
    <xf numFmtId="3" fontId="30" fillId="2" borderId="5" xfId="65" applyNumberFormat="1" applyFont="1" applyFill="1" applyBorder="1" applyAlignment="1">
      <alignment horizontal="center" wrapText="1"/>
    </xf>
    <xf numFmtId="0" fontId="4" fillId="2" borderId="1" xfId="110" applyFont="1" applyFill="1" applyBorder="1" applyAlignment="1">
      <alignment horizontal="center" wrapText="1"/>
    </xf>
    <xf numFmtId="0" fontId="4" fillId="2" borderId="0" xfId="110" applyFont="1" applyFill="1" applyAlignment="1">
      <alignment horizontal="center" wrapText="1"/>
    </xf>
    <xf numFmtId="3" fontId="30" fillId="2" borderId="6" xfId="66" applyNumberFormat="1" applyFont="1" applyFill="1" applyBorder="1" applyAlignment="1">
      <alignment horizontal="center" vertical="center" wrapText="1"/>
    </xf>
    <xf numFmtId="3" fontId="30" fillId="2" borderId="0" xfId="66" applyNumberFormat="1" applyFont="1" applyFill="1" applyBorder="1" applyAlignment="1">
      <alignment horizontal="center" vertical="center" wrapText="1"/>
    </xf>
    <xf numFmtId="0" fontId="4" fillId="2" borderId="6" xfId="110" applyFont="1" applyFill="1" applyBorder="1" applyAlignment="1">
      <alignment horizontal="left" vertical="center" wrapText="1"/>
    </xf>
    <xf numFmtId="0" fontId="4" fillId="2" borderId="0" xfId="110" applyFont="1" applyFill="1" applyBorder="1" applyAlignment="1">
      <alignment horizontal="left" vertical="center" wrapText="1"/>
    </xf>
    <xf numFmtId="0" fontId="2" fillId="4" borderId="0" xfId="110" applyFont="1" applyFill="1" applyBorder="1" applyAlignment="1">
      <alignment horizontal="center" vertical="center" wrapText="1"/>
    </xf>
    <xf numFmtId="0" fontId="4" fillId="4" borderId="0" xfId="110" applyFont="1" applyFill="1" applyBorder="1" applyAlignment="1">
      <alignment horizontal="left" vertical="center" wrapText="1"/>
    </xf>
    <xf numFmtId="3" fontId="30" fillId="4" borderId="0" xfId="66" applyNumberFormat="1" applyFont="1" applyFill="1" applyBorder="1" applyAlignment="1">
      <alignment horizontal="center" vertical="center" wrapText="1"/>
    </xf>
    <xf numFmtId="3" fontId="30" fillId="4" borderId="0" xfId="66" applyNumberFormat="1" applyFont="1" applyFill="1" applyBorder="1" applyAlignment="1">
      <alignment horizontal="center" wrapText="1"/>
    </xf>
    <xf numFmtId="0" fontId="2" fillId="2" borderId="4" xfId="11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3" fontId="17" fillId="2" borderId="0" xfId="0" applyNumberFormat="1" applyFont="1" applyFill="1" applyAlignment="1">
      <alignment vertical="center" wrapText="1"/>
    </xf>
    <xf numFmtId="3" fontId="10" fillId="2" borderId="0" xfId="61" applyNumberFormat="1" applyFont="1" applyFill="1" applyBorder="1" applyAlignment="1">
      <alignment horizontal="center" wrapText="1"/>
    </xf>
    <xf numFmtId="3" fontId="10" fillId="2" borderId="5" xfId="61" applyNumberFormat="1" applyFont="1" applyFill="1" applyBorder="1" applyAlignment="1">
      <alignment horizontal="center" wrapText="1"/>
    </xf>
    <xf numFmtId="3" fontId="10" fillId="2" borderId="0" xfId="61" applyNumberFormat="1" applyFont="1" applyFill="1" applyAlignment="1">
      <alignment horizontal="right" wrapText="1"/>
    </xf>
    <xf numFmtId="0" fontId="9" fillId="2" borderId="4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16" fillId="2" borderId="2" xfId="28" applyFont="1" applyFill="1" applyBorder="1" applyAlignment="1">
      <alignment horizontal="center" vertical="center" wrapText="1"/>
    </xf>
    <xf numFmtId="0" fontId="16" fillId="2" borderId="1" xfId="28" applyFont="1" applyFill="1" applyBorder="1" applyAlignment="1">
      <alignment horizontal="center" vertical="center" wrapText="1"/>
    </xf>
    <xf numFmtId="0" fontId="16" fillId="2" borderId="2" xfId="28" applyFont="1" applyFill="1" applyBorder="1" applyAlignment="1">
      <alignment horizontal="center" wrapText="1"/>
    </xf>
    <xf numFmtId="0" fontId="10" fillId="2" borderId="2" xfId="29" applyFont="1" applyFill="1" applyBorder="1" applyAlignment="1">
      <alignment horizontal="left" vertical="center" wrapText="1"/>
    </xf>
    <xf numFmtId="0" fontId="10" fillId="2" borderId="1" xfId="29" applyFont="1" applyFill="1" applyBorder="1" applyAlignment="1">
      <alignment horizontal="left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10" fillId="2" borderId="2" xfId="29" applyFont="1" applyFill="1" applyBorder="1" applyAlignment="1">
      <alignment horizontal="center" wrapText="1"/>
    </xf>
    <xf numFmtId="0" fontId="9" fillId="2" borderId="4" xfId="2" applyFont="1" applyFill="1" applyBorder="1" applyAlignment="1">
      <alignment horizontal="center" vertical="center" wrapText="1"/>
    </xf>
    <xf numFmtId="0" fontId="10" fillId="2" borderId="0" xfId="30" applyFont="1" applyFill="1" applyBorder="1" applyAlignment="1">
      <alignment horizontal="left" vertical="center" wrapText="1"/>
    </xf>
    <xf numFmtId="0" fontId="10" fillId="2" borderId="1" xfId="30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 wrapText="1"/>
    </xf>
    <xf numFmtId="0" fontId="10" fillId="2" borderId="0" xfId="30" applyFont="1" applyFill="1" applyBorder="1" applyAlignment="1">
      <alignment horizontal="center" wrapText="1"/>
    </xf>
    <xf numFmtId="0" fontId="9" fillId="2" borderId="1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left" vertical="center" wrapText="1"/>
    </xf>
    <xf numFmtId="3" fontId="3" fillId="2" borderId="0" xfId="2" applyNumberFormat="1" applyFont="1" applyFill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17" fillId="2" borderId="2" xfId="2" applyFont="1" applyFill="1" applyBorder="1" applyAlignment="1">
      <alignment horizontal="left" vertical="center" wrapText="1"/>
    </xf>
    <xf numFmtId="0" fontId="17" fillId="2" borderId="1" xfId="2" applyFont="1" applyFill="1" applyBorder="1" applyAlignment="1">
      <alignment horizontal="left" vertical="center" wrapText="1"/>
    </xf>
    <xf numFmtId="0" fontId="17" fillId="2" borderId="2" xfId="32" applyFont="1" applyFill="1" applyBorder="1" applyAlignment="1">
      <alignment horizontal="center" vertical="center" wrapText="1"/>
    </xf>
    <xf numFmtId="0" fontId="17" fillId="2" borderId="1" xfId="32" applyFont="1" applyFill="1" applyBorder="1" applyAlignment="1">
      <alignment horizontal="center" vertical="center" wrapText="1"/>
    </xf>
    <xf numFmtId="0" fontId="17" fillId="2" borderId="2" xfId="32" applyFont="1" applyFill="1" applyBorder="1" applyAlignment="1">
      <alignment horizontal="center" wrapText="1"/>
    </xf>
    <xf numFmtId="0" fontId="3" fillId="2" borderId="0" xfId="2" applyFont="1" applyFill="1" applyAlignment="1">
      <alignment horizontal="right" vertical="center" wrapText="1"/>
    </xf>
    <xf numFmtId="0" fontId="10" fillId="2" borderId="2" xfId="33" applyFont="1" applyFill="1" applyBorder="1" applyAlignment="1">
      <alignment horizontal="center" wrapText="1"/>
    </xf>
    <xf numFmtId="0" fontId="3" fillId="2" borderId="0" xfId="2" applyFont="1" applyFill="1" applyBorder="1" applyAlignment="1">
      <alignment horizontal="left" vertical="center" wrapText="1"/>
    </xf>
    <xf numFmtId="0" fontId="3" fillId="2" borderId="4" xfId="2" applyFont="1" applyFill="1" applyBorder="1" applyAlignment="1">
      <alignment horizontal="left" vertical="center" wrapText="1"/>
    </xf>
    <xf numFmtId="0" fontId="7" fillId="2" borderId="0" xfId="34" applyFont="1" applyFill="1" applyBorder="1" applyAlignment="1">
      <alignment horizontal="center" vertical="center" wrapText="1"/>
    </xf>
    <xf numFmtId="0" fontId="7" fillId="2" borderId="1" xfId="34" applyFont="1" applyFill="1" applyBorder="1" applyAlignment="1">
      <alignment horizontal="center" vertical="center" wrapText="1"/>
    </xf>
    <xf numFmtId="0" fontId="7" fillId="2" borderId="0" xfId="34" applyFont="1" applyFill="1" applyBorder="1" applyAlignment="1">
      <alignment horizontal="center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right" vertical="center" wrapText="1"/>
    </xf>
    <xf numFmtId="0" fontId="3" fillId="3" borderId="0" xfId="2" applyFont="1" applyFill="1" applyAlignment="1">
      <alignment vertical="center"/>
    </xf>
    <xf numFmtId="0" fontId="10" fillId="2" borderId="0" xfId="1" applyFont="1" applyFill="1" applyAlignment="1">
      <alignment horizontal="center" vertical="center" wrapText="1"/>
    </xf>
    <xf numFmtId="164" fontId="20" fillId="5" borderId="0" xfId="1" applyNumberFormat="1" applyFont="1" applyFill="1" applyAlignment="1">
      <alignment horizontal="center" vertical="center"/>
    </xf>
    <xf numFmtId="164" fontId="10" fillId="2" borderId="0" xfId="1" applyNumberFormat="1" applyFont="1" applyFill="1" applyAlignment="1">
      <alignment horizontal="center" vertical="center"/>
    </xf>
    <xf numFmtId="3" fontId="11" fillId="2" borderId="0" xfId="25" applyNumberFormat="1" applyFont="1" applyFill="1" applyAlignment="1">
      <alignment horizontal="center" vertical="center"/>
    </xf>
    <xf numFmtId="3" fontId="10" fillId="2" borderId="0" xfId="25" applyNumberFormat="1" applyFont="1" applyFill="1" applyAlignment="1">
      <alignment horizontal="center" vertical="center"/>
    </xf>
    <xf numFmtId="164" fontId="11" fillId="2" borderId="0" xfId="1" applyNumberFormat="1" applyFont="1" applyFill="1" applyAlignment="1">
      <alignment horizontal="center" vertical="center"/>
    </xf>
    <xf numFmtId="164" fontId="19" fillId="2" borderId="0" xfId="2" applyNumberFormat="1" applyFont="1" applyFill="1" applyAlignment="1">
      <alignment horizontal="center"/>
    </xf>
    <xf numFmtId="164" fontId="17" fillId="2" borderId="0" xfId="2" applyNumberFormat="1" applyFont="1" applyFill="1" applyAlignment="1">
      <alignment horizontal="center"/>
    </xf>
    <xf numFmtId="164" fontId="11" fillId="3" borderId="0" xfId="1" applyNumberFormat="1" applyFont="1" applyFill="1" applyAlignment="1">
      <alignment horizontal="center" vertical="center"/>
    </xf>
    <xf numFmtId="164" fontId="10" fillId="3" borderId="0" xfId="1" applyNumberFormat="1" applyFont="1" applyFill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164" fontId="3" fillId="3" borderId="0" xfId="2" applyNumberFormat="1" applyFont="1" applyFill="1" applyAlignment="1">
      <alignment horizontal="center"/>
    </xf>
    <xf numFmtId="164" fontId="9" fillId="3" borderId="0" xfId="2" applyNumberFormat="1" applyFont="1" applyFill="1" applyAlignment="1">
      <alignment horizontal="center"/>
    </xf>
    <xf numFmtId="3" fontId="9" fillId="3" borderId="0" xfId="2" applyNumberFormat="1" applyFont="1" applyFill="1" applyAlignment="1">
      <alignment horizontal="center"/>
    </xf>
    <xf numFmtId="3" fontId="3" fillId="3" borderId="0" xfId="2" applyNumberFormat="1" applyFont="1" applyFill="1" applyAlignment="1">
      <alignment horizontal="center"/>
    </xf>
    <xf numFmtId="0" fontId="3" fillId="3" borderId="0" xfId="2" applyFont="1" applyFill="1" applyAlignment="1">
      <alignment horizontal="center"/>
    </xf>
    <xf numFmtId="164" fontId="19" fillId="2" borderId="0" xfId="2" applyNumberFormat="1" applyFont="1" applyFill="1" applyAlignment="1">
      <alignment horizontal="right"/>
    </xf>
    <xf numFmtId="164" fontId="17" fillId="2" borderId="0" xfId="2" applyNumberFormat="1" applyFont="1" applyFill="1" applyAlignment="1">
      <alignment horizontal="right"/>
    </xf>
    <xf numFmtId="164" fontId="3" fillId="3" borderId="0" xfId="2" applyNumberFormat="1" applyFont="1" applyFill="1" applyAlignment="1">
      <alignment horizontal="right"/>
    </xf>
    <xf numFmtId="164" fontId="9" fillId="3" borderId="0" xfId="2" applyNumberFormat="1" applyFont="1" applyFill="1" applyAlignment="1">
      <alignment horizontal="right"/>
    </xf>
    <xf numFmtId="3" fontId="9" fillId="3" borderId="0" xfId="2" applyNumberFormat="1" applyFont="1" applyFill="1" applyAlignment="1">
      <alignment horizontal="right"/>
    </xf>
    <xf numFmtId="3" fontId="3" fillId="3" borderId="0" xfId="2" applyNumberFormat="1" applyFont="1" applyFill="1" applyAlignment="1">
      <alignment horizontal="right"/>
    </xf>
    <xf numFmtId="0" fontId="3" fillId="3" borderId="0" xfId="2" applyFont="1" applyFill="1" applyAlignment="1">
      <alignment horizontal="right"/>
    </xf>
    <xf numFmtId="0" fontId="20" fillId="2" borderId="0" xfId="1" applyFont="1" applyFill="1" applyAlignment="1">
      <alignment horizontal="left" vertical="top" wrapText="1"/>
    </xf>
    <xf numFmtId="164" fontId="20" fillId="2" borderId="0" xfId="1" applyNumberFormat="1" applyFont="1" applyFill="1" applyAlignment="1">
      <alignment horizontal="center" vertical="center"/>
    </xf>
    <xf numFmtId="164" fontId="20" fillId="2" borderId="0" xfId="1" applyNumberFormat="1" applyFont="1" applyFill="1" applyAlignment="1">
      <alignment horizontal="right" vertical="center"/>
    </xf>
    <xf numFmtId="164" fontId="20" fillId="5" borderId="0" xfId="7" applyNumberFormat="1" applyFont="1" applyFill="1" applyAlignment="1">
      <alignment horizontal="center" vertical="center"/>
    </xf>
    <xf numFmtId="164" fontId="20" fillId="5" borderId="0" xfId="3" applyNumberFormat="1" applyFont="1" applyFill="1" applyAlignment="1">
      <alignment horizontal="center" vertical="center"/>
    </xf>
    <xf numFmtId="3" fontId="21" fillId="5" borderId="0" xfId="8" applyNumberFormat="1" applyFont="1" applyFill="1" applyAlignment="1">
      <alignment horizontal="center" vertical="center"/>
    </xf>
    <xf numFmtId="3" fontId="12" fillId="3" borderId="0" xfId="0" applyNumberFormat="1" applyFont="1" applyFill="1" applyAlignment="1">
      <alignment horizontal="center"/>
    </xf>
    <xf numFmtId="0" fontId="10" fillId="2" borderId="2" xfId="6" applyFont="1" applyFill="1" applyBorder="1" applyAlignment="1">
      <alignment horizontal="center" vertical="center" wrapText="1"/>
    </xf>
    <xf numFmtId="0" fontId="10" fillId="2" borderId="0" xfId="6" applyFont="1" applyFill="1" applyAlignment="1">
      <alignment horizontal="center" vertical="center" wrapText="1"/>
    </xf>
    <xf numFmtId="3" fontId="20" fillId="2" borderId="0" xfId="9" applyNumberFormat="1" applyFont="1" applyFill="1" applyAlignment="1">
      <alignment horizontal="center" vertical="center"/>
    </xf>
    <xf numFmtId="3" fontId="7" fillId="2" borderId="0" xfId="7" applyNumberFormat="1" applyFont="1" applyFill="1" applyAlignment="1">
      <alignment horizontal="center" vertical="center"/>
    </xf>
    <xf numFmtId="0" fontId="2" fillId="2" borderId="4" xfId="40" applyFont="1" applyFill="1" applyBorder="1" applyAlignment="1">
      <alignment horizontal="center" vertical="center" wrapText="1"/>
    </xf>
    <xf numFmtId="3" fontId="5" fillId="3" borderId="0" xfId="7" applyNumberFormat="1" applyFont="1" applyFill="1" applyAlignment="1">
      <alignment horizontal="center" vertical="center"/>
    </xf>
    <xf numFmtId="3" fontId="8" fillId="3" borderId="0" xfId="0" applyNumberFormat="1" applyFont="1" applyFill="1" applyAlignment="1">
      <alignment horizontal="center"/>
    </xf>
    <xf numFmtId="3" fontId="20" fillId="5" borderId="0" xfId="9" applyNumberFormat="1" applyFont="1" applyFill="1" applyAlignment="1">
      <alignment horizontal="center" vertical="center"/>
    </xf>
    <xf numFmtId="0" fontId="4" fillId="2" borderId="2" xfId="6" applyFont="1" applyFill="1" applyBorder="1" applyAlignment="1">
      <alignment horizontal="left" vertical="center" wrapText="1"/>
    </xf>
    <xf numFmtId="0" fontId="20" fillId="5" borderId="0" xfId="3" applyFont="1" applyFill="1" applyAlignment="1">
      <alignment horizontal="left" vertical="center" wrapText="1"/>
    </xf>
    <xf numFmtId="169" fontId="21" fillId="5" borderId="0" xfId="10" applyNumberFormat="1" applyFont="1" applyFill="1" applyAlignment="1">
      <alignment horizontal="center"/>
    </xf>
    <xf numFmtId="0" fontId="4" fillId="2" borderId="1" xfId="6" applyFont="1" applyFill="1" applyBorder="1" applyAlignment="1">
      <alignment horizontal="left" vertical="center" wrapText="1"/>
    </xf>
    <xf numFmtId="3" fontId="21" fillId="2" borderId="0" xfId="8" applyNumberFormat="1" applyFont="1" applyFill="1" applyAlignment="1">
      <alignment horizontal="center" vertical="center"/>
    </xf>
    <xf numFmtId="3" fontId="4" fillId="3" borderId="0" xfId="8" applyNumberFormat="1" applyFont="1" applyFill="1" applyAlignment="1">
      <alignment horizontal="center" vertical="center"/>
    </xf>
    <xf numFmtId="3" fontId="10" fillId="2" borderId="0" xfId="5" applyNumberFormat="1" applyFont="1" applyFill="1" applyAlignment="1">
      <alignment horizontal="center" wrapText="1"/>
    </xf>
    <xf numFmtId="164" fontId="10" fillId="2" borderId="0" xfId="3" applyNumberFormat="1" applyFont="1" applyFill="1" applyAlignment="1">
      <alignment horizontal="center" vertical="center"/>
    </xf>
    <xf numFmtId="164" fontId="21" fillId="5" borderId="0" xfId="3" applyNumberFormat="1" applyFont="1" applyFill="1" applyAlignment="1">
      <alignment horizontal="center" vertical="center"/>
    </xf>
    <xf numFmtId="3" fontId="21" fillId="5" borderId="0" xfId="9" applyNumberFormat="1" applyFont="1" applyFill="1" applyAlignment="1">
      <alignment horizontal="center" vertical="center"/>
    </xf>
    <xf numFmtId="3" fontId="4" fillId="3" borderId="0" xfId="9" applyNumberFormat="1" applyFont="1" applyFill="1" applyAlignment="1">
      <alignment horizontal="center" vertical="center"/>
    </xf>
    <xf numFmtId="3" fontId="6" fillId="3" borderId="0" xfId="7" applyNumberFormat="1" applyFont="1" applyFill="1" applyAlignment="1">
      <alignment horizontal="center" vertical="center"/>
    </xf>
    <xf numFmtId="171" fontId="11" fillId="2" borderId="0" xfId="3" applyNumberFormat="1" applyFont="1" applyFill="1" applyAlignment="1">
      <alignment horizontal="center" vertical="center"/>
    </xf>
    <xf numFmtId="0" fontId="10" fillId="2" borderId="0" xfId="6" applyFont="1" applyFill="1" applyAlignment="1">
      <alignment horizontal="center" vertical="center" wrapText="1"/>
    </xf>
    <xf numFmtId="164" fontId="7" fillId="2" borderId="0" xfId="7" applyNumberFormat="1" applyFont="1" applyFill="1" applyAlignment="1">
      <alignment horizontal="center" vertical="center"/>
    </xf>
    <xf numFmtId="3" fontId="11" fillId="2" borderId="0" xfId="8" applyNumberFormat="1" applyFont="1" applyFill="1" applyAlignment="1">
      <alignment horizontal="center" vertical="center" wrapText="1"/>
    </xf>
    <xf numFmtId="3" fontId="11" fillId="5" borderId="0" xfId="8" applyNumberFormat="1" applyFont="1" applyFill="1" applyAlignment="1">
      <alignment horizontal="center" vertical="center"/>
    </xf>
    <xf numFmtId="164" fontId="12" fillId="2" borderId="0" xfId="3" applyNumberFormat="1" applyFont="1" applyFill="1" applyAlignment="1">
      <alignment horizontal="center" vertical="center"/>
    </xf>
    <xf numFmtId="3" fontId="2" fillId="3" borderId="0" xfId="8" applyNumberFormat="1" applyFont="1" applyFill="1" applyAlignment="1">
      <alignment horizontal="center" vertical="center"/>
    </xf>
    <xf numFmtId="0" fontId="4" fillId="2" borderId="3" xfId="5" applyFont="1" applyFill="1" applyBorder="1" applyAlignment="1">
      <alignment horizontal="left" vertical="center" wrapText="1"/>
    </xf>
    <xf numFmtId="3" fontId="11" fillId="2" borderId="1" xfId="8" applyNumberFormat="1" applyFont="1" applyFill="1" applyBorder="1" applyAlignment="1">
      <alignment horizontal="center" vertical="center" wrapText="1"/>
    </xf>
    <xf numFmtId="164" fontId="11" fillId="2" borderId="0" xfId="3" applyNumberFormat="1" applyFont="1" applyFill="1" applyAlignment="1">
      <alignment horizontal="center" vertical="center"/>
    </xf>
    <xf numFmtId="164" fontId="20" fillId="2" borderId="0" xfId="7" applyNumberFormat="1" applyFont="1" applyFill="1" applyAlignment="1">
      <alignment horizontal="center" vertical="center"/>
    </xf>
    <xf numFmtId="0" fontId="2" fillId="2" borderId="4" xfId="8" applyFont="1" applyFill="1" applyBorder="1" applyAlignment="1">
      <alignment horizontal="center" vertical="center" wrapText="1"/>
    </xf>
    <xf numFmtId="0" fontId="20" fillId="2" borderId="0" xfId="6" applyFont="1" applyFill="1" applyAlignment="1">
      <alignment vertical="top" wrapText="1"/>
    </xf>
    <xf numFmtId="164" fontId="4" fillId="3" borderId="0" xfId="3" applyNumberFormat="1" applyFont="1" applyFill="1" applyAlignment="1">
      <alignment horizontal="center" vertical="center"/>
    </xf>
    <xf numFmtId="169" fontId="7" fillId="3" borderId="0" xfId="0" applyNumberFormat="1" applyFont="1" applyFill="1" applyAlignment="1">
      <alignment horizontal="center"/>
    </xf>
    <xf numFmtId="3" fontId="10" fillId="2" borderId="0" xfId="8" applyNumberFormat="1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/>
    </xf>
    <xf numFmtId="0" fontId="10" fillId="2" borderId="0" xfId="13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3" fontId="10" fillId="2" borderId="0" xfId="9" applyNumberFormat="1" applyFont="1" applyFill="1" applyAlignment="1">
      <alignment horizontal="center" vertical="center"/>
    </xf>
    <xf numFmtId="0" fontId="20" fillId="2" borderId="0" xfId="8" applyFont="1" applyFill="1" applyAlignment="1">
      <alignment horizontal="left" vertical="top" wrapText="1"/>
    </xf>
    <xf numFmtId="0" fontId="2" fillId="2" borderId="1" xfId="6" applyFont="1" applyFill="1" applyBorder="1" applyAlignment="1">
      <alignment horizontal="center" vertical="center" wrapText="1"/>
    </xf>
    <xf numFmtId="170" fontId="7" fillId="3" borderId="0" xfId="0" applyNumberFormat="1" applyFont="1" applyFill="1" applyAlignment="1">
      <alignment horizontal="center"/>
    </xf>
    <xf numFmtId="0" fontId="4" fillId="2" borderId="0" xfId="8" applyFont="1" applyFill="1" applyAlignment="1">
      <alignment horizontal="center" vertical="center" wrapText="1"/>
    </xf>
    <xf numFmtId="0" fontId="10" fillId="2" borderId="0" xfId="7" applyFont="1" applyFill="1" applyAlignment="1">
      <alignment horizontal="center" vertical="center" wrapText="1"/>
    </xf>
    <xf numFmtId="164" fontId="14" fillId="5" borderId="0" xfId="0" applyNumberFormat="1" applyFont="1" applyFill="1" applyAlignment="1">
      <alignment horizontal="center"/>
    </xf>
    <xf numFmtId="171" fontId="4" fillId="3" borderId="0" xfId="10" applyNumberFormat="1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3" fontId="21" fillId="2" borderId="0" xfId="9" applyNumberFormat="1" applyFont="1" applyFill="1" applyAlignment="1">
      <alignment horizontal="center" vertical="center"/>
    </xf>
    <xf numFmtId="0" fontId="4" fillId="2" borderId="3" xfId="6" applyFont="1" applyFill="1" applyBorder="1" applyAlignment="1">
      <alignment horizontal="center" vertical="center" wrapText="1"/>
    </xf>
    <xf numFmtId="3" fontId="11" fillId="2" borderId="0" xfId="8" applyNumberFormat="1" applyFont="1" applyFill="1" applyAlignment="1">
      <alignment horizontal="center" vertical="center"/>
    </xf>
    <xf numFmtId="3" fontId="12" fillId="2" borderId="0" xfId="0" applyNumberFormat="1" applyFont="1" applyFill="1" applyAlignment="1">
      <alignment horizontal="center"/>
    </xf>
    <xf numFmtId="3" fontId="18" fillId="2" borderId="0" xfId="0" applyNumberFormat="1" applyFont="1" applyFill="1" applyAlignment="1">
      <alignment horizontal="center"/>
    </xf>
    <xf numFmtId="3" fontId="11" fillId="2" borderId="0" xfId="9" applyNumberFormat="1" applyFont="1" applyFill="1" applyAlignment="1">
      <alignment horizontal="center" vertical="center"/>
    </xf>
    <xf numFmtId="3" fontId="12" fillId="2" borderId="0" xfId="7" applyNumberFormat="1" applyFont="1" applyFill="1" applyAlignment="1">
      <alignment horizontal="center" vertical="center"/>
    </xf>
    <xf numFmtId="164" fontId="2" fillId="3" borderId="0" xfId="3" applyNumberFormat="1" applyFont="1" applyFill="1" applyAlignment="1">
      <alignment horizontal="center" vertical="center"/>
    </xf>
    <xf numFmtId="3" fontId="2" fillId="3" borderId="0" xfId="9" applyNumberFormat="1" applyFont="1" applyFill="1" applyAlignment="1">
      <alignment horizontal="center" vertical="center"/>
    </xf>
    <xf numFmtId="0" fontId="20" fillId="5" borderId="0" xfId="8" applyFont="1" applyFill="1" applyAlignment="1">
      <alignment horizontal="left" vertical="center" wrapText="1"/>
    </xf>
    <xf numFmtId="0" fontId="2" fillId="2" borderId="1" xfId="8" applyFont="1" applyFill="1" applyBorder="1" applyAlignment="1">
      <alignment horizontal="center" vertical="center" wrapText="1"/>
    </xf>
    <xf numFmtId="3" fontId="6" fillId="3" borderId="0" xfId="0" applyNumberFormat="1" applyFont="1" applyFill="1" applyAlignment="1">
      <alignment horizontal="center"/>
    </xf>
    <xf numFmtId="0" fontId="4" fillId="2" borderId="0" xfId="6" applyFont="1" applyFill="1" applyAlignment="1">
      <alignment horizontal="left" vertical="center" wrapText="1"/>
    </xf>
    <xf numFmtId="3" fontId="10" fillId="5" borderId="0" xfId="8" applyNumberFormat="1" applyFont="1" applyFill="1" applyAlignment="1">
      <alignment horizontal="center" vertical="center"/>
    </xf>
    <xf numFmtId="171" fontId="2" fillId="3" borderId="0" xfId="10" applyNumberFormat="1" applyFont="1" applyFill="1" applyAlignment="1">
      <alignment horizontal="center"/>
    </xf>
    <xf numFmtId="171" fontId="12" fillId="3" borderId="0" xfId="0" applyNumberFormat="1" applyFont="1" applyFill="1" applyAlignment="1">
      <alignment horizontal="center"/>
    </xf>
    <xf numFmtId="171" fontId="7" fillId="2" borderId="0" xfId="0" applyNumberFormat="1" applyFont="1" applyFill="1" applyAlignment="1">
      <alignment horizontal="center"/>
    </xf>
    <xf numFmtId="167" fontId="21" fillId="5" borderId="0" xfId="10" applyNumberFormat="1" applyFont="1" applyFill="1" applyAlignment="1">
      <alignment horizontal="center"/>
    </xf>
    <xf numFmtId="172" fontId="10" fillId="5" borderId="0" xfId="14" applyNumberFormat="1" applyFont="1" applyFill="1" applyBorder="1" applyAlignment="1">
      <alignment horizontal="center" vertical="center"/>
    </xf>
    <xf numFmtId="170" fontId="11" fillId="2" borderId="0" xfId="3" applyNumberFormat="1" applyFont="1" applyFill="1" applyAlignment="1">
      <alignment horizontal="center" vertical="center"/>
    </xf>
    <xf numFmtId="0" fontId="10" fillId="2" borderId="1" xfId="91" applyFont="1" applyFill="1" applyBorder="1" applyAlignment="1">
      <alignment horizontal="center" wrapText="1"/>
    </xf>
    <xf numFmtId="0" fontId="4" fillId="2" borderId="2" xfId="8" applyFont="1" applyFill="1" applyBorder="1" applyAlignment="1">
      <alignment horizontal="center" vertical="center" wrapText="1"/>
    </xf>
    <xf numFmtId="172" fontId="10" fillId="2" borderId="0" xfId="14" applyNumberFormat="1" applyFont="1" applyFill="1" applyBorder="1" applyAlignment="1">
      <alignment horizontal="center" vertical="center"/>
    </xf>
    <xf numFmtId="169" fontId="10" fillId="2" borderId="0" xfId="10" applyNumberFormat="1" applyFont="1" applyFill="1" applyAlignment="1">
      <alignment horizontal="center"/>
    </xf>
    <xf numFmtId="3" fontId="10" fillId="5" borderId="0" xfId="13" applyNumberFormat="1" applyFont="1" applyFill="1" applyAlignment="1">
      <alignment horizontal="center" vertical="center"/>
    </xf>
    <xf numFmtId="0" fontId="10" fillId="2" borderId="0" xfId="10" applyFont="1" applyFill="1" applyAlignment="1">
      <alignment horizontal="center" wrapText="1"/>
    </xf>
    <xf numFmtId="3" fontId="11" fillId="2" borderId="0" xfId="85" applyNumberFormat="1" applyFont="1" applyFill="1" applyAlignment="1">
      <alignment horizontal="center" vertical="center"/>
    </xf>
    <xf numFmtId="171" fontId="10" fillId="2" borderId="0" xfId="3" applyNumberFormat="1" applyFont="1" applyFill="1" applyAlignment="1">
      <alignment horizontal="center" vertical="center"/>
    </xf>
    <xf numFmtId="0" fontId="2" fillId="2" borderId="1" xfId="118" applyFont="1" applyFill="1" applyBorder="1" applyAlignment="1">
      <alignment horizontal="center" vertical="center" wrapText="1"/>
    </xf>
    <xf numFmtId="3" fontId="20" fillId="5" borderId="0" xfId="85" applyNumberFormat="1" applyFont="1" applyFill="1" applyAlignment="1">
      <alignment horizontal="center" vertical="center"/>
    </xf>
    <xf numFmtId="3" fontId="20" fillId="5" borderId="0" xfId="13" applyNumberFormat="1" applyFont="1" applyFill="1" applyAlignment="1">
      <alignment horizontal="center" vertical="center"/>
    </xf>
    <xf numFmtId="170" fontId="10" fillId="2" borderId="0" xfId="3" applyNumberFormat="1" applyFont="1" applyFill="1" applyAlignment="1">
      <alignment horizontal="center" vertical="center"/>
    </xf>
    <xf numFmtId="171" fontId="10" fillId="2" borderId="0" xfId="10" applyNumberFormat="1" applyFont="1" applyFill="1" applyAlignment="1">
      <alignment horizontal="center"/>
    </xf>
    <xf numFmtId="0" fontId="10" fillId="2" borderId="0" xfId="15" applyFont="1" applyFill="1" applyBorder="1" applyAlignment="1">
      <alignment horizontal="left" vertical="center" wrapText="1"/>
    </xf>
    <xf numFmtId="0" fontId="4" fillId="2" borderId="1" xfId="8" applyFont="1" applyFill="1" applyBorder="1" applyAlignment="1">
      <alignment horizontal="center" vertical="center" wrapText="1"/>
    </xf>
    <xf numFmtId="169" fontId="12" fillId="3" borderId="0" xfId="0" applyNumberFormat="1" applyFont="1" applyFill="1" applyAlignment="1">
      <alignment horizontal="center"/>
    </xf>
    <xf numFmtId="3" fontId="10" fillId="2" borderId="1" xfId="85" applyNumberFormat="1" applyFont="1" applyFill="1" applyBorder="1" applyAlignment="1">
      <alignment horizontal="center" vertical="center"/>
    </xf>
    <xf numFmtId="172" fontId="20" fillId="7" borderId="0" xfId="27" applyNumberFormat="1" applyFont="1" applyFill="1" applyBorder="1" applyAlignment="1">
      <alignment horizontal="center" vertical="center"/>
    </xf>
    <xf numFmtId="0" fontId="10" fillId="2" borderId="0" xfId="10" applyFont="1" applyFill="1" applyAlignment="1">
      <alignment horizontal="left" vertical="top" wrapText="1" indent="1"/>
    </xf>
    <xf numFmtId="0" fontId="10" fillId="2" borderId="3" xfId="36" applyFont="1" applyFill="1" applyBorder="1" applyAlignment="1">
      <alignment horizontal="center" wrapText="1"/>
    </xf>
    <xf numFmtId="171" fontId="11" fillId="2" borderId="0" xfId="10" applyNumberFormat="1" applyFont="1" applyFill="1" applyAlignment="1">
      <alignment horizontal="center"/>
    </xf>
    <xf numFmtId="3" fontId="11" fillId="2" borderId="0" xfId="13" applyNumberFormat="1" applyFont="1" applyFill="1" applyAlignment="1">
      <alignment horizontal="center" vertical="center"/>
    </xf>
    <xf numFmtId="168" fontId="7" fillId="3" borderId="0" xfId="0" applyNumberFormat="1" applyFont="1" applyFill="1" applyAlignment="1">
      <alignment horizontal="center"/>
    </xf>
    <xf numFmtId="0" fontId="4" fillId="2" borderId="2" xfId="8" applyFont="1" applyFill="1" applyBorder="1" applyAlignment="1">
      <alignment horizontal="left" vertical="center" wrapText="1"/>
    </xf>
    <xf numFmtId="0" fontId="10" fillId="2" borderId="1" xfId="15" applyFont="1" applyFill="1" applyBorder="1" applyAlignment="1">
      <alignment horizontal="center" vertical="center" wrapText="1"/>
    </xf>
    <xf numFmtId="171" fontId="7" fillId="3" borderId="0" xfId="0" applyNumberFormat="1" applyFont="1" applyFill="1" applyAlignment="1">
      <alignment horizontal="center"/>
    </xf>
    <xf numFmtId="0" fontId="10" fillId="2" borderId="2" xfId="36" applyFont="1" applyFill="1" applyBorder="1" applyAlignment="1">
      <alignment horizontal="center" vertical="center" wrapText="1"/>
    </xf>
    <xf numFmtId="0" fontId="10" fillId="2" borderId="1" xfId="13" applyFont="1" applyFill="1" applyBorder="1" applyAlignment="1">
      <alignment horizontal="center" wrapText="1"/>
    </xf>
    <xf numFmtId="3" fontId="10" fillId="2" borderId="0" xfId="13" applyNumberFormat="1" applyFont="1" applyFill="1" applyAlignment="1">
      <alignment horizontal="center" vertical="center"/>
    </xf>
    <xf numFmtId="172" fontId="21" fillId="5" borderId="0" xfId="14" applyNumberFormat="1" applyFont="1" applyFill="1" applyBorder="1" applyAlignment="1">
      <alignment horizontal="center" vertical="center"/>
    </xf>
    <xf numFmtId="172" fontId="21" fillId="5" borderId="0" xfId="14" applyNumberFormat="1" applyFont="1" applyFill="1" applyBorder="1" applyAlignment="1">
      <alignment horizontal="left" vertical="center"/>
    </xf>
    <xf numFmtId="0" fontId="2" fillId="2" borderId="4" xfId="8" applyFont="1" applyFill="1" applyBorder="1" applyAlignment="1">
      <alignment vertical="center" wrapText="1"/>
    </xf>
    <xf numFmtId="0" fontId="10" fillId="2" borderId="4" xfId="36" applyFont="1" applyFill="1" applyBorder="1" applyAlignment="1">
      <alignment horizontal="left" vertical="top" wrapText="1" indent="1"/>
    </xf>
    <xf numFmtId="3" fontId="10" fillId="2" borderId="0" xfId="85" applyNumberFormat="1" applyFont="1" applyFill="1" applyAlignment="1">
      <alignment horizontal="center" vertical="center"/>
    </xf>
    <xf numFmtId="0" fontId="10" fillId="2" borderId="0" xfId="36" applyFont="1" applyFill="1" applyAlignment="1">
      <alignment horizontal="left" vertical="top" wrapText="1" indent="1"/>
    </xf>
    <xf numFmtId="3" fontId="10" fillId="2" borderId="1" xfId="13" applyNumberFormat="1" applyFont="1" applyFill="1" applyBorder="1" applyAlignment="1">
      <alignment horizontal="center" vertical="center"/>
    </xf>
    <xf numFmtId="174" fontId="21" fillId="5" borderId="0" xfId="13" applyNumberFormat="1" applyFont="1" applyFill="1" applyAlignment="1">
      <alignment horizontal="center" vertical="center"/>
    </xf>
    <xf numFmtId="0" fontId="7" fillId="3" borderId="0" xfId="12" applyFont="1" applyFill="1" applyAlignment="1">
      <alignment horizontal="center"/>
    </xf>
    <xf numFmtId="0" fontId="9" fillId="2" borderId="1" xfId="46" applyFont="1" applyFill="1" applyBorder="1" applyAlignment="1">
      <alignment horizontal="center" vertical="center" wrapText="1"/>
    </xf>
    <xf numFmtId="0" fontId="10" fillId="2" borderId="0" xfId="3" applyFont="1" applyFill="1" applyBorder="1" applyAlignment="1">
      <alignment horizontal="center" vertical="center" wrapText="1"/>
    </xf>
    <xf numFmtId="172" fontId="10" fillId="5" borderId="0" xfId="14" applyNumberFormat="1" applyFont="1" applyFill="1" applyBorder="1" applyAlignment="1">
      <alignment horizontal="left" vertical="center"/>
    </xf>
    <xf numFmtId="172" fontId="7" fillId="7" borderId="0" xfId="27" applyNumberFormat="1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 vertical="center" wrapText="1"/>
    </xf>
    <xf numFmtId="3" fontId="10" fillId="5" borderId="0" xfId="85" applyNumberFormat="1" applyFont="1" applyFill="1" applyAlignment="1">
      <alignment horizontal="center" vertical="center"/>
    </xf>
    <xf numFmtId="172" fontId="10" fillId="2" borderId="0" xfId="14" applyNumberFormat="1" applyFont="1" applyFill="1" applyBorder="1" applyAlignment="1">
      <alignment horizontal="left" vertical="center"/>
    </xf>
    <xf numFmtId="0" fontId="10" fillId="2" borderId="1" xfId="3" applyFont="1" applyFill="1" applyBorder="1" applyAlignment="1">
      <alignment horizontal="center" vertical="center" wrapText="1"/>
    </xf>
    <xf numFmtId="172" fontId="10" fillId="2" borderId="1" xfId="14" applyNumberFormat="1" applyFont="1" applyFill="1" applyBorder="1" applyAlignment="1">
      <alignment horizontal="left" vertical="center"/>
    </xf>
    <xf numFmtId="172" fontId="20" fillId="5" borderId="0" xfId="14" applyNumberFormat="1" applyFont="1" applyFill="1" applyBorder="1" applyAlignment="1">
      <alignment vertical="center"/>
    </xf>
    <xf numFmtId="172" fontId="20" fillId="5" borderId="0" xfId="14" applyNumberFormat="1" applyFont="1" applyFill="1" applyBorder="1" applyAlignment="1">
      <alignment horizontal="right" vertical="center"/>
    </xf>
    <xf numFmtId="0" fontId="4" fillId="2" borderId="0" xfId="3" applyFont="1" applyFill="1" applyAlignment="1">
      <alignment horizontal="left" vertical="center" wrapText="1"/>
    </xf>
    <xf numFmtId="0" fontId="11" fillId="2" borderId="0" xfId="36" applyFont="1" applyFill="1" applyAlignment="1">
      <alignment horizontal="left" vertical="top" wrapText="1"/>
    </xf>
    <xf numFmtId="3" fontId="20" fillId="5" borderId="0" xfId="89" applyNumberFormat="1" applyFont="1" applyFill="1" applyAlignment="1">
      <alignment horizontal="right" vertical="center"/>
    </xf>
    <xf numFmtId="172" fontId="21" fillId="7" borderId="0" xfId="27" applyNumberFormat="1" applyFont="1" applyFill="1" applyBorder="1" applyAlignment="1">
      <alignment horizontal="right" vertical="center"/>
    </xf>
    <xf numFmtId="172" fontId="10" fillId="2" borderId="4" xfId="27" applyNumberFormat="1" applyFont="1" applyFill="1" applyBorder="1" applyAlignment="1">
      <alignment horizontal="center" vertical="center"/>
    </xf>
    <xf numFmtId="172" fontId="10" fillId="2" borderId="1" xfId="14" applyNumberFormat="1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172" fontId="10" fillId="7" borderId="0" xfId="27" applyNumberFormat="1" applyFont="1" applyFill="1" applyAlignment="1">
      <alignment horizontal="center" vertical="center"/>
    </xf>
    <xf numFmtId="165" fontId="20" fillId="5" borderId="0" xfId="35" applyNumberFormat="1" applyFont="1" applyFill="1" applyAlignment="1">
      <alignment horizontal="center" vertical="center"/>
    </xf>
    <xf numFmtId="0" fontId="10" fillId="2" borderId="3" xfId="36" applyFont="1" applyFill="1" applyBorder="1" applyAlignment="1">
      <alignment horizontal="center" wrapText="1"/>
    </xf>
    <xf numFmtId="0" fontId="21" fillId="7" borderId="0" xfId="0" applyFont="1" applyFill="1" applyAlignment="1">
      <alignment horizontal="center"/>
    </xf>
    <xf numFmtId="0" fontId="4" fillId="2" borderId="0" xfId="6" applyFont="1" applyFill="1" applyBorder="1" applyAlignment="1">
      <alignment horizontal="left" vertical="center" wrapText="1"/>
    </xf>
    <xf numFmtId="3" fontId="10" fillId="2" borderId="1" xfId="91" applyNumberFormat="1" applyFont="1" applyFill="1" applyBorder="1" applyAlignment="1">
      <alignment horizontal="center" vertical="center"/>
    </xf>
    <xf numFmtId="0" fontId="20" fillId="7" borderId="0" xfId="36" applyFont="1" applyFill="1" applyAlignment="1">
      <alignment vertical="center" wrapText="1"/>
    </xf>
    <xf numFmtId="0" fontId="10" fillId="2" borderId="1" xfId="36" applyFont="1" applyFill="1" applyBorder="1" applyAlignment="1">
      <alignment horizontal="center" vertical="center" wrapText="1"/>
    </xf>
    <xf numFmtId="0" fontId="20" fillId="7" borderId="0" xfId="0" applyFont="1" applyFill="1"/>
    <xf numFmtId="172" fontId="20" fillId="7" borderId="0" xfId="27" applyNumberFormat="1" applyFont="1" applyFill="1" applyBorder="1" applyAlignment="1">
      <alignment horizontal="right" vertical="center"/>
    </xf>
    <xf numFmtId="0" fontId="10" fillId="2" borderId="0" xfId="36" applyFont="1" applyFill="1" applyAlignment="1">
      <alignment horizontal="left" vertical="center" wrapText="1"/>
    </xf>
    <xf numFmtId="165" fontId="11" fillId="2" borderId="0" xfId="36" applyNumberFormat="1" applyFont="1" applyFill="1" applyAlignment="1">
      <alignment horizontal="left" vertical="center"/>
    </xf>
    <xf numFmtId="3" fontId="10" fillId="5" borderId="0" xfId="91" applyNumberFormat="1" applyFont="1" applyFill="1" applyAlignment="1">
      <alignment horizontal="center" vertical="center"/>
    </xf>
    <xf numFmtId="3" fontId="20" fillId="5" borderId="0" xfId="90" applyNumberFormat="1" applyFont="1" applyFill="1" applyAlignment="1">
      <alignment horizontal="center" vertical="center"/>
    </xf>
    <xf numFmtId="3" fontId="20" fillId="5" borderId="0" xfId="90" applyNumberFormat="1" applyFont="1" applyFill="1" applyAlignment="1">
      <alignment horizontal="right" vertical="center"/>
    </xf>
    <xf numFmtId="172" fontId="21" fillId="7" borderId="0" xfId="27" applyNumberFormat="1" applyFont="1" applyFill="1" applyBorder="1" applyAlignment="1">
      <alignment horizontal="center" vertical="center"/>
    </xf>
    <xf numFmtId="0" fontId="9" fillId="2" borderId="4" xfId="46" applyFont="1" applyFill="1" applyBorder="1" applyAlignment="1">
      <alignment horizontal="center" vertical="center" wrapText="1"/>
    </xf>
    <xf numFmtId="0" fontId="7" fillId="2" borderId="0" xfId="21" applyFont="1" applyFill="1" applyBorder="1" applyAlignment="1">
      <alignment horizontal="center" wrapText="1"/>
    </xf>
    <xf numFmtId="0" fontId="12" fillId="4" borderId="0" xfId="0" applyFont="1" applyFill="1"/>
    <xf numFmtId="174" fontId="20" fillId="5" borderId="0" xfId="0" applyNumberFormat="1" applyFont="1" applyFill="1"/>
    <xf numFmtId="0" fontId="4" fillId="2" borderId="6" xfId="6" applyFont="1" applyFill="1" applyBorder="1" applyAlignment="1">
      <alignment horizontal="left" vertical="center" wrapText="1"/>
    </xf>
    <xf numFmtId="172" fontId="22" fillId="2" borderId="0" xfId="27" applyNumberFormat="1" applyFont="1" applyFill="1" applyBorder="1" applyAlignment="1">
      <alignment horizontal="center"/>
    </xf>
    <xf numFmtId="0" fontId="20" fillId="5" borderId="0" xfId="90" applyFont="1" applyFill="1" applyAlignment="1">
      <alignment vertical="top" wrapText="1"/>
    </xf>
    <xf numFmtId="1" fontId="10" fillId="2" borderId="0" xfId="27" applyNumberFormat="1" applyFont="1" applyFill="1" applyBorder="1" applyAlignment="1">
      <alignment horizontal="center" vertical="center"/>
    </xf>
    <xf numFmtId="0" fontId="17" fillId="2" borderId="0" xfId="21" applyFont="1" applyFill="1" applyBorder="1" applyAlignment="1">
      <alignment horizontal="center" vertical="center" wrapText="1"/>
    </xf>
    <xf numFmtId="0" fontId="2" fillId="2" borderId="4" xfId="11" applyFont="1" applyFill="1" applyBorder="1" applyAlignment="1">
      <alignment horizontal="center" wrapText="1"/>
    </xf>
    <xf numFmtId="0" fontId="7" fillId="2" borderId="0" xfId="21" applyFont="1" applyFill="1" applyBorder="1" applyAlignment="1">
      <alignment horizontal="center" vertical="center" wrapText="1"/>
    </xf>
    <xf numFmtId="3" fontId="20" fillId="5" borderId="0" xfId="89" applyNumberFormat="1" applyFont="1" applyFill="1" applyAlignment="1">
      <alignment horizontal="center" vertical="center"/>
    </xf>
    <xf numFmtId="0" fontId="7" fillId="2" borderId="1" xfId="21" applyFont="1" applyFill="1" applyBorder="1" applyAlignment="1">
      <alignment horizontal="center" wrapText="1"/>
    </xf>
    <xf numFmtId="3" fontId="11" fillId="2" borderId="0" xfId="91" applyNumberFormat="1" applyFont="1" applyFill="1" applyAlignment="1">
      <alignment horizontal="center" vertical="center"/>
    </xf>
    <xf numFmtId="0" fontId="10" fillId="2" borderId="0" xfId="23" applyFont="1" applyFill="1" applyBorder="1" applyAlignment="1">
      <alignment horizontal="center" vertical="center" wrapText="1"/>
    </xf>
    <xf numFmtId="0" fontId="4" fillId="2" borderId="14" xfId="40" applyFont="1" applyFill="1" applyBorder="1" applyAlignment="1">
      <alignment horizontal="center" vertical="center" wrapText="1"/>
    </xf>
  </cellXfs>
  <cellStyles count="119">
    <cellStyle name="Comma 2" xfId="14" xr:uid="{1E461CD6-F6E8-4737-8987-B00B18FD3DFA}"/>
    <cellStyle name="Normal" xfId="0" builtinId="0"/>
    <cellStyle name="Normal 14" xfId="2" xr:uid="{B2C98737-6185-4EC2-A13A-AB99B5BE9EB6}"/>
    <cellStyle name="Normal 2" xfId="12" xr:uid="{17665C79-0739-4309-BD2F-FB0E68FB005E}"/>
    <cellStyle name="Normal 2 2" xfId="99" xr:uid="{19C53EDF-5AD3-46DB-BDC1-01E0E5A36D4C}"/>
    <cellStyle name="Normal 2 3" xfId="38" xr:uid="{5B2C73CB-DDAC-40E9-B8D8-9F1B4B638FFC}"/>
    <cellStyle name="Normal 2 4" xfId="68" xr:uid="{2AE2F0B5-DAAF-44DD-89F0-0C9D4C49AFA5}"/>
    <cellStyle name="Normal 22" xfId="81" xr:uid="{5F56F058-3FA5-4DC7-8A59-E7B46A90CE71}"/>
    <cellStyle name="Normal_Folha1 2" xfId="3" xr:uid="{E51B0527-75A0-47D4-84AF-4AF35213EB17}"/>
    <cellStyle name="Normal_Folha10" xfId="53" xr:uid="{796214D5-6623-48AF-B1DE-7C36F2087B5C}"/>
    <cellStyle name="Normal_Folha10 2" xfId="69" xr:uid="{5F1E94D4-7211-4ED5-A22E-975C05F6FCCC}"/>
    <cellStyle name="Normal_Folha11" xfId="55" xr:uid="{F7B2BA9F-99EF-4D1D-B2B5-C26A3BCA57CF}"/>
    <cellStyle name="Normal_Folha11 2" xfId="80" xr:uid="{2ADDCEBC-EFBE-4D28-A45E-8C63C165847D}"/>
    <cellStyle name="Normal_Folha12" xfId="57" xr:uid="{19FBD21B-6691-42D0-9C09-88CB89B092F1}"/>
    <cellStyle name="Normal_Folha12 2" xfId="79" xr:uid="{D604FEAE-E13E-4415-A061-203122EC07AA}"/>
    <cellStyle name="Normal_Folha13" xfId="58" xr:uid="{8D1FFE7C-7BD4-43D1-8E91-921AD78006C4}"/>
    <cellStyle name="Normal_Folha13 2" xfId="82" xr:uid="{F8CE5064-5562-4121-BD27-4B0B411E7CAF}"/>
    <cellStyle name="Normal_Folha14" xfId="83" xr:uid="{43107E6C-09C5-49E3-A76D-A0EBD73A4F35}"/>
    <cellStyle name="Normal_Folha15" xfId="59" xr:uid="{4A6D9F4D-3CF8-4270-B02A-A453831F9293}"/>
    <cellStyle name="Normal_Folha15 2" xfId="84" xr:uid="{935281D5-8A5B-4172-8414-1189CDA9EF39}"/>
    <cellStyle name="Normal_Folha16" xfId="62" xr:uid="{F8033FB8-EA0D-4587-A9F1-5919928B01BF}"/>
    <cellStyle name="Normal_Folha17" xfId="63" xr:uid="{799DF561-1A40-43A4-8EE6-128C8C2DE376}"/>
    <cellStyle name="Normal_Folha18" xfId="64" xr:uid="{2EFAA6A6-B289-421D-A870-2633962D0600}"/>
    <cellStyle name="Normal_Folha19" xfId="65" xr:uid="{6E8A5252-5ED4-4E8F-BCE8-E8E0927DA681}"/>
    <cellStyle name="Normal_Folha19 2" xfId="67" xr:uid="{0FEDE505-E130-489C-A17E-BC80D1A2D9A0}"/>
    <cellStyle name="Normal_Folha2 2" xfId="6" xr:uid="{A6D0A266-872E-443E-B8DA-3F80695BC3FF}"/>
    <cellStyle name="Normal_Folha20" xfId="66" xr:uid="{8DDF1FB7-A7CF-4C3F-A3BE-4D174A50954D}"/>
    <cellStyle name="Normal_Folha21" xfId="61" xr:uid="{F5985918-8254-4CF6-99FC-4EFFCEB873EF}"/>
    <cellStyle name="Normal_Folha3" xfId="40" xr:uid="{247FC53C-DF68-4899-B9FD-62DE430984EF}"/>
    <cellStyle name="Normal_Folha3 2" xfId="70" xr:uid="{D90932B8-BC7B-4193-9E7D-9A8D27A28EC9}"/>
    <cellStyle name="Normal_Folha4" xfId="42" xr:uid="{D653B7AE-2972-4E00-A85E-6620B982166D}"/>
    <cellStyle name="Normal_Folha4 2" xfId="71" xr:uid="{A263B3E0-902C-4A25-B251-5637B57573A2}"/>
    <cellStyle name="Normal_Folha5" xfId="44" xr:uid="{7756700E-00A6-419D-848F-B56102D10888}"/>
    <cellStyle name="Normal_Folha5 2" xfId="72" xr:uid="{0C829976-E45A-4337-A082-0EBCB153B93A}"/>
    <cellStyle name="Normal_Folha6" xfId="46" xr:uid="{C6FA3823-AD0C-4B84-BCEA-024142E9F9F4}"/>
    <cellStyle name="Normal_Folha6 2" xfId="73" xr:uid="{E424546D-9A82-44C5-A222-E6C0346820F4}"/>
    <cellStyle name="Normal_Folha7" xfId="48" xr:uid="{F9AFAFC4-DC37-498F-8FC0-F2AD3E25349A}"/>
    <cellStyle name="Normal_Folha7 2" xfId="76" xr:uid="{6873B021-2930-41E8-9F25-7EFC21676834}"/>
    <cellStyle name="Normal_Folha8" xfId="50" xr:uid="{E8D65852-62E8-440C-AEB5-EC02AA17DD72}"/>
    <cellStyle name="Normal_Folha8 2" xfId="77" xr:uid="{F792C18D-7605-4B5E-B851-F6F7D8536DF2}"/>
    <cellStyle name="Normal_Folha9" xfId="51" xr:uid="{E46B4589-1EF9-4F45-8253-4F7BF73DEA0F}"/>
    <cellStyle name="Normal_Folha9 2" xfId="78" xr:uid="{0F18F361-232A-4740-B0D7-F23EF051E14F}"/>
    <cellStyle name="Normal_GAZA1" xfId="108" xr:uid="{4C24B1D9-4E64-47D4-BF2E-3A1524DB3216}"/>
    <cellStyle name="Normal_gp_idade2" xfId="7" xr:uid="{61FF39D8-7BE1-4B89-811A-5701CD53C6A3}"/>
    <cellStyle name="Normal_Pop_Bilhete _Identidade1" xfId="118" xr:uid="{84A9F4D5-A65F-48E6-AF2C-1CB7DFBB404F}"/>
    <cellStyle name="Normal_Q 6.1" xfId="23" xr:uid="{801B4DFA-F9DA-42B7-9798-65E14A9CEB98}"/>
    <cellStyle name="Normal_Q 6.1_1" xfId="91" xr:uid="{0A4893D4-D693-479E-AB2B-A51470438ED8}"/>
    <cellStyle name="Normal_Q 6.2" xfId="24" xr:uid="{172EA2BC-B545-4B86-84F6-CC19643990CB}"/>
    <cellStyle name="Normal_Q 6.2_1" xfId="92" xr:uid="{731DAA63-7178-466C-8C89-1F16ADC3B83C}"/>
    <cellStyle name="Normal_Q1" xfId="1" xr:uid="{CDF77C07-4583-454C-995A-F0D328EC20AD}"/>
    <cellStyle name="Normal_Q1.7" xfId="8" xr:uid="{CCB29E7F-810F-46A7-A350-B84D4664CCBA}"/>
    <cellStyle name="Normal_Q1.9" xfId="10" xr:uid="{2C0EF290-950F-467E-9F8C-0707E2FD4CFA}"/>
    <cellStyle name="Normal_Q2.1" xfId="13" xr:uid="{493AA358-98F3-40AF-A22C-6021A532F09A}"/>
    <cellStyle name="Normal_Q3.1_2" xfId="85" xr:uid="{0889DA01-3A57-45F7-92DB-AC09F6933D1B}"/>
    <cellStyle name="Normal_Q3.2" xfId="15" xr:uid="{4A916B66-C22F-4894-B8F3-7335961989B8}"/>
    <cellStyle name="Normal_Q3.2_1" xfId="16" xr:uid="{26D0D177-6CEA-4518-BC67-930B03564D77}"/>
    <cellStyle name="Normal_Q3.2_2" xfId="86" xr:uid="{98A87C02-FA74-4AAD-8B0F-A01581E4BDE2}"/>
    <cellStyle name="Normal_Q3.3" xfId="17" xr:uid="{AD4ECF28-5B8B-48FD-9DC2-A92DBA132BE0}"/>
    <cellStyle name="Normal_Q3.3_2" xfId="87" xr:uid="{94F62326-D09A-4F6D-AA51-337BD4F0413D}"/>
    <cellStyle name="Normal_Q3.4" xfId="18" xr:uid="{4DFBE7AE-1A36-42C5-98C0-366DF631ECDF}"/>
    <cellStyle name="Normal_Q3.4_2" xfId="88" xr:uid="{868383F0-8112-40B4-A6A9-C5D289F30811}"/>
    <cellStyle name="Normal_Q5.1" xfId="20" xr:uid="{035599F3-58EA-4229-AC9E-B7F2BB6B519E}"/>
    <cellStyle name="Normal_Q5.1_1" xfId="19" xr:uid="{14191F6F-2F45-40D0-8B17-464D738FF5CA}"/>
    <cellStyle name="Normal_Q5.1_2" xfId="89" xr:uid="{99C6BECF-7084-4F9F-80C4-45161664A260}"/>
    <cellStyle name="Normal_Q5.2" xfId="22" xr:uid="{8FE23BE7-7541-45F4-8C39-8AEB928F64F4}"/>
    <cellStyle name="Normal_Q5.2.2_1" xfId="90" xr:uid="{5C364858-7FFB-4DB6-9E88-9D582138BE29}"/>
    <cellStyle name="Normal_Q8.10" xfId="105" xr:uid="{5501E5EF-6774-4BD5-9BA1-C0A60B1EED0D}"/>
    <cellStyle name="Normal_Q8.12" xfId="116" xr:uid="{6E553DDA-AABD-458A-81FB-CA6DD6550B56}"/>
    <cellStyle name="Normal_Q8.14" xfId="106" xr:uid="{E7483CE5-0185-423A-9DEB-FCA34C34C0CE}"/>
    <cellStyle name="Normal_Q8.15" xfId="107" xr:uid="{D299CA5C-36DE-4489-A9E4-5FA17F63C22D}"/>
    <cellStyle name="Normal_Q8.7" xfId="103" xr:uid="{F52D75AD-9301-4251-A8B1-A20B40D5248F}"/>
    <cellStyle name="Normal_Q8.8" xfId="102" xr:uid="{58E385FB-4185-48BA-845F-A3140C6EB4C5}"/>
    <cellStyle name="Normal_Q8.9" xfId="104" xr:uid="{18B4A7AD-1890-4724-9DE9-121ED18803D4}"/>
    <cellStyle name="Normal_Q9.1" xfId="37" xr:uid="{58E7AB77-F76A-4A35-A258-19244E3FBC05}"/>
    <cellStyle name="Normal_Q9.10" xfId="52" xr:uid="{EEB87F9D-1789-4FF5-86E1-7DDB74EDE60D}"/>
    <cellStyle name="Normal_Q9.11" xfId="54" xr:uid="{E7095A1F-24E3-4949-AF65-83D9DD39B9B6}"/>
    <cellStyle name="Normal_Q9.12" xfId="56" xr:uid="{1F2239B5-BF6E-44D7-BF3D-35E9E3FFDCF0}"/>
    <cellStyle name="Normal_Q9.13" xfId="114" xr:uid="{729058D5-CBF5-4A56-BA47-085531E26556}"/>
    <cellStyle name="Normal_Q9.14" xfId="60" xr:uid="{1D8D86B7-7A2C-4100-895C-FFB22A71B474}"/>
    <cellStyle name="Normal_Q9.15" xfId="113" xr:uid="{2F2E3B4A-FD0F-4255-9182-4E7346B1F6AA}"/>
    <cellStyle name="Normal_Q9.16" xfId="112" xr:uid="{E52A4FFE-E80D-48B1-B79B-57A27C7DAF74}"/>
    <cellStyle name="Normal_Q9.17" xfId="111" xr:uid="{32EB752F-D02B-4FEB-836D-97679BCED018}"/>
    <cellStyle name="Normal_Q9.2" xfId="39" xr:uid="{2F6FBFAC-FF25-4E4A-83D4-21635CACD4E4}"/>
    <cellStyle name="Normal_Q9.3" xfId="26" xr:uid="{F36DFFA7-B2BC-4EAD-8A38-BF26FA427EE8}"/>
    <cellStyle name="Normal_Q9.4" xfId="41" xr:uid="{C797FEC5-73C8-47DC-A031-18D927FF4DD8}"/>
    <cellStyle name="Normal_Q9.4_1" xfId="117" xr:uid="{8071A074-4926-4189-AFDC-52311BFA456C}"/>
    <cellStyle name="Normal_Q9.5" xfId="43" xr:uid="{6CE0DFB7-A29F-4530-BED5-25A51548A1C2}"/>
    <cellStyle name="Normal_Q9.6" xfId="45" xr:uid="{D04A6DDB-8799-4F0C-A475-8C482FC4AF0D}"/>
    <cellStyle name="Normal_Q9.7" xfId="47" xr:uid="{697E3BF2-4D1F-4D0D-A66B-79D44D812072}"/>
    <cellStyle name="Normal_Q9.8" xfId="49" xr:uid="{08791A79-AC85-4D09-90C0-23FBE1B0A07D}"/>
    <cellStyle name="Normal_Q9.9" xfId="100" xr:uid="{161B58C0-748C-4B89-977C-3AFB02BCB6DF}"/>
    <cellStyle name="Normal_Q91.9" xfId="110" xr:uid="{2D586F85-C8AC-488C-BE6D-F2FD44D1D5FE}"/>
    <cellStyle name="Normal_Quadro 10.1_1" xfId="28" xr:uid="{67A87E25-7E60-4657-88CC-9F5C24363FC9}"/>
    <cellStyle name="Normal_Quadro 10.2" xfId="29" xr:uid="{70BAA2BC-4442-488D-A82A-EA7AD6AC85B9}"/>
    <cellStyle name="Normal_Quadro 10.3" xfId="30" xr:uid="{D45FE4A2-5DE2-4223-B398-24FDA314A4EB}"/>
    <cellStyle name="Normal_Quadro 10.4" xfId="31" xr:uid="{13888182-3E47-4922-9F48-91C70929273F}"/>
    <cellStyle name="Normal_Quadro 10.5" xfId="32" xr:uid="{15240386-1388-4375-9200-09EDB2B40621}"/>
    <cellStyle name="Normal_Quadro 10.6" xfId="33" xr:uid="{ABDFC689-D1DA-4629-BD5D-FC5C9917539E}"/>
    <cellStyle name="Normal_Quadro 10.7_1" xfId="34" xr:uid="{D387E4FA-E663-42F6-BE6F-A853DBD3051E}"/>
    <cellStyle name="Normal_Quadro 2_1" xfId="4" xr:uid="{06A57BB7-A265-47A7-B9A5-A8DBBCF760B1}"/>
    <cellStyle name="Normal_Quadro 3" xfId="5" xr:uid="{E4B78AEC-051A-4BAC-9E93-596A5ACB0E3A}"/>
    <cellStyle name="Normal_Quadro 4.13A" xfId="94" xr:uid="{C232DD56-22F8-4393-9A13-F6AC8CD1F8B8}"/>
    <cellStyle name="Normal_Quadro 4.14" xfId="95" xr:uid="{8220638A-7C2D-46E7-AC39-EECB1743D0D0}"/>
    <cellStyle name="Normal_Quadro 4.16" xfId="96" xr:uid="{17F7A509-D021-4F0E-8ADF-CA449AFFF8CB}"/>
    <cellStyle name="Normal_Quadro 4.18" xfId="97" xr:uid="{F9F4A452-9B22-4BA3-BDD7-7C92B905F01E}"/>
    <cellStyle name="Normal_Quadro 4.2" xfId="35" xr:uid="{1FB5F3DF-C03A-49BE-B305-A06219CD162F}"/>
    <cellStyle name="Normal_Quadro 4.3" xfId="36" xr:uid="{40780F36-CEEF-44AE-B660-D8E01FAE4082}"/>
    <cellStyle name="Normal_Sheet1" xfId="101" xr:uid="{BA32D52B-FC18-47E4-9C9F-7C29D69DA25C}"/>
    <cellStyle name="Normal_Sheet1 2" xfId="25" xr:uid="{B6B38B25-2A82-44DD-98AC-16F547C97FBA}"/>
    <cellStyle name="Normal_Sheet2" xfId="11" xr:uid="{8ECEAD8D-6FD2-4CB9-9B53-A32D882781DF}"/>
    <cellStyle name="Normal_Sheet2_1" xfId="93" xr:uid="{DA80E2E1-B14D-46C9-833D-6A9725CFAC5E}"/>
    <cellStyle name="Normal_Sheet3" xfId="21" xr:uid="{8CF93EEC-F12C-4F68-92D6-7595FD9386C1}"/>
    <cellStyle name="Normal_Sheet5" xfId="9" xr:uid="{B80FF98E-B713-49C5-AD5B-8B66EC597BC3}"/>
    <cellStyle name="Normal_Sheet6" xfId="74" xr:uid="{AE61038C-E0CE-4F19-B17B-0EE54CE8F1AA}"/>
    <cellStyle name="Normal_Sheet7" xfId="75" xr:uid="{FC31EC7F-8BCA-46E2-A26C-308996DBD70C}"/>
    <cellStyle name="Percentagem 2" xfId="109" xr:uid="{721B2B7A-C5F7-4894-A72F-BCE0344801ED}"/>
    <cellStyle name="Vírgula" xfId="27" builtinId="3"/>
    <cellStyle name="Vírgula 2" xfId="115" xr:uid="{B9965767-6705-4A68-80E6-B618B6880714}"/>
    <cellStyle name="Vírgula 3" xfId="98" xr:uid="{8B421C21-0EC3-4D7E-AA16-5F0946C875A0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family val="2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mruColors>
      <color rgb="FF2B3415"/>
      <color rgb="FF556A2C"/>
      <color rgb="FF943634"/>
      <color rgb="FF7A70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331059</xdr:colOff>
      <xdr:row>44</xdr:row>
      <xdr:rowOff>174228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FA0CCB-68B4-4F78-8EC3-F0A3552C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7459" cy="8556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CED520-DCA2-4154-A6F6-4278856C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0AC38D6-6285-4A8D-934B-5090A97BFA96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2" name="Imagem 15">
          <a:extLst>
            <a:ext uri="{FF2B5EF4-FFF2-40B4-BE49-F238E27FC236}">
              <a16:creationId xmlns:a16="http://schemas.microsoft.com/office/drawing/2014/main" id="{39085648-4A2C-43B2-8F2E-3A3DE473F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3" name="Retângulo 16">
          <a:extLst>
            <a:ext uri="{FF2B5EF4-FFF2-40B4-BE49-F238E27FC236}">
              <a16:creationId xmlns:a16="http://schemas.microsoft.com/office/drawing/2014/main" id="{3A6220E2-975C-460B-B017-85EAEF87DFB3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B66F37A-D95F-446D-919C-A7244CCF6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47625</xdr:rowOff>
    </xdr:from>
    <xdr:to>
      <xdr:col>10</xdr:col>
      <xdr:colOff>435429</xdr:colOff>
      <xdr:row>35</xdr:row>
      <xdr:rowOff>129268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8B61FEAE-FA73-457E-9A0E-19D223DF0DDB}"/>
            </a:ext>
          </a:extLst>
        </xdr:cNvPr>
        <xdr:cNvSpPr/>
      </xdr:nvSpPr>
      <xdr:spPr>
        <a:xfrm>
          <a:off x="0" y="500062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Albinismo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47927E0-772C-4A08-99E8-68EC12BC3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75A3C52B-71E5-48C3-96D1-CAFCD653BA1D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08ED3F2-4326-4A37-AECF-7EAC46467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A5B48785-1B52-4827-8CC7-AD4D5032FAED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75D81E8-D44C-4088-84EC-F974945C4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9DE979-5D4C-4EC8-9D41-E8AF7E8A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1746C66-99A5-43E1-9FB4-7F03FC3928AA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F1BD8A0-9A11-408D-88E9-583648873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96591009-48BE-4C0A-99E3-B4A349F93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A5ED-7FDD-4D8B-BA75-A107880ABEE8}">
  <sheetPr>
    <tabColor rgb="FF2B3415"/>
  </sheetPr>
  <dimension ref="A1"/>
  <sheetViews>
    <sheetView workbookViewId="0">
      <selection activeCell="S28" sqref="S28"/>
    </sheetView>
  </sheetViews>
  <sheetFormatPr defaultRowHeight="15"/>
  <cols>
    <col min="1" max="16384" width="9.140625" style="14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E9DF-4250-47DA-A4D0-0275662F9A68}">
  <sheetPr>
    <tabColor theme="0"/>
  </sheetPr>
  <dimension ref="A1:G180"/>
  <sheetViews>
    <sheetView zoomScale="98" zoomScaleNormal="98" workbookViewId="0">
      <selection activeCell="F9" sqref="F9"/>
    </sheetView>
  </sheetViews>
  <sheetFormatPr defaultColWidth="19.7109375" defaultRowHeight="12"/>
  <cols>
    <col min="1" max="1" width="27" style="2" customWidth="1"/>
    <col min="2" max="3" width="13.28515625" style="1263" customWidth="1"/>
    <col min="4" max="4" width="13.28515625" style="1270" customWidth="1"/>
    <col min="5" max="5" width="7.7109375" style="1" customWidth="1"/>
    <col min="6" max="6" width="11.5703125" style="1" customWidth="1"/>
    <col min="7" max="16384" width="19.7109375" style="1"/>
  </cols>
  <sheetData>
    <row r="1" spans="1:7" ht="25.5" customHeight="1">
      <c r="A1" s="959" t="s">
        <v>472</v>
      </c>
      <c r="B1" s="959"/>
      <c r="C1" s="959"/>
      <c r="D1" s="959"/>
    </row>
    <row r="2" spans="1:7" s="1246" customFormat="1" ht="24" customHeight="1">
      <c r="A2" s="1244" t="s">
        <v>568</v>
      </c>
      <c r="B2" s="1247" t="s">
        <v>0</v>
      </c>
      <c r="C2" s="1247" t="s">
        <v>1</v>
      </c>
      <c r="D2" s="1245" t="s">
        <v>2</v>
      </c>
    </row>
    <row r="3" spans="1:7">
      <c r="A3" s="90" t="s">
        <v>146</v>
      </c>
      <c r="B3" s="1248">
        <v>1523457.302891233</v>
      </c>
      <c r="C3" s="1248">
        <v>747444.65199803223</v>
      </c>
      <c r="D3" s="91">
        <v>776012.65089781804</v>
      </c>
      <c r="E3" s="19"/>
      <c r="F3" s="19"/>
    </row>
    <row r="4" spans="1:7">
      <c r="A4" s="1271"/>
      <c r="B4" s="1272"/>
      <c r="C4" s="1272"/>
      <c r="D4" s="1273"/>
      <c r="E4" s="19"/>
      <c r="F4" s="19"/>
    </row>
    <row r="5" spans="1:7">
      <c r="A5" s="90" t="s">
        <v>3</v>
      </c>
      <c r="B5" s="1248"/>
      <c r="C5" s="1248"/>
      <c r="D5" s="91"/>
      <c r="F5" s="19"/>
    </row>
    <row r="6" spans="1:7">
      <c r="A6" s="92" t="s">
        <v>4</v>
      </c>
      <c r="B6" s="1249">
        <v>1373789.4338926736</v>
      </c>
      <c r="C6" s="1249">
        <v>671517.04379852908</v>
      </c>
      <c r="D6" s="25">
        <v>702272.39009833476</v>
      </c>
      <c r="E6" s="19"/>
    </row>
    <row r="7" spans="1:7">
      <c r="A7" s="92" t="s">
        <v>5</v>
      </c>
      <c r="B7" s="1249">
        <v>149667.86900003566</v>
      </c>
      <c r="C7" s="1249">
        <v>75927.608200008108</v>
      </c>
      <c r="D7" s="25">
        <v>73740.260800007673</v>
      </c>
    </row>
    <row r="8" spans="1:7">
      <c r="A8" s="93" t="s">
        <v>142</v>
      </c>
      <c r="B8" s="1248"/>
      <c r="C8" s="1248"/>
      <c r="D8" s="91"/>
    </row>
    <row r="9" spans="1:7" ht="13.5" customHeight="1">
      <c r="A9" s="484" t="s">
        <v>148</v>
      </c>
      <c r="B9" s="1250">
        <v>67172.710100012831</v>
      </c>
      <c r="C9" s="1250">
        <v>33534.292600001419</v>
      </c>
      <c r="D9" s="485">
        <v>33638.417500002077</v>
      </c>
      <c r="E9" s="20"/>
      <c r="F9" s="508"/>
      <c r="G9" s="19"/>
    </row>
    <row r="10" spans="1:7" ht="13.5" customHeight="1">
      <c r="A10" s="101" t="s">
        <v>148</v>
      </c>
      <c r="B10" s="1251">
        <v>23828.017499999733</v>
      </c>
      <c r="C10" s="1251">
        <v>11870.628499999339</v>
      </c>
      <c r="D10" s="486">
        <v>11957.388999999353</v>
      </c>
      <c r="E10" s="20"/>
    </row>
    <row r="11" spans="1:7" ht="13.5" customHeight="1">
      <c r="A11" s="101" t="s">
        <v>149</v>
      </c>
      <c r="B11" s="1251">
        <v>24592.758700001028</v>
      </c>
      <c r="C11" s="1251">
        <v>12040.715299999611</v>
      </c>
      <c r="D11" s="486">
        <v>12552.043399999853</v>
      </c>
      <c r="E11" s="20"/>
    </row>
    <row r="12" spans="1:7" ht="13.5" customHeight="1">
      <c r="A12" s="101" t="s">
        <v>150</v>
      </c>
      <c r="B12" s="1251">
        <v>7824.3026999995591</v>
      </c>
      <c r="C12" s="1251">
        <v>4093.2547999999606</v>
      </c>
      <c r="D12" s="486">
        <v>3731.0478999999686</v>
      </c>
      <c r="E12" s="20"/>
      <c r="F12" s="19"/>
    </row>
    <row r="13" spans="1:7" ht="13.5" customHeight="1">
      <c r="A13" s="101" t="s">
        <v>151</v>
      </c>
      <c r="B13" s="1251">
        <v>10927.631199999607</v>
      </c>
      <c r="C13" s="1251">
        <v>5529.693999999784</v>
      </c>
      <c r="D13" s="486">
        <v>5397.9371999998057</v>
      </c>
      <c r="E13" s="20"/>
    </row>
    <row r="14" spans="1:7" ht="13.5" customHeight="1">
      <c r="A14" s="484" t="s">
        <v>152</v>
      </c>
      <c r="B14" s="1252">
        <v>30475.572400000252</v>
      </c>
      <c r="C14" s="1252">
        <v>15771.722999999047</v>
      </c>
      <c r="D14" s="26">
        <v>14703.84939999923</v>
      </c>
      <c r="E14" s="21"/>
    </row>
    <row r="15" spans="1:7" ht="13.5" customHeight="1">
      <c r="A15" s="101" t="s">
        <v>153</v>
      </c>
      <c r="B15" s="1249">
        <v>17370.327199999287</v>
      </c>
      <c r="C15" s="1249">
        <v>9006.5456999994094</v>
      </c>
      <c r="D15" s="25">
        <v>8363.7814999994516</v>
      </c>
      <c r="E15" s="21"/>
    </row>
    <row r="16" spans="1:7" ht="13.5" customHeight="1">
      <c r="A16" s="101" t="s">
        <v>154</v>
      </c>
      <c r="B16" s="1249">
        <v>1980.7415000000008</v>
      </c>
      <c r="C16" s="1249">
        <v>1105.8107000000045</v>
      </c>
      <c r="D16" s="25">
        <v>874.93080000000339</v>
      </c>
      <c r="E16" s="21"/>
    </row>
    <row r="17" spans="1:5" ht="13.5" customHeight="1">
      <c r="A17" s="101" t="s">
        <v>155</v>
      </c>
      <c r="B17" s="1249">
        <v>5029.6588999998758</v>
      </c>
      <c r="C17" s="1249">
        <v>2560.5951999999925</v>
      </c>
      <c r="D17" s="25">
        <v>2469.0636999999874</v>
      </c>
      <c r="E17" s="21"/>
    </row>
    <row r="18" spans="1:5" ht="13.5" customHeight="1">
      <c r="A18" s="101" t="s">
        <v>156</v>
      </c>
      <c r="B18" s="1249">
        <v>6094.8447999997561</v>
      </c>
      <c r="C18" s="1249">
        <v>3098.7713999999851</v>
      </c>
      <c r="D18" s="25">
        <v>2996.073399999982</v>
      </c>
      <c r="E18" s="21"/>
    </row>
    <row r="19" spans="1:5" ht="13.5" customHeight="1">
      <c r="A19" s="484" t="s">
        <v>157</v>
      </c>
      <c r="B19" s="1252">
        <f>+B20+B21+B22</f>
        <v>608623.14910005499</v>
      </c>
      <c r="C19" s="1252">
        <f t="shared" ref="C19:D19" si="0">+C20+C21+C22</f>
        <v>300619.79250014166</v>
      </c>
      <c r="D19" s="26">
        <f t="shared" si="0"/>
        <v>308003.35660015419</v>
      </c>
      <c r="E19" s="20"/>
    </row>
    <row r="20" spans="1:5" ht="13.5" customHeight="1">
      <c r="A20" s="101" t="s">
        <v>157</v>
      </c>
      <c r="B20" s="1249">
        <v>352282.74590001535</v>
      </c>
      <c r="C20" s="1249">
        <v>173241.99420012036</v>
      </c>
      <c r="D20" s="25">
        <v>179040.75170013277</v>
      </c>
      <c r="E20" s="20"/>
    </row>
    <row r="21" spans="1:5" ht="13.5" customHeight="1">
      <c r="A21" s="101" t="s">
        <v>158</v>
      </c>
      <c r="B21" s="1249">
        <v>105553.13849999523</v>
      </c>
      <c r="C21" s="1249">
        <v>52656.122500009493</v>
      </c>
      <c r="D21" s="25">
        <v>52897.01600001003</v>
      </c>
      <c r="E21" s="20"/>
    </row>
    <row r="22" spans="1:5" ht="13.5" customHeight="1">
      <c r="A22" s="101" t="s">
        <v>159</v>
      </c>
      <c r="B22" s="1249">
        <v>150787.26470004438</v>
      </c>
      <c r="C22" s="1249">
        <v>74721.675800011843</v>
      </c>
      <c r="D22" s="25">
        <v>76065.588900011397</v>
      </c>
      <c r="E22" s="20"/>
    </row>
    <row r="23" spans="1:5" ht="13.5" customHeight="1">
      <c r="A23" s="484" t="s">
        <v>160</v>
      </c>
      <c r="B23" s="1253">
        <v>652269.52909872704</v>
      </c>
      <c r="C23" s="1253">
        <v>314749.03950019169</v>
      </c>
      <c r="D23" s="1264">
        <v>337520.4896000892</v>
      </c>
      <c r="E23" s="20"/>
    </row>
    <row r="24" spans="1:5" ht="13.5" customHeight="1">
      <c r="A24" s="101" t="s">
        <v>160</v>
      </c>
      <c r="B24" s="1254">
        <v>652269.52909872704</v>
      </c>
      <c r="C24" s="1254">
        <v>314749.03950019169</v>
      </c>
      <c r="D24" s="1265">
        <v>337520.4896000892</v>
      </c>
      <c r="E24" s="20"/>
    </row>
    <row r="25" spans="1:5" ht="13.5" customHeight="1">
      <c r="A25" s="484" t="s">
        <v>161</v>
      </c>
      <c r="B25" s="1252">
        <v>23088.891099999786</v>
      </c>
      <c r="C25" s="1252">
        <v>11634.071599999303</v>
      </c>
      <c r="D25" s="26">
        <v>11454.819499999288</v>
      </c>
      <c r="E25" s="20"/>
    </row>
    <row r="26" spans="1:5" ht="13.5" customHeight="1">
      <c r="A26" s="101" t="s">
        <v>161</v>
      </c>
      <c r="B26" s="1249">
        <v>23088.891099999786</v>
      </c>
      <c r="C26" s="1249">
        <v>11634.071599999303</v>
      </c>
      <c r="D26" s="25">
        <v>11454.819499999288</v>
      </c>
      <c r="E26" s="20"/>
    </row>
    <row r="27" spans="1:5" ht="13.5" customHeight="1">
      <c r="A27" s="484" t="s">
        <v>162</v>
      </c>
      <c r="B27" s="1252">
        <v>35371.509800000895</v>
      </c>
      <c r="C27" s="1252">
        <v>17331.645499999173</v>
      </c>
      <c r="D27" s="26">
        <v>18039.864299999324</v>
      </c>
      <c r="E27" s="20"/>
    </row>
    <row r="28" spans="1:5" ht="13.5" customHeight="1">
      <c r="A28" s="101" t="s">
        <v>162</v>
      </c>
      <c r="B28" s="1249">
        <v>35371.509800000895</v>
      </c>
      <c r="C28" s="1249">
        <v>17331.645499999173</v>
      </c>
      <c r="D28" s="25">
        <v>18039.864299999324</v>
      </c>
      <c r="E28" s="20"/>
    </row>
    <row r="29" spans="1:5" ht="13.5" customHeight="1">
      <c r="A29" s="484" t="s">
        <v>163</v>
      </c>
      <c r="B29" s="1252">
        <v>106455.94129998244</v>
      </c>
      <c r="C29" s="1252">
        <v>53804.087300013642</v>
      </c>
      <c r="D29" s="26">
        <v>52651.854000012834</v>
      </c>
      <c r="E29" s="20"/>
    </row>
    <row r="30" spans="1:5" ht="13.5" customHeight="1">
      <c r="A30" s="101" t="s">
        <v>163</v>
      </c>
      <c r="B30" s="1249">
        <v>106455.94129998244</v>
      </c>
      <c r="C30" s="1249">
        <v>53804.087300013642</v>
      </c>
      <c r="D30" s="25">
        <v>52651.854000012834</v>
      </c>
      <c r="E30" s="20"/>
    </row>
    <row r="31" spans="1:5" ht="13.5" customHeight="1">
      <c r="A31" s="487"/>
      <c r="B31" s="1255"/>
      <c r="C31" s="1255"/>
      <c r="D31" s="41"/>
      <c r="E31" s="20"/>
    </row>
    <row r="32" spans="1:5" ht="13.5" customHeight="1">
      <c r="A32" s="488"/>
      <c r="B32" s="1256"/>
      <c r="C32" s="1256"/>
      <c r="D32" s="42"/>
      <c r="E32" s="20"/>
    </row>
    <row r="33" spans="1:5" ht="13.5" customHeight="1">
      <c r="A33" s="488"/>
      <c r="B33" s="1256"/>
      <c r="C33" s="1256"/>
      <c r="D33" s="42"/>
      <c r="E33" s="20"/>
    </row>
    <row r="34" spans="1:5" ht="13.5" customHeight="1">
      <c r="A34" s="488"/>
      <c r="B34" s="1256"/>
      <c r="C34" s="1256"/>
      <c r="D34" s="42"/>
      <c r="E34" s="20"/>
    </row>
    <row r="35" spans="1:5" ht="13.5" customHeight="1">
      <c r="A35" s="487"/>
      <c r="B35" s="1255"/>
      <c r="C35" s="1255"/>
      <c r="D35" s="41"/>
      <c r="E35" s="20"/>
    </row>
    <row r="36" spans="1:5" ht="13.5" customHeight="1">
      <c r="A36" s="489"/>
      <c r="B36" s="1256"/>
      <c r="C36" s="1256"/>
      <c r="D36" s="42"/>
      <c r="E36" s="20"/>
    </row>
    <row r="37" spans="1:5" ht="13.5" customHeight="1">
      <c r="A37" s="489"/>
      <c r="B37" s="1256"/>
      <c r="C37" s="1256"/>
      <c r="D37" s="42"/>
      <c r="E37" s="20"/>
    </row>
    <row r="38" spans="1:5" ht="13.5" customHeight="1">
      <c r="A38" s="487"/>
      <c r="B38" s="1255"/>
      <c r="C38" s="1255"/>
      <c r="D38" s="41"/>
      <c r="E38" s="20"/>
    </row>
    <row r="39" spans="1:5" ht="13.5" customHeight="1">
      <c r="A39" s="488"/>
      <c r="B39" s="1256"/>
      <c r="C39" s="1256"/>
      <c r="D39" s="42"/>
      <c r="E39" s="20"/>
    </row>
    <row r="40" spans="1:5" ht="13.5" customHeight="1">
      <c r="A40" s="488"/>
      <c r="B40" s="1256"/>
      <c r="C40" s="1256"/>
      <c r="D40" s="42"/>
      <c r="E40" s="20"/>
    </row>
    <row r="41" spans="1:5" ht="13.5" customHeight="1">
      <c r="A41" s="488"/>
      <c r="B41" s="1256"/>
      <c r="C41" s="1256"/>
      <c r="D41" s="42"/>
      <c r="E41" s="20"/>
    </row>
    <row r="42" spans="1:5" ht="13.5" customHeight="1">
      <c r="A42" s="487"/>
      <c r="B42" s="1255"/>
      <c r="C42" s="1255"/>
      <c r="D42" s="41"/>
      <c r="E42" s="20"/>
    </row>
    <row r="43" spans="1:5" ht="13.5" customHeight="1">
      <c r="A43" s="488"/>
      <c r="B43" s="1256"/>
      <c r="C43" s="1256"/>
      <c r="D43" s="42"/>
      <c r="E43" s="20"/>
    </row>
    <row r="44" spans="1:5" ht="13.5" customHeight="1">
      <c r="A44" s="488"/>
      <c r="B44" s="1256"/>
      <c r="C44" s="1256"/>
      <c r="D44" s="42"/>
      <c r="E44" s="20"/>
    </row>
    <row r="45" spans="1:5" ht="13.5" customHeight="1">
      <c r="A45" s="487"/>
      <c r="B45" s="1255"/>
      <c r="C45" s="1255"/>
      <c r="D45" s="41"/>
      <c r="E45" s="20"/>
    </row>
    <row r="46" spans="1:5" ht="13.5" customHeight="1">
      <c r="A46" s="488"/>
      <c r="B46" s="1256"/>
      <c r="C46" s="1256"/>
      <c r="D46" s="42"/>
      <c r="E46" s="20"/>
    </row>
    <row r="47" spans="1:5" s="15" customFormat="1" ht="13.5" customHeight="1">
      <c r="A47" s="487"/>
      <c r="B47" s="1255"/>
      <c r="C47" s="1255"/>
      <c r="D47" s="41"/>
      <c r="E47" s="20"/>
    </row>
    <row r="48" spans="1:5" s="15" customFormat="1" ht="13.5" customHeight="1">
      <c r="A48" s="488"/>
      <c r="B48" s="1256"/>
      <c r="C48" s="1256"/>
      <c r="D48" s="42"/>
      <c r="E48" s="20"/>
    </row>
    <row r="49" spans="1:5" s="15" customFormat="1" ht="13.5" customHeight="1">
      <c r="A49" s="488"/>
      <c r="B49" s="1256"/>
      <c r="C49" s="1256"/>
      <c r="D49" s="42"/>
      <c r="E49" s="20"/>
    </row>
    <row r="50" spans="1:5" s="15" customFormat="1" ht="13.5" customHeight="1">
      <c r="A50" s="488"/>
      <c r="B50" s="1256"/>
      <c r="C50" s="1256"/>
      <c r="D50" s="42"/>
      <c r="E50" s="20"/>
    </row>
    <row r="51" spans="1:5" s="15" customFormat="1" ht="13.5" customHeight="1">
      <c r="A51" s="487"/>
      <c r="B51" s="1255"/>
      <c r="C51" s="1255"/>
      <c r="D51" s="41"/>
      <c r="E51" s="20"/>
    </row>
    <row r="52" spans="1:5" s="15" customFormat="1" ht="13.5" customHeight="1">
      <c r="A52" s="488"/>
      <c r="B52" s="1256"/>
      <c r="C52" s="1256"/>
      <c r="D52" s="42"/>
      <c r="E52" s="20"/>
    </row>
    <row r="53" spans="1:5" s="15" customFormat="1" ht="13.5" customHeight="1">
      <c r="A53" s="487"/>
      <c r="B53" s="1255"/>
      <c r="C53" s="1255"/>
      <c r="D53" s="41"/>
      <c r="E53" s="20"/>
    </row>
    <row r="54" spans="1:5" s="15" customFormat="1" ht="13.5" customHeight="1">
      <c r="A54" s="488"/>
      <c r="B54" s="1256"/>
      <c r="C54" s="1256"/>
      <c r="D54" s="42"/>
      <c r="E54" s="20"/>
    </row>
    <row r="55" spans="1:5" s="15" customFormat="1" ht="13.5" customHeight="1">
      <c r="A55" s="487"/>
      <c r="B55" s="1255"/>
      <c r="C55" s="1255"/>
      <c r="D55" s="41"/>
      <c r="E55" s="20"/>
    </row>
    <row r="56" spans="1:5" s="15" customFormat="1" ht="13.5" customHeight="1">
      <c r="A56" s="488"/>
      <c r="B56" s="1256"/>
      <c r="C56" s="1256"/>
      <c r="D56" s="42"/>
      <c r="E56" s="20"/>
    </row>
    <row r="57" spans="1:5" s="15" customFormat="1" ht="13.5" customHeight="1">
      <c r="A57" s="487"/>
      <c r="B57" s="1255"/>
      <c r="C57" s="1255"/>
      <c r="D57" s="41"/>
      <c r="E57" s="20"/>
    </row>
    <row r="58" spans="1:5" ht="13.5" customHeight="1">
      <c r="A58" s="29"/>
      <c r="B58" s="1257"/>
      <c r="C58" s="1257"/>
      <c r="D58" s="43"/>
      <c r="E58" s="20"/>
    </row>
    <row r="59" spans="1:5" ht="13.5" customHeight="1">
      <c r="A59" s="29"/>
      <c r="B59" s="1257"/>
      <c r="C59" s="1257"/>
      <c r="D59" s="43"/>
      <c r="E59" s="20"/>
    </row>
    <row r="60" spans="1:5" ht="13.5" customHeight="1">
      <c r="A60" s="27"/>
      <c r="B60" s="1258"/>
      <c r="C60" s="1258"/>
      <c r="D60" s="490"/>
      <c r="E60" s="20"/>
    </row>
    <row r="61" spans="1:5" ht="13.5" customHeight="1">
      <c r="A61" s="29"/>
      <c r="B61" s="1257"/>
      <c r="C61" s="1257"/>
      <c r="D61" s="43"/>
      <c r="E61" s="20"/>
    </row>
    <row r="62" spans="1:5" ht="13.5" customHeight="1">
      <c r="A62" s="29"/>
      <c r="B62" s="1257"/>
      <c r="C62" s="1257"/>
      <c r="D62" s="43"/>
      <c r="E62" s="20"/>
    </row>
    <row r="63" spans="1:5" ht="13.5" customHeight="1">
      <c r="A63" s="27"/>
      <c r="B63" s="1258"/>
      <c r="C63" s="1258"/>
      <c r="D63" s="490"/>
      <c r="E63" s="20"/>
    </row>
    <row r="64" spans="1:5" ht="13.5" customHeight="1">
      <c r="A64" s="29"/>
      <c r="B64" s="1259"/>
      <c r="C64" s="1259"/>
      <c r="D64" s="1266"/>
      <c r="E64" s="20"/>
    </row>
    <row r="65" spans="1:5" ht="13.5" customHeight="1">
      <c r="A65" s="29"/>
      <c r="B65" s="1259"/>
      <c r="C65" s="1259"/>
      <c r="D65" s="1266"/>
      <c r="E65" s="20"/>
    </row>
    <row r="66" spans="1:5" ht="13.5" customHeight="1">
      <c r="A66" s="29"/>
      <c r="B66" s="1259"/>
      <c r="C66" s="1259"/>
      <c r="D66" s="1266"/>
      <c r="E66" s="20"/>
    </row>
    <row r="67" spans="1:5" ht="13.5" customHeight="1">
      <c r="A67" s="27"/>
      <c r="B67" s="1260"/>
      <c r="C67" s="1260"/>
      <c r="D67" s="1267"/>
      <c r="E67" s="20"/>
    </row>
    <row r="68" spans="1:5" ht="13.5" customHeight="1">
      <c r="A68" s="29"/>
      <c r="B68" s="1257"/>
      <c r="C68" s="1257"/>
      <c r="D68" s="43"/>
      <c r="E68" s="20"/>
    </row>
    <row r="69" spans="1:5" ht="13.5" customHeight="1">
      <c r="A69" s="29"/>
      <c r="B69" s="1257"/>
      <c r="C69" s="1257"/>
      <c r="D69" s="43"/>
      <c r="E69" s="20"/>
    </row>
    <row r="70" spans="1:5" ht="13.5" customHeight="1">
      <c r="A70" s="27"/>
      <c r="B70" s="1258"/>
      <c r="C70" s="1258"/>
      <c r="D70" s="490"/>
      <c r="E70" s="20"/>
    </row>
    <row r="71" spans="1:5" ht="13.5" customHeight="1">
      <c r="A71" s="29"/>
      <c r="B71" s="1257"/>
      <c r="C71" s="1257"/>
      <c r="D71" s="43"/>
      <c r="E71" s="20"/>
    </row>
    <row r="72" spans="1:5" ht="13.5" customHeight="1">
      <c r="A72" s="29"/>
      <c r="B72" s="1257"/>
      <c r="C72" s="1257"/>
      <c r="D72" s="43"/>
      <c r="E72" s="20"/>
    </row>
    <row r="73" spans="1:5" ht="13.5" customHeight="1">
      <c r="A73" s="27"/>
      <c r="B73" s="1258"/>
      <c r="C73" s="1258"/>
      <c r="D73" s="490"/>
      <c r="E73" s="20"/>
    </row>
    <row r="74" spans="1:5" ht="13.5" customHeight="1">
      <c r="A74" s="29"/>
      <c r="B74" s="1259"/>
      <c r="C74" s="1259"/>
      <c r="D74" s="1266"/>
      <c r="E74" s="20"/>
    </row>
    <row r="75" spans="1:5" ht="13.5" customHeight="1">
      <c r="A75" s="29"/>
      <c r="B75" s="1259"/>
      <c r="C75" s="1259"/>
      <c r="D75" s="1266"/>
      <c r="E75" s="20"/>
    </row>
    <row r="76" spans="1:5" ht="13.5" customHeight="1">
      <c r="A76" s="27"/>
      <c r="B76" s="1260"/>
      <c r="C76" s="1260"/>
      <c r="D76" s="1267"/>
      <c r="E76" s="20"/>
    </row>
    <row r="77" spans="1:5" ht="13.5" customHeight="1">
      <c r="A77" s="29"/>
      <c r="B77" s="1257"/>
      <c r="C77" s="1257"/>
      <c r="D77" s="43"/>
      <c r="E77" s="20"/>
    </row>
    <row r="78" spans="1:5" ht="13.5" customHeight="1">
      <c r="A78" s="29"/>
      <c r="B78" s="1257"/>
      <c r="C78" s="1257"/>
      <c r="D78" s="43"/>
      <c r="E78" s="20"/>
    </row>
    <row r="79" spans="1:5" ht="13.5" customHeight="1">
      <c r="A79" s="27"/>
      <c r="B79" s="1258"/>
      <c r="C79" s="1258"/>
      <c r="D79" s="490"/>
      <c r="E79" s="20"/>
    </row>
    <row r="80" spans="1:5" ht="13.5" customHeight="1">
      <c r="A80" s="29"/>
      <c r="B80" s="1259"/>
      <c r="C80" s="1259"/>
      <c r="D80" s="1266"/>
      <c r="E80" s="20"/>
    </row>
    <row r="81" spans="1:5" ht="13.5" customHeight="1">
      <c r="A81" s="29"/>
      <c r="B81" s="1259"/>
      <c r="C81" s="1259"/>
      <c r="D81" s="1266"/>
      <c r="E81" s="20"/>
    </row>
    <row r="82" spans="1:5" ht="13.5" customHeight="1">
      <c r="A82" s="27"/>
      <c r="B82" s="1260"/>
      <c r="C82" s="1260"/>
      <c r="D82" s="1267"/>
      <c r="E82" s="20"/>
    </row>
    <row r="83" spans="1:5" ht="13.5" customHeight="1">
      <c r="A83" s="29"/>
      <c r="B83" s="1257"/>
      <c r="C83" s="1257"/>
      <c r="D83" s="43"/>
      <c r="E83" s="20"/>
    </row>
    <row r="84" spans="1:5" ht="13.5" customHeight="1">
      <c r="A84" s="29"/>
      <c r="B84" s="1257"/>
      <c r="C84" s="1257"/>
      <c r="D84" s="43"/>
      <c r="E84" s="20"/>
    </row>
    <row r="85" spans="1:5" ht="13.5" customHeight="1">
      <c r="A85" s="27"/>
      <c r="B85" s="1258"/>
      <c r="C85" s="1258"/>
      <c r="D85" s="490"/>
      <c r="E85" s="21"/>
    </row>
    <row r="86" spans="1:5" ht="13.5" customHeight="1">
      <c r="A86" s="29"/>
      <c r="B86" s="1257"/>
      <c r="C86" s="1257"/>
      <c r="D86" s="43"/>
      <c r="E86" s="20"/>
    </row>
    <row r="87" spans="1:5" ht="13.5" customHeight="1">
      <c r="A87" s="29"/>
      <c r="B87" s="1257"/>
      <c r="C87" s="1257"/>
      <c r="D87" s="43"/>
      <c r="E87" s="20"/>
    </row>
    <row r="88" spans="1:5" ht="13.5" customHeight="1">
      <c r="A88" s="27"/>
      <c r="B88" s="1258"/>
      <c r="C88" s="1258"/>
      <c r="D88" s="490"/>
      <c r="E88" s="20"/>
    </row>
    <row r="89" spans="1:5" ht="13.5" customHeight="1">
      <c r="A89" s="29"/>
      <c r="B89" s="1257"/>
      <c r="C89" s="1257"/>
      <c r="D89" s="43"/>
      <c r="E89" s="20"/>
    </row>
    <row r="90" spans="1:5" ht="13.5" customHeight="1">
      <c r="A90" s="27"/>
      <c r="B90" s="1258"/>
      <c r="C90" s="1258"/>
      <c r="D90" s="490"/>
      <c r="E90" s="20"/>
    </row>
    <row r="91" spans="1:5" ht="13.5" customHeight="1">
      <c r="A91" s="29"/>
      <c r="B91" s="1257"/>
      <c r="C91" s="1257"/>
      <c r="D91" s="43"/>
      <c r="E91" s="20"/>
    </row>
    <row r="92" spans="1:5" ht="13.5" customHeight="1">
      <c r="A92" s="29"/>
      <c r="B92" s="1257"/>
      <c r="C92" s="1257"/>
      <c r="D92" s="43"/>
      <c r="E92" s="20"/>
    </row>
    <row r="93" spans="1:5" ht="13.5" customHeight="1">
      <c r="A93" s="27"/>
      <c r="B93" s="1258"/>
      <c r="C93" s="1258"/>
      <c r="D93" s="490"/>
      <c r="E93" s="20"/>
    </row>
    <row r="94" spans="1:5" ht="13.5" customHeight="1">
      <c r="A94" s="29"/>
      <c r="B94" s="1257"/>
      <c r="C94" s="1257"/>
      <c r="D94" s="43"/>
      <c r="E94" s="20"/>
    </row>
    <row r="95" spans="1:5" ht="13.5" customHeight="1">
      <c r="A95" s="27"/>
      <c r="B95" s="1258"/>
      <c r="C95" s="1258"/>
      <c r="D95" s="490"/>
      <c r="E95" s="20"/>
    </row>
    <row r="96" spans="1:5" ht="13.5" customHeight="1">
      <c r="A96" s="29"/>
      <c r="B96" s="1257"/>
      <c r="C96" s="1257"/>
      <c r="D96" s="43"/>
      <c r="E96" s="20"/>
    </row>
    <row r="97" spans="1:5" ht="13.5" customHeight="1">
      <c r="A97" s="29"/>
      <c r="B97" s="1257"/>
      <c r="C97" s="1257"/>
      <c r="D97" s="43"/>
      <c r="E97" s="20"/>
    </row>
    <row r="98" spans="1:5" ht="13.5" customHeight="1">
      <c r="A98" s="29"/>
      <c r="B98" s="1257"/>
      <c r="C98" s="1257"/>
      <c r="D98" s="43"/>
      <c r="E98" s="20"/>
    </row>
    <row r="99" spans="1:5" ht="13.5" customHeight="1">
      <c r="A99" s="27"/>
      <c r="B99" s="1258"/>
      <c r="C99" s="1258"/>
      <c r="D99" s="490"/>
      <c r="E99" s="20"/>
    </row>
    <row r="100" spans="1:5" ht="13.5" customHeight="1">
      <c r="A100" s="29"/>
      <c r="B100" s="1257"/>
      <c r="C100" s="1257"/>
      <c r="D100" s="43"/>
      <c r="E100" s="20"/>
    </row>
    <row r="101" spans="1:5" ht="13.5" customHeight="1">
      <c r="A101" s="29"/>
      <c r="B101" s="1257"/>
      <c r="C101" s="1257"/>
      <c r="D101" s="43"/>
      <c r="E101" s="20"/>
    </row>
    <row r="102" spans="1:5" ht="13.5" customHeight="1">
      <c r="A102" s="27"/>
      <c r="B102" s="1258"/>
      <c r="C102" s="1258"/>
      <c r="D102" s="490"/>
      <c r="E102" s="20"/>
    </row>
    <row r="103" spans="1:5" ht="13.5" customHeight="1">
      <c r="A103" s="29"/>
      <c r="B103" s="1257"/>
      <c r="C103" s="1257"/>
      <c r="D103" s="43"/>
      <c r="E103" s="20"/>
    </row>
    <row r="104" spans="1:5" ht="13.5" customHeight="1">
      <c r="A104" s="27"/>
      <c r="B104" s="1258"/>
      <c r="C104" s="1258"/>
      <c r="D104" s="490"/>
      <c r="E104" s="20"/>
    </row>
    <row r="105" spans="1:5" ht="13.5" customHeight="1">
      <c r="A105" s="29"/>
      <c r="B105" s="1257"/>
      <c r="C105" s="1257"/>
      <c r="D105" s="43"/>
      <c r="E105" s="20"/>
    </row>
    <row r="106" spans="1:5" ht="13.5" customHeight="1">
      <c r="A106" s="27"/>
      <c r="B106" s="1258"/>
      <c r="C106" s="1258"/>
      <c r="D106" s="490"/>
      <c r="E106" s="20"/>
    </row>
    <row r="107" spans="1:5" ht="13.5" customHeight="1">
      <c r="A107" s="29"/>
      <c r="B107" s="1257"/>
      <c r="C107" s="1257"/>
      <c r="D107" s="43"/>
      <c r="E107" s="20"/>
    </row>
    <row r="108" spans="1:5" ht="13.5" customHeight="1">
      <c r="A108" s="491"/>
      <c r="B108" s="1258"/>
      <c r="C108" s="1258"/>
      <c r="D108" s="490"/>
      <c r="E108" s="20"/>
    </row>
    <row r="109" spans="1:5" ht="13.5" customHeight="1">
      <c r="A109" s="492"/>
      <c r="B109" s="1257"/>
      <c r="C109" s="1257"/>
      <c r="D109" s="43"/>
      <c r="E109" s="20"/>
    </row>
    <row r="110" spans="1:5" ht="13.5" customHeight="1">
      <c r="A110" s="491"/>
      <c r="B110" s="1258"/>
      <c r="C110" s="1258"/>
      <c r="D110" s="490"/>
      <c r="E110" s="20"/>
    </row>
    <row r="111" spans="1:5" ht="13.5" customHeight="1">
      <c r="A111" s="492"/>
      <c r="B111" s="1257"/>
      <c r="C111" s="1257"/>
      <c r="D111" s="43"/>
      <c r="E111" s="20"/>
    </row>
    <row r="112" spans="1:5" ht="13.5" customHeight="1">
      <c r="A112" s="491"/>
      <c r="B112" s="1258"/>
      <c r="C112" s="1258"/>
      <c r="D112" s="490"/>
      <c r="E112" s="20"/>
    </row>
    <row r="113" spans="1:5" ht="13.5" customHeight="1">
      <c r="A113" s="492"/>
      <c r="B113" s="1257"/>
      <c r="C113" s="1257"/>
      <c r="D113" s="43"/>
      <c r="E113" s="20"/>
    </row>
    <row r="114" spans="1:5" ht="13.5" customHeight="1">
      <c r="A114" s="492"/>
      <c r="B114" s="1257"/>
      <c r="C114" s="1257"/>
      <c r="D114" s="43"/>
      <c r="E114" s="20"/>
    </row>
    <row r="115" spans="1:5" ht="13.5" customHeight="1">
      <c r="A115" s="491"/>
      <c r="B115" s="1258"/>
      <c r="C115" s="1258"/>
      <c r="D115" s="490"/>
      <c r="E115" s="20"/>
    </row>
    <row r="116" spans="1:5" ht="13.5" customHeight="1">
      <c r="A116" s="492"/>
      <c r="B116" s="1257"/>
      <c r="C116" s="1257"/>
      <c r="D116" s="43"/>
      <c r="E116" s="20"/>
    </row>
    <row r="117" spans="1:5">
      <c r="A117" s="492"/>
      <c r="B117" s="1257"/>
      <c r="C117" s="1257"/>
      <c r="D117" s="43"/>
      <c r="E117" s="20"/>
    </row>
    <row r="118" spans="1:5">
      <c r="A118" s="492"/>
      <c r="B118" s="1257"/>
      <c r="C118" s="1257"/>
      <c r="D118" s="43"/>
      <c r="E118" s="20"/>
    </row>
    <row r="119" spans="1:5">
      <c r="A119" s="491"/>
      <c r="B119" s="1258"/>
      <c r="C119" s="1258"/>
      <c r="D119" s="490"/>
      <c r="E119" s="20"/>
    </row>
    <row r="120" spans="1:5">
      <c r="A120" s="492"/>
      <c r="B120" s="1257"/>
      <c r="C120" s="1257"/>
      <c r="D120" s="43"/>
      <c r="E120" s="20"/>
    </row>
    <row r="121" spans="1:5">
      <c r="A121" s="492"/>
      <c r="B121" s="1257"/>
      <c r="C121" s="1257"/>
      <c r="D121" s="43"/>
      <c r="E121" s="20"/>
    </row>
    <row r="122" spans="1:5">
      <c r="A122" s="491"/>
      <c r="B122" s="1258"/>
      <c r="C122" s="1258"/>
      <c r="D122" s="490"/>
      <c r="E122" s="20"/>
    </row>
    <row r="123" spans="1:5">
      <c r="A123" s="492"/>
      <c r="B123" s="1257"/>
      <c r="C123" s="1257"/>
      <c r="D123" s="43"/>
      <c r="E123" s="20"/>
    </row>
    <row r="124" spans="1:5">
      <c r="A124" s="491"/>
      <c r="B124" s="1261"/>
      <c r="C124" s="1261"/>
      <c r="D124" s="1268"/>
      <c r="E124" s="20"/>
    </row>
    <row r="125" spans="1:5">
      <c r="A125" s="492"/>
      <c r="B125" s="1262"/>
      <c r="C125" s="1262"/>
      <c r="D125" s="1269"/>
      <c r="E125" s="20"/>
    </row>
    <row r="126" spans="1:5">
      <c r="A126" s="491"/>
      <c r="B126" s="1261"/>
      <c r="C126" s="1261"/>
      <c r="D126" s="1268"/>
      <c r="E126" s="20"/>
    </row>
    <row r="127" spans="1:5">
      <c r="A127" s="492"/>
      <c r="B127" s="1262"/>
      <c r="C127" s="1262"/>
      <c r="D127" s="1269"/>
      <c r="E127" s="20"/>
    </row>
    <row r="128" spans="1:5">
      <c r="A128" s="491"/>
      <c r="B128" s="1261"/>
      <c r="C128" s="1261"/>
      <c r="D128" s="1268"/>
      <c r="E128" s="20"/>
    </row>
    <row r="129" spans="1:5">
      <c r="A129" s="492"/>
      <c r="B129" s="1262"/>
      <c r="C129" s="1262"/>
      <c r="D129" s="1269"/>
      <c r="E129" s="20"/>
    </row>
    <row r="130" spans="1:5">
      <c r="A130" s="491"/>
      <c r="B130" s="1261"/>
      <c r="C130" s="1261"/>
      <c r="D130" s="1268"/>
      <c r="E130" s="20"/>
    </row>
    <row r="131" spans="1:5">
      <c r="A131" s="493"/>
      <c r="B131" s="1262"/>
      <c r="C131" s="1262"/>
      <c r="D131" s="1269"/>
      <c r="E131" s="20"/>
    </row>
    <row r="132" spans="1:5">
      <c r="A132" s="1"/>
    </row>
    <row r="133" spans="1:5">
      <c r="A133" s="1"/>
    </row>
    <row r="134" spans="1:5">
      <c r="A134" s="1"/>
    </row>
    <row r="135" spans="1:5">
      <c r="A135" s="1"/>
    </row>
    <row r="136" spans="1:5">
      <c r="A136" s="1"/>
    </row>
    <row r="137" spans="1:5">
      <c r="A137" s="1"/>
    </row>
    <row r="138" spans="1:5">
      <c r="A138" s="1"/>
    </row>
    <row r="139" spans="1:5">
      <c r="A139" s="1"/>
    </row>
    <row r="140" spans="1:5">
      <c r="A140" s="1"/>
    </row>
    <row r="141" spans="1:5">
      <c r="A141" s="1"/>
    </row>
    <row r="142" spans="1:5">
      <c r="A142" s="1"/>
    </row>
    <row r="143" spans="1:5">
      <c r="A143" s="1"/>
    </row>
    <row r="144" spans="1:5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</sheetData>
  <mergeCells count="1">
    <mergeCell ref="A1:D1"/>
  </mergeCells>
  <conditionalFormatting sqref="A36:A3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82E0-4D5C-4AA9-BA30-6FA07D9C9892}">
  <sheetPr>
    <tabColor theme="0"/>
  </sheetPr>
  <dimension ref="A1:I121"/>
  <sheetViews>
    <sheetView zoomScaleNormal="100" workbookViewId="0">
      <selection activeCell="J12" sqref="J12"/>
    </sheetView>
  </sheetViews>
  <sheetFormatPr defaultColWidth="10.28515625" defaultRowHeight="15"/>
  <cols>
    <col min="1" max="1" width="13" style="3" customWidth="1"/>
    <col min="2" max="2" width="8" style="3" customWidth="1"/>
    <col min="3" max="4" width="9.85546875" style="3" customWidth="1"/>
    <col min="5" max="16384" width="10.28515625" style="3"/>
  </cols>
  <sheetData>
    <row r="1" spans="1:7" ht="23.25" customHeight="1">
      <c r="A1" s="960" t="s">
        <v>473</v>
      </c>
      <c r="B1" s="960"/>
      <c r="C1" s="960"/>
      <c r="D1" s="960"/>
    </row>
    <row r="2" spans="1:7">
      <c r="A2" s="4" t="s">
        <v>144</v>
      </c>
      <c r="B2" s="7" t="s">
        <v>0</v>
      </c>
      <c r="C2" s="7" t="s">
        <v>1</v>
      </c>
      <c r="D2" s="7" t="s">
        <v>2</v>
      </c>
    </row>
    <row r="3" spans="1:7">
      <c r="A3" s="35" t="s">
        <v>146</v>
      </c>
      <c r="B3" s="44">
        <v>1523457.302891233</v>
      </c>
      <c r="C3" s="44">
        <v>747444.65199803223</v>
      </c>
      <c r="D3" s="44">
        <v>776012.65089781804</v>
      </c>
    </row>
    <row r="4" spans="1:7">
      <c r="A4" s="4"/>
      <c r="B4" s="5"/>
      <c r="C4" s="5"/>
      <c r="D4" s="5"/>
    </row>
    <row r="5" spans="1:7" ht="14.25" customHeight="1">
      <c r="A5" s="35" t="s">
        <v>6</v>
      </c>
      <c r="B5" s="36"/>
      <c r="C5" s="36"/>
      <c r="D5" s="36"/>
    </row>
    <row r="6" spans="1:7" ht="14.25" customHeight="1">
      <c r="A6" s="33" t="s">
        <v>7</v>
      </c>
      <c r="B6" s="6">
        <v>33448.358400004065</v>
      </c>
      <c r="C6" s="6">
        <v>16796.587199996662</v>
      </c>
      <c r="D6" s="6">
        <v>16651.771199996598</v>
      </c>
      <c r="F6" s="34"/>
      <c r="G6" s="34"/>
    </row>
    <row r="7" spans="1:7">
      <c r="A7" s="33" t="s">
        <v>8</v>
      </c>
      <c r="B7" s="6">
        <v>33578.692800004123</v>
      </c>
      <c r="C7" s="6">
        <v>16850.375999996686</v>
      </c>
      <c r="D7" s="6">
        <v>16728.316799996632</v>
      </c>
    </row>
    <row r="8" spans="1:7">
      <c r="A8" s="33" t="s">
        <v>9</v>
      </c>
      <c r="B8" s="6">
        <v>32416.027200003606</v>
      </c>
      <c r="C8" s="6">
        <v>16105.607999996599</v>
      </c>
      <c r="D8" s="6">
        <v>16310.41919999651</v>
      </c>
    </row>
    <row r="9" spans="1:7">
      <c r="A9" s="33" t="s">
        <v>10</v>
      </c>
      <c r="B9" s="6">
        <v>33380.088000004034</v>
      </c>
      <c r="C9" s="6">
        <v>16846.238399996684</v>
      </c>
      <c r="D9" s="6">
        <v>16533.849599996545</v>
      </c>
    </row>
    <row r="10" spans="1:7">
      <c r="A10" s="33" t="s">
        <v>11</v>
      </c>
      <c r="B10" s="6">
        <v>35237.87040000486</v>
      </c>
      <c r="C10" s="6">
        <v>17599.281599997019</v>
      </c>
      <c r="D10" s="6">
        <v>17638.588799997036</v>
      </c>
    </row>
    <row r="11" spans="1:7">
      <c r="A11" s="33" t="s">
        <v>12</v>
      </c>
      <c r="B11" s="6">
        <v>36750.400000000132</v>
      </c>
      <c r="C11" s="6">
        <v>18375.199999997236</v>
      </c>
      <c r="D11" s="6">
        <v>18375.199999997236</v>
      </c>
      <c r="E11" s="34"/>
      <c r="F11" s="34"/>
    </row>
    <row r="12" spans="1:7">
      <c r="A12" s="33" t="s">
        <v>13</v>
      </c>
      <c r="B12" s="6">
        <v>37773.970000001602</v>
      </c>
      <c r="C12" s="6">
        <v>19140.089999997086</v>
      </c>
      <c r="D12" s="6">
        <v>18633.879999997185</v>
      </c>
      <c r="E12" s="34"/>
    </row>
    <row r="13" spans="1:7">
      <c r="A13" s="33" t="s">
        <v>14</v>
      </c>
      <c r="B13" s="6">
        <v>35260.759999997994</v>
      </c>
      <c r="C13" s="6">
        <v>17688.35999999737</v>
      </c>
      <c r="D13" s="6">
        <v>17572.399999997393</v>
      </c>
    </row>
    <row r="14" spans="1:7">
      <c r="A14" s="33" t="s">
        <v>15</v>
      </c>
      <c r="B14" s="6">
        <v>36962.250000000437</v>
      </c>
      <c r="C14" s="6">
        <v>18504.539999997211</v>
      </c>
      <c r="D14" s="6">
        <v>18457.70999999722</v>
      </c>
    </row>
    <row r="15" spans="1:7">
      <c r="A15" s="33" t="s">
        <v>16</v>
      </c>
      <c r="B15" s="6">
        <v>38092.86000000206</v>
      </c>
      <c r="C15" s="6">
        <v>18709.69999999717</v>
      </c>
      <c r="D15" s="6">
        <v>19383.159999997039</v>
      </c>
    </row>
    <row r="16" spans="1:7">
      <c r="A16" s="33" t="s">
        <v>17</v>
      </c>
      <c r="B16" s="6">
        <v>40429.900000005415</v>
      </c>
      <c r="C16" s="6">
        <v>20177.039999996883</v>
      </c>
      <c r="D16" s="6">
        <v>20252.859999996868</v>
      </c>
    </row>
    <row r="17" spans="1:4">
      <c r="A17" s="33" t="s">
        <v>18</v>
      </c>
      <c r="B17" s="6">
        <v>37332.430000000968</v>
      </c>
      <c r="C17" s="6">
        <v>18647.259999997183</v>
      </c>
      <c r="D17" s="6">
        <v>18685.169999997175</v>
      </c>
    </row>
    <row r="18" spans="1:4">
      <c r="A18" s="33" t="s">
        <v>19</v>
      </c>
      <c r="B18" s="6">
        <v>40583.770000005636</v>
      </c>
      <c r="C18" s="6">
        <v>19833.61999999695</v>
      </c>
      <c r="D18" s="6">
        <v>20750.149999996771</v>
      </c>
    </row>
    <row r="19" spans="1:4">
      <c r="A19" s="33" t="s">
        <v>20</v>
      </c>
      <c r="B19" s="6">
        <v>38855.520000003155</v>
      </c>
      <c r="C19" s="6">
        <v>19093.259999997095</v>
      </c>
      <c r="D19" s="6">
        <v>19762.259999996964</v>
      </c>
    </row>
    <row r="20" spans="1:4">
      <c r="A20" s="33" t="s">
        <v>21</v>
      </c>
      <c r="B20" s="6">
        <v>42327.630000008139</v>
      </c>
      <c r="C20" s="6">
        <v>20493.699999996821</v>
      </c>
      <c r="D20" s="6">
        <v>21833.929999996559</v>
      </c>
    </row>
    <row r="21" spans="1:4">
      <c r="A21" s="33" t="s">
        <v>22</v>
      </c>
      <c r="B21" s="6">
        <v>36005.249000001022</v>
      </c>
      <c r="C21" s="6">
        <v>17240.934199998199</v>
      </c>
      <c r="D21" s="6">
        <v>18764.314799997977</v>
      </c>
    </row>
    <row r="22" spans="1:4">
      <c r="A22" s="33" t="s">
        <v>23</v>
      </c>
      <c r="B22" s="6">
        <v>36147.402900001245</v>
      </c>
      <c r="C22" s="6">
        <v>17223.960599998201</v>
      </c>
      <c r="D22" s="6">
        <v>18923.442299997954</v>
      </c>
    </row>
    <row r="23" spans="1:4">
      <c r="A23" s="33" t="s">
        <v>24</v>
      </c>
      <c r="B23" s="6">
        <v>34921.060299999321</v>
      </c>
      <c r="C23" s="6">
        <v>16835.689499998258</v>
      </c>
      <c r="D23" s="6">
        <v>18085.370799998076</v>
      </c>
    </row>
    <row r="24" spans="1:4">
      <c r="A24" s="33" t="s">
        <v>25</v>
      </c>
      <c r="B24" s="6">
        <v>34462.773099998602</v>
      </c>
      <c r="C24" s="6">
        <v>16676.561999998281</v>
      </c>
      <c r="D24" s="6">
        <v>17786.21109999812</v>
      </c>
    </row>
    <row r="25" spans="1:4">
      <c r="A25" s="33" t="s">
        <v>26</v>
      </c>
      <c r="B25" s="6">
        <v>33191.874799996607</v>
      </c>
      <c r="C25" s="6">
        <v>16188.57099999835</v>
      </c>
      <c r="D25" s="6">
        <v>17003.303799998233</v>
      </c>
    </row>
    <row r="26" spans="1:4">
      <c r="A26" s="33" t="s">
        <v>27</v>
      </c>
      <c r="B26" s="6">
        <v>29407.240499994681</v>
      </c>
      <c r="C26" s="6">
        <v>13854.819000001255</v>
      </c>
      <c r="D26" s="6">
        <v>15552.421500001839</v>
      </c>
    </row>
    <row r="27" spans="1:4">
      <c r="A27" s="33" t="s">
        <v>28</v>
      </c>
      <c r="B27" s="6">
        <v>25875.0359999967</v>
      </c>
      <c r="C27" s="6">
        <v>12250.535000000702</v>
      </c>
      <c r="D27" s="6">
        <v>13624.501000001175</v>
      </c>
    </row>
    <row r="28" spans="1:4">
      <c r="A28" s="33" t="s">
        <v>29</v>
      </c>
      <c r="B28" s="6">
        <v>26893.597499996118</v>
      </c>
      <c r="C28" s="6">
        <v>12887.880500000922</v>
      </c>
      <c r="D28" s="6">
        <v>14005.717000001307</v>
      </c>
    </row>
    <row r="29" spans="1:4">
      <c r="A29" s="33" t="s">
        <v>30</v>
      </c>
      <c r="B29" s="6">
        <v>26377.367499996413</v>
      </c>
      <c r="C29" s="6">
        <v>12536.4470000008</v>
      </c>
      <c r="D29" s="6">
        <v>13840.92050000125</v>
      </c>
    </row>
    <row r="30" spans="1:4">
      <c r="A30" s="33" t="s">
        <v>31</v>
      </c>
      <c r="B30" s="6">
        <v>33618.485999993834</v>
      </c>
      <c r="C30" s="6">
        <v>16072.622500002019</v>
      </c>
      <c r="D30" s="6">
        <v>17545.863500001462</v>
      </c>
    </row>
    <row r="31" spans="1:4">
      <c r="A31" s="33" t="s">
        <v>32</v>
      </c>
      <c r="B31" s="6">
        <v>26560.033499996309</v>
      </c>
      <c r="C31" s="6">
        <v>12796.54750000089</v>
      </c>
      <c r="D31" s="6">
        <v>13763.486000001223</v>
      </c>
    </row>
    <row r="32" spans="1:4">
      <c r="A32" s="33" t="s">
        <v>33</v>
      </c>
      <c r="B32" s="6">
        <v>23337.566999998151</v>
      </c>
      <c r="C32" s="6">
        <v>11089.017500000302</v>
      </c>
      <c r="D32" s="6">
        <v>12248.549500000701</v>
      </c>
    </row>
    <row r="33" spans="1:4">
      <c r="A33" s="33" t="s">
        <v>34</v>
      </c>
      <c r="B33" s="6">
        <v>22954.36549999837</v>
      </c>
      <c r="C33" s="6">
        <v>10729.642000000178</v>
      </c>
      <c r="D33" s="6">
        <v>12224.723500000693</v>
      </c>
    </row>
    <row r="34" spans="1:4">
      <c r="A34" s="33" t="s">
        <v>35</v>
      </c>
      <c r="B34" s="6">
        <v>21955.658999998941</v>
      </c>
      <c r="C34" s="6">
        <v>10118.107999999967</v>
      </c>
      <c r="D34" s="6">
        <v>11837.55100000056</v>
      </c>
    </row>
    <row r="35" spans="1:4">
      <c r="A35" s="33" t="s">
        <v>36</v>
      </c>
      <c r="B35" s="6">
        <v>22646.612999998546</v>
      </c>
      <c r="C35" s="6">
        <v>10862.670500000224</v>
      </c>
      <c r="D35" s="6">
        <v>11783.942500000541</v>
      </c>
    </row>
    <row r="36" spans="1:4">
      <c r="A36" s="33" t="s">
        <v>37</v>
      </c>
      <c r="B36" s="6">
        <v>21925.992900003217</v>
      </c>
      <c r="C36" s="6">
        <v>10233.812999999202</v>
      </c>
      <c r="D36" s="6">
        <v>11692.179899999055</v>
      </c>
    </row>
    <row r="37" spans="1:4">
      <c r="A37" s="33" t="s">
        <v>38</v>
      </c>
      <c r="B37" s="6">
        <v>20696.770200002189</v>
      </c>
      <c r="C37" s="6">
        <v>9424.0406999992829</v>
      </c>
      <c r="D37" s="6">
        <v>11272.729499999097</v>
      </c>
    </row>
    <row r="38" spans="1:4">
      <c r="A38" s="33" t="s">
        <v>39</v>
      </c>
      <c r="B38" s="6">
        <v>22955.199900004078</v>
      </c>
      <c r="C38" s="6">
        <v>10472.666699999178</v>
      </c>
      <c r="D38" s="6">
        <v>12482.533199998976</v>
      </c>
    </row>
    <row r="39" spans="1:4">
      <c r="A39" s="33" t="s">
        <v>40</v>
      </c>
      <c r="B39" s="6">
        <v>19259.764200000987</v>
      </c>
      <c r="C39" s="6">
        <v>8994.880799999326</v>
      </c>
      <c r="D39" s="6">
        <v>10264.883399999198</v>
      </c>
    </row>
    <row r="40" spans="1:4">
      <c r="A40" s="33" t="s">
        <v>41</v>
      </c>
      <c r="B40" s="6">
        <v>23279.497200004349</v>
      </c>
      <c r="C40" s="6">
        <v>11261.078099999098</v>
      </c>
      <c r="D40" s="6">
        <v>12018.419099999022</v>
      </c>
    </row>
    <row r="41" spans="1:4">
      <c r="A41" s="33" t="s">
        <v>42</v>
      </c>
      <c r="B41" s="6">
        <v>19778.251500001421</v>
      </c>
      <c r="C41" s="6">
        <v>9412.389299999284</v>
      </c>
      <c r="D41" s="6">
        <v>10365.862199999188</v>
      </c>
    </row>
    <row r="42" spans="1:4">
      <c r="A42" s="33" t="s">
        <v>43</v>
      </c>
      <c r="B42" s="6">
        <v>20428.788000001965</v>
      </c>
      <c r="C42" s="6">
        <v>9756.1055999992495</v>
      </c>
      <c r="D42" s="6">
        <v>10672.682399999157</v>
      </c>
    </row>
    <row r="43" spans="1:4">
      <c r="A43" s="33" t="s">
        <v>44</v>
      </c>
      <c r="B43" s="6">
        <v>19525.80450000121</v>
      </c>
      <c r="C43" s="6">
        <v>9490.0652999992762</v>
      </c>
      <c r="D43" s="6">
        <v>10035.739199999221</v>
      </c>
    </row>
    <row r="44" spans="1:4">
      <c r="A44" s="33" t="s">
        <v>45</v>
      </c>
      <c r="B44" s="6">
        <v>20900.66970000236</v>
      </c>
      <c r="C44" s="6">
        <v>10255.173899999199</v>
      </c>
      <c r="D44" s="6">
        <v>10645.49579999916</v>
      </c>
    </row>
    <row r="45" spans="1:4">
      <c r="A45" s="33" t="s">
        <v>46</v>
      </c>
      <c r="B45" s="6">
        <v>20019.047100001622</v>
      </c>
      <c r="C45" s="6">
        <v>10115.357099999213</v>
      </c>
      <c r="D45" s="6">
        <v>9903.6899999992347</v>
      </c>
    </row>
    <row r="46" spans="1:4">
      <c r="A46" s="33" t="s">
        <v>47</v>
      </c>
      <c r="B46" s="6">
        <v>19131.59880000088</v>
      </c>
      <c r="C46" s="6">
        <v>9701.732399999255</v>
      </c>
      <c r="D46" s="6">
        <v>9429.8663999992823</v>
      </c>
    </row>
    <row r="47" spans="1:4">
      <c r="A47" s="33" t="s">
        <v>48</v>
      </c>
      <c r="B47" s="6">
        <v>15867.264899998636</v>
      </c>
      <c r="C47" s="6">
        <v>8113.2581999994136</v>
      </c>
      <c r="D47" s="6">
        <v>7754.0066999994497</v>
      </c>
    </row>
    <row r="48" spans="1:4">
      <c r="A48" s="33" t="s">
        <v>49</v>
      </c>
      <c r="B48" s="6">
        <v>16236.225899998599</v>
      </c>
      <c r="C48" s="6">
        <v>8443.3811999993814</v>
      </c>
      <c r="D48" s="6">
        <v>7792.8446999994458</v>
      </c>
    </row>
    <row r="49" spans="1:4">
      <c r="A49" s="33" t="s">
        <v>50</v>
      </c>
      <c r="B49" s="6">
        <v>13379.690999998886</v>
      </c>
      <c r="C49" s="6">
        <v>7130.6567999995123</v>
      </c>
      <c r="D49" s="6">
        <v>6249.0341999996008</v>
      </c>
    </row>
    <row r="50" spans="1:4">
      <c r="A50" s="33" t="s">
        <v>51</v>
      </c>
      <c r="B50" s="6">
        <v>15451.698299998678</v>
      </c>
      <c r="C50" s="6">
        <v>8289.9710999993968</v>
      </c>
      <c r="D50" s="6">
        <v>7161.7271999995091</v>
      </c>
    </row>
    <row r="51" spans="1:4">
      <c r="A51" s="33" t="s">
        <v>52</v>
      </c>
      <c r="B51" s="6">
        <v>12882.889000000885</v>
      </c>
      <c r="C51" s="6">
        <v>6697.9047999997074</v>
      </c>
      <c r="D51" s="6">
        <v>6184.9841999997871</v>
      </c>
    </row>
    <row r="52" spans="1:4">
      <c r="A52" s="33" t="s">
        <v>53</v>
      </c>
      <c r="B52" s="6">
        <v>11206.417000000381</v>
      </c>
      <c r="C52" s="6">
        <v>5863.660399999837</v>
      </c>
      <c r="D52" s="6">
        <v>5342.7565999999179</v>
      </c>
    </row>
    <row r="53" spans="1:4">
      <c r="A53" s="33" t="s">
        <v>54</v>
      </c>
      <c r="B53" s="6">
        <v>11278.265800000403</v>
      </c>
      <c r="C53" s="6">
        <v>5929.5217999998267</v>
      </c>
      <c r="D53" s="6">
        <v>5348.7439999999169</v>
      </c>
    </row>
    <row r="54" spans="1:4">
      <c r="A54" s="33" t="s">
        <v>55</v>
      </c>
      <c r="B54" s="6">
        <v>12465.76680000076</v>
      </c>
      <c r="C54" s="6">
        <v>6514.2911999997359</v>
      </c>
      <c r="D54" s="6">
        <v>5951.4755999998233</v>
      </c>
    </row>
    <row r="55" spans="1:4">
      <c r="A55" s="33" t="s">
        <v>56</v>
      </c>
      <c r="B55" s="6">
        <v>14132.25980000126</v>
      </c>
      <c r="C55" s="6">
        <v>7488.2415999995847</v>
      </c>
      <c r="D55" s="6">
        <v>6644.0181999997158</v>
      </c>
    </row>
    <row r="56" spans="1:4">
      <c r="A56" s="33" t="s">
        <v>57</v>
      </c>
      <c r="B56" s="6">
        <v>10785.303200000255</v>
      </c>
      <c r="C56" s="6">
        <v>5717.9669999998596</v>
      </c>
      <c r="D56" s="6">
        <v>5067.3361999999606</v>
      </c>
    </row>
    <row r="57" spans="1:4">
      <c r="A57" s="33" t="s">
        <v>58</v>
      </c>
      <c r="B57" s="6">
        <v>8825.4275999996662</v>
      </c>
      <c r="C57" s="6">
        <v>4560.4030000000394</v>
      </c>
      <c r="D57" s="6">
        <v>4265.0246000000852</v>
      </c>
    </row>
    <row r="58" spans="1:4">
      <c r="A58" s="33" t="s">
        <v>59</v>
      </c>
      <c r="B58" s="6">
        <v>9188.6631999997753</v>
      </c>
      <c r="C58" s="6">
        <v>4827.8401999999978</v>
      </c>
      <c r="D58" s="6">
        <v>4360.8230000000704</v>
      </c>
    </row>
    <row r="59" spans="1:4">
      <c r="A59" s="33" t="s">
        <v>60</v>
      </c>
      <c r="B59" s="6">
        <v>7436.3507999995927</v>
      </c>
      <c r="C59" s="6">
        <v>4029.5202000001063</v>
      </c>
      <c r="D59" s="6">
        <v>3406.8306000000612</v>
      </c>
    </row>
    <row r="60" spans="1:4">
      <c r="A60" s="33" t="s">
        <v>61</v>
      </c>
      <c r="B60" s="6">
        <v>8729.6291999996374</v>
      </c>
      <c r="C60" s="6">
        <v>4684.1426000000201</v>
      </c>
      <c r="D60" s="6">
        <v>4045.4866000001075</v>
      </c>
    </row>
    <row r="61" spans="1:4">
      <c r="A61" s="33" t="s">
        <v>62</v>
      </c>
      <c r="B61" s="6">
        <v>7218.8085999996265</v>
      </c>
      <c r="C61" s="6">
        <v>3702.2090000000826</v>
      </c>
      <c r="D61" s="6">
        <v>3516.5996000000691</v>
      </c>
    </row>
    <row r="62" spans="1:4">
      <c r="A62" s="33" t="s">
        <v>63</v>
      </c>
      <c r="B62" s="6">
        <v>6749.7955999996993</v>
      </c>
      <c r="C62" s="6">
        <v>3404.834800000061</v>
      </c>
      <c r="D62" s="6">
        <v>3344.9608000000567</v>
      </c>
    </row>
    <row r="63" spans="1:4">
      <c r="A63" s="33" t="s">
        <v>64</v>
      </c>
      <c r="B63" s="6">
        <v>6198.9547999997849</v>
      </c>
      <c r="C63" s="6">
        <v>3069.5404000000367</v>
      </c>
      <c r="D63" s="6">
        <v>3129.414400000041</v>
      </c>
    </row>
    <row r="64" spans="1:4">
      <c r="A64" s="33" t="s">
        <v>65</v>
      </c>
      <c r="B64" s="6">
        <v>6390.5515999997551</v>
      </c>
      <c r="C64" s="6">
        <v>3245.1708000000494</v>
      </c>
      <c r="D64" s="6">
        <v>3145.3808000000422</v>
      </c>
    </row>
    <row r="65" spans="1:4">
      <c r="A65" s="33" t="s">
        <v>66</v>
      </c>
      <c r="B65" s="6">
        <v>6492.3373999997393</v>
      </c>
      <c r="C65" s="6">
        <v>3338.9734000000562</v>
      </c>
      <c r="D65" s="6">
        <v>3153.3640000000428</v>
      </c>
    </row>
    <row r="66" spans="1:4">
      <c r="A66" s="33" t="s">
        <v>67</v>
      </c>
      <c r="B66" s="6">
        <v>6530.2575999997334</v>
      </c>
      <c r="C66" s="6">
        <v>3301.0532000000535</v>
      </c>
      <c r="D66" s="6">
        <v>3229.2044000000483</v>
      </c>
    </row>
    <row r="67" spans="1:4">
      <c r="A67" s="33" t="s">
        <v>68</v>
      </c>
      <c r="B67" s="6">
        <v>5386.664199999911</v>
      </c>
      <c r="C67" s="6">
        <v>2730.2544000000121</v>
      </c>
      <c r="D67" s="6">
        <v>2656.4098000000067</v>
      </c>
    </row>
    <row r="68" spans="1:4">
      <c r="A68" s="33" t="s">
        <v>69</v>
      </c>
      <c r="B68" s="6">
        <v>5492.4415999998946</v>
      </c>
      <c r="C68" s="6">
        <v>2694.3300000000095</v>
      </c>
      <c r="D68" s="6">
        <v>2798.111600000017</v>
      </c>
    </row>
    <row r="69" spans="1:4">
      <c r="A69" s="33" t="s">
        <v>70</v>
      </c>
      <c r="B69" s="6">
        <v>5340.7607999999182</v>
      </c>
      <c r="C69" s="6">
        <v>2614.4980000000037</v>
      </c>
      <c r="D69" s="6">
        <v>2726.2628000000118</v>
      </c>
    </row>
    <row r="70" spans="1:4">
      <c r="A70" s="33" t="s">
        <v>71</v>
      </c>
      <c r="B70" s="6">
        <v>5177.1051999999436</v>
      </c>
      <c r="C70" s="6">
        <v>2588.5526000000018</v>
      </c>
      <c r="D70" s="6">
        <v>2588.5526000000018</v>
      </c>
    </row>
    <row r="71" spans="1:4">
      <c r="A71" s="33" t="s">
        <v>72</v>
      </c>
      <c r="B71" s="6">
        <v>6343.8675999998504</v>
      </c>
      <c r="C71" s="6">
        <v>3094.0063999999438</v>
      </c>
      <c r="D71" s="6">
        <v>3249.8611999999393</v>
      </c>
    </row>
    <row r="72" spans="1:4">
      <c r="A72" s="33" t="s">
        <v>73</v>
      </c>
      <c r="B72" s="6">
        <v>5731.993199999868</v>
      </c>
      <c r="C72" s="6">
        <v>2842.906999999951</v>
      </c>
      <c r="D72" s="6">
        <v>2889.0861999999497</v>
      </c>
    </row>
    <row r="73" spans="1:4">
      <c r="A73" s="33" t="s">
        <v>74</v>
      </c>
      <c r="B73" s="6">
        <v>5446.2593999998762</v>
      </c>
      <c r="C73" s="6">
        <v>2707.2555999999549</v>
      </c>
      <c r="D73" s="6">
        <v>2739.003799999954</v>
      </c>
    </row>
    <row r="74" spans="1:4">
      <c r="A74" s="33" t="s">
        <v>75</v>
      </c>
      <c r="B74" s="6">
        <v>5151.8669999998847</v>
      </c>
      <c r="C74" s="6">
        <v>2482.1319999999614</v>
      </c>
      <c r="D74" s="6">
        <v>2669.734999999956</v>
      </c>
    </row>
    <row r="75" spans="1:4">
      <c r="A75" s="33" t="s">
        <v>76</v>
      </c>
      <c r="B75" s="6">
        <v>5359.6733999998787</v>
      </c>
      <c r="C75" s="6">
        <v>2525.4249999999602</v>
      </c>
      <c r="D75" s="6">
        <v>2834.2483999999513</v>
      </c>
    </row>
    <row r="76" spans="1:4">
      <c r="A76" s="33" t="s">
        <v>77</v>
      </c>
      <c r="B76" s="6">
        <v>5174.956599999884</v>
      </c>
      <c r="C76" s="6">
        <v>2381.1149999999643</v>
      </c>
      <c r="D76" s="6">
        <v>2793.8415999999525</v>
      </c>
    </row>
    <row r="77" spans="1:4">
      <c r="A77" s="33" t="s">
        <v>78</v>
      </c>
      <c r="B77" s="6">
        <v>4078.2005999999155</v>
      </c>
      <c r="C77" s="6">
        <v>2031.8847999999743</v>
      </c>
      <c r="D77" s="6">
        <v>2046.3157999999739</v>
      </c>
    </row>
    <row r="78" spans="1:4">
      <c r="A78" s="33" t="s">
        <v>79</v>
      </c>
      <c r="B78" s="6">
        <v>3887.711399999921</v>
      </c>
      <c r="C78" s="6">
        <v>1806.7611999999808</v>
      </c>
      <c r="D78" s="6">
        <v>2080.9501999999729</v>
      </c>
    </row>
    <row r="79" spans="1:4">
      <c r="A79" s="33" t="s">
        <v>80</v>
      </c>
      <c r="B79" s="6">
        <v>3720.3117999999258</v>
      </c>
      <c r="C79" s="6">
        <v>1688.4269999999842</v>
      </c>
      <c r="D79" s="6">
        <v>2031.8847999999743</v>
      </c>
    </row>
    <row r="80" spans="1:4">
      <c r="A80" s="33" t="s">
        <v>81</v>
      </c>
      <c r="B80" s="6">
        <v>4034.9075999999168</v>
      </c>
      <c r="C80" s="6">
        <v>1803.8749999999809</v>
      </c>
      <c r="D80" s="6">
        <v>2231.0325999999686</v>
      </c>
    </row>
    <row r="81" spans="1:4">
      <c r="A81" s="33" t="s">
        <v>82</v>
      </c>
      <c r="B81" s="6">
        <v>3368.1953999999359</v>
      </c>
      <c r="C81" s="6">
        <v>1480.6205999999902</v>
      </c>
      <c r="D81" s="6">
        <v>1887.5747999999785</v>
      </c>
    </row>
    <row r="82" spans="1:4">
      <c r="A82" s="33" t="s">
        <v>83</v>
      </c>
      <c r="B82" s="6">
        <v>3094.0063999999438</v>
      </c>
      <c r="C82" s="6">
        <v>1474.8481999999904</v>
      </c>
      <c r="D82" s="6">
        <v>1619.1581999999862</v>
      </c>
    </row>
    <row r="83" spans="1:4">
      <c r="A83" s="33" t="s">
        <v>84</v>
      </c>
      <c r="B83" s="6">
        <v>2880.42759999995</v>
      </c>
      <c r="C83" s="6">
        <v>1267.0417999999963</v>
      </c>
      <c r="D83" s="6">
        <v>1613.3857999999864</v>
      </c>
    </row>
    <row r="84" spans="1:4">
      <c r="A84" s="33" t="s">
        <v>85</v>
      </c>
      <c r="B84" s="6">
        <v>2923.7205999999487</v>
      </c>
      <c r="C84" s="6">
        <v>1425.7827999999918</v>
      </c>
      <c r="D84" s="6">
        <v>1497.9377999999897</v>
      </c>
    </row>
    <row r="85" spans="1:4">
      <c r="A85" s="33" t="s">
        <v>86</v>
      </c>
      <c r="B85" s="6">
        <v>2978.5583999999471</v>
      </c>
      <c r="C85" s="6">
        <v>1318.9933999999948</v>
      </c>
      <c r="D85" s="6">
        <v>1659.564999999985</v>
      </c>
    </row>
    <row r="86" spans="1:4">
      <c r="A86" s="33" t="s">
        <v>87</v>
      </c>
      <c r="B86" s="6">
        <v>2900.6309999999494</v>
      </c>
      <c r="C86" s="6">
        <v>1420.0103999999919</v>
      </c>
      <c r="D86" s="6">
        <v>1480.6205999999902</v>
      </c>
    </row>
    <row r="87" spans="1:4">
      <c r="A87" s="33" t="s">
        <v>88</v>
      </c>
      <c r="B87" s="6">
        <v>2577.3765999999587</v>
      </c>
      <c r="C87" s="6">
        <v>1177.5695999999989</v>
      </c>
      <c r="D87" s="6">
        <v>1399.8069999999925</v>
      </c>
    </row>
    <row r="88" spans="1:4">
      <c r="A88" s="33" t="s">
        <v>89</v>
      </c>
      <c r="B88" s="6">
        <v>2744.7761999999539</v>
      </c>
      <c r="C88" s="6">
        <v>1298.7899999999954</v>
      </c>
      <c r="D88" s="6">
        <v>1445.9861999999912</v>
      </c>
    </row>
    <row r="89" spans="1:4">
      <c r="A89" s="33" t="s">
        <v>90</v>
      </c>
      <c r="B89" s="6">
        <v>2531.19739999996</v>
      </c>
      <c r="C89" s="6">
        <v>1166.0247999999992</v>
      </c>
      <c r="D89" s="6">
        <v>1365.1725999999935</v>
      </c>
    </row>
    <row r="90" spans="1:4">
      <c r="A90" s="33" t="s">
        <v>91</v>
      </c>
      <c r="B90" s="6">
        <v>2378.2287999999644</v>
      </c>
      <c r="C90" s="6">
        <v>1030.3734000000031</v>
      </c>
      <c r="D90" s="6">
        <v>1347.855399999994</v>
      </c>
    </row>
    <row r="91" spans="1:4">
      <c r="A91" s="33" t="s">
        <v>92</v>
      </c>
      <c r="B91" s="6">
        <v>380.978399999999</v>
      </c>
      <c r="C91" s="6">
        <v>147.19620000000006</v>
      </c>
      <c r="D91" s="6">
        <v>233.78220000000013</v>
      </c>
    </row>
    <row r="92" spans="1:4">
      <c r="A92" s="33" t="s">
        <v>93</v>
      </c>
      <c r="B92" s="6">
        <v>334.79919999999942</v>
      </c>
      <c r="C92" s="6">
        <v>89.472200000000029</v>
      </c>
      <c r="D92" s="6">
        <v>245.32700000000014</v>
      </c>
    </row>
    <row r="93" spans="1:4">
      <c r="A93" s="33" t="s">
        <v>94</v>
      </c>
      <c r="B93" s="6">
        <v>300.16479999999973</v>
      </c>
      <c r="C93" s="6">
        <v>57.724000000000011</v>
      </c>
      <c r="D93" s="6">
        <v>242.44080000000014</v>
      </c>
    </row>
    <row r="94" spans="1:4">
      <c r="A94" s="33" t="s">
        <v>95</v>
      </c>
      <c r="B94" s="6">
        <v>303.0509999999997</v>
      </c>
      <c r="C94" s="6">
        <v>66.382600000000011</v>
      </c>
      <c r="D94" s="6">
        <v>236.66840000000013</v>
      </c>
    </row>
    <row r="95" spans="1:4">
      <c r="A95" s="33" t="s">
        <v>96</v>
      </c>
      <c r="B95" s="6">
        <v>308.82339999999965</v>
      </c>
      <c r="C95" s="6">
        <v>60.610200000000013</v>
      </c>
      <c r="D95" s="6">
        <v>248.21320000000014</v>
      </c>
    </row>
    <row r="96" spans="1:4">
      <c r="A96" s="33" t="s">
        <v>97</v>
      </c>
      <c r="B96" s="6">
        <v>184.71680000000009</v>
      </c>
      <c r="C96" s="6">
        <v>54.837800000000009</v>
      </c>
      <c r="D96" s="6">
        <v>129.87900000000005</v>
      </c>
    </row>
    <row r="97" spans="1:9">
      <c r="A97" s="33" t="s">
        <v>98</v>
      </c>
      <c r="B97" s="6">
        <v>77.92740000000002</v>
      </c>
      <c r="C97" s="6">
        <v>23.089599999999997</v>
      </c>
      <c r="D97" s="6">
        <v>54.837800000000009</v>
      </c>
    </row>
    <row r="98" spans="1:9">
      <c r="A98" s="33" t="s">
        <v>99</v>
      </c>
      <c r="B98" s="6">
        <v>109.67560000000005</v>
      </c>
      <c r="C98" s="6">
        <v>31.748199999999994</v>
      </c>
      <c r="D98" s="6">
        <v>77.92740000000002</v>
      </c>
    </row>
    <row r="99" spans="1:9">
      <c r="A99" s="33" t="s">
        <v>100</v>
      </c>
      <c r="B99" s="6">
        <v>72.155000000000015</v>
      </c>
      <c r="C99" s="6">
        <v>23.089599999999997</v>
      </c>
      <c r="D99" s="6">
        <v>49.065400000000004</v>
      </c>
    </row>
    <row r="100" spans="1:9">
      <c r="A100" s="33" t="s">
        <v>101</v>
      </c>
      <c r="B100" s="6">
        <v>112.56180000000005</v>
      </c>
      <c r="C100" s="6">
        <v>17.3172</v>
      </c>
      <c r="D100" s="6">
        <v>95.244600000000034</v>
      </c>
    </row>
    <row r="101" spans="1:9">
      <c r="A101" s="33" t="s">
        <v>145</v>
      </c>
      <c r="B101" s="6">
        <v>435.81619999999981</v>
      </c>
      <c r="C101" s="6">
        <v>126.99280000000002</v>
      </c>
      <c r="D101" s="6">
        <v>308.82339999999988</v>
      </c>
      <c r="E101" s="34"/>
      <c r="F101" s="34"/>
      <c r="G101" s="45"/>
      <c r="H101" s="45"/>
      <c r="I101" s="45"/>
    </row>
    <row r="102" spans="1:9">
      <c r="A102" s="14"/>
      <c r="B102" s="18"/>
      <c r="C102" s="18"/>
      <c r="D102" s="18"/>
    </row>
    <row r="103" spans="1:9">
      <c r="A103" s="14"/>
      <c r="B103" s="18"/>
      <c r="C103" s="18"/>
      <c r="D103" s="18"/>
    </row>
    <row r="104" spans="1:9">
      <c r="A104" s="14"/>
      <c r="B104" s="18"/>
      <c r="C104" s="18"/>
      <c r="D104" s="18"/>
    </row>
    <row r="105" spans="1:9">
      <c r="A105" s="14"/>
      <c r="B105" s="18"/>
      <c r="C105" s="18"/>
      <c r="D105" s="18"/>
    </row>
    <row r="106" spans="1:9">
      <c r="A106" s="14"/>
      <c r="B106" s="18"/>
      <c r="C106" s="18"/>
      <c r="D106" s="18"/>
    </row>
    <row r="107" spans="1:9">
      <c r="A107" s="14"/>
      <c r="B107" s="18"/>
      <c r="C107" s="18"/>
      <c r="D107" s="18"/>
    </row>
    <row r="108" spans="1:9">
      <c r="A108" s="14"/>
      <c r="B108" s="18"/>
      <c r="C108" s="18"/>
      <c r="D108" s="18"/>
    </row>
    <row r="109" spans="1:9">
      <c r="A109" s="14"/>
      <c r="B109" s="18"/>
      <c r="C109" s="18"/>
      <c r="D109" s="18"/>
    </row>
    <row r="110" spans="1:9">
      <c r="A110" s="14"/>
      <c r="B110" s="18"/>
      <c r="C110" s="18"/>
      <c r="D110" s="18"/>
    </row>
    <row r="111" spans="1:9">
      <c r="A111" s="14"/>
      <c r="B111" s="18"/>
      <c r="C111" s="18"/>
      <c r="D111" s="18"/>
    </row>
    <row r="112" spans="1:9">
      <c r="A112" s="14"/>
      <c r="B112" s="18"/>
      <c r="C112" s="18"/>
      <c r="D112" s="18"/>
    </row>
    <row r="113" spans="1:4">
      <c r="A113" s="14"/>
      <c r="B113" s="18"/>
      <c r="C113" s="18"/>
      <c r="D113" s="18"/>
    </row>
    <row r="114" spans="1:4">
      <c r="A114" s="14"/>
      <c r="B114" s="18"/>
      <c r="C114" s="18"/>
      <c r="D114" s="18"/>
    </row>
    <row r="115" spans="1:4">
      <c r="A115" s="14"/>
      <c r="B115" s="18"/>
      <c r="C115" s="18"/>
      <c r="D115" s="18"/>
    </row>
    <row r="116" spans="1:4">
      <c r="A116" s="14"/>
      <c r="B116" s="18"/>
      <c r="C116" s="18"/>
      <c r="D116" s="18"/>
    </row>
    <row r="117" spans="1:4">
      <c r="A117" s="14"/>
      <c r="B117" s="18"/>
      <c r="C117" s="18"/>
      <c r="D117" s="18"/>
    </row>
    <row r="118" spans="1:4">
      <c r="A118" s="14"/>
      <c r="B118" s="18"/>
      <c r="C118" s="18"/>
      <c r="D118" s="18"/>
    </row>
    <row r="119" spans="1:4">
      <c r="A119" s="14"/>
      <c r="B119" s="18"/>
      <c r="C119" s="18"/>
      <c r="D119" s="18"/>
    </row>
    <row r="120" spans="1:4">
      <c r="A120" s="14"/>
      <c r="B120" s="18"/>
      <c r="C120" s="18"/>
      <c r="D120" s="18"/>
    </row>
    <row r="121" spans="1:4">
      <c r="A121" s="14"/>
      <c r="B121" s="18"/>
      <c r="C121" s="18"/>
      <c r="D121" s="18"/>
    </row>
  </sheetData>
  <mergeCells count="1">
    <mergeCell ref="A1:D1"/>
  </mergeCells>
  <pageMargins left="0.7" right="0.7" top="0.75" bottom="0.75" header="0.3" footer="0.3"/>
  <pageSetup paperSize="9" orientation="portrait" r:id="rId1"/>
  <ignoredErrors>
    <ignoredError sqref="A6:A1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23A3-344C-4617-A64D-E7A574DE476C}">
  <sheetPr>
    <tabColor theme="0"/>
  </sheetPr>
  <dimension ref="A1:I26"/>
  <sheetViews>
    <sheetView workbookViewId="0">
      <selection activeCell="I13" sqref="I13"/>
    </sheetView>
  </sheetViews>
  <sheetFormatPr defaultColWidth="17.140625" defaultRowHeight="14.25" customHeight="1"/>
  <cols>
    <col min="1" max="1" width="19.42578125" style="3" customWidth="1"/>
    <col min="2" max="2" width="10.28515625" style="3" customWidth="1"/>
    <col min="3" max="3" width="12.140625" style="3" customWidth="1"/>
    <col min="4" max="4" width="12.5703125" style="3" customWidth="1"/>
    <col min="5" max="5" width="8.42578125" style="3" customWidth="1"/>
    <col min="6" max="6" width="13.5703125" style="3" hidden="1" customWidth="1"/>
    <col min="7" max="7" width="15.42578125" style="3" hidden="1" customWidth="1"/>
    <col min="8" max="8" width="12.140625" style="3" hidden="1" customWidth="1"/>
    <col min="9" max="16384" width="17.140625" style="3"/>
  </cols>
  <sheetData>
    <row r="1" spans="1:9" ht="15">
      <c r="A1" s="961" t="s">
        <v>102</v>
      </c>
      <c r="B1" s="961"/>
      <c r="C1" s="961"/>
      <c r="D1" s="961"/>
    </row>
    <row r="2" spans="1:9" ht="30.75" customHeight="1">
      <c r="A2" s="1305" t="s">
        <v>569</v>
      </c>
      <c r="B2" s="11" t="s">
        <v>0</v>
      </c>
      <c r="C2" s="11" t="s">
        <v>1</v>
      </c>
      <c r="D2" s="11" t="s">
        <v>2</v>
      </c>
    </row>
    <row r="3" spans="1:9" ht="15">
      <c r="A3" s="37" t="s">
        <v>146</v>
      </c>
      <c r="B3" s="38">
        <v>1523457.302891233</v>
      </c>
      <c r="C3" s="38">
        <v>747444.65199803223</v>
      </c>
      <c r="D3" s="38">
        <v>776012.65089781804</v>
      </c>
    </row>
    <row r="4" spans="1:9" ht="15">
      <c r="A4" s="8"/>
      <c r="B4" s="9"/>
      <c r="C4" s="9"/>
      <c r="D4" s="9"/>
      <c r="F4" s="58"/>
      <c r="G4" s="59">
        <v>2024</v>
      </c>
      <c r="H4" s="58"/>
    </row>
    <row r="5" spans="1:9" ht="15">
      <c r="A5" s="39" t="s">
        <v>103</v>
      </c>
      <c r="B5" s="40"/>
      <c r="C5" s="40"/>
      <c r="D5" s="40"/>
      <c r="F5" s="57" t="s">
        <v>1</v>
      </c>
      <c r="G5" s="61" t="s">
        <v>164</v>
      </c>
      <c r="H5" s="60" t="s">
        <v>2</v>
      </c>
    </row>
    <row r="6" spans="1:9" ht="14.25" customHeight="1">
      <c r="A6" s="22" t="s">
        <v>105</v>
      </c>
      <c r="B6" s="10">
        <v>168061.03679996351</v>
      </c>
      <c r="C6" s="10">
        <v>84198.091199960996</v>
      </c>
      <c r="D6" s="10">
        <v>83862.945599962026</v>
      </c>
      <c r="E6" s="57"/>
      <c r="F6" s="63">
        <f>+C6/$B$3*100</f>
        <v>5.5267772217947293</v>
      </c>
      <c r="G6" s="64">
        <f>+F6*(-1)</f>
        <v>-5.5267772217947293</v>
      </c>
      <c r="H6" s="62">
        <f>+D6/$B$3*100</f>
        <v>5.5047782068329756</v>
      </c>
      <c r="I6" s="62"/>
    </row>
    <row r="7" spans="1:9" ht="15">
      <c r="A7" s="22" t="s">
        <v>106</v>
      </c>
      <c r="B7" s="10">
        <v>184840.24000017435</v>
      </c>
      <c r="C7" s="10">
        <v>92417.889999992345</v>
      </c>
      <c r="D7" s="10">
        <v>92422.349999992337</v>
      </c>
      <c r="E7" s="57"/>
      <c r="F7" s="63">
        <f t="shared" ref="F7:F25" si="0">+C7/$B$3*100</f>
        <v>6.0663262320907005</v>
      </c>
      <c r="G7" s="64">
        <f t="shared" ref="G7:G25" si="1">+F7*(-1)</f>
        <v>-6.0663262320907005</v>
      </c>
      <c r="H7" s="62">
        <f t="shared" ref="H7:H25" si="2">+D7/$B$3*100</f>
        <v>6.0666189872595861</v>
      </c>
    </row>
    <row r="8" spans="1:9" ht="15">
      <c r="A8" s="22" t="s">
        <v>107</v>
      </c>
      <c r="B8" s="10">
        <v>199529.25000024337</v>
      </c>
      <c r="C8" s="10">
        <v>98244.879999981698</v>
      </c>
      <c r="D8" s="10">
        <v>101284.36999997614</v>
      </c>
      <c r="E8" s="57"/>
      <c r="F8" s="63">
        <f t="shared" si="0"/>
        <v>6.4488108602408181</v>
      </c>
      <c r="G8" s="64">
        <f t="shared" si="1"/>
        <v>-6.4488108602408181</v>
      </c>
      <c r="H8" s="62">
        <f t="shared" si="2"/>
        <v>6.6483235078369187</v>
      </c>
    </row>
    <row r="9" spans="1:9" ht="15">
      <c r="A9" s="22" t="s">
        <v>108</v>
      </c>
      <c r="B9" s="10">
        <v>174728.36009991929</v>
      </c>
      <c r="C9" s="10">
        <v>84165.717300076591</v>
      </c>
      <c r="D9" s="10">
        <v>90562.642800086629</v>
      </c>
      <c r="E9" s="57"/>
      <c r="F9" s="63">
        <f t="shared" si="0"/>
        <v>5.5246521934251804</v>
      </c>
      <c r="G9" s="64">
        <f t="shared" si="1"/>
        <v>-5.5246521934251804</v>
      </c>
      <c r="H9" s="62">
        <f t="shared" si="2"/>
        <v>5.9445474860513592</v>
      </c>
    </row>
    <row r="10" spans="1:9" ht="15">
      <c r="A10" s="22" t="s">
        <v>109</v>
      </c>
      <c r="B10" s="10">
        <v>142171.72749993121</v>
      </c>
      <c r="C10" s="10">
        <v>67602.304000029108</v>
      </c>
      <c r="D10" s="10">
        <v>74569.423500012359</v>
      </c>
      <c r="F10" s="63">
        <f t="shared" si="0"/>
        <v>4.4374268889408821</v>
      </c>
      <c r="G10" s="64">
        <f t="shared" si="1"/>
        <v>-4.4374268889408821</v>
      </c>
      <c r="H10" s="62">
        <f t="shared" si="2"/>
        <v>4.8947498140245704</v>
      </c>
    </row>
    <row r="11" spans="1:9" ht="15">
      <c r="A11" s="22" t="s">
        <v>110</v>
      </c>
      <c r="B11" s="10">
        <v>117454.23799990927</v>
      </c>
      <c r="C11" s="10">
        <v>55595.985500021539</v>
      </c>
      <c r="D11" s="10">
        <v>61858.252500029434</v>
      </c>
      <c r="F11" s="63">
        <f t="shared" si="0"/>
        <v>3.6493300727569391</v>
      </c>
      <c r="G11" s="64">
        <f t="shared" si="1"/>
        <v>-3.6493300727569391</v>
      </c>
      <c r="H11" s="62">
        <f t="shared" si="2"/>
        <v>4.0603863582283672</v>
      </c>
    </row>
    <row r="12" spans="1:9" ht="15">
      <c r="A12" s="22" t="s">
        <v>111</v>
      </c>
      <c r="B12" s="10">
        <v>108117.22440009368</v>
      </c>
      <c r="C12" s="10">
        <v>50386.479299994011</v>
      </c>
      <c r="D12" s="10">
        <v>57730.745099986394</v>
      </c>
      <c r="F12" s="63">
        <f t="shared" si="0"/>
        <v>3.3073771876881639</v>
      </c>
      <c r="G12" s="64">
        <f t="shared" si="1"/>
        <v>-3.3073771876881639</v>
      </c>
      <c r="H12" s="62">
        <f t="shared" si="2"/>
        <v>3.7894560609230328</v>
      </c>
    </row>
    <row r="13" spans="1:9" ht="15">
      <c r="A13" s="22" t="s">
        <v>112</v>
      </c>
      <c r="B13" s="10">
        <v>100652.56080007345</v>
      </c>
      <c r="C13" s="10">
        <v>49029.091199995419</v>
      </c>
      <c r="D13" s="10">
        <v>51623.469599992728</v>
      </c>
      <c r="F13" s="63">
        <f t="shared" si="0"/>
        <v>3.2182779987957328</v>
      </c>
      <c r="G13" s="64">
        <f t="shared" si="1"/>
        <v>-3.2182779987957328</v>
      </c>
      <c r="H13" s="62">
        <f t="shared" si="2"/>
        <v>3.3885734442324815</v>
      </c>
    </row>
    <row r="14" spans="1:9" ht="15">
      <c r="A14" s="22" t="s">
        <v>113</v>
      </c>
      <c r="B14" s="10">
        <v>80066.478900017668</v>
      </c>
      <c r="C14" s="10">
        <v>41678.999700003042</v>
      </c>
      <c r="D14" s="10">
        <v>38387.479200006455</v>
      </c>
      <c r="F14" s="63">
        <f t="shared" si="0"/>
        <v>2.7358167256085357</v>
      </c>
      <c r="G14" s="64">
        <f t="shared" si="1"/>
        <v>-2.7358167256085357</v>
      </c>
      <c r="H14" s="62">
        <f t="shared" si="2"/>
        <v>2.5197607525431991</v>
      </c>
    </row>
    <row r="15" spans="1:9" ht="15">
      <c r="A15" s="22" t="s">
        <v>114</v>
      </c>
      <c r="B15" s="10">
        <v>61965.598399962408</v>
      </c>
      <c r="C15" s="10">
        <v>32493.619800006774</v>
      </c>
      <c r="D15" s="10">
        <v>29471.978600005867</v>
      </c>
      <c r="F15" s="63">
        <f t="shared" si="0"/>
        <v>2.1328868054483738</v>
      </c>
      <c r="G15" s="64">
        <f t="shared" si="1"/>
        <v>-2.1328868054483738</v>
      </c>
      <c r="H15" s="62">
        <f t="shared" si="2"/>
        <v>1.9345457561609138</v>
      </c>
    </row>
    <row r="16" spans="1:9" ht="15">
      <c r="A16" s="22" t="s">
        <v>115</v>
      </c>
      <c r="B16" s="10">
        <v>44965.373999988289</v>
      </c>
      <c r="C16" s="10">
        <v>23819.873000004169</v>
      </c>
      <c r="D16" s="10">
        <v>21145.501000003365</v>
      </c>
      <c r="F16" s="63">
        <f t="shared" si="0"/>
        <v>1.5635405701753879</v>
      </c>
      <c r="G16" s="64">
        <f t="shared" si="1"/>
        <v>-1.5635405701753879</v>
      </c>
      <c r="H16" s="62">
        <f t="shared" si="2"/>
        <v>1.3879943310438183</v>
      </c>
    </row>
    <row r="17" spans="1:8" ht="15">
      <c r="A17" s="23" t="s">
        <v>116</v>
      </c>
      <c r="B17" s="10">
        <v>33050.448000006429</v>
      </c>
      <c r="C17" s="10">
        <v>16760.728400002048</v>
      </c>
      <c r="D17" s="10">
        <v>16289.719600001908</v>
      </c>
      <c r="F17" s="63">
        <f t="shared" si="0"/>
        <v>1.1001771016616853</v>
      </c>
      <c r="G17" s="64">
        <f t="shared" si="1"/>
        <v>-1.1001771016616853</v>
      </c>
      <c r="H17" s="62">
        <f t="shared" si="2"/>
        <v>1.069260002829558</v>
      </c>
    </row>
    <row r="18" spans="1:8" ht="15">
      <c r="A18" s="23" t="s">
        <v>117</v>
      </c>
      <c r="B18" s="10">
        <v>27927.229400005403</v>
      </c>
      <c r="C18" s="10">
        <v>13928.688200001199</v>
      </c>
      <c r="D18" s="10">
        <v>13998.54120000122</v>
      </c>
      <c r="F18" s="63">
        <f t="shared" si="0"/>
        <v>0.91428149470071729</v>
      </c>
      <c r="G18" s="64">
        <f t="shared" si="1"/>
        <v>-0.91428149470071729</v>
      </c>
      <c r="H18" s="62">
        <f t="shared" si="2"/>
        <v>0.91886665766310904</v>
      </c>
    </row>
    <row r="19" spans="1:8" ht="15">
      <c r="A19" s="22" t="s">
        <v>118</v>
      </c>
      <c r="B19" s="10">
        <v>28033.660600005478</v>
      </c>
      <c r="C19" s="10">
        <v>13651.726000001361</v>
      </c>
      <c r="D19" s="10">
        <v>14381.93460000157</v>
      </c>
      <c r="F19" s="63">
        <f t="shared" si="0"/>
        <v>0.89610164814550253</v>
      </c>
      <c r="G19" s="64">
        <f t="shared" si="1"/>
        <v>-0.89610164814550253</v>
      </c>
      <c r="H19" s="62">
        <f t="shared" si="2"/>
        <v>0.94403266653468965</v>
      </c>
    </row>
    <row r="20" spans="1:8" ht="15">
      <c r="A20" s="22" t="s">
        <v>119</v>
      </c>
      <c r="B20" s="10">
        <v>20896.088000003434</v>
      </c>
      <c r="C20" s="10">
        <v>9712.0630000002329</v>
      </c>
      <c r="D20" s="10">
        <v>11184.025000000654</v>
      </c>
      <c r="F20" s="63">
        <f t="shared" si="0"/>
        <v>0.6375014896425768</v>
      </c>
      <c r="G20" s="64">
        <f t="shared" si="1"/>
        <v>-0.6375014896425768</v>
      </c>
      <c r="H20" s="62">
        <f t="shared" si="2"/>
        <v>0.73412132908323036</v>
      </c>
    </row>
    <row r="21" spans="1:8" ht="15">
      <c r="A21" s="22" t="s">
        <v>120</v>
      </c>
      <c r="B21" s="10">
        <v>15244.908400001817</v>
      </c>
      <c r="C21" s="10">
        <v>6967.2867999998325</v>
      </c>
      <c r="D21" s="10">
        <v>8277.6215999998221</v>
      </c>
      <c r="F21" s="63">
        <f t="shared" si="0"/>
        <v>0.45733390668561857</v>
      </c>
      <c r="G21" s="64">
        <f t="shared" si="1"/>
        <v>-0.45733390668561857</v>
      </c>
      <c r="H21" s="62">
        <f t="shared" si="2"/>
        <v>0.54334450885433194</v>
      </c>
    </row>
    <row r="22" spans="1:8" ht="15">
      <c r="A22" s="22" t="s">
        <v>121</v>
      </c>
      <c r="B22" s="10">
        <v>13132.210000001212</v>
      </c>
      <c r="C22" s="10">
        <v>6092.7681999998576</v>
      </c>
      <c r="D22" s="10">
        <v>7039.4417999998304</v>
      </c>
      <c r="F22" s="63">
        <f t="shared" si="0"/>
        <v>0.39993035501795415</v>
      </c>
      <c r="G22" s="64">
        <f t="shared" si="1"/>
        <v>-0.39993035501795415</v>
      </c>
      <c r="H22" s="62">
        <f t="shared" si="2"/>
        <v>0.46207017332486483</v>
      </c>
    </row>
    <row r="23" spans="1:8" ht="14.25" customHeight="1">
      <c r="A23" s="22" t="s">
        <v>122</v>
      </c>
      <c r="B23" s="10">
        <v>1627.816799999986</v>
      </c>
      <c r="C23" s="10">
        <v>421.38519999999863</v>
      </c>
      <c r="D23" s="10">
        <v>1206.4315999999981</v>
      </c>
      <c r="F23" s="63">
        <f t="shared" si="0"/>
        <v>2.7659797173198716E-2</v>
      </c>
      <c r="G23" s="64">
        <f t="shared" si="1"/>
        <v>-2.7659797173198716E-2</v>
      </c>
      <c r="H23" s="62">
        <f t="shared" si="2"/>
        <v>7.9190378208199186E-2</v>
      </c>
    </row>
    <row r="24" spans="1:8" ht="10.5" customHeight="1">
      <c r="A24" s="22" t="s">
        <v>123</v>
      </c>
      <c r="B24" s="10">
        <v>557.03659999999832</v>
      </c>
      <c r="C24" s="10">
        <v>150.08240000000006</v>
      </c>
      <c r="D24" s="10">
        <v>406.95419999999876</v>
      </c>
      <c r="F24" s="63">
        <f t="shared" si="0"/>
        <v>9.8514346096324548E-3</v>
      </c>
      <c r="G24" s="64">
        <f t="shared" si="1"/>
        <v>-9.8514346096324548E-3</v>
      </c>
      <c r="H24" s="62">
        <f t="shared" si="2"/>
        <v>2.6712543845349448E-2</v>
      </c>
    </row>
    <row r="25" spans="1:8" ht="15" customHeight="1">
      <c r="A25" s="494" t="s">
        <v>104</v>
      </c>
      <c r="B25" s="16">
        <v>435.8161999999985</v>
      </c>
      <c r="C25" s="16">
        <v>126.99280000000006</v>
      </c>
      <c r="D25" s="16">
        <v>308.82339999999965</v>
      </c>
      <c r="F25" s="63">
        <f t="shared" si="0"/>
        <v>8.3358292850736152E-3</v>
      </c>
      <c r="G25" s="64">
        <f t="shared" si="1"/>
        <v>-8.3358292850736152E-3</v>
      </c>
      <c r="H25" s="62">
        <f t="shared" si="2"/>
        <v>2.0271221215974442E-2</v>
      </c>
    </row>
    <row r="26" spans="1:8" ht="15" customHeight="1">
      <c r="A26" s="14"/>
      <c r="B26" s="14"/>
      <c r="C26" s="14"/>
      <c r="D26" s="14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9F6A-F7F5-435E-8D10-06126ACD4E27}">
  <sheetPr>
    <tabColor theme="0"/>
  </sheetPr>
  <dimension ref="A1:AL83"/>
  <sheetViews>
    <sheetView zoomScale="98" zoomScaleNormal="98" workbookViewId="0">
      <selection activeCell="I19" sqref="I19"/>
    </sheetView>
  </sheetViews>
  <sheetFormatPr defaultColWidth="14.85546875" defaultRowHeight="12.75" customHeight="1"/>
  <cols>
    <col min="1" max="1" width="19.28515625" style="3" customWidth="1"/>
    <col min="2" max="2" width="9.85546875" style="13" customWidth="1"/>
    <col min="3" max="3" width="8.85546875" style="13" customWidth="1"/>
    <col min="4" max="4" width="8.28515625" style="13" customWidth="1"/>
    <col min="5" max="5" width="9.42578125" style="13" customWidth="1"/>
    <col min="6" max="6" width="7" style="14" customWidth="1"/>
    <col min="7" max="38" width="14.85546875" style="14"/>
    <col min="39" max="16384" width="14.85546875" style="3"/>
  </cols>
  <sheetData>
    <row r="1" spans="1:38" ht="23.25" customHeight="1">
      <c r="A1" s="1320" t="s">
        <v>570</v>
      </c>
      <c r="B1" s="1320"/>
      <c r="C1" s="1320"/>
      <c r="D1" s="1320"/>
      <c r="E1" s="1320"/>
    </row>
    <row r="2" spans="1:38" ht="15" customHeight="1">
      <c r="A2" s="1286" t="s">
        <v>495</v>
      </c>
      <c r="B2" s="1278" t="s">
        <v>0</v>
      </c>
      <c r="C2" s="1278" t="s">
        <v>124</v>
      </c>
      <c r="D2" s="1278" t="s">
        <v>125</v>
      </c>
      <c r="E2" s="1278" t="s">
        <v>126</v>
      </c>
    </row>
    <row r="3" spans="1:38" ht="15">
      <c r="A3" s="1289"/>
      <c r="B3" s="1279"/>
      <c r="C3" s="1279"/>
      <c r="D3" s="1279"/>
      <c r="E3" s="1279"/>
    </row>
    <row r="4" spans="1:38" ht="15">
      <c r="A4" s="50" t="s">
        <v>146</v>
      </c>
      <c r="B4" s="1275">
        <v>1523457.302891233</v>
      </c>
      <c r="C4" s="1275">
        <v>552430.52679912525</v>
      </c>
      <c r="D4" s="1275">
        <v>891099.23949705833</v>
      </c>
      <c r="E4" s="1275">
        <v>79927.536599984058</v>
      </c>
    </row>
    <row r="5" spans="1:38" ht="15">
      <c r="A5" s="51" t="s">
        <v>3</v>
      </c>
      <c r="B5" s="1303"/>
      <c r="C5" s="1303"/>
      <c r="D5" s="1303"/>
      <c r="E5" s="1303"/>
    </row>
    <row r="6" spans="1:38" s="495" customFormat="1" ht="15">
      <c r="A6" s="52" t="s">
        <v>4</v>
      </c>
      <c r="B6" s="1293">
        <v>1373789.4338926736</v>
      </c>
      <c r="C6" s="1293">
        <v>500831.96639936866</v>
      </c>
      <c r="D6" s="1293">
        <v>806248.72689767473</v>
      </c>
      <c r="E6" s="1293">
        <v>66708.740600013596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ht="15">
      <c r="A7" s="52" t="s">
        <v>5</v>
      </c>
      <c r="B7" s="1293">
        <v>149667.86900003566</v>
      </c>
      <c r="C7" s="1293">
        <v>51598.560400018207</v>
      </c>
      <c r="D7" s="1293">
        <v>84850.512600016227</v>
      </c>
      <c r="E7" s="1293">
        <v>13218.796000001237</v>
      </c>
    </row>
    <row r="8" spans="1:38" ht="15">
      <c r="A8" s="93" t="s">
        <v>142</v>
      </c>
      <c r="B8" s="1275"/>
      <c r="C8" s="1275"/>
      <c r="D8" s="1275"/>
      <c r="E8" s="1294"/>
    </row>
    <row r="9" spans="1:38" ht="13.5" customHeight="1">
      <c r="A9" s="484" t="s">
        <v>148</v>
      </c>
      <c r="B9" s="1307">
        <f>+B10+B11+B12+B13</f>
        <v>67172.710099999924</v>
      </c>
      <c r="C9" s="1307">
        <f t="shared" ref="C9:E9" si="0">+C10+C11+C12+C13</f>
        <v>21583.166399999147</v>
      </c>
      <c r="D9" s="1307">
        <f t="shared" si="0"/>
        <v>37952.658499999736</v>
      </c>
      <c r="E9" s="1307">
        <f t="shared" si="0"/>
        <v>7636.8851999999033</v>
      </c>
    </row>
    <row r="10" spans="1:38" ht="13.5" customHeight="1">
      <c r="A10" s="101" t="s">
        <v>148</v>
      </c>
      <c r="B10" s="1293">
        <v>23828.017499999733</v>
      </c>
      <c r="C10" s="1293">
        <v>8081.9827999994968</v>
      </c>
      <c r="D10" s="1293">
        <v>13777.646300000015</v>
      </c>
      <c r="E10" s="1293">
        <v>1968.3883999999762</v>
      </c>
    </row>
    <row r="11" spans="1:38" ht="13.5" customHeight="1">
      <c r="A11" s="101" t="s">
        <v>149</v>
      </c>
      <c r="B11" s="1293">
        <v>24592.758700001028</v>
      </c>
      <c r="C11" s="1293">
        <v>7617.3371999996125</v>
      </c>
      <c r="D11" s="1293">
        <v>13229.133900000201</v>
      </c>
      <c r="E11" s="1293">
        <v>3746.2875999999251</v>
      </c>
    </row>
    <row r="12" spans="1:38" ht="13.5" customHeight="1">
      <c r="A12" s="101" t="s">
        <v>150</v>
      </c>
      <c r="B12" s="1293">
        <v>7824.3026999995591</v>
      </c>
      <c r="C12" s="1293">
        <v>2367.1872000000144</v>
      </c>
      <c r="D12" s="1293">
        <v>4646.0932999998704</v>
      </c>
      <c r="E12" s="1293">
        <v>811.02220000000102</v>
      </c>
    </row>
    <row r="13" spans="1:38" ht="13.5" customHeight="1">
      <c r="A13" s="101" t="s">
        <v>151</v>
      </c>
      <c r="B13" s="1293">
        <v>10927.631199999607</v>
      </c>
      <c r="C13" s="1293">
        <v>3516.6592000000223</v>
      </c>
      <c r="D13" s="1293">
        <v>6299.7849999996524</v>
      </c>
      <c r="E13" s="1293">
        <v>1111.1870000000008</v>
      </c>
    </row>
    <row r="14" spans="1:38" ht="13.5" customHeight="1">
      <c r="A14" s="484" t="s">
        <v>152</v>
      </c>
      <c r="B14" s="1307">
        <f>+B15+B16+B17+B18</f>
        <v>30475.572399998917</v>
      </c>
      <c r="C14" s="1307">
        <f t="shared" ref="C14:E14" si="1">+C15+C16+C17+C18</f>
        <v>11917.586799999812</v>
      </c>
      <c r="D14" s="1307">
        <f t="shared" si="1"/>
        <v>16300.97719999953</v>
      </c>
      <c r="E14" s="1307">
        <f t="shared" si="1"/>
        <v>2257.0083999999897</v>
      </c>
    </row>
    <row r="15" spans="1:38" ht="13.5" customHeight="1">
      <c r="A15" s="101" t="s">
        <v>153</v>
      </c>
      <c r="B15" s="1293">
        <v>17370.327199999287</v>
      </c>
      <c r="C15" s="1293">
        <v>6137.4215999997768</v>
      </c>
      <c r="D15" s="1293">
        <v>9798.464199999602</v>
      </c>
      <c r="E15" s="1293">
        <v>1434.4413999999915</v>
      </c>
    </row>
    <row r="16" spans="1:38" ht="13.5" customHeight="1">
      <c r="A16" s="101" t="s">
        <v>154</v>
      </c>
      <c r="B16" s="1293">
        <v>1980.7415000000008</v>
      </c>
      <c r="C16" s="1293">
        <v>825.61120000000381</v>
      </c>
      <c r="D16" s="1293">
        <v>1019.4789000000043</v>
      </c>
      <c r="E16" s="1293">
        <v>135.65140000000005</v>
      </c>
    </row>
    <row r="17" spans="1:5" ht="13.5" customHeight="1">
      <c r="A17" s="101" t="s">
        <v>155</v>
      </c>
      <c r="B17" s="1293">
        <v>5029.6588999998758</v>
      </c>
      <c r="C17" s="1293">
        <v>2288.6268000000136</v>
      </c>
      <c r="D17" s="1293">
        <v>2507.2498999999671</v>
      </c>
      <c r="E17" s="1293">
        <v>233.78220000000013</v>
      </c>
    </row>
    <row r="18" spans="1:5" ht="13.5" customHeight="1">
      <c r="A18" s="101" t="s">
        <v>156</v>
      </c>
      <c r="B18" s="1293">
        <v>6094.8447999997561</v>
      </c>
      <c r="C18" s="1293">
        <v>2665.927200000016</v>
      </c>
      <c r="D18" s="1293">
        <v>2975.7841999999559</v>
      </c>
      <c r="E18" s="1293">
        <v>453.13339999999835</v>
      </c>
    </row>
    <row r="19" spans="1:5" ht="13.5" customHeight="1">
      <c r="A19" s="484" t="s">
        <v>157</v>
      </c>
      <c r="B19" s="1307">
        <f>+B20+B21+B22</f>
        <v>608623.14910005499</v>
      </c>
      <c r="C19" s="1307">
        <f t="shared" ref="C19:E19" si="2">+C20+C21+C22</f>
        <v>224300.19159991521</v>
      </c>
      <c r="D19" s="1307">
        <f t="shared" si="2"/>
        <v>354427.69790022663</v>
      </c>
      <c r="E19" s="1307">
        <f t="shared" si="2"/>
        <v>29895.259600001977</v>
      </c>
    </row>
    <row r="20" spans="1:5" ht="13.5" customHeight="1">
      <c r="A20" s="101" t="s">
        <v>157</v>
      </c>
      <c r="B20" s="1293">
        <v>352282.74590001535</v>
      </c>
      <c r="C20" s="1293">
        <v>131159.55519988926</v>
      </c>
      <c r="D20" s="1293">
        <v>204236.03450019745</v>
      </c>
      <c r="E20" s="1293">
        <v>16887.156200002286</v>
      </c>
    </row>
    <row r="21" spans="1:5" ht="13.5" customHeight="1">
      <c r="A21" s="101" t="s">
        <v>158</v>
      </c>
      <c r="B21" s="1293">
        <v>105553.13849999523</v>
      </c>
      <c r="C21" s="1293">
        <v>38971.509200004206</v>
      </c>
      <c r="D21" s="1293">
        <v>60956.425500005971</v>
      </c>
      <c r="E21" s="1293">
        <v>5625.2037999998711</v>
      </c>
    </row>
    <row r="22" spans="1:5" ht="13.5" customHeight="1">
      <c r="A22" s="101" t="s">
        <v>159</v>
      </c>
      <c r="B22" s="1293">
        <v>150787.26470004438</v>
      </c>
      <c r="C22" s="1293">
        <v>54169.127200021743</v>
      </c>
      <c r="D22" s="1293">
        <v>89235.237900023232</v>
      </c>
      <c r="E22" s="1293">
        <v>7382.8995999998206</v>
      </c>
    </row>
    <row r="23" spans="1:5" ht="13.5" customHeight="1">
      <c r="A23" s="484" t="s">
        <v>160</v>
      </c>
      <c r="B23" s="1307">
        <f>+B24</f>
        <v>652269.52909872704</v>
      </c>
      <c r="C23" s="1307">
        <f t="shared" ref="C23:E23" si="3">+C24</f>
        <v>236740.7000003641</v>
      </c>
      <c r="D23" s="1307">
        <f t="shared" si="3"/>
        <v>385936.62049991905</v>
      </c>
      <c r="E23" s="1307">
        <f t="shared" si="3"/>
        <v>29592.208600005924</v>
      </c>
    </row>
    <row r="24" spans="1:5" ht="13.5" customHeight="1">
      <c r="A24" s="101" t="s">
        <v>160</v>
      </c>
      <c r="B24" s="1293">
        <v>652269.52909872704</v>
      </c>
      <c r="C24" s="1293">
        <v>236740.7000003641</v>
      </c>
      <c r="D24" s="1293">
        <v>385936.62049991905</v>
      </c>
      <c r="E24" s="1293">
        <v>29592.208600005924</v>
      </c>
    </row>
    <row r="25" spans="1:5" ht="13.5" customHeight="1">
      <c r="A25" s="484" t="s">
        <v>161</v>
      </c>
      <c r="B25" s="1307">
        <f>+B26</f>
        <v>23088.891099999786</v>
      </c>
      <c r="C25" s="1307">
        <f t="shared" ref="C25:E25" si="4">+C26</f>
        <v>9256.2811999991936</v>
      </c>
      <c r="D25" s="1307">
        <f t="shared" si="4"/>
        <v>12810.895099999898</v>
      </c>
      <c r="E25" s="1307">
        <f t="shared" si="4"/>
        <v>1021.7148000000033</v>
      </c>
    </row>
    <row r="26" spans="1:5" ht="13.5" customHeight="1">
      <c r="A26" s="101" t="s">
        <v>161</v>
      </c>
      <c r="B26" s="1293">
        <v>23088.891099999786</v>
      </c>
      <c r="C26" s="1293">
        <v>9256.2811999991936</v>
      </c>
      <c r="D26" s="1293">
        <v>12810.895099999898</v>
      </c>
      <c r="E26" s="1293">
        <v>1021.7148000000033</v>
      </c>
    </row>
    <row r="27" spans="1:5" ht="13.5" customHeight="1">
      <c r="A27" s="484" t="s">
        <v>162</v>
      </c>
      <c r="B27" s="1307">
        <f>+B28</f>
        <v>35371.509800000895</v>
      </c>
      <c r="C27" s="1307">
        <f t="shared" ref="C27:E27" si="5">+C28</f>
        <v>13055.90759999816</v>
      </c>
      <c r="D27" s="1307">
        <f t="shared" si="5"/>
        <v>19905.625200000457</v>
      </c>
      <c r="E27" s="1307">
        <f t="shared" si="5"/>
        <v>2409.9769999999635</v>
      </c>
    </row>
    <row r="28" spans="1:5" ht="13.5" customHeight="1">
      <c r="A28" s="101" t="s">
        <v>162</v>
      </c>
      <c r="B28" s="1293">
        <v>35371.509800000895</v>
      </c>
      <c r="C28" s="1293">
        <v>13055.90759999816</v>
      </c>
      <c r="D28" s="1293">
        <v>19905.625200000457</v>
      </c>
      <c r="E28" s="1293">
        <v>2409.9769999999635</v>
      </c>
    </row>
    <row r="29" spans="1:5" ht="13.5" customHeight="1">
      <c r="A29" s="484" t="s">
        <v>163</v>
      </c>
      <c r="B29" s="1307">
        <f>+B30</f>
        <v>106455.94129998244</v>
      </c>
      <c r="C29" s="1307">
        <f t="shared" ref="C29:E29" si="6">+C30</f>
        <v>35576.693200000474</v>
      </c>
      <c r="D29" s="1307">
        <f t="shared" si="6"/>
        <v>63764.765100003977</v>
      </c>
      <c r="E29" s="1307">
        <f t="shared" si="6"/>
        <v>7114.4829999998283</v>
      </c>
    </row>
    <row r="30" spans="1:5" ht="13.5" customHeight="1">
      <c r="A30" s="101" t="s">
        <v>163</v>
      </c>
      <c r="B30" s="381">
        <v>106455.94129998244</v>
      </c>
      <c r="C30" s="381">
        <v>35576.693200000474</v>
      </c>
      <c r="D30" s="381">
        <v>63764.765100003977</v>
      </c>
      <c r="E30" s="381">
        <v>7114.4829999998283</v>
      </c>
    </row>
    <row r="31" spans="1:5" ht="13.5" customHeight="1">
      <c r="A31" s="487"/>
      <c r="B31" s="1277"/>
      <c r="C31" s="1277"/>
      <c r="D31" s="1277"/>
      <c r="E31" s="1277"/>
    </row>
    <row r="32" spans="1:5" ht="13.5" customHeight="1">
      <c r="A32" s="488"/>
      <c r="B32" s="687"/>
      <c r="C32" s="687"/>
      <c r="D32" s="687"/>
      <c r="E32" s="687"/>
    </row>
    <row r="33" spans="1:5" ht="13.5" customHeight="1">
      <c r="A33" s="487"/>
      <c r="B33" s="1277"/>
      <c r="C33" s="1277"/>
      <c r="D33" s="1277"/>
      <c r="E33" s="1277"/>
    </row>
    <row r="34" spans="1:5" ht="13.5" customHeight="1">
      <c r="A34" s="488"/>
      <c r="B34" s="687"/>
      <c r="C34" s="687"/>
      <c r="D34" s="687"/>
      <c r="E34" s="687"/>
    </row>
    <row r="35" spans="1:5" ht="13.5" customHeight="1">
      <c r="A35" s="488"/>
      <c r="B35" s="687"/>
      <c r="C35" s="687"/>
      <c r="D35" s="687"/>
      <c r="E35" s="687"/>
    </row>
    <row r="36" spans="1:5" ht="13.5" customHeight="1">
      <c r="A36" s="488"/>
      <c r="B36" s="687"/>
      <c r="C36" s="687"/>
      <c r="D36" s="687"/>
      <c r="E36" s="687"/>
    </row>
    <row r="37" spans="1:5" ht="13.5" customHeight="1">
      <c r="A37" s="487"/>
      <c r="B37" s="1277"/>
      <c r="C37" s="1277"/>
      <c r="D37" s="1277"/>
      <c r="E37" s="1277"/>
    </row>
    <row r="38" spans="1:5" ht="13.5" customHeight="1">
      <c r="A38" s="488"/>
      <c r="B38" s="687"/>
      <c r="C38" s="687"/>
      <c r="D38" s="687"/>
      <c r="E38" s="687"/>
    </row>
    <row r="39" spans="1:5" ht="13.5" customHeight="1">
      <c r="A39" s="487"/>
      <c r="B39" s="1277"/>
      <c r="C39" s="1277"/>
      <c r="D39" s="1277"/>
      <c r="E39" s="1277"/>
    </row>
    <row r="40" spans="1:5" ht="13.5" customHeight="1">
      <c r="A40" s="488"/>
      <c r="B40" s="687"/>
      <c r="C40" s="687"/>
      <c r="D40" s="687"/>
      <c r="E40" s="687"/>
    </row>
    <row r="41" spans="1:5" ht="13.5" customHeight="1">
      <c r="A41" s="487"/>
      <c r="B41" s="1277"/>
      <c r="C41" s="1277"/>
      <c r="D41" s="1277"/>
      <c r="E41" s="1277"/>
    </row>
    <row r="42" spans="1:5" ht="13.5" customHeight="1">
      <c r="A42" s="488"/>
      <c r="B42" s="687"/>
      <c r="C42" s="687"/>
      <c r="D42" s="687"/>
      <c r="E42" s="687"/>
    </row>
    <row r="43" spans="1:5" ht="13.5" customHeight="1">
      <c r="A43" s="487"/>
      <c r="B43" s="1277"/>
      <c r="C43" s="1277"/>
      <c r="D43" s="1277"/>
      <c r="E43" s="1277"/>
    </row>
    <row r="44" spans="1:5" ht="13.5" customHeight="1">
      <c r="A44" s="29"/>
      <c r="B44" s="687"/>
      <c r="C44" s="687"/>
      <c r="D44" s="687"/>
      <c r="E44" s="687"/>
    </row>
    <row r="45" spans="1:5" ht="13.5" customHeight="1">
      <c r="A45" s="27"/>
      <c r="B45" s="1277"/>
      <c r="C45" s="1277"/>
      <c r="D45" s="1277"/>
      <c r="E45" s="1277"/>
    </row>
    <row r="46" spans="1:5" ht="13.5" customHeight="1">
      <c r="A46" s="29"/>
      <c r="B46" s="687"/>
      <c r="C46" s="687"/>
      <c r="D46" s="687"/>
      <c r="E46" s="687"/>
    </row>
    <row r="47" spans="1:5" ht="13.5" customHeight="1">
      <c r="A47" s="29"/>
      <c r="B47" s="687"/>
      <c r="C47" s="687"/>
      <c r="D47" s="687"/>
      <c r="E47" s="687"/>
    </row>
    <row r="48" spans="1:5" ht="13.5" customHeight="1">
      <c r="A48" s="27"/>
      <c r="B48" s="1277"/>
      <c r="C48" s="1277"/>
      <c r="D48" s="1277"/>
      <c r="E48" s="1277"/>
    </row>
    <row r="49" spans="1:5" ht="13.5" customHeight="1">
      <c r="A49" s="29"/>
      <c r="B49" s="687"/>
      <c r="C49" s="687"/>
      <c r="D49" s="687"/>
      <c r="E49" s="687"/>
    </row>
    <row r="50" spans="1:5" ht="13.5" customHeight="1">
      <c r="A50" s="29"/>
      <c r="B50" s="687"/>
      <c r="C50" s="687"/>
      <c r="D50" s="687"/>
      <c r="E50" s="687"/>
    </row>
    <row r="51" spans="1:5" ht="13.5" customHeight="1">
      <c r="A51" s="27"/>
      <c r="B51" s="1277"/>
      <c r="C51" s="1277"/>
      <c r="D51" s="1277"/>
      <c r="E51" s="1277"/>
    </row>
    <row r="52" spans="1:5" ht="13.5" customHeight="1">
      <c r="A52" s="29"/>
      <c r="B52" s="687"/>
      <c r="C52" s="687"/>
      <c r="D52" s="687"/>
      <c r="E52" s="687"/>
    </row>
    <row r="53" spans="1:5" ht="13.5" customHeight="1">
      <c r="A53" s="29"/>
      <c r="B53" s="687"/>
      <c r="C53" s="687"/>
      <c r="D53" s="687"/>
      <c r="E53" s="687"/>
    </row>
    <row r="54" spans="1:5" ht="13.5" customHeight="1">
      <c r="A54" s="27"/>
      <c r="B54" s="1277"/>
      <c r="C54" s="1277"/>
      <c r="D54" s="1277"/>
      <c r="E54" s="1277"/>
    </row>
    <row r="55" spans="1:5" ht="13.5" customHeight="1">
      <c r="A55" s="29"/>
      <c r="B55" s="687"/>
      <c r="C55" s="687"/>
      <c r="D55" s="687"/>
      <c r="E55" s="687"/>
    </row>
    <row r="56" spans="1:5" ht="13.5" customHeight="1">
      <c r="A56" s="27"/>
      <c r="B56" s="1277"/>
      <c r="C56" s="1277"/>
      <c r="D56" s="1277"/>
      <c r="E56" s="1277"/>
    </row>
    <row r="57" spans="1:5" ht="13.5" customHeight="1">
      <c r="A57" s="29"/>
      <c r="B57" s="687"/>
      <c r="C57" s="687"/>
      <c r="D57" s="687"/>
      <c r="E57" s="687"/>
    </row>
    <row r="58" spans="1:5" ht="13.5" customHeight="1">
      <c r="A58" s="29"/>
      <c r="B58" s="687"/>
      <c r="C58" s="687"/>
      <c r="D58" s="687"/>
      <c r="E58" s="687"/>
    </row>
    <row r="59" spans="1:5" ht="13.5" customHeight="1">
      <c r="A59" s="27"/>
      <c r="B59" s="1277"/>
      <c r="C59" s="1277"/>
      <c r="D59" s="1277"/>
      <c r="E59" s="1277"/>
    </row>
    <row r="60" spans="1:5" ht="13.5" customHeight="1">
      <c r="A60" s="29"/>
      <c r="B60" s="687"/>
      <c r="C60" s="687"/>
      <c r="D60" s="687"/>
      <c r="E60" s="687"/>
    </row>
    <row r="61" spans="1:5" ht="13.5" customHeight="1">
      <c r="A61" s="27"/>
      <c r="B61" s="1277"/>
      <c r="C61" s="1277"/>
      <c r="D61" s="1277"/>
      <c r="E61" s="1277"/>
    </row>
    <row r="62" spans="1:5" ht="13.5" customHeight="1">
      <c r="A62" s="29"/>
      <c r="B62" s="687"/>
      <c r="C62" s="687"/>
      <c r="D62" s="687"/>
      <c r="E62" s="687"/>
    </row>
    <row r="63" spans="1:5" ht="13.5" customHeight="1">
      <c r="A63" s="29"/>
      <c r="B63" s="687"/>
      <c r="C63" s="687"/>
      <c r="D63" s="687"/>
      <c r="E63" s="687"/>
    </row>
    <row r="64" spans="1:5" ht="13.5" customHeight="1">
      <c r="A64" s="29"/>
      <c r="B64" s="687"/>
      <c r="C64" s="687"/>
      <c r="D64" s="687"/>
      <c r="E64" s="687"/>
    </row>
    <row r="65" spans="1:5" ht="13.5" customHeight="1">
      <c r="A65" s="27"/>
      <c r="B65" s="1277"/>
      <c r="C65" s="1277"/>
      <c r="D65" s="1277"/>
      <c r="E65" s="1277"/>
    </row>
    <row r="66" spans="1:5" ht="13.5" customHeight="1">
      <c r="A66" s="29"/>
      <c r="B66" s="687"/>
      <c r="C66" s="687"/>
      <c r="D66" s="687"/>
      <c r="E66" s="687"/>
    </row>
    <row r="67" spans="1:5" ht="13.5" customHeight="1">
      <c r="A67" s="29"/>
      <c r="B67" s="687"/>
      <c r="C67" s="687"/>
      <c r="D67" s="687"/>
      <c r="E67" s="687"/>
    </row>
    <row r="68" spans="1:5" ht="13.5" customHeight="1">
      <c r="A68" s="27"/>
      <c r="B68" s="1277"/>
      <c r="C68" s="1277"/>
      <c r="D68" s="1277"/>
      <c r="E68" s="1277"/>
    </row>
    <row r="69" spans="1:5" ht="13.5" customHeight="1">
      <c r="A69" s="29"/>
      <c r="B69" s="687"/>
      <c r="C69" s="687"/>
      <c r="D69" s="687"/>
      <c r="E69" s="687"/>
    </row>
    <row r="70" spans="1:5" ht="13.5" customHeight="1">
      <c r="A70" s="27"/>
      <c r="B70" s="1277"/>
      <c r="C70" s="1277"/>
      <c r="D70" s="1277"/>
      <c r="E70" s="1277"/>
    </row>
    <row r="71" spans="1:5" ht="13.5" customHeight="1">
      <c r="A71" s="29"/>
      <c r="B71" s="687"/>
      <c r="C71" s="687"/>
      <c r="D71" s="687"/>
      <c r="E71" s="687"/>
    </row>
    <row r="72" spans="1:5" ht="13.5" customHeight="1">
      <c r="A72" s="27"/>
      <c r="B72" s="1277"/>
      <c r="C72" s="1277"/>
      <c r="D72" s="1277"/>
      <c r="E72" s="1277"/>
    </row>
    <row r="73" spans="1:5" ht="13.5" customHeight="1">
      <c r="A73" s="29"/>
      <c r="B73" s="687"/>
      <c r="C73" s="687"/>
      <c r="D73" s="687"/>
      <c r="E73" s="687"/>
    </row>
    <row r="74" spans="1:5" ht="13.5" customHeight="1">
      <c r="A74" s="491"/>
      <c r="B74" s="1277"/>
      <c r="C74" s="1277"/>
      <c r="D74" s="1277"/>
      <c r="E74" s="1277"/>
    </row>
    <row r="75" spans="1:5" ht="13.5" customHeight="1">
      <c r="A75" s="492"/>
      <c r="B75" s="687"/>
      <c r="C75" s="687"/>
      <c r="D75" s="687"/>
      <c r="E75" s="687"/>
    </row>
    <row r="76" spans="1:5" ht="13.5" customHeight="1">
      <c r="A76" s="491"/>
      <c r="B76" s="1277"/>
      <c r="C76" s="1277"/>
      <c r="D76" s="1277"/>
      <c r="E76" s="1277"/>
    </row>
    <row r="77" spans="1:5" ht="13.5" customHeight="1">
      <c r="A77" s="492"/>
      <c r="B77" s="687"/>
      <c r="C77" s="687"/>
      <c r="D77" s="687"/>
      <c r="E77" s="687"/>
    </row>
    <row r="78" spans="1:5" ht="13.5" customHeight="1">
      <c r="A78" s="491"/>
      <c r="B78" s="1277"/>
      <c r="C78" s="1277"/>
      <c r="D78" s="1277"/>
      <c r="E78" s="1277"/>
    </row>
    <row r="79" spans="1:5" ht="13.5" customHeight="1">
      <c r="A79" s="492"/>
      <c r="B79" s="687"/>
      <c r="C79" s="687"/>
      <c r="D79" s="687"/>
      <c r="E79" s="687"/>
    </row>
    <row r="80" spans="1:5" ht="13.5" customHeight="1">
      <c r="A80" s="492"/>
      <c r="B80" s="687"/>
      <c r="C80" s="687"/>
      <c r="D80" s="687"/>
      <c r="E80" s="687"/>
    </row>
    <row r="81" spans="1:5" ht="13.5" customHeight="1">
      <c r="A81" s="491"/>
      <c r="B81" s="1277"/>
      <c r="C81" s="1277"/>
      <c r="D81" s="1277"/>
      <c r="E81" s="1277"/>
    </row>
    <row r="82" spans="1:5" ht="13.5" customHeight="1">
      <c r="A82" s="492"/>
      <c r="B82" s="687"/>
      <c r="C82" s="687"/>
      <c r="D82" s="687"/>
      <c r="E82" s="687"/>
    </row>
    <row r="83" spans="1:5" ht="12.75" customHeight="1">
      <c r="A83" s="14"/>
      <c r="B83" s="17"/>
      <c r="C83" s="17"/>
      <c r="D83" s="17"/>
      <c r="E83" s="17"/>
    </row>
  </sheetData>
  <mergeCells count="6">
    <mergeCell ref="B2:B3"/>
    <mergeCell ref="C2:C3"/>
    <mergeCell ref="D2:D3"/>
    <mergeCell ref="E2:E3"/>
    <mergeCell ref="A2:A3"/>
    <mergeCell ref="A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AF6B-6392-4A42-B3DC-72EBF0A14706}">
  <sheetPr>
    <tabColor theme="0"/>
  </sheetPr>
  <dimension ref="A1:H108"/>
  <sheetViews>
    <sheetView workbookViewId="0">
      <selection activeCell="C11" sqref="C11"/>
    </sheetView>
  </sheetViews>
  <sheetFormatPr defaultColWidth="10.28515625" defaultRowHeight="15"/>
  <cols>
    <col min="1" max="1" width="17.42578125" style="56" customWidth="1"/>
    <col min="2" max="7" width="9.85546875" style="1316" customWidth="1"/>
    <col min="8" max="8" width="9.7109375" style="1316" customWidth="1"/>
    <col min="9" max="16384" width="10.28515625" style="3"/>
  </cols>
  <sheetData>
    <row r="1" spans="1:8" ht="15" customHeight="1">
      <c r="A1" s="1320" t="s">
        <v>571</v>
      </c>
      <c r="B1" s="1320"/>
      <c r="C1" s="1320"/>
      <c r="D1" s="1320"/>
      <c r="E1" s="1320"/>
      <c r="F1" s="1320"/>
      <c r="G1" s="1320"/>
      <c r="H1" s="1320"/>
    </row>
    <row r="2" spans="1:8" ht="29.25" customHeight="1">
      <c r="A2" s="1328" t="s">
        <v>495</v>
      </c>
      <c r="B2" s="1299" t="s">
        <v>0</v>
      </c>
      <c r="C2" s="1323" t="s">
        <v>127</v>
      </c>
      <c r="D2" s="1323" t="s">
        <v>128</v>
      </c>
      <c r="E2" s="1323" t="s">
        <v>129</v>
      </c>
      <c r="F2" s="1323" t="s">
        <v>130</v>
      </c>
      <c r="G2" s="1323" t="s">
        <v>131</v>
      </c>
      <c r="H2" s="1323" t="s">
        <v>132</v>
      </c>
    </row>
    <row r="3" spans="1:8" ht="15.75" customHeight="1">
      <c r="A3" s="50" t="s">
        <v>146</v>
      </c>
      <c r="B3" s="1274">
        <v>1523457.302891233</v>
      </c>
      <c r="C3" s="1274">
        <v>727158.88689951238</v>
      </c>
      <c r="D3" s="1274">
        <v>259625.96550050969</v>
      </c>
      <c r="E3" s="1274">
        <v>395767.23649882677</v>
      </c>
      <c r="F3" s="1274">
        <v>60977.677399963912</v>
      </c>
      <c r="G3" s="1274">
        <v>48929.748600011459</v>
      </c>
      <c r="H3" s="1274">
        <v>30997.788000006327</v>
      </c>
    </row>
    <row r="4" spans="1:8" ht="15.75" customHeight="1">
      <c r="A4" s="1310"/>
      <c r="B4" s="1308"/>
      <c r="C4" s="1308"/>
      <c r="D4" s="1308"/>
      <c r="E4" s="1308"/>
      <c r="F4" s="1308"/>
      <c r="G4" s="1308"/>
      <c r="H4" s="1308"/>
    </row>
    <row r="5" spans="1:8" ht="13.5" customHeight="1">
      <c r="A5" s="50" t="s">
        <v>3</v>
      </c>
      <c r="B5" s="1274"/>
      <c r="C5" s="1274"/>
      <c r="D5" s="1274"/>
      <c r="E5" s="1274"/>
      <c r="F5" s="1274"/>
      <c r="G5" s="1274"/>
      <c r="H5" s="1274"/>
    </row>
    <row r="6" spans="1:8" ht="17.25" customHeight="1">
      <c r="A6" s="52" t="s">
        <v>4</v>
      </c>
      <c r="B6" s="1300">
        <v>1373789.4338926736</v>
      </c>
      <c r="C6" s="1300">
        <v>660742.37369961734</v>
      </c>
      <c r="D6" s="1300">
        <v>234654.3320003867</v>
      </c>
      <c r="E6" s="1300">
        <v>359525.75039927434</v>
      </c>
      <c r="F6" s="1300">
        <v>52158.237199977339</v>
      </c>
      <c r="G6" s="1300">
        <v>40528.020400009053</v>
      </c>
      <c r="H6" s="1300">
        <v>26180.720200004947</v>
      </c>
    </row>
    <row r="7" spans="1:8">
      <c r="A7" s="52" t="s">
        <v>5</v>
      </c>
      <c r="B7" s="1300">
        <v>149667.86900003566</v>
      </c>
      <c r="C7" s="1300">
        <v>66416.513200034431</v>
      </c>
      <c r="D7" s="1300">
        <v>24971.633499997217</v>
      </c>
      <c r="E7" s="1300">
        <v>36241.486100006245</v>
      </c>
      <c r="F7" s="1300">
        <v>8819.4401999996644</v>
      </c>
      <c r="G7" s="1300">
        <v>8401.7281999998577</v>
      </c>
      <c r="H7" s="1300">
        <v>4817.0677999998943</v>
      </c>
    </row>
    <row r="8" spans="1:8" ht="15" customHeight="1">
      <c r="A8" s="93" t="s">
        <v>143</v>
      </c>
      <c r="B8" s="1275"/>
      <c r="C8" s="1275"/>
      <c r="D8" s="1275"/>
      <c r="E8" s="1324"/>
      <c r="F8" s="1324"/>
      <c r="G8" s="1324"/>
      <c r="H8" s="1324"/>
    </row>
    <row r="9" spans="1:8" ht="15" customHeight="1">
      <c r="A9" s="484" t="s">
        <v>148</v>
      </c>
      <c r="B9" s="1307">
        <f>+B10+B11+B12+B13</f>
        <v>67172.710099999924</v>
      </c>
      <c r="C9" s="1307">
        <f t="shared" ref="C9:H9" si="0">+C10+C11+C12+C13</f>
        <v>28031.0126999981</v>
      </c>
      <c r="D9" s="1307">
        <f t="shared" si="0"/>
        <v>11089.017499999569</v>
      </c>
      <c r="E9" s="1307">
        <f t="shared" si="0"/>
        <v>15637.849499999475</v>
      </c>
      <c r="F9" s="1307">
        <f t="shared" si="0"/>
        <v>4777.9451999999856</v>
      </c>
      <c r="G9" s="1307">
        <f t="shared" si="0"/>
        <v>4987.353599999954</v>
      </c>
      <c r="H9" s="1307">
        <f t="shared" si="0"/>
        <v>2649.5315999999975</v>
      </c>
    </row>
    <row r="10" spans="1:8" ht="15" customHeight="1">
      <c r="A10" s="101" t="s">
        <v>148</v>
      </c>
      <c r="B10" s="1293">
        <v>23828.017499999733</v>
      </c>
      <c r="C10" s="1300">
        <v>10502.842499998957</v>
      </c>
      <c r="D10" s="1300">
        <v>4677.8379999997032</v>
      </c>
      <c r="E10" s="1300">
        <v>5547.3299999997271</v>
      </c>
      <c r="F10" s="1300">
        <v>1131.6186000000005</v>
      </c>
      <c r="G10" s="1300">
        <v>1223.7487999999976</v>
      </c>
      <c r="H10" s="1300">
        <v>744.63960000000031</v>
      </c>
    </row>
    <row r="11" spans="1:8" ht="15" customHeight="1">
      <c r="A11" s="101" t="s">
        <v>149</v>
      </c>
      <c r="B11" s="1293">
        <v>24592.758700001028</v>
      </c>
      <c r="C11" s="1300">
        <v>9741.1588999991363</v>
      </c>
      <c r="D11" s="1300">
        <v>3272.1039999998625</v>
      </c>
      <c r="E11" s="1300">
        <v>5452.2187999997686</v>
      </c>
      <c r="F11" s="1300">
        <v>2380.9893999999867</v>
      </c>
      <c r="G11" s="1300">
        <v>2577.3765999999587</v>
      </c>
      <c r="H11" s="1300">
        <v>1168.9109999999991</v>
      </c>
    </row>
    <row r="12" spans="1:8" ht="15" customHeight="1">
      <c r="A12" s="101" t="s">
        <v>150</v>
      </c>
      <c r="B12" s="1293">
        <v>7824.3026999995591</v>
      </c>
      <c r="C12" s="1300">
        <v>3171.3115000000257</v>
      </c>
      <c r="D12" s="1300">
        <v>1169.4595000000008</v>
      </c>
      <c r="E12" s="1300">
        <v>2055.807299999999</v>
      </c>
      <c r="F12" s="1300">
        <v>616.70219999999858</v>
      </c>
      <c r="G12" s="1300">
        <v>516.62979999999789</v>
      </c>
      <c r="H12" s="1300">
        <v>294.39239999999978</v>
      </c>
    </row>
    <row r="13" spans="1:8" ht="15" customHeight="1">
      <c r="A13" s="101" t="s">
        <v>151</v>
      </c>
      <c r="B13" s="1293">
        <v>10927.631199999607</v>
      </c>
      <c r="C13" s="1300">
        <v>4615.6997999999794</v>
      </c>
      <c r="D13" s="1300">
        <v>1969.6160000000016</v>
      </c>
      <c r="E13" s="1300">
        <v>2582.4933999999807</v>
      </c>
      <c r="F13" s="1300">
        <v>648.63499999999908</v>
      </c>
      <c r="G13" s="1300">
        <v>669.59839999999951</v>
      </c>
      <c r="H13" s="1300">
        <v>441.58859999999845</v>
      </c>
    </row>
    <row r="14" spans="1:8" ht="15" customHeight="1">
      <c r="A14" s="484" t="s">
        <v>152</v>
      </c>
      <c r="B14" s="1307">
        <f>+B15+B16+B17+B18</f>
        <v>30475.572399998917</v>
      </c>
      <c r="C14" s="1307">
        <f t="shared" ref="C14:H14" si="1">+C15+C16+C17+C18</f>
        <v>15013.147099999595</v>
      </c>
      <c r="D14" s="1307">
        <f t="shared" si="1"/>
        <v>4973.6774999999034</v>
      </c>
      <c r="E14" s="1307">
        <f t="shared" si="1"/>
        <v>6587.2001999999211</v>
      </c>
      <c r="F14" s="1307">
        <f t="shared" si="1"/>
        <v>1644.5392000000047</v>
      </c>
      <c r="G14" s="1307">
        <f t="shared" si="1"/>
        <v>1425.7828000000018</v>
      </c>
      <c r="H14" s="1307">
        <f t="shared" si="1"/>
        <v>831.22559999999839</v>
      </c>
    </row>
    <row r="15" spans="1:8" ht="15" customHeight="1">
      <c r="A15" s="101" t="s">
        <v>153</v>
      </c>
      <c r="B15" s="1293">
        <v>17370.327199999287</v>
      </c>
      <c r="C15" s="1300">
        <v>7949.3533999995479</v>
      </c>
      <c r="D15" s="1300">
        <v>2924.641499999902</v>
      </c>
      <c r="E15" s="1300">
        <v>4056.0076999999137</v>
      </c>
      <c r="F15" s="1300">
        <v>1005.8832000000046</v>
      </c>
      <c r="G15" s="1300">
        <v>883.17720000000179</v>
      </c>
      <c r="H15" s="1300">
        <v>551.26419999999825</v>
      </c>
    </row>
    <row r="16" spans="1:8" ht="15" customHeight="1">
      <c r="A16" s="101" t="s">
        <v>154</v>
      </c>
      <c r="B16" s="1293">
        <v>1980.7415000000008</v>
      </c>
      <c r="C16" s="1300">
        <v>1031.4161000000056</v>
      </c>
      <c r="D16" s="1300">
        <v>295.83950000000021</v>
      </c>
      <c r="E16" s="1300">
        <v>412.05709999999834</v>
      </c>
      <c r="F16" s="1300">
        <v>105.77740000000009</v>
      </c>
      <c r="G16" s="1300">
        <v>80.813600000000022</v>
      </c>
      <c r="H16" s="1300">
        <v>54.837800000000009</v>
      </c>
    </row>
    <row r="17" spans="1:8" ht="15" customHeight="1">
      <c r="A17" s="101" t="s">
        <v>155</v>
      </c>
      <c r="B17" s="1293">
        <v>5029.6588999998758</v>
      </c>
      <c r="C17" s="1300">
        <v>2806.321600000018</v>
      </c>
      <c r="D17" s="1300">
        <v>790.22900000000061</v>
      </c>
      <c r="E17" s="1300">
        <v>969.80910000000449</v>
      </c>
      <c r="F17" s="1300">
        <v>229.51700000000025</v>
      </c>
      <c r="G17" s="1300">
        <v>170.28580000000008</v>
      </c>
      <c r="H17" s="1300">
        <v>63.496400000000015</v>
      </c>
    </row>
    <row r="18" spans="1:8" ht="15" customHeight="1">
      <c r="A18" s="101" t="s">
        <v>156</v>
      </c>
      <c r="B18" s="1293">
        <v>6094.8447999997561</v>
      </c>
      <c r="C18" s="1300">
        <v>3226.0560000000237</v>
      </c>
      <c r="D18" s="1300">
        <v>962.96750000000077</v>
      </c>
      <c r="E18" s="1300">
        <v>1149.3263000000047</v>
      </c>
      <c r="F18" s="1300">
        <v>303.36159999999967</v>
      </c>
      <c r="G18" s="1300">
        <v>291.50619999999981</v>
      </c>
      <c r="H18" s="1300">
        <v>161.62720000000007</v>
      </c>
    </row>
    <row r="19" spans="1:8" ht="15" customHeight="1">
      <c r="A19" s="484" t="s">
        <v>157</v>
      </c>
      <c r="B19" s="1307">
        <f>+B20+B21+B22</f>
        <v>608623.14910005499</v>
      </c>
      <c r="C19" s="1307">
        <f t="shared" ref="C19:H19" si="2">+C20+C21+C22</f>
        <v>295440.79260008479</v>
      </c>
      <c r="D19" s="1307">
        <f t="shared" si="2"/>
        <v>103706.63600002188</v>
      </c>
      <c r="E19" s="1307">
        <f t="shared" si="2"/>
        <v>157087.79490005202</v>
      </c>
      <c r="F19" s="1307">
        <f t="shared" si="2"/>
        <v>22492.666000000972</v>
      </c>
      <c r="G19" s="1307">
        <f t="shared" si="2"/>
        <v>17885.781400000156</v>
      </c>
      <c r="H19" s="1307">
        <f t="shared" si="2"/>
        <v>12009.478199999754</v>
      </c>
    </row>
    <row r="20" spans="1:8" ht="15" customHeight="1">
      <c r="A20" s="101" t="s">
        <v>157</v>
      </c>
      <c r="B20" s="1293">
        <v>352282.74590001535</v>
      </c>
      <c r="C20" s="381">
        <v>171465.49010003777</v>
      </c>
      <c r="D20" s="381">
        <v>58250.599000024886</v>
      </c>
      <c r="E20" s="381">
        <v>92611.002200041781</v>
      </c>
      <c r="F20" s="381">
        <v>13068.498400000941</v>
      </c>
      <c r="G20" s="381">
        <v>10006.455400000317</v>
      </c>
      <c r="H20" s="381">
        <v>6880.700799999835</v>
      </c>
    </row>
    <row r="21" spans="1:8" ht="15" customHeight="1">
      <c r="A21" s="101" t="s">
        <v>158</v>
      </c>
      <c r="B21" s="1293">
        <v>105553.13849999523</v>
      </c>
      <c r="C21" s="381">
        <v>50853.029200018347</v>
      </c>
      <c r="D21" s="381">
        <v>18788.786500000751</v>
      </c>
      <c r="E21" s="381">
        <v>26142.838200006114</v>
      </c>
      <c r="F21" s="381">
        <v>4143.2808000001041</v>
      </c>
      <c r="G21" s="381">
        <v>3500.9605999999321</v>
      </c>
      <c r="H21" s="381">
        <v>2124.2431999999717</v>
      </c>
    </row>
    <row r="22" spans="1:8" ht="15" customHeight="1">
      <c r="A22" s="101" t="s">
        <v>159</v>
      </c>
      <c r="B22" s="1293">
        <v>150787.26470004438</v>
      </c>
      <c r="C22" s="381">
        <v>73122.273300028653</v>
      </c>
      <c r="D22" s="381">
        <v>26667.250499996248</v>
      </c>
      <c r="E22" s="381">
        <v>38333.954500004111</v>
      </c>
      <c r="F22" s="381">
        <v>5280.8867999999275</v>
      </c>
      <c r="G22" s="381">
        <v>4378.3653999999069</v>
      </c>
      <c r="H22" s="381">
        <v>3004.5341999999464</v>
      </c>
    </row>
    <row r="23" spans="1:8" ht="15" customHeight="1">
      <c r="A23" s="484" t="s">
        <v>160</v>
      </c>
      <c r="B23" s="1307">
        <f>+B24</f>
        <v>652269.52909872704</v>
      </c>
      <c r="C23" s="1307">
        <f t="shared" ref="C23:H23" si="3">+C24</f>
        <v>313270.41900015384</v>
      </c>
      <c r="D23" s="1307">
        <f t="shared" si="3"/>
        <v>110882.23299992507</v>
      </c>
      <c r="E23" s="1307">
        <f t="shared" si="3"/>
        <v>173756.79050025024</v>
      </c>
      <c r="F23" s="1307">
        <f t="shared" si="3"/>
        <v>24767.878000004453</v>
      </c>
      <c r="G23" s="1307">
        <f t="shared" si="3"/>
        <v>18082.043000002628</v>
      </c>
      <c r="H23" s="1307">
        <f t="shared" si="3"/>
        <v>11510.165600000748</v>
      </c>
    </row>
    <row r="24" spans="1:8" ht="15" customHeight="1">
      <c r="A24" s="101" t="s">
        <v>160</v>
      </c>
      <c r="B24" s="1293">
        <v>652269.52909872704</v>
      </c>
      <c r="C24" s="381">
        <v>313270.41900015384</v>
      </c>
      <c r="D24" s="381">
        <v>110882.23299992507</v>
      </c>
      <c r="E24" s="381">
        <v>173756.79050025024</v>
      </c>
      <c r="F24" s="381">
        <v>24767.878000004453</v>
      </c>
      <c r="G24" s="381">
        <v>18082.043000002628</v>
      </c>
      <c r="H24" s="381">
        <v>11510.165600000748</v>
      </c>
    </row>
    <row r="25" spans="1:8" ht="15" customHeight="1">
      <c r="A25" s="484" t="s">
        <v>161</v>
      </c>
      <c r="B25" s="1307">
        <f>+B26</f>
        <v>23088.891099999786</v>
      </c>
      <c r="C25" s="1307">
        <f t="shared" ref="C25:H25" si="4">+C26</f>
        <v>11564.690799998551</v>
      </c>
      <c r="D25" s="1307">
        <f t="shared" si="4"/>
        <v>4020.6374999997774</v>
      </c>
      <c r="E25" s="1307">
        <f t="shared" si="4"/>
        <v>5689.5153999997056</v>
      </c>
      <c r="F25" s="1307">
        <f t="shared" si="4"/>
        <v>792.33260000000132</v>
      </c>
      <c r="G25" s="1307">
        <f t="shared" si="4"/>
        <v>629.19159999999908</v>
      </c>
      <c r="H25" s="1307">
        <f t="shared" si="4"/>
        <v>392.52319999999889</v>
      </c>
    </row>
    <row r="26" spans="1:8" ht="15" customHeight="1">
      <c r="A26" s="101" t="s">
        <v>161</v>
      </c>
      <c r="B26" s="1293">
        <v>23088.891099999786</v>
      </c>
      <c r="C26" s="381">
        <v>11564.690799998551</v>
      </c>
      <c r="D26" s="381">
        <v>4020.6374999997774</v>
      </c>
      <c r="E26" s="381">
        <v>5689.5153999997056</v>
      </c>
      <c r="F26" s="381">
        <v>792.33260000000132</v>
      </c>
      <c r="G26" s="381">
        <v>629.19159999999908</v>
      </c>
      <c r="H26" s="381">
        <v>392.52319999999889</v>
      </c>
    </row>
    <row r="27" spans="1:8" ht="15" customHeight="1">
      <c r="A27" s="484" t="s">
        <v>162</v>
      </c>
      <c r="B27" s="1307">
        <f>+B28</f>
        <v>35371.509800000895</v>
      </c>
      <c r="C27" s="1307">
        <f t="shared" ref="C27:H27" si="5">+C28</f>
        <v>17125.328199997555</v>
      </c>
      <c r="D27" s="1307">
        <f t="shared" si="5"/>
        <v>6206.6729999995296</v>
      </c>
      <c r="E27" s="1307">
        <f t="shared" si="5"/>
        <v>8026.9041999994261</v>
      </c>
      <c r="F27" s="1307">
        <f t="shared" si="5"/>
        <v>1602.627399999981</v>
      </c>
      <c r="G27" s="1307">
        <f t="shared" si="5"/>
        <v>1544.1169999999884</v>
      </c>
      <c r="H27" s="1307">
        <f t="shared" si="5"/>
        <v>865.86000000000161</v>
      </c>
    </row>
    <row r="28" spans="1:8" ht="15" customHeight="1">
      <c r="A28" s="101" t="s">
        <v>162</v>
      </c>
      <c r="B28" s="1293">
        <v>35371.509800000895</v>
      </c>
      <c r="C28" s="381">
        <v>17125.328199997555</v>
      </c>
      <c r="D28" s="381">
        <v>6206.6729999995296</v>
      </c>
      <c r="E28" s="381">
        <v>8026.9041999994261</v>
      </c>
      <c r="F28" s="381">
        <v>1602.627399999981</v>
      </c>
      <c r="G28" s="381">
        <v>1544.1169999999884</v>
      </c>
      <c r="H28" s="381">
        <v>865.86000000000161</v>
      </c>
    </row>
    <row r="29" spans="1:8" ht="15" customHeight="1">
      <c r="A29" s="484" t="s">
        <v>163</v>
      </c>
      <c r="B29" s="1307">
        <f>+B30</f>
        <v>106455.94129998244</v>
      </c>
      <c r="C29" s="1307">
        <f t="shared" ref="C29:H29" si="6">+C30</f>
        <v>46713.496500013789</v>
      </c>
      <c r="D29" s="1307">
        <f t="shared" si="6"/>
        <v>18747.091000000775</v>
      </c>
      <c r="E29" s="1307">
        <f t="shared" si="6"/>
        <v>28981.181800008228</v>
      </c>
      <c r="F29" s="1307">
        <f t="shared" si="6"/>
        <v>4899.6889999999867</v>
      </c>
      <c r="G29" s="1307">
        <f t="shared" si="6"/>
        <v>4375.479199999907</v>
      </c>
      <c r="H29" s="1307">
        <f t="shared" si="6"/>
        <v>2739.003799999954</v>
      </c>
    </row>
    <row r="30" spans="1:8" ht="15" customHeight="1">
      <c r="A30" s="101" t="s">
        <v>163</v>
      </c>
      <c r="B30" s="381">
        <v>106455.94129998244</v>
      </c>
      <c r="C30" s="381">
        <v>46713.496500013789</v>
      </c>
      <c r="D30" s="381">
        <v>18747.091000000775</v>
      </c>
      <c r="E30" s="381">
        <v>28981.181800008228</v>
      </c>
      <c r="F30" s="381">
        <v>4899.6889999999867</v>
      </c>
      <c r="G30" s="381">
        <v>4375.479199999907</v>
      </c>
      <c r="H30" s="381">
        <v>2739.003799999954</v>
      </c>
    </row>
    <row r="31" spans="1:8" ht="15" customHeight="1">
      <c r="A31" s="496"/>
      <c r="B31" s="1277"/>
      <c r="C31" s="1277"/>
      <c r="D31" s="1277"/>
      <c r="E31" s="1277"/>
      <c r="F31" s="1277"/>
      <c r="G31" s="1277"/>
      <c r="H31" s="1277"/>
    </row>
    <row r="32" spans="1:8" ht="15" customHeight="1">
      <c r="A32" s="497"/>
      <c r="B32" s="687"/>
      <c r="C32" s="687"/>
      <c r="D32" s="687"/>
      <c r="E32" s="687"/>
      <c r="F32" s="687"/>
      <c r="G32" s="687"/>
      <c r="H32" s="687"/>
    </row>
    <row r="33" spans="1:8" ht="15" customHeight="1">
      <c r="A33" s="496"/>
      <c r="B33" s="1277"/>
      <c r="C33" s="1277"/>
      <c r="D33" s="1277"/>
      <c r="E33" s="1277"/>
      <c r="F33" s="1277"/>
      <c r="G33" s="1277"/>
      <c r="H33" s="1277"/>
    </row>
    <row r="34" spans="1:8" ht="15" customHeight="1">
      <c r="A34" s="497"/>
      <c r="B34" s="687"/>
      <c r="C34" s="687"/>
      <c r="D34" s="687"/>
      <c r="E34" s="687"/>
      <c r="F34" s="687"/>
      <c r="G34" s="687"/>
      <c r="H34" s="687"/>
    </row>
    <row r="35" spans="1:8" ht="15" customHeight="1">
      <c r="A35" s="497"/>
      <c r="B35" s="687"/>
      <c r="C35" s="687"/>
      <c r="D35" s="687"/>
      <c r="E35" s="687"/>
      <c r="F35" s="687"/>
      <c r="G35" s="687"/>
      <c r="H35" s="687"/>
    </row>
    <row r="36" spans="1:8" ht="15" customHeight="1">
      <c r="A36" s="497"/>
      <c r="B36" s="687"/>
      <c r="C36" s="687"/>
      <c r="D36" s="687"/>
      <c r="E36" s="687"/>
      <c r="F36" s="687"/>
      <c r="G36" s="687"/>
      <c r="H36" s="687"/>
    </row>
    <row r="37" spans="1:8" ht="15" customHeight="1">
      <c r="A37" s="496"/>
      <c r="B37" s="1277"/>
      <c r="C37" s="1277"/>
      <c r="D37" s="1277"/>
      <c r="E37" s="1277"/>
      <c r="F37" s="1277"/>
      <c r="G37" s="1277"/>
      <c r="H37" s="1277"/>
    </row>
    <row r="38" spans="1:8" ht="15" customHeight="1">
      <c r="A38" s="497"/>
      <c r="B38" s="687"/>
      <c r="C38" s="687"/>
      <c r="D38" s="687"/>
      <c r="E38" s="687"/>
      <c r="F38" s="687"/>
      <c r="G38" s="687"/>
      <c r="H38" s="687"/>
    </row>
    <row r="39" spans="1:8" ht="15" customHeight="1">
      <c r="A39" s="496"/>
      <c r="B39" s="1277"/>
      <c r="C39" s="1277"/>
      <c r="D39" s="1277"/>
      <c r="E39" s="1277"/>
      <c r="F39" s="1277"/>
      <c r="G39" s="1277"/>
      <c r="H39" s="1277"/>
    </row>
    <row r="40" spans="1:8" ht="15" customHeight="1">
      <c r="A40" s="497"/>
      <c r="B40" s="687"/>
      <c r="C40" s="687"/>
      <c r="D40" s="687"/>
      <c r="E40" s="687"/>
      <c r="F40" s="687"/>
      <c r="G40" s="687"/>
      <c r="H40" s="687"/>
    </row>
    <row r="41" spans="1:8" ht="15" customHeight="1">
      <c r="A41" s="496"/>
      <c r="B41" s="1277"/>
      <c r="C41" s="1277"/>
      <c r="D41" s="1277"/>
      <c r="E41" s="1277"/>
      <c r="F41" s="1277"/>
      <c r="G41" s="1277"/>
      <c r="H41" s="1277"/>
    </row>
    <row r="42" spans="1:8" ht="15" customHeight="1">
      <c r="A42" s="497"/>
      <c r="B42" s="687"/>
      <c r="C42" s="687"/>
      <c r="D42" s="687"/>
      <c r="E42" s="687"/>
      <c r="F42" s="687"/>
      <c r="G42" s="687"/>
      <c r="H42" s="687"/>
    </row>
    <row r="43" spans="1:8" ht="15" customHeight="1">
      <c r="A43" s="496"/>
      <c r="B43" s="1277"/>
      <c r="C43" s="1277"/>
      <c r="D43" s="1277"/>
      <c r="E43" s="1277"/>
      <c r="F43" s="1277"/>
      <c r="G43" s="1277"/>
      <c r="H43" s="1277"/>
    </row>
    <row r="44" spans="1:8" ht="15" customHeight="1">
      <c r="A44" s="53"/>
      <c r="B44" s="687"/>
      <c r="C44" s="687"/>
      <c r="D44" s="687"/>
      <c r="E44" s="687"/>
      <c r="F44" s="687"/>
      <c r="G44" s="687"/>
      <c r="H44" s="687"/>
    </row>
    <row r="45" spans="1:8" ht="15.75" customHeight="1">
      <c r="A45" s="54"/>
      <c r="B45" s="1277"/>
      <c r="C45" s="1277"/>
      <c r="D45" s="1277"/>
      <c r="E45" s="1277"/>
      <c r="F45" s="1277"/>
      <c r="G45" s="1277"/>
      <c r="H45" s="1277"/>
    </row>
    <row r="46" spans="1:8" ht="15.75" customHeight="1">
      <c r="A46" s="53"/>
      <c r="B46" s="687"/>
      <c r="C46" s="687"/>
      <c r="D46" s="687"/>
      <c r="E46" s="687"/>
      <c r="F46" s="687"/>
      <c r="G46" s="687"/>
      <c r="H46" s="687"/>
    </row>
    <row r="47" spans="1:8" ht="15.75" customHeight="1">
      <c r="A47" s="53"/>
      <c r="B47" s="687"/>
      <c r="C47" s="687"/>
      <c r="D47" s="687"/>
      <c r="E47" s="687"/>
      <c r="F47" s="687"/>
      <c r="G47" s="687"/>
      <c r="H47" s="687"/>
    </row>
    <row r="48" spans="1:8" ht="15.75" customHeight="1">
      <c r="A48" s="54"/>
      <c r="B48" s="1277"/>
      <c r="C48" s="1277"/>
      <c r="D48" s="1277"/>
      <c r="E48" s="1277"/>
      <c r="F48" s="1277"/>
      <c r="G48" s="1277"/>
      <c r="H48" s="1277"/>
    </row>
    <row r="49" spans="1:8" ht="15.75" customHeight="1">
      <c r="A49" s="53"/>
      <c r="B49" s="687"/>
      <c r="C49" s="687"/>
      <c r="D49" s="687"/>
      <c r="E49" s="687"/>
      <c r="F49" s="687"/>
      <c r="G49" s="687"/>
      <c r="H49" s="687"/>
    </row>
    <row r="50" spans="1:8" ht="15.75" customHeight="1">
      <c r="A50" s="53"/>
      <c r="B50" s="687"/>
      <c r="C50" s="687"/>
      <c r="D50" s="687"/>
      <c r="E50" s="687"/>
      <c r="F50" s="687"/>
      <c r="G50" s="687"/>
      <c r="H50" s="687"/>
    </row>
    <row r="51" spans="1:8" ht="15.75" customHeight="1">
      <c r="A51" s="54"/>
      <c r="B51" s="1277"/>
      <c r="C51" s="1277"/>
      <c r="D51" s="1277"/>
      <c r="E51" s="1277"/>
      <c r="F51" s="1277"/>
      <c r="G51" s="1277"/>
      <c r="H51" s="1277"/>
    </row>
    <row r="52" spans="1:8" ht="15.75" customHeight="1">
      <c r="A52" s="53"/>
      <c r="B52" s="687"/>
      <c r="C52" s="687"/>
      <c r="D52" s="687"/>
      <c r="E52" s="687"/>
      <c r="F52" s="687"/>
      <c r="G52" s="687"/>
      <c r="H52" s="687"/>
    </row>
    <row r="53" spans="1:8" ht="15.75" customHeight="1">
      <c r="A53" s="53"/>
      <c r="B53" s="687"/>
      <c r="C53" s="687"/>
      <c r="D53" s="687"/>
      <c r="E53" s="687"/>
      <c r="F53" s="687"/>
      <c r="G53" s="687"/>
      <c r="H53" s="687"/>
    </row>
    <row r="54" spans="1:8" ht="15.75" customHeight="1">
      <c r="A54" s="54"/>
      <c r="B54" s="1277"/>
      <c r="C54" s="1277"/>
      <c r="D54" s="1277"/>
      <c r="E54" s="1277"/>
      <c r="F54" s="1277"/>
      <c r="G54" s="1277"/>
      <c r="H54" s="1277"/>
    </row>
    <row r="55" spans="1:8" ht="15.75" customHeight="1">
      <c r="A55" s="53"/>
      <c r="B55" s="687"/>
      <c r="C55" s="687"/>
      <c r="D55" s="687"/>
      <c r="E55" s="687"/>
      <c r="F55" s="687"/>
      <c r="G55" s="687"/>
      <c r="H55" s="687"/>
    </row>
    <row r="56" spans="1:8" ht="15.75" customHeight="1">
      <c r="A56" s="54"/>
      <c r="B56" s="1277"/>
      <c r="C56" s="1277"/>
      <c r="D56" s="1277"/>
      <c r="E56" s="1277"/>
      <c r="F56" s="1277"/>
      <c r="G56" s="1277"/>
      <c r="H56" s="1277"/>
    </row>
    <row r="57" spans="1:8" ht="15.75" customHeight="1">
      <c r="A57" s="53"/>
      <c r="B57" s="687"/>
      <c r="C57" s="687"/>
      <c r="D57" s="687"/>
      <c r="E57" s="687"/>
      <c r="F57" s="687"/>
      <c r="G57" s="687"/>
      <c r="H57" s="687"/>
    </row>
    <row r="58" spans="1:8" ht="15.75" customHeight="1">
      <c r="A58" s="53"/>
      <c r="B58" s="687"/>
      <c r="C58" s="687"/>
      <c r="D58" s="687"/>
      <c r="E58" s="687"/>
      <c r="F58" s="687"/>
      <c r="G58" s="687"/>
      <c r="H58" s="687"/>
    </row>
    <row r="59" spans="1:8" ht="15.75" customHeight="1">
      <c r="A59" s="54"/>
      <c r="B59" s="1277"/>
      <c r="C59" s="1277"/>
      <c r="D59" s="1277"/>
      <c r="E59" s="1277"/>
      <c r="F59" s="1277"/>
      <c r="G59" s="1277"/>
      <c r="H59" s="1277"/>
    </row>
    <row r="60" spans="1:8" ht="15.75" customHeight="1">
      <c r="A60" s="53"/>
      <c r="B60" s="687"/>
      <c r="C60" s="687"/>
      <c r="D60" s="687"/>
      <c r="E60" s="687"/>
      <c r="F60" s="687"/>
      <c r="G60" s="687"/>
      <c r="H60" s="687"/>
    </row>
    <row r="61" spans="1:8" ht="15.75" customHeight="1">
      <c r="A61" s="54"/>
      <c r="B61" s="1277"/>
      <c r="C61" s="1277"/>
      <c r="D61" s="1277"/>
      <c r="E61" s="1277"/>
      <c r="F61" s="1277"/>
      <c r="G61" s="1277"/>
      <c r="H61" s="1277"/>
    </row>
    <row r="62" spans="1:8" ht="15.75" customHeight="1">
      <c r="A62" s="53"/>
      <c r="B62" s="687"/>
      <c r="C62" s="687"/>
      <c r="D62" s="687"/>
      <c r="E62" s="687"/>
      <c r="F62" s="687"/>
      <c r="G62" s="687"/>
      <c r="H62" s="687"/>
    </row>
    <row r="63" spans="1:8" ht="15.75" customHeight="1">
      <c r="A63" s="53"/>
      <c r="B63" s="687"/>
      <c r="C63" s="687"/>
      <c r="D63" s="687"/>
      <c r="E63" s="687"/>
      <c r="F63" s="687"/>
      <c r="G63" s="687"/>
      <c r="H63" s="687"/>
    </row>
    <row r="64" spans="1:8" ht="15.75" customHeight="1">
      <c r="A64" s="53"/>
      <c r="B64" s="687"/>
      <c r="C64" s="687"/>
      <c r="D64" s="687"/>
      <c r="E64" s="687"/>
      <c r="F64" s="687"/>
      <c r="G64" s="687"/>
      <c r="H64" s="687"/>
    </row>
    <row r="65" spans="1:8" ht="15.75" customHeight="1">
      <c r="A65" s="54"/>
      <c r="B65" s="1277"/>
      <c r="C65" s="1277"/>
      <c r="D65" s="1277"/>
      <c r="E65" s="1277"/>
      <c r="F65" s="1277"/>
      <c r="G65" s="1277"/>
      <c r="H65" s="1277"/>
    </row>
    <row r="66" spans="1:8" ht="15.75" customHeight="1">
      <c r="A66" s="53"/>
      <c r="B66" s="687"/>
      <c r="C66" s="687"/>
      <c r="D66" s="687"/>
      <c r="E66" s="687"/>
      <c r="F66" s="687"/>
      <c r="G66" s="687"/>
      <c r="H66" s="687"/>
    </row>
    <row r="67" spans="1:8" ht="15.75" customHeight="1">
      <c r="A67" s="53"/>
      <c r="B67" s="687"/>
      <c r="C67" s="687"/>
      <c r="D67" s="687"/>
      <c r="E67" s="687"/>
      <c r="F67" s="687"/>
      <c r="G67" s="687"/>
      <c r="H67" s="687"/>
    </row>
    <row r="68" spans="1:8" ht="15.75" customHeight="1">
      <c r="A68" s="54"/>
      <c r="B68" s="1277"/>
      <c r="C68" s="1277"/>
      <c r="D68" s="1277"/>
      <c r="E68" s="1277"/>
      <c r="F68" s="1277"/>
      <c r="G68" s="1277"/>
      <c r="H68" s="1277"/>
    </row>
    <row r="69" spans="1:8" ht="15.75" customHeight="1">
      <c r="A69" s="53"/>
      <c r="B69" s="687"/>
      <c r="C69" s="687"/>
      <c r="D69" s="687"/>
      <c r="E69" s="687"/>
      <c r="F69" s="687"/>
      <c r="G69" s="687"/>
      <c r="H69" s="687"/>
    </row>
    <row r="70" spans="1:8" ht="15.75" customHeight="1">
      <c r="A70" s="54"/>
      <c r="B70" s="1277"/>
      <c r="C70" s="1277"/>
      <c r="D70" s="1277"/>
      <c r="E70" s="1277"/>
      <c r="F70" s="1277"/>
      <c r="G70" s="1277"/>
      <c r="H70" s="1277"/>
    </row>
    <row r="71" spans="1:8" ht="15.75" customHeight="1">
      <c r="A71" s="53"/>
      <c r="B71" s="687"/>
      <c r="C71" s="687"/>
      <c r="D71" s="687"/>
      <c r="E71" s="687"/>
      <c r="F71" s="687"/>
      <c r="G71" s="687"/>
      <c r="H71" s="687"/>
    </row>
    <row r="72" spans="1:8" ht="15.75" customHeight="1">
      <c r="A72" s="54"/>
      <c r="B72" s="1277"/>
      <c r="C72" s="1277"/>
      <c r="D72" s="1277"/>
      <c r="E72" s="1277"/>
      <c r="F72" s="1277"/>
      <c r="G72" s="1277"/>
      <c r="H72" s="1277"/>
    </row>
    <row r="73" spans="1:8" ht="15.75" customHeight="1">
      <c r="A73" s="53"/>
      <c r="B73" s="687"/>
      <c r="C73" s="687"/>
      <c r="D73" s="687"/>
      <c r="E73" s="687"/>
      <c r="F73" s="687"/>
      <c r="G73" s="687"/>
      <c r="H73" s="687"/>
    </row>
    <row r="74" spans="1:8" ht="15.75" customHeight="1">
      <c r="A74" s="491"/>
      <c r="B74" s="1277"/>
      <c r="C74" s="1277"/>
      <c r="D74" s="1277"/>
      <c r="E74" s="1277"/>
      <c r="F74" s="1277"/>
      <c r="G74" s="1277"/>
      <c r="H74" s="1277"/>
    </row>
    <row r="75" spans="1:8" ht="15.75" customHeight="1">
      <c r="A75" s="492"/>
      <c r="B75" s="687"/>
      <c r="C75" s="687"/>
      <c r="D75" s="687"/>
      <c r="E75" s="687"/>
      <c r="F75" s="687"/>
      <c r="G75" s="687"/>
      <c r="H75" s="687"/>
    </row>
    <row r="76" spans="1:8" ht="15.75" customHeight="1">
      <c r="A76" s="491"/>
      <c r="B76" s="1277"/>
      <c r="C76" s="1277"/>
      <c r="D76" s="1277"/>
      <c r="E76" s="1277"/>
      <c r="F76" s="1277"/>
      <c r="G76" s="1277"/>
      <c r="H76" s="1277"/>
    </row>
    <row r="77" spans="1:8" ht="15.75" customHeight="1">
      <c r="A77" s="492"/>
      <c r="B77" s="687"/>
      <c r="C77" s="687"/>
      <c r="D77" s="687"/>
      <c r="E77" s="687"/>
      <c r="F77" s="687"/>
      <c r="G77" s="687"/>
      <c r="H77" s="687"/>
    </row>
    <row r="78" spans="1:8" ht="15.75" customHeight="1">
      <c r="A78" s="491"/>
      <c r="B78" s="1277"/>
      <c r="C78" s="1277"/>
      <c r="D78" s="1277"/>
      <c r="E78" s="1277"/>
      <c r="F78" s="1277"/>
      <c r="G78" s="1277"/>
      <c r="H78" s="1277"/>
    </row>
    <row r="79" spans="1:8" ht="15.75" customHeight="1">
      <c r="A79" s="492"/>
      <c r="B79" s="687"/>
      <c r="C79" s="687"/>
      <c r="D79" s="687"/>
      <c r="E79" s="687"/>
      <c r="F79" s="687"/>
      <c r="G79" s="687"/>
      <c r="H79" s="687"/>
    </row>
    <row r="80" spans="1:8" ht="15.75" customHeight="1">
      <c r="A80" s="492"/>
      <c r="B80" s="687"/>
      <c r="C80" s="687"/>
      <c r="D80" s="687"/>
      <c r="E80" s="687"/>
      <c r="F80" s="687"/>
      <c r="G80" s="687"/>
      <c r="H80" s="687"/>
    </row>
    <row r="81" spans="1:8" ht="15.75" customHeight="1">
      <c r="A81" s="491"/>
      <c r="B81" s="1277"/>
      <c r="C81" s="1277"/>
      <c r="D81" s="1277"/>
      <c r="E81" s="1277"/>
      <c r="F81" s="1277"/>
      <c r="G81" s="1277"/>
      <c r="H81" s="1277"/>
    </row>
    <row r="82" spans="1:8">
      <c r="A82" s="492"/>
      <c r="B82" s="687"/>
      <c r="C82" s="687"/>
      <c r="D82" s="687"/>
      <c r="E82" s="687"/>
      <c r="F82" s="687"/>
      <c r="G82" s="687"/>
      <c r="H82" s="687"/>
    </row>
    <row r="83" spans="1:8">
      <c r="A83" s="55"/>
      <c r="B83" s="1317"/>
      <c r="C83" s="1317"/>
      <c r="D83" s="1317"/>
      <c r="E83" s="1317"/>
      <c r="F83" s="1317"/>
      <c r="G83" s="1317"/>
      <c r="H83" s="1317"/>
    </row>
    <row r="84" spans="1:8">
      <c r="A84" s="55"/>
      <c r="B84" s="1326"/>
      <c r="C84" s="1326"/>
      <c r="D84" s="1326"/>
      <c r="E84" s="1326"/>
      <c r="F84" s="1326"/>
      <c r="G84" s="1326"/>
      <c r="H84" s="1326"/>
    </row>
    <row r="85" spans="1:8">
      <c r="A85" s="55"/>
      <c r="B85" s="1326"/>
      <c r="C85" s="1326"/>
      <c r="D85" s="1326"/>
      <c r="E85" s="1326"/>
      <c r="F85" s="1326"/>
      <c r="G85" s="1326"/>
      <c r="H85" s="1326"/>
    </row>
    <row r="86" spans="1:8">
      <c r="A86" s="55"/>
      <c r="B86" s="1326"/>
      <c r="C86" s="1326"/>
      <c r="D86" s="1326"/>
      <c r="E86" s="1326"/>
      <c r="F86" s="1326"/>
      <c r="G86" s="1326"/>
      <c r="H86" s="1326"/>
    </row>
    <row r="87" spans="1:8">
      <c r="A87" s="55"/>
      <c r="B87" s="1326"/>
      <c r="C87" s="1326"/>
      <c r="D87" s="1326"/>
      <c r="E87" s="1326"/>
      <c r="F87" s="1326"/>
      <c r="G87" s="1326"/>
      <c r="H87" s="1326"/>
    </row>
    <row r="88" spans="1:8">
      <c r="A88" s="55"/>
      <c r="B88" s="1326"/>
      <c r="C88" s="1326"/>
      <c r="D88" s="1326"/>
      <c r="E88" s="1326"/>
      <c r="F88" s="1326"/>
      <c r="G88" s="1326"/>
      <c r="H88" s="1326"/>
    </row>
    <row r="89" spans="1:8">
      <c r="A89" s="55"/>
      <c r="B89" s="1326"/>
      <c r="C89" s="1326"/>
      <c r="D89" s="1326"/>
      <c r="E89" s="1326"/>
      <c r="F89" s="1326"/>
      <c r="G89" s="1326"/>
      <c r="H89" s="1326"/>
    </row>
    <row r="90" spans="1:8">
      <c r="A90" s="55"/>
      <c r="B90" s="1326"/>
      <c r="C90" s="1326"/>
      <c r="D90" s="1326"/>
      <c r="E90" s="1326"/>
      <c r="F90" s="1326"/>
      <c r="G90" s="1326"/>
      <c r="H90" s="1326"/>
    </row>
    <row r="91" spans="1:8">
      <c r="A91" s="55"/>
      <c r="B91" s="1326"/>
      <c r="C91" s="1326"/>
      <c r="D91" s="1326"/>
      <c r="E91" s="1326"/>
      <c r="F91" s="1326"/>
      <c r="G91" s="1326"/>
      <c r="H91" s="1326"/>
    </row>
    <row r="92" spans="1:8">
      <c r="A92" s="55"/>
      <c r="B92" s="1326"/>
      <c r="C92" s="1326"/>
      <c r="D92" s="1326"/>
      <c r="E92" s="1326"/>
      <c r="F92" s="1326"/>
      <c r="G92" s="1326"/>
      <c r="H92" s="1326"/>
    </row>
    <row r="93" spans="1:8">
      <c r="A93" s="55"/>
      <c r="B93" s="1326"/>
      <c r="C93" s="1326"/>
      <c r="D93" s="1326"/>
      <c r="E93" s="1326"/>
      <c r="F93" s="1326"/>
      <c r="G93" s="1326"/>
      <c r="H93" s="1326"/>
    </row>
    <row r="94" spans="1:8">
      <c r="A94" s="55"/>
      <c r="B94" s="1326"/>
      <c r="C94" s="1326"/>
      <c r="D94" s="1326"/>
      <c r="E94" s="1326"/>
      <c r="F94" s="1326"/>
      <c r="G94" s="1326"/>
      <c r="H94" s="1326"/>
    </row>
    <row r="95" spans="1:8">
      <c r="A95" s="55"/>
      <c r="B95" s="1326"/>
      <c r="C95" s="1326"/>
      <c r="D95" s="1326"/>
      <c r="E95" s="1326"/>
      <c r="F95" s="1326"/>
      <c r="G95" s="1326"/>
      <c r="H95" s="1326"/>
    </row>
    <row r="96" spans="1:8">
      <c r="A96" s="55"/>
      <c r="B96" s="1326"/>
      <c r="C96" s="1326"/>
      <c r="D96" s="1326"/>
      <c r="E96" s="1326"/>
      <c r="F96" s="1326"/>
      <c r="G96" s="1326"/>
      <c r="H96" s="1326"/>
    </row>
    <row r="97" spans="1:8">
      <c r="A97" s="55"/>
      <c r="B97" s="1326"/>
      <c r="C97" s="1326"/>
      <c r="D97" s="1326"/>
      <c r="E97" s="1326"/>
      <c r="F97" s="1326"/>
      <c r="G97" s="1326"/>
      <c r="H97" s="1326"/>
    </row>
    <row r="98" spans="1:8">
      <c r="A98" s="55"/>
      <c r="B98" s="1326"/>
      <c r="C98" s="1326"/>
      <c r="D98" s="1326"/>
      <c r="E98" s="1326"/>
      <c r="F98" s="1326"/>
      <c r="G98" s="1326"/>
      <c r="H98" s="1326"/>
    </row>
    <row r="99" spans="1:8">
      <c r="A99" s="55"/>
      <c r="B99" s="1326"/>
      <c r="C99" s="1326"/>
      <c r="D99" s="1326"/>
      <c r="E99" s="1326"/>
      <c r="F99" s="1326"/>
      <c r="G99" s="1326"/>
      <c r="H99" s="1326"/>
    </row>
    <row r="100" spans="1:8">
      <c r="A100" s="55"/>
      <c r="B100" s="1326"/>
      <c r="C100" s="1326"/>
      <c r="D100" s="1326"/>
      <c r="E100" s="1326"/>
      <c r="F100" s="1326"/>
      <c r="G100" s="1326"/>
      <c r="H100" s="1326"/>
    </row>
    <row r="101" spans="1:8">
      <c r="A101" s="55"/>
      <c r="B101" s="1326"/>
      <c r="C101" s="1326"/>
      <c r="D101" s="1326"/>
      <c r="E101" s="1326"/>
      <c r="F101" s="1326"/>
      <c r="G101" s="1326"/>
      <c r="H101" s="1326"/>
    </row>
    <row r="102" spans="1:8">
      <c r="A102" s="55"/>
      <c r="B102" s="1326"/>
      <c r="C102" s="1326"/>
      <c r="D102" s="1326"/>
      <c r="E102" s="1326"/>
      <c r="F102" s="1326"/>
      <c r="G102" s="1326"/>
      <c r="H102" s="1326"/>
    </row>
    <row r="103" spans="1:8">
      <c r="A103" s="55"/>
      <c r="B103" s="1326"/>
      <c r="C103" s="1326"/>
      <c r="D103" s="1326"/>
      <c r="E103" s="1326"/>
      <c r="F103" s="1326"/>
      <c r="G103" s="1326"/>
      <c r="H103" s="1326"/>
    </row>
    <row r="104" spans="1:8">
      <c r="A104" s="55"/>
      <c r="B104" s="1326"/>
      <c r="C104" s="1326"/>
      <c r="D104" s="1326"/>
      <c r="E104" s="1326"/>
      <c r="F104" s="1326"/>
      <c r="G104" s="1326"/>
      <c r="H104" s="1326"/>
    </row>
    <row r="105" spans="1:8">
      <c r="A105" s="55"/>
      <c r="B105" s="1326"/>
      <c r="C105" s="1326"/>
      <c r="D105" s="1326"/>
      <c r="E105" s="1326"/>
      <c r="F105" s="1326"/>
      <c r="G105" s="1326"/>
      <c r="H105" s="1326"/>
    </row>
    <row r="106" spans="1:8">
      <c r="A106" s="55"/>
      <c r="B106" s="1326"/>
      <c r="C106" s="1326"/>
      <c r="D106" s="1326"/>
      <c r="E106" s="1326"/>
      <c r="F106" s="1326"/>
      <c r="G106" s="1326"/>
      <c r="H106" s="1326"/>
    </row>
    <row r="107" spans="1:8">
      <c r="A107" s="55"/>
      <c r="B107" s="1326"/>
      <c r="C107" s="1326"/>
      <c r="D107" s="1326"/>
      <c r="E107" s="1326"/>
      <c r="F107" s="1326"/>
      <c r="G107" s="1326"/>
      <c r="H107" s="1326"/>
    </row>
    <row r="108" spans="1:8">
      <c r="A108" s="55"/>
      <c r="B108" s="1326"/>
      <c r="C108" s="1326"/>
      <c r="D108" s="1326"/>
      <c r="E108" s="1326"/>
      <c r="F108" s="1326"/>
      <c r="G108" s="1326"/>
      <c r="H108" s="1326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CF69-8580-46AF-821A-96BFD2708200}">
  <sheetPr>
    <tabColor theme="0"/>
  </sheetPr>
  <dimension ref="A1:M85"/>
  <sheetViews>
    <sheetView workbookViewId="0">
      <selection activeCell="A2" sqref="A2:A4"/>
    </sheetView>
  </sheetViews>
  <sheetFormatPr defaultColWidth="10.28515625" defaultRowHeight="15"/>
  <cols>
    <col min="1" max="1" width="18" style="12" customWidth="1"/>
    <col min="2" max="2" width="12.28515625" style="1314" customWidth="1"/>
    <col min="3" max="4" width="9.85546875" style="1314" customWidth="1"/>
    <col min="5" max="5" width="3" style="1314" customWidth="1"/>
    <col min="6" max="8" width="9.85546875" style="1314" customWidth="1"/>
    <col min="9" max="9" width="3" style="1314" customWidth="1"/>
    <col min="10" max="12" width="9.85546875" style="1314" customWidth="1"/>
    <col min="13" max="13" width="9.42578125" style="12" customWidth="1"/>
    <col min="14" max="16384" width="10.28515625" style="12"/>
  </cols>
  <sheetData>
    <row r="1" spans="1:13" ht="16.5" customHeight="1" thickBot="1">
      <c r="A1" s="1309" t="s">
        <v>572</v>
      </c>
      <c r="B1" s="1309"/>
      <c r="C1" s="1309"/>
      <c r="D1" s="1309"/>
      <c r="E1" s="1309"/>
      <c r="F1" s="1309"/>
      <c r="G1" s="1309"/>
      <c r="H1" s="1309"/>
      <c r="I1" s="1309"/>
      <c r="J1" s="1309"/>
      <c r="K1" s="1309"/>
      <c r="L1" s="1309"/>
      <c r="M1" s="24"/>
    </row>
    <row r="2" spans="1:13" ht="14.25" customHeight="1">
      <c r="A2" s="1348" t="s">
        <v>495</v>
      </c>
      <c r="B2" s="1306" t="s">
        <v>133</v>
      </c>
      <c r="C2" s="1306"/>
      <c r="D2" s="1306"/>
      <c r="E2" s="1306"/>
      <c r="F2" s="1306"/>
      <c r="G2" s="1306"/>
      <c r="H2" s="1306"/>
      <c r="I2" s="1306"/>
      <c r="J2" s="1306"/>
      <c r="K2" s="1306"/>
      <c r="L2" s="1301"/>
      <c r="M2" s="24"/>
    </row>
    <row r="3" spans="1:13" ht="15" customHeight="1">
      <c r="A3" s="1322"/>
      <c r="B3" s="962" t="s">
        <v>134</v>
      </c>
      <c r="C3" s="962"/>
      <c r="D3" s="962"/>
      <c r="E3" s="46"/>
      <c r="F3" s="962" t="s">
        <v>135</v>
      </c>
      <c r="G3" s="962"/>
      <c r="H3" s="962"/>
      <c r="I3" s="46"/>
      <c r="J3" s="962" t="s">
        <v>136</v>
      </c>
      <c r="K3" s="962"/>
      <c r="L3" s="962"/>
    </row>
    <row r="4" spans="1:13">
      <c r="A4" s="1361"/>
      <c r="B4" s="46" t="s">
        <v>0</v>
      </c>
      <c r="C4" s="1292" t="s">
        <v>1</v>
      </c>
      <c r="D4" s="1292" t="s">
        <v>2</v>
      </c>
      <c r="E4" s="46"/>
      <c r="F4" s="46" t="s">
        <v>0</v>
      </c>
      <c r="G4" s="1292" t="s">
        <v>1</v>
      </c>
      <c r="H4" s="1292" t="s">
        <v>2</v>
      </c>
      <c r="I4" s="46"/>
      <c r="J4" s="46" t="s">
        <v>0</v>
      </c>
      <c r="K4" s="1292" t="s">
        <v>1</v>
      </c>
      <c r="L4" s="1292" t="s">
        <v>2</v>
      </c>
    </row>
    <row r="5" spans="1:13" ht="15" customHeight="1">
      <c r="A5" s="47" t="s">
        <v>147</v>
      </c>
      <c r="B5" s="1285">
        <f>+C5+D5</f>
        <v>552430.5268008234</v>
      </c>
      <c r="C5" s="1295">
        <v>274860.861200421</v>
      </c>
      <c r="D5" s="1295">
        <v>277569.66560040234</v>
      </c>
      <c r="E5" s="1340"/>
      <c r="F5" s="1285">
        <f>+G5+H5</f>
        <v>891099.23949934891</v>
      </c>
      <c r="G5" s="1295">
        <v>435461.48639967496</v>
      </c>
      <c r="H5" s="1295">
        <v>455637.75309967389</v>
      </c>
      <c r="I5" s="1340"/>
      <c r="J5" s="1285">
        <f>+K5+L5</f>
        <v>79927.536600017775</v>
      </c>
      <c r="K5" s="1295">
        <v>37122.304400008077</v>
      </c>
      <c r="L5" s="1295">
        <v>42805.232200009705</v>
      </c>
    </row>
    <row r="6" spans="1:13" ht="15" customHeight="1">
      <c r="A6" s="1319"/>
      <c r="B6" s="1280"/>
      <c r="C6" s="1327"/>
      <c r="D6" s="1327"/>
      <c r="E6" s="1290"/>
      <c r="F6" s="1280"/>
      <c r="G6" s="1327"/>
      <c r="H6" s="1327"/>
      <c r="I6" s="1290"/>
      <c r="J6" s="1280"/>
      <c r="K6" s="1327"/>
      <c r="L6" s="1327"/>
    </row>
    <row r="7" spans="1:13" ht="15" customHeight="1">
      <c r="A7" s="1336" t="s">
        <v>3</v>
      </c>
      <c r="B7" s="1285"/>
      <c r="C7" s="1295"/>
      <c r="D7" s="1295"/>
      <c r="E7" s="1276"/>
      <c r="F7" s="1285"/>
      <c r="G7" s="1295"/>
      <c r="H7" s="1295"/>
      <c r="I7" s="1276"/>
      <c r="J7" s="1285"/>
      <c r="K7" s="1295"/>
      <c r="L7" s="1295"/>
    </row>
    <row r="8" spans="1:13" ht="15" customHeight="1">
      <c r="A8" s="48" t="s">
        <v>4</v>
      </c>
      <c r="B8" s="1318">
        <f>+C8+D8</f>
        <v>500831.96640085056</v>
      </c>
      <c r="C8" s="1318">
        <v>248269.32600041523</v>
      </c>
      <c r="D8" s="1318">
        <v>252562.64040043534</v>
      </c>
      <c r="E8" s="1313"/>
      <c r="F8" s="1318">
        <f>+G8+H8</f>
        <v>806248.72689968045</v>
      </c>
      <c r="G8" s="1318">
        <v>391834.31699985336</v>
      </c>
      <c r="H8" s="1318">
        <v>414414.40989982703</v>
      </c>
      <c r="I8" s="1313"/>
      <c r="J8" s="1318">
        <f>+K8+L8</f>
        <v>66708.740600014004</v>
      </c>
      <c r="K8" s="1318">
        <v>31413.400800006446</v>
      </c>
      <c r="L8" s="1318">
        <v>35295.339800007554</v>
      </c>
    </row>
    <row r="9" spans="1:13" ht="15.75" customHeight="1">
      <c r="A9" s="48" t="s">
        <v>5</v>
      </c>
      <c r="B9" s="1318">
        <f>+C9+D9</f>
        <v>51598.560399994924</v>
      </c>
      <c r="C9" s="1313">
        <v>26591.535199997532</v>
      </c>
      <c r="D9" s="1313">
        <v>25007.025199997392</v>
      </c>
      <c r="E9" s="1313"/>
      <c r="F9" s="1318">
        <f>+G9+H9</f>
        <v>84850.512600006259</v>
      </c>
      <c r="G9" s="1313">
        <v>43627.169400002647</v>
      </c>
      <c r="H9" s="1313">
        <v>41223.343200003612</v>
      </c>
      <c r="I9" s="1313"/>
      <c r="J9" s="1318">
        <f>+K9+L9</f>
        <v>13218.795999999686</v>
      </c>
      <c r="K9" s="1313">
        <v>5708.9035999998687</v>
      </c>
      <c r="L9" s="1313">
        <v>7509.8923999998169</v>
      </c>
    </row>
    <row r="10" spans="1:13">
      <c r="A10" s="93" t="s">
        <v>172</v>
      </c>
      <c r="B10" s="49"/>
      <c r="C10" s="1302"/>
      <c r="D10" s="1302"/>
      <c r="E10" s="1302"/>
      <c r="F10" s="49"/>
      <c r="G10" s="1302"/>
      <c r="H10" s="1302"/>
      <c r="I10" s="1302"/>
      <c r="J10" s="49"/>
      <c r="K10" s="1302"/>
      <c r="L10" s="1302"/>
    </row>
    <row r="11" spans="1:13" ht="15" customHeight="1">
      <c r="A11" s="484" t="s">
        <v>148</v>
      </c>
      <c r="B11" s="1307">
        <v>21583.166400000136</v>
      </c>
      <c r="C11" s="1307">
        <v>11112.636400000072</v>
      </c>
      <c r="D11" s="1307">
        <v>10470.530000000066</v>
      </c>
      <c r="E11" s="1307">
        <v>0</v>
      </c>
      <c r="F11" s="1307">
        <v>37952.658499998259</v>
      </c>
      <c r="G11" s="1307">
        <v>19287.242999999078</v>
      </c>
      <c r="H11" s="1307">
        <v>18665.415499999188</v>
      </c>
      <c r="I11" s="1307">
        <v>0</v>
      </c>
      <c r="J11" s="1307">
        <v>7636.8851999999533</v>
      </c>
      <c r="K11" s="1307">
        <v>3134.4131999999895</v>
      </c>
      <c r="L11" s="1307">
        <v>4502.4719999999643</v>
      </c>
    </row>
    <row r="12" spans="1:13" ht="15" customHeight="1">
      <c r="A12" s="101" t="s">
        <v>148</v>
      </c>
      <c r="B12" s="1293">
        <v>8081.9828000000562</v>
      </c>
      <c r="C12" s="1318">
        <v>4048.6352000000302</v>
      </c>
      <c r="D12" s="1318">
        <v>4033.3476000000264</v>
      </c>
      <c r="E12" s="1313"/>
      <c r="F12" s="1281">
        <v>13777.646299999134</v>
      </c>
      <c r="G12" s="1318">
        <v>6984.9952999995458</v>
      </c>
      <c r="H12" s="1318">
        <v>6792.6509999995897</v>
      </c>
      <c r="I12" s="1313"/>
      <c r="J12" s="1281">
        <v>1968.3884000000016</v>
      </c>
      <c r="K12" s="1318">
        <v>836.9980000000013</v>
      </c>
      <c r="L12" s="1318">
        <v>1131.3904000000002</v>
      </c>
    </row>
    <row r="13" spans="1:13" ht="15" customHeight="1">
      <c r="A13" s="101" t="s">
        <v>149</v>
      </c>
      <c r="B13" s="1293">
        <v>7617.3372000000491</v>
      </c>
      <c r="C13" s="1318">
        <v>3936.5444000000257</v>
      </c>
      <c r="D13" s="1318">
        <v>3680.7928000000238</v>
      </c>
      <c r="E13" s="1313"/>
      <c r="F13" s="1281">
        <v>13229.133899999259</v>
      </c>
      <c r="G13" s="1318">
        <v>6655.2984999996061</v>
      </c>
      <c r="H13" s="1318">
        <v>6573.8353999996534</v>
      </c>
      <c r="I13" s="1313"/>
      <c r="J13" s="1281">
        <v>3746.2875999999578</v>
      </c>
      <c r="K13" s="1318">
        <v>1448.8723999999911</v>
      </c>
      <c r="L13" s="1318">
        <v>2297.4151999999667</v>
      </c>
    </row>
    <row r="14" spans="1:13" ht="15" customHeight="1">
      <c r="A14" s="101" t="s">
        <v>150</v>
      </c>
      <c r="B14" s="1293">
        <v>2367.1872000000121</v>
      </c>
      <c r="C14" s="1281">
        <v>1302.2136000000069</v>
      </c>
      <c r="D14" s="1281">
        <v>1064.9736000000055</v>
      </c>
      <c r="E14" s="1281"/>
      <c r="F14" s="1281">
        <v>4646.0932999999659</v>
      </c>
      <c r="G14" s="1281">
        <v>2447.5833999999772</v>
      </c>
      <c r="H14" s="1281">
        <v>2198.5098999999886</v>
      </c>
      <c r="I14" s="1281"/>
      <c r="J14" s="1281">
        <v>811.02219999999761</v>
      </c>
      <c r="K14" s="1281">
        <v>343.45779999999934</v>
      </c>
      <c r="L14" s="1281">
        <v>467.56439999999822</v>
      </c>
    </row>
    <row r="15" spans="1:13" ht="15" customHeight="1">
      <c r="A15" s="101" t="s">
        <v>151</v>
      </c>
      <c r="B15" s="1293">
        <v>3516.659200000021</v>
      </c>
      <c r="C15" s="1318">
        <v>1825.2432000000108</v>
      </c>
      <c r="D15" s="1318">
        <v>1691.4160000000099</v>
      </c>
      <c r="E15" s="1329"/>
      <c r="F15" s="1281">
        <v>6299.7849999999025</v>
      </c>
      <c r="G15" s="1318">
        <v>3199.3657999999468</v>
      </c>
      <c r="H15" s="1318">
        <v>3100.4191999999557</v>
      </c>
      <c r="I15" s="1329"/>
      <c r="J15" s="1281">
        <v>1111.1869999999967</v>
      </c>
      <c r="K15" s="1318">
        <v>505.08499999999788</v>
      </c>
      <c r="L15" s="1318">
        <v>606.10199999999884</v>
      </c>
    </row>
    <row r="16" spans="1:13" ht="15" customHeight="1">
      <c r="A16" s="484" t="s">
        <v>152</v>
      </c>
      <c r="B16" s="1307">
        <v>11917.586800000068</v>
      </c>
      <c r="C16" s="1307">
        <v>6142.795200000035</v>
      </c>
      <c r="D16" s="1307">
        <v>5774.7916000000314</v>
      </c>
      <c r="E16" s="1307">
        <v>0</v>
      </c>
      <c r="F16" s="1307">
        <v>16300.977199999674</v>
      </c>
      <c r="G16" s="1307">
        <v>8690.9127999997836</v>
      </c>
      <c r="H16" s="1307">
        <v>7610.0643999998902</v>
      </c>
      <c r="I16" s="1307">
        <v>0</v>
      </c>
      <c r="J16" s="1307">
        <v>2257.0084000000006</v>
      </c>
      <c r="K16" s="1307">
        <v>938.01499999999885</v>
      </c>
      <c r="L16" s="1307">
        <v>1318.9934000000014</v>
      </c>
    </row>
    <row r="17" spans="1:12" ht="15" customHeight="1">
      <c r="A17" s="101" t="s">
        <v>153</v>
      </c>
      <c r="B17" s="1293">
        <v>6137.4216000000388</v>
      </c>
      <c r="C17" s="1281">
        <v>3092.9048000000198</v>
      </c>
      <c r="D17" s="1281">
        <v>3044.516800000019</v>
      </c>
      <c r="E17" s="1281"/>
      <c r="F17" s="1281">
        <v>9798.4641999996747</v>
      </c>
      <c r="G17" s="1281">
        <v>5319.0836999997846</v>
      </c>
      <c r="H17" s="1281">
        <v>4479.3804999998893</v>
      </c>
      <c r="I17" s="1281"/>
      <c r="J17" s="1281">
        <v>1434.4414000000002</v>
      </c>
      <c r="K17" s="1281">
        <v>594.55719999999872</v>
      </c>
      <c r="L17" s="1281">
        <v>839.88420000000133</v>
      </c>
    </row>
    <row r="18" spans="1:12" ht="15" customHeight="1">
      <c r="A18" s="101" t="s">
        <v>154</v>
      </c>
      <c r="B18" s="1293">
        <v>825.61120000000199</v>
      </c>
      <c r="C18" s="1318">
        <v>462.25520000000142</v>
      </c>
      <c r="D18" s="1318">
        <v>363.35600000000056</v>
      </c>
      <c r="E18" s="1313"/>
      <c r="F18" s="1281">
        <v>1019.4788999999979</v>
      </c>
      <c r="G18" s="1318">
        <v>580.05909999999926</v>
      </c>
      <c r="H18" s="1318">
        <v>439.41979999999865</v>
      </c>
      <c r="I18" s="1313"/>
      <c r="J18" s="1281">
        <v>135.65140000000002</v>
      </c>
      <c r="K18" s="1318">
        <v>63.496400000000015</v>
      </c>
      <c r="L18" s="1318">
        <v>72.155000000000015</v>
      </c>
    </row>
    <row r="19" spans="1:12" ht="15" customHeight="1">
      <c r="A19" s="101" t="s">
        <v>155</v>
      </c>
      <c r="B19" s="1293">
        <v>2288.6268000000118</v>
      </c>
      <c r="C19" s="1318">
        <v>1190.4180000000065</v>
      </c>
      <c r="D19" s="1318">
        <v>1098.2088000000056</v>
      </c>
      <c r="E19" s="1329"/>
      <c r="F19" s="1281">
        <v>2507.2499000000043</v>
      </c>
      <c r="G19" s="1318">
        <v>1277.8188000000011</v>
      </c>
      <c r="H19" s="1318">
        <v>1229.431100000003</v>
      </c>
      <c r="I19" s="1329"/>
      <c r="J19" s="1281">
        <v>233.7822000000001</v>
      </c>
      <c r="K19" s="1318">
        <v>92.358400000000032</v>
      </c>
      <c r="L19" s="1318">
        <v>141.42380000000006</v>
      </c>
    </row>
    <row r="20" spans="1:12" ht="15" customHeight="1">
      <c r="A20" s="101" t="s">
        <v>156</v>
      </c>
      <c r="B20" s="1293">
        <v>2665.9272000000146</v>
      </c>
      <c r="C20" s="1318">
        <v>1397.2172000000076</v>
      </c>
      <c r="D20" s="1318">
        <v>1268.7100000000069</v>
      </c>
      <c r="E20" s="1329"/>
      <c r="F20" s="1281">
        <v>2975.7841999999973</v>
      </c>
      <c r="G20" s="1318">
        <v>1513.9511999999984</v>
      </c>
      <c r="H20" s="1318">
        <v>1461.8329999999992</v>
      </c>
      <c r="I20" s="1329"/>
      <c r="J20" s="1281">
        <v>453.13340000000017</v>
      </c>
      <c r="K20" s="1318">
        <v>187.60300000000009</v>
      </c>
      <c r="L20" s="1318">
        <v>265.53040000000004</v>
      </c>
    </row>
    <row r="21" spans="1:12" ht="15" customHeight="1">
      <c r="A21" s="484" t="s">
        <v>157</v>
      </c>
      <c r="B21" s="1307">
        <f>+B22+B23+B24</f>
        <v>224300.19160005625</v>
      </c>
      <c r="C21" s="1307">
        <f t="shared" ref="C21:L21" si="0">+C22+C23+C24</f>
        <v>111917.03400002861</v>
      </c>
      <c r="D21" s="1307">
        <f t="shared" si="0"/>
        <v>112383.15760002763</v>
      </c>
      <c r="E21" s="1307">
        <f t="shared" si="0"/>
        <v>0</v>
      </c>
      <c r="F21" s="1307">
        <f t="shared" si="0"/>
        <v>354427.69790008082</v>
      </c>
      <c r="G21" s="1307">
        <f t="shared" si="0"/>
        <v>174179.4001000353</v>
      </c>
      <c r="H21" s="1307">
        <f t="shared" si="0"/>
        <v>180248.29780004552</v>
      </c>
      <c r="I21" s="1307">
        <f t="shared" si="0"/>
        <v>0</v>
      </c>
      <c r="J21" s="1307">
        <f t="shared" si="0"/>
        <v>29895.259599999496</v>
      </c>
      <c r="K21" s="1307">
        <f t="shared" si="0"/>
        <v>14523.358399999681</v>
      </c>
      <c r="L21" s="1307">
        <f t="shared" si="0"/>
        <v>15371.901199999815</v>
      </c>
    </row>
    <row r="22" spans="1:12" ht="15" customHeight="1">
      <c r="A22" s="101" t="s">
        <v>157</v>
      </c>
      <c r="B22" s="1293">
        <f>+C22+D22</f>
        <v>131159.55520006723</v>
      </c>
      <c r="C22" s="381">
        <v>65032.728800034063</v>
      </c>
      <c r="D22" s="381">
        <v>66126.826400033169</v>
      </c>
      <c r="E22" s="1330"/>
      <c r="F22" s="1281">
        <f>+G22+H22</f>
        <v>204236.03450006893</v>
      </c>
      <c r="G22" s="381">
        <v>100018.22980002979</v>
      </c>
      <c r="H22" s="381">
        <v>104217.80470003914</v>
      </c>
      <c r="I22" s="1331"/>
      <c r="J22" s="1281">
        <f>+K22+L22</f>
        <v>16887.156199999739</v>
      </c>
      <c r="K22" s="381">
        <v>8191.0355999997973</v>
      </c>
      <c r="L22" s="381">
        <v>8696.120599999942</v>
      </c>
    </row>
    <row r="23" spans="1:12" ht="15" customHeight="1">
      <c r="A23" s="101" t="s">
        <v>158</v>
      </c>
      <c r="B23" s="1293">
        <f t="shared" ref="B23:B24" si="1">+C23+D23</f>
        <v>38971.50919999466</v>
      </c>
      <c r="C23" s="1318">
        <v>19720.065999997332</v>
      </c>
      <c r="D23" s="1318">
        <v>19251.443199997328</v>
      </c>
      <c r="E23" s="1332"/>
      <c r="F23" s="1281">
        <f t="shared" ref="F23:F24" si="2">+G23+H23</f>
        <v>60956.42550000309</v>
      </c>
      <c r="G23" s="1318">
        <v>30127.783900001876</v>
      </c>
      <c r="H23" s="1318">
        <v>30828.641600001214</v>
      </c>
      <c r="I23" s="1332"/>
      <c r="J23" s="1281">
        <f t="shared" ref="J23:J25" si="3">+K23+L23</f>
        <v>5625.2037999999038</v>
      </c>
      <c r="K23" s="1318">
        <v>2808.272599999952</v>
      </c>
      <c r="L23" s="1318">
        <v>2816.9311999999518</v>
      </c>
    </row>
    <row r="24" spans="1:12" ht="15" customHeight="1">
      <c r="A24" s="101" t="s">
        <v>159</v>
      </c>
      <c r="B24" s="1293">
        <f t="shared" si="1"/>
        <v>54169.127199994342</v>
      </c>
      <c r="C24" s="1318">
        <v>27164.239199997213</v>
      </c>
      <c r="D24" s="1318">
        <v>27004.887999997132</v>
      </c>
      <c r="E24" s="1313"/>
      <c r="F24" s="1281">
        <f t="shared" si="2"/>
        <v>89235.237900008797</v>
      </c>
      <c r="G24" s="1318">
        <v>44033.386400003634</v>
      </c>
      <c r="H24" s="1318">
        <v>45201.851500005156</v>
      </c>
      <c r="I24" s="1313"/>
      <c r="J24" s="1281">
        <f t="shared" si="3"/>
        <v>7382.8995999998533</v>
      </c>
      <c r="K24" s="1318">
        <v>3524.0501999999315</v>
      </c>
      <c r="L24" s="1318">
        <v>3858.8493999999218</v>
      </c>
    </row>
    <row r="25" spans="1:12" ht="15" customHeight="1">
      <c r="A25" s="484" t="s">
        <v>160</v>
      </c>
      <c r="B25" s="1307">
        <f>+C25+D25</f>
        <v>236740.69999983651</v>
      </c>
      <c r="C25" s="1330">
        <v>116030.52879992301</v>
      </c>
      <c r="D25" s="1330">
        <v>120710.17119991352</v>
      </c>
      <c r="E25" s="1330"/>
      <c r="F25" s="1333">
        <f>+G25+H25</f>
        <v>385936.62050030916</v>
      </c>
      <c r="G25" s="1330">
        <v>185009.06070014503</v>
      </c>
      <c r="H25" s="1330">
        <v>200927.55980016413</v>
      </c>
      <c r="I25" s="1330"/>
      <c r="J25" s="1333">
        <f t="shared" si="3"/>
        <v>29592.208600003378</v>
      </c>
      <c r="K25" s="1330">
        <v>13709.450000001378</v>
      </c>
      <c r="L25" s="1330">
        <v>15882.758600002</v>
      </c>
    </row>
    <row r="26" spans="1:12" ht="15" customHeight="1">
      <c r="A26" s="101" t="s">
        <v>160</v>
      </c>
      <c r="B26" s="1293">
        <v>236740.69999983651</v>
      </c>
      <c r="C26" s="1318">
        <v>116030.52879992301</v>
      </c>
      <c r="D26" s="1318">
        <v>120710.17119991352</v>
      </c>
      <c r="E26" s="1313"/>
      <c r="F26" s="1281">
        <v>385936.62050030916</v>
      </c>
      <c r="G26" s="1318">
        <v>185009.06070014503</v>
      </c>
      <c r="H26" s="1318">
        <v>200927.55980016413</v>
      </c>
      <c r="I26" s="1313"/>
      <c r="J26" s="1281">
        <v>29592.208600003378</v>
      </c>
      <c r="K26" s="1318">
        <v>13709.450000001378</v>
      </c>
      <c r="L26" s="1318">
        <v>15882.758600002</v>
      </c>
    </row>
    <row r="27" spans="1:12" ht="15" customHeight="1">
      <c r="A27" s="484" t="s">
        <v>161</v>
      </c>
      <c r="B27" s="1307">
        <f>+C27+D27</f>
        <v>9256.2811999999485</v>
      </c>
      <c r="C27" s="1332">
        <v>4672.015199999968</v>
      </c>
      <c r="D27" s="1332">
        <v>4584.2659999999805</v>
      </c>
      <c r="E27" s="1313"/>
      <c r="F27" s="1333">
        <f>+G27+H27</f>
        <v>12810.895099999248</v>
      </c>
      <c r="G27" s="1332">
        <v>6500.2643999996253</v>
      </c>
      <c r="H27" s="1332">
        <v>6310.6306999996223</v>
      </c>
      <c r="I27" s="1313"/>
      <c r="J27" s="1333">
        <f>+L27+K27</f>
        <v>1021.7147999999966</v>
      </c>
      <c r="K27" s="1332">
        <v>461.79199999999827</v>
      </c>
      <c r="L27" s="1332">
        <v>559.92279999999835</v>
      </c>
    </row>
    <row r="28" spans="1:12" ht="15" customHeight="1">
      <c r="A28" s="101" t="s">
        <v>161</v>
      </c>
      <c r="B28" s="1293">
        <v>9256.2811999999485</v>
      </c>
      <c r="C28" s="381">
        <v>4672.015199999968</v>
      </c>
      <c r="D28" s="381">
        <v>4584.2659999999805</v>
      </c>
      <c r="E28" s="1330"/>
      <c r="F28" s="1281">
        <v>12810.895099999248</v>
      </c>
      <c r="G28" s="381">
        <v>6500.2643999996253</v>
      </c>
      <c r="H28" s="381">
        <v>6310.6306999996223</v>
      </c>
      <c r="I28" s="1330"/>
      <c r="J28" s="1281">
        <v>1021.7147999999966</v>
      </c>
      <c r="K28" s="381">
        <v>461.79199999999827</v>
      </c>
      <c r="L28" s="381">
        <v>559.92279999999835</v>
      </c>
    </row>
    <row r="29" spans="1:12" ht="15" customHeight="1">
      <c r="A29" s="484" t="s">
        <v>162</v>
      </c>
      <c r="B29" s="1307">
        <f>+C29+D29</f>
        <v>13055.907599999418</v>
      </c>
      <c r="C29" s="1332">
        <v>6695.9695999996829</v>
      </c>
      <c r="D29" s="1332">
        <v>6359.9379999997354</v>
      </c>
      <c r="E29" s="1329"/>
      <c r="F29" s="1333">
        <f>+G29+H29</f>
        <v>19905.625199999202</v>
      </c>
      <c r="G29" s="1332">
        <v>9613.9610999995602</v>
      </c>
      <c r="H29" s="1332">
        <v>10291.664099999643</v>
      </c>
      <c r="I29" s="1329"/>
      <c r="J29" s="1333">
        <f>+K29+L29</f>
        <v>2409.9769999999962</v>
      </c>
      <c r="K29" s="1332">
        <v>1021.7148000000033</v>
      </c>
      <c r="L29" s="1332">
        <v>1388.2621999999928</v>
      </c>
    </row>
    <row r="30" spans="1:12" ht="15" customHeight="1">
      <c r="A30" s="101" t="s">
        <v>162</v>
      </c>
      <c r="B30" s="1293">
        <v>13055.907599999418</v>
      </c>
      <c r="C30" s="1318">
        <v>6695.9695999996829</v>
      </c>
      <c r="D30" s="1318">
        <v>6359.9379999997354</v>
      </c>
      <c r="E30" s="1313"/>
      <c r="F30" s="1281">
        <v>19905.625199999202</v>
      </c>
      <c r="G30" s="1318">
        <v>9613.9610999995602</v>
      </c>
      <c r="H30" s="1318">
        <v>10291.664099999643</v>
      </c>
      <c r="I30" s="1313"/>
      <c r="J30" s="1281">
        <v>2409.9769999999962</v>
      </c>
      <c r="K30" s="1318">
        <v>1021.7148000000033</v>
      </c>
      <c r="L30" s="1318">
        <v>1388.2621999999928</v>
      </c>
    </row>
    <row r="31" spans="1:12" ht="15" customHeight="1">
      <c r="A31" s="484" t="s">
        <v>163</v>
      </c>
      <c r="B31" s="1307">
        <f>+C31+D31</f>
        <v>35576.693199994566</v>
      </c>
      <c r="C31" s="1330">
        <v>18289.881999997255</v>
      </c>
      <c r="D31" s="1330">
        <v>17286.811199997315</v>
      </c>
      <c r="E31" s="1330"/>
      <c r="F31" s="1333">
        <f>+G31+H31</f>
        <v>63764.765100005083</v>
      </c>
      <c r="G31" s="1330">
        <v>32180.644300002914</v>
      </c>
      <c r="H31" s="1330">
        <v>31584.120800002172</v>
      </c>
      <c r="I31" s="1330"/>
      <c r="J31" s="1333">
        <f>+K31+L31</f>
        <v>7114.482999999861</v>
      </c>
      <c r="K31" s="1330">
        <v>3333.5609999999369</v>
      </c>
      <c r="L31" s="1330">
        <v>3780.9219999999241</v>
      </c>
    </row>
    <row r="32" spans="1:12" ht="15" customHeight="1">
      <c r="A32" s="101" t="s">
        <v>163</v>
      </c>
      <c r="B32" s="1293">
        <v>35576.693199994566</v>
      </c>
      <c r="C32" s="1313">
        <v>18289.881999997255</v>
      </c>
      <c r="D32" s="1313">
        <v>17286.811199997315</v>
      </c>
      <c r="E32" s="1313"/>
      <c r="F32" s="1281">
        <v>63764.765100005083</v>
      </c>
      <c r="G32" s="1313">
        <v>32180.644300002914</v>
      </c>
      <c r="H32" s="1313">
        <v>31584.120800002172</v>
      </c>
      <c r="I32" s="1313"/>
      <c r="J32" s="1281">
        <v>7114.482999999861</v>
      </c>
      <c r="K32" s="1313">
        <v>3333.5609999999369</v>
      </c>
      <c r="L32" s="1313">
        <v>3780.9219999999241</v>
      </c>
    </row>
    <row r="33" spans="1:13" ht="15" customHeight="1">
      <c r="A33" s="487"/>
      <c r="B33" s="1334"/>
      <c r="C33" s="1335"/>
      <c r="D33" s="1335"/>
      <c r="E33" s="1304"/>
      <c r="F33" s="1283"/>
      <c r="G33" s="1335"/>
      <c r="H33" s="1335"/>
      <c r="I33" s="1304"/>
      <c r="J33" s="1283"/>
      <c r="K33" s="1335"/>
      <c r="L33" s="1335"/>
      <c r="M33" s="31"/>
    </row>
    <row r="34" spans="1:13" ht="15" customHeight="1">
      <c r="A34" s="488"/>
      <c r="B34" s="1311"/>
      <c r="C34" s="1296"/>
      <c r="D34" s="1296"/>
      <c r="E34" s="1291"/>
      <c r="F34" s="1297"/>
      <c r="G34" s="1296"/>
      <c r="H34" s="1296"/>
      <c r="I34" s="1291"/>
      <c r="J34" s="1297"/>
      <c r="K34" s="1296"/>
      <c r="L34" s="1296"/>
      <c r="M34" s="31"/>
    </row>
    <row r="35" spans="1:13" ht="15" customHeight="1">
      <c r="A35" s="487"/>
      <c r="B35" s="1334"/>
      <c r="C35" s="1277"/>
      <c r="D35" s="1277"/>
      <c r="E35" s="1277"/>
      <c r="F35" s="1283"/>
      <c r="G35" s="1277"/>
      <c r="H35" s="1277"/>
      <c r="I35" s="1277"/>
      <c r="J35" s="1283"/>
      <c r="K35" s="1277"/>
      <c r="L35" s="1277"/>
      <c r="M35" s="31"/>
    </row>
    <row r="36" spans="1:13" ht="15" customHeight="1">
      <c r="A36" s="488"/>
      <c r="B36" s="1311"/>
      <c r="C36" s="1296"/>
      <c r="D36" s="1296"/>
      <c r="E36" s="1291"/>
      <c r="F36" s="1297"/>
      <c r="G36" s="1296"/>
      <c r="H36" s="1296"/>
      <c r="I36" s="1291"/>
      <c r="J36" s="1297"/>
      <c r="K36" s="1296"/>
      <c r="L36" s="1296"/>
      <c r="M36" s="31"/>
    </row>
    <row r="37" spans="1:13" ht="15" customHeight="1">
      <c r="A37" s="488"/>
      <c r="B37" s="1311"/>
      <c r="C37" s="1296"/>
      <c r="D37" s="1296"/>
      <c r="E37" s="1291"/>
      <c r="F37" s="1297"/>
      <c r="G37" s="1296"/>
      <c r="H37" s="1296"/>
      <c r="I37" s="1291"/>
      <c r="J37" s="1297"/>
      <c r="K37" s="1296"/>
      <c r="L37" s="1296"/>
      <c r="M37" s="31"/>
    </row>
    <row r="38" spans="1:13" ht="15" customHeight="1">
      <c r="A38" s="488"/>
      <c r="B38" s="1311"/>
      <c r="C38" s="687"/>
      <c r="D38" s="687"/>
      <c r="E38" s="1291"/>
      <c r="F38" s="1297"/>
      <c r="G38" s="1296"/>
      <c r="H38" s="1296"/>
      <c r="I38" s="1335"/>
      <c r="J38" s="1297"/>
      <c r="K38" s="1296"/>
      <c r="L38" s="1296"/>
      <c r="M38" s="31"/>
    </row>
    <row r="39" spans="1:13" ht="15" customHeight="1">
      <c r="A39" s="487"/>
      <c r="B39" s="1334"/>
      <c r="C39" s="1335"/>
      <c r="D39" s="1335"/>
      <c r="E39" s="1304"/>
      <c r="F39" s="1283"/>
      <c r="G39" s="1335"/>
      <c r="H39" s="1335"/>
      <c r="I39" s="1304"/>
      <c r="J39" s="1283"/>
      <c r="K39" s="1335"/>
      <c r="L39" s="1335"/>
      <c r="M39" s="31"/>
    </row>
    <row r="40" spans="1:13" ht="15" customHeight="1">
      <c r="A40" s="488"/>
      <c r="B40" s="1311"/>
      <c r="C40" s="1296"/>
      <c r="D40" s="1296"/>
      <c r="E40" s="1291"/>
      <c r="F40" s="1297"/>
      <c r="G40" s="1296"/>
      <c r="H40" s="1296"/>
      <c r="I40" s="1291"/>
      <c r="J40" s="1297"/>
      <c r="K40" s="1296"/>
      <c r="L40" s="1296"/>
      <c r="M40" s="31"/>
    </row>
    <row r="41" spans="1:13" ht="15" customHeight="1">
      <c r="A41" s="487"/>
      <c r="B41" s="1334"/>
      <c r="C41" s="1277"/>
      <c r="D41" s="1277"/>
      <c r="E41" s="1291"/>
      <c r="F41" s="1283"/>
      <c r="G41" s="1335"/>
      <c r="H41" s="1335"/>
      <c r="I41" s="1291"/>
      <c r="J41" s="1283"/>
      <c r="K41" s="1335"/>
      <c r="L41" s="1335"/>
      <c r="M41" s="31"/>
    </row>
    <row r="42" spans="1:13" ht="15" customHeight="1">
      <c r="A42" s="488"/>
      <c r="B42" s="1311"/>
      <c r="C42" s="1296"/>
      <c r="D42" s="1296"/>
      <c r="E42" s="1291"/>
      <c r="F42" s="1297"/>
      <c r="G42" s="1296"/>
      <c r="H42" s="1296"/>
      <c r="I42" s="1291"/>
      <c r="J42" s="1297"/>
      <c r="K42" s="1296"/>
      <c r="L42" s="1296"/>
      <c r="M42" s="31"/>
    </row>
    <row r="43" spans="1:13" ht="15" customHeight="1">
      <c r="A43" s="487"/>
      <c r="B43" s="1334"/>
      <c r="C43" s="1335"/>
      <c r="D43" s="1335"/>
      <c r="E43" s="1304"/>
      <c r="F43" s="1283"/>
      <c r="G43" s="1335"/>
      <c r="H43" s="1335"/>
      <c r="I43" s="1304"/>
      <c r="J43" s="1283"/>
      <c r="K43" s="1335"/>
      <c r="L43" s="1335"/>
      <c r="M43" s="31"/>
    </row>
    <row r="44" spans="1:13" ht="15" customHeight="1">
      <c r="A44" s="488"/>
      <c r="B44" s="1311"/>
      <c r="C44" s="687"/>
      <c r="D44" s="687"/>
      <c r="E44" s="1291"/>
      <c r="F44" s="1297"/>
      <c r="G44" s="1296"/>
      <c r="H44" s="1296"/>
      <c r="I44" s="1335"/>
      <c r="J44" s="1297"/>
      <c r="K44" s="1296"/>
      <c r="L44" s="1296"/>
      <c r="M44" s="31"/>
    </row>
    <row r="45" spans="1:13" ht="15" customHeight="1">
      <c r="A45" s="487"/>
      <c r="B45" s="1334"/>
      <c r="C45" s="1335"/>
      <c r="D45" s="1335"/>
      <c r="E45" s="1304"/>
      <c r="F45" s="1283"/>
      <c r="G45" s="1335"/>
      <c r="H45" s="1335"/>
      <c r="I45" s="1304"/>
      <c r="J45" s="1283"/>
      <c r="K45" s="1335"/>
      <c r="L45" s="1335"/>
      <c r="M45" s="31"/>
    </row>
    <row r="46" spans="1:13" ht="15" customHeight="1">
      <c r="A46" s="29"/>
      <c r="B46" s="1311"/>
      <c r="C46" s="1296"/>
      <c r="D46" s="1296"/>
      <c r="E46" s="1291"/>
      <c r="F46" s="1297"/>
      <c r="G46" s="1296"/>
      <c r="H46" s="1296"/>
      <c r="I46" s="1291"/>
      <c r="J46" s="1297"/>
      <c r="K46" s="1296"/>
      <c r="L46" s="1296"/>
      <c r="M46" s="31"/>
    </row>
    <row r="47" spans="1:13" ht="15" customHeight="1">
      <c r="A47" s="27"/>
      <c r="B47" s="1277"/>
      <c r="C47" s="1277"/>
      <c r="D47" s="1277"/>
      <c r="E47" s="1291"/>
      <c r="F47" s="1335"/>
      <c r="G47" s="1335"/>
      <c r="H47" s="1335"/>
      <c r="I47" s="1335"/>
      <c r="J47" s="1335"/>
      <c r="K47" s="1335"/>
      <c r="L47" s="1335"/>
      <c r="M47" s="31"/>
    </row>
    <row r="48" spans="1:13" ht="15" customHeight="1">
      <c r="A48" s="29"/>
      <c r="B48" s="687"/>
      <c r="C48" s="1296"/>
      <c r="D48" s="1296"/>
      <c r="E48" s="1291"/>
      <c r="F48" s="1296"/>
      <c r="G48" s="1296"/>
      <c r="H48" s="1296"/>
      <c r="I48" s="1291"/>
      <c r="J48" s="1296"/>
      <c r="K48" s="1296"/>
      <c r="L48" s="1296"/>
    </row>
    <row r="49" spans="1:12" ht="15" customHeight="1">
      <c r="A49" s="29"/>
      <c r="B49" s="687"/>
      <c r="C49" s="1296"/>
      <c r="D49" s="1296"/>
      <c r="E49" s="1291"/>
      <c r="F49" s="1296"/>
      <c r="G49" s="1296"/>
      <c r="H49" s="1296"/>
      <c r="I49" s="1291"/>
      <c r="J49" s="1296"/>
      <c r="K49" s="1296"/>
      <c r="L49" s="1296"/>
    </row>
    <row r="50" spans="1:12" ht="15" customHeight="1">
      <c r="A50" s="27"/>
      <c r="B50" s="1277"/>
      <c r="C50" s="1277"/>
      <c r="D50" s="1277"/>
      <c r="E50" s="1291"/>
      <c r="F50" s="1335"/>
      <c r="G50" s="1335"/>
      <c r="H50" s="1335"/>
      <c r="I50" s="1335"/>
      <c r="J50" s="1335"/>
      <c r="K50" s="1335"/>
      <c r="L50" s="1335"/>
    </row>
    <row r="51" spans="1:12" ht="15" customHeight="1">
      <c r="A51" s="29"/>
      <c r="B51" s="687"/>
      <c r="C51" s="1296"/>
      <c r="D51" s="1296"/>
      <c r="E51" s="1291"/>
      <c r="F51" s="1296"/>
      <c r="G51" s="1296"/>
      <c r="H51" s="1296"/>
      <c r="I51" s="1291"/>
      <c r="J51" s="1296"/>
      <c r="K51" s="1296"/>
      <c r="L51" s="1296"/>
    </row>
    <row r="52" spans="1:12" ht="15" customHeight="1">
      <c r="A52" s="29"/>
      <c r="B52" s="687"/>
      <c r="C52" s="1296"/>
      <c r="D52" s="1296"/>
      <c r="E52" s="1291"/>
      <c r="F52" s="1296"/>
      <c r="G52" s="1296"/>
      <c r="H52" s="1296"/>
      <c r="I52" s="1291"/>
      <c r="J52" s="1296"/>
      <c r="K52" s="1296"/>
      <c r="L52" s="1296"/>
    </row>
    <row r="53" spans="1:12" ht="15" customHeight="1">
      <c r="A53" s="27"/>
      <c r="B53" s="1277"/>
      <c r="C53" s="1277"/>
      <c r="D53" s="1277"/>
      <c r="E53" s="1291"/>
      <c r="F53" s="1335"/>
      <c r="G53" s="1335"/>
      <c r="H53" s="1335"/>
      <c r="I53" s="1335"/>
      <c r="J53" s="1335"/>
      <c r="K53" s="1335"/>
      <c r="L53" s="1335"/>
    </row>
    <row r="54" spans="1:12" ht="15" customHeight="1">
      <c r="A54" s="29"/>
      <c r="B54" s="687"/>
      <c r="C54" s="1291"/>
      <c r="D54" s="1291"/>
      <c r="E54" s="1291"/>
      <c r="F54" s="1296"/>
      <c r="G54" s="1291"/>
      <c r="H54" s="1291"/>
      <c r="I54" s="1291"/>
      <c r="J54" s="1296"/>
      <c r="K54" s="1291"/>
      <c r="L54" s="1291"/>
    </row>
    <row r="55" spans="1:12" ht="15" customHeight="1">
      <c r="A55" s="29"/>
      <c r="B55" s="687"/>
      <c r="C55" s="1296"/>
      <c r="D55" s="1296"/>
      <c r="E55" s="1291"/>
      <c r="F55" s="1296"/>
      <c r="G55" s="1296"/>
      <c r="H55" s="1296"/>
      <c r="I55" s="1291"/>
      <c r="J55" s="1296"/>
      <c r="K55" s="1296"/>
      <c r="L55" s="1296"/>
    </row>
    <row r="56" spans="1:12" ht="15" customHeight="1">
      <c r="A56" s="27"/>
      <c r="B56" s="1277"/>
      <c r="C56" s="1277"/>
      <c r="D56" s="1277"/>
      <c r="E56" s="1291"/>
      <c r="F56" s="1335"/>
      <c r="G56" s="1335"/>
      <c r="H56" s="1335"/>
      <c r="I56" s="1335"/>
      <c r="J56" s="1335"/>
      <c r="K56" s="1335"/>
      <c r="L56" s="1335"/>
    </row>
    <row r="57" spans="1:12" ht="15" customHeight="1">
      <c r="A57" s="29"/>
      <c r="B57" s="687"/>
      <c r="C57" s="1296"/>
      <c r="D57" s="1296"/>
      <c r="E57" s="1291"/>
      <c r="F57" s="1296"/>
      <c r="G57" s="1296"/>
      <c r="H57" s="1296"/>
      <c r="I57" s="1291"/>
      <c r="J57" s="1296"/>
      <c r="K57" s="1296"/>
      <c r="L57" s="1296"/>
    </row>
    <row r="58" spans="1:12" ht="15" customHeight="1">
      <c r="A58" s="27"/>
      <c r="B58" s="1277"/>
      <c r="C58" s="1277"/>
      <c r="D58" s="1277"/>
      <c r="E58" s="1291"/>
      <c r="F58" s="1335"/>
      <c r="G58" s="1335"/>
      <c r="H58" s="1335"/>
      <c r="I58" s="1335"/>
      <c r="J58" s="1335"/>
      <c r="K58" s="1335"/>
      <c r="L58" s="1335"/>
    </row>
    <row r="59" spans="1:12" ht="15" customHeight="1">
      <c r="A59" s="29"/>
      <c r="B59" s="687"/>
      <c r="C59" s="1296"/>
      <c r="D59" s="1296"/>
      <c r="E59" s="1291"/>
      <c r="F59" s="1296"/>
      <c r="G59" s="1296"/>
      <c r="H59" s="1296"/>
      <c r="I59" s="1291"/>
      <c r="J59" s="1296"/>
      <c r="K59" s="1296"/>
      <c r="L59" s="1296"/>
    </row>
    <row r="60" spans="1:12" ht="15" customHeight="1">
      <c r="A60" s="29"/>
      <c r="B60" s="687"/>
      <c r="C60" s="1296"/>
      <c r="D60" s="1296"/>
      <c r="E60" s="1291"/>
      <c r="F60" s="1296"/>
      <c r="G60" s="1296"/>
      <c r="H60" s="1296"/>
      <c r="I60" s="1291"/>
      <c r="J60" s="1296"/>
      <c r="K60" s="1296"/>
      <c r="L60" s="1296"/>
    </row>
    <row r="61" spans="1:12" ht="15" customHeight="1">
      <c r="A61" s="27"/>
      <c r="B61" s="1277"/>
      <c r="C61" s="1277"/>
      <c r="D61" s="1277"/>
      <c r="E61" s="1291"/>
      <c r="F61" s="1335"/>
      <c r="G61" s="1335"/>
      <c r="H61" s="1335"/>
      <c r="I61" s="1335"/>
      <c r="J61" s="1335"/>
      <c r="K61" s="1335"/>
      <c r="L61" s="1335"/>
    </row>
    <row r="62" spans="1:12" ht="15" customHeight="1">
      <c r="A62" s="29"/>
      <c r="B62" s="687"/>
      <c r="C62" s="1296"/>
      <c r="D62" s="1296"/>
      <c r="E62" s="1291"/>
      <c r="F62" s="1296"/>
      <c r="G62" s="1296"/>
      <c r="H62" s="1296"/>
      <c r="I62" s="1291"/>
      <c r="J62" s="1296"/>
      <c r="K62" s="1296"/>
      <c r="L62" s="1296"/>
    </row>
    <row r="63" spans="1:12" ht="15" customHeight="1">
      <c r="A63" s="27"/>
      <c r="B63" s="1277"/>
      <c r="C63" s="1277"/>
      <c r="D63" s="1277"/>
      <c r="E63" s="1291"/>
      <c r="F63" s="1335"/>
      <c r="G63" s="1335"/>
      <c r="H63" s="1335"/>
      <c r="I63" s="1335"/>
      <c r="J63" s="1335"/>
      <c r="K63" s="1335"/>
      <c r="L63" s="1335"/>
    </row>
    <row r="64" spans="1:12" ht="15" customHeight="1">
      <c r="A64" s="29"/>
      <c r="B64" s="687"/>
      <c r="C64" s="1296"/>
      <c r="D64" s="1296"/>
      <c r="E64" s="1291"/>
      <c r="F64" s="1296"/>
      <c r="G64" s="1296"/>
      <c r="H64" s="1296"/>
      <c r="I64" s="1291"/>
      <c r="J64" s="1296"/>
      <c r="K64" s="1296"/>
      <c r="L64" s="1296"/>
    </row>
    <row r="65" spans="1:12" ht="15" customHeight="1">
      <c r="A65" s="29"/>
      <c r="B65" s="687"/>
      <c r="C65" s="1296"/>
      <c r="D65" s="1296"/>
      <c r="E65" s="1291"/>
      <c r="F65" s="1296"/>
      <c r="G65" s="1296"/>
      <c r="H65" s="1296"/>
      <c r="I65" s="1291"/>
      <c r="J65" s="1296"/>
      <c r="K65" s="1296"/>
      <c r="L65" s="1296"/>
    </row>
    <row r="66" spans="1:12" ht="15" customHeight="1">
      <c r="A66" s="29"/>
      <c r="B66" s="687"/>
      <c r="C66" s="1296"/>
      <c r="D66" s="1296"/>
      <c r="E66" s="1291"/>
      <c r="F66" s="1296"/>
      <c r="G66" s="1296"/>
      <c r="H66" s="1296"/>
      <c r="I66" s="1291"/>
      <c r="J66" s="1296"/>
      <c r="K66" s="1296"/>
      <c r="L66" s="1296"/>
    </row>
    <row r="67" spans="1:12" ht="15" customHeight="1">
      <c r="A67" s="27"/>
      <c r="B67" s="1277"/>
      <c r="C67" s="1277"/>
      <c r="D67" s="1277"/>
      <c r="E67" s="1291"/>
      <c r="F67" s="1335"/>
      <c r="G67" s="1335"/>
      <c r="H67" s="1335"/>
      <c r="I67" s="1335"/>
      <c r="J67" s="1335"/>
      <c r="K67" s="1335"/>
      <c r="L67" s="1335"/>
    </row>
    <row r="68" spans="1:12" ht="15" customHeight="1">
      <c r="A68" s="29"/>
      <c r="B68" s="687"/>
      <c r="C68" s="1296"/>
      <c r="D68" s="1296"/>
      <c r="E68" s="1291"/>
      <c r="F68" s="1296"/>
      <c r="G68" s="1296"/>
      <c r="H68" s="1296"/>
      <c r="I68" s="1291"/>
      <c r="J68" s="1296"/>
      <c r="K68" s="1296"/>
      <c r="L68" s="1296"/>
    </row>
    <row r="69" spans="1:12" ht="15" customHeight="1">
      <c r="A69" s="29"/>
      <c r="B69" s="687"/>
      <c r="C69" s="1296"/>
      <c r="D69" s="1296"/>
      <c r="E69" s="1291"/>
      <c r="F69" s="1296"/>
      <c r="G69" s="1296"/>
      <c r="H69" s="1296"/>
      <c r="I69" s="1291"/>
      <c r="J69" s="1296"/>
      <c r="K69" s="1296"/>
      <c r="L69" s="1296"/>
    </row>
    <row r="70" spans="1:12" ht="15" customHeight="1">
      <c r="A70" s="27"/>
      <c r="B70" s="1277"/>
      <c r="C70" s="1277"/>
      <c r="D70" s="1277"/>
      <c r="E70" s="1291"/>
      <c r="F70" s="1335"/>
      <c r="G70" s="1335"/>
      <c r="H70" s="1335"/>
      <c r="I70" s="1335"/>
      <c r="J70" s="1335"/>
      <c r="K70" s="1335"/>
      <c r="L70" s="1335"/>
    </row>
    <row r="71" spans="1:12" ht="15" customHeight="1">
      <c r="A71" s="29"/>
      <c r="B71" s="687"/>
      <c r="C71" s="1296"/>
      <c r="D71" s="1296"/>
      <c r="E71" s="1291"/>
      <c r="F71" s="1296"/>
      <c r="G71" s="1296"/>
      <c r="H71" s="1296"/>
      <c r="I71" s="1291"/>
      <c r="J71" s="1296"/>
      <c r="K71" s="1296"/>
      <c r="L71" s="1296"/>
    </row>
    <row r="72" spans="1:12" ht="15" customHeight="1">
      <c r="A72" s="27"/>
      <c r="B72" s="1277"/>
      <c r="C72" s="1277"/>
      <c r="D72" s="1277"/>
      <c r="E72" s="1291"/>
      <c r="F72" s="1335"/>
      <c r="G72" s="1335"/>
      <c r="H72" s="1335"/>
      <c r="I72" s="1335"/>
      <c r="J72" s="1335"/>
      <c r="K72" s="1335"/>
      <c r="L72" s="1335"/>
    </row>
    <row r="73" spans="1:12" ht="15" customHeight="1">
      <c r="A73" s="29"/>
      <c r="B73" s="687"/>
      <c r="C73" s="1296"/>
      <c r="D73" s="1296"/>
      <c r="E73" s="1291"/>
      <c r="F73" s="1296"/>
      <c r="G73" s="1296"/>
      <c r="H73" s="1296"/>
      <c r="I73" s="1291"/>
      <c r="J73" s="1296"/>
      <c r="K73" s="1296"/>
      <c r="L73" s="1296"/>
    </row>
    <row r="74" spans="1:12" ht="15" customHeight="1">
      <c r="A74" s="27"/>
      <c r="B74" s="1277"/>
      <c r="C74" s="1277"/>
      <c r="D74" s="1277"/>
      <c r="E74" s="1277"/>
      <c r="F74" s="1277"/>
      <c r="G74" s="1277"/>
      <c r="H74" s="1277"/>
      <c r="I74" s="1277"/>
      <c r="J74" s="1277"/>
      <c r="K74" s="1277"/>
      <c r="L74" s="1277"/>
    </row>
    <row r="75" spans="1:12" ht="15" customHeight="1">
      <c r="A75" s="29"/>
      <c r="B75" s="687"/>
      <c r="C75" s="1296"/>
      <c r="D75" s="1296"/>
      <c r="E75" s="1291"/>
      <c r="F75" s="1296"/>
      <c r="G75" s="1296"/>
      <c r="H75" s="1296"/>
      <c r="I75" s="1291"/>
      <c r="J75" s="1296"/>
      <c r="K75" s="1296"/>
      <c r="L75" s="1296"/>
    </row>
    <row r="76" spans="1:12" ht="15" customHeight="1">
      <c r="A76" s="491"/>
      <c r="B76" s="1277"/>
      <c r="C76" s="1277"/>
      <c r="D76" s="1277"/>
      <c r="E76" s="1277"/>
      <c r="F76" s="1277"/>
      <c r="G76" s="1277"/>
      <c r="H76" s="1277"/>
      <c r="I76" s="1277"/>
      <c r="J76" s="1277"/>
      <c r="K76" s="1277"/>
      <c r="L76" s="1277"/>
    </row>
    <row r="77" spans="1:12" ht="15" customHeight="1">
      <c r="A77" s="492"/>
      <c r="B77" s="687"/>
      <c r="C77" s="1338"/>
      <c r="D77" s="1338"/>
      <c r="E77" s="1338"/>
      <c r="F77" s="1296"/>
      <c r="G77" s="1338"/>
      <c r="H77" s="1338"/>
      <c r="I77" s="1338"/>
      <c r="J77" s="1338"/>
      <c r="K77" s="1338"/>
      <c r="L77" s="1338"/>
    </row>
    <row r="78" spans="1:12" ht="15" customHeight="1">
      <c r="A78" s="491"/>
      <c r="B78" s="1277"/>
      <c r="C78" s="1277"/>
      <c r="D78" s="1277"/>
      <c r="E78" s="1277"/>
      <c r="F78" s="1277"/>
      <c r="G78" s="1277"/>
      <c r="H78" s="1277"/>
      <c r="I78" s="1277"/>
      <c r="J78" s="1277"/>
      <c r="K78" s="1277"/>
      <c r="L78" s="1277"/>
    </row>
    <row r="79" spans="1:12" ht="15" customHeight="1">
      <c r="A79" s="492"/>
      <c r="B79" s="687"/>
      <c r="C79" s="1338"/>
      <c r="D79" s="1338"/>
      <c r="E79" s="1338"/>
      <c r="F79" s="1296"/>
      <c r="G79" s="1338"/>
      <c r="H79" s="1338"/>
      <c r="I79" s="1338"/>
      <c r="J79" s="1338"/>
      <c r="K79" s="1338"/>
      <c r="L79" s="1338"/>
    </row>
    <row r="80" spans="1:12" ht="15" customHeight="1">
      <c r="A80" s="491"/>
      <c r="B80" s="1277"/>
      <c r="C80" s="1277"/>
      <c r="D80" s="1277"/>
      <c r="E80" s="1277"/>
      <c r="F80" s="1277"/>
      <c r="G80" s="1277"/>
      <c r="H80" s="1277"/>
      <c r="I80" s="1277"/>
      <c r="J80" s="1277"/>
      <c r="K80" s="1277"/>
      <c r="L80" s="1277"/>
    </row>
    <row r="81" spans="1:12" ht="15" customHeight="1">
      <c r="A81" s="492"/>
      <c r="B81" s="687"/>
      <c r="C81" s="1338"/>
      <c r="D81" s="1338"/>
      <c r="E81" s="1338"/>
      <c r="F81" s="1296"/>
      <c r="G81" s="1338"/>
      <c r="H81" s="1338"/>
      <c r="I81" s="1338"/>
      <c r="J81" s="1338"/>
      <c r="K81" s="1338"/>
      <c r="L81" s="1338"/>
    </row>
    <row r="82" spans="1:12" ht="15" customHeight="1">
      <c r="A82" s="492"/>
      <c r="B82" s="687"/>
      <c r="C82" s="1338"/>
      <c r="D82" s="1338"/>
      <c r="E82" s="1338"/>
      <c r="F82" s="1296"/>
      <c r="G82" s="1338"/>
      <c r="H82" s="1338"/>
      <c r="I82" s="1338"/>
      <c r="J82" s="1338"/>
      <c r="K82" s="1338"/>
      <c r="L82" s="1338"/>
    </row>
    <row r="83" spans="1:12" ht="15" customHeight="1">
      <c r="A83" s="491"/>
      <c r="B83" s="1277"/>
      <c r="C83" s="1277"/>
      <c r="D83" s="1277"/>
      <c r="E83" s="1277"/>
      <c r="F83" s="1277"/>
      <c r="G83" s="1277"/>
      <c r="H83" s="1277"/>
      <c r="I83" s="1277"/>
      <c r="J83" s="1277"/>
      <c r="K83" s="1277"/>
      <c r="L83" s="1277"/>
    </row>
    <row r="84" spans="1:12" ht="15" customHeight="1">
      <c r="A84" s="492"/>
      <c r="B84" s="1338"/>
      <c r="C84" s="1338"/>
      <c r="D84" s="1338"/>
      <c r="E84" s="1338"/>
      <c r="F84" s="1296"/>
      <c r="G84" s="1338"/>
      <c r="H84" s="1338"/>
      <c r="I84" s="1338"/>
      <c r="J84" s="1338"/>
      <c r="K84" s="1338"/>
      <c r="L84" s="1338"/>
    </row>
    <row r="85" spans="1:12">
      <c r="A85" s="31"/>
      <c r="B85" s="1284"/>
      <c r="C85" s="1284"/>
      <c r="D85" s="1284"/>
      <c r="E85" s="1284"/>
      <c r="F85" s="1284"/>
      <c r="G85" s="1284"/>
      <c r="H85" s="1284"/>
      <c r="I85" s="1284"/>
      <c r="J85" s="1284"/>
      <c r="K85" s="1284"/>
      <c r="L85" s="1284"/>
    </row>
  </sheetData>
  <mergeCells count="6">
    <mergeCell ref="B2:K2"/>
    <mergeCell ref="B3:D3"/>
    <mergeCell ref="F3:H3"/>
    <mergeCell ref="J3:L3"/>
    <mergeCell ref="A1:L1"/>
    <mergeCell ref="A2:A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5E37-DDCD-4647-AD2B-D1D963302D4A}">
  <sheetPr>
    <tabColor theme="0"/>
  </sheetPr>
  <dimension ref="A1:C156"/>
  <sheetViews>
    <sheetView zoomScaleNormal="100" workbookViewId="0">
      <selection activeCell="E14" sqref="E14"/>
    </sheetView>
  </sheetViews>
  <sheetFormatPr defaultColWidth="10.28515625" defaultRowHeight="15"/>
  <cols>
    <col min="1" max="1" width="21.85546875" style="3" customWidth="1"/>
    <col min="2" max="2" width="15.28515625" style="13" customWidth="1"/>
    <col min="3" max="3" width="17" style="13" customWidth="1"/>
    <col min="4" max="16384" width="10.28515625" style="3"/>
  </cols>
  <sheetData>
    <row r="1" spans="1:3" ht="22.5" customHeight="1">
      <c r="A1" s="1337" t="s">
        <v>573</v>
      </c>
      <c r="B1" s="1337"/>
      <c r="C1" s="1337"/>
    </row>
    <row r="2" spans="1:3" ht="24">
      <c r="A2" s="1370" t="s">
        <v>495</v>
      </c>
      <c r="B2" s="1352" t="s">
        <v>138</v>
      </c>
      <c r="C2" s="1352" t="s">
        <v>139</v>
      </c>
    </row>
    <row r="3" spans="1:3">
      <c r="A3" s="84" t="s">
        <v>0</v>
      </c>
      <c r="B3" s="1288">
        <v>25.309229995302665</v>
      </c>
      <c r="C3" s="1288">
        <v>21</v>
      </c>
    </row>
    <row r="4" spans="1:3">
      <c r="A4" s="85"/>
      <c r="B4" s="86"/>
      <c r="C4" s="86"/>
    </row>
    <row r="5" spans="1:3" ht="13.5" customHeight="1">
      <c r="A5" s="84" t="s">
        <v>140</v>
      </c>
      <c r="B5" s="1344"/>
      <c r="C5" s="1344"/>
    </row>
    <row r="6" spans="1:3">
      <c r="A6" s="87" t="s">
        <v>4</v>
      </c>
      <c r="B6" s="1350">
        <v>25.023904833075861</v>
      </c>
      <c r="C6" s="1350">
        <v>20</v>
      </c>
    </row>
    <row r="7" spans="1:3">
      <c r="A7" s="87" t="s">
        <v>5</v>
      </c>
      <c r="B7" s="1350">
        <v>27.928206905239367</v>
      </c>
      <c r="C7" s="1350">
        <v>23</v>
      </c>
    </row>
    <row r="8" spans="1:3" ht="15.75" customHeight="1">
      <c r="A8" s="84" t="s">
        <v>141</v>
      </c>
      <c r="B8" s="88"/>
      <c r="C8" s="88"/>
    </row>
    <row r="9" spans="1:3">
      <c r="A9" s="1365" t="s">
        <v>1</v>
      </c>
      <c r="B9" s="1350">
        <v>25.260547617568481</v>
      </c>
      <c r="C9" s="1350">
        <v>21</v>
      </c>
    </row>
    <row r="10" spans="1:3">
      <c r="A10" s="1365" t="s">
        <v>2</v>
      </c>
      <c r="B10" s="1350">
        <v>25.356120188148044</v>
      </c>
      <c r="C10" s="1350">
        <v>21</v>
      </c>
    </row>
    <row r="11" spans="1:3" ht="15.75" customHeight="1">
      <c r="A11" s="1287" t="s">
        <v>172</v>
      </c>
      <c r="B11" s="89"/>
      <c r="C11" s="89"/>
    </row>
    <row r="12" spans="1:3" ht="12.75" customHeight="1">
      <c r="A12" s="484" t="s">
        <v>148</v>
      </c>
      <c r="B12" s="1346">
        <v>29.843283833797713</v>
      </c>
      <c r="C12" s="1367">
        <v>24</v>
      </c>
    </row>
    <row r="13" spans="1:3" ht="12.75" customHeight="1">
      <c r="A13" s="101" t="s">
        <v>148</v>
      </c>
      <c r="B13" s="1354">
        <v>26.985392292917879</v>
      </c>
      <c r="C13" s="1359">
        <v>22</v>
      </c>
    </row>
    <row r="14" spans="1:3" ht="12.75" customHeight="1">
      <c r="A14" s="101" t="s">
        <v>149</v>
      </c>
      <c r="B14" s="1358">
        <v>32.782922246944779</v>
      </c>
      <c r="C14" s="1359">
        <v>27</v>
      </c>
    </row>
    <row r="15" spans="1:3" ht="12.75" customHeight="1">
      <c r="A15" s="101" t="s">
        <v>150</v>
      </c>
      <c r="B15" s="1358">
        <v>30.707663355101644</v>
      </c>
      <c r="C15" s="1359">
        <v>25</v>
      </c>
    </row>
    <row r="16" spans="1:3" ht="12.75" customHeight="1">
      <c r="A16" s="101" t="s">
        <v>151</v>
      </c>
      <c r="B16" s="1358">
        <v>28.840404496814482</v>
      </c>
      <c r="C16" s="1359">
        <v>24</v>
      </c>
    </row>
    <row r="17" spans="1:3" ht="12.75" customHeight="1">
      <c r="A17" s="484" t="s">
        <v>152</v>
      </c>
      <c r="B17" s="1298">
        <v>25.761023034960637</v>
      </c>
      <c r="C17" s="1367">
        <v>20</v>
      </c>
    </row>
    <row r="18" spans="1:3" ht="12.75" customHeight="1">
      <c r="A18" s="101" t="s">
        <v>153</v>
      </c>
      <c r="B18" s="1358">
        <v>27.332724670840875</v>
      </c>
      <c r="C18" s="1359">
        <v>22</v>
      </c>
    </row>
    <row r="19" spans="1:3" ht="12.75" customHeight="1">
      <c r="A19" s="101" t="s">
        <v>154</v>
      </c>
      <c r="B19" s="1354">
        <v>24.96287440839702</v>
      </c>
      <c r="C19" s="1359">
        <v>19</v>
      </c>
    </row>
    <row r="20" spans="1:3" ht="12.75" customHeight="1">
      <c r="A20" s="101" t="s">
        <v>155</v>
      </c>
      <c r="B20" s="1358">
        <v>22.478245373658076</v>
      </c>
      <c r="C20" s="1359">
        <v>17</v>
      </c>
    </row>
    <row r="21" spans="1:3" ht="12.75" customHeight="1">
      <c r="A21" s="101" t="s">
        <v>156</v>
      </c>
      <c r="B21" s="1354">
        <v>24.250107828833656</v>
      </c>
      <c r="C21" s="1359">
        <v>18</v>
      </c>
    </row>
    <row r="22" spans="1:3" ht="12.75" customHeight="1">
      <c r="A22" s="484" t="s">
        <v>157</v>
      </c>
      <c r="B22" s="1298">
        <v>25.023112946930095</v>
      </c>
      <c r="C22" s="1367">
        <v>20</v>
      </c>
    </row>
    <row r="23" spans="1:3" ht="12.75" customHeight="1">
      <c r="A23" s="101" t="s">
        <v>157</v>
      </c>
      <c r="B23" s="1354">
        <v>24.932529889197674</v>
      </c>
      <c r="C23" s="1359">
        <v>20</v>
      </c>
    </row>
    <row r="24" spans="1:3" ht="12.75" customHeight="1">
      <c r="A24" s="101" t="s">
        <v>158</v>
      </c>
      <c r="B24" s="1354">
        <v>24.994537244384677</v>
      </c>
      <c r="C24" s="1359">
        <v>20</v>
      </c>
    </row>
    <row r="25" spans="1:3" ht="12.75" customHeight="1">
      <c r="A25" s="101" t="s">
        <v>159</v>
      </c>
      <c r="B25" s="1354">
        <v>24.993642352993852</v>
      </c>
      <c r="C25" s="1359">
        <v>20</v>
      </c>
    </row>
    <row r="26" spans="1:3" ht="12.75" customHeight="1">
      <c r="A26" s="484" t="s">
        <v>160</v>
      </c>
      <c r="B26" s="1298">
        <v>24.917179783427436</v>
      </c>
      <c r="C26" s="1367">
        <v>21</v>
      </c>
    </row>
    <row r="27" spans="1:3" ht="12.75" customHeight="1">
      <c r="A27" s="101" t="s">
        <v>160</v>
      </c>
      <c r="B27" s="1354">
        <v>24.917179783427436</v>
      </c>
      <c r="C27" s="1359">
        <v>21</v>
      </c>
    </row>
    <row r="28" spans="1:3" ht="12.75" customHeight="1">
      <c r="A28" s="484" t="s">
        <v>161</v>
      </c>
      <c r="B28" s="1298">
        <v>23.786871180660835</v>
      </c>
      <c r="C28" s="1367">
        <v>19</v>
      </c>
    </row>
    <row r="29" spans="1:3" ht="12.75" customHeight="1">
      <c r="A29" s="101" t="s">
        <v>161</v>
      </c>
      <c r="B29" s="1354">
        <v>23.786871180660835</v>
      </c>
      <c r="C29" s="1359">
        <v>19</v>
      </c>
    </row>
    <row r="30" spans="1:3" ht="12.75" customHeight="1">
      <c r="A30" s="484" t="s">
        <v>162</v>
      </c>
      <c r="B30" s="1298">
        <v>25.532062134367749</v>
      </c>
      <c r="C30" s="1367">
        <v>20</v>
      </c>
    </row>
    <row r="31" spans="1:3" ht="12.75" customHeight="1">
      <c r="A31" s="101" t="s">
        <v>162</v>
      </c>
      <c r="B31" s="1354">
        <v>25.532062134367749</v>
      </c>
      <c r="C31" s="1359">
        <v>20</v>
      </c>
    </row>
    <row r="32" spans="1:3" ht="12.75" customHeight="1">
      <c r="A32" s="484" t="s">
        <v>163</v>
      </c>
      <c r="B32" s="1298">
        <v>26.982834019619656</v>
      </c>
      <c r="C32" s="1367">
        <v>23</v>
      </c>
    </row>
    <row r="33" spans="1:3" ht="12.75" customHeight="1">
      <c r="A33" s="101" t="s">
        <v>163</v>
      </c>
      <c r="B33" s="1343">
        <v>26.982834019619656</v>
      </c>
      <c r="C33" s="1359">
        <v>23</v>
      </c>
    </row>
    <row r="34" spans="1:3" ht="12.75" customHeight="1">
      <c r="A34" s="487"/>
      <c r="B34" s="1342"/>
      <c r="C34" s="1341"/>
    </row>
    <row r="35" spans="1:3" ht="12.75" customHeight="1">
      <c r="A35" s="488"/>
      <c r="B35" s="1372"/>
      <c r="C35" s="1325"/>
    </row>
    <row r="36" spans="1:3" ht="12.75" customHeight="1">
      <c r="A36" s="487"/>
      <c r="B36" s="1342"/>
      <c r="C36" s="1342"/>
    </row>
    <row r="37" spans="1:3" ht="12.75" customHeight="1">
      <c r="A37" s="488"/>
      <c r="B37" s="1372"/>
      <c r="C37" s="1372"/>
    </row>
    <row r="38" spans="1:3" ht="12.75" customHeight="1">
      <c r="A38" s="488"/>
      <c r="B38" s="1372"/>
      <c r="C38" s="1372"/>
    </row>
    <row r="39" spans="1:3" ht="12.75" customHeight="1">
      <c r="A39" s="488"/>
      <c r="B39" s="1372"/>
      <c r="C39" s="1372"/>
    </row>
    <row r="40" spans="1:3" ht="12.75" customHeight="1">
      <c r="A40" s="487"/>
      <c r="B40" s="1342"/>
      <c r="C40" s="1342"/>
    </row>
    <row r="41" spans="1:3" ht="12.75" customHeight="1">
      <c r="A41" s="488"/>
      <c r="B41" s="1372"/>
      <c r="C41" s="1372"/>
    </row>
    <row r="42" spans="1:3" ht="12.75" customHeight="1">
      <c r="A42" s="487"/>
      <c r="B42" s="1342"/>
      <c r="C42" s="1342"/>
    </row>
    <row r="43" spans="1:3" ht="12.75" customHeight="1">
      <c r="A43" s="488"/>
      <c r="B43" s="1372"/>
      <c r="C43" s="1372"/>
    </row>
    <row r="44" spans="1:3" ht="12.75" customHeight="1">
      <c r="A44" s="487"/>
      <c r="B44" s="1342"/>
      <c r="C44" s="1342"/>
    </row>
    <row r="45" spans="1:3" ht="12.75" customHeight="1">
      <c r="A45" s="488"/>
      <c r="B45" s="1321"/>
      <c r="C45" s="1372"/>
    </row>
    <row r="46" spans="1:3" ht="12.75" customHeight="1">
      <c r="A46" s="487"/>
      <c r="B46" s="1342"/>
      <c r="C46" s="1342"/>
    </row>
    <row r="47" spans="1:3" ht="12.75" customHeight="1">
      <c r="A47" s="29"/>
      <c r="B47" s="1372"/>
      <c r="C47" s="1372"/>
    </row>
    <row r="48" spans="1:3" ht="12.75" customHeight="1">
      <c r="A48" s="27"/>
      <c r="B48" s="1362"/>
      <c r="C48" s="1362"/>
    </row>
    <row r="49" spans="1:3" ht="12.75" customHeight="1">
      <c r="A49" s="29"/>
      <c r="B49" s="1312"/>
      <c r="C49" s="1312"/>
    </row>
    <row r="50" spans="1:3" ht="12.75" customHeight="1">
      <c r="A50" s="29"/>
      <c r="B50" s="1312"/>
      <c r="C50" s="1312"/>
    </row>
    <row r="51" spans="1:3" ht="12.75" customHeight="1">
      <c r="A51" s="27"/>
      <c r="B51" s="1362"/>
      <c r="C51" s="1362"/>
    </row>
    <row r="52" spans="1:3" ht="12.75" customHeight="1">
      <c r="A52" s="29"/>
      <c r="B52" s="1312"/>
      <c r="C52" s="1312"/>
    </row>
    <row r="53" spans="1:3" ht="12.75" customHeight="1">
      <c r="A53" s="29"/>
      <c r="B53" s="1312"/>
      <c r="C53" s="1312"/>
    </row>
    <row r="54" spans="1:3" ht="12.75" customHeight="1">
      <c r="A54" s="27"/>
      <c r="B54" s="1362"/>
      <c r="C54" s="1362"/>
    </row>
    <row r="55" spans="1:3" ht="12.75" customHeight="1">
      <c r="A55" s="29"/>
      <c r="B55" s="1312"/>
      <c r="C55" s="1312"/>
    </row>
    <row r="56" spans="1:3" ht="12.75" customHeight="1">
      <c r="A56" s="29"/>
      <c r="B56" s="1312"/>
      <c r="C56" s="1312"/>
    </row>
    <row r="57" spans="1:3" ht="12.75" customHeight="1">
      <c r="A57" s="27"/>
      <c r="B57" s="1362"/>
      <c r="C57" s="1362"/>
    </row>
    <row r="58" spans="1:3" ht="12.75" customHeight="1">
      <c r="A58" s="29"/>
      <c r="B58" s="1312"/>
      <c r="C58" s="1312"/>
    </row>
    <row r="59" spans="1:3" ht="12.75" customHeight="1">
      <c r="A59" s="29"/>
      <c r="B59" s="1312"/>
      <c r="C59" s="1312"/>
    </row>
    <row r="60" spans="1:3" ht="12.75" customHeight="1">
      <c r="A60" s="27"/>
      <c r="B60" s="1362"/>
      <c r="C60" s="1362"/>
    </row>
    <row r="61" spans="1:3" ht="12.75" customHeight="1">
      <c r="A61" s="29"/>
      <c r="B61" s="1312"/>
      <c r="C61" s="1312"/>
    </row>
    <row r="62" spans="1:3" ht="12.75" customHeight="1">
      <c r="A62" s="27"/>
      <c r="B62" s="1362"/>
      <c r="C62" s="1362"/>
    </row>
    <row r="63" spans="1:3" ht="12.75" customHeight="1">
      <c r="A63" s="29"/>
      <c r="B63" s="1312"/>
      <c r="C63" s="1312"/>
    </row>
    <row r="64" spans="1:3" ht="12.75" customHeight="1">
      <c r="A64" s="29"/>
      <c r="B64" s="1312"/>
      <c r="C64" s="1312"/>
    </row>
    <row r="65" spans="1:3" ht="12.75" customHeight="1">
      <c r="A65" s="27"/>
      <c r="B65" s="1362"/>
      <c r="C65" s="1362"/>
    </row>
    <row r="66" spans="1:3" ht="12.75" customHeight="1">
      <c r="A66" s="29"/>
      <c r="B66" s="1312"/>
      <c r="C66" s="1312"/>
    </row>
    <row r="67" spans="1:3" ht="12.75" customHeight="1">
      <c r="A67" s="27"/>
      <c r="B67" s="1362"/>
      <c r="C67" s="1362"/>
    </row>
    <row r="68" spans="1:3" ht="12.75" customHeight="1">
      <c r="A68" s="29"/>
      <c r="B68" s="1312"/>
      <c r="C68" s="1312"/>
    </row>
    <row r="69" spans="1:3" ht="12.75" customHeight="1">
      <c r="A69" s="29"/>
      <c r="B69" s="1312"/>
      <c r="C69" s="1312"/>
    </row>
    <row r="70" spans="1:3" ht="12.75" customHeight="1">
      <c r="A70" s="29"/>
      <c r="B70" s="1312"/>
      <c r="C70" s="1312"/>
    </row>
    <row r="71" spans="1:3" ht="12.75" customHeight="1">
      <c r="A71" s="27"/>
      <c r="B71" s="1362"/>
      <c r="C71" s="1362"/>
    </row>
    <row r="72" spans="1:3" ht="12.75" customHeight="1">
      <c r="A72" s="29"/>
      <c r="B72" s="1312"/>
      <c r="C72" s="1312"/>
    </row>
    <row r="73" spans="1:3" ht="12.75" customHeight="1">
      <c r="A73" s="29"/>
      <c r="B73" s="1312"/>
      <c r="C73" s="1312"/>
    </row>
    <row r="74" spans="1:3" ht="12.75" customHeight="1">
      <c r="A74" s="27"/>
      <c r="B74" s="1362"/>
      <c r="C74" s="1362"/>
    </row>
    <row r="75" spans="1:3" ht="12.75" customHeight="1">
      <c r="A75" s="29"/>
      <c r="B75" s="1312"/>
      <c r="C75" s="1312"/>
    </row>
    <row r="76" spans="1:3" ht="12.75" customHeight="1">
      <c r="A76" s="27"/>
      <c r="B76" s="1362"/>
      <c r="C76" s="1362"/>
    </row>
    <row r="77" spans="1:3" ht="12.75" customHeight="1">
      <c r="A77" s="29"/>
      <c r="B77" s="1312"/>
      <c r="C77" s="1312"/>
    </row>
    <row r="78" spans="1:3" ht="12.75" customHeight="1">
      <c r="A78" s="27"/>
      <c r="B78" s="1362"/>
      <c r="C78" s="1362"/>
    </row>
    <row r="79" spans="1:3" ht="12.75" customHeight="1">
      <c r="A79" s="29"/>
      <c r="B79" s="1312"/>
      <c r="C79" s="1312"/>
    </row>
    <row r="80" spans="1:3" ht="12.75" customHeight="1">
      <c r="A80" s="491"/>
      <c r="B80" s="1362"/>
      <c r="C80" s="1362"/>
    </row>
    <row r="81" spans="1:3" ht="12.75" customHeight="1">
      <c r="A81" s="492"/>
      <c r="B81" s="1312"/>
      <c r="C81" s="1312"/>
    </row>
    <row r="82" spans="1:3" ht="12.75" customHeight="1">
      <c r="A82" s="491"/>
      <c r="B82" s="1362"/>
      <c r="C82" s="1362"/>
    </row>
    <row r="83" spans="1:3" ht="12.75" customHeight="1">
      <c r="A83" s="492"/>
      <c r="B83" s="1312"/>
      <c r="C83" s="1312"/>
    </row>
    <row r="84" spans="1:3" ht="12.75" customHeight="1">
      <c r="A84" s="491"/>
      <c r="B84" s="1362"/>
      <c r="C84" s="1362"/>
    </row>
    <row r="85" spans="1:3" ht="12.75" customHeight="1">
      <c r="A85" s="492"/>
      <c r="B85" s="1312"/>
      <c r="C85" s="1312"/>
    </row>
    <row r="86" spans="1:3" ht="12.75" customHeight="1">
      <c r="A86" s="492"/>
      <c r="B86" s="1312"/>
      <c r="C86" s="1312"/>
    </row>
    <row r="87" spans="1:3" ht="12.75" customHeight="1">
      <c r="A87" s="491"/>
      <c r="B87" s="1362"/>
      <c r="C87" s="1362"/>
    </row>
    <row r="88" spans="1:3">
      <c r="A88" s="492"/>
      <c r="B88" s="1369"/>
      <c r="C88" s="1369"/>
    </row>
    <row r="89" spans="1:3">
      <c r="A89" s="14"/>
      <c r="B89" s="17"/>
      <c r="C89" s="17"/>
    </row>
    <row r="90" spans="1:3">
      <c r="A90" s="14"/>
      <c r="B90" s="17"/>
      <c r="C90" s="17"/>
    </row>
    <row r="91" spans="1:3">
      <c r="A91" s="14"/>
      <c r="B91" s="17"/>
      <c r="C91" s="17"/>
    </row>
    <row r="92" spans="1:3">
      <c r="A92" s="14"/>
      <c r="B92" s="17"/>
      <c r="C92" s="17"/>
    </row>
    <row r="93" spans="1:3">
      <c r="A93" s="14"/>
      <c r="B93" s="17"/>
      <c r="C93" s="17"/>
    </row>
    <row r="94" spans="1:3">
      <c r="A94" s="14"/>
      <c r="B94" s="17"/>
      <c r="C94" s="17"/>
    </row>
    <row r="95" spans="1:3">
      <c r="A95" s="14"/>
      <c r="B95" s="17"/>
      <c r="C95" s="17"/>
    </row>
    <row r="96" spans="1:3">
      <c r="A96" s="14"/>
      <c r="B96" s="17"/>
      <c r="C96" s="17"/>
    </row>
    <row r="97" spans="1:3">
      <c r="A97" s="14"/>
      <c r="B97" s="17"/>
      <c r="C97" s="17"/>
    </row>
    <row r="98" spans="1:3">
      <c r="A98" s="14"/>
      <c r="B98" s="17"/>
      <c r="C98" s="17"/>
    </row>
    <row r="99" spans="1:3">
      <c r="A99" s="14"/>
      <c r="B99" s="17"/>
      <c r="C99" s="17"/>
    </row>
    <row r="100" spans="1:3">
      <c r="A100" s="14"/>
      <c r="B100" s="17"/>
      <c r="C100" s="17"/>
    </row>
    <row r="101" spans="1:3">
      <c r="A101" s="14"/>
      <c r="B101" s="17"/>
      <c r="C101" s="17"/>
    </row>
    <row r="102" spans="1:3">
      <c r="A102" s="14"/>
      <c r="B102" s="17"/>
      <c r="C102" s="17"/>
    </row>
    <row r="103" spans="1:3">
      <c r="A103" s="14"/>
      <c r="B103" s="17"/>
      <c r="C103" s="17"/>
    </row>
    <row r="104" spans="1:3">
      <c r="A104" s="14"/>
      <c r="B104" s="17"/>
      <c r="C104" s="17"/>
    </row>
    <row r="105" spans="1:3">
      <c r="A105" s="14"/>
      <c r="B105" s="17"/>
      <c r="C105" s="17"/>
    </row>
    <row r="106" spans="1:3">
      <c r="A106" s="14"/>
      <c r="B106" s="17"/>
      <c r="C106" s="17"/>
    </row>
    <row r="107" spans="1:3">
      <c r="A107" s="14"/>
      <c r="B107" s="17"/>
      <c r="C107" s="17"/>
    </row>
    <row r="108" spans="1:3">
      <c r="A108" s="14"/>
      <c r="B108" s="17"/>
      <c r="C108" s="17"/>
    </row>
    <row r="109" spans="1:3">
      <c r="A109" s="14"/>
      <c r="B109" s="17"/>
      <c r="C109" s="17"/>
    </row>
    <row r="110" spans="1:3">
      <c r="A110" s="14"/>
      <c r="B110" s="17"/>
      <c r="C110" s="17"/>
    </row>
    <row r="111" spans="1:3">
      <c r="A111" s="14"/>
      <c r="B111" s="17"/>
      <c r="C111" s="17"/>
    </row>
    <row r="112" spans="1:3">
      <c r="A112" s="14"/>
      <c r="B112" s="17"/>
      <c r="C112" s="17"/>
    </row>
    <row r="113" spans="1:3">
      <c r="A113" s="14"/>
      <c r="B113" s="17"/>
      <c r="C113" s="17"/>
    </row>
    <row r="114" spans="1:3">
      <c r="A114" s="14"/>
      <c r="B114" s="17"/>
      <c r="C114" s="17"/>
    </row>
    <row r="115" spans="1:3">
      <c r="A115" s="14"/>
      <c r="B115" s="17"/>
      <c r="C115" s="17"/>
    </row>
    <row r="116" spans="1:3">
      <c r="A116" s="14"/>
      <c r="B116" s="17"/>
      <c r="C116" s="17"/>
    </row>
    <row r="117" spans="1:3">
      <c r="A117" s="14"/>
      <c r="B117" s="17"/>
      <c r="C117" s="17"/>
    </row>
    <row r="118" spans="1:3">
      <c r="A118" s="14"/>
      <c r="B118" s="17"/>
      <c r="C118" s="17"/>
    </row>
    <row r="119" spans="1:3">
      <c r="A119" s="14"/>
      <c r="B119" s="17"/>
      <c r="C119" s="17"/>
    </row>
    <row r="120" spans="1:3">
      <c r="A120" s="14"/>
      <c r="B120" s="17"/>
      <c r="C120" s="17"/>
    </row>
    <row r="121" spans="1:3">
      <c r="A121" s="14"/>
      <c r="B121" s="17"/>
      <c r="C121" s="17"/>
    </row>
    <row r="122" spans="1:3">
      <c r="A122" s="14"/>
      <c r="B122" s="17"/>
      <c r="C122" s="17"/>
    </row>
    <row r="123" spans="1:3">
      <c r="A123" s="14"/>
      <c r="B123" s="17"/>
      <c r="C123" s="17"/>
    </row>
    <row r="124" spans="1:3">
      <c r="A124" s="14"/>
      <c r="B124" s="17"/>
      <c r="C124" s="17"/>
    </row>
    <row r="125" spans="1:3">
      <c r="A125" s="14"/>
      <c r="B125" s="17"/>
      <c r="C125" s="17"/>
    </row>
    <row r="126" spans="1:3">
      <c r="A126" s="14"/>
      <c r="B126" s="17"/>
      <c r="C126" s="17"/>
    </row>
    <row r="127" spans="1:3">
      <c r="A127" s="14"/>
      <c r="B127" s="17"/>
      <c r="C127" s="17"/>
    </row>
    <row r="128" spans="1:3">
      <c r="A128" s="14"/>
      <c r="B128" s="17"/>
      <c r="C128" s="17"/>
    </row>
    <row r="129" spans="1:3">
      <c r="A129" s="14"/>
      <c r="B129" s="17"/>
      <c r="C129" s="17"/>
    </row>
    <row r="130" spans="1:3">
      <c r="A130" s="14"/>
      <c r="B130" s="17"/>
      <c r="C130" s="17"/>
    </row>
    <row r="131" spans="1:3">
      <c r="A131" s="14"/>
      <c r="B131" s="17"/>
      <c r="C131" s="17"/>
    </row>
    <row r="132" spans="1:3">
      <c r="A132" s="14"/>
      <c r="B132" s="17"/>
      <c r="C132" s="17"/>
    </row>
    <row r="133" spans="1:3">
      <c r="A133" s="14"/>
      <c r="B133" s="17"/>
      <c r="C133" s="17"/>
    </row>
    <row r="134" spans="1:3">
      <c r="A134" s="14"/>
      <c r="B134" s="17"/>
      <c r="C134" s="17"/>
    </row>
    <row r="135" spans="1:3">
      <c r="A135" s="14"/>
      <c r="B135" s="17"/>
      <c r="C135" s="17"/>
    </row>
    <row r="136" spans="1:3">
      <c r="A136" s="14"/>
      <c r="B136" s="17"/>
      <c r="C136" s="17"/>
    </row>
    <row r="137" spans="1:3">
      <c r="A137" s="14"/>
      <c r="B137" s="17"/>
      <c r="C137" s="17"/>
    </row>
    <row r="138" spans="1:3">
      <c r="A138" s="14"/>
      <c r="B138" s="17"/>
      <c r="C138" s="17"/>
    </row>
    <row r="139" spans="1:3">
      <c r="A139" s="14"/>
      <c r="B139" s="17"/>
      <c r="C139" s="17"/>
    </row>
    <row r="140" spans="1:3">
      <c r="A140" s="14"/>
      <c r="B140" s="17"/>
      <c r="C140" s="17"/>
    </row>
    <row r="141" spans="1:3">
      <c r="A141" s="14"/>
      <c r="B141" s="17"/>
      <c r="C141" s="17"/>
    </row>
    <row r="142" spans="1:3">
      <c r="A142" s="14"/>
      <c r="B142" s="17"/>
      <c r="C142" s="17"/>
    </row>
    <row r="143" spans="1:3">
      <c r="A143" s="14"/>
      <c r="B143" s="17"/>
      <c r="C143" s="17"/>
    </row>
    <row r="144" spans="1:3">
      <c r="A144" s="14"/>
      <c r="B144" s="17"/>
      <c r="C144" s="17"/>
    </row>
    <row r="145" spans="1:3">
      <c r="A145" s="14"/>
      <c r="B145" s="17"/>
      <c r="C145" s="17"/>
    </row>
    <row r="146" spans="1:3">
      <c r="A146" s="14"/>
      <c r="B146" s="17"/>
      <c r="C146" s="17"/>
    </row>
    <row r="147" spans="1:3">
      <c r="A147" s="14"/>
      <c r="B147" s="17"/>
      <c r="C147" s="17"/>
    </row>
    <row r="148" spans="1:3">
      <c r="A148" s="14"/>
      <c r="B148" s="17"/>
      <c r="C148" s="17"/>
    </row>
    <row r="149" spans="1:3">
      <c r="A149" s="14"/>
      <c r="B149" s="17"/>
      <c r="C149" s="17"/>
    </row>
    <row r="150" spans="1:3">
      <c r="A150" s="14"/>
      <c r="B150" s="17"/>
      <c r="C150" s="17"/>
    </row>
    <row r="151" spans="1:3">
      <c r="A151" s="14"/>
      <c r="B151" s="17"/>
      <c r="C151" s="17"/>
    </row>
    <row r="152" spans="1:3">
      <c r="A152" s="14"/>
      <c r="B152" s="17"/>
      <c r="C152" s="17"/>
    </row>
    <row r="153" spans="1:3">
      <c r="A153" s="14"/>
      <c r="B153" s="17"/>
      <c r="C153" s="17"/>
    </row>
    <row r="154" spans="1:3">
      <c r="A154" s="14"/>
      <c r="B154" s="17"/>
      <c r="C154" s="17"/>
    </row>
    <row r="155" spans="1:3">
      <c r="A155" s="14"/>
      <c r="B155" s="17"/>
      <c r="C155" s="17"/>
    </row>
    <row r="156" spans="1:3">
      <c r="A156" s="14"/>
      <c r="B156" s="17"/>
      <c r="C156" s="17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C937-098F-47E7-B1EC-41DE7DEFAEA6}">
  <sheetPr>
    <tabColor rgb="FF2B3415"/>
  </sheetPr>
  <dimension ref="A1"/>
  <sheetViews>
    <sheetView workbookViewId="0">
      <selection activeCell="M28" sqref="M28"/>
    </sheetView>
  </sheetViews>
  <sheetFormatPr defaultRowHeight="15"/>
  <cols>
    <col min="1" max="16384" width="9.140625" style="66"/>
  </cols>
  <sheetData>
    <row r="1" spans="1:1">
      <c r="A1" s="65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6BEB-C5B7-4B37-97A9-9D9F4575D248}">
  <sheetPr>
    <tabColor theme="0"/>
  </sheetPr>
  <dimension ref="A1:H31"/>
  <sheetViews>
    <sheetView workbookViewId="0">
      <selection activeCell="J6" sqref="J6"/>
    </sheetView>
  </sheetViews>
  <sheetFormatPr defaultRowHeight="12"/>
  <cols>
    <col min="1" max="1" width="19.42578125" style="67" customWidth="1"/>
    <col min="2" max="2" width="14.5703125" style="1384" customWidth="1"/>
    <col min="3" max="3" width="10.42578125" style="1384" bestFit="1" customWidth="1"/>
    <col min="4" max="5" width="11.140625" style="1384" customWidth="1"/>
    <col min="6" max="7" width="10.42578125" style="1384" bestFit="1" customWidth="1"/>
    <col min="8" max="8" width="10.42578125" style="1384" customWidth="1"/>
    <col min="9" max="16384" width="9.140625" style="67"/>
  </cols>
  <sheetData>
    <row r="1" spans="1:8" ht="17.25" customHeight="1" thickBot="1">
      <c r="A1" s="1282" t="s">
        <v>574</v>
      </c>
      <c r="B1" s="1282"/>
      <c r="C1" s="1282"/>
      <c r="D1" s="1282"/>
      <c r="E1" s="1282"/>
      <c r="F1" s="1282"/>
      <c r="G1" s="1282"/>
      <c r="H1" s="1282"/>
    </row>
    <row r="2" spans="1:8" ht="12.75" customHeight="1">
      <c r="A2" s="1286" t="s">
        <v>495</v>
      </c>
      <c r="B2" s="1315" t="s">
        <v>467</v>
      </c>
      <c r="C2" s="1374" t="s">
        <v>165</v>
      </c>
      <c r="D2" s="1374"/>
      <c r="E2" s="1374"/>
      <c r="F2" s="1374"/>
      <c r="G2" s="1374"/>
      <c r="H2" s="1374"/>
    </row>
    <row r="3" spans="1:8" ht="24">
      <c r="A3" s="1339"/>
      <c r="B3" s="963"/>
      <c r="C3" s="535" t="s">
        <v>166</v>
      </c>
      <c r="D3" s="535" t="s">
        <v>167</v>
      </c>
      <c r="E3" s="535" t="s">
        <v>168</v>
      </c>
      <c r="F3" s="535" t="s">
        <v>169</v>
      </c>
      <c r="G3" s="535" t="s">
        <v>170</v>
      </c>
      <c r="H3" s="535" t="s">
        <v>171</v>
      </c>
    </row>
    <row r="4" spans="1:8" ht="15" customHeight="1">
      <c r="A4" s="536" t="s">
        <v>146</v>
      </c>
      <c r="B4" s="1357">
        <v>1092793.6960949136</v>
      </c>
      <c r="C4" s="1357">
        <v>593413.31389958831</v>
      </c>
      <c r="D4" s="1357">
        <v>397502.34009934537</v>
      </c>
      <c r="E4" s="1357">
        <v>17450.50220000081</v>
      </c>
      <c r="F4" s="1357">
        <v>1460.9713999999956</v>
      </c>
      <c r="G4" s="1357">
        <v>21897.286200003426</v>
      </c>
      <c r="H4" s="1357">
        <v>61069.282300011058</v>
      </c>
    </row>
    <row r="5" spans="1:8" ht="15" customHeight="1">
      <c r="A5" s="72"/>
      <c r="B5" s="1375"/>
      <c r="C5" s="1375"/>
      <c r="D5" s="1375"/>
      <c r="E5" s="1375"/>
      <c r="F5" s="1375"/>
      <c r="G5" s="1375"/>
      <c r="H5" s="1375"/>
    </row>
    <row r="6" spans="1:8" ht="15" customHeight="1">
      <c r="A6" s="68" t="s">
        <v>3</v>
      </c>
      <c r="B6" s="1351"/>
      <c r="C6" s="1383">
        <f>+C4/B4*100</f>
        <v>54.302410054170721</v>
      </c>
      <c r="D6" s="1383">
        <f>+D4/B4*100</f>
        <v>36.374874921022666</v>
      </c>
      <c r="E6" s="1383">
        <f>+E4/B4*100</f>
        <v>1.5968706867874505</v>
      </c>
      <c r="F6" s="1383">
        <f>+F4/B4*100</f>
        <v>0.1336914190867646</v>
      </c>
      <c r="G6" s="1383">
        <f>+G4/B4*100</f>
        <v>2.0037895787881226</v>
      </c>
      <c r="H6" s="1383">
        <f>+H4/B4*100</f>
        <v>5.5883633405135367</v>
      </c>
    </row>
    <row r="7" spans="1:8" ht="15" customHeight="1">
      <c r="A7" s="69" t="s">
        <v>4</v>
      </c>
      <c r="B7" s="1375">
        <v>984687.15749598795</v>
      </c>
      <c r="C7" s="1375">
        <v>537096.77860001219</v>
      </c>
      <c r="D7" s="1375">
        <v>355679.62059970445</v>
      </c>
      <c r="E7" s="1375">
        <v>15224.52770000025</v>
      </c>
      <c r="F7" s="1375">
        <v>1382.1907999999971</v>
      </c>
      <c r="G7" s="1375">
        <v>18347.200500002236</v>
      </c>
      <c r="H7" s="1375">
        <v>56956.839300010397</v>
      </c>
    </row>
    <row r="8" spans="1:8" ht="15" customHeight="1">
      <c r="A8" s="69" t="s">
        <v>5</v>
      </c>
      <c r="B8" s="1375">
        <v>108106.5386000165</v>
      </c>
      <c r="C8" s="1375">
        <v>56316.535300015807</v>
      </c>
      <c r="D8" s="1375">
        <v>41822.719500000851</v>
      </c>
      <c r="E8" s="1375">
        <v>2225.974499999983</v>
      </c>
      <c r="F8" s="1375">
        <v>78.780600000000049</v>
      </c>
      <c r="G8" s="1375">
        <v>3550.0856999999714</v>
      </c>
      <c r="H8" s="1375">
        <v>4112.4429999999593</v>
      </c>
    </row>
    <row r="9" spans="1:8" ht="15" customHeight="1">
      <c r="A9" s="644" t="s">
        <v>172</v>
      </c>
      <c r="B9" s="1351"/>
      <c r="C9" s="1351"/>
      <c r="D9" s="1351"/>
      <c r="E9" s="1351"/>
      <c r="F9" s="1351"/>
      <c r="G9" s="1351"/>
      <c r="H9" s="1351"/>
    </row>
    <row r="10" spans="1:8" s="71" customFormat="1" ht="15" customHeight="1">
      <c r="A10" s="537" t="s">
        <v>148</v>
      </c>
      <c r="B10" s="1368">
        <f t="shared" ref="B10:H10" si="0">+SUM(B11:B14)</f>
        <v>49697.203700000537</v>
      </c>
      <c r="C10" s="1368">
        <f>+SUM(C11:C14)</f>
        <v>26798.900699999038</v>
      </c>
      <c r="D10" s="1368">
        <f t="shared" si="0"/>
        <v>18094.212099999251</v>
      </c>
      <c r="E10" s="1368">
        <f t="shared" si="0"/>
        <v>596.96410000000049</v>
      </c>
      <c r="F10" s="1368">
        <f t="shared" si="0"/>
        <v>32.436200000000007</v>
      </c>
      <c r="G10" s="1368">
        <f t="shared" si="0"/>
        <v>1779.755000000001</v>
      </c>
      <c r="H10" s="1368">
        <f t="shared" si="0"/>
        <v>2394.9355999999989</v>
      </c>
    </row>
    <row r="11" spans="1:8" ht="15" customHeight="1">
      <c r="A11" s="69" t="s">
        <v>148</v>
      </c>
      <c r="B11" s="1375">
        <v>17445.294700000206</v>
      </c>
      <c r="C11" s="1375">
        <v>9138.9189999995051</v>
      </c>
      <c r="D11" s="1375">
        <v>6098.7309999996505</v>
      </c>
      <c r="E11" s="1375">
        <v>217.60770000000025</v>
      </c>
      <c r="F11" s="1375">
        <v>17.629100000000001</v>
      </c>
      <c r="G11" s="1375">
        <v>480.78119999999785</v>
      </c>
      <c r="H11" s="1375">
        <v>1491.6267000000003</v>
      </c>
    </row>
    <row r="12" spans="1:8" ht="15" customHeight="1">
      <c r="A12" s="69" t="s">
        <v>149</v>
      </c>
      <c r="B12" s="1375">
        <v>18317.881500001109</v>
      </c>
      <c r="C12" s="1375">
        <v>9893.5059999996774</v>
      </c>
      <c r="D12" s="1375">
        <v>6734.1214999996564</v>
      </c>
      <c r="E12" s="1375">
        <v>219.82920000000018</v>
      </c>
      <c r="F12" s="1375">
        <v>7.9293000000000005</v>
      </c>
      <c r="G12" s="1375">
        <v>949.339500000003</v>
      </c>
      <c r="H12" s="1375">
        <v>513.15599999999881</v>
      </c>
    </row>
    <row r="13" spans="1:8" ht="15" customHeight="1">
      <c r="A13" s="69" t="s">
        <v>150</v>
      </c>
      <c r="B13" s="1375">
        <v>5871.8954999997422</v>
      </c>
      <c r="C13" s="1375">
        <v>3202.5400999999665</v>
      </c>
      <c r="D13" s="1375">
        <v>2436.9266999999791</v>
      </c>
      <c r="E13" s="1375">
        <v>45.503600000000006</v>
      </c>
      <c r="F13" s="1375">
        <v>4.8819999999999997</v>
      </c>
      <c r="G13" s="1375">
        <v>119.83860000000008</v>
      </c>
      <c r="H13" s="1375">
        <v>62.204499999999989</v>
      </c>
    </row>
    <row r="14" spans="1:8" ht="15" customHeight="1">
      <c r="A14" s="69" t="s">
        <v>151</v>
      </c>
      <c r="B14" s="1375">
        <v>8062.1319999994821</v>
      </c>
      <c r="C14" s="1375">
        <v>4563.9355999998925</v>
      </c>
      <c r="D14" s="1375">
        <v>2824.4328999999684</v>
      </c>
      <c r="E14" s="1375">
        <v>114.02360000000009</v>
      </c>
      <c r="F14" s="1375">
        <v>1.9958</v>
      </c>
      <c r="G14" s="1375">
        <v>229.79570000000018</v>
      </c>
      <c r="H14" s="1375">
        <v>327.94839999999988</v>
      </c>
    </row>
    <row r="15" spans="1:8" s="71" customFormat="1" ht="15" customHeight="1">
      <c r="A15" s="538" t="s">
        <v>152</v>
      </c>
      <c r="B15" s="1368">
        <f t="shared" ref="B15:H15" si="1">+B16+B17+B18+B19</f>
        <v>20725.545599999779</v>
      </c>
      <c r="C15" s="1368">
        <f>+C16+C17+C18+C19</f>
        <v>10661.510399999621</v>
      </c>
      <c r="D15" s="1368">
        <f t="shared" si="1"/>
        <v>8425.473099999821</v>
      </c>
      <c r="E15" s="1368">
        <f t="shared" si="1"/>
        <v>583.75059999999939</v>
      </c>
      <c r="F15" s="1368">
        <f t="shared" si="1"/>
        <v>10.869399999999999</v>
      </c>
      <c r="G15" s="1368">
        <f t="shared" si="1"/>
        <v>731.93989999999906</v>
      </c>
      <c r="H15" s="1368">
        <f t="shared" si="1"/>
        <v>312.00220000000019</v>
      </c>
    </row>
    <row r="16" spans="1:8" ht="15" customHeight="1">
      <c r="A16" s="69" t="s">
        <v>153</v>
      </c>
      <c r="B16" s="1375">
        <v>12437.105599999872</v>
      </c>
      <c r="C16" s="1375">
        <v>6669.4901999996273</v>
      </c>
      <c r="D16" s="1375">
        <v>4852.0944999998228</v>
      </c>
      <c r="E16" s="1375">
        <v>374.61139999999926</v>
      </c>
      <c r="F16" s="1375">
        <v>0</v>
      </c>
      <c r="G16" s="1375">
        <v>386.53279999999887</v>
      </c>
      <c r="H16" s="1375">
        <v>154.37670000000008</v>
      </c>
    </row>
    <row r="17" spans="1:8" ht="15" customHeight="1">
      <c r="A17" s="69" t="s">
        <v>154</v>
      </c>
      <c r="B17" s="1375">
        <v>1302.3103000000001</v>
      </c>
      <c r="C17" s="1375">
        <v>493.71219999999948</v>
      </c>
      <c r="D17" s="1375">
        <v>571.96419999999875</v>
      </c>
      <c r="E17" s="1375">
        <v>52.545999999999992</v>
      </c>
      <c r="F17" s="1375">
        <v>0</v>
      </c>
      <c r="G17" s="1375">
        <v>65.020900000000026</v>
      </c>
      <c r="H17" s="1375">
        <v>119.06700000000008</v>
      </c>
    </row>
    <row r="18" spans="1:8" ht="15" customHeight="1">
      <c r="A18" s="69" t="s">
        <v>155</v>
      </c>
      <c r="B18" s="1375">
        <v>3133.5120999999617</v>
      </c>
      <c r="C18" s="1375">
        <v>1723.4241999999967</v>
      </c>
      <c r="D18" s="1375">
        <v>1233.1957000000027</v>
      </c>
      <c r="E18" s="1375">
        <v>76.945900000000037</v>
      </c>
      <c r="F18" s="1375">
        <v>1.9958</v>
      </c>
      <c r="G18" s="1375">
        <v>91.74950000000004</v>
      </c>
      <c r="H18" s="1375">
        <v>6.2010000000000005</v>
      </c>
    </row>
    <row r="19" spans="1:8" ht="15" customHeight="1">
      <c r="A19" s="69" t="s">
        <v>156</v>
      </c>
      <c r="B19" s="1375">
        <v>3852.6175999999468</v>
      </c>
      <c r="C19" s="1375">
        <v>1774.8837999999951</v>
      </c>
      <c r="D19" s="1375">
        <v>1768.2186999999969</v>
      </c>
      <c r="E19" s="1375">
        <v>79.64730000000003</v>
      </c>
      <c r="F19" s="1375">
        <v>8.8735999999999997</v>
      </c>
      <c r="G19" s="1375">
        <v>188.63670000000013</v>
      </c>
      <c r="H19" s="1375">
        <v>32.357500000000002</v>
      </c>
    </row>
    <row r="20" spans="1:8" s="71" customFormat="1" ht="15" customHeight="1">
      <c r="A20" s="70" t="s">
        <v>157</v>
      </c>
      <c r="B20" s="1368">
        <f t="shared" ref="B20:H20" si="2">+B21+B22+B23</f>
        <v>434966.25750030135</v>
      </c>
      <c r="C20" s="1368">
        <f>+C21+C22+C23</f>
        <v>237278.14360005275</v>
      </c>
      <c r="D20" s="1368">
        <f t="shared" si="2"/>
        <v>160301.59410002377</v>
      </c>
      <c r="E20" s="1368">
        <f t="shared" si="2"/>
        <v>6270.200599999911</v>
      </c>
      <c r="F20" s="1368">
        <f t="shared" si="2"/>
        <v>568.77219999999954</v>
      </c>
      <c r="G20" s="1368">
        <f t="shared" si="2"/>
        <v>7266.8234999999477</v>
      </c>
      <c r="H20" s="1368">
        <f t="shared" si="2"/>
        <v>23280.723499999105</v>
      </c>
    </row>
    <row r="21" spans="1:8" ht="15" customHeight="1">
      <c r="A21" s="69" t="s">
        <v>157</v>
      </c>
      <c r="B21" s="1375">
        <v>250260.37070026455</v>
      </c>
      <c r="C21" s="1375">
        <v>134713.87650002525</v>
      </c>
      <c r="D21" s="1375">
        <v>95250.253800016973</v>
      </c>
      <c r="E21" s="1375">
        <v>3660.7055999999079</v>
      </c>
      <c r="F21" s="1375">
        <v>357.12689999999947</v>
      </c>
      <c r="G21" s="1375">
        <v>4121.2569999999669</v>
      </c>
      <c r="H21" s="1375">
        <v>12157.150899999664</v>
      </c>
    </row>
    <row r="22" spans="1:8" ht="15" customHeight="1">
      <c r="A22" s="69" t="s">
        <v>158</v>
      </c>
      <c r="B22" s="1375">
        <v>74928.519300012049</v>
      </c>
      <c r="C22" s="1375">
        <v>39341.070600002582</v>
      </c>
      <c r="D22" s="1375">
        <v>28160.696900003477</v>
      </c>
      <c r="E22" s="1375">
        <v>1195.1625000000031</v>
      </c>
      <c r="F22" s="1375">
        <v>79.539600000000021</v>
      </c>
      <c r="G22" s="1375">
        <v>1695.9920999999863</v>
      </c>
      <c r="H22" s="1375">
        <v>4456.0575999998791</v>
      </c>
    </row>
    <row r="23" spans="1:8" ht="15" customHeight="1">
      <c r="A23" s="69" t="s">
        <v>159</v>
      </c>
      <c r="B23" s="1375">
        <v>109777.36750002475</v>
      </c>
      <c r="C23" s="1375">
        <v>63223.19650002494</v>
      </c>
      <c r="D23" s="1375">
        <v>36890.643400003326</v>
      </c>
      <c r="E23" s="1375">
        <v>1414.3325000000007</v>
      </c>
      <c r="F23" s="1375">
        <v>132.10570000000007</v>
      </c>
      <c r="G23" s="1375">
        <v>1449.5743999999936</v>
      </c>
      <c r="H23" s="1375">
        <v>6667.5149999995629</v>
      </c>
    </row>
    <row r="24" spans="1:8" s="71" customFormat="1" ht="15" customHeight="1">
      <c r="A24" s="538" t="s">
        <v>160</v>
      </c>
      <c r="B24" s="1368">
        <v>468181.35909964208</v>
      </c>
      <c r="C24" s="1368">
        <v>258212.5447002046</v>
      </c>
      <c r="D24" s="1368">
        <v>164646.54150016941</v>
      </c>
      <c r="E24" s="1368">
        <v>7762.1585999994923</v>
      </c>
      <c r="F24" s="1368">
        <v>743.69750000000079</v>
      </c>
      <c r="G24" s="1368">
        <v>9009.4724999997979</v>
      </c>
      <c r="H24" s="1368">
        <v>27806.944300000305</v>
      </c>
    </row>
    <row r="25" spans="1:8" ht="15" customHeight="1">
      <c r="A25" s="69" t="s">
        <v>160</v>
      </c>
      <c r="B25" s="1375">
        <v>468181.35909964208</v>
      </c>
      <c r="C25" s="1375">
        <v>258212.5447002046</v>
      </c>
      <c r="D25" s="1375">
        <v>164646.54150016941</v>
      </c>
      <c r="E25" s="1375">
        <v>7762.1585999994923</v>
      </c>
      <c r="F25" s="1375">
        <v>743.69750000000079</v>
      </c>
      <c r="G25" s="1375">
        <v>9009.4724999997979</v>
      </c>
      <c r="H25" s="1375">
        <v>27806.944300000305</v>
      </c>
    </row>
    <row r="26" spans="1:8" s="71" customFormat="1" ht="15" customHeight="1">
      <c r="A26" s="70" t="s">
        <v>161</v>
      </c>
      <c r="B26" s="1368">
        <v>15527.409900000011</v>
      </c>
      <c r="C26" s="1368">
        <v>8237.6157999994048</v>
      </c>
      <c r="D26" s="1368">
        <v>6357.3788999996241</v>
      </c>
      <c r="E26" s="1368">
        <v>280.21440000000013</v>
      </c>
      <c r="F26" s="1368">
        <v>7.8111999999999995</v>
      </c>
      <c r="G26" s="1368">
        <v>323.68999999999943</v>
      </c>
      <c r="H26" s="1368">
        <v>320.69959999999969</v>
      </c>
    </row>
    <row r="27" spans="1:8" ht="15" customHeight="1">
      <c r="A27" s="69" t="s">
        <v>161</v>
      </c>
      <c r="B27" s="1375">
        <v>15527.409900000011</v>
      </c>
      <c r="C27" s="1375">
        <v>8237.6157999994048</v>
      </c>
      <c r="D27" s="1375">
        <v>6357.3788999996241</v>
      </c>
      <c r="E27" s="1375">
        <v>280.21440000000013</v>
      </c>
      <c r="F27" s="1375">
        <v>7.8111999999999995</v>
      </c>
      <c r="G27" s="1375">
        <v>323.68999999999943</v>
      </c>
      <c r="H27" s="1375">
        <v>320.69959999999969</v>
      </c>
    </row>
    <row r="28" spans="1:8" s="71" customFormat="1" ht="15" customHeight="1">
      <c r="A28" s="70" t="s">
        <v>162</v>
      </c>
      <c r="B28" s="1368">
        <v>24962.612200000603</v>
      </c>
      <c r="C28" s="1368">
        <v>12087.691699999579</v>
      </c>
      <c r="D28" s="1368">
        <v>8917.1550999995361</v>
      </c>
      <c r="E28" s="1368">
        <v>506.02119999999786</v>
      </c>
      <c r="F28" s="1368">
        <v>24.463299999999997</v>
      </c>
      <c r="G28" s="1368">
        <v>904.46550000000252</v>
      </c>
      <c r="H28" s="1368">
        <v>2522.8153999999872</v>
      </c>
    </row>
    <row r="29" spans="1:8" ht="15" customHeight="1">
      <c r="A29" s="69" t="s">
        <v>162</v>
      </c>
      <c r="B29" s="1375">
        <v>24962.612200000603</v>
      </c>
      <c r="C29" s="1375">
        <v>12087.691699999579</v>
      </c>
      <c r="D29" s="1375">
        <v>8917.1550999995361</v>
      </c>
      <c r="E29" s="1375">
        <v>506.02119999999786</v>
      </c>
      <c r="F29" s="1375">
        <v>24.463299999999997</v>
      </c>
      <c r="G29" s="1375">
        <v>904.46550000000252</v>
      </c>
      <c r="H29" s="1375">
        <v>2522.8153999999872</v>
      </c>
    </row>
    <row r="30" spans="1:8" s="71" customFormat="1" ht="15" customHeight="1">
      <c r="A30" s="70" t="s">
        <v>163</v>
      </c>
      <c r="B30" s="1368">
        <v>78733.308100008886</v>
      </c>
      <c r="C30" s="1368">
        <v>40136.907000007312</v>
      </c>
      <c r="D30" s="1368">
        <v>30759.985300005137</v>
      </c>
      <c r="E30" s="1368">
        <v>1451.1927000000017</v>
      </c>
      <c r="F30" s="1368">
        <v>72.921600000000041</v>
      </c>
      <c r="G30" s="1368">
        <v>1881.1397999999824</v>
      </c>
      <c r="H30" s="1368">
        <v>4431.161699999906</v>
      </c>
    </row>
    <row r="31" spans="1:8" ht="15" customHeight="1">
      <c r="A31" s="539" t="s">
        <v>163</v>
      </c>
      <c r="B31" s="1382">
        <v>78733.308100008886</v>
      </c>
      <c r="C31" s="1382">
        <v>40136.907000007312</v>
      </c>
      <c r="D31" s="1382">
        <v>30759.985300005137</v>
      </c>
      <c r="E31" s="1382">
        <v>1451.1927000000017</v>
      </c>
      <c r="F31" s="1382">
        <v>72.921600000000041</v>
      </c>
      <c r="G31" s="1382">
        <v>1881.1397999999824</v>
      </c>
      <c r="H31" s="1382">
        <v>4431.161699999906</v>
      </c>
    </row>
  </sheetData>
  <mergeCells count="4">
    <mergeCell ref="B2:B3"/>
    <mergeCell ref="C2:H2"/>
    <mergeCell ref="A1:H1"/>
    <mergeCell ref="A2:A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883E-AECC-4D2B-B931-E93B9EA3CFBB}">
  <sheetPr>
    <tabColor rgb="FF2B3415"/>
  </sheetPr>
  <dimension ref="A1"/>
  <sheetViews>
    <sheetView topLeftCell="A13" workbookViewId="0">
      <selection activeCell="J34" sqref="J34"/>
    </sheetView>
  </sheetViews>
  <sheetFormatPr defaultRowHeight="15"/>
  <cols>
    <col min="1" max="16384" width="9.140625" style="66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033B-2BDF-4A43-822B-4FA13C292A6A}">
  <sheetPr>
    <tabColor theme="0"/>
  </sheetPr>
  <dimension ref="A1:E31"/>
  <sheetViews>
    <sheetView workbookViewId="0">
      <selection activeCell="I13" sqref="I13"/>
    </sheetView>
  </sheetViews>
  <sheetFormatPr defaultRowHeight="12"/>
  <cols>
    <col min="1" max="1" width="18.85546875" style="188" customWidth="1"/>
    <col min="2" max="2" width="14.28515625" style="594" customWidth="1"/>
    <col min="3" max="3" width="16.140625" style="594" customWidth="1"/>
    <col min="4" max="4" width="13" style="594" customWidth="1"/>
    <col min="5" max="5" width="13.85546875" style="594" customWidth="1"/>
    <col min="6" max="16384" width="9.140625" style="188"/>
  </cols>
  <sheetData>
    <row r="1" spans="1:5" ht="23.25" customHeight="1">
      <c r="A1" s="1389" t="s">
        <v>575</v>
      </c>
      <c r="B1" s="1389"/>
      <c r="C1" s="1389"/>
      <c r="D1" s="1389"/>
      <c r="E1" s="1389"/>
    </row>
    <row r="2" spans="1:5" ht="18" customHeight="1">
      <c r="A2" s="1286" t="s">
        <v>495</v>
      </c>
      <c r="B2" s="964" t="s">
        <v>173</v>
      </c>
      <c r="C2" s="966" t="s">
        <v>174</v>
      </c>
      <c r="D2" s="966"/>
      <c r="E2" s="966"/>
    </row>
    <row r="3" spans="1:5">
      <c r="A3" s="1339"/>
      <c r="B3" s="965"/>
      <c r="C3" s="1392" t="s">
        <v>0</v>
      </c>
      <c r="D3" s="1392" t="s">
        <v>1</v>
      </c>
      <c r="E3" s="1392" t="s">
        <v>2</v>
      </c>
    </row>
    <row r="4" spans="1:5" ht="15" customHeight="1">
      <c r="A4" s="536" t="s">
        <v>146</v>
      </c>
      <c r="B4" s="1356">
        <v>1523457.302891233</v>
      </c>
      <c r="C4" s="1356">
        <v>1112074.7802951268</v>
      </c>
      <c r="D4" s="1356">
        <v>546297.21519919159</v>
      </c>
      <c r="E4" s="1356">
        <v>565777.56509912317</v>
      </c>
    </row>
    <row r="5" spans="1:5" ht="15" customHeight="1">
      <c r="A5" s="540"/>
      <c r="B5" s="1380"/>
      <c r="C5" s="1380"/>
      <c r="D5" s="1380"/>
      <c r="E5" s="1380"/>
    </row>
    <row r="6" spans="1:5" ht="15" customHeight="1">
      <c r="A6" s="68" t="s">
        <v>3</v>
      </c>
      <c r="B6" s="1390"/>
      <c r="C6" s="1390"/>
      <c r="D6" s="1390"/>
      <c r="E6" s="1390"/>
    </row>
    <row r="7" spans="1:5" ht="15" customHeight="1">
      <c r="A7" s="541" t="s">
        <v>4</v>
      </c>
      <c r="B7" s="1380">
        <v>1373789.4338926736</v>
      </c>
      <c r="C7" s="1380">
        <v>1016885.3025960648</v>
      </c>
      <c r="D7" s="1380">
        <v>497890.47649942274</v>
      </c>
      <c r="E7" s="1380">
        <v>518994.82609940867</v>
      </c>
    </row>
    <row r="8" spans="1:5" ht="15" customHeight="1">
      <c r="A8" s="541" t="s">
        <v>5</v>
      </c>
      <c r="B8" s="1380">
        <v>149667.86900003566</v>
      </c>
      <c r="C8" s="1380">
        <v>95189.477700000978</v>
      </c>
      <c r="D8" s="1380">
        <v>48406.73870000738</v>
      </c>
      <c r="E8" s="1380">
        <v>46782.739000007896</v>
      </c>
    </row>
    <row r="9" spans="1:5" ht="15" customHeight="1">
      <c r="A9" s="644" t="s">
        <v>172</v>
      </c>
      <c r="B9" s="1390"/>
      <c r="C9" s="1390"/>
      <c r="D9" s="1390"/>
      <c r="E9" s="1390"/>
    </row>
    <row r="10" spans="1:5" ht="15" customHeight="1">
      <c r="A10" s="542" t="s">
        <v>148</v>
      </c>
      <c r="B10" s="1353">
        <f>+B11+B12+B13+B14</f>
        <v>67172.710099999924</v>
      </c>
      <c r="C10" s="1353">
        <f t="shared" ref="C10:E10" si="0">+C11+C12+C13+C14</f>
        <v>39788.976099999243</v>
      </c>
      <c r="D10" s="1353">
        <f t="shared" si="0"/>
        <v>19724.861399999121</v>
      </c>
      <c r="E10" s="1353">
        <f t="shared" si="0"/>
        <v>20064.114699999151</v>
      </c>
    </row>
    <row r="11" spans="1:5" ht="15" customHeight="1">
      <c r="A11" s="541" t="s">
        <v>148</v>
      </c>
      <c r="B11" s="1380">
        <v>23828.017499999733</v>
      </c>
      <c r="C11" s="1380">
        <v>15262.23469999951</v>
      </c>
      <c r="D11" s="1380">
        <v>7781.0783999994565</v>
      </c>
      <c r="E11" s="1380">
        <v>7481.1562999995103</v>
      </c>
    </row>
    <row r="12" spans="1:5" ht="15" customHeight="1">
      <c r="A12" s="541" t="s">
        <v>149</v>
      </c>
      <c r="B12" s="1380">
        <v>24592.758700001028</v>
      </c>
      <c r="C12" s="1380">
        <v>12835.583900000238</v>
      </c>
      <c r="D12" s="1380">
        <v>6048.5287999997317</v>
      </c>
      <c r="E12" s="1380">
        <v>6787.0550999996913</v>
      </c>
    </row>
    <row r="13" spans="1:5" ht="15" customHeight="1">
      <c r="A13" s="541" t="s">
        <v>150</v>
      </c>
      <c r="B13" s="1380">
        <v>7824.3026999995591</v>
      </c>
      <c r="C13" s="1380">
        <v>4748.1819999998706</v>
      </c>
      <c r="D13" s="1380">
        <v>2431.0411999999828</v>
      </c>
      <c r="E13" s="1380">
        <v>2317.1407999999878</v>
      </c>
    </row>
    <row r="14" spans="1:5" ht="15" customHeight="1">
      <c r="A14" s="541" t="s">
        <v>151</v>
      </c>
      <c r="B14" s="1380">
        <v>10927.631199999607</v>
      </c>
      <c r="C14" s="1380">
        <v>6942.975499999623</v>
      </c>
      <c r="D14" s="1380">
        <v>3464.2129999999524</v>
      </c>
      <c r="E14" s="1380">
        <v>3478.7624999999603</v>
      </c>
    </row>
    <row r="15" spans="1:5" ht="15" customHeight="1">
      <c r="A15" s="542" t="s">
        <v>152</v>
      </c>
      <c r="B15" s="1353">
        <f>+B16+B17+B18+B19</f>
        <v>30475.572399998917</v>
      </c>
      <c r="C15" s="1353">
        <f t="shared" ref="C15:E15" si="1">+C16+C17+C18+C19</f>
        <v>22146.162999999291</v>
      </c>
      <c r="D15" s="1353">
        <f t="shared" si="1"/>
        <v>11546.144999999644</v>
      </c>
      <c r="E15" s="1353">
        <f t="shared" si="1"/>
        <v>10600.017999999722</v>
      </c>
    </row>
    <row r="16" spans="1:5" ht="15" customHeight="1">
      <c r="A16" s="541" t="s">
        <v>153</v>
      </c>
      <c r="B16" s="1380">
        <v>17370.327199999287</v>
      </c>
      <c r="C16" s="1380">
        <v>12629.063899999383</v>
      </c>
      <c r="D16" s="1380">
        <v>6598.3180999996484</v>
      </c>
      <c r="E16" s="1380">
        <v>6030.7457999997214</v>
      </c>
    </row>
    <row r="17" spans="1:5" ht="15" customHeight="1">
      <c r="A17" s="541" t="s">
        <v>154</v>
      </c>
      <c r="B17" s="1380">
        <v>1980.7415000000008</v>
      </c>
      <c r="C17" s="1380">
        <v>1415.3941000000023</v>
      </c>
      <c r="D17" s="1380">
        <v>781.90180000000146</v>
      </c>
      <c r="E17" s="1380">
        <v>633.49230000000023</v>
      </c>
    </row>
    <row r="18" spans="1:5" ht="15" customHeight="1">
      <c r="A18" s="541" t="s">
        <v>155</v>
      </c>
      <c r="B18" s="1380">
        <v>5029.6588999998758</v>
      </c>
      <c r="C18" s="1380">
        <v>3687.8766999999807</v>
      </c>
      <c r="D18" s="1380">
        <v>1902.7697000000001</v>
      </c>
      <c r="E18" s="1380">
        <v>1785.1070000000002</v>
      </c>
    </row>
    <row r="19" spans="1:5" ht="15" customHeight="1">
      <c r="A19" s="541" t="s">
        <v>156</v>
      </c>
      <c r="B19" s="1380">
        <v>6094.8447999997561</v>
      </c>
      <c r="C19" s="1380">
        <v>4413.8282999999246</v>
      </c>
      <c r="D19" s="1380">
        <v>2263.1553999999946</v>
      </c>
      <c r="E19" s="1380">
        <v>2150.6728999999996</v>
      </c>
    </row>
    <row r="20" spans="1:5" ht="15" customHeight="1">
      <c r="A20" s="542" t="s">
        <v>157</v>
      </c>
      <c r="B20" s="1353">
        <f>+B21+B22+B23</f>
        <v>608623.14910005499</v>
      </c>
      <c r="C20" s="1353">
        <f t="shared" ref="C20:E20" si="2">+C21+C22+C23</f>
        <v>434148.54450030456</v>
      </c>
      <c r="D20" s="1353">
        <f t="shared" si="2"/>
        <v>215574.71400002763</v>
      </c>
      <c r="E20" s="1353">
        <f t="shared" si="2"/>
        <v>218573.83050002391</v>
      </c>
    </row>
    <row r="21" spans="1:5" ht="15" customHeight="1">
      <c r="A21" s="541" t="s">
        <v>157</v>
      </c>
      <c r="B21" s="1380">
        <v>352282.74590001535</v>
      </c>
      <c r="C21" s="1380">
        <v>252240.13690028305</v>
      </c>
      <c r="D21" s="1380">
        <v>124649.61250001431</v>
      </c>
      <c r="E21" s="1380">
        <v>127590.52440001098</v>
      </c>
    </row>
    <row r="22" spans="1:5" ht="15" customHeight="1">
      <c r="A22" s="541" t="s">
        <v>158</v>
      </c>
      <c r="B22" s="1380">
        <v>105553.13849999523</v>
      </c>
      <c r="C22" s="1380">
        <v>71328.774200016196</v>
      </c>
      <c r="D22" s="1380">
        <v>35918.289000002027</v>
      </c>
      <c r="E22" s="1380">
        <v>35410.485200001029</v>
      </c>
    </row>
    <row r="23" spans="1:5" ht="15" customHeight="1">
      <c r="A23" s="541" t="s">
        <v>159</v>
      </c>
      <c r="B23" s="1380">
        <v>150787.26470004438</v>
      </c>
      <c r="C23" s="1380">
        <v>110579.63340000535</v>
      </c>
      <c r="D23" s="1380">
        <v>55006.8125000113</v>
      </c>
      <c r="E23" s="1380">
        <v>55572.820900011895</v>
      </c>
    </row>
    <row r="24" spans="1:5" ht="15" customHeight="1">
      <c r="A24" s="542" t="s">
        <v>160</v>
      </c>
      <c r="B24" s="1353">
        <v>652269.52909872704</v>
      </c>
      <c r="C24" s="1353">
        <v>504264.80069941957</v>
      </c>
      <c r="D24" s="1353">
        <v>242850.94920030094</v>
      </c>
      <c r="E24" s="1353">
        <v>261413.85150033768</v>
      </c>
    </row>
    <row r="25" spans="1:5" ht="15" customHeight="1">
      <c r="A25" s="541" t="s">
        <v>160</v>
      </c>
      <c r="B25" s="1380">
        <v>652269.52909872704</v>
      </c>
      <c r="C25" s="1380">
        <v>504264.80069941957</v>
      </c>
      <c r="D25" s="1380">
        <v>242850.94920030094</v>
      </c>
      <c r="E25" s="1380">
        <v>261413.85150033768</v>
      </c>
    </row>
    <row r="26" spans="1:5" ht="15" customHeight="1">
      <c r="A26" s="542" t="s">
        <v>161</v>
      </c>
      <c r="B26" s="1353">
        <v>23088.891099999786</v>
      </c>
      <c r="C26" s="1353">
        <v>17810.823499999511</v>
      </c>
      <c r="D26" s="1353">
        <v>9062.0714999994289</v>
      </c>
      <c r="E26" s="1353">
        <v>8748.7519999994183</v>
      </c>
    </row>
    <row r="27" spans="1:5" ht="15" customHeight="1">
      <c r="A27" s="541" t="s">
        <v>161</v>
      </c>
      <c r="B27" s="1380">
        <v>23088.891099999786</v>
      </c>
      <c r="C27" s="1380">
        <v>17810.823499999511</v>
      </c>
      <c r="D27" s="1380">
        <v>9062.0714999994289</v>
      </c>
      <c r="E27" s="1380">
        <v>8748.7519999994183</v>
      </c>
    </row>
    <row r="28" spans="1:5" ht="15" customHeight="1">
      <c r="A28" s="542" t="s">
        <v>162</v>
      </c>
      <c r="B28" s="1353">
        <v>35371.509800000895</v>
      </c>
      <c r="C28" s="1353">
        <v>22141.122199999845</v>
      </c>
      <c r="D28" s="1353">
        <v>10863.129999999483</v>
      </c>
      <c r="E28" s="1353">
        <v>11277.992199999489</v>
      </c>
    </row>
    <row r="29" spans="1:5" ht="15" customHeight="1">
      <c r="A29" s="541" t="s">
        <v>162</v>
      </c>
      <c r="B29" s="1380">
        <v>35371.509800000895</v>
      </c>
      <c r="C29" s="1380">
        <v>22141.122199999845</v>
      </c>
      <c r="D29" s="1380">
        <v>10863.129999999483</v>
      </c>
      <c r="E29" s="1380">
        <v>11277.992199999489</v>
      </c>
    </row>
    <row r="30" spans="1:5" ht="15" customHeight="1">
      <c r="A30" s="542" t="s">
        <v>163</v>
      </c>
      <c r="B30" s="1353">
        <v>106455.94129998244</v>
      </c>
      <c r="C30" s="1353">
        <v>71774.350300003731</v>
      </c>
      <c r="D30" s="1353">
        <v>36675.344100004382</v>
      </c>
      <c r="E30" s="1353">
        <v>35099.006200004311</v>
      </c>
    </row>
    <row r="31" spans="1:5" ht="15" customHeight="1">
      <c r="A31" s="543" t="s">
        <v>163</v>
      </c>
      <c r="B31" s="1363">
        <v>106455.94129998244</v>
      </c>
      <c r="C31" s="1363">
        <v>71774.350300003731</v>
      </c>
      <c r="D31" s="1363">
        <v>36675.344100004382</v>
      </c>
      <c r="E31" s="1363">
        <v>35099.006200004311</v>
      </c>
    </row>
  </sheetData>
  <mergeCells count="4">
    <mergeCell ref="B2:B3"/>
    <mergeCell ref="C2:E2"/>
    <mergeCell ref="A2:A3"/>
    <mergeCell ref="A1:E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8814-6268-439B-B420-33544EE1BDF8}">
  <sheetPr>
    <tabColor theme="0"/>
  </sheetPr>
  <dimension ref="A1:E24"/>
  <sheetViews>
    <sheetView workbookViewId="0">
      <selection activeCell="G14" sqref="G14"/>
    </sheetView>
  </sheetViews>
  <sheetFormatPr defaultRowHeight="12"/>
  <cols>
    <col min="1" max="1" width="17.7109375" style="188" customWidth="1"/>
    <col min="2" max="2" width="15" style="594" customWidth="1"/>
    <col min="3" max="5" width="17.7109375" style="594" customWidth="1"/>
    <col min="6" max="16384" width="9.140625" style="188"/>
  </cols>
  <sheetData>
    <row r="1" spans="1:5" s="581" customFormat="1" ht="21.75" customHeight="1" thickBot="1">
      <c r="A1" s="1378" t="s">
        <v>576</v>
      </c>
      <c r="B1" s="1378"/>
      <c r="C1" s="1378"/>
      <c r="D1" s="1378"/>
      <c r="E1" s="1378"/>
    </row>
    <row r="2" spans="1:5" ht="15.75" customHeight="1">
      <c r="A2" s="1360" t="s">
        <v>468</v>
      </c>
      <c r="B2" s="1386" t="s">
        <v>173</v>
      </c>
      <c r="C2" s="1371" t="s">
        <v>174</v>
      </c>
      <c r="D2" s="1371"/>
      <c r="E2" s="1371"/>
    </row>
    <row r="3" spans="1:5" ht="15" customHeight="1">
      <c r="A3" s="967"/>
      <c r="B3" s="969"/>
      <c r="C3" s="969" t="s">
        <v>0</v>
      </c>
      <c r="D3" s="969" t="s">
        <v>1</v>
      </c>
      <c r="E3" s="969" t="s">
        <v>2</v>
      </c>
    </row>
    <row r="4" spans="1:5" ht="3.75" customHeight="1">
      <c r="A4" s="968"/>
      <c r="B4" s="965"/>
      <c r="C4" s="965"/>
      <c r="D4" s="965"/>
      <c r="E4" s="965"/>
    </row>
    <row r="5" spans="1:5">
      <c r="A5" s="76" t="s">
        <v>146</v>
      </c>
      <c r="B5" s="1376">
        <v>1523457.302891233</v>
      </c>
      <c r="C5" s="1376">
        <v>1112074.7802951268</v>
      </c>
      <c r="D5" s="1376">
        <v>546297.21519919159</v>
      </c>
      <c r="E5" s="1376">
        <v>565777.56509912317</v>
      </c>
    </row>
    <row r="6" spans="1:5">
      <c r="A6" s="544"/>
      <c r="B6" s="1349"/>
      <c r="C6" s="1349"/>
      <c r="D6" s="1349"/>
      <c r="E6" s="1349"/>
    </row>
    <row r="7" spans="1:5">
      <c r="A7" s="68" t="s">
        <v>3</v>
      </c>
      <c r="B7" s="1345"/>
      <c r="C7" s="1345"/>
      <c r="D7" s="1345"/>
      <c r="E7" s="1345"/>
    </row>
    <row r="8" spans="1:5">
      <c r="A8" s="545" t="s">
        <v>4</v>
      </c>
      <c r="B8" s="1349">
        <v>1373789.4338926736</v>
      </c>
      <c r="C8" s="1349">
        <v>1016885.3025960648</v>
      </c>
      <c r="D8" s="1349">
        <v>497890.47649942274</v>
      </c>
      <c r="E8" s="1349">
        <v>518994.82609940867</v>
      </c>
    </row>
    <row r="9" spans="1:5">
      <c r="A9" s="545" t="s">
        <v>5</v>
      </c>
      <c r="B9" s="1349">
        <v>149667.86900003566</v>
      </c>
      <c r="C9" s="1349">
        <v>95189.477700000978</v>
      </c>
      <c r="D9" s="1349">
        <v>48406.73870000738</v>
      </c>
      <c r="E9" s="1349">
        <v>46782.739000007896</v>
      </c>
    </row>
    <row r="10" spans="1:5">
      <c r="A10" s="68" t="s">
        <v>175</v>
      </c>
      <c r="B10" s="1345"/>
      <c r="C10" s="1345"/>
      <c r="D10" s="1345"/>
      <c r="E10" s="1345"/>
    </row>
    <row r="11" spans="1:5">
      <c r="A11" s="544" t="s">
        <v>105</v>
      </c>
      <c r="B11" s="1349">
        <v>168061.03679996351</v>
      </c>
      <c r="C11" s="1349">
        <v>80273.577599973054</v>
      </c>
      <c r="D11" s="1349">
        <v>39927.840000006945</v>
      </c>
      <c r="E11" s="1349">
        <v>40345.737600007131</v>
      </c>
    </row>
    <row r="12" spans="1:5">
      <c r="A12" s="544" t="s">
        <v>106</v>
      </c>
      <c r="B12" s="1349">
        <v>184840.24000017435</v>
      </c>
      <c r="C12" s="1349">
        <v>122355.63999993764</v>
      </c>
      <c r="D12" s="1349">
        <v>61144.370000035153</v>
      </c>
      <c r="E12" s="1349">
        <v>61211.270000035249</v>
      </c>
    </row>
    <row r="13" spans="1:5">
      <c r="A13" s="544" t="s">
        <v>107</v>
      </c>
      <c r="B13" s="1349">
        <v>199529.25000024337</v>
      </c>
      <c r="C13" s="1349">
        <v>142853.79999997708</v>
      </c>
      <c r="D13" s="1349">
        <v>70126.810000033074</v>
      </c>
      <c r="E13" s="1349">
        <v>72726.990000028323</v>
      </c>
    </row>
    <row r="14" spans="1:5">
      <c r="A14" s="544" t="s">
        <v>108</v>
      </c>
      <c r="B14" s="1349">
        <v>174728.36009991929</v>
      </c>
      <c r="C14" s="1349">
        <v>134295.12320013315</v>
      </c>
      <c r="D14" s="1349">
        <v>64565.45270004584</v>
      </c>
      <c r="E14" s="1349">
        <v>69729.670500053937</v>
      </c>
    </row>
    <row r="15" spans="1:5">
      <c r="A15" s="544" t="s">
        <v>109</v>
      </c>
      <c r="B15" s="1349">
        <v>142171.72749993121</v>
      </c>
      <c r="C15" s="1349">
        <v>111815.41799992282</v>
      </c>
      <c r="D15" s="1349">
        <v>53082.342500018371</v>
      </c>
      <c r="E15" s="1349">
        <v>58733.075500025494</v>
      </c>
    </row>
    <row r="16" spans="1:5">
      <c r="A16" s="544" t="s">
        <v>110</v>
      </c>
      <c r="B16" s="1349">
        <v>117454.23799990927</v>
      </c>
      <c r="C16" s="1349">
        <v>93582.571499966652</v>
      </c>
      <c r="D16" s="1349">
        <v>44381.881500007403</v>
      </c>
      <c r="E16" s="1349">
        <v>49200.690000013477</v>
      </c>
    </row>
    <row r="17" spans="1:5">
      <c r="A17" s="544" t="s">
        <v>111</v>
      </c>
      <c r="B17" s="1349">
        <v>108117.22440009368</v>
      </c>
      <c r="C17" s="1349">
        <v>88187.504700039673</v>
      </c>
      <c r="D17" s="1349">
        <v>41170.221900003569</v>
      </c>
      <c r="E17" s="1349">
        <v>47017.282799997505</v>
      </c>
    </row>
    <row r="18" spans="1:5">
      <c r="A18" s="544" t="s">
        <v>112</v>
      </c>
      <c r="B18" s="1349">
        <v>100652.56080007345</v>
      </c>
      <c r="C18" s="1349">
        <v>83748.321300027645</v>
      </c>
      <c r="D18" s="1349">
        <v>41242.072200003495</v>
      </c>
      <c r="E18" s="1349">
        <v>42506.249100002184</v>
      </c>
    </row>
    <row r="19" spans="1:5">
      <c r="A19" s="544" t="s">
        <v>113</v>
      </c>
      <c r="B19" s="1349">
        <v>80066.478900017668</v>
      </c>
      <c r="C19" s="1349">
        <v>66199.370999980092</v>
      </c>
      <c r="D19" s="1349">
        <v>34857.105000010117</v>
      </c>
      <c r="E19" s="1349">
        <v>31342.266000011092</v>
      </c>
    </row>
    <row r="20" spans="1:5">
      <c r="A20" s="544" t="s">
        <v>114</v>
      </c>
      <c r="B20" s="1349">
        <v>61965.598399962408</v>
      </c>
      <c r="C20" s="1349">
        <v>50835.021799979353</v>
      </c>
      <c r="D20" s="1349">
        <v>26877.438600005087</v>
      </c>
      <c r="E20" s="1349">
        <v>23957.58320000421</v>
      </c>
    </row>
    <row r="21" spans="1:5">
      <c r="A21" s="544" t="s">
        <v>115</v>
      </c>
      <c r="B21" s="1349">
        <v>44965.373999988289</v>
      </c>
      <c r="C21" s="1349">
        <v>36265.681800001534</v>
      </c>
      <c r="D21" s="1349">
        <v>19504.953400002873</v>
      </c>
      <c r="E21" s="1349">
        <v>16760.728400002048</v>
      </c>
    </row>
    <row r="22" spans="1:5">
      <c r="A22" s="544" t="s">
        <v>116</v>
      </c>
      <c r="B22" s="1349">
        <v>33050.448000006429</v>
      </c>
      <c r="C22" s="1349">
        <v>26164.938000004873</v>
      </c>
      <c r="D22" s="1349">
        <v>13517.553400001076</v>
      </c>
      <c r="E22" s="1349">
        <v>12647.384600000814</v>
      </c>
    </row>
    <row r="23" spans="1:5">
      <c r="A23" s="544" t="s">
        <v>117</v>
      </c>
      <c r="B23" s="1349">
        <v>27927.229400005403</v>
      </c>
      <c r="C23" s="1349">
        <v>21664.409000003521</v>
      </c>
      <c r="D23" s="1349">
        <v>10841.185600000272</v>
      </c>
      <c r="E23" s="1349">
        <v>10823.223400000266</v>
      </c>
    </row>
    <row r="24" spans="1:5">
      <c r="A24" s="546" t="s">
        <v>136</v>
      </c>
      <c r="B24" s="1401">
        <v>79927.536599984058</v>
      </c>
      <c r="C24" s="1401">
        <v>53833.402400012863</v>
      </c>
      <c r="D24" s="1401">
        <v>25057.988400004626</v>
      </c>
      <c r="E24" s="1401">
        <v>28775.41400000569</v>
      </c>
    </row>
  </sheetData>
  <mergeCells count="7">
    <mergeCell ref="A2:A4"/>
    <mergeCell ref="B2:B4"/>
    <mergeCell ref="C2:E2"/>
    <mergeCell ref="C3:C4"/>
    <mergeCell ref="D3:D4"/>
    <mergeCell ref="E3:E4"/>
    <mergeCell ref="A1:E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F7B6-04D6-431F-8753-90F6B652A6F8}">
  <sheetPr>
    <tabColor theme="0"/>
  </sheetPr>
  <dimension ref="A1:E22"/>
  <sheetViews>
    <sheetView workbookViewId="0">
      <selection activeCell="G18" sqref="G18"/>
    </sheetView>
  </sheetViews>
  <sheetFormatPr defaultRowHeight="12"/>
  <cols>
    <col min="1" max="1" width="19.5703125" style="188" customWidth="1"/>
    <col min="2" max="2" width="16" style="594" customWidth="1"/>
    <col min="3" max="3" width="14.7109375" style="594" customWidth="1"/>
    <col min="4" max="4" width="18.7109375" style="594" customWidth="1"/>
    <col min="5" max="5" width="30.42578125" style="594" customWidth="1"/>
    <col min="6" max="16384" width="9.140625" style="188"/>
  </cols>
  <sheetData>
    <row r="1" spans="1:5" ht="12" customHeight="1">
      <c r="A1" s="970" t="s">
        <v>474</v>
      </c>
      <c r="B1" s="970"/>
      <c r="C1" s="970"/>
      <c r="D1" s="970"/>
      <c r="E1" s="970"/>
    </row>
    <row r="2" spans="1:5" ht="12" customHeight="1">
      <c r="A2" s="971" t="s">
        <v>468</v>
      </c>
      <c r="B2" s="973" t="s">
        <v>176</v>
      </c>
      <c r="C2" s="975" t="s">
        <v>177</v>
      </c>
      <c r="D2" s="975"/>
      <c r="E2" s="975"/>
    </row>
    <row r="3" spans="1:5">
      <c r="A3" s="972"/>
      <c r="B3" s="974"/>
      <c r="C3" s="1402" t="s">
        <v>0</v>
      </c>
      <c r="D3" s="1402" t="s">
        <v>1</v>
      </c>
      <c r="E3" s="1402" t="s">
        <v>2</v>
      </c>
    </row>
    <row r="4" spans="1:5" ht="12.75" customHeight="1">
      <c r="A4" s="548" t="s">
        <v>146</v>
      </c>
      <c r="B4" s="1376">
        <v>1355396.2660913235</v>
      </c>
      <c r="C4" s="1376">
        <v>886881.18299643055</v>
      </c>
      <c r="D4" s="1376">
        <v>436515.93339961272</v>
      </c>
      <c r="E4" s="1377">
        <v>450365.24959959585</v>
      </c>
    </row>
    <row r="5" spans="1:5">
      <c r="A5" s="549"/>
      <c r="B5" s="1349"/>
      <c r="C5" s="1349"/>
      <c r="D5" s="1349"/>
      <c r="E5" s="1391"/>
    </row>
    <row r="6" spans="1:5">
      <c r="A6" s="68" t="s">
        <v>3</v>
      </c>
      <c r="B6" s="1345"/>
      <c r="C6" s="1345"/>
      <c r="D6" s="1345"/>
      <c r="E6" s="1387"/>
    </row>
    <row r="7" spans="1:5">
      <c r="A7" s="550" t="s">
        <v>4</v>
      </c>
      <c r="B7" s="1349">
        <v>1223433.1874930053</v>
      </c>
      <c r="C7" s="1349">
        <v>810019.49669716111</v>
      </c>
      <c r="D7" s="1349">
        <v>397419.3152997836</v>
      </c>
      <c r="E7" s="1391">
        <v>412600.18139975175</v>
      </c>
    </row>
    <row r="8" spans="1:5">
      <c r="A8" s="550" t="s">
        <v>5</v>
      </c>
      <c r="B8" s="1349">
        <v>131963.07860001107</v>
      </c>
      <c r="C8" s="1349">
        <v>76861.686300009183</v>
      </c>
      <c r="D8" s="1349">
        <v>39096.618100003216</v>
      </c>
      <c r="E8" s="1391">
        <v>37765.06820000428</v>
      </c>
    </row>
    <row r="9" spans="1:5">
      <c r="A9" s="68" t="s">
        <v>175</v>
      </c>
      <c r="B9" s="1345"/>
      <c r="C9" s="1345"/>
      <c r="D9" s="1345"/>
      <c r="E9" s="1387"/>
    </row>
    <row r="10" spans="1:5">
      <c r="A10" s="549" t="s">
        <v>106</v>
      </c>
      <c r="B10" s="1349">
        <v>184840.24000017435</v>
      </c>
      <c r="C10" s="1349">
        <v>61168.900000035188</v>
      </c>
      <c r="D10" s="1349">
        <v>30312.389999994899</v>
      </c>
      <c r="E10" s="1391">
        <v>30856.509999994792</v>
      </c>
    </row>
    <row r="11" spans="1:5">
      <c r="A11" s="549" t="s">
        <v>107</v>
      </c>
      <c r="B11" s="1349">
        <v>199529.25000024337</v>
      </c>
      <c r="C11" s="1349">
        <v>99489.219999979425</v>
      </c>
      <c r="D11" s="1349">
        <v>48618.46000001717</v>
      </c>
      <c r="E11" s="1391">
        <v>50870.760000020404</v>
      </c>
    </row>
    <row r="12" spans="1:5">
      <c r="A12" s="549" t="s">
        <v>108</v>
      </c>
      <c r="B12" s="1349">
        <v>174728.36009991929</v>
      </c>
      <c r="C12" s="1349">
        <v>117448.82520012882</v>
      </c>
      <c r="D12" s="1349">
        <v>56449.950200033105</v>
      </c>
      <c r="E12" s="1391">
        <v>60998.875000040243</v>
      </c>
    </row>
    <row r="13" spans="1:5">
      <c r="A13" s="549" t="s">
        <v>109</v>
      </c>
      <c r="B13" s="1349">
        <v>142171.72749993121</v>
      </c>
      <c r="C13" s="1349">
        <v>104901.90699993944</v>
      </c>
      <c r="D13" s="1349">
        <v>50209.324000014749</v>
      </c>
      <c r="E13" s="1391">
        <v>54692.583000020401</v>
      </c>
    </row>
    <row r="14" spans="1:5">
      <c r="A14" s="549" t="s">
        <v>110</v>
      </c>
      <c r="B14" s="1349">
        <v>117454.23799990927</v>
      </c>
      <c r="C14" s="1349">
        <v>89170.790499977258</v>
      </c>
      <c r="D14" s="1349">
        <v>42581.033000005133</v>
      </c>
      <c r="E14" s="1391">
        <v>46589.757500010186</v>
      </c>
    </row>
    <row r="15" spans="1:5">
      <c r="A15" s="549" t="s">
        <v>111</v>
      </c>
      <c r="B15" s="1349">
        <v>108117.22440009368</v>
      </c>
      <c r="C15" s="1349">
        <v>84754.22550003037</v>
      </c>
      <c r="D15" s="1349">
        <v>39787.589100005003</v>
      </c>
      <c r="E15" s="1391">
        <v>44966.636399999632</v>
      </c>
    </row>
    <row r="16" spans="1:5">
      <c r="A16" s="549" t="s">
        <v>112</v>
      </c>
      <c r="B16" s="1349">
        <v>100652.56080007345</v>
      </c>
      <c r="C16" s="1349">
        <v>81367.551900021193</v>
      </c>
      <c r="D16" s="1349">
        <v>40298.308800004474</v>
      </c>
      <c r="E16" s="1391">
        <v>41069.243100003674</v>
      </c>
    </row>
    <row r="17" spans="1:5">
      <c r="A17" s="549" t="s">
        <v>113</v>
      </c>
      <c r="B17" s="1349">
        <v>80066.478900017668</v>
      </c>
      <c r="C17" s="1349">
        <v>64535.162699979337</v>
      </c>
      <c r="D17" s="1349">
        <v>34183.265700010816</v>
      </c>
      <c r="E17" s="1391">
        <v>30351.897000010264</v>
      </c>
    </row>
    <row r="18" spans="1:5">
      <c r="A18" s="549" t="s">
        <v>114</v>
      </c>
      <c r="B18" s="1349">
        <v>61965.598399962408</v>
      </c>
      <c r="C18" s="1349">
        <v>49531.764399981337</v>
      </c>
      <c r="D18" s="1349">
        <v>26302.648200004915</v>
      </c>
      <c r="E18" s="1391">
        <v>23229.116200003991</v>
      </c>
    </row>
    <row r="19" spans="1:5">
      <c r="A19" s="549" t="s">
        <v>115</v>
      </c>
      <c r="B19" s="1349">
        <v>44965.373999988289</v>
      </c>
      <c r="C19" s="1349">
        <v>35381.54240000288</v>
      </c>
      <c r="D19" s="1349">
        <v>19149.701000002766</v>
      </c>
      <c r="E19" s="1391">
        <v>16231.841400001891</v>
      </c>
    </row>
    <row r="20" spans="1:5">
      <c r="A20" s="549" t="s">
        <v>116</v>
      </c>
      <c r="B20" s="1349">
        <v>33050.448000006429</v>
      </c>
      <c r="C20" s="1349">
        <v>25554.22320000469</v>
      </c>
      <c r="D20" s="1349">
        <v>13282.049000001005</v>
      </c>
      <c r="E20" s="1391">
        <v>12272.174200000702</v>
      </c>
    </row>
    <row r="21" spans="1:5">
      <c r="A21" s="549" t="s">
        <v>117</v>
      </c>
      <c r="B21" s="1349">
        <v>27927.229400005403</v>
      </c>
      <c r="C21" s="1349">
        <v>21169.450600003373</v>
      </c>
      <c r="D21" s="1349">
        <v>10681.521600000224</v>
      </c>
      <c r="E21" s="1391">
        <v>10487.929000000166</v>
      </c>
    </row>
    <row r="22" spans="1:5">
      <c r="A22" s="551" t="s">
        <v>136</v>
      </c>
      <c r="B22" s="1401">
        <v>79927.536599984058</v>
      </c>
      <c r="C22" s="1401">
        <v>52407.619600012455</v>
      </c>
      <c r="D22" s="1401">
        <v>24659.692800004512</v>
      </c>
      <c r="E22" s="1393">
        <v>27747.926800005396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1B88-4CDA-45F6-98A0-0B07FC057310}">
  <sheetPr>
    <tabColor theme="0"/>
  </sheetPr>
  <dimension ref="A1:E31"/>
  <sheetViews>
    <sheetView workbookViewId="0">
      <selection activeCell="J10" sqref="J10"/>
    </sheetView>
  </sheetViews>
  <sheetFormatPr defaultRowHeight="12"/>
  <cols>
    <col min="1" max="1" width="17" style="188" customWidth="1"/>
    <col min="2" max="2" width="13.7109375" style="188" customWidth="1"/>
    <col min="3" max="3" width="11.85546875" style="188" customWidth="1"/>
    <col min="4" max="4" width="11" style="188" bestFit="1" customWidth="1"/>
    <col min="5" max="5" width="10.7109375" style="188" customWidth="1"/>
    <col min="6" max="16384" width="9.140625" style="188"/>
  </cols>
  <sheetData>
    <row r="1" spans="1:5" ht="25.5" customHeight="1">
      <c r="A1" s="1355" t="s">
        <v>577</v>
      </c>
      <c r="B1" s="1355"/>
      <c r="C1" s="1355"/>
      <c r="D1" s="1355"/>
      <c r="E1" s="1355"/>
    </row>
    <row r="2" spans="1:5" ht="20.25" customHeight="1">
      <c r="A2" s="1396" t="s">
        <v>495</v>
      </c>
      <c r="B2" s="976" t="s">
        <v>178</v>
      </c>
      <c r="C2" s="978" t="s">
        <v>179</v>
      </c>
      <c r="D2" s="978"/>
      <c r="E2" s="978"/>
    </row>
    <row r="3" spans="1:5" ht="17.25" customHeight="1">
      <c r="A3" s="1396"/>
      <c r="B3" s="977"/>
      <c r="C3" s="509" t="s">
        <v>0</v>
      </c>
      <c r="D3" s="83" t="s">
        <v>1</v>
      </c>
      <c r="E3" s="83" t="s">
        <v>2</v>
      </c>
    </row>
    <row r="4" spans="1:5" s="563" customFormat="1">
      <c r="A4" s="1394" t="s">
        <v>146</v>
      </c>
      <c r="B4" s="1395">
        <v>1355396.2660913235</v>
      </c>
      <c r="C4" s="1395">
        <v>886881.18299643055</v>
      </c>
      <c r="D4" s="1395">
        <v>436515.93339961272</v>
      </c>
      <c r="E4" s="1395">
        <v>450365.24959959585</v>
      </c>
    </row>
    <row r="5" spans="1:5">
      <c r="A5" s="81"/>
      <c r="B5" s="73"/>
      <c r="C5" s="73"/>
      <c r="D5" s="73"/>
      <c r="E5" s="73"/>
    </row>
    <row r="6" spans="1:5">
      <c r="A6" s="68" t="s">
        <v>3</v>
      </c>
      <c r="B6" s="74"/>
      <c r="C6" s="74"/>
      <c r="D6" s="74"/>
      <c r="E6" s="74"/>
    </row>
    <row r="7" spans="1:5">
      <c r="A7" s="552" t="s">
        <v>4</v>
      </c>
      <c r="B7" s="73">
        <v>1223433.1874930053</v>
      </c>
      <c r="C7" s="73">
        <v>810019.49669716111</v>
      </c>
      <c r="D7" s="73">
        <v>397419.3152997836</v>
      </c>
      <c r="E7" s="73">
        <v>412600.18139975175</v>
      </c>
    </row>
    <row r="8" spans="1:5">
      <c r="A8" s="552" t="s">
        <v>5</v>
      </c>
      <c r="B8" s="73">
        <v>131963.07860001107</v>
      </c>
      <c r="C8" s="73">
        <v>76861.686300009183</v>
      </c>
      <c r="D8" s="73">
        <v>39096.618100003216</v>
      </c>
      <c r="E8" s="73">
        <v>37765.06820000428</v>
      </c>
    </row>
    <row r="9" spans="1:5">
      <c r="A9" s="68" t="s">
        <v>172</v>
      </c>
      <c r="B9" s="74"/>
      <c r="C9" s="74"/>
      <c r="D9" s="74"/>
      <c r="E9" s="74"/>
    </row>
    <row r="10" spans="1:5">
      <c r="A10" s="553" t="s">
        <v>148</v>
      </c>
      <c r="B10" s="75">
        <f>+B11+B12+B13+B14</f>
        <v>59718.823699999884</v>
      </c>
      <c r="C10" s="75">
        <f t="shared" ref="C10:E10" si="0">+C11+C12+C13+C14</f>
        <v>33814.681999999397</v>
      </c>
      <c r="D10" s="75">
        <f t="shared" si="0"/>
        <v>16647.618799999382</v>
      </c>
      <c r="E10" s="75">
        <f t="shared" si="0"/>
        <v>17167.063199999382</v>
      </c>
    </row>
    <row r="11" spans="1:5">
      <c r="A11" s="554" t="s">
        <v>148</v>
      </c>
      <c r="B11" s="73">
        <v>21229.6046999998</v>
      </c>
      <c r="C11" s="73">
        <v>12983.473199999693</v>
      </c>
      <c r="D11" s="73">
        <v>6609.9883999995873</v>
      </c>
      <c r="E11" s="73">
        <v>6373.4847999996273</v>
      </c>
    </row>
    <row r="12" spans="1:5">
      <c r="A12" s="554" t="s">
        <v>149</v>
      </c>
      <c r="B12" s="73">
        <v>21812.291500000938</v>
      </c>
      <c r="C12" s="73">
        <v>10994.076300000039</v>
      </c>
      <c r="D12" s="73">
        <v>5120.5519999998305</v>
      </c>
      <c r="E12" s="73">
        <v>5873.5242999997963</v>
      </c>
    </row>
    <row r="13" spans="1:5">
      <c r="A13" s="554" t="s">
        <v>150</v>
      </c>
      <c r="B13" s="73">
        <v>7009.1954999996005</v>
      </c>
      <c r="C13" s="73">
        <v>3974.9435999999441</v>
      </c>
      <c r="D13" s="73">
        <v>2001.4321999999918</v>
      </c>
      <c r="E13" s="73">
        <v>1973.5113999999908</v>
      </c>
    </row>
    <row r="14" spans="1:5">
      <c r="A14" s="554" t="s">
        <v>151</v>
      </c>
      <c r="B14" s="73">
        <v>9667.7319999995434</v>
      </c>
      <c r="C14" s="73">
        <v>5862.1888999997236</v>
      </c>
      <c r="D14" s="73">
        <v>2915.6461999999706</v>
      </c>
      <c r="E14" s="73">
        <v>2946.5426999999659</v>
      </c>
    </row>
    <row r="15" spans="1:5">
      <c r="A15" s="555" t="s">
        <v>152</v>
      </c>
      <c r="B15" s="75">
        <f>+B16+B17+B18+B19</f>
        <v>26160.055599999476</v>
      </c>
      <c r="C15" s="75">
        <f t="shared" ref="C15:E15" si="1">+C16+C17+C18+C19</f>
        <v>18313.370399999523</v>
      </c>
      <c r="D15" s="75">
        <f t="shared" si="1"/>
        <v>9561.3062999997401</v>
      </c>
      <c r="E15" s="75">
        <f t="shared" si="1"/>
        <v>8752.0640999998286</v>
      </c>
    </row>
    <row r="16" spans="1:5">
      <c r="A16" s="554" t="s">
        <v>153</v>
      </c>
      <c r="B16" s="73">
        <v>15287.045599999681</v>
      </c>
      <c r="C16" s="73">
        <v>11082.367499999576</v>
      </c>
      <c r="D16" s="73">
        <v>5806.5195999997386</v>
      </c>
      <c r="E16" s="73">
        <v>5275.847899999826</v>
      </c>
    </row>
    <row r="17" spans="1:5">
      <c r="A17" s="554" t="s">
        <v>154</v>
      </c>
      <c r="B17" s="73">
        <v>1672.4902999999999</v>
      </c>
      <c r="C17" s="73">
        <v>1216.8057000000049</v>
      </c>
      <c r="D17" s="73">
        <v>675.17790000000036</v>
      </c>
      <c r="E17" s="73">
        <v>541.62779999999918</v>
      </c>
    </row>
    <row r="18" spans="1:5">
      <c r="A18" s="554" t="s">
        <v>155</v>
      </c>
      <c r="B18" s="73">
        <v>4179.3820999999598</v>
      </c>
      <c r="C18" s="73">
        <v>2839.5688999999752</v>
      </c>
      <c r="D18" s="73">
        <v>1476.504000000002</v>
      </c>
      <c r="E18" s="73">
        <v>1363.0649000000028</v>
      </c>
    </row>
    <row r="19" spans="1:5">
      <c r="A19" s="554" t="s">
        <v>156</v>
      </c>
      <c r="B19" s="73">
        <v>5021.1375999998354</v>
      </c>
      <c r="C19" s="73">
        <v>3174.6282999999667</v>
      </c>
      <c r="D19" s="73">
        <v>1603.1047999999989</v>
      </c>
      <c r="E19" s="73">
        <v>1571.5234999999998</v>
      </c>
    </row>
    <row r="20" spans="1:5">
      <c r="A20" s="553" t="s">
        <v>157</v>
      </c>
      <c r="B20" s="75">
        <f>+B21+B22+B23</f>
        <v>541941.58750012564</v>
      </c>
      <c r="C20" s="75">
        <f t="shared" ref="C20:E20" si="2">+C21+C22+C23</f>
        <v>340428.2916002163</v>
      </c>
      <c r="D20" s="75">
        <f t="shared" si="2"/>
        <v>170351.21130002517</v>
      </c>
      <c r="E20" s="75">
        <f t="shared" si="2"/>
        <v>170077.08030002896</v>
      </c>
    </row>
    <row r="21" spans="1:5">
      <c r="A21" s="554" t="s">
        <v>157</v>
      </c>
      <c r="B21" s="73">
        <v>313587.91070008971</v>
      </c>
      <c r="C21" s="73">
        <v>199865.08690019636</v>
      </c>
      <c r="D21" s="73">
        <v>99496.84290001863</v>
      </c>
      <c r="E21" s="73">
        <v>100368.24400002288</v>
      </c>
    </row>
    <row r="22" spans="1:5">
      <c r="A22" s="554" t="s">
        <v>158</v>
      </c>
      <c r="B22" s="73">
        <v>93018.279300013848</v>
      </c>
      <c r="C22" s="73">
        <v>53649.474900007997</v>
      </c>
      <c r="D22" s="73">
        <v>27432.535500000849</v>
      </c>
      <c r="E22" s="73">
        <v>26216.939400000341</v>
      </c>
    </row>
    <row r="23" spans="1:5">
      <c r="A23" s="554" t="s">
        <v>159</v>
      </c>
      <c r="B23" s="73">
        <v>135335.39750002214</v>
      </c>
      <c r="C23" s="73">
        <v>86913.729800011919</v>
      </c>
      <c r="D23" s="73">
        <v>43421.832900005691</v>
      </c>
      <c r="E23" s="73">
        <v>43491.896900005726</v>
      </c>
    </row>
    <row r="24" spans="1:5">
      <c r="A24" s="553" t="s">
        <v>160</v>
      </c>
      <c r="B24" s="75">
        <v>581257.96909879718</v>
      </c>
      <c r="C24" s="75">
        <v>402786.24999979377</v>
      </c>
      <c r="D24" s="75">
        <v>193422.72720017246</v>
      </c>
      <c r="E24" s="75">
        <v>209363.52280021529</v>
      </c>
    </row>
    <row r="25" spans="1:5">
      <c r="A25" s="554" t="s">
        <v>160</v>
      </c>
      <c r="B25" s="73">
        <v>581257.96909879718</v>
      </c>
      <c r="C25" s="73">
        <v>402786.24999979377</v>
      </c>
      <c r="D25" s="73">
        <v>193422.72720017246</v>
      </c>
      <c r="E25" s="73">
        <v>209363.52280021529</v>
      </c>
    </row>
    <row r="26" spans="1:5">
      <c r="A26" s="553" t="s">
        <v>161</v>
      </c>
      <c r="B26" s="75">
        <v>19677.439899999794</v>
      </c>
      <c r="C26" s="75">
        <v>13914.948699999615</v>
      </c>
      <c r="D26" s="75">
        <v>7100.8922999995448</v>
      </c>
      <c r="E26" s="75">
        <v>6814.0563999995602</v>
      </c>
    </row>
    <row r="27" spans="1:5">
      <c r="A27" s="554" t="s">
        <v>161</v>
      </c>
      <c r="B27" s="73">
        <v>19677.439899999794</v>
      </c>
      <c r="C27" s="73">
        <v>13914.948699999615</v>
      </c>
      <c r="D27" s="73">
        <v>7100.8922999995448</v>
      </c>
      <c r="E27" s="73">
        <v>6814.0563999995602</v>
      </c>
    </row>
    <row r="28" spans="1:5">
      <c r="A28" s="553" t="s">
        <v>162</v>
      </c>
      <c r="B28" s="75">
        <v>31126.332199999837</v>
      </c>
      <c r="C28" s="75">
        <v>18702.252100000042</v>
      </c>
      <c r="D28" s="75">
        <v>9152.2773999994915</v>
      </c>
      <c r="E28" s="75">
        <v>9549.9746999995023</v>
      </c>
    </row>
    <row r="29" spans="1:5">
      <c r="A29" s="554" t="s">
        <v>162</v>
      </c>
      <c r="B29" s="73">
        <v>31126.332199999837</v>
      </c>
      <c r="C29" s="73">
        <v>18702.252100000042</v>
      </c>
      <c r="D29" s="73">
        <v>9152.2773999994915</v>
      </c>
      <c r="E29" s="73">
        <v>9549.9746999995023</v>
      </c>
    </row>
    <row r="30" spans="1:5">
      <c r="A30" s="553" t="s">
        <v>163</v>
      </c>
      <c r="B30" s="75">
        <v>95514.058100009628</v>
      </c>
      <c r="C30" s="75">
        <v>58921.388200010762</v>
      </c>
      <c r="D30" s="75">
        <v>30279.900100001851</v>
      </c>
      <c r="E30" s="75">
        <v>28641.488100001108</v>
      </c>
    </row>
    <row r="31" spans="1:5">
      <c r="A31" s="556" t="s">
        <v>163</v>
      </c>
      <c r="B31" s="547">
        <v>95514.058100009628</v>
      </c>
      <c r="C31" s="547">
        <v>58921.388200010762</v>
      </c>
      <c r="D31" s="547">
        <v>30279.900100001851</v>
      </c>
      <c r="E31" s="547">
        <v>28641.488100001108</v>
      </c>
    </row>
  </sheetData>
  <mergeCells count="4">
    <mergeCell ref="B2:B3"/>
    <mergeCell ref="C2:E2"/>
    <mergeCell ref="A2:A3"/>
    <mergeCell ref="A1:E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21F8-A9D4-4BA8-99E5-17249C946B71}">
  <sheetPr>
    <tabColor rgb="FF2B3415"/>
  </sheetPr>
  <dimension ref="A1"/>
  <sheetViews>
    <sheetView workbookViewId="0">
      <selection activeCell="P26" sqref="P26"/>
    </sheetView>
  </sheetViews>
  <sheetFormatPr defaultRowHeight="15"/>
  <cols>
    <col min="1" max="16384" width="9.140625" style="14"/>
  </cols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A53B-F51D-4792-8119-F5A49DB96039}">
  <dimension ref="A1:D39"/>
  <sheetViews>
    <sheetView workbookViewId="0">
      <selection activeCell="J6" sqref="J6"/>
    </sheetView>
  </sheetViews>
  <sheetFormatPr defaultRowHeight="15"/>
  <cols>
    <col min="1" max="1" width="29.85546875" style="617" customWidth="1"/>
    <col min="2" max="2" width="32" style="617" customWidth="1"/>
    <col min="3" max="3" width="43.7109375" style="617" customWidth="1"/>
    <col min="4" max="4" width="55.140625" style="617" customWidth="1"/>
    <col min="5" max="16384" width="9.140625" style="617"/>
  </cols>
  <sheetData>
    <row r="1" spans="1:4">
      <c r="A1" s="983" t="s">
        <v>494</v>
      </c>
      <c r="B1" s="983"/>
      <c r="C1" s="983"/>
      <c r="D1" s="495"/>
    </row>
    <row r="2" spans="1:4">
      <c r="A2" s="984"/>
      <c r="B2" s="984"/>
      <c r="C2" s="984"/>
      <c r="D2" s="495"/>
    </row>
    <row r="3" spans="1:4">
      <c r="A3" s="985" t="s">
        <v>475</v>
      </c>
      <c r="B3" s="985" t="s">
        <v>476</v>
      </c>
      <c r="C3" s="987">
        <v>2024</v>
      </c>
      <c r="D3" s="987"/>
    </row>
    <row r="4" spans="1:4">
      <c r="A4" s="986"/>
      <c r="B4" s="986"/>
      <c r="C4" s="618" t="s">
        <v>406</v>
      </c>
      <c r="D4" s="618" t="s">
        <v>407</v>
      </c>
    </row>
    <row r="5" spans="1:4">
      <c r="A5" s="979" t="s">
        <v>477</v>
      </c>
      <c r="B5" s="619" t="s">
        <v>478</v>
      </c>
      <c r="C5" s="620">
        <v>1284488.4748923248</v>
      </c>
      <c r="D5" s="621">
        <v>94.768482622172058</v>
      </c>
    </row>
    <row r="6" spans="1:4">
      <c r="A6" s="980"/>
      <c r="B6" s="619" t="s">
        <v>479</v>
      </c>
      <c r="C6" s="620">
        <v>63966.210600001985</v>
      </c>
      <c r="D6" s="621">
        <v>4.7193733818130568</v>
      </c>
    </row>
    <row r="7" spans="1:4">
      <c r="A7" s="980"/>
      <c r="B7" s="619" t="s">
        <v>480</v>
      </c>
      <c r="C7" s="620">
        <v>6418.1025999996837</v>
      </c>
      <c r="D7" s="621">
        <v>0.47352222818999912</v>
      </c>
    </row>
    <row r="8" spans="1:4">
      <c r="A8" s="980"/>
      <c r="B8" s="619" t="s">
        <v>481</v>
      </c>
      <c r="C8" s="620">
        <v>523.47799999999802</v>
      </c>
      <c r="D8" s="621">
        <v>3.8621767898888937E-2</v>
      </c>
    </row>
    <row r="9" spans="1:4" ht="15.75" thickBot="1">
      <c r="A9" s="981"/>
      <c r="B9" s="622" t="s">
        <v>440</v>
      </c>
      <c r="C9" s="623">
        <v>1355396.2660913235</v>
      </c>
      <c r="D9" s="624">
        <v>100.000000000067</v>
      </c>
    </row>
    <row r="10" spans="1:4">
      <c r="A10" s="979" t="s">
        <v>482</v>
      </c>
      <c r="B10" s="625" t="s">
        <v>478</v>
      </c>
      <c r="C10" s="626">
        <v>1344014.7453915251</v>
      </c>
      <c r="D10" s="627">
        <v>99.160280946278519</v>
      </c>
    </row>
    <row r="11" spans="1:4">
      <c r="A11" s="980"/>
      <c r="B11" s="628" t="s">
        <v>479</v>
      </c>
      <c r="C11" s="629">
        <v>9885.7713999997268</v>
      </c>
      <c r="D11" s="621">
        <v>0.72936392458186439</v>
      </c>
    </row>
    <row r="12" spans="1:4">
      <c r="A12" s="980"/>
      <c r="B12" s="628" t="s">
        <v>480</v>
      </c>
      <c r="C12" s="629">
        <v>1212.542100000001</v>
      </c>
      <c r="D12" s="621">
        <v>8.9460339410312562E-2</v>
      </c>
    </row>
    <row r="13" spans="1:4">
      <c r="A13" s="980"/>
      <c r="B13" s="628" t="s">
        <v>483</v>
      </c>
      <c r="C13" s="629">
        <v>283.20720000000006</v>
      </c>
      <c r="D13" s="621">
        <v>2.089478974416167E-2</v>
      </c>
    </row>
    <row r="14" spans="1:4" ht="15.75" thickBot="1">
      <c r="A14" s="981"/>
      <c r="B14" s="630" t="s">
        <v>0</v>
      </c>
      <c r="C14" s="623">
        <v>1355396.2660913235</v>
      </c>
      <c r="D14" s="624">
        <v>100.00000000000621</v>
      </c>
    </row>
    <row r="15" spans="1:4">
      <c r="A15" s="979" t="s">
        <v>484</v>
      </c>
      <c r="B15" s="631" t="s">
        <v>478</v>
      </c>
      <c r="C15" s="632">
        <v>1336999.8309915864</v>
      </c>
      <c r="D15" s="627">
        <v>98.642726443921205</v>
      </c>
    </row>
    <row r="16" spans="1:4">
      <c r="A16" s="980"/>
      <c r="B16" s="619" t="s">
        <v>479</v>
      </c>
      <c r="C16" s="633">
        <v>14260.646300000773</v>
      </c>
      <c r="D16" s="621">
        <v>1.0521385263311567</v>
      </c>
    </row>
    <row r="17" spans="1:4">
      <c r="A17" s="980"/>
      <c r="B17" s="619" t="s">
        <v>480</v>
      </c>
      <c r="C17" s="633">
        <v>3448.6471999999685</v>
      </c>
      <c r="D17" s="621">
        <v>0.25443829869364615</v>
      </c>
    </row>
    <row r="18" spans="1:4">
      <c r="A18" s="980"/>
      <c r="B18" s="634" t="s">
        <v>485</v>
      </c>
      <c r="C18" s="633">
        <v>687.14160000000049</v>
      </c>
      <c r="D18" s="621">
        <v>5.0696731073457339E-2</v>
      </c>
    </row>
    <row r="19" spans="1:4" ht="15.75" thickBot="1">
      <c r="A19" s="981"/>
      <c r="B19" s="622" t="s">
        <v>0</v>
      </c>
      <c r="C19" s="623">
        <v>1355396.2660913235</v>
      </c>
      <c r="D19" s="624">
        <v>100.00000000000917</v>
      </c>
    </row>
    <row r="20" spans="1:4">
      <c r="A20" s="979" t="s">
        <v>486</v>
      </c>
      <c r="B20" s="631" t="s">
        <v>478</v>
      </c>
      <c r="C20" s="635">
        <v>1350062.7920914153</v>
      </c>
      <c r="D20" s="627">
        <v>99.606500760453713</v>
      </c>
    </row>
    <row r="21" spans="1:4">
      <c r="A21" s="980"/>
      <c r="B21" s="619" t="s">
        <v>479</v>
      </c>
      <c r="C21" s="636">
        <v>4171.1724999999424</v>
      </c>
      <c r="D21" s="621">
        <v>0.30774560948354407</v>
      </c>
    </row>
    <row r="22" spans="1:4">
      <c r="A22" s="980"/>
      <c r="B22" s="619" t="s">
        <v>480</v>
      </c>
      <c r="C22" s="636">
        <v>884.9333000000031</v>
      </c>
      <c r="D22" s="621">
        <v>6.5289636849300448E-2</v>
      </c>
    </row>
    <row r="23" spans="1:4" ht="24">
      <c r="A23" s="980"/>
      <c r="B23" s="619" t="s">
        <v>487</v>
      </c>
      <c r="C23" s="636">
        <v>277.36819999999994</v>
      </c>
      <c r="D23" s="621">
        <v>2.0463993220216789E-2</v>
      </c>
    </row>
    <row r="24" spans="1:4" ht="15.75" thickBot="1">
      <c r="A24" s="981"/>
      <c r="B24" s="622" t="s">
        <v>0</v>
      </c>
      <c r="C24" s="623">
        <v>1355396.2660913235</v>
      </c>
      <c r="D24" s="624">
        <v>100.00000000000233</v>
      </c>
    </row>
    <row r="25" spans="1:4">
      <c r="A25" s="979" t="s">
        <v>488</v>
      </c>
      <c r="B25" s="631" t="s">
        <v>478</v>
      </c>
      <c r="C25" s="635">
        <v>1344731.0130915078</v>
      </c>
      <c r="D25" s="627">
        <v>99.213126576586191</v>
      </c>
    </row>
    <row r="26" spans="1:4">
      <c r="A26" s="980"/>
      <c r="B26" s="619" t="s">
        <v>479</v>
      </c>
      <c r="C26" s="636">
        <v>9055.4790999996403</v>
      </c>
      <c r="D26" s="621">
        <v>0.66810565489557749</v>
      </c>
    </row>
    <row r="27" spans="1:4">
      <c r="A27" s="980"/>
      <c r="B27" s="619" t="s">
        <v>480</v>
      </c>
      <c r="C27" s="636">
        <v>1350.8430999999994</v>
      </c>
      <c r="D27" s="621">
        <v>9.9664071223653686E-2</v>
      </c>
    </row>
    <row r="28" spans="1:4" ht="24">
      <c r="A28" s="980"/>
      <c r="B28" s="619" t="s">
        <v>489</v>
      </c>
      <c r="C28" s="636">
        <v>258.93079999999998</v>
      </c>
      <c r="D28" s="621">
        <v>1.9103697308146029E-2</v>
      </c>
    </row>
    <row r="29" spans="1:4" ht="15.75" thickBot="1">
      <c r="A29" s="981"/>
      <c r="B29" s="622" t="s">
        <v>0</v>
      </c>
      <c r="C29" s="623">
        <v>1355396.2660913235</v>
      </c>
      <c r="D29" s="624">
        <v>100.00000000000524</v>
      </c>
    </row>
    <row r="30" spans="1:4">
      <c r="A30" s="979" t="s">
        <v>490</v>
      </c>
      <c r="B30" s="631" t="s">
        <v>478</v>
      </c>
      <c r="C30" s="635">
        <v>1350028.2695914153</v>
      </c>
      <c r="D30" s="627">
        <v>99.603953719351139</v>
      </c>
    </row>
    <row r="31" spans="1:4">
      <c r="A31" s="980"/>
      <c r="B31" s="619" t="s">
        <v>479</v>
      </c>
      <c r="C31" s="636">
        <v>4376.5405999999339</v>
      </c>
      <c r="D31" s="621">
        <v>0.3228974956985054</v>
      </c>
    </row>
    <row r="32" spans="1:4">
      <c r="A32" s="980"/>
      <c r="B32" s="619" t="s">
        <v>480</v>
      </c>
      <c r="C32" s="636">
        <v>788.46070000000191</v>
      </c>
      <c r="D32" s="621">
        <v>5.8171969314461523E-2</v>
      </c>
    </row>
    <row r="33" spans="1:4" ht="24">
      <c r="A33" s="980"/>
      <c r="B33" s="619" t="s">
        <v>491</v>
      </c>
      <c r="C33" s="636">
        <v>202.99520000000007</v>
      </c>
      <c r="D33" s="621">
        <v>1.4976815642660381E-2</v>
      </c>
    </row>
    <row r="34" spans="1:4" ht="15.75" thickBot="1">
      <c r="A34" s="981"/>
      <c r="B34" s="622" t="s">
        <v>0</v>
      </c>
      <c r="C34" s="623">
        <v>1355396.2660913235</v>
      </c>
      <c r="D34" s="624">
        <v>100.00000000000198</v>
      </c>
    </row>
    <row r="35" spans="1:4">
      <c r="A35" s="979" t="s">
        <v>492</v>
      </c>
      <c r="B35" s="631" t="s">
        <v>478</v>
      </c>
      <c r="C35" s="635">
        <v>1349755.6291914184</v>
      </c>
      <c r="D35" s="627">
        <v>99.583838539250863</v>
      </c>
    </row>
    <row r="36" spans="1:4">
      <c r="A36" s="980"/>
      <c r="B36" s="619" t="s">
        <v>479</v>
      </c>
      <c r="C36" s="636">
        <v>4082.6844999999703</v>
      </c>
      <c r="D36" s="621">
        <v>0.3012170390415469</v>
      </c>
    </row>
    <row r="37" spans="1:4">
      <c r="A37" s="980"/>
      <c r="B37" s="619" t="s">
        <v>480</v>
      </c>
      <c r="C37" s="636">
        <v>1357.7042999999994</v>
      </c>
      <c r="D37" s="621">
        <v>0.10017028480647448</v>
      </c>
    </row>
    <row r="38" spans="1:4" ht="24">
      <c r="A38" s="980"/>
      <c r="B38" s="619" t="s">
        <v>493</v>
      </c>
      <c r="C38" s="636">
        <v>200.24810000000002</v>
      </c>
      <c r="D38" s="621">
        <v>1.4774136908128959E-2</v>
      </c>
    </row>
    <row r="39" spans="1:4" ht="15.75" thickBot="1">
      <c r="A39" s="982"/>
      <c r="B39" s="637" t="s">
        <v>0</v>
      </c>
      <c r="C39" s="638">
        <v>1355396.2660913235</v>
      </c>
      <c r="D39" s="639">
        <v>100.00000000000198</v>
      </c>
    </row>
  </sheetData>
  <mergeCells count="11">
    <mergeCell ref="A20:A24"/>
    <mergeCell ref="A25:A29"/>
    <mergeCell ref="A30:A34"/>
    <mergeCell ref="A35:A39"/>
    <mergeCell ref="A1:C2"/>
    <mergeCell ref="A3:A4"/>
    <mergeCell ref="B3:B4"/>
    <mergeCell ref="C3:D3"/>
    <mergeCell ref="A5:A9"/>
    <mergeCell ref="A10:A14"/>
    <mergeCell ref="A15:A1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25AD-5341-4262-80C8-2420B4712EF4}">
  <sheetPr>
    <tabColor theme="0"/>
  </sheetPr>
  <dimension ref="A1:E48"/>
  <sheetViews>
    <sheetView zoomScale="106" zoomScaleNormal="106" workbookViewId="0">
      <selection activeCell="I14" sqref="I14"/>
    </sheetView>
  </sheetViews>
  <sheetFormatPr defaultRowHeight="12"/>
  <cols>
    <col min="1" max="1" width="18.28515625" style="188" customWidth="1"/>
    <col min="2" max="2" width="12" style="594" customWidth="1"/>
    <col min="3" max="3" width="10.7109375" style="188" customWidth="1"/>
    <col min="4" max="16384" width="9.140625" style="188"/>
  </cols>
  <sheetData>
    <row r="1" spans="1:5" ht="27" customHeight="1">
      <c r="A1" s="1385" t="s">
        <v>578</v>
      </c>
      <c r="B1" s="1385"/>
      <c r="C1" s="1385"/>
      <c r="D1" s="1385"/>
      <c r="E1" s="1385"/>
    </row>
    <row r="2" spans="1:5" ht="23.25" customHeight="1">
      <c r="A2" s="1286" t="s">
        <v>495</v>
      </c>
      <c r="B2" s="988" t="s">
        <v>173</v>
      </c>
      <c r="C2" s="990" t="s">
        <v>282</v>
      </c>
      <c r="D2" s="990"/>
      <c r="E2" s="990"/>
    </row>
    <row r="3" spans="1:5" ht="24.75" customHeight="1">
      <c r="A3" s="1289"/>
      <c r="B3" s="989"/>
      <c r="C3" s="483" t="s">
        <v>0</v>
      </c>
      <c r="D3" s="498" t="s">
        <v>1</v>
      </c>
      <c r="E3" s="498" t="s">
        <v>2</v>
      </c>
    </row>
    <row r="4" spans="1:5">
      <c r="A4" s="499" t="s">
        <v>146</v>
      </c>
      <c r="B4" s="500">
        <v>1523457.302891233</v>
      </c>
      <c r="C4" s="500">
        <v>24315.228699998737</v>
      </c>
      <c r="D4" s="500">
        <v>12053.545899999312</v>
      </c>
      <c r="E4" s="500">
        <v>12261.682799999426</v>
      </c>
    </row>
    <row r="5" spans="1:5" ht="12.75" customHeight="1">
      <c r="A5" s="501"/>
      <c r="B5" s="502"/>
      <c r="C5" s="502"/>
      <c r="D5" s="502"/>
      <c r="E5" s="502"/>
    </row>
    <row r="6" spans="1:5" ht="13.5" customHeight="1">
      <c r="A6" s="499" t="s">
        <v>3</v>
      </c>
      <c r="B6" s="1404"/>
      <c r="C6" s="499"/>
      <c r="D6" s="499"/>
      <c r="E6" s="499"/>
    </row>
    <row r="7" spans="1:5">
      <c r="A7" s="190" t="s">
        <v>4</v>
      </c>
      <c r="B7" s="926">
        <v>1373789.4338926736</v>
      </c>
      <c r="C7" s="120">
        <v>22287.333699998831</v>
      </c>
      <c r="D7" s="120">
        <v>11093.319199999371</v>
      </c>
      <c r="E7" s="120">
        <v>11194.014499999461</v>
      </c>
    </row>
    <row r="8" spans="1:5">
      <c r="A8" s="190" t="s">
        <v>5</v>
      </c>
      <c r="B8" s="926">
        <v>149667.86900003566</v>
      </c>
      <c r="C8" s="120">
        <v>2027.8950000000075</v>
      </c>
      <c r="D8" s="120">
        <v>960.22670000000335</v>
      </c>
      <c r="E8" s="120">
        <v>1067.6683000000041</v>
      </c>
    </row>
    <row r="9" spans="1:5">
      <c r="A9" s="499" t="s">
        <v>242</v>
      </c>
      <c r="B9" s="1404"/>
      <c r="C9" s="499"/>
      <c r="D9" s="499"/>
      <c r="E9" s="499"/>
    </row>
    <row r="10" spans="1:5">
      <c r="A10" s="189" t="s">
        <v>148</v>
      </c>
      <c r="B10" s="929">
        <f>SUM(B11:B14)</f>
        <v>67172.710099999924</v>
      </c>
      <c r="C10" s="127">
        <f t="shared" ref="C10:E10" si="0">SUM(C11:C14)</f>
        <v>1163.4216000000006</v>
      </c>
      <c r="D10" s="127">
        <f t="shared" si="0"/>
        <v>561.9572000000004</v>
      </c>
      <c r="E10" s="127">
        <f t="shared" si="0"/>
        <v>601.4644000000003</v>
      </c>
    </row>
    <row r="11" spans="1:5">
      <c r="A11" s="190" t="s">
        <v>148</v>
      </c>
      <c r="B11" s="926">
        <v>23828.017499999733</v>
      </c>
      <c r="C11" s="120">
        <v>550.9671000000003</v>
      </c>
      <c r="D11" s="120">
        <v>276.75170000000031</v>
      </c>
      <c r="E11" s="120">
        <v>274.21540000000005</v>
      </c>
    </row>
    <row r="12" spans="1:5" ht="15" customHeight="1">
      <c r="A12" s="190" t="s">
        <v>149</v>
      </c>
      <c r="B12" s="926">
        <v>24592.758700001028</v>
      </c>
      <c r="C12" s="120">
        <v>275.44400000000013</v>
      </c>
      <c r="D12" s="120">
        <v>115.58840000000006</v>
      </c>
      <c r="E12" s="120">
        <v>159.85560000000007</v>
      </c>
    </row>
    <row r="13" spans="1:5" ht="12.75" customHeight="1">
      <c r="A13" s="190" t="s">
        <v>150</v>
      </c>
      <c r="B13" s="926">
        <v>7824.3026999995591</v>
      </c>
      <c r="C13" s="120">
        <v>219.87570000000014</v>
      </c>
      <c r="D13" s="120">
        <v>110.65600000000003</v>
      </c>
      <c r="E13" s="120">
        <v>109.2197000000001</v>
      </c>
    </row>
    <row r="14" spans="1:5">
      <c r="A14" s="190" t="s">
        <v>151</v>
      </c>
      <c r="B14" s="926">
        <v>10927.631199999607</v>
      </c>
      <c r="C14" s="120">
        <v>117.13480000000004</v>
      </c>
      <c r="D14" s="120">
        <v>58.961100000000016</v>
      </c>
      <c r="E14" s="120">
        <v>58.173700000000018</v>
      </c>
    </row>
    <row r="15" spans="1:5">
      <c r="A15" s="189" t="s">
        <v>152</v>
      </c>
      <c r="B15" s="929">
        <f>SUM(B16:B19)</f>
        <v>30475.572399998917</v>
      </c>
      <c r="C15" s="127">
        <f t="shared" ref="C15:E15" si="1">SUM(C16:C19)</f>
        <v>348.59230000000014</v>
      </c>
      <c r="D15" s="127">
        <f t="shared" si="1"/>
        <v>164.74760000000006</v>
      </c>
      <c r="E15" s="127">
        <f t="shared" si="1"/>
        <v>183.84470000000013</v>
      </c>
    </row>
    <row r="16" spans="1:5">
      <c r="A16" s="190" t="s">
        <v>153</v>
      </c>
      <c r="B16" s="926">
        <v>17370.327199999287</v>
      </c>
      <c r="C16" s="120">
        <v>240.71610000000015</v>
      </c>
      <c r="D16" s="120">
        <v>111.77890000000006</v>
      </c>
      <c r="E16" s="120">
        <v>128.9372000000001</v>
      </c>
    </row>
    <row r="17" spans="1:5" ht="15.75" customHeight="1">
      <c r="A17" s="190" t="s">
        <v>154</v>
      </c>
      <c r="B17" s="926">
        <v>1980.7415000000008</v>
      </c>
      <c r="C17" s="120">
        <v>8.2904000000000018</v>
      </c>
      <c r="D17" s="120">
        <v>1.9958</v>
      </c>
      <c r="E17" s="120">
        <v>6.2946000000000009</v>
      </c>
    </row>
    <row r="18" spans="1:5" ht="12" customHeight="1">
      <c r="A18" s="190" t="s">
        <v>155</v>
      </c>
      <c r="B18" s="926">
        <v>5029.6588999998758</v>
      </c>
      <c r="C18" s="120">
        <v>45.653199999999998</v>
      </c>
      <c r="D18" s="120">
        <v>24.722200000000001</v>
      </c>
      <c r="E18" s="120">
        <v>20.931000000000001</v>
      </c>
    </row>
    <row r="19" spans="1:5">
      <c r="A19" s="190" t="s">
        <v>156</v>
      </c>
      <c r="B19" s="926">
        <v>6094.8447999997561</v>
      </c>
      <c r="C19" s="120">
        <v>53.932600000000001</v>
      </c>
      <c r="D19" s="120">
        <v>26.250699999999998</v>
      </c>
      <c r="E19" s="120">
        <v>27.681900000000002</v>
      </c>
    </row>
    <row r="20" spans="1:5">
      <c r="A20" s="189" t="s">
        <v>157</v>
      </c>
      <c r="B20" s="929">
        <f>SUM(B21:B23)</f>
        <v>608623.14910005499</v>
      </c>
      <c r="C20" s="127">
        <f t="shared" ref="C20:E20" si="2">SUM(C21:C23)</f>
        <v>10677.43529999995</v>
      </c>
      <c r="D20" s="127">
        <f t="shared" si="2"/>
        <v>5340.7932999999803</v>
      </c>
      <c r="E20" s="127">
        <f t="shared" si="2"/>
        <v>5336.6419999999689</v>
      </c>
    </row>
    <row r="21" spans="1:5">
      <c r="A21" s="190" t="s">
        <v>157</v>
      </c>
      <c r="B21" s="926">
        <v>352282.74590001535</v>
      </c>
      <c r="C21" s="120">
        <v>5990.8878999999388</v>
      </c>
      <c r="D21" s="120">
        <v>2968.3315999999754</v>
      </c>
      <c r="E21" s="120">
        <v>3022.5562999999634</v>
      </c>
    </row>
    <row r="22" spans="1:5">
      <c r="A22" s="190" t="s">
        <v>158</v>
      </c>
      <c r="B22" s="926">
        <v>105553.13849999523</v>
      </c>
      <c r="C22" s="120">
        <v>1555.3605000000048</v>
      </c>
      <c r="D22" s="120">
        <v>792.1141000000024</v>
      </c>
      <c r="E22" s="120">
        <v>763.24640000000227</v>
      </c>
    </row>
    <row r="23" spans="1:5" ht="14.25" customHeight="1">
      <c r="A23" s="190" t="s">
        <v>159</v>
      </c>
      <c r="B23" s="926">
        <v>150787.26470004438</v>
      </c>
      <c r="C23" s="120">
        <v>3131.1869000000052</v>
      </c>
      <c r="D23" s="120">
        <v>1580.3476000000021</v>
      </c>
      <c r="E23" s="120">
        <v>1550.8393000000028</v>
      </c>
    </row>
    <row r="24" spans="1:5">
      <c r="A24" s="189" t="s">
        <v>160</v>
      </c>
      <c r="B24" s="929">
        <f>SUM(B25)</f>
        <v>652269.52909872704</v>
      </c>
      <c r="C24" s="127">
        <f t="shared" ref="C24:E24" si="3">SUM(C25)</f>
        <v>9745.1660999996984</v>
      </c>
      <c r="D24" s="127">
        <f t="shared" si="3"/>
        <v>4728.9068999998799</v>
      </c>
      <c r="E24" s="127">
        <f t="shared" si="3"/>
        <v>5016.2591999998185</v>
      </c>
    </row>
    <row r="25" spans="1:5">
      <c r="A25" s="190" t="s">
        <v>160</v>
      </c>
      <c r="B25" s="926">
        <v>652269.52909872704</v>
      </c>
      <c r="C25" s="120">
        <f t="shared" ref="C25:C29" si="4">+D25+E25</f>
        <v>9745.1660999996984</v>
      </c>
      <c r="D25" s="120">
        <v>4728.9068999998799</v>
      </c>
      <c r="E25" s="120">
        <v>5016.2591999998185</v>
      </c>
    </row>
    <row r="26" spans="1:5" ht="15" customHeight="1">
      <c r="A26" s="189" t="s">
        <v>161</v>
      </c>
      <c r="B26" s="929">
        <f>SUM(B27)</f>
        <v>23088.891099999786</v>
      </c>
      <c r="C26" s="127">
        <f t="shared" ref="C26:E26" si="5">SUM(C27)</f>
        <v>285.16380000000015</v>
      </c>
      <c r="D26" s="127">
        <f t="shared" si="5"/>
        <v>128.46310000000005</v>
      </c>
      <c r="E26" s="127">
        <f t="shared" si="5"/>
        <v>156.7007000000001</v>
      </c>
    </row>
    <row r="27" spans="1:5" ht="14.25" customHeight="1">
      <c r="A27" s="190" t="s">
        <v>161</v>
      </c>
      <c r="B27" s="926">
        <v>23088.891099999786</v>
      </c>
      <c r="C27" s="120">
        <f t="shared" si="4"/>
        <v>285.16380000000015</v>
      </c>
      <c r="D27" s="120">
        <v>128.46310000000005</v>
      </c>
      <c r="E27" s="120">
        <v>156.7007000000001</v>
      </c>
    </row>
    <row r="28" spans="1:5" ht="16.5" customHeight="1">
      <c r="A28" s="189" t="s">
        <v>162</v>
      </c>
      <c r="B28" s="929">
        <f>SUM(B29)</f>
        <v>35371.509800000895</v>
      </c>
      <c r="C28" s="127">
        <f t="shared" ref="C28:E28" si="6">SUM(C29)</f>
        <v>323.59690000000012</v>
      </c>
      <c r="D28" s="127">
        <f t="shared" si="6"/>
        <v>174.72440000000006</v>
      </c>
      <c r="E28" s="127">
        <f t="shared" si="6"/>
        <v>148.87250000000006</v>
      </c>
    </row>
    <row r="29" spans="1:5" ht="15.75" customHeight="1">
      <c r="A29" s="190" t="s">
        <v>162</v>
      </c>
      <c r="B29" s="926">
        <v>35371.509800000895</v>
      </c>
      <c r="C29" s="120">
        <f t="shared" si="4"/>
        <v>323.59690000000012</v>
      </c>
      <c r="D29" s="120">
        <v>174.72440000000006</v>
      </c>
      <c r="E29" s="120">
        <v>148.87250000000006</v>
      </c>
    </row>
    <row r="30" spans="1:5">
      <c r="A30" s="189" t="s">
        <v>163</v>
      </c>
      <c r="B30" s="929">
        <f>SUM(B31)</f>
        <v>106455.94129998244</v>
      </c>
      <c r="C30" s="127">
        <f t="shared" ref="C30:E30" si="7">SUM(C31)</f>
        <v>1771.8527000000054</v>
      </c>
      <c r="D30" s="127">
        <f t="shared" si="7"/>
        <v>953.95340000000363</v>
      </c>
      <c r="E30" s="127">
        <f t="shared" si="7"/>
        <v>817.89930000000174</v>
      </c>
    </row>
    <row r="31" spans="1:5" ht="12.75" thickBot="1">
      <c r="A31" s="503" t="s">
        <v>163</v>
      </c>
      <c r="B31" s="1400">
        <v>106455.94129998244</v>
      </c>
      <c r="C31" s="504">
        <f>+D31+E31</f>
        <v>1771.8527000000054</v>
      </c>
      <c r="D31" s="504">
        <v>953.95340000000363</v>
      </c>
      <c r="E31" s="504">
        <v>817.89930000000174</v>
      </c>
    </row>
    <row r="47" ht="10.5" customHeight="1"/>
    <row r="48" ht="15.75" customHeight="1"/>
  </sheetData>
  <mergeCells count="4">
    <mergeCell ref="A2:A3"/>
    <mergeCell ref="B2:B3"/>
    <mergeCell ref="C2:E2"/>
    <mergeCell ref="A1:E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9D3C-728A-4F79-BEA2-62DEF18BC5EC}">
  <sheetPr>
    <tabColor theme="0"/>
  </sheetPr>
  <dimension ref="A1:G31"/>
  <sheetViews>
    <sheetView zoomScale="93" zoomScaleNormal="93" workbookViewId="0">
      <selection activeCell="L20" sqref="L20"/>
    </sheetView>
  </sheetViews>
  <sheetFormatPr defaultRowHeight="15"/>
  <cols>
    <col min="1" max="1" width="23.28515625" style="14" customWidth="1"/>
    <col min="2" max="2" width="13.28515625" style="14" customWidth="1"/>
    <col min="3" max="7" width="9.140625" style="17"/>
    <col min="8" max="16384" width="9.140625" style="14"/>
  </cols>
  <sheetData>
    <row r="1" spans="1:7" ht="26.25" customHeight="1" thickBot="1">
      <c r="A1" s="1419" t="s">
        <v>579</v>
      </c>
      <c r="B1" s="1419"/>
      <c r="C1" s="1419"/>
      <c r="D1" s="1419"/>
      <c r="E1" s="1419"/>
      <c r="F1" s="1419"/>
      <c r="G1" s="1419"/>
    </row>
    <row r="2" spans="1:7" ht="16.5" customHeight="1">
      <c r="A2" s="1423" t="s">
        <v>495</v>
      </c>
      <c r="B2" s="1373" t="s">
        <v>173</v>
      </c>
      <c r="C2" s="1405" t="s">
        <v>283</v>
      </c>
      <c r="D2" s="1405"/>
      <c r="E2" s="1405"/>
      <c r="F2" s="1405"/>
      <c r="G2" s="1405"/>
    </row>
    <row r="3" spans="1:7" ht="23.25" customHeight="1">
      <c r="A3" s="1407"/>
      <c r="B3" s="1410"/>
      <c r="C3" s="1366" t="s">
        <v>0</v>
      </c>
      <c r="D3" s="1366" t="s">
        <v>105</v>
      </c>
      <c r="E3" s="1366" t="s">
        <v>284</v>
      </c>
      <c r="F3" s="1366" t="s">
        <v>285</v>
      </c>
      <c r="G3" s="1366" t="s">
        <v>286</v>
      </c>
    </row>
    <row r="4" spans="1:7" ht="16.5" customHeight="1">
      <c r="A4" s="1409" t="s">
        <v>287</v>
      </c>
      <c r="B4" s="1412">
        <v>1523457.302891233</v>
      </c>
      <c r="C4" s="1364">
        <v>24315.228699999851</v>
      </c>
      <c r="D4" s="1364">
        <v>2614.963200000012</v>
      </c>
      <c r="E4" s="1364">
        <v>5407.7499999997735</v>
      </c>
      <c r="F4" s="1364">
        <v>15420.883100000063</v>
      </c>
      <c r="G4" s="1364">
        <v>871.63240000000167</v>
      </c>
    </row>
    <row r="5" spans="1:7" ht="9" customHeight="1">
      <c r="A5" s="1413"/>
      <c r="B5" s="120"/>
      <c r="C5" s="926"/>
      <c r="D5" s="926"/>
      <c r="E5" s="926"/>
      <c r="F5" s="926"/>
      <c r="G5" s="926"/>
    </row>
    <row r="6" spans="1:7" ht="15.75" customHeight="1">
      <c r="A6" s="1409" t="s">
        <v>3</v>
      </c>
      <c r="B6" s="1399"/>
      <c r="C6" s="1418"/>
      <c r="D6" s="1418"/>
      <c r="E6" s="1418"/>
      <c r="F6" s="1418"/>
      <c r="G6" s="1418"/>
    </row>
    <row r="7" spans="1:7">
      <c r="A7" s="1381" t="s">
        <v>4</v>
      </c>
      <c r="B7" s="120">
        <v>1373789.4338926736</v>
      </c>
      <c r="C7" s="926">
        <v>22287.333699999799</v>
      </c>
      <c r="D7" s="926">
        <v>2366.7072000000107</v>
      </c>
      <c r="E7" s="926">
        <v>4975.1299999998582</v>
      </c>
      <c r="F7" s="926">
        <v>14232.60509999993</v>
      </c>
      <c r="G7" s="926">
        <v>712.89139999999998</v>
      </c>
    </row>
    <row r="8" spans="1:7">
      <c r="A8" s="1381" t="s">
        <v>5</v>
      </c>
      <c r="B8" s="120">
        <v>149667.86900003566</v>
      </c>
      <c r="C8" s="926">
        <v>2027.8950000000036</v>
      </c>
      <c r="D8" s="926">
        <v>248.25600000000051</v>
      </c>
      <c r="E8" s="926">
        <v>432.62000000000091</v>
      </c>
      <c r="F8" s="926">
        <v>1188.2780000000023</v>
      </c>
      <c r="G8" s="926">
        <v>158.74100000000007</v>
      </c>
    </row>
    <row r="9" spans="1:7">
      <c r="A9" s="1411" t="s">
        <v>242</v>
      </c>
      <c r="B9" s="1403"/>
      <c r="C9" s="1388"/>
      <c r="D9" s="1388"/>
      <c r="E9" s="1388"/>
      <c r="F9" s="1406"/>
      <c r="G9" s="1403"/>
    </row>
    <row r="10" spans="1:7">
      <c r="A10" s="1397" t="s">
        <v>148</v>
      </c>
      <c r="B10" s="127">
        <f>SUM(B11:B14)</f>
        <v>67172.710099999924</v>
      </c>
      <c r="C10" s="929">
        <f t="shared" ref="C10:G10" si="0">SUM(C11:C14)</f>
        <v>1163.4215999999994</v>
      </c>
      <c r="D10" s="929">
        <f t="shared" si="0"/>
        <v>111.7152</v>
      </c>
      <c r="E10" s="929">
        <f t="shared" si="0"/>
        <v>209.61999999999995</v>
      </c>
      <c r="F10" s="929">
        <f t="shared" si="0"/>
        <v>749.7279999999995</v>
      </c>
      <c r="G10" s="929">
        <f t="shared" si="0"/>
        <v>92.358399999999989</v>
      </c>
    </row>
    <row r="11" spans="1:7">
      <c r="A11" s="1381" t="s">
        <v>148</v>
      </c>
      <c r="B11" s="120">
        <v>23828.017499999733</v>
      </c>
      <c r="C11" s="926">
        <f t="shared" ref="C11:C31" si="1">SUM(D11:G11)</f>
        <v>550.96709999999928</v>
      </c>
      <c r="D11" s="926">
        <v>39.307200000000009</v>
      </c>
      <c r="E11" s="926">
        <v>73.589999999999975</v>
      </c>
      <c r="F11" s="926">
        <v>412.09409999999923</v>
      </c>
      <c r="G11" s="926">
        <v>25.975799999999996</v>
      </c>
    </row>
    <row r="12" spans="1:7">
      <c r="A12" s="1381" t="s">
        <v>149</v>
      </c>
      <c r="B12" s="120">
        <v>24592.758700001028</v>
      </c>
      <c r="C12" s="926">
        <f t="shared" si="1"/>
        <v>275.44400000000007</v>
      </c>
      <c r="D12" s="926">
        <v>24.825599999999998</v>
      </c>
      <c r="E12" s="926">
        <v>73.589999999999975</v>
      </c>
      <c r="F12" s="926">
        <v>142.39400000000012</v>
      </c>
      <c r="G12" s="926">
        <v>34.634399999999992</v>
      </c>
    </row>
    <row r="13" spans="1:7">
      <c r="A13" s="1381" t="s">
        <v>150</v>
      </c>
      <c r="B13" s="120">
        <v>7824.3026999995591</v>
      </c>
      <c r="C13" s="926">
        <f t="shared" si="1"/>
        <v>219.87570000000008</v>
      </c>
      <c r="D13" s="926">
        <v>26.894399999999997</v>
      </c>
      <c r="E13" s="926">
        <v>46.829999999999984</v>
      </c>
      <c r="F13" s="926">
        <v>137.4927000000001</v>
      </c>
      <c r="G13" s="926">
        <v>8.6585999999999999</v>
      </c>
    </row>
    <row r="14" spans="1:7">
      <c r="A14" s="1381" t="s">
        <v>151</v>
      </c>
      <c r="B14" s="120">
        <v>10927.631199999607</v>
      </c>
      <c r="C14" s="926">
        <f t="shared" si="1"/>
        <v>117.13480000000001</v>
      </c>
      <c r="D14" s="926">
        <v>20.687999999999999</v>
      </c>
      <c r="E14" s="926">
        <v>15.610000000000001</v>
      </c>
      <c r="F14" s="926">
        <v>57.747200000000007</v>
      </c>
      <c r="G14" s="926">
        <v>23.089599999999997</v>
      </c>
    </row>
    <row r="15" spans="1:7">
      <c r="A15" s="1414" t="s">
        <v>152</v>
      </c>
      <c r="B15" s="505">
        <v>30475.572400000252</v>
      </c>
      <c r="C15" s="1424">
        <f t="shared" ref="C15:G15" si="2">SUM(C17:C19)</f>
        <v>107.8762</v>
      </c>
      <c r="D15" s="1424">
        <f t="shared" si="2"/>
        <v>18.619199999999999</v>
      </c>
      <c r="E15" s="1424">
        <f t="shared" si="2"/>
        <v>28.990000000000002</v>
      </c>
      <c r="F15" s="1424">
        <f t="shared" si="2"/>
        <v>51.608399999999996</v>
      </c>
      <c r="G15" s="1424">
        <f t="shared" si="2"/>
        <v>8.6585999999999999</v>
      </c>
    </row>
    <row r="16" spans="1:7">
      <c r="A16" s="1381" t="s">
        <v>153</v>
      </c>
      <c r="B16" s="120">
        <v>17370.327199999287</v>
      </c>
      <c r="C16" s="926">
        <f t="shared" si="1"/>
        <v>240.71610000000013</v>
      </c>
      <c r="D16" s="926">
        <v>14.481599999999998</v>
      </c>
      <c r="E16" s="926">
        <v>49.059999999999981</v>
      </c>
      <c r="F16" s="926">
        <v>151.19870000000014</v>
      </c>
      <c r="G16" s="926">
        <v>25.975799999999996</v>
      </c>
    </row>
    <row r="17" spans="1:7">
      <c r="A17" s="1381" t="s">
        <v>154</v>
      </c>
      <c r="B17" s="120">
        <v>1980.7415000000008</v>
      </c>
      <c r="C17" s="926">
        <f t="shared" si="1"/>
        <v>8.2904</v>
      </c>
      <c r="D17" s="926">
        <v>2.0688</v>
      </c>
      <c r="E17" s="926">
        <v>2.23</v>
      </c>
      <c r="F17" s="926">
        <v>3.9916</v>
      </c>
      <c r="G17" s="1426">
        <v>0</v>
      </c>
    </row>
    <row r="18" spans="1:7">
      <c r="A18" s="1381" t="s">
        <v>155</v>
      </c>
      <c r="B18" s="120">
        <v>5029.6588999998758</v>
      </c>
      <c r="C18" s="926">
        <f t="shared" si="1"/>
        <v>45.653199999999998</v>
      </c>
      <c r="D18" s="926">
        <v>12.412799999999999</v>
      </c>
      <c r="E18" s="926">
        <v>13.38</v>
      </c>
      <c r="F18" s="926">
        <v>19.860399999999998</v>
      </c>
      <c r="G18" s="1426">
        <v>0</v>
      </c>
    </row>
    <row r="19" spans="1:7">
      <c r="A19" s="1381" t="s">
        <v>156</v>
      </c>
      <c r="B19" s="120">
        <v>6094.8447999997561</v>
      </c>
      <c r="C19" s="926">
        <f t="shared" si="1"/>
        <v>53.932600000000001</v>
      </c>
      <c r="D19" s="926">
        <v>4.1375999999999999</v>
      </c>
      <c r="E19" s="926">
        <v>13.38</v>
      </c>
      <c r="F19" s="926">
        <v>27.756399999999999</v>
      </c>
      <c r="G19" s="926">
        <v>8.6585999999999999</v>
      </c>
    </row>
    <row r="20" spans="1:7">
      <c r="A20" s="1414" t="s">
        <v>157</v>
      </c>
      <c r="B20" s="505">
        <f>SUM(B21:B23)</f>
        <v>608623.14910005499</v>
      </c>
      <c r="C20" s="1424">
        <f t="shared" ref="C20:G20" si="3">SUM(C21:C23)</f>
        <v>10677.435299999926</v>
      </c>
      <c r="D20" s="1424">
        <f t="shared" si="3"/>
        <v>1106.8080000000032</v>
      </c>
      <c r="E20" s="1424">
        <f t="shared" si="3"/>
        <v>2412.8600000000115</v>
      </c>
      <c r="F20" s="1424">
        <f t="shared" si="3"/>
        <v>6773.9026999999114</v>
      </c>
      <c r="G20" s="1424">
        <f t="shared" si="3"/>
        <v>383.86460000000017</v>
      </c>
    </row>
    <row r="21" spans="1:7">
      <c r="A21" s="1381" t="s">
        <v>157</v>
      </c>
      <c r="B21" s="120">
        <v>352282.74590001535</v>
      </c>
      <c r="C21" s="926">
        <v>5990.8878999999233</v>
      </c>
      <c r="D21" s="926">
        <v>633.05280000000232</v>
      </c>
      <c r="E21" s="926">
        <v>1355.8400000000083</v>
      </c>
      <c r="F21" s="926">
        <v>3753.7818999999126</v>
      </c>
      <c r="G21" s="926">
        <v>248.21320000000014</v>
      </c>
    </row>
    <row r="22" spans="1:7">
      <c r="A22" s="1381" t="s">
        <v>158</v>
      </c>
      <c r="B22" s="120">
        <v>105553.13849999523</v>
      </c>
      <c r="C22" s="926">
        <v>1555.3605000000036</v>
      </c>
      <c r="D22" s="926">
        <v>196.53600000000026</v>
      </c>
      <c r="E22" s="926">
        <v>332.2700000000001</v>
      </c>
      <c r="F22" s="926">
        <v>968.83050000000333</v>
      </c>
      <c r="G22" s="926">
        <v>57.724000000000011</v>
      </c>
    </row>
    <row r="23" spans="1:7">
      <c r="A23" s="1381" t="s">
        <v>159</v>
      </c>
      <c r="B23" s="120">
        <v>150787.26470004438</v>
      </c>
      <c r="C23" s="926">
        <v>3131.1868999999992</v>
      </c>
      <c r="D23" s="926">
        <v>277.21920000000063</v>
      </c>
      <c r="E23" s="926">
        <v>724.7500000000033</v>
      </c>
      <c r="F23" s="926">
        <v>2051.2902999999956</v>
      </c>
      <c r="G23" s="926">
        <v>77.92740000000002</v>
      </c>
    </row>
    <row r="24" spans="1:7">
      <c r="A24" s="1414" t="s">
        <v>160</v>
      </c>
      <c r="B24" s="505">
        <f>SUM(B25)</f>
        <v>652269.52909872704</v>
      </c>
      <c r="C24" s="1424">
        <f t="shared" ref="C24:G24" si="4">SUM(C25)</f>
        <v>9745.1660999996566</v>
      </c>
      <c r="D24" s="1424">
        <f t="shared" si="4"/>
        <v>1067.5008000000043</v>
      </c>
      <c r="E24" s="1424">
        <f t="shared" si="4"/>
        <v>2198.7800000000152</v>
      </c>
      <c r="F24" s="1424">
        <f t="shared" si="4"/>
        <v>6213.3548999996383</v>
      </c>
      <c r="G24" s="1424">
        <f t="shared" si="4"/>
        <v>265.53040000000004</v>
      </c>
    </row>
    <row r="25" spans="1:7">
      <c r="A25" s="1381" t="s">
        <v>160</v>
      </c>
      <c r="B25" s="120">
        <v>652269.52909872704</v>
      </c>
      <c r="C25" s="926">
        <f t="shared" si="1"/>
        <v>9745.1660999996566</v>
      </c>
      <c r="D25" s="926">
        <v>1067.5008000000043</v>
      </c>
      <c r="E25" s="926">
        <v>2198.7800000000152</v>
      </c>
      <c r="F25" s="926">
        <v>6213.3548999996383</v>
      </c>
      <c r="G25" s="926">
        <v>265.53040000000004</v>
      </c>
    </row>
    <row r="26" spans="1:7">
      <c r="A26" s="1414" t="s">
        <v>161</v>
      </c>
      <c r="B26" s="505">
        <f>SUM(B27)</f>
        <v>23088.891099999786</v>
      </c>
      <c r="C26" s="1424">
        <f t="shared" ref="C26:G26" si="5">SUM(C27)</f>
        <v>285.16380000000009</v>
      </c>
      <c r="D26" s="1424">
        <f t="shared" si="5"/>
        <v>47.582400000000021</v>
      </c>
      <c r="E26" s="1424">
        <f t="shared" si="5"/>
        <v>64.669999999999959</v>
      </c>
      <c r="F26" s="1424">
        <f t="shared" si="5"/>
        <v>167.13900000000012</v>
      </c>
      <c r="G26" s="1424">
        <f t="shared" si="5"/>
        <v>5.7724000000000002</v>
      </c>
    </row>
    <row r="27" spans="1:7">
      <c r="A27" s="1381" t="s">
        <v>161</v>
      </c>
      <c r="B27" s="120">
        <v>23088.891099999786</v>
      </c>
      <c r="C27" s="926">
        <f t="shared" si="1"/>
        <v>285.16380000000009</v>
      </c>
      <c r="D27" s="926">
        <v>47.582400000000021</v>
      </c>
      <c r="E27" s="926">
        <v>64.669999999999959</v>
      </c>
      <c r="F27" s="926">
        <v>167.13900000000012</v>
      </c>
      <c r="G27" s="926">
        <v>5.7724000000000002</v>
      </c>
    </row>
    <row r="28" spans="1:7" ht="16.5" customHeight="1">
      <c r="A28" s="1414" t="s">
        <v>162</v>
      </c>
      <c r="B28" s="505">
        <f>SUM(B29)</f>
        <v>35371.509800000895</v>
      </c>
      <c r="C28" s="1424">
        <f t="shared" ref="C28:G28" si="6">SUM(C29)</f>
        <v>323.59690000000023</v>
      </c>
      <c r="D28" s="1424">
        <f t="shared" si="6"/>
        <v>41.376000000000012</v>
      </c>
      <c r="E28" s="1424">
        <f t="shared" si="6"/>
        <v>71.359999999999971</v>
      </c>
      <c r="F28" s="1424">
        <f t="shared" si="6"/>
        <v>199.3161000000002</v>
      </c>
      <c r="G28" s="1424">
        <f t="shared" si="6"/>
        <v>11.5448</v>
      </c>
    </row>
    <row r="29" spans="1:7">
      <c r="A29" s="1381" t="s">
        <v>162</v>
      </c>
      <c r="B29" s="120">
        <v>35371.509800000895</v>
      </c>
      <c r="C29" s="926">
        <f t="shared" si="1"/>
        <v>323.59690000000023</v>
      </c>
      <c r="D29" s="926">
        <v>41.376000000000012</v>
      </c>
      <c r="E29" s="926">
        <v>71.359999999999971</v>
      </c>
      <c r="F29" s="926">
        <v>199.3161000000002</v>
      </c>
      <c r="G29" s="926">
        <v>11.5448</v>
      </c>
    </row>
    <row r="30" spans="1:7">
      <c r="A30" s="1397" t="s">
        <v>163</v>
      </c>
      <c r="B30" s="505">
        <f>SUM(B31)</f>
        <v>106455.94129998244</v>
      </c>
      <c r="C30" s="1424">
        <f t="shared" ref="C30:G30" si="7">SUM(C31)</f>
        <v>1771.852700000004</v>
      </c>
      <c r="D30" s="1424">
        <f t="shared" si="7"/>
        <v>206.88000000000031</v>
      </c>
      <c r="E30" s="1424">
        <f t="shared" si="7"/>
        <v>372.41000000000042</v>
      </c>
      <c r="F30" s="1424">
        <f t="shared" si="7"/>
        <v>1114.6353000000031</v>
      </c>
      <c r="G30" s="1424">
        <f t="shared" si="7"/>
        <v>77.92740000000002</v>
      </c>
    </row>
    <row r="31" spans="1:7" ht="15.75" thickBot="1">
      <c r="A31" s="1379" t="s">
        <v>163</v>
      </c>
      <c r="B31" s="504">
        <v>106455.94129998244</v>
      </c>
      <c r="C31" s="1400">
        <f t="shared" si="1"/>
        <v>1771.852700000004</v>
      </c>
      <c r="D31" s="1400">
        <v>206.88000000000031</v>
      </c>
      <c r="E31" s="1400">
        <v>372.41000000000042</v>
      </c>
      <c r="F31" s="1400">
        <v>1114.6353000000031</v>
      </c>
      <c r="G31" s="1400">
        <v>77.92740000000002</v>
      </c>
    </row>
  </sheetData>
  <mergeCells count="4">
    <mergeCell ref="B2:B3"/>
    <mergeCell ref="C2:G2"/>
    <mergeCell ref="A2:A3"/>
    <mergeCell ref="A1:G1"/>
  </mergeCells>
  <pageMargins left="0.7" right="0.7" top="0.75" bottom="0.75" header="0.3" footer="0.3"/>
  <pageSetup orientation="portrait" r:id="rId1"/>
  <ignoredErrors>
    <ignoredError sqref="B10:G14 B16:G24 B15 D15:G15 B30:G31 B25:B29 D25:G29" formulaRange="1"/>
    <ignoredError sqref="C15 C25:C29" formula="1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2420-D69D-4502-BE66-8BC561ECD277}">
  <sheetPr>
    <tabColor rgb="FF2B3415"/>
  </sheetPr>
  <dimension ref="A1"/>
  <sheetViews>
    <sheetView workbookViewId="0">
      <selection activeCell="M27" sqref="M27"/>
    </sheetView>
  </sheetViews>
  <sheetFormatPr defaultRowHeight="15"/>
  <cols>
    <col min="1" max="16384" width="9.140625" style="66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FB8C-5B3E-47D2-864F-42E316A1A070}">
  <sheetPr>
    <tabColor theme="0"/>
  </sheetPr>
  <dimension ref="A1:N35"/>
  <sheetViews>
    <sheetView workbookViewId="0">
      <selection activeCell="D22" sqref="D22"/>
    </sheetView>
  </sheetViews>
  <sheetFormatPr defaultRowHeight="12"/>
  <cols>
    <col min="1" max="1" width="27.85546875" style="188" customWidth="1"/>
    <col min="2" max="2" width="11.5703125" style="594" customWidth="1"/>
    <col min="3" max="3" width="18.140625" style="594" customWidth="1"/>
    <col min="4" max="4" width="12.42578125" style="594" customWidth="1"/>
    <col min="5" max="5" width="12" style="594" customWidth="1"/>
    <col min="6" max="6" width="12.42578125" style="594" bestFit="1" customWidth="1"/>
    <col min="7" max="7" width="2.85546875" style="188" customWidth="1"/>
    <col min="8" max="8" width="11.5703125" style="594" bestFit="1" customWidth="1"/>
    <col min="9" max="9" width="11.140625" style="188" customWidth="1"/>
    <col min="10" max="10" width="11.28515625" style="188" bestFit="1" customWidth="1"/>
    <col min="11" max="11" width="2.7109375" style="188" customWidth="1"/>
    <col min="12" max="12" width="11.28515625" style="188" customWidth="1"/>
    <col min="13" max="19" width="9.140625" style="188"/>
    <col min="20" max="20" width="15.28515625" style="188" customWidth="1"/>
    <col min="21" max="21" width="9.140625" style="188"/>
    <col min="22" max="24" width="12.7109375" style="188" customWidth="1"/>
    <col min="25" max="16384" width="9.140625" style="188"/>
  </cols>
  <sheetData>
    <row r="1" spans="1:14" ht="15.75" customHeight="1">
      <c r="A1" s="994" t="s">
        <v>499</v>
      </c>
      <c r="B1" s="994"/>
      <c r="C1" s="994"/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</row>
    <row r="2" spans="1:14" ht="12.75" customHeight="1">
      <c r="A2" s="643"/>
      <c r="B2" s="996" t="s">
        <v>496</v>
      </c>
      <c r="C2" s="997" t="s">
        <v>497</v>
      </c>
      <c r="D2" s="993" t="s">
        <v>181</v>
      </c>
      <c r="E2" s="993"/>
      <c r="F2" s="993"/>
      <c r="G2" s="643"/>
      <c r="H2" s="991" t="s">
        <v>182</v>
      </c>
      <c r="I2" s="991"/>
      <c r="J2" s="991"/>
      <c r="K2" s="643"/>
      <c r="L2" s="991" t="s">
        <v>498</v>
      </c>
      <c r="M2" s="991"/>
      <c r="N2" s="991"/>
    </row>
    <row r="3" spans="1:14" ht="8.25" customHeight="1">
      <c r="A3" s="995" t="s">
        <v>495</v>
      </c>
      <c r="B3" s="996"/>
      <c r="C3" s="997"/>
      <c r="D3" s="992"/>
      <c r="E3" s="992"/>
      <c r="F3" s="992"/>
      <c r="G3" s="649"/>
      <c r="H3" s="992"/>
      <c r="I3" s="992"/>
      <c r="J3" s="992"/>
      <c r="K3" s="649"/>
      <c r="L3" s="992"/>
      <c r="M3" s="992"/>
      <c r="N3" s="992"/>
    </row>
    <row r="4" spans="1:14" ht="12.75" customHeight="1">
      <c r="A4" s="995"/>
      <c r="B4" s="996"/>
      <c r="C4" s="997"/>
      <c r="D4" s="651" t="s">
        <v>0</v>
      </c>
      <c r="E4" s="642" t="s">
        <v>1</v>
      </c>
      <c r="F4" s="642" t="s">
        <v>2</v>
      </c>
      <c r="G4" s="509"/>
      <c r="H4" s="614" t="s">
        <v>0</v>
      </c>
      <c r="I4" s="509" t="s">
        <v>1</v>
      </c>
      <c r="J4" s="509" t="s">
        <v>2</v>
      </c>
      <c r="K4" s="509"/>
      <c r="L4" s="77" t="s">
        <v>0</v>
      </c>
      <c r="M4" s="509" t="s">
        <v>1</v>
      </c>
      <c r="N4" s="509" t="s">
        <v>2</v>
      </c>
    </row>
    <row r="5" spans="1:14" s="563" customFormat="1" ht="15" customHeight="1">
      <c r="A5" s="1394" t="s">
        <v>146</v>
      </c>
      <c r="B5" s="1430">
        <v>659504.23899929808</v>
      </c>
      <c r="C5" s="1430">
        <f>+D5+H5+L5</f>
        <v>172220.54160005931</v>
      </c>
      <c r="D5" s="1430">
        <f>+E5+F5</f>
        <v>20563.673599997939</v>
      </c>
      <c r="E5" s="1430">
        <v>9987.6755999990182</v>
      </c>
      <c r="F5" s="1430">
        <v>10575.997999998921</v>
      </c>
      <c r="G5" s="1398"/>
      <c r="H5" s="1430">
        <f>+I5+J5</f>
        <v>140421.39340006176</v>
      </c>
      <c r="I5" s="1398">
        <v>66867.799000035098</v>
      </c>
      <c r="J5" s="1398">
        <v>73553.594400026675</v>
      </c>
      <c r="K5" s="1398"/>
      <c r="L5" s="1398">
        <f>+M5+N5</f>
        <v>11235.474599999621</v>
      </c>
      <c r="M5" s="1398">
        <v>5291.7652999998654</v>
      </c>
      <c r="N5" s="1398">
        <v>5943.7092999997558</v>
      </c>
    </row>
    <row r="6" spans="1:14" ht="15" customHeight="1">
      <c r="A6" s="558"/>
      <c r="B6" s="662"/>
      <c r="C6" s="662"/>
      <c r="D6" s="662"/>
      <c r="E6" s="662"/>
      <c r="F6" s="662"/>
      <c r="G6" s="559"/>
      <c r="H6" s="662"/>
      <c r="I6" s="559"/>
      <c r="J6" s="559"/>
      <c r="K6" s="559"/>
      <c r="L6" s="559"/>
      <c r="M6" s="559"/>
      <c r="N6" s="559"/>
    </row>
    <row r="7" spans="1:14" ht="15" customHeight="1">
      <c r="A7" s="644" t="s">
        <v>3</v>
      </c>
      <c r="B7" s="658"/>
      <c r="C7" s="658"/>
      <c r="D7" s="658"/>
      <c r="E7" s="658"/>
      <c r="F7" s="658"/>
      <c r="G7" s="557"/>
      <c r="H7" s="658"/>
      <c r="I7" s="557"/>
      <c r="J7" s="557"/>
      <c r="K7" s="557"/>
      <c r="L7" s="557"/>
      <c r="M7" s="557"/>
      <c r="N7" s="557"/>
    </row>
    <row r="8" spans="1:14" ht="15" customHeight="1">
      <c r="A8" s="558" t="s">
        <v>4</v>
      </c>
      <c r="B8" s="662">
        <v>599000.90369945834</v>
      </c>
      <c r="C8" s="662">
        <f t="shared" ref="C8:C32" si="0">+D8+H8+L8</f>
        <v>153704.08590006438</v>
      </c>
      <c r="D8" s="662">
        <f t="shared" ref="D8:D32" si="1">+E8+F8</f>
        <v>17805.920499998465</v>
      </c>
      <c r="E8" s="662">
        <v>8445.5171999993163</v>
      </c>
      <c r="F8" s="662">
        <v>9360.4032999991487</v>
      </c>
      <c r="G8" s="559"/>
      <c r="H8" s="662">
        <f t="shared" ref="H8:H32" si="2">+I8+J8</f>
        <v>126394.80530006601</v>
      </c>
      <c r="I8" s="559">
        <v>59592.713300029871</v>
      </c>
      <c r="J8" s="559">
        <v>66802.092000036137</v>
      </c>
      <c r="K8" s="559"/>
      <c r="L8" s="559">
        <f t="shared" ref="L8:L32" si="3">+M8+N8</f>
        <v>9503.3600999999089</v>
      </c>
      <c r="M8" s="559">
        <v>4329.8863000000229</v>
      </c>
      <c r="N8" s="559">
        <v>5173.4737999998861</v>
      </c>
    </row>
    <row r="9" spans="1:14" ht="15" customHeight="1">
      <c r="A9" s="558" t="s">
        <v>5</v>
      </c>
      <c r="B9" s="662">
        <v>60503.335300029081</v>
      </c>
      <c r="C9" s="662">
        <f t="shared" si="0"/>
        <v>18516.455699999326</v>
      </c>
      <c r="D9" s="662">
        <f t="shared" si="1"/>
        <v>2757.7531000000058</v>
      </c>
      <c r="E9" s="662">
        <v>1542.1584000000025</v>
      </c>
      <c r="F9" s="662">
        <v>1215.5947000000033</v>
      </c>
      <c r="G9" s="559"/>
      <c r="H9" s="662">
        <f t="shared" si="2"/>
        <v>14026.588099999313</v>
      </c>
      <c r="I9" s="559">
        <v>7275.0856999996249</v>
      </c>
      <c r="J9" s="559">
        <v>6751.5023999996893</v>
      </c>
      <c r="K9" s="559"/>
      <c r="L9" s="559">
        <f t="shared" si="3"/>
        <v>1732.1145000000079</v>
      </c>
      <c r="M9" s="559">
        <v>961.87900000000502</v>
      </c>
      <c r="N9" s="559">
        <v>770.23550000000273</v>
      </c>
    </row>
    <row r="10" spans="1:14" ht="15" customHeight="1">
      <c r="A10" s="644" t="s">
        <v>172</v>
      </c>
      <c r="B10" s="657"/>
      <c r="C10" s="657"/>
      <c r="D10" s="657"/>
      <c r="E10" s="657"/>
      <c r="F10" s="657"/>
      <c r="G10" s="560"/>
      <c r="H10" s="657"/>
      <c r="I10" s="560"/>
      <c r="J10" s="560"/>
      <c r="K10" s="560"/>
      <c r="L10" s="560"/>
      <c r="M10" s="560"/>
      <c r="N10" s="560"/>
    </row>
    <row r="11" spans="1:14" s="563" customFormat="1" ht="15" customHeight="1">
      <c r="A11" s="561" t="s">
        <v>148</v>
      </c>
      <c r="B11" s="654">
        <f>+B12+B13+B14+B15</f>
        <v>25291.897999998597</v>
      </c>
      <c r="C11" s="654">
        <f t="shared" si="0"/>
        <v>7875.1817000000219</v>
      </c>
      <c r="D11" s="654">
        <f t="shared" si="1"/>
        <v>1161.1518000000001</v>
      </c>
      <c r="E11" s="654">
        <f t="shared" ref="E11:N11" si="4">+E12+E13+E14+E15</f>
        <v>619.22060000000022</v>
      </c>
      <c r="F11" s="654">
        <f t="shared" si="4"/>
        <v>541.93119999999999</v>
      </c>
      <c r="G11" s="562"/>
      <c r="H11" s="654">
        <f t="shared" si="2"/>
        <v>5968.8795000000227</v>
      </c>
      <c r="I11" s="562">
        <f t="shared" si="4"/>
        <v>3043.1398000000108</v>
      </c>
      <c r="J11" s="562">
        <f t="shared" si="4"/>
        <v>2925.7397000000119</v>
      </c>
      <c r="K11" s="562"/>
      <c r="L11" s="562">
        <f t="shared" si="3"/>
        <v>745.15039999999988</v>
      </c>
      <c r="M11" s="562">
        <f t="shared" si="4"/>
        <v>384.20629999999989</v>
      </c>
      <c r="N11" s="562">
        <f t="shared" si="4"/>
        <v>360.94409999999999</v>
      </c>
    </row>
    <row r="12" spans="1:14" ht="15" customHeight="1">
      <c r="A12" s="564" t="s">
        <v>148</v>
      </c>
      <c r="B12" s="662">
        <v>9454.7226999991799</v>
      </c>
      <c r="C12" s="662">
        <f t="shared" si="0"/>
        <v>2645.6943000000106</v>
      </c>
      <c r="D12" s="662">
        <f t="shared" si="1"/>
        <v>308.27440000000001</v>
      </c>
      <c r="E12" s="662">
        <v>148.94000000000003</v>
      </c>
      <c r="F12" s="662">
        <v>159.33439999999999</v>
      </c>
      <c r="G12" s="559"/>
      <c r="H12" s="662">
        <f t="shared" si="2"/>
        <v>2136.1512000000102</v>
      </c>
      <c r="I12" s="559">
        <v>1072.9915000000051</v>
      </c>
      <c r="J12" s="559">
        <v>1063.1597000000052</v>
      </c>
      <c r="K12" s="559"/>
      <c r="L12" s="559">
        <f t="shared" si="3"/>
        <v>201.26870000000005</v>
      </c>
      <c r="M12" s="559">
        <v>91.876800000000017</v>
      </c>
      <c r="N12" s="559">
        <v>109.39190000000004</v>
      </c>
    </row>
    <row r="13" spans="1:14" ht="15" customHeight="1">
      <c r="A13" s="564" t="s">
        <v>149</v>
      </c>
      <c r="B13" s="662">
        <v>8856.4099999993687</v>
      </c>
      <c r="C13" s="662">
        <f t="shared" si="0"/>
        <v>2989.2288000000108</v>
      </c>
      <c r="D13" s="662">
        <f t="shared" si="1"/>
        <v>505.10420000000011</v>
      </c>
      <c r="E13" s="662">
        <v>290.16490000000016</v>
      </c>
      <c r="F13" s="662">
        <v>214.93929999999995</v>
      </c>
      <c r="G13" s="559"/>
      <c r="H13" s="662">
        <f t="shared" si="2"/>
        <v>2144.0247000000109</v>
      </c>
      <c r="I13" s="559">
        <v>1119.134200000005</v>
      </c>
      <c r="J13" s="559">
        <v>1024.8905000000057</v>
      </c>
      <c r="K13" s="559"/>
      <c r="L13" s="559">
        <f t="shared" si="3"/>
        <v>340.09989999999993</v>
      </c>
      <c r="M13" s="559">
        <v>192.5627999999999</v>
      </c>
      <c r="N13" s="559">
        <v>147.53710000000001</v>
      </c>
    </row>
    <row r="14" spans="1:14" ht="15" customHeight="1">
      <c r="A14" s="564" t="s">
        <v>150</v>
      </c>
      <c r="B14" s="662">
        <v>2821.231000000017</v>
      </c>
      <c r="C14" s="662">
        <f t="shared" si="0"/>
        <v>888.74540000000036</v>
      </c>
      <c r="D14" s="662">
        <f t="shared" si="1"/>
        <v>148.39599999999999</v>
      </c>
      <c r="E14" s="662">
        <v>89.860900000000015</v>
      </c>
      <c r="F14" s="662">
        <v>58.535099999999971</v>
      </c>
      <c r="G14" s="559"/>
      <c r="H14" s="662">
        <f t="shared" si="2"/>
        <v>646.67580000000044</v>
      </c>
      <c r="I14" s="559">
        <v>340.19640000000027</v>
      </c>
      <c r="J14" s="559">
        <v>306.47940000000023</v>
      </c>
      <c r="K14" s="559"/>
      <c r="L14" s="559">
        <f t="shared" si="3"/>
        <v>93.673599999999965</v>
      </c>
      <c r="M14" s="559">
        <v>52.545299999999976</v>
      </c>
      <c r="N14" s="559">
        <v>41.128299999999989</v>
      </c>
    </row>
    <row r="15" spans="1:14" ht="15" customHeight="1">
      <c r="A15" s="564" t="s">
        <v>151</v>
      </c>
      <c r="B15" s="662">
        <v>4159.5343000000339</v>
      </c>
      <c r="C15" s="662">
        <f t="shared" si="0"/>
        <v>1351.5132000000017</v>
      </c>
      <c r="D15" s="662">
        <f t="shared" si="1"/>
        <v>199.37720000000004</v>
      </c>
      <c r="E15" s="662">
        <v>90.254800000000017</v>
      </c>
      <c r="F15" s="662">
        <v>109.12240000000003</v>
      </c>
      <c r="G15" s="559"/>
      <c r="H15" s="662">
        <f t="shared" si="2"/>
        <v>1042.0278000000017</v>
      </c>
      <c r="I15" s="559">
        <v>510.81770000000068</v>
      </c>
      <c r="J15" s="559">
        <v>531.21010000000103</v>
      </c>
      <c r="K15" s="559"/>
      <c r="L15" s="559">
        <f t="shared" si="3"/>
        <v>110.10819999999995</v>
      </c>
      <c r="M15" s="559">
        <v>47.221399999999981</v>
      </c>
      <c r="N15" s="559">
        <v>62.886799999999972</v>
      </c>
    </row>
    <row r="16" spans="1:14" s="563" customFormat="1" ht="15" customHeight="1">
      <c r="A16" s="561" t="s">
        <v>152</v>
      </c>
      <c r="B16" s="654">
        <f>+B17+B18+B19+B20</f>
        <v>13808.021499999675</v>
      </c>
      <c r="C16" s="654">
        <f t="shared" si="0"/>
        <v>5463.4358000000111</v>
      </c>
      <c r="D16" s="654">
        <f t="shared" si="1"/>
        <v>828.54039999999964</v>
      </c>
      <c r="E16" s="654">
        <f t="shared" ref="E16:N16" si="5">+E17+E18+E19+E20</f>
        <v>463.20779999999991</v>
      </c>
      <c r="F16" s="654">
        <f t="shared" si="5"/>
        <v>365.33259999999979</v>
      </c>
      <c r="G16" s="562"/>
      <c r="H16" s="654">
        <f t="shared" si="2"/>
        <v>4022.4831000000117</v>
      </c>
      <c r="I16" s="562">
        <f t="shared" si="5"/>
        <v>2079.5720000000056</v>
      </c>
      <c r="J16" s="562">
        <f t="shared" si="5"/>
        <v>1942.9111000000062</v>
      </c>
      <c r="K16" s="562"/>
      <c r="L16" s="562">
        <f t="shared" si="3"/>
        <v>612.41230000000007</v>
      </c>
      <c r="M16" s="562">
        <f t="shared" si="5"/>
        <v>343.58270000000005</v>
      </c>
      <c r="N16" s="562">
        <f t="shared" si="5"/>
        <v>268.82960000000003</v>
      </c>
    </row>
    <row r="17" spans="1:14" ht="15" customHeight="1">
      <c r="A17" s="564" t="s">
        <v>153</v>
      </c>
      <c r="B17" s="662">
        <v>7244.9489999996367</v>
      </c>
      <c r="C17" s="662">
        <f t="shared" si="0"/>
        <v>3192.7032000000095</v>
      </c>
      <c r="D17" s="662">
        <f t="shared" si="1"/>
        <v>466.94149999999968</v>
      </c>
      <c r="E17" s="662">
        <v>249.95699999999988</v>
      </c>
      <c r="F17" s="662">
        <v>216.9844999999998</v>
      </c>
      <c r="G17" s="559"/>
      <c r="H17" s="662">
        <f t="shared" si="2"/>
        <v>2414.1782000000098</v>
      </c>
      <c r="I17" s="559">
        <v>1223.3037000000047</v>
      </c>
      <c r="J17" s="559">
        <v>1190.8745000000051</v>
      </c>
      <c r="K17" s="559"/>
      <c r="L17" s="559">
        <f t="shared" si="3"/>
        <v>311.58350000000007</v>
      </c>
      <c r="M17" s="559">
        <v>171.62390000000002</v>
      </c>
      <c r="N17" s="559">
        <v>139.95960000000005</v>
      </c>
    </row>
    <row r="18" spans="1:14" ht="15" customHeight="1">
      <c r="A18" s="564" t="s">
        <v>154</v>
      </c>
      <c r="B18" s="662">
        <v>944.42640000000426</v>
      </c>
      <c r="C18" s="662">
        <f t="shared" si="0"/>
        <v>337.48030000000006</v>
      </c>
      <c r="D18" s="662">
        <f t="shared" si="1"/>
        <v>56.360500000000002</v>
      </c>
      <c r="E18" s="662">
        <v>36.829499999999996</v>
      </c>
      <c r="F18" s="662">
        <v>19.531000000000002</v>
      </c>
      <c r="G18" s="559"/>
      <c r="H18" s="662">
        <f t="shared" si="2"/>
        <v>235.74809999999999</v>
      </c>
      <c r="I18" s="559">
        <v>114.25829999999999</v>
      </c>
      <c r="J18" s="559">
        <v>121.4898</v>
      </c>
      <c r="K18" s="559"/>
      <c r="L18" s="559">
        <f t="shared" si="3"/>
        <v>45.371700000000004</v>
      </c>
      <c r="M18" s="559">
        <v>28.070700000000002</v>
      </c>
      <c r="N18" s="559">
        <v>17.301000000000002</v>
      </c>
    </row>
    <row r="19" spans="1:14" ht="15" customHeight="1">
      <c r="A19" s="564" t="s">
        <v>155</v>
      </c>
      <c r="B19" s="662">
        <v>2600.5167000000142</v>
      </c>
      <c r="C19" s="662">
        <f t="shared" si="0"/>
        <v>1206.5878000000016</v>
      </c>
      <c r="D19" s="662">
        <f t="shared" si="1"/>
        <v>216.12810000000002</v>
      </c>
      <c r="E19" s="662">
        <v>133.16880000000003</v>
      </c>
      <c r="F19" s="662">
        <v>82.959299999999985</v>
      </c>
      <c r="G19" s="559"/>
      <c r="H19" s="662">
        <f t="shared" si="2"/>
        <v>802.40480000000161</v>
      </c>
      <c r="I19" s="559">
        <v>428.50820000000078</v>
      </c>
      <c r="J19" s="559">
        <v>373.89660000000083</v>
      </c>
      <c r="K19" s="559"/>
      <c r="L19" s="559">
        <f t="shared" si="3"/>
        <v>188.05489999999998</v>
      </c>
      <c r="M19" s="559">
        <v>113.58490000000002</v>
      </c>
      <c r="N19" s="559">
        <v>74.46999999999997</v>
      </c>
    </row>
    <row r="20" spans="1:14" ht="15" customHeight="1">
      <c r="A20" s="564" t="s">
        <v>156</v>
      </c>
      <c r="B20" s="662">
        <v>3018.1294000000194</v>
      </c>
      <c r="C20" s="662">
        <f t="shared" si="0"/>
        <v>726.66450000000009</v>
      </c>
      <c r="D20" s="662">
        <f t="shared" si="1"/>
        <v>89.110299999999995</v>
      </c>
      <c r="E20" s="662">
        <v>43.252499999999998</v>
      </c>
      <c r="F20" s="662">
        <v>45.857799999999997</v>
      </c>
      <c r="G20" s="559"/>
      <c r="H20" s="662">
        <f t="shared" si="2"/>
        <v>570.15200000000004</v>
      </c>
      <c r="I20" s="559">
        <v>313.50180000000006</v>
      </c>
      <c r="J20" s="559">
        <v>256.65019999999993</v>
      </c>
      <c r="K20" s="559"/>
      <c r="L20" s="559">
        <f t="shared" si="3"/>
        <v>67.402199999999993</v>
      </c>
      <c r="M20" s="559">
        <v>30.3032</v>
      </c>
      <c r="N20" s="559">
        <v>37.098999999999997</v>
      </c>
    </row>
    <row r="21" spans="1:14" s="563" customFormat="1" ht="15" customHeight="1">
      <c r="A21" s="565" t="s">
        <v>157</v>
      </c>
      <c r="B21" s="654">
        <f>+B22+B23+B24</f>
        <v>268187.55610005395</v>
      </c>
      <c r="C21" s="654">
        <f t="shared" si="0"/>
        <v>64705.44759999519</v>
      </c>
      <c r="D21" s="654">
        <f t="shared" si="1"/>
        <v>8302.2464000000291</v>
      </c>
      <c r="E21" s="654">
        <f t="shared" ref="E21:N21" si="6">+E22+E23+E24</f>
        <v>3981.2848000000131</v>
      </c>
      <c r="F21" s="654">
        <f t="shared" si="6"/>
        <v>4320.9616000000169</v>
      </c>
      <c r="G21" s="562"/>
      <c r="H21" s="654">
        <f t="shared" si="2"/>
        <v>52065.49469999515</v>
      </c>
      <c r="I21" s="562">
        <f t="shared" si="6"/>
        <v>24671.061499997875</v>
      </c>
      <c r="J21" s="562">
        <f t="shared" si="6"/>
        <v>27394.433199997278</v>
      </c>
      <c r="K21" s="562"/>
      <c r="L21" s="562">
        <f t="shared" si="3"/>
        <v>4337.7065000000102</v>
      </c>
      <c r="M21" s="562">
        <f t="shared" si="6"/>
        <v>1999.0315000000055</v>
      </c>
      <c r="N21" s="562">
        <f t="shared" si="6"/>
        <v>2338.6750000000047</v>
      </c>
    </row>
    <row r="22" spans="1:14" ht="15" customHeight="1">
      <c r="A22" s="564" t="s">
        <v>157</v>
      </c>
      <c r="B22" s="662">
        <v>156153.18120000523</v>
      </c>
      <c r="C22" s="662">
        <f t="shared" si="0"/>
        <v>35932.416899995929</v>
      </c>
      <c r="D22" s="662">
        <f t="shared" si="1"/>
        <v>4731.3656000000137</v>
      </c>
      <c r="E22" s="662">
        <v>2283.7845000000052</v>
      </c>
      <c r="F22" s="662">
        <v>2447.5811000000085</v>
      </c>
      <c r="G22" s="559"/>
      <c r="H22" s="662">
        <f t="shared" si="2"/>
        <v>28889.816499995912</v>
      </c>
      <c r="I22" s="559">
        <v>13378.690499998211</v>
      </c>
      <c r="J22" s="559">
        <v>15511.125999997701</v>
      </c>
      <c r="K22" s="559"/>
      <c r="L22" s="559">
        <f t="shared" si="3"/>
        <v>2311.2348000000075</v>
      </c>
      <c r="M22" s="559">
        <v>1071.9057000000048</v>
      </c>
      <c r="N22" s="559">
        <v>1239.3291000000029</v>
      </c>
    </row>
    <row r="23" spans="1:14" ht="15" customHeight="1">
      <c r="A23" s="564" t="s">
        <v>158</v>
      </c>
      <c r="B23" s="662">
        <v>46159.828800012401</v>
      </c>
      <c r="C23" s="662">
        <f t="shared" si="0"/>
        <v>12843.31189999983</v>
      </c>
      <c r="D23" s="662">
        <f t="shared" si="1"/>
        <v>1672.6622000000064</v>
      </c>
      <c r="E23" s="662">
        <v>811.90420000000336</v>
      </c>
      <c r="F23" s="662">
        <v>860.75800000000299</v>
      </c>
      <c r="G23" s="559"/>
      <c r="H23" s="662">
        <f t="shared" si="2"/>
        <v>10206.521399999821</v>
      </c>
      <c r="I23" s="559">
        <v>4943.6129999999293</v>
      </c>
      <c r="J23" s="559">
        <v>5262.908399999892</v>
      </c>
      <c r="K23" s="559"/>
      <c r="L23" s="559">
        <f t="shared" si="3"/>
        <v>964.12830000000122</v>
      </c>
      <c r="M23" s="559">
        <v>446.24420000000055</v>
      </c>
      <c r="N23" s="559">
        <v>517.88410000000067</v>
      </c>
    </row>
    <row r="24" spans="1:14" ht="15" customHeight="1">
      <c r="A24" s="564" t="s">
        <v>159</v>
      </c>
      <c r="B24" s="662">
        <v>65874.546100036299</v>
      </c>
      <c r="C24" s="662">
        <f t="shared" si="0"/>
        <v>15929.718799999433</v>
      </c>
      <c r="D24" s="662">
        <f t="shared" si="1"/>
        <v>1898.2186000000097</v>
      </c>
      <c r="E24" s="662">
        <v>885.59610000000407</v>
      </c>
      <c r="F24" s="662">
        <v>1012.6225000000055</v>
      </c>
      <c r="G24" s="559"/>
      <c r="H24" s="662">
        <f t="shared" si="2"/>
        <v>12969.156799999422</v>
      </c>
      <c r="I24" s="559">
        <v>6348.7579999997351</v>
      </c>
      <c r="J24" s="559">
        <v>6620.3987999996871</v>
      </c>
      <c r="K24" s="559"/>
      <c r="L24" s="559">
        <f t="shared" si="3"/>
        <v>1062.3434000000011</v>
      </c>
      <c r="M24" s="559">
        <v>480.88160000000005</v>
      </c>
      <c r="N24" s="559">
        <v>581.46180000000095</v>
      </c>
    </row>
    <row r="25" spans="1:14" s="563" customFormat="1" ht="15" customHeight="1">
      <c r="A25" s="565" t="s">
        <v>160</v>
      </c>
      <c r="B25" s="654">
        <v>283886.99570025282</v>
      </c>
      <c r="C25" s="654">
        <f t="shared" si="0"/>
        <v>74897.888699995077</v>
      </c>
      <c r="D25" s="654">
        <f t="shared" si="1"/>
        <v>7669.5937000000968</v>
      </c>
      <c r="E25" s="654">
        <v>3633.1371000000399</v>
      </c>
      <c r="F25" s="654">
        <v>4036.4566000000568</v>
      </c>
      <c r="G25" s="562"/>
      <c r="H25" s="654">
        <f t="shared" si="2"/>
        <v>63276.350299994985</v>
      </c>
      <c r="I25" s="562">
        <v>29488.256599997098</v>
      </c>
      <c r="J25" s="562">
        <v>33788.093699997888</v>
      </c>
      <c r="K25" s="562"/>
      <c r="L25" s="562">
        <f t="shared" si="3"/>
        <v>3951.9446999999982</v>
      </c>
      <c r="M25" s="562">
        <v>1772.2480999999987</v>
      </c>
      <c r="N25" s="562">
        <v>2179.6965999999998</v>
      </c>
    </row>
    <row r="26" spans="1:14" ht="15" customHeight="1">
      <c r="A26" s="564" t="s">
        <v>160</v>
      </c>
      <c r="B26" s="662">
        <v>283886.99570025282</v>
      </c>
      <c r="C26" s="662">
        <f t="shared" si="0"/>
        <v>74897.888699995077</v>
      </c>
      <c r="D26" s="662">
        <f t="shared" si="1"/>
        <v>7669.5937000000968</v>
      </c>
      <c r="E26" s="662">
        <v>3633.1371000000399</v>
      </c>
      <c r="F26" s="662">
        <v>4036.4566000000568</v>
      </c>
      <c r="G26" s="559"/>
      <c r="H26" s="662">
        <f t="shared" si="2"/>
        <v>63276.350299994985</v>
      </c>
      <c r="I26" s="559">
        <v>29488.256599997098</v>
      </c>
      <c r="J26" s="559">
        <v>33788.093699997888</v>
      </c>
      <c r="K26" s="559"/>
      <c r="L26" s="559">
        <f t="shared" si="3"/>
        <v>3951.9446999999982</v>
      </c>
      <c r="M26" s="559">
        <v>1772.2480999999987</v>
      </c>
      <c r="N26" s="559">
        <v>2179.6965999999998</v>
      </c>
    </row>
    <row r="27" spans="1:14" s="563" customFormat="1" ht="15" customHeight="1">
      <c r="A27" s="565" t="s">
        <v>161</v>
      </c>
      <c r="B27" s="654">
        <v>10609.925799998795</v>
      </c>
      <c r="C27" s="654">
        <f t="shared" si="0"/>
        <v>3352.5530000000103</v>
      </c>
      <c r="D27" s="654">
        <f t="shared" si="1"/>
        <v>392.21949999999993</v>
      </c>
      <c r="E27" s="654">
        <v>202.47609999999997</v>
      </c>
      <c r="F27" s="654">
        <v>189.74339999999995</v>
      </c>
      <c r="G27" s="562"/>
      <c r="H27" s="654">
        <f t="shared" si="2"/>
        <v>2716.6812000000104</v>
      </c>
      <c r="I27" s="562">
        <v>1352.2391000000052</v>
      </c>
      <c r="J27" s="562">
        <v>1364.4421000000052</v>
      </c>
      <c r="K27" s="562"/>
      <c r="L27" s="562">
        <f t="shared" si="3"/>
        <v>243.65230000000008</v>
      </c>
      <c r="M27" s="562">
        <v>115.00140000000006</v>
      </c>
      <c r="N27" s="562">
        <v>128.65090000000004</v>
      </c>
    </row>
    <row r="28" spans="1:14" ht="15" customHeight="1">
      <c r="A28" s="564" t="s">
        <v>161</v>
      </c>
      <c r="B28" s="662">
        <v>10609.925799998795</v>
      </c>
      <c r="C28" s="662">
        <f t="shared" si="0"/>
        <v>3352.5530000000103</v>
      </c>
      <c r="D28" s="662">
        <f t="shared" si="1"/>
        <v>392.21949999999993</v>
      </c>
      <c r="E28" s="662">
        <v>202.47609999999997</v>
      </c>
      <c r="F28" s="662">
        <v>189.74339999999995</v>
      </c>
      <c r="G28" s="559"/>
      <c r="H28" s="662">
        <f t="shared" si="2"/>
        <v>2716.6812000000104</v>
      </c>
      <c r="I28" s="559">
        <v>1352.2391000000052</v>
      </c>
      <c r="J28" s="559">
        <v>1364.4421000000052</v>
      </c>
      <c r="K28" s="559"/>
      <c r="L28" s="559">
        <f t="shared" si="3"/>
        <v>243.65230000000008</v>
      </c>
      <c r="M28" s="559">
        <v>115.00140000000006</v>
      </c>
      <c r="N28" s="559">
        <v>128.65090000000004</v>
      </c>
    </row>
    <row r="29" spans="1:14" s="563" customFormat="1" ht="15" customHeight="1">
      <c r="A29" s="565" t="s">
        <v>162</v>
      </c>
      <c r="B29" s="654">
        <v>15517.079599997645</v>
      </c>
      <c r="C29" s="654">
        <f t="shared" si="0"/>
        <v>4643.0659000000069</v>
      </c>
      <c r="D29" s="654">
        <f t="shared" si="1"/>
        <v>713.48610000000031</v>
      </c>
      <c r="E29" s="654">
        <v>344.94270000000012</v>
      </c>
      <c r="F29" s="654">
        <v>368.54340000000019</v>
      </c>
      <c r="G29" s="562"/>
      <c r="H29" s="654">
        <f t="shared" si="2"/>
        <v>3506.4752000000067</v>
      </c>
      <c r="I29" s="562">
        <v>1708.4712000000031</v>
      </c>
      <c r="J29" s="562">
        <v>1798.0040000000035</v>
      </c>
      <c r="K29" s="562"/>
      <c r="L29" s="562">
        <f t="shared" si="3"/>
        <v>423.10459999999978</v>
      </c>
      <c r="M29" s="562">
        <v>203.01509999999993</v>
      </c>
      <c r="N29" s="562">
        <v>220.08949999999984</v>
      </c>
    </row>
    <row r="30" spans="1:14" ht="15" customHeight="1">
      <c r="A30" s="564" t="s">
        <v>162</v>
      </c>
      <c r="B30" s="662">
        <v>15517.079599997645</v>
      </c>
      <c r="C30" s="662">
        <f t="shared" si="0"/>
        <v>4643.0659000000069</v>
      </c>
      <c r="D30" s="662">
        <f t="shared" si="1"/>
        <v>713.48610000000031</v>
      </c>
      <c r="E30" s="662">
        <v>344.94270000000012</v>
      </c>
      <c r="F30" s="662">
        <v>368.54340000000019</v>
      </c>
      <c r="G30" s="559"/>
      <c r="H30" s="662">
        <f t="shared" si="2"/>
        <v>3506.4752000000067</v>
      </c>
      <c r="I30" s="559">
        <v>1708.4712000000031</v>
      </c>
      <c r="J30" s="559">
        <v>1798.0040000000035</v>
      </c>
      <c r="K30" s="559"/>
      <c r="L30" s="559">
        <f t="shared" si="3"/>
        <v>423.10459999999978</v>
      </c>
      <c r="M30" s="559">
        <v>203.01509999999993</v>
      </c>
      <c r="N30" s="559">
        <v>220.08949999999984</v>
      </c>
    </row>
    <row r="31" spans="1:14" s="563" customFormat="1" ht="15" customHeight="1">
      <c r="A31" s="565" t="s">
        <v>163</v>
      </c>
      <c r="B31" s="654">
        <v>42202.762300007962</v>
      </c>
      <c r="C31" s="654">
        <f t="shared" si="0"/>
        <v>11282.968899999993</v>
      </c>
      <c r="D31" s="654">
        <f t="shared" si="1"/>
        <v>1496.435700000005</v>
      </c>
      <c r="E31" s="654">
        <v>743.40650000000244</v>
      </c>
      <c r="F31" s="654">
        <v>753.02920000000267</v>
      </c>
      <c r="G31" s="562"/>
      <c r="H31" s="654">
        <f t="shared" si="2"/>
        <v>8865.0293999999867</v>
      </c>
      <c r="I31" s="562">
        <v>4525.0587999999771</v>
      </c>
      <c r="J31" s="562">
        <v>4339.9706000000097</v>
      </c>
      <c r="K31" s="562"/>
      <c r="L31" s="562">
        <f t="shared" si="3"/>
        <v>921.50380000000041</v>
      </c>
      <c r="M31" s="562">
        <v>474.6802000000003</v>
      </c>
      <c r="N31" s="562">
        <v>446.82360000000017</v>
      </c>
    </row>
    <row r="32" spans="1:14" ht="15" customHeight="1">
      <c r="A32" s="566" t="s">
        <v>163</v>
      </c>
      <c r="B32" s="647">
        <v>42202.762300007962</v>
      </c>
      <c r="C32" s="647">
        <f t="shared" si="0"/>
        <v>11282.968899999993</v>
      </c>
      <c r="D32" s="647">
        <f t="shared" si="1"/>
        <v>1496.435700000005</v>
      </c>
      <c r="E32" s="647">
        <v>743.40650000000244</v>
      </c>
      <c r="F32" s="647">
        <v>753.02920000000267</v>
      </c>
      <c r="G32" s="567"/>
      <c r="H32" s="647">
        <f t="shared" si="2"/>
        <v>8865.0293999999867</v>
      </c>
      <c r="I32" s="567">
        <v>4525.0587999999771</v>
      </c>
      <c r="J32" s="567">
        <v>4339.9706000000097</v>
      </c>
      <c r="K32" s="567"/>
      <c r="L32" s="567">
        <f t="shared" si="3"/>
        <v>921.50380000000041</v>
      </c>
      <c r="M32" s="567">
        <v>474.6802000000003</v>
      </c>
      <c r="N32" s="567">
        <v>446.82360000000017</v>
      </c>
    </row>
    <row r="33" ht="15" customHeight="1"/>
    <row r="34" ht="15" customHeight="1"/>
    <row r="35" ht="15" customHeight="1"/>
  </sheetData>
  <mergeCells count="7">
    <mergeCell ref="H2:J3"/>
    <mergeCell ref="L2:N3"/>
    <mergeCell ref="D2:F3"/>
    <mergeCell ref="A3:A4"/>
    <mergeCell ref="B2:B4"/>
    <mergeCell ref="C2:C4"/>
    <mergeCell ref="A1:N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0E97-5734-49A4-9F50-A85E50CF8C62}">
  <sheetPr>
    <tabColor theme="0"/>
  </sheetPr>
  <dimension ref="A1:S13"/>
  <sheetViews>
    <sheetView workbookViewId="0">
      <selection activeCell="B22" sqref="B22"/>
    </sheetView>
  </sheetViews>
  <sheetFormatPr defaultRowHeight="12"/>
  <cols>
    <col min="1" max="1" width="17" style="571" customWidth="1"/>
    <col min="2" max="2" width="11.7109375" style="641" customWidth="1"/>
    <col min="3" max="3" width="12.140625" style="641" customWidth="1"/>
    <col min="4" max="4" width="11" style="641" customWidth="1"/>
    <col min="5" max="5" width="10.85546875" style="641" customWidth="1"/>
    <col min="6" max="6" width="9.42578125" style="641" bestFit="1" customWidth="1"/>
    <col min="7" max="7" width="2" style="571" customWidth="1"/>
    <col min="8" max="8" width="8" style="641" customWidth="1"/>
    <col min="9" max="10" width="9.42578125" style="641" bestFit="1" customWidth="1"/>
    <col min="11" max="11" width="3.140625" style="571" customWidth="1"/>
    <col min="12" max="12" width="9.140625" style="641"/>
    <col min="13" max="13" width="9.140625" style="641" customWidth="1"/>
    <col min="14" max="14" width="9.42578125" style="571" bestFit="1" customWidth="1"/>
    <col min="15" max="16384" width="9.140625" style="571"/>
  </cols>
  <sheetData>
    <row r="1" spans="1:19" s="568" customFormat="1" ht="12.75" customHeight="1" thickBot="1">
      <c r="A1" s="1428" t="s">
        <v>580</v>
      </c>
      <c r="B1" s="1428"/>
      <c r="C1" s="1428"/>
      <c r="D1" s="1428"/>
      <c r="E1" s="1428"/>
      <c r="F1" s="1428"/>
      <c r="G1" s="1428"/>
      <c r="H1" s="1428"/>
      <c r="I1" s="1428"/>
      <c r="J1" s="1428"/>
      <c r="K1" s="1428"/>
      <c r="L1" s="1428"/>
      <c r="M1" s="1428"/>
      <c r="N1" s="1428"/>
      <c r="O1" s="1428"/>
    </row>
    <row r="2" spans="1:19" s="568" customFormat="1" ht="18.75" customHeight="1">
      <c r="A2" s="1429" t="s">
        <v>468</v>
      </c>
      <c r="B2" s="1429" t="s">
        <v>500</v>
      </c>
      <c r="C2" s="1429" t="s">
        <v>183</v>
      </c>
      <c r="D2" s="1431" t="s">
        <v>184</v>
      </c>
      <c r="E2" s="1431"/>
      <c r="F2" s="1431"/>
      <c r="G2" s="1420"/>
      <c r="H2" s="1431" t="s">
        <v>185</v>
      </c>
      <c r="I2" s="1431"/>
      <c r="J2" s="1431"/>
      <c r="K2" s="1420"/>
      <c r="L2" s="1431" t="s">
        <v>186</v>
      </c>
      <c r="M2" s="1431"/>
      <c r="N2" s="1431"/>
      <c r="O2" s="1427" t="s">
        <v>187</v>
      </c>
    </row>
    <row r="3" spans="1:19" s="568" customFormat="1" ht="26.25" customHeight="1">
      <c r="A3" s="999"/>
      <c r="B3" s="999"/>
      <c r="C3" s="999"/>
      <c r="D3" s="78" t="s">
        <v>0</v>
      </c>
      <c r="E3" s="79" t="s">
        <v>1</v>
      </c>
      <c r="F3" s="79" t="s">
        <v>2</v>
      </c>
      <c r="G3" s="80"/>
      <c r="H3" s="78" t="s">
        <v>0</v>
      </c>
      <c r="I3" s="79" t="s">
        <v>1</v>
      </c>
      <c r="J3" s="79" t="s">
        <v>2</v>
      </c>
      <c r="K3" s="80"/>
      <c r="L3" s="78" t="s">
        <v>0</v>
      </c>
      <c r="M3" s="79" t="s">
        <v>1</v>
      </c>
      <c r="N3" s="79" t="s">
        <v>2</v>
      </c>
      <c r="O3" s="1000"/>
    </row>
    <row r="4" spans="1:19" s="1421" customFormat="1">
      <c r="A4" s="1425" t="s">
        <v>146</v>
      </c>
      <c r="B4" s="1416">
        <v>659504.23899929808</v>
      </c>
      <c r="C4" s="1416">
        <f>+D4+H4+L4</f>
        <v>45267.162699994886</v>
      </c>
      <c r="D4" s="1416">
        <f>+E4+F4</f>
        <v>5945.2019000000491</v>
      </c>
      <c r="E4" s="1416">
        <v>2856.2935000000211</v>
      </c>
      <c r="F4" s="1416">
        <v>3088.9084000000275</v>
      </c>
      <c r="G4" s="1417"/>
      <c r="H4" s="1416">
        <f>+I4+J4</f>
        <v>37053.510599994828</v>
      </c>
      <c r="I4" s="1416">
        <v>18093.946499997463</v>
      </c>
      <c r="J4" s="1416">
        <v>18959.564099997369</v>
      </c>
      <c r="K4" s="1417"/>
      <c r="L4" s="1416">
        <f>+M4+N4</f>
        <v>2268.450200000008</v>
      </c>
      <c r="M4" s="1416">
        <v>1089.9784000000043</v>
      </c>
      <c r="N4" s="1417">
        <v>1178.4718000000037</v>
      </c>
      <c r="O4" s="1422">
        <f>+C4/B4*100</f>
        <v>6.8638167919407511</v>
      </c>
    </row>
    <row r="5" spans="1:19">
      <c r="A5" s="572"/>
      <c r="B5" s="677"/>
      <c r="C5" s="677"/>
      <c r="D5" s="677"/>
      <c r="E5" s="677"/>
      <c r="F5" s="677"/>
      <c r="G5" s="573"/>
      <c r="H5" s="677"/>
      <c r="I5" s="677"/>
      <c r="J5" s="677"/>
      <c r="K5" s="573"/>
      <c r="L5" s="677"/>
      <c r="M5" s="677"/>
      <c r="N5" s="573"/>
      <c r="O5" s="574"/>
    </row>
    <row r="6" spans="1:19">
      <c r="A6" s="68" t="s">
        <v>3</v>
      </c>
      <c r="B6" s="665"/>
      <c r="C6" s="665"/>
      <c r="D6" s="661"/>
      <c r="E6" s="661"/>
      <c r="F6" s="661"/>
      <c r="G6" s="575"/>
      <c r="H6" s="661"/>
      <c r="I6" s="661"/>
      <c r="J6" s="661"/>
      <c r="K6" s="575"/>
      <c r="L6" s="661"/>
      <c r="M6" s="665"/>
      <c r="N6" s="569"/>
      <c r="O6" s="570"/>
    </row>
    <row r="7" spans="1:19">
      <c r="A7" s="576" t="s">
        <v>4</v>
      </c>
      <c r="B7" s="677">
        <v>599000.90369945834</v>
      </c>
      <c r="C7" s="677">
        <f>+D7+H7+L7</f>
        <v>40825.493799995231</v>
      </c>
      <c r="D7" s="677">
        <f>+E7+F7</f>
        <v>5220.4993000000277</v>
      </c>
      <c r="E7" s="677">
        <v>2495.8380000000102</v>
      </c>
      <c r="F7" s="677">
        <v>2724.6613000000175</v>
      </c>
      <c r="G7" s="573"/>
      <c r="H7" s="677">
        <f t="shared" ref="H7:H12" si="0">+I7+J7</f>
        <v>33590.908399995198</v>
      </c>
      <c r="I7" s="677">
        <v>16343.570299997626</v>
      </c>
      <c r="J7" s="677">
        <v>17247.338099997571</v>
      </c>
      <c r="K7" s="573"/>
      <c r="L7" s="677">
        <f t="shared" ref="L7:L12" si="1">+M7+N7</f>
        <v>2014.0861000000098</v>
      </c>
      <c r="M7" s="677">
        <v>968.56150000000457</v>
      </c>
      <c r="N7" s="577">
        <v>1045.5246000000052</v>
      </c>
      <c r="O7" s="355">
        <f t="shared" ref="O7:O13" si="2">+C7/B7*100</f>
        <v>6.8155980312976192</v>
      </c>
    </row>
    <row r="8" spans="1:19">
      <c r="A8" s="576" t="s">
        <v>5</v>
      </c>
      <c r="B8" s="677">
        <v>60503.335300029081</v>
      </c>
      <c r="C8" s="677">
        <f>+D8+H8+L8</f>
        <v>4441.6689000000097</v>
      </c>
      <c r="D8" s="677">
        <f t="shared" ref="D8:D12" si="3">+E8+F8</f>
        <v>724.7026000000003</v>
      </c>
      <c r="E8" s="677">
        <v>360.45550000000026</v>
      </c>
      <c r="F8" s="677">
        <v>364.24709999999999</v>
      </c>
      <c r="G8" s="573"/>
      <c r="H8" s="677">
        <f t="shared" si="0"/>
        <v>3462.6022000000094</v>
      </c>
      <c r="I8" s="677">
        <v>1750.3762000000049</v>
      </c>
      <c r="J8" s="677">
        <v>1712.2260000000042</v>
      </c>
      <c r="K8" s="573"/>
      <c r="L8" s="677">
        <f t="shared" si="1"/>
        <v>254.36410000000009</v>
      </c>
      <c r="M8" s="677">
        <v>121.41690000000006</v>
      </c>
      <c r="N8" s="577">
        <v>132.94720000000004</v>
      </c>
      <c r="O8" s="355">
        <f t="shared" si="2"/>
        <v>7.3411967753088057</v>
      </c>
      <c r="R8" s="610"/>
      <c r="S8" s="610"/>
    </row>
    <row r="9" spans="1:19">
      <c r="A9" s="68" t="s">
        <v>175</v>
      </c>
      <c r="B9" s="656"/>
      <c r="C9" s="656"/>
      <c r="D9" s="656"/>
      <c r="E9" s="656"/>
      <c r="F9" s="656"/>
      <c r="G9" s="578"/>
      <c r="H9" s="656"/>
      <c r="I9" s="656"/>
      <c r="J9" s="656"/>
      <c r="K9" s="578"/>
      <c r="L9" s="656"/>
      <c r="M9" s="656"/>
      <c r="N9" s="578"/>
      <c r="O9" s="570"/>
    </row>
    <row r="10" spans="1:19">
      <c r="A10" s="576" t="s">
        <v>105</v>
      </c>
      <c r="B10" s="677">
        <v>168061.03679996351</v>
      </c>
      <c r="C10" s="677">
        <f>+D10+H10+L10</f>
        <v>6357.4224000000268</v>
      </c>
      <c r="D10" s="677">
        <f t="shared" si="3"/>
        <v>337.21440000000024</v>
      </c>
      <c r="E10" s="677">
        <v>192.39840000000024</v>
      </c>
      <c r="F10" s="677">
        <v>144.816</v>
      </c>
      <c r="G10" s="573"/>
      <c r="H10" s="677">
        <f t="shared" si="0"/>
        <v>5908.4928000000273</v>
      </c>
      <c r="I10" s="677">
        <v>3032.860800000014</v>
      </c>
      <c r="J10" s="677">
        <v>2875.6320000000132</v>
      </c>
      <c r="K10" s="573"/>
      <c r="L10" s="677">
        <f t="shared" si="1"/>
        <v>111.71520000000007</v>
      </c>
      <c r="M10" s="677">
        <v>66.201600000000042</v>
      </c>
      <c r="N10" s="573">
        <v>45.513600000000018</v>
      </c>
      <c r="O10" s="355">
        <f t="shared" si="2"/>
        <v>3.7828056526671427</v>
      </c>
    </row>
    <row r="11" spans="1:19">
      <c r="A11" s="576" t="s">
        <v>106</v>
      </c>
      <c r="B11" s="677">
        <v>184840.24000017435</v>
      </c>
      <c r="C11" s="677">
        <f>+D11+H11+L11</f>
        <v>11306.099999999946</v>
      </c>
      <c r="D11" s="677">
        <f t="shared" si="3"/>
        <v>1841.9800000000098</v>
      </c>
      <c r="E11" s="677">
        <v>880.85000000000457</v>
      </c>
      <c r="F11" s="677">
        <v>961.13000000000523</v>
      </c>
      <c r="G11" s="573"/>
      <c r="H11" s="677">
        <f t="shared" si="0"/>
        <v>8828.569999999936</v>
      </c>
      <c r="I11" s="677">
        <v>4361.8799999999783</v>
      </c>
      <c r="J11" s="677">
        <v>4466.6899999999578</v>
      </c>
      <c r="K11" s="573"/>
      <c r="L11" s="677">
        <f t="shared" si="1"/>
        <v>635.54999999999995</v>
      </c>
      <c r="M11" s="677">
        <v>307.7399999999999</v>
      </c>
      <c r="N11" s="573">
        <v>327.81000000000006</v>
      </c>
      <c r="O11" s="355">
        <f t="shared" si="2"/>
        <v>6.1166875784132726</v>
      </c>
    </row>
    <row r="12" spans="1:19">
      <c r="A12" s="576" t="s">
        <v>107</v>
      </c>
      <c r="B12" s="677">
        <v>199529.25000024337</v>
      </c>
      <c r="C12" s="677">
        <f>+D12+H12+L12</f>
        <v>15384.769999999062</v>
      </c>
      <c r="D12" s="677">
        <f t="shared" si="3"/>
        <v>1485.1800000000069</v>
      </c>
      <c r="E12" s="677">
        <v>715.83000000000322</v>
      </c>
      <c r="F12" s="677">
        <v>769.35000000000366</v>
      </c>
      <c r="G12" s="573"/>
      <c r="H12" s="677">
        <f t="shared" si="0"/>
        <v>13333.169999999054</v>
      </c>
      <c r="I12" s="677">
        <v>6411.2499999995771</v>
      </c>
      <c r="J12" s="677">
        <v>6921.9199999994771</v>
      </c>
      <c r="K12" s="573"/>
      <c r="L12" s="677">
        <f t="shared" si="1"/>
        <v>566.41999999999939</v>
      </c>
      <c r="M12" s="677">
        <v>283.2099999999997</v>
      </c>
      <c r="N12" s="573">
        <v>283.2099999999997</v>
      </c>
      <c r="O12" s="355">
        <f t="shared" si="2"/>
        <v>7.710533668612646</v>
      </c>
    </row>
    <row r="13" spans="1:19">
      <c r="A13" s="579" t="s">
        <v>188</v>
      </c>
      <c r="B13" s="674">
        <v>107073.71220011254</v>
      </c>
      <c r="C13" s="674">
        <f>+D13+H13+L13</f>
        <v>12218.870300000097</v>
      </c>
      <c r="D13" s="674">
        <f>+E13+F13</f>
        <v>2280.8275000000012</v>
      </c>
      <c r="E13" s="674">
        <v>1067.2151000000035</v>
      </c>
      <c r="F13" s="674">
        <v>1213.6123999999979</v>
      </c>
      <c r="G13" s="580"/>
      <c r="H13" s="674">
        <f>+I13+J13</f>
        <v>8983.2778000000999</v>
      </c>
      <c r="I13" s="674">
        <v>4287.9557000000796</v>
      </c>
      <c r="J13" s="674">
        <v>4695.3221000000203</v>
      </c>
      <c r="K13" s="580"/>
      <c r="L13" s="674">
        <f>+M13+N13</f>
        <v>954.76499999999578</v>
      </c>
      <c r="M13" s="674">
        <v>432.82679999999829</v>
      </c>
      <c r="N13" s="580">
        <v>521.93819999999755</v>
      </c>
      <c r="O13" s="355">
        <f t="shared" si="2"/>
        <v>11.411643482728952</v>
      </c>
      <c r="R13" s="610"/>
      <c r="S13" s="610"/>
    </row>
  </sheetData>
  <mergeCells count="8">
    <mergeCell ref="A2:A3"/>
    <mergeCell ref="B2:B3"/>
    <mergeCell ref="C2:C3"/>
    <mergeCell ref="D2:F2"/>
    <mergeCell ref="H2:J2"/>
    <mergeCell ref="L2:N2"/>
    <mergeCell ref="O2:O3"/>
    <mergeCell ref="A1:O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E0E2-A193-416B-8A09-E4E6B1DA3CCE}">
  <sheetPr>
    <tabColor rgb="FF2B3415"/>
  </sheetPr>
  <dimension ref="A1"/>
  <sheetViews>
    <sheetView topLeftCell="A7" workbookViewId="0">
      <selection sqref="A1:XFD1048576"/>
    </sheetView>
  </sheetViews>
  <sheetFormatPr defaultRowHeight="15"/>
  <cols>
    <col min="1" max="16384" width="9.140625" style="66"/>
  </cols>
  <sheetData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38D0-CDA8-4206-BA74-F41F2F1484B5}">
  <sheetPr>
    <tabColor theme="0"/>
  </sheetPr>
  <dimension ref="A1:Q31"/>
  <sheetViews>
    <sheetView workbookViewId="0">
      <selection activeCell="D3" sqref="D3"/>
    </sheetView>
  </sheetViews>
  <sheetFormatPr defaultRowHeight="12"/>
  <cols>
    <col min="1" max="1" width="18.42578125" style="188" customWidth="1"/>
    <col min="2" max="3" width="18.42578125" style="594" customWidth="1"/>
    <col min="4" max="4" width="14" style="594" customWidth="1"/>
    <col min="5" max="5" width="13.85546875" style="594" customWidth="1"/>
    <col min="6" max="6" width="14.5703125" style="594" customWidth="1"/>
    <col min="7" max="7" width="14.42578125" style="594" customWidth="1"/>
    <col min="8" max="8" width="14.28515625" style="594" customWidth="1"/>
    <col min="9" max="9" width="14.85546875" style="188" customWidth="1"/>
    <col min="10" max="10" width="11.28515625" style="188" bestFit="1" customWidth="1"/>
    <col min="11" max="11" width="12.28515625" style="188" customWidth="1"/>
    <col min="12" max="12" width="9.28515625" style="188" bestFit="1" customWidth="1"/>
    <col min="13" max="13" width="13.140625" style="188" customWidth="1"/>
    <col min="14" max="14" width="12.28515625" style="188" customWidth="1"/>
    <col min="15" max="15" width="11.28515625" style="188" customWidth="1"/>
    <col min="16" max="16" width="9.85546875" style="188" bestFit="1" customWidth="1"/>
    <col min="17" max="17" width="9.140625" style="581"/>
    <col min="18" max="21" width="9.140625" style="188"/>
    <col min="22" max="23" width="11" style="188" bestFit="1" customWidth="1"/>
    <col min="24" max="24" width="10" style="188" bestFit="1" customWidth="1"/>
    <col min="25" max="25" width="11" style="188" bestFit="1" customWidth="1"/>
    <col min="26" max="33" width="9.28515625" style="188" bestFit="1" customWidth="1"/>
    <col min="34" max="34" width="11" style="188" bestFit="1" customWidth="1"/>
    <col min="35" max="35" width="10" style="188" bestFit="1" customWidth="1"/>
    <col min="36" max="16384" width="9.140625" style="188"/>
  </cols>
  <sheetData>
    <row r="1" spans="1:17" ht="15" customHeight="1" thickBot="1">
      <c r="A1" s="1282" t="s">
        <v>501</v>
      </c>
      <c r="B1" s="1282"/>
      <c r="C1" s="1282"/>
      <c r="D1" s="1282"/>
      <c r="E1" s="1282"/>
      <c r="F1" s="1282"/>
      <c r="G1" s="1282"/>
      <c r="H1" s="1282"/>
      <c r="I1" s="1282"/>
      <c r="J1" s="1282"/>
      <c r="K1" s="1282"/>
      <c r="L1" s="1282"/>
      <c r="M1" s="1282"/>
      <c r="N1" s="1282"/>
      <c r="O1" s="1282"/>
      <c r="P1" s="1282"/>
    </row>
    <row r="2" spans="1:17" ht="15.75" customHeight="1">
      <c r="A2" s="1433" t="s">
        <v>220</v>
      </c>
      <c r="B2" s="1433" t="s">
        <v>189</v>
      </c>
      <c r="C2" s="1347" t="s">
        <v>190</v>
      </c>
      <c r="D2" s="1347"/>
      <c r="E2" s="1347"/>
      <c r="F2" s="1347"/>
      <c r="G2" s="1347"/>
      <c r="H2" s="1347"/>
      <c r="I2" s="1347"/>
      <c r="J2" s="1347"/>
      <c r="K2" s="1347"/>
      <c r="L2" s="1347"/>
      <c r="M2" s="1347"/>
      <c r="N2" s="1347"/>
      <c r="O2" s="1347"/>
      <c r="P2" s="1347"/>
      <c r="Q2" s="188"/>
    </row>
    <row r="3" spans="1:17" ht="51" customHeight="1" thickBot="1">
      <c r="A3" s="1001"/>
      <c r="B3" s="1001"/>
      <c r="C3" s="678" t="s">
        <v>191</v>
      </c>
      <c r="D3" s="1434" t="s">
        <v>192</v>
      </c>
      <c r="E3" s="582" t="s">
        <v>193</v>
      </c>
      <c r="F3" s="582" t="s">
        <v>194</v>
      </c>
      <c r="G3" s="582" t="s">
        <v>195</v>
      </c>
      <c r="H3" s="582" t="s">
        <v>196</v>
      </c>
      <c r="I3" s="582" t="s">
        <v>197</v>
      </c>
      <c r="J3" s="582" t="s">
        <v>198</v>
      </c>
      <c r="K3" s="582" t="s">
        <v>199</v>
      </c>
      <c r="L3" s="582" t="s">
        <v>200</v>
      </c>
      <c r="M3" s="582" t="s">
        <v>201</v>
      </c>
      <c r="N3" s="582" t="s">
        <v>202</v>
      </c>
      <c r="O3" s="582" t="s">
        <v>203</v>
      </c>
      <c r="P3" s="582" t="s">
        <v>204</v>
      </c>
      <c r="Q3" s="188"/>
    </row>
    <row r="4" spans="1:17" ht="15" customHeight="1">
      <c r="A4" s="583" t="s">
        <v>146</v>
      </c>
      <c r="B4" s="670">
        <v>1456430.2516913922</v>
      </c>
      <c r="C4" s="670">
        <v>167780.84080010181</v>
      </c>
      <c r="D4" s="670">
        <v>765667.02179771184</v>
      </c>
      <c r="E4" s="670">
        <v>49528.742100009731</v>
      </c>
      <c r="F4" s="670">
        <v>209887.85420021092</v>
      </c>
      <c r="G4" s="670">
        <v>8532.4090999994132</v>
      </c>
      <c r="H4" s="670">
        <v>1450.8427000000038</v>
      </c>
      <c r="I4" s="584">
        <v>446.17279999999897</v>
      </c>
      <c r="J4" s="584">
        <v>330.94749999999959</v>
      </c>
      <c r="K4" s="584">
        <v>524.88259999999923</v>
      </c>
      <c r="L4" s="584">
        <v>109.23530000000008</v>
      </c>
      <c r="M4" s="584">
        <v>401.21029999999934</v>
      </c>
      <c r="N4" s="584">
        <v>433.23189999999965</v>
      </c>
      <c r="O4" s="584">
        <v>223501.39950024744</v>
      </c>
      <c r="P4" s="584">
        <v>27835.461099999633</v>
      </c>
      <c r="Q4" s="188"/>
    </row>
    <row r="5" spans="1:17" ht="15" customHeight="1">
      <c r="A5" s="585"/>
      <c r="B5" s="676"/>
      <c r="C5" s="676"/>
      <c r="D5" s="676"/>
      <c r="E5" s="676"/>
      <c r="F5" s="676"/>
      <c r="G5" s="676"/>
      <c r="H5" s="676"/>
      <c r="I5" s="586"/>
      <c r="J5" s="586"/>
      <c r="K5" s="586"/>
      <c r="L5" s="586"/>
      <c r="M5" s="586"/>
      <c r="N5" s="586"/>
      <c r="O5" s="586"/>
      <c r="P5" s="586"/>
      <c r="Q5" s="188"/>
    </row>
    <row r="6" spans="1:17" ht="15" customHeight="1">
      <c r="A6" s="82" t="s">
        <v>3</v>
      </c>
      <c r="B6" s="670"/>
      <c r="C6" s="670"/>
      <c r="D6" s="670"/>
      <c r="E6" s="670"/>
      <c r="F6" s="670"/>
      <c r="G6" s="670"/>
      <c r="H6" s="670"/>
      <c r="I6" s="584"/>
      <c r="J6" s="584"/>
      <c r="K6" s="584"/>
      <c r="L6" s="584"/>
      <c r="M6" s="584"/>
      <c r="N6" s="584"/>
      <c r="O6" s="584"/>
      <c r="P6" s="584"/>
      <c r="Q6" s="188"/>
    </row>
    <row r="7" spans="1:17" ht="15" customHeight="1">
      <c r="A7" s="585" t="s">
        <v>4</v>
      </c>
      <c r="B7" s="676">
        <v>1314011.4578928004</v>
      </c>
      <c r="C7" s="676">
        <v>162162.89610008744</v>
      </c>
      <c r="D7" s="676">
        <v>682600.21919828514</v>
      </c>
      <c r="E7" s="676">
        <v>47846.736400007911</v>
      </c>
      <c r="F7" s="676">
        <v>178997.27360012953</v>
      </c>
      <c r="G7" s="676">
        <v>7649.7898999994868</v>
      </c>
      <c r="H7" s="676">
        <v>1332.9762000000035</v>
      </c>
      <c r="I7" s="586">
        <v>415.07689999999917</v>
      </c>
      <c r="J7" s="586">
        <v>300.28379999999976</v>
      </c>
      <c r="K7" s="586">
        <v>456.25819999999931</v>
      </c>
      <c r="L7" s="586">
        <v>101.05420000000007</v>
      </c>
      <c r="M7" s="586">
        <v>307.12559999999957</v>
      </c>
      <c r="N7" s="586">
        <v>386.87199999999984</v>
      </c>
      <c r="O7" s="586">
        <v>205380.62310018542</v>
      </c>
      <c r="P7" s="586">
        <v>26074.272699999525</v>
      </c>
      <c r="Q7" s="188"/>
    </row>
    <row r="8" spans="1:17" ht="15" customHeight="1">
      <c r="A8" s="585" t="s">
        <v>5</v>
      </c>
      <c r="B8" s="676">
        <v>142418.79380002213</v>
      </c>
      <c r="C8" s="676">
        <v>5617.9446999997508</v>
      </c>
      <c r="D8" s="676">
        <v>83066.802600007039</v>
      </c>
      <c r="E8" s="676">
        <v>1682.0057000000004</v>
      </c>
      <c r="F8" s="676">
        <v>30890.58060000066</v>
      </c>
      <c r="G8" s="676">
        <v>882.61920000000282</v>
      </c>
      <c r="H8" s="676">
        <v>117.86650000000006</v>
      </c>
      <c r="I8" s="586">
        <v>31.095900000000004</v>
      </c>
      <c r="J8" s="586">
        <v>30.663699999999999</v>
      </c>
      <c r="K8" s="586">
        <v>68.624399999999994</v>
      </c>
      <c r="L8" s="586">
        <v>8.1811000000000007</v>
      </c>
      <c r="M8" s="586">
        <v>94.084700000000026</v>
      </c>
      <c r="N8" s="586">
        <v>46.359899999999996</v>
      </c>
      <c r="O8" s="586">
        <v>18120.776399999042</v>
      </c>
      <c r="P8" s="586">
        <v>1761.1884000000005</v>
      </c>
      <c r="Q8" s="188"/>
    </row>
    <row r="9" spans="1:17" ht="15" customHeight="1">
      <c r="A9" s="644" t="s">
        <v>172</v>
      </c>
      <c r="B9" s="1415"/>
      <c r="C9" s="1415"/>
      <c r="D9" s="1415"/>
      <c r="E9" s="1415"/>
      <c r="F9" s="1415"/>
      <c r="G9" s="1415"/>
      <c r="H9" s="1415"/>
      <c r="I9" s="587"/>
      <c r="J9" s="587"/>
      <c r="K9" s="587"/>
      <c r="L9" s="587"/>
      <c r="M9" s="587"/>
      <c r="N9" s="587"/>
      <c r="O9" s="587"/>
      <c r="P9" s="587"/>
      <c r="Q9" s="188"/>
    </row>
    <row r="10" spans="1:17" ht="15" customHeight="1">
      <c r="A10" s="588" t="s">
        <v>148</v>
      </c>
      <c r="B10" s="1432">
        <f t="shared" ref="B10:P10" si="0">+B11+B12+B13+B14</f>
        <v>63972.2765</v>
      </c>
      <c r="C10" s="1432">
        <f>+C11+C12+C13+C14</f>
        <v>2506.9502000000057</v>
      </c>
      <c r="D10" s="1432">
        <f t="shared" si="0"/>
        <v>37747.427599999071</v>
      </c>
      <c r="E10" s="1432">
        <f t="shared" si="0"/>
        <v>762.31859999999938</v>
      </c>
      <c r="F10" s="1432">
        <f t="shared" si="0"/>
        <v>15289.093799999499</v>
      </c>
      <c r="G10" s="1432">
        <f t="shared" si="0"/>
        <v>336.52690000000007</v>
      </c>
      <c r="H10" s="1432">
        <f t="shared" si="0"/>
        <v>109.262</v>
      </c>
      <c r="I10" s="589">
        <f t="shared" si="0"/>
        <v>17.8628</v>
      </c>
      <c r="J10" s="589">
        <f t="shared" si="0"/>
        <v>14.819799999999999</v>
      </c>
      <c r="K10" s="589">
        <f t="shared" si="0"/>
        <v>10.7949</v>
      </c>
      <c r="L10" s="589">
        <f t="shared" si="0"/>
        <v>5.9335000000000004</v>
      </c>
      <c r="M10" s="589">
        <f t="shared" si="0"/>
        <v>57.610699999999994</v>
      </c>
      <c r="N10" s="589">
        <f t="shared" si="0"/>
        <v>12.4123</v>
      </c>
      <c r="O10" s="589">
        <f t="shared" si="0"/>
        <v>6290.540799999987</v>
      </c>
      <c r="P10" s="589">
        <f t="shared" si="0"/>
        <v>810.72260000000017</v>
      </c>
      <c r="Q10" s="188"/>
    </row>
    <row r="11" spans="1:17" ht="15" customHeight="1">
      <c r="A11" s="590" t="s">
        <v>148</v>
      </c>
      <c r="B11" s="676">
        <v>22702.590299999709</v>
      </c>
      <c r="C11" s="676">
        <v>1108.9453000000033</v>
      </c>
      <c r="D11" s="676">
        <v>13943.33859999947</v>
      </c>
      <c r="E11" s="676">
        <v>95.438800000000043</v>
      </c>
      <c r="F11" s="676">
        <v>4226.158499999915</v>
      </c>
      <c r="G11" s="676">
        <v>84.930200000000028</v>
      </c>
      <c r="H11" s="676">
        <v>75.262299999999996</v>
      </c>
      <c r="I11" s="586">
        <v>0</v>
      </c>
      <c r="J11" s="586">
        <v>5.9565000000000001</v>
      </c>
      <c r="K11" s="586">
        <v>1.9855</v>
      </c>
      <c r="L11" s="586">
        <v>0</v>
      </c>
      <c r="M11" s="586">
        <v>3.9377</v>
      </c>
      <c r="N11" s="586">
        <v>1.9855</v>
      </c>
      <c r="O11" s="586">
        <v>2873.1004999999855</v>
      </c>
      <c r="P11" s="586">
        <v>281.5508999999999</v>
      </c>
      <c r="Q11" s="188"/>
    </row>
    <row r="12" spans="1:17" ht="15" customHeight="1">
      <c r="A12" s="590" t="s">
        <v>149</v>
      </c>
      <c r="B12" s="676">
        <v>23382.510700001036</v>
      </c>
      <c r="C12" s="676">
        <v>765.2036000000021</v>
      </c>
      <c r="D12" s="676">
        <v>12604.871100000037</v>
      </c>
      <c r="E12" s="676">
        <v>539.27489999999932</v>
      </c>
      <c r="F12" s="676">
        <v>7340.4293999995853</v>
      </c>
      <c r="G12" s="676">
        <v>128.91770000000008</v>
      </c>
      <c r="H12" s="676">
        <v>28.130399999999998</v>
      </c>
      <c r="I12" s="586">
        <v>15.8773</v>
      </c>
      <c r="J12" s="586">
        <v>8.8632999999999988</v>
      </c>
      <c r="K12" s="586">
        <v>6.8239000000000001</v>
      </c>
      <c r="L12" s="586">
        <v>3.9377</v>
      </c>
      <c r="M12" s="586">
        <v>31.934199999999997</v>
      </c>
      <c r="N12" s="586">
        <v>6.2112999999999996</v>
      </c>
      <c r="O12" s="586">
        <v>1677.7651999999975</v>
      </c>
      <c r="P12" s="586">
        <v>224.27070000000003</v>
      </c>
      <c r="Q12" s="188"/>
    </row>
    <row r="13" spans="1:17" ht="15" customHeight="1">
      <c r="A13" s="590" t="s">
        <v>150</v>
      </c>
      <c r="B13" s="676">
        <v>7489.1570999995802</v>
      </c>
      <c r="C13" s="676">
        <v>366.43199999999979</v>
      </c>
      <c r="D13" s="676">
        <v>4326.2595999999248</v>
      </c>
      <c r="E13" s="676">
        <v>64.539299999999983</v>
      </c>
      <c r="F13" s="676">
        <v>1985.9624999999962</v>
      </c>
      <c r="G13" s="676">
        <v>53.806899999999985</v>
      </c>
      <c r="H13" s="676">
        <v>1.9419</v>
      </c>
      <c r="I13" s="586">
        <v>0</v>
      </c>
      <c r="J13" s="586">
        <v>0</v>
      </c>
      <c r="K13" s="586">
        <v>0</v>
      </c>
      <c r="L13" s="586">
        <v>0</v>
      </c>
      <c r="M13" s="586">
        <v>21.738799999999998</v>
      </c>
      <c r="N13" s="586">
        <v>2.23</v>
      </c>
      <c r="O13" s="586">
        <v>493.09339999999963</v>
      </c>
      <c r="P13" s="586">
        <v>173.1527000000001</v>
      </c>
      <c r="Q13" s="188"/>
    </row>
    <row r="14" spans="1:17" ht="15" customHeight="1">
      <c r="A14" s="590" t="s">
        <v>151</v>
      </c>
      <c r="B14" s="676">
        <v>10398.018399999672</v>
      </c>
      <c r="C14" s="676">
        <v>266.36930000000007</v>
      </c>
      <c r="D14" s="676">
        <v>6872.9582999996446</v>
      </c>
      <c r="E14" s="676">
        <v>63.065600000000003</v>
      </c>
      <c r="F14" s="676">
        <v>1736.5434000000025</v>
      </c>
      <c r="G14" s="676">
        <v>68.872099999999989</v>
      </c>
      <c r="H14" s="676">
        <v>3.9274</v>
      </c>
      <c r="I14" s="586">
        <v>1.9855</v>
      </c>
      <c r="J14" s="586">
        <v>0</v>
      </c>
      <c r="K14" s="586">
        <v>1.9855</v>
      </c>
      <c r="L14" s="586">
        <v>1.9958</v>
      </c>
      <c r="M14" s="586">
        <v>0</v>
      </c>
      <c r="N14" s="586">
        <v>1.9855</v>
      </c>
      <c r="O14" s="586">
        <v>1246.5817000000045</v>
      </c>
      <c r="P14" s="586">
        <v>131.74830000000006</v>
      </c>
      <c r="Q14" s="188"/>
    </row>
    <row r="15" spans="1:17" ht="15" customHeight="1">
      <c r="A15" s="591" t="s">
        <v>152</v>
      </c>
      <c r="B15" s="1432">
        <f t="shared" ref="B15:P15" si="1">+B16+B17+B18+B19</f>
        <v>28675.716399999055</v>
      </c>
      <c r="C15" s="1432">
        <f>+C16+C17+C18+C19</f>
        <v>326.39950000000022</v>
      </c>
      <c r="D15" s="1432">
        <f t="shared" si="1"/>
        <v>24605.359099999227</v>
      </c>
      <c r="E15" s="1432">
        <f t="shared" si="1"/>
        <v>93.580799999999996</v>
      </c>
      <c r="F15" s="1432">
        <f t="shared" si="1"/>
        <v>2252.8446999999937</v>
      </c>
      <c r="G15" s="1432">
        <f t="shared" si="1"/>
        <v>46.376599999999996</v>
      </c>
      <c r="H15" s="1432">
        <f t="shared" si="1"/>
        <v>1.9419</v>
      </c>
      <c r="I15" s="589">
        <f t="shared" si="1"/>
        <v>0</v>
      </c>
      <c r="J15" s="589">
        <f t="shared" si="1"/>
        <v>3.9377</v>
      </c>
      <c r="K15" s="589">
        <f t="shared" si="1"/>
        <v>0</v>
      </c>
      <c r="L15" s="589">
        <f t="shared" si="1"/>
        <v>0</v>
      </c>
      <c r="M15" s="589">
        <f t="shared" si="1"/>
        <v>0</v>
      </c>
      <c r="N15" s="589">
        <f t="shared" si="1"/>
        <v>0</v>
      </c>
      <c r="O15" s="589">
        <f t="shared" si="1"/>
        <v>1021.0051000000004</v>
      </c>
      <c r="P15" s="589">
        <f t="shared" si="1"/>
        <v>324.27100000000019</v>
      </c>
      <c r="Q15" s="188"/>
    </row>
    <row r="16" spans="1:17" ht="15" customHeight="1">
      <c r="A16" s="590" t="s">
        <v>153</v>
      </c>
      <c r="B16" s="676">
        <v>16528.325599999378</v>
      </c>
      <c r="C16" s="676">
        <v>197.75280000000015</v>
      </c>
      <c r="D16" s="676">
        <v>13461.504899999429</v>
      </c>
      <c r="E16" s="676">
        <v>73.562100000000001</v>
      </c>
      <c r="F16" s="676">
        <v>2117.4026999999937</v>
      </c>
      <c r="G16" s="676">
        <v>33.753100000000003</v>
      </c>
      <c r="H16" s="676">
        <v>1.9419</v>
      </c>
      <c r="I16" s="586">
        <v>0</v>
      </c>
      <c r="J16" s="586">
        <v>3.9377</v>
      </c>
      <c r="K16" s="586">
        <v>0</v>
      </c>
      <c r="L16" s="586">
        <v>0</v>
      </c>
      <c r="M16" s="586">
        <v>0</v>
      </c>
      <c r="N16" s="586">
        <v>0</v>
      </c>
      <c r="O16" s="586">
        <v>343.2362</v>
      </c>
      <c r="P16" s="586">
        <v>295.23420000000016</v>
      </c>
      <c r="Q16" s="188"/>
    </row>
    <row r="17" spans="1:17" ht="15" customHeight="1">
      <c r="A17" s="590" t="s">
        <v>154</v>
      </c>
      <c r="B17" s="676">
        <v>1833.8566999999996</v>
      </c>
      <c r="C17" s="676">
        <v>4.1072000000000006</v>
      </c>
      <c r="D17" s="676">
        <v>1782.7133999999996</v>
      </c>
      <c r="E17" s="676">
        <v>8.182599999999999</v>
      </c>
      <c r="F17" s="676">
        <v>28.333100000000002</v>
      </c>
      <c r="G17" s="676">
        <v>6.4558</v>
      </c>
      <c r="H17" s="676">
        <v>0</v>
      </c>
      <c r="I17" s="586">
        <v>0</v>
      </c>
      <c r="J17" s="586">
        <v>0</v>
      </c>
      <c r="K17" s="586">
        <v>0</v>
      </c>
      <c r="L17" s="586">
        <v>0</v>
      </c>
      <c r="M17" s="586">
        <v>0</v>
      </c>
      <c r="N17" s="586">
        <v>0</v>
      </c>
      <c r="O17" s="586">
        <v>1.9958</v>
      </c>
      <c r="P17" s="586">
        <v>2.0688</v>
      </c>
      <c r="Q17" s="188"/>
    </row>
    <row r="18" spans="1:17" ht="15" customHeight="1">
      <c r="A18" s="590" t="s">
        <v>155</v>
      </c>
      <c r="B18" s="676">
        <v>4636.586899999902</v>
      </c>
      <c r="C18" s="676">
        <v>95.779400000000052</v>
      </c>
      <c r="D18" s="676">
        <v>4490.555399999922</v>
      </c>
      <c r="E18" s="676">
        <v>5.9668000000000001</v>
      </c>
      <c r="F18" s="676">
        <v>28.249399999999998</v>
      </c>
      <c r="G18" s="676">
        <v>1.9419</v>
      </c>
      <c r="H18" s="676">
        <v>0</v>
      </c>
      <c r="I18" s="586">
        <v>0</v>
      </c>
      <c r="J18" s="586">
        <v>0</v>
      </c>
      <c r="K18" s="586">
        <v>0</v>
      </c>
      <c r="L18" s="586">
        <v>0</v>
      </c>
      <c r="M18" s="586">
        <v>0</v>
      </c>
      <c r="N18" s="586">
        <v>0</v>
      </c>
      <c r="O18" s="586">
        <v>1.9855</v>
      </c>
      <c r="P18" s="586">
        <v>12.108500000000001</v>
      </c>
      <c r="Q18" s="188"/>
    </row>
    <row r="19" spans="1:17" ht="15" customHeight="1">
      <c r="A19" s="590" t="s">
        <v>156</v>
      </c>
      <c r="B19" s="676">
        <v>5676.9471999997731</v>
      </c>
      <c r="C19" s="676">
        <v>28.760099999999998</v>
      </c>
      <c r="D19" s="676">
        <v>4870.5853999998753</v>
      </c>
      <c r="E19" s="676">
        <v>5.8693</v>
      </c>
      <c r="F19" s="676">
        <v>78.859500000000011</v>
      </c>
      <c r="G19" s="676">
        <v>4.2257999999999996</v>
      </c>
      <c r="H19" s="676">
        <v>0</v>
      </c>
      <c r="I19" s="586">
        <v>0</v>
      </c>
      <c r="J19" s="586">
        <v>0</v>
      </c>
      <c r="K19" s="586">
        <v>0</v>
      </c>
      <c r="L19" s="586">
        <v>0</v>
      </c>
      <c r="M19" s="586">
        <v>0</v>
      </c>
      <c r="N19" s="586">
        <v>0</v>
      </c>
      <c r="O19" s="586">
        <v>673.78760000000045</v>
      </c>
      <c r="P19" s="586">
        <v>14.859499999999999</v>
      </c>
      <c r="Q19" s="188"/>
    </row>
    <row r="20" spans="1:17" ht="15" customHeight="1">
      <c r="A20" s="588" t="s">
        <v>157</v>
      </c>
      <c r="B20" s="1432">
        <f t="shared" ref="B20:P20" si="2">+B21+B22+B23</f>
        <v>582430.07230007125</v>
      </c>
      <c r="C20" s="1432">
        <f>+C21+C22+C23</f>
        <v>79146.005400008347</v>
      </c>
      <c r="D20" s="1432">
        <f t="shared" si="2"/>
        <v>271872.43340013426</v>
      </c>
      <c r="E20" s="1432">
        <f t="shared" si="2"/>
        <v>20379.979599998998</v>
      </c>
      <c r="F20" s="1432">
        <f t="shared" si="2"/>
        <v>105344.13200000723</v>
      </c>
      <c r="G20" s="1432">
        <f t="shared" si="2"/>
        <v>3939.7507999999693</v>
      </c>
      <c r="H20" s="1432">
        <f t="shared" si="2"/>
        <v>504.33539999999971</v>
      </c>
      <c r="I20" s="589">
        <f t="shared" si="2"/>
        <v>225.6076000000001</v>
      </c>
      <c r="J20" s="589">
        <f t="shared" si="2"/>
        <v>173.89920000000001</v>
      </c>
      <c r="K20" s="589">
        <f t="shared" si="2"/>
        <v>211.81879999999998</v>
      </c>
      <c r="L20" s="589">
        <f t="shared" si="2"/>
        <v>65.176000000000002</v>
      </c>
      <c r="M20" s="589">
        <f t="shared" si="2"/>
        <v>102.73420000000002</v>
      </c>
      <c r="N20" s="589">
        <f t="shared" si="2"/>
        <v>246.42060000000004</v>
      </c>
      <c r="O20" s="589">
        <f t="shared" si="2"/>
        <v>89461.180400011304</v>
      </c>
      <c r="P20" s="589">
        <f t="shared" si="2"/>
        <v>10756.59889999961</v>
      </c>
      <c r="Q20" s="188"/>
    </row>
    <row r="21" spans="1:17" ht="15" customHeight="1">
      <c r="A21" s="590" t="s">
        <v>157</v>
      </c>
      <c r="B21" s="676">
        <v>336830.87870004092</v>
      </c>
      <c r="C21" s="676">
        <v>49064.672400009229</v>
      </c>
      <c r="D21" s="676">
        <v>168859.77830011741</v>
      </c>
      <c r="E21" s="676">
        <v>17245.049499998993</v>
      </c>
      <c r="F21" s="676">
        <v>39112.757700003931</v>
      </c>
      <c r="G21" s="676">
        <v>2796.9658999999701</v>
      </c>
      <c r="H21" s="676">
        <v>395.6956999999997</v>
      </c>
      <c r="I21" s="586">
        <v>178.6127000000001</v>
      </c>
      <c r="J21" s="586">
        <v>77.283999999999992</v>
      </c>
      <c r="K21" s="586">
        <v>87.709400000000016</v>
      </c>
      <c r="L21" s="586">
        <v>33.769599999999997</v>
      </c>
      <c r="M21" s="586">
        <v>51.554500000000019</v>
      </c>
      <c r="N21" s="586">
        <v>122.94210000000005</v>
      </c>
      <c r="O21" s="586">
        <v>52394.471900013144</v>
      </c>
      <c r="P21" s="586">
        <v>6409.6149999996205</v>
      </c>
      <c r="Q21" s="188"/>
    </row>
    <row r="22" spans="1:17" ht="15" customHeight="1">
      <c r="A22" s="590" t="s">
        <v>158</v>
      </c>
      <c r="B22" s="676">
        <v>100852.82490000308</v>
      </c>
      <c r="C22" s="676">
        <v>6645.3007999996053</v>
      </c>
      <c r="D22" s="676">
        <v>36964.239100002371</v>
      </c>
      <c r="E22" s="676">
        <v>1550.4369000000038</v>
      </c>
      <c r="F22" s="676">
        <v>40958.093500003895</v>
      </c>
      <c r="G22" s="676">
        <v>656.9222000000002</v>
      </c>
      <c r="H22" s="676">
        <v>73.479400000000012</v>
      </c>
      <c r="I22" s="586">
        <v>20.169100000000004</v>
      </c>
      <c r="J22" s="586">
        <v>70.249999999999986</v>
      </c>
      <c r="K22" s="586">
        <v>64.454299999999989</v>
      </c>
      <c r="L22" s="586">
        <v>26.398499999999999</v>
      </c>
      <c r="M22" s="586">
        <v>13.8422</v>
      </c>
      <c r="N22" s="586">
        <v>49.762900000000002</v>
      </c>
      <c r="O22" s="586">
        <v>11141.187599999163</v>
      </c>
      <c r="P22" s="586">
        <v>2618.288399999989</v>
      </c>
      <c r="Q22" s="188"/>
    </row>
    <row r="23" spans="1:17" ht="15" customHeight="1">
      <c r="A23" s="590" t="s">
        <v>159</v>
      </c>
      <c r="B23" s="676">
        <v>144746.36870002723</v>
      </c>
      <c r="C23" s="676">
        <v>23436.032199999507</v>
      </c>
      <c r="D23" s="676">
        <v>66048.416000014477</v>
      </c>
      <c r="E23" s="676">
        <v>1584.4932000000006</v>
      </c>
      <c r="F23" s="676">
        <v>25273.280799999389</v>
      </c>
      <c r="G23" s="676">
        <v>485.86269999999922</v>
      </c>
      <c r="H23" s="676">
        <v>35.160300000000007</v>
      </c>
      <c r="I23" s="586">
        <v>26.825800000000001</v>
      </c>
      <c r="J23" s="586">
        <v>26.365200000000005</v>
      </c>
      <c r="K23" s="586">
        <v>59.655099999999976</v>
      </c>
      <c r="L23" s="586">
        <v>5.0079000000000002</v>
      </c>
      <c r="M23" s="586">
        <v>37.337499999999999</v>
      </c>
      <c r="N23" s="586">
        <v>73.715599999999995</v>
      </c>
      <c r="O23" s="586">
        <v>25925.520899998995</v>
      </c>
      <c r="P23" s="586">
        <v>1728.6955000000003</v>
      </c>
      <c r="Q23" s="188"/>
    </row>
    <row r="24" spans="1:17" ht="15" customHeight="1">
      <c r="A24" s="588" t="s">
        <v>160</v>
      </c>
      <c r="B24" s="1432">
        <v>623997.3082987672</v>
      </c>
      <c r="C24" s="1432">
        <v>73850.20990001547</v>
      </c>
      <c r="D24" s="1432">
        <v>337708.7306000524</v>
      </c>
      <c r="E24" s="1432">
        <v>26279.892399999513</v>
      </c>
      <c r="F24" s="1432">
        <v>60019.512500011966</v>
      </c>
      <c r="G24" s="1432">
        <v>3072.9445999999689</v>
      </c>
      <c r="H24" s="1432">
        <v>683.85350000000142</v>
      </c>
      <c r="I24" s="589">
        <v>167.99490000000009</v>
      </c>
      <c r="J24" s="589">
        <v>101.24580000000006</v>
      </c>
      <c r="K24" s="589">
        <v>217.72190000000015</v>
      </c>
      <c r="L24" s="589">
        <v>30.047599999999999</v>
      </c>
      <c r="M24" s="589">
        <v>171.25320000000013</v>
      </c>
      <c r="N24" s="589">
        <v>128.71430000000009</v>
      </c>
      <c r="O24" s="589">
        <v>107726.50610000432</v>
      </c>
      <c r="P24" s="589">
        <v>13838.680999999047</v>
      </c>
      <c r="Q24" s="188"/>
    </row>
    <row r="25" spans="1:17" ht="15" customHeight="1">
      <c r="A25" s="590" t="s">
        <v>160</v>
      </c>
      <c r="B25" s="676">
        <v>623997.3082987672</v>
      </c>
      <c r="C25" s="676">
        <v>73850.20990001547</v>
      </c>
      <c r="D25" s="676">
        <v>337708.7306000524</v>
      </c>
      <c r="E25" s="676">
        <v>26279.892399999513</v>
      </c>
      <c r="F25" s="676">
        <v>60019.512500011966</v>
      </c>
      <c r="G25" s="676">
        <v>3072.9445999999689</v>
      </c>
      <c r="H25" s="676">
        <v>683.85350000000142</v>
      </c>
      <c r="I25" s="586">
        <v>167.99490000000009</v>
      </c>
      <c r="J25" s="586">
        <v>101.24580000000006</v>
      </c>
      <c r="K25" s="586">
        <v>217.72190000000015</v>
      </c>
      <c r="L25" s="586">
        <v>30.047599999999999</v>
      </c>
      <c r="M25" s="586">
        <v>171.25320000000013</v>
      </c>
      <c r="N25" s="586">
        <v>128.71430000000009</v>
      </c>
      <c r="O25" s="586">
        <v>107726.50610000432</v>
      </c>
      <c r="P25" s="586">
        <v>13838.680999999047</v>
      </c>
      <c r="Q25" s="188"/>
    </row>
    <row r="26" spans="1:17" ht="15" customHeight="1">
      <c r="A26" s="588" t="s">
        <v>161</v>
      </c>
      <c r="B26" s="1432">
        <v>21615.905499999702</v>
      </c>
      <c r="C26" s="1432">
        <v>590.38059999999882</v>
      </c>
      <c r="D26" s="1432">
        <v>10786.670099999439</v>
      </c>
      <c r="E26" s="1432">
        <v>158.61320000000009</v>
      </c>
      <c r="F26" s="1432">
        <v>5049.7110999998231</v>
      </c>
      <c r="G26" s="1432">
        <v>368.93799999999993</v>
      </c>
      <c r="H26" s="1432">
        <v>33.168900000000001</v>
      </c>
      <c r="I26" s="589">
        <v>6.1574</v>
      </c>
      <c r="J26" s="589">
        <v>0</v>
      </c>
      <c r="K26" s="589">
        <v>0</v>
      </c>
      <c r="L26" s="589">
        <v>0</v>
      </c>
      <c r="M26" s="589">
        <v>12.613200000000001</v>
      </c>
      <c r="N26" s="589">
        <v>1.9855</v>
      </c>
      <c r="O26" s="589">
        <v>4356.4501999999229</v>
      </c>
      <c r="P26" s="589">
        <v>251.21730000000008</v>
      </c>
      <c r="Q26" s="188"/>
    </row>
    <row r="27" spans="1:17" ht="15" customHeight="1">
      <c r="A27" s="590" t="s">
        <v>161</v>
      </c>
      <c r="B27" s="676">
        <v>21615.905499999702</v>
      </c>
      <c r="C27" s="676">
        <v>590.38059999999882</v>
      </c>
      <c r="D27" s="676">
        <v>10786.670099999439</v>
      </c>
      <c r="E27" s="676">
        <v>158.61320000000009</v>
      </c>
      <c r="F27" s="676">
        <v>5049.7110999998231</v>
      </c>
      <c r="G27" s="676">
        <v>368.93799999999993</v>
      </c>
      <c r="H27" s="676">
        <v>33.168900000000001</v>
      </c>
      <c r="I27" s="586">
        <v>6.1574</v>
      </c>
      <c r="J27" s="586">
        <v>0</v>
      </c>
      <c r="K27" s="586">
        <v>0</v>
      </c>
      <c r="L27" s="586">
        <v>0</v>
      </c>
      <c r="M27" s="586">
        <v>12.613200000000001</v>
      </c>
      <c r="N27" s="586">
        <v>1.9855</v>
      </c>
      <c r="O27" s="586">
        <v>4356.4501999999229</v>
      </c>
      <c r="P27" s="586">
        <v>251.21730000000008</v>
      </c>
      <c r="Q27" s="188"/>
    </row>
    <row r="28" spans="1:17" ht="15" customHeight="1">
      <c r="A28" s="588" t="s">
        <v>162</v>
      </c>
      <c r="B28" s="1432">
        <v>33588.204200000422</v>
      </c>
      <c r="C28" s="1432">
        <v>1197.2277000000042</v>
      </c>
      <c r="D28" s="1432">
        <v>22273.080899999452</v>
      </c>
      <c r="E28" s="1432">
        <v>432.71429999999947</v>
      </c>
      <c r="F28" s="1432">
        <v>5828.3217999997123</v>
      </c>
      <c r="G28" s="1432">
        <v>210.70600000000005</v>
      </c>
      <c r="H28" s="1432">
        <v>26.942900000000002</v>
      </c>
      <c r="I28" s="589">
        <v>3.9274</v>
      </c>
      <c r="J28" s="589">
        <v>7.0580999999999996</v>
      </c>
      <c r="K28" s="589">
        <v>1.9419</v>
      </c>
      <c r="L28" s="589">
        <v>0</v>
      </c>
      <c r="M28" s="589">
        <v>8.1532</v>
      </c>
      <c r="N28" s="589">
        <v>5.9335000000000004</v>
      </c>
      <c r="O28" s="589">
        <v>3203.1298999999844</v>
      </c>
      <c r="P28" s="589">
        <v>389.06659999999965</v>
      </c>
      <c r="Q28" s="188"/>
    </row>
    <row r="29" spans="1:17" ht="15" customHeight="1">
      <c r="A29" s="590" t="s">
        <v>162</v>
      </c>
      <c r="B29" s="676">
        <v>33588.204200000422</v>
      </c>
      <c r="C29" s="676">
        <v>1197.2277000000042</v>
      </c>
      <c r="D29" s="676">
        <v>22273.080899999452</v>
      </c>
      <c r="E29" s="676">
        <v>432.71429999999947</v>
      </c>
      <c r="F29" s="676">
        <v>5828.3217999997123</v>
      </c>
      <c r="G29" s="676">
        <v>210.70600000000005</v>
      </c>
      <c r="H29" s="676">
        <v>26.942900000000002</v>
      </c>
      <c r="I29" s="586">
        <v>3.9274</v>
      </c>
      <c r="J29" s="586">
        <v>7.0580999999999996</v>
      </c>
      <c r="K29" s="586">
        <v>1.9419</v>
      </c>
      <c r="L29" s="586">
        <v>0</v>
      </c>
      <c r="M29" s="586">
        <v>8.1532</v>
      </c>
      <c r="N29" s="586">
        <v>5.9335000000000004</v>
      </c>
      <c r="O29" s="586">
        <v>3203.1298999999844</v>
      </c>
      <c r="P29" s="586">
        <v>389.06659999999965</v>
      </c>
      <c r="Q29" s="188"/>
    </row>
    <row r="30" spans="1:17" ht="15" customHeight="1">
      <c r="A30" s="588" t="s">
        <v>163</v>
      </c>
      <c r="B30" s="1432">
        <v>102150.7684999928</v>
      </c>
      <c r="C30" s="1432">
        <v>10163.667499999272</v>
      </c>
      <c r="D30" s="1432">
        <v>60673.320100014011</v>
      </c>
      <c r="E30" s="1432">
        <v>1421.6432000000029</v>
      </c>
      <c r="F30" s="1432">
        <v>16104.238299999417</v>
      </c>
      <c r="G30" s="1432">
        <v>557.16619999999966</v>
      </c>
      <c r="H30" s="1432">
        <v>91.33810000000004</v>
      </c>
      <c r="I30" s="589">
        <v>24.622700000000002</v>
      </c>
      <c r="J30" s="589">
        <v>29.986899999999999</v>
      </c>
      <c r="K30" s="589">
        <v>82.605100000000022</v>
      </c>
      <c r="L30" s="589">
        <v>8.0782000000000007</v>
      </c>
      <c r="M30" s="589">
        <v>48.84579999999999</v>
      </c>
      <c r="N30" s="589">
        <v>37.765699999999995</v>
      </c>
      <c r="O30" s="589">
        <v>11442.586999999281</v>
      </c>
      <c r="P30" s="589">
        <v>1464.903700000003</v>
      </c>
      <c r="Q30" s="188"/>
    </row>
    <row r="31" spans="1:17" ht="15" customHeight="1">
      <c r="A31" s="592" t="s">
        <v>163</v>
      </c>
      <c r="B31" s="1408">
        <v>102150.7684999928</v>
      </c>
      <c r="C31" s="1408">
        <v>10163.667499999272</v>
      </c>
      <c r="D31" s="1408">
        <v>60673.320100014011</v>
      </c>
      <c r="E31" s="1408">
        <v>1421.6432000000029</v>
      </c>
      <c r="F31" s="1408">
        <v>16104.238299999417</v>
      </c>
      <c r="G31" s="1408">
        <v>557.16619999999966</v>
      </c>
      <c r="H31" s="1408">
        <v>91.33810000000004</v>
      </c>
      <c r="I31" s="593">
        <v>24.622700000000002</v>
      </c>
      <c r="J31" s="593">
        <v>29.986899999999999</v>
      </c>
      <c r="K31" s="593">
        <v>82.605100000000022</v>
      </c>
      <c r="L31" s="593">
        <v>8.0782000000000007</v>
      </c>
      <c r="M31" s="593">
        <v>48.84579999999999</v>
      </c>
      <c r="N31" s="593">
        <v>37.765699999999995</v>
      </c>
      <c r="O31" s="593">
        <v>11442.586999999281</v>
      </c>
      <c r="P31" s="593">
        <v>1464.903700000003</v>
      </c>
      <c r="Q31" s="188"/>
    </row>
  </sheetData>
  <mergeCells count="4">
    <mergeCell ref="A2:A3"/>
    <mergeCell ref="B2:B3"/>
    <mergeCell ref="C2:P2"/>
    <mergeCell ref="A1:P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4363-EB63-45F3-AC34-D050797E33EE}">
  <sheetPr>
    <tabColor theme="0"/>
  </sheetPr>
  <dimension ref="A1:R38"/>
  <sheetViews>
    <sheetView zoomScaleNormal="100" workbookViewId="0">
      <selection activeCell="B8" sqref="B8"/>
    </sheetView>
  </sheetViews>
  <sheetFormatPr defaultRowHeight="12"/>
  <cols>
    <col min="1" max="1" width="24.28515625" style="571" customWidth="1"/>
    <col min="2" max="2" width="20" style="641" customWidth="1"/>
    <col min="3" max="3" width="11.140625" style="571" customWidth="1"/>
    <col min="4" max="4" width="11" style="571" bestFit="1" customWidth="1"/>
    <col min="5" max="5" width="10.7109375" style="571" customWidth="1"/>
    <col min="6" max="6" width="12.85546875" style="571" customWidth="1"/>
    <col min="7" max="7" width="13.5703125" style="571" customWidth="1"/>
    <col min="8" max="8" width="14.140625" style="571" bestFit="1" customWidth="1"/>
    <col min="9" max="9" width="11.28515625" style="571" customWidth="1"/>
    <col min="10" max="10" width="13.140625" style="571" bestFit="1" customWidth="1"/>
    <col min="11" max="11" width="12.28515625" style="571" customWidth="1"/>
    <col min="12" max="14" width="12" style="571" bestFit="1" customWidth="1"/>
    <col min="15" max="15" width="10.28515625" style="571" customWidth="1"/>
    <col min="16" max="16384" width="9.140625" style="571"/>
  </cols>
  <sheetData>
    <row r="1" spans="1:17" ht="13.5" customHeight="1">
      <c r="A1" s="1002" t="s">
        <v>502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2"/>
      <c r="Q1" s="1002"/>
    </row>
    <row r="2" spans="1:17" ht="12.75" customHeight="1">
      <c r="A2" s="1003" t="s">
        <v>495</v>
      </c>
      <c r="B2" s="1005" t="s">
        <v>205</v>
      </c>
      <c r="C2" s="1007" t="s">
        <v>206</v>
      </c>
      <c r="D2" s="1007"/>
      <c r="E2" s="1007"/>
      <c r="F2" s="1007"/>
      <c r="G2" s="1007"/>
      <c r="H2" s="1007"/>
      <c r="I2" s="1007"/>
      <c r="J2" s="1007"/>
      <c r="K2" s="1007"/>
      <c r="L2" s="1007"/>
      <c r="M2" s="1007"/>
      <c r="N2" s="1007"/>
      <c r="O2" s="1007"/>
      <c r="P2" s="1007"/>
      <c r="Q2" s="1007"/>
    </row>
    <row r="3" spans="1:17" ht="36" customHeight="1">
      <c r="A3" s="1004"/>
      <c r="B3" s="1006"/>
      <c r="C3" s="595" t="s">
        <v>207</v>
      </c>
      <c r="D3" s="595" t="s">
        <v>208</v>
      </c>
      <c r="E3" s="595" t="s">
        <v>209</v>
      </c>
      <c r="F3" s="595" t="s">
        <v>210</v>
      </c>
      <c r="G3" s="595" t="s">
        <v>211</v>
      </c>
      <c r="H3" s="595" t="s">
        <v>212</v>
      </c>
      <c r="I3" s="595" t="s">
        <v>213</v>
      </c>
      <c r="J3" s="595" t="s">
        <v>214</v>
      </c>
      <c r="K3" s="595" t="s">
        <v>215</v>
      </c>
      <c r="L3" s="595" t="s">
        <v>216</v>
      </c>
      <c r="M3" s="595" t="s">
        <v>217</v>
      </c>
      <c r="N3" s="595" t="s">
        <v>199</v>
      </c>
      <c r="O3" s="595" t="s">
        <v>469</v>
      </c>
      <c r="P3" s="595" t="s">
        <v>218</v>
      </c>
      <c r="Q3" s="595" t="s">
        <v>203</v>
      </c>
    </row>
    <row r="4" spans="1:17" ht="15" customHeight="1">
      <c r="A4" s="596" t="s">
        <v>146</v>
      </c>
      <c r="B4" s="645">
        <v>1456430.2516913922</v>
      </c>
      <c r="C4" s="597">
        <v>913852.35799665865</v>
      </c>
      <c r="D4" s="597">
        <v>294170.06060022535</v>
      </c>
      <c r="E4" s="597">
        <v>117700.03260001061</v>
      </c>
      <c r="F4" s="597">
        <v>27140.557799999995</v>
      </c>
      <c r="G4" s="597">
        <v>71056.56210001139</v>
      </c>
      <c r="H4" s="597">
        <v>6241.360499999656</v>
      </c>
      <c r="I4" s="597">
        <v>2499.3488999999854</v>
      </c>
      <c r="J4" s="597">
        <v>1923.640100000001</v>
      </c>
      <c r="K4" s="597">
        <v>4935.3353999998271</v>
      </c>
      <c r="L4" s="597">
        <v>288.86769999999984</v>
      </c>
      <c r="M4" s="597">
        <v>483.95889999999963</v>
      </c>
      <c r="N4" s="597">
        <v>631.17009999999971</v>
      </c>
      <c r="O4" s="597">
        <v>3745.202000000002</v>
      </c>
      <c r="P4" s="597">
        <v>2924.1297999999724</v>
      </c>
      <c r="Q4" s="597">
        <v>8837.667199999345</v>
      </c>
    </row>
    <row r="5" spans="1:17" ht="15" customHeight="1">
      <c r="A5" s="598"/>
      <c r="B5" s="667"/>
      <c r="C5" s="599"/>
      <c r="D5" s="599"/>
      <c r="E5" s="599"/>
      <c r="F5" s="599"/>
      <c r="G5" s="599"/>
      <c r="H5" s="599"/>
      <c r="I5" s="599"/>
      <c r="J5" s="599"/>
      <c r="K5" s="599"/>
      <c r="L5" s="599"/>
      <c r="M5" s="599"/>
      <c r="N5" s="599"/>
      <c r="O5" s="599"/>
      <c r="P5" s="599"/>
      <c r="Q5" s="599"/>
    </row>
    <row r="6" spans="1:17" ht="15" customHeight="1">
      <c r="A6" s="82" t="s">
        <v>3</v>
      </c>
      <c r="B6" s="660"/>
      <c r="C6" s="600"/>
      <c r="D6" s="600"/>
      <c r="E6" s="600"/>
      <c r="F6" s="600"/>
      <c r="G6" s="600"/>
      <c r="H6" s="600"/>
      <c r="I6" s="600"/>
      <c r="J6" s="600"/>
      <c r="K6" s="600"/>
      <c r="L6" s="600"/>
      <c r="M6" s="600"/>
      <c r="N6" s="600"/>
      <c r="O6" s="600"/>
      <c r="P6" s="600"/>
      <c r="Q6" s="600"/>
    </row>
    <row r="7" spans="1:17" ht="15" customHeight="1">
      <c r="A7" s="598" t="s">
        <v>4</v>
      </c>
      <c r="B7" s="667">
        <v>1314011.4578928004</v>
      </c>
      <c r="C7" s="599">
        <v>834928.21959723649</v>
      </c>
      <c r="D7" s="599">
        <v>252917.59330032449</v>
      </c>
      <c r="E7" s="599">
        <v>100883.62610001414</v>
      </c>
      <c r="F7" s="599">
        <v>26076.456799999967</v>
      </c>
      <c r="G7" s="599">
        <v>69346.431400011192</v>
      </c>
      <c r="H7" s="599">
        <v>5420.3198999997503</v>
      </c>
      <c r="I7" s="599">
        <v>2229.7922999999937</v>
      </c>
      <c r="J7" s="599">
        <v>1761.760900000002</v>
      </c>
      <c r="K7" s="599">
        <v>4779.019399999851</v>
      </c>
      <c r="L7" s="599">
        <v>270.98249999999996</v>
      </c>
      <c r="M7" s="599">
        <v>452.86309999999975</v>
      </c>
      <c r="N7" s="599">
        <v>604.16679999999963</v>
      </c>
      <c r="O7" s="599">
        <v>3588.3374000000017</v>
      </c>
      <c r="P7" s="599">
        <v>2729.5261999999821</v>
      </c>
      <c r="Q7" s="599">
        <v>8022.3621999994321</v>
      </c>
    </row>
    <row r="8" spans="1:17" ht="15" customHeight="1">
      <c r="A8" s="598" t="s">
        <v>5</v>
      </c>
      <c r="B8" s="667">
        <v>142418.79380002213</v>
      </c>
      <c r="C8" s="599">
        <v>78924.138400006486</v>
      </c>
      <c r="D8" s="599">
        <v>41252.467300004289</v>
      </c>
      <c r="E8" s="599">
        <v>16816.406499999786</v>
      </c>
      <c r="F8" s="599">
        <v>1064.1010000000044</v>
      </c>
      <c r="G8" s="599">
        <v>1710.1306999999993</v>
      </c>
      <c r="H8" s="599">
        <v>821.04060000000231</v>
      </c>
      <c r="I8" s="599">
        <v>269.55660000000006</v>
      </c>
      <c r="J8" s="599">
        <v>161.87920000000011</v>
      </c>
      <c r="K8" s="599">
        <v>156.31600000000009</v>
      </c>
      <c r="L8" s="599">
        <v>17.885200000000001</v>
      </c>
      <c r="M8" s="599">
        <v>31.095800000000001</v>
      </c>
      <c r="N8" s="599">
        <v>27.003300000000003</v>
      </c>
      <c r="O8" s="599">
        <v>156.8646</v>
      </c>
      <c r="P8" s="599">
        <v>194.60360000000023</v>
      </c>
      <c r="Q8" s="599">
        <v>815.30500000000279</v>
      </c>
    </row>
    <row r="9" spans="1:17" ht="15" customHeight="1">
      <c r="A9" s="644" t="s">
        <v>172</v>
      </c>
      <c r="B9" s="660"/>
      <c r="C9" s="600"/>
      <c r="D9" s="600"/>
      <c r="E9" s="600"/>
      <c r="F9" s="600"/>
      <c r="G9" s="600"/>
      <c r="H9" s="600"/>
      <c r="I9" s="600"/>
      <c r="J9" s="600"/>
      <c r="K9" s="600"/>
      <c r="L9" s="600"/>
      <c r="M9" s="600"/>
      <c r="N9" s="600"/>
      <c r="O9" s="600">
        <v>0</v>
      </c>
      <c r="P9" s="600"/>
      <c r="Q9" s="600"/>
    </row>
    <row r="10" spans="1:17" ht="15" customHeight="1">
      <c r="A10" s="601" t="s">
        <v>148</v>
      </c>
      <c r="B10" s="669">
        <v>63972.2765</v>
      </c>
      <c r="C10" s="602">
        <v>40233.011599998703</v>
      </c>
      <c r="D10" s="602">
        <v>13377.32329999974</v>
      </c>
      <c r="E10" s="602">
        <v>8360.3540999998695</v>
      </c>
      <c r="F10" s="602">
        <v>420.53409999999957</v>
      </c>
      <c r="G10" s="602">
        <v>520.14840000000027</v>
      </c>
      <c r="H10" s="602">
        <v>212.86490000000003</v>
      </c>
      <c r="I10" s="602">
        <v>143.58710000000002</v>
      </c>
      <c r="J10" s="602">
        <v>107.9949</v>
      </c>
      <c r="K10" s="602">
        <v>3.9916</v>
      </c>
      <c r="L10" s="602">
        <v>7.8548</v>
      </c>
      <c r="M10" s="602">
        <v>10.051</v>
      </c>
      <c r="N10" s="602">
        <v>14.9771</v>
      </c>
      <c r="O10" s="599">
        <v>102.62660000000001</v>
      </c>
      <c r="P10" s="602">
        <v>100.11100000000002</v>
      </c>
      <c r="Q10" s="602">
        <v>356.84600000000017</v>
      </c>
    </row>
    <row r="11" spans="1:17" ht="15" customHeight="1">
      <c r="A11" s="603" t="s">
        <v>148</v>
      </c>
      <c r="B11" s="667">
        <v>22702.590299999709</v>
      </c>
      <c r="C11" s="599">
        <v>16224.014699999585</v>
      </c>
      <c r="D11" s="599">
        <v>3960.7720999999547</v>
      </c>
      <c r="E11" s="599">
        <v>1977.9297999999997</v>
      </c>
      <c r="F11" s="599">
        <v>26.4451</v>
      </c>
      <c r="G11" s="599">
        <v>167.0605000000001</v>
      </c>
      <c r="H11" s="599">
        <v>33.412599999999998</v>
      </c>
      <c r="I11" s="599">
        <v>30.870800000000006</v>
      </c>
      <c r="J11" s="599">
        <v>67.161199999999994</v>
      </c>
      <c r="K11" s="599">
        <v>0</v>
      </c>
      <c r="L11" s="599">
        <v>3.9710000000000001</v>
      </c>
      <c r="M11" s="599">
        <v>0</v>
      </c>
      <c r="N11" s="599">
        <v>4.1718999999999999</v>
      </c>
      <c r="O11" s="599">
        <v>43.487100000000005</v>
      </c>
      <c r="P11" s="599">
        <v>27.671600000000005</v>
      </c>
      <c r="Q11" s="599">
        <v>135.62190000000007</v>
      </c>
    </row>
    <row r="12" spans="1:17" ht="15" customHeight="1">
      <c r="A12" s="603" t="s">
        <v>149</v>
      </c>
      <c r="B12" s="667">
        <v>23382.510700001036</v>
      </c>
      <c r="C12" s="599">
        <v>11596.358599999699</v>
      </c>
      <c r="D12" s="599">
        <v>5761.5354999997971</v>
      </c>
      <c r="E12" s="599">
        <v>4932.9815999998655</v>
      </c>
      <c r="F12" s="599">
        <v>351.71499999999958</v>
      </c>
      <c r="G12" s="599">
        <v>261.79320000000018</v>
      </c>
      <c r="H12" s="599">
        <v>107.22260000000004</v>
      </c>
      <c r="I12" s="599">
        <v>72.358700000000013</v>
      </c>
      <c r="J12" s="599">
        <v>34.063699999999997</v>
      </c>
      <c r="K12" s="599">
        <v>3.9916</v>
      </c>
      <c r="L12" s="599">
        <v>0</v>
      </c>
      <c r="M12" s="599">
        <v>10.051</v>
      </c>
      <c r="N12" s="599">
        <v>8.8094000000000001</v>
      </c>
      <c r="O12" s="599">
        <v>13.670800000000002</v>
      </c>
      <c r="P12" s="599">
        <v>46.945200000000007</v>
      </c>
      <c r="Q12" s="599">
        <v>181.01380000000006</v>
      </c>
    </row>
    <row r="13" spans="1:17" ht="15" customHeight="1">
      <c r="A13" s="603" t="s">
        <v>150</v>
      </c>
      <c r="B13" s="667">
        <v>7489.1570999995802</v>
      </c>
      <c r="C13" s="599">
        <v>5191.92359999983</v>
      </c>
      <c r="D13" s="599">
        <v>1710.8261999999959</v>
      </c>
      <c r="E13" s="599">
        <v>476.06979999999891</v>
      </c>
      <c r="F13" s="599">
        <v>23.616500000000002</v>
      </c>
      <c r="G13" s="599">
        <v>34.475000000000001</v>
      </c>
      <c r="H13" s="599">
        <v>20.467500000000005</v>
      </c>
      <c r="I13" s="599">
        <v>0</v>
      </c>
      <c r="J13" s="599">
        <v>4.8281000000000001</v>
      </c>
      <c r="K13" s="599">
        <v>0</v>
      </c>
      <c r="L13" s="599">
        <v>0</v>
      </c>
      <c r="M13" s="599">
        <v>0</v>
      </c>
      <c r="N13" s="599">
        <v>1.9958</v>
      </c>
      <c r="O13" s="599">
        <v>8.2262000000000004</v>
      </c>
      <c r="P13" s="599">
        <v>14.742900000000002</v>
      </c>
      <c r="Q13" s="599">
        <v>1.9855</v>
      </c>
    </row>
    <row r="14" spans="1:17" ht="15" customHeight="1">
      <c r="A14" s="603" t="s">
        <v>151</v>
      </c>
      <c r="B14" s="667">
        <v>10398.018399999672</v>
      </c>
      <c r="C14" s="599">
        <v>7220.714699999593</v>
      </c>
      <c r="D14" s="599">
        <v>1944.1894999999913</v>
      </c>
      <c r="E14" s="599">
        <v>973.37290000000473</v>
      </c>
      <c r="F14" s="599">
        <v>18.7575</v>
      </c>
      <c r="G14" s="599">
        <v>56.819699999999969</v>
      </c>
      <c r="H14" s="599">
        <v>51.762199999999986</v>
      </c>
      <c r="I14" s="599">
        <v>40.357600000000005</v>
      </c>
      <c r="J14" s="599">
        <v>1.9419</v>
      </c>
      <c r="K14" s="599">
        <v>0</v>
      </c>
      <c r="L14" s="599">
        <v>3.8837999999999999</v>
      </c>
      <c r="M14" s="599">
        <v>0</v>
      </c>
      <c r="N14" s="599">
        <v>0</v>
      </c>
      <c r="O14" s="599">
        <v>37.242500000000007</v>
      </c>
      <c r="P14" s="599">
        <v>10.751300000000001</v>
      </c>
      <c r="Q14" s="599">
        <v>38.224800000000009</v>
      </c>
    </row>
    <row r="15" spans="1:17" ht="15" customHeight="1">
      <c r="A15" s="604" t="s">
        <v>152</v>
      </c>
      <c r="B15" s="669">
        <v>28675.716399999055</v>
      </c>
      <c r="C15" s="602">
        <v>8539.1150999999591</v>
      </c>
      <c r="D15" s="602">
        <v>17677.212599999417</v>
      </c>
      <c r="E15" s="602">
        <v>1991.8022999999989</v>
      </c>
      <c r="F15" s="602">
        <v>44.258799999999994</v>
      </c>
      <c r="G15" s="602">
        <v>170.49440000000013</v>
      </c>
      <c r="H15" s="602">
        <v>144.75829999999999</v>
      </c>
      <c r="I15" s="602">
        <v>26.747399999999999</v>
      </c>
      <c r="J15" s="602">
        <v>11.918400000000002</v>
      </c>
      <c r="K15" s="602">
        <v>6.1029999999999998</v>
      </c>
      <c r="L15" s="602">
        <v>3.9710000000000001</v>
      </c>
      <c r="M15" s="602">
        <v>0</v>
      </c>
      <c r="N15" s="602">
        <v>0</v>
      </c>
      <c r="O15" s="599">
        <v>5.9565000000000001</v>
      </c>
      <c r="P15" s="602">
        <v>44.569200000000002</v>
      </c>
      <c r="Q15" s="602">
        <v>8.8094000000000001</v>
      </c>
    </row>
    <row r="16" spans="1:17" ht="15" customHeight="1">
      <c r="A16" s="603" t="s">
        <v>153</v>
      </c>
      <c r="B16" s="667">
        <v>16528.325599999378</v>
      </c>
      <c r="C16" s="599">
        <v>4006.2126999999628</v>
      </c>
      <c r="D16" s="599">
        <v>10290.849299999431</v>
      </c>
      <c r="E16" s="599">
        <v>1883.3599999999992</v>
      </c>
      <c r="F16" s="599">
        <v>38.37919999999999</v>
      </c>
      <c r="G16" s="599">
        <v>156.22790000000012</v>
      </c>
      <c r="H16" s="599">
        <v>63.107799999999983</v>
      </c>
      <c r="I16" s="599">
        <v>22.819999999999997</v>
      </c>
      <c r="J16" s="599">
        <v>11.918400000000002</v>
      </c>
      <c r="K16" s="599">
        <v>6.1029999999999998</v>
      </c>
      <c r="L16" s="599">
        <v>3.9710000000000001</v>
      </c>
      <c r="M16" s="599">
        <v>0</v>
      </c>
      <c r="N16" s="599">
        <v>0</v>
      </c>
      <c r="O16" s="599">
        <v>3.9710000000000001</v>
      </c>
      <c r="P16" s="599">
        <v>34.591700000000003</v>
      </c>
      <c r="Q16" s="599">
        <v>6.813600000000001</v>
      </c>
    </row>
    <row r="17" spans="1:17" ht="15" customHeight="1">
      <c r="A17" s="603" t="s">
        <v>154</v>
      </c>
      <c r="B17" s="667">
        <v>1833.8566999999996</v>
      </c>
      <c r="C17" s="599">
        <v>631.80849999999987</v>
      </c>
      <c r="D17" s="599">
        <v>1144.5030000000054</v>
      </c>
      <c r="E17" s="599">
        <v>24.351800000000001</v>
      </c>
      <c r="F17" s="599">
        <v>0</v>
      </c>
      <c r="G17" s="599">
        <v>4.1718999999999999</v>
      </c>
      <c r="H17" s="599">
        <v>21.029500000000002</v>
      </c>
      <c r="I17" s="599">
        <v>1.9419</v>
      </c>
      <c r="J17" s="599">
        <v>0</v>
      </c>
      <c r="K17" s="599">
        <v>0</v>
      </c>
      <c r="L17" s="599">
        <v>0</v>
      </c>
      <c r="M17" s="599">
        <v>0</v>
      </c>
      <c r="N17" s="599">
        <v>0</v>
      </c>
      <c r="O17" s="599">
        <v>0</v>
      </c>
      <c r="P17" s="599">
        <v>4.0542999999999996</v>
      </c>
      <c r="Q17" s="599">
        <v>1.9958</v>
      </c>
    </row>
    <row r="18" spans="1:17" ht="15" customHeight="1">
      <c r="A18" s="603" t="s">
        <v>155</v>
      </c>
      <c r="B18" s="667">
        <v>4636.586899999902</v>
      </c>
      <c r="C18" s="599">
        <v>1317.6217000000054</v>
      </c>
      <c r="D18" s="599">
        <v>3274.4970999999973</v>
      </c>
      <c r="E18" s="599">
        <v>17.9451</v>
      </c>
      <c r="F18" s="599">
        <v>1.9958</v>
      </c>
      <c r="G18" s="599">
        <v>1.9958</v>
      </c>
      <c r="H18" s="599">
        <v>20.5459</v>
      </c>
      <c r="I18" s="599">
        <v>0</v>
      </c>
      <c r="J18" s="599">
        <v>0</v>
      </c>
      <c r="K18" s="599">
        <v>0</v>
      </c>
      <c r="L18" s="599">
        <v>0</v>
      </c>
      <c r="M18" s="599">
        <v>0</v>
      </c>
      <c r="N18" s="599">
        <v>0</v>
      </c>
      <c r="O18" s="599">
        <v>1.9855</v>
      </c>
      <c r="P18" s="599">
        <v>0</v>
      </c>
      <c r="Q18" s="599">
        <v>0</v>
      </c>
    </row>
    <row r="19" spans="1:17" ht="15" customHeight="1">
      <c r="A19" s="603" t="s">
        <v>156</v>
      </c>
      <c r="B19" s="667">
        <v>5676.9471999997731</v>
      </c>
      <c r="C19" s="599">
        <v>2583.4721999999911</v>
      </c>
      <c r="D19" s="599">
        <v>2967.3631999999843</v>
      </c>
      <c r="E19" s="599">
        <v>66.145399999999995</v>
      </c>
      <c r="F19" s="599">
        <v>3.8837999999999999</v>
      </c>
      <c r="G19" s="599">
        <v>8.0988000000000007</v>
      </c>
      <c r="H19" s="599">
        <v>40.075099999999999</v>
      </c>
      <c r="I19" s="599">
        <v>1.9855</v>
      </c>
      <c r="J19" s="599">
        <v>0</v>
      </c>
      <c r="K19" s="599">
        <v>0</v>
      </c>
      <c r="L19" s="599">
        <v>0</v>
      </c>
      <c r="M19" s="599">
        <v>0</v>
      </c>
      <c r="N19" s="599">
        <v>0</v>
      </c>
      <c r="O19" s="599">
        <v>0</v>
      </c>
      <c r="P19" s="599">
        <v>5.9231999999999996</v>
      </c>
      <c r="Q19" s="599">
        <v>0</v>
      </c>
    </row>
    <row r="20" spans="1:17" ht="15" customHeight="1">
      <c r="A20" s="601" t="s">
        <v>157</v>
      </c>
      <c r="B20" s="669">
        <v>582430.07230007125</v>
      </c>
      <c r="C20" s="602">
        <v>354690.06540021993</v>
      </c>
      <c r="D20" s="602">
        <v>105116.85550001232</v>
      </c>
      <c r="E20" s="602">
        <v>60963.5227999989</v>
      </c>
      <c r="F20" s="602">
        <v>12297.636499999036</v>
      </c>
      <c r="G20" s="602">
        <v>36706.76069999933</v>
      </c>
      <c r="H20" s="602">
        <v>2833.317200000004</v>
      </c>
      <c r="I20" s="602">
        <v>1232.6352000000011</v>
      </c>
      <c r="J20" s="602">
        <v>856.47010000000159</v>
      </c>
      <c r="K20" s="602">
        <v>1680.6546000000014</v>
      </c>
      <c r="L20" s="602">
        <v>90.183900000000023</v>
      </c>
      <c r="M20" s="602">
        <v>124.22790000000003</v>
      </c>
      <c r="N20" s="602">
        <v>203.26590000000004</v>
      </c>
      <c r="O20" s="599">
        <v>862.64020000000016</v>
      </c>
      <c r="P20" s="602">
        <v>1144.9276000000029</v>
      </c>
      <c r="Q20" s="602">
        <v>3626.9087999999883</v>
      </c>
    </row>
    <row r="21" spans="1:17" ht="15" customHeight="1">
      <c r="A21" s="603" t="s">
        <v>157</v>
      </c>
      <c r="B21" s="667">
        <v>336830.87870004092</v>
      </c>
      <c r="C21" s="599">
        <v>200264.03420020183</v>
      </c>
      <c r="D21" s="599">
        <v>68248.626900013536</v>
      </c>
      <c r="E21" s="599">
        <v>24629.196499999613</v>
      </c>
      <c r="F21" s="599">
        <v>10799.587499999034</v>
      </c>
      <c r="G21" s="599">
        <v>24142.130599999909</v>
      </c>
      <c r="H21" s="599">
        <v>1948.9299000000044</v>
      </c>
      <c r="I21" s="599">
        <v>767.39440000000081</v>
      </c>
      <c r="J21" s="599">
        <v>700.51360000000159</v>
      </c>
      <c r="K21" s="599">
        <v>1297.3861000000011</v>
      </c>
      <c r="L21" s="599">
        <v>67.681900000000013</v>
      </c>
      <c r="M21" s="599">
        <v>81.513700000000014</v>
      </c>
      <c r="N21" s="599">
        <v>64.270599999999988</v>
      </c>
      <c r="O21" s="599">
        <v>657.87360000000024</v>
      </c>
      <c r="P21" s="599">
        <v>832.71240000000273</v>
      </c>
      <c r="Q21" s="599">
        <v>2329.0267999999865</v>
      </c>
    </row>
    <row r="22" spans="1:17" ht="15" customHeight="1">
      <c r="A22" s="603" t="s">
        <v>158</v>
      </c>
      <c r="B22" s="667">
        <v>100852.82490000308</v>
      </c>
      <c r="C22" s="599">
        <v>61408.429200018851</v>
      </c>
      <c r="D22" s="599">
        <v>12797.670499999283</v>
      </c>
      <c r="E22" s="599">
        <v>21818.605399999877</v>
      </c>
      <c r="F22" s="599">
        <v>696.46890000000178</v>
      </c>
      <c r="G22" s="599">
        <v>2478.919799999991</v>
      </c>
      <c r="H22" s="599">
        <v>396.22539999999987</v>
      </c>
      <c r="I22" s="599">
        <v>206.84420000000011</v>
      </c>
      <c r="J22" s="599">
        <v>68.202499999999986</v>
      </c>
      <c r="K22" s="599">
        <v>126.98040000000006</v>
      </c>
      <c r="L22" s="599">
        <v>7.8215000000000003</v>
      </c>
      <c r="M22" s="599">
        <v>38.607000000000006</v>
      </c>
      <c r="N22" s="599">
        <v>27.509400000000003</v>
      </c>
      <c r="O22" s="599">
        <v>70.889399999999995</v>
      </c>
      <c r="P22" s="599">
        <v>153.27560000000008</v>
      </c>
      <c r="Q22" s="599">
        <v>556.37570000000028</v>
      </c>
    </row>
    <row r="23" spans="1:17" ht="15" customHeight="1">
      <c r="A23" s="603" t="s">
        <v>159</v>
      </c>
      <c r="B23" s="667">
        <v>144746.36870002723</v>
      </c>
      <c r="C23" s="599">
        <v>93017.601999999271</v>
      </c>
      <c r="D23" s="599">
        <v>24070.5580999995</v>
      </c>
      <c r="E23" s="599">
        <v>14515.720899999407</v>
      </c>
      <c r="F23" s="599">
        <v>801.58010000000183</v>
      </c>
      <c r="G23" s="599">
        <v>10085.710299999431</v>
      </c>
      <c r="H23" s="599">
        <v>488.16189999999966</v>
      </c>
      <c r="I23" s="599">
        <v>258.39660000000003</v>
      </c>
      <c r="J23" s="599">
        <v>87.754000000000019</v>
      </c>
      <c r="K23" s="599">
        <v>256.28810000000016</v>
      </c>
      <c r="L23" s="599">
        <v>14.680500000000002</v>
      </c>
      <c r="M23" s="599">
        <v>4.1072000000000006</v>
      </c>
      <c r="N23" s="599">
        <v>111.48590000000007</v>
      </c>
      <c r="O23" s="599">
        <v>133.87719999999999</v>
      </c>
      <c r="P23" s="599">
        <v>158.9396000000001</v>
      </c>
      <c r="Q23" s="599">
        <v>741.50630000000172</v>
      </c>
    </row>
    <row r="24" spans="1:17" ht="15" customHeight="1">
      <c r="A24" s="601" t="s">
        <v>160</v>
      </c>
      <c r="B24" s="669">
        <v>623997.3082987672</v>
      </c>
      <c r="C24" s="602">
        <v>409885.59969984886</v>
      </c>
      <c r="D24" s="602">
        <v>121077.46000000596</v>
      </c>
      <c r="E24" s="602">
        <v>33453.699300001761</v>
      </c>
      <c r="F24" s="602">
        <v>13344.359899999221</v>
      </c>
      <c r="G24" s="602">
        <v>30570.085300001287</v>
      </c>
      <c r="H24" s="602">
        <v>2243.5240999999933</v>
      </c>
      <c r="I24" s="602">
        <v>860.09390000000258</v>
      </c>
      <c r="J24" s="602">
        <v>797.07730000000197</v>
      </c>
      <c r="K24" s="602">
        <v>2988.2228999999738</v>
      </c>
      <c r="L24" s="602">
        <v>143.99810000000011</v>
      </c>
      <c r="M24" s="602">
        <v>334.86509999999964</v>
      </c>
      <c r="N24" s="602">
        <v>207.00290000000012</v>
      </c>
      <c r="O24" s="599">
        <v>2600.2794999999969</v>
      </c>
      <c r="P24" s="602">
        <v>1432.6465000000042</v>
      </c>
      <c r="Q24" s="602">
        <v>4058.3937999999716</v>
      </c>
    </row>
    <row r="25" spans="1:17" ht="15" customHeight="1">
      <c r="A25" s="603" t="s">
        <v>160</v>
      </c>
      <c r="B25" s="667">
        <v>623997.3082987672</v>
      </c>
      <c r="C25" s="599">
        <v>409885.59969984886</v>
      </c>
      <c r="D25" s="599">
        <v>121077.46000000596</v>
      </c>
      <c r="E25" s="599">
        <v>33453.699300001761</v>
      </c>
      <c r="F25" s="599">
        <v>13344.359899999221</v>
      </c>
      <c r="G25" s="599">
        <v>30570.085300001287</v>
      </c>
      <c r="H25" s="599">
        <v>2243.5240999999933</v>
      </c>
      <c r="I25" s="599">
        <v>860.09390000000258</v>
      </c>
      <c r="J25" s="599">
        <v>797.07730000000197</v>
      </c>
      <c r="K25" s="599">
        <v>2988.2228999999738</v>
      </c>
      <c r="L25" s="599">
        <v>143.99810000000011</v>
      </c>
      <c r="M25" s="599">
        <v>334.86509999999964</v>
      </c>
      <c r="N25" s="599">
        <v>207.00290000000012</v>
      </c>
      <c r="O25" s="599">
        <v>2600.2794999999969</v>
      </c>
      <c r="P25" s="599">
        <v>1432.6465000000042</v>
      </c>
      <c r="Q25" s="599">
        <v>4058.3937999999716</v>
      </c>
    </row>
    <row r="26" spans="1:17" ht="15" customHeight="1">
      <c r="A26" s="601" t="s">
        <v>161</v>
      </c>
      <c r="B26" s="669">
        <v>21615.905499999702</v>
      </c>
      <c r="C26" s="602">
        <v>13231.474299999129</v>
      </c>
      <c r="D26" s="602">
        <v>5724.3544999997594</v>
      </c>
      <c r="E26" s="602">
        <v>1824.4545000000039</v>
      </c>
      <c r="F26" s="602">
        <v>99.190600000000032</v>
      </c>
      <c r="G26" s="602">
        <v>209.92780000000019</v>
      </c>
      <c r="H26" s="602">
        <v>270.10930000000013</v>
      </c>
      <c r="I26" s="602">
        <v>20.147100000000002</v>
      </c>
      <c r="J26" s="602">
        <v>67.645300000000006</v>
      </c>
      <c r="K26" s="602">
        <v>16.199099999999998</v>
      </c>
      <c r="L26" s="602">
        <v>10.074</v>
      </c>
      <c r="M26" s="602">
        <v>6.8674999999999997</v>
      </c>
      <c r="N26" s="602">
        <v>4.1174999999999997</v>
      </c>
      <c r="O26" s="599">
        <v>31.5349</v>
      </c>
      <c r="P26" s="602">
        <v>30.861599999999999</v>
      </c>
      <c r="Q26" s="602">
        <v>68.947499999999991</v>
      </c>
    </row>
    <row r="27" spans="1:17" ht="15" customHeight="1">
      <c r="A27" s="603" t="s">
        <v>161</v>
      </c>
      <c r="B27" s="667">
        <v>21615.905499999702</v>
      </c>
      <c r="C27" s="599">
        <v>13231.474299999129</v>
      </c>
      <c r="D27" s="599">
        <v>5724.3544999997594</v>
      </c>
      <c r="E27" s="599">
        <v>1824.4545000000039</v>
      </c>
      <c r="F27" s="599">
        <v>99.190600000000032</v>
      </c>
      <c r="G27" s="599">
        <v>209.92780000000019</v>
      </c>
      <c r="H27" s="599">
        <v>270.10930000000013</v>
      </c>
      <c r="I27" s="599">
        <v>20.147100000000002</v>
      </c>
      <c r="J27" s="599">
        <v>67.645300000000006</v>
      </c>
      <c r="K27" s="599">
        <v>16.199099999999998</v>
      </c>
      <c r="L27" s="599">
        <v>10.074</v>
      </c>
      <c r="M27" s="599">
        <v>6.8674999999999997</v>
      </c>
      <c r="N27" s="599">
        <v>4.1174999999999997</v>
      </c>
      <c r="O27" s="599">
        <v>31.5349</v>
      </c>
      <c r="P27" s="599">
        <v>30.861599999999999</v>
      </c>
      <c r="Q27" s="599">
        <v>68.947499999999991</v>
      </c>
    </row>
    <row r="28" spans="1:17" ht="15" customHeight="1">
      <c r="A28" s="601" t="s">
        <v>162</v>
      </c>
      <c r="B28" s="669">
        <v>33588.204200000422</v>
      </c>
      <c r="C28" s="602">
        <v>19679.944099999033</v>
      </c>
      <c r="D28" s="602">
        <v>9438.9166999994286</v>
      </c>
      <c r="E28" s="602">
        <v>3298.9578999999749</v>
      </c>
      <c r="F28" s="602">
        <v>160.82190000000003</v>
      </c>
      <c r="G28" s="602">
        <v>413.34859999999935</v>
      </c>
      <c r="H28" s="602">
        <v>242.51170000000008</v>
      </c>
      <c r="I28" s="602">
        <v>20.0535</v>
      </c>
      <c r="J28" s="602">
        <v>16.296099999999999</v>
      </c>
      <c r="K28" s="602">
        <v>38.207699999999996</v>
      </c>
      <c r="L28" s="602">
        <v>10.741000000000001</v>
      </c>
      <c r="M28" s="602">
        <v>4.0636000000000001</v>
      </c>
      <c r="N28" s="602">
        <v>14.338500000000002</v>
      </c>
      <c r="O28" s="599">
        <v>27.702500000000001</v>
      </c>
      <c r="P28" s="602">
        <v>66.117799999999988</v>
      </c>
      <c r="Q28" s="602">
        <v>156.18260000000004</v>
      </c>
    </row>
    <row r="29" spans="1:17" ht="15" customHeight="1">
      <c r="A29" s="603" t="s">
        <v>162</v>
      </c>
      <c r="B29" s="667">
        <v>33588.204200000422</v>
      </c>
      <c r="C29" s="599">
        <v>19679.944099999033</v>
      </c>
      <c r="D29" s="599">
        <v>9438.9166999994286</v>
      </c>
      <c r="E29" s="599">
        <v>3298.9578999999749</v>
      </c>
      <c r="F29" s="599">
        <v>160.82190000000003</v>
      </c>
      <c r="G29" s="599">
        <v>413.34859999999935</v>
      </c>
      <c r="H29" s="599">
        <v>242.51170000000008</v>
      </c>
      <c r="I29" s="599">
        <v>20.0535</v>
      </c>
      <c r="J29" s="599">
        <v>16.296099999999999</v>
      </c>
      <c r="K29" s="599">
        <v>38.207699999999996</v>
      </c>
      <c r="L29" s="599">
        <v>10.741000000000001</v>
      </c>
      <c r="M29" s="599">
        <v>4.0636000000000001</v>
      </c>
      <c r="N29" s="599">
        <v>14.338500000000002</v>
      </c>
      <c r="O29" s="599">
        <v>27.702500000000001</v>
      </c>
      <c r="P29" s="599">
        <v>66.117799999999988</v>
      </c>
      <c r="Q29" s="599">
        <v>156.18260000000004</v>
      </c>
    </row>
    <row r="30" spans="1:17" ht="15" customHeight="1">
      <c r="A30" s="601" t="s">
        <v>163</v>
      </c>
      <c r="B30" s="669">
        <v>102150.7684999928</v>
      </c>
      <c r="C30" s="602">
        <v>67593.147800013699</v>
      </c>
      <c r="D30" s="602">
        <v>21757.938000000071</v>
      </c>
      <c r="E30" s="602">
        <v>7807.2416999994748</v>
      </c>
      <c r="F30" s="602">
        <v>773.75600000000168</v>
      </c>
      <c r="G30" s="602">
        <v>2465.7968999999916</v>
      </c>
      <c r="H30" s="602">
        <v>294.27499999999986</v>
      </c>
      <c r="I30" s="602">
        <v>196.08470000000011</v>
      </c>
      <c r="J30" s="602">
        <v>66.238</v>
      </c>
      <c r="K30" s="602">
        <v>201.95650000000009</v>
      </c>
      <c r="L30" s="602">
        <v>22.044900000000002</v>
      </c>
      <c r="M30" s="602">
        <v>3.8837999999999999</v>
      </c>
      <c r="N30" s="602">
        <v>187.46820000000005</v>
      </c>
      <c r="O30" s="599">
        <v>114.46180000000001</v>
      </c>
      <c r="P30" s="602">
        <v>104.89610000000005</v>
      </c>
      <c r="Q30" s="602">
        <v>561.57910000000061</v>
      </c>
    </row>
    <row r="31" spans="1:17" ht="15" customHeight="1">
      <c r="A31" s="603" t="s">
        <v>163</v>
      </c>
      <c r="B31" s="667">
        <v>102150.7684999928</v>
      </c>
      <c r="C31" s="599">
        <v>67593.147800013699</v>
      </c>
      <c r="D31" s="599">
        <v>21757.938000000071</v>
      </c>
      <c r="E31" s="599">
        <v>7807.2416999994748</v>
      </c>
      <c r="F31" s="599">
        <v>773.75600000000168</v>
      </c>
      <c r="G31" s="599">
        <v>2465.7968999999916</v>
      </c>
      <c r="H31" s="599">
        <v>294.27499999999986</v>
      </c>
      <c r="I31" s="599">
        <v>196.08470000000011</v>
      </c>
      <c r="J31" s="599">
        <v>66.238</v>
      </c>
      <c r="K31" s="599">
        <v>201.95650000000009</v>
      </c>
      <c r="L31" s="599">
        <v>22.044900000000002</v>
      </c>
      <c r="M31" s="599">
        <v>3.8837999999999999</v>
      </c>
      <c r="N31" s="599">
        <v>187.46820000000005</v>
      </c>
      <c r="O31" s="599">
        <v>114.46180000000001</v>
      </c>
      <c r="P31" s="599">
        <v>104.89610000000005</v>
      </c>
      <c r="Q31" s="599">
        <v>561.57910000000061</v>
      </c>
    </row>
    <row r="38" spans="18:18">
      <c r="R38" s="605"/>
    </row>
  </sheetData>
  <mergeCells count="4">
    <mergeCell ref="A1:Q1"/>
    <mergeCell ref="A2:A3"/>
    <mergeCell ref="B2:B3"/>
    <mergeCell ref="C2:Q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C019-81D2-4FA0-A2EE-8219CA9B4D97}">
  <sheetPr>
    <tabColor rgb="FF2B3415"/>
  </sheetPr>
  <dimension ref="A1"/>
  <sheetViews>
    <sheetView workbookViewId="0">
      <selection sqref="A1:XFD1048576"/>
    </sheetView>
  </sheetViews>
  <sheetFormatPr defaultRowHeight="15"/>
  <cols>
    <col min="1" max="16384" width="9.140625" style="14"/>
  </cols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C0AE-3D92-4EDD-84F5-45F409326C00}">
  <sheetPr>
    <tabColor theme="0"/>
  </sheetPr>
  <dimension ref="A1:W15"/>
  <sheetViews>
    <sheetView workbookViewId="0">
      <selection activeCell="C21" sqref="C21"/>
    </sheetView>
  </sheetViews>
  <sheetFormatPr defaultRowHeight="15"/>
  <cols>
    <col min="1" max="1" width="17.85546875" style="3" customWidth="1"/>
    <col min="2" max="2" width="11.28515625" style="13" customWidth="1"/>
    <col min="3" max="10" width="12.140625" style="13" customWidth="1"/>
    <col min="11" max="14" width="12.140625" style="3" customWidth="1"/>
    <col min="15" max="23" width="12.140625" style="13" customWidth="1"/>
    <col min="24" max="16384" width="9.140625" style="3"/>
  </cols>
  <sheetData>
    <row r="1" spans="1:23" ht="14.25" customHeight="1" thickBot="1">
      <c r="A1" s="1008" t="s">
        <v>219</v>
      </c>
      <c r="B1" s="1008"/>
      <c r="C1" s="1008"/>
      <c r="D1" s="1008"/>
      <c r="E1" s="1008"/>
      <c r="F1" s="1008"/>
      <c r="G1" s="1008"/>
      <c r="H1" s="1008"/>
      <c r="I1" s="1008"/>
      <c r="J1" s="1008"/>
      <c r="K1" s="1008"/>
      <c r="L1" s="1008"/>
      <c r="M1" s="1008"/>
      <c r="N1" s="1008"/>
      <c r="O1" s="1008"/>
      <c r="P1" s="1008"/>
      <c r="Q1" s="1008"/>
      <c r="R1" s="1008"/>
      <c r="S1" s="1008"/>
      <c r="T1" s="1008"/>
      <c r="U1" s="1008"/>
      <c r="V1" s="1008"/>
      <c r="W1" s="1008"/>
    </row>
    <row r="2" spans="1:23" ht="36.75">
      <c r="A2" s="94" t="s">
        <v>220</v>
      </c>
      <c r="B2" s="675" t="s">
        <v>189</v>
      </c>
      <c r="C2" s="95" t="s">
        <v>221</v>
      </c>
      <c r="D2" s="95" t="s">
        <v>222</v>
      </c>
      <c r="E2" s="95" t="s">
        <v>223</v>
      </c>
      <c r="F2" s="95" t="s">
        <v>224</v>
      </c>
      <c r="G2" s="95" t="s">
        <v>225</v>
      </c>
      <c r="H2" s="95" t="s">
        <v>423</v>
      </c>
      <c r="I2" s="95" t="s">
        <v>424</v>
      </c>
      <c r="J2" s="95" t="s">
        <v>425</v>
      </c>
      <c r="K2" s="95" t="s">
        <v>226</v>
      </c>
      <c r="L2" s="95" t="s">
        <v>227</v>
      </c>
      <c r="M2" s="95" t="s">
        <v>228</v>
      </c>
      <c r="N2" s="95" t="s">
        <v>229</v>
      </c>
      <c r="O2" s="95" t="s">
        <v>230</v>
      </c>
      <c r="P2" s="95" t="s">
        <v>231</v>
      </c>
      <c r="Q2" s="95" t="s">
        <v>232</v>
      </c>
      <c r="R2" s="95" t="s">
        <v>233</v>
      </c>
      <c r="S2" s="95" t="s">
        <v>234</v>
      </c>
      <c r="T2" s="95" t="s">
        <v>235</v>
      </c>
      <c r="U2" s="95" t="s">
        <v>236</v>
      </c>
      <c r="V2" s="95" t="s">
        <v>237</v>
      </c>
      <c r="W2" s="95" t="s">
        <v>238</v>
      </c>
    </row>
    <row r="3" spans="1:23">
      <c r="A3" s="96" t="s">
        <v>146</v>
      </c>
      <c r="B3" s="670">
        <v>1456430.2516913922</v>
      </c>
      <c r="C3" s="668">
        <v>536435.75239916157</v>
      </c>
      <c r="D3" s="668">
        <v>29381.386599999823</v>
      </c>
      <c r="E3" s="668">
        <v>5544.7094999997207</v>
      </c>
      <c r="F3" s="668">
        <v>1039.0934000000038</v>
      </c>
      <c r="G3" s="668">
        <v>1177.8604000000034</v>
      </c>
      <c r="H3" s="668">
        <v>43437.91420000224</v>
      </c>
      <c r="I3" s="668">
        <v>24419.934200000018</v>
      </c>
      <c r="J3" s="668">
        <v>13682.147099999323</v>
      </c>
      <c r="K3" s="345">
        <v>11780.998599999402</v>
      </c>
      <c r="L3" s="345">
        <v>8951.9907999993957</v>
      </c>
      <c r="M3" s="345">
        <v>7630.6415999994915</v>
      </c>
      <c r="N3" s="345">
        <v>266465.7564003297</v>
      </c>
      <c r="O3" s="668">
        <v>70269.65390001818</v>
      </c>
      <c r="P3" s="668">
        <v>40271.199100003512</v>
      </c>
      <c r="Q3" s="668">
        <v>49444.586600000126</v>
      </c>
      <c r="R3" s="668">
        <v>81827.463800016645</v>
      </c>
      <c r="S3" s="668">
        <v>3313.3491999999737</v>
      </c>
      <c r="T3" s="668">
        <v>1709.0194000000031</v>
      </c>
      <c r="U3" s="668">
        <v>223085.36560023541</v>
      </c>
      <c r="V3" s="668">
        <v>10637.505000016245</v>
      </c>
      <c r="W3" s="668">
        <v>42219.0469000054</v>
      </c>
    </row>
    <row r="4" spans="1:23">
      <c r="A4" s="97"/>
      <c r="B4" s="650"/>
      <c r="C4" s="663"/>
      <c r="D4" s="650"/>
      <c r="E4" s="650"/>
      <c r="F4" s="650"/>
      <c r="G4" s="650"/>
      <c r="H4" s="650"/>
      <c r="I4" s="650"/>
      <c r="J4" s="650"/>
      <c r="K4" s="98"/>
      <c r="L4" s="98"/>
      <c r="M4" s="98"/>
      <c r="N4" s="98"/>
      <c r="O4" s="650"/>
      <c r="P4" s="650"/>
      <c r="Q4" s="650"/>
      <c r="R4" s="650"/>
      <c r="S4" s="650"/>
      <c r="T4" s="650"/>
      <c r="U4" s="650"/>
      <c r="V4" s="650"/>
      <c r="W4" s="650"/>
    </row>
    <row r="5" spans="1:23">
      <c r="A5" s="99" t="s">
        <v>3</v>
      </c>
      <c r="B5" s="672"/>
      <c r="C5" s="666"/>
      <c r="D5" s="672"/>
      <c r="E5" s="666"/>
      <c r="F5" s="672"/>
      <c r="G5" s="672"/>
      <c r="H5" s="672"/>
      <c r="I5" s="672"/>
      <c r="J5" s="672"/>
      <c r="K5" s="100"/>
      <c r="L5" s="100"/>
      <c r="M5" s="100"/>
      <c r="N5" s="100"/>
      <c r="O5" s="672"/>
      <c r="P5" s="672"/>
      <c r="Q5" s="672"/>
      <c r="R5" s="672"/>
      <c r="S5" s="672"/>
      <c r="T5" s="672"/>
      <c r="U5" s="672"/>
      <c r="V5" s="672"/>
      <c r="W5" s="672"/>
    </row>
    <row r="6" spans="1:23">
      <c r="A6" s="101" t="s">
        <v>4</v>
      </c>
      <c r="B6" s="676">
        <v>1314011.4578928004</v>
      </c>
      <c r="C6" s="653">
        <v>476175.3100994553</v>
      </c>
      <c r="D6" s="653">
        <v>25373.91889999952</v>
      </c>
      <c r="E6" s="653">
        <v>5254.9751999997588</v>
      </c>
      <c r="F6" s="653">
        <v>962.81380000000365</v>
      </c>
      <c r="G6" s="653">
        <v>1040.9303000000043</v>
      </c>
      <c r="H6" s="653">
        <v>39332.64910000081</v>
      </c>
      <c r="I6" s="653">
        <v>23432.904499999971</v>
      </c>
      <c r="J6" s="653">
        <v>11694.218699999381</v>
      </c>
      <c r="K6" s="346">
        <v>10330.208099999409</v>
      </c>
      <c r="L6" s="346">
        <v>8667.1717999994034</v>
      </c>
      <c r="M6" s="346">
        <v>6953.7004999995897</v>
      </c>
      <c r="N6" s="346">
        <v>246521.79850027998</v>
      </c>
      <c r="O6" s="653">
        <v>67500.449300018459</v>
      </c>
      <c r="P6" s="653">
        <v>35837.807200001764</v>
      </c>
      <c r="Q6" s="653">
        <v>46509.525899999484</v>
      </c>
      <c r="R6" s="653">
        <v>72313.665500020317</v>
      </c>
      <c r="S6" s="653">
        <v>2905.2558999999819</v>
      </c>
      <c r="T6" s="653">
        <v>1679.365600000003</v>
      </c>
      <c r="U6" s="653">
        <v>199545.26860017009</v>
      </c>
      <c r="V6" s="653">
        <v>9391.2569000168878</v>
      </c>
      <c r="W6" s="653">
        <v>38883.386500003478</v>
      </c>
    </row>
    <row r="7" spans="1:23">
      <c r="A7" s="101" t="s">
        <v>5</v>
      </c>
      <c r="B7" s="676">
        <v>142418.79380002213</v>
      </c>
      <c r="C7" s="653">
        <v>60260.44230000829</v>
      </c>
      <c r="D7" s="653">
        <v>4007.4676999999629</v>
      </c>
      <c r="E7" s="653">
        <v>289.73430000000008</v>
      </c>
      <c r="F7" s="653">
        <v>76.279599999999988</v>
      </c>
      <c r="G7" s="653">
        <v>136.9301000000001</v>
      </c>
      <c r="H7" s="653">
        <v>4105.2650999999623</v>
      </c>
      <c r="I7" s="653">
        <v>987.02970000000369</v>
      </c>
      <c r="J7" s="653">
        <v>1987.9283999999986</v>
      </c>
      <c r="K7" s="346">
        <v>1450.790500000001</v>
      </c>
      <c r="L7" s="346">
        <v>284.81900000000013</v>
      </c>
      <c r="M7" s="346">
        <v>676.94110000000148</v>
      </c>
      <c r="N7" s="346">
        <v>19943.957899999397</v>
      </c>
      <c r="O7" s="653">
        <v>2769.2045999999768</v>
      </c>
      <c r="P7" s="653">
        <v>4433.3918999999205</v>
      </c>
      <c r="Q7" s="653">
        <v>2935.0607000000055</v>
      </c>
      <c r="R7" s="653">
        <v>9513.7982999993837</v>
      </c>
      <c r="S7" s="653">
        <v>408.09329999999937</v>
      </c>
      <c r="T7" s="653">
        <v>29.653799999999997</v>
      </c>
      <c r="U7" s="653">
        <v>23540.096999999361</v>
      </c>
      <c r="V7" s="653">
        <v>1246.2480999994441</v>
      </c>
      <c r="W7" s="653">
        <v>3335.6603999999656</v>
      </c>
    </row>
    <row r="8" spans="1:23">
      <c r="A8" s="103" t="s">
        <v>137</v>
      </c>
      <c r="B8" s="646"/>
      <c r="C8" s="640"/>
      <c r="D8" s="646"/>
      <c r="E8" s="646"/>
      <c r="F8" s="646"/>
      <c r="G8" s="646"/>
      <c r="H8" s="646"/>
      <c r="I8" s="646"/>
      <c r="J8" s="646"/>
      <c r="K8" s="104"/>
      <c r="L8" s="104"/>
      <c r="M8" s="104"/>
      <c r="N8" s="104"/>
      <c r="O8" s="646"/>
      <c r="P8" s="646"/>
      <c r="Q8" s="646"/>
      <c r="R8" s="646"/>
      <c r="S8" s="659"/>
      <c r="T8" s="659"/>
      <c r="U8" s="646"/>
      <c r="V8" s="646"/>
      <c r="W8" s="646"/>
    </row>
    <row r="9" spans="1:23">
      <c r="A9" s="101" t="s">
        <v>148</v>
      </c>
      <c r="B9" s="653">
        <v>63972.276500013984</v>
      </c>
      <c r="C9" s="673">
        <v>23461.731400000848</v>
      </c>
      <c r="D9" s="664">
        <v>2342.9421999999895</v>
      </c>
      <c r="E9" s="664">
        <v>233.5386000000002</v>
      </c>
      <c r="F9" s="664">
        <v>14.500700000000002</v>
      </c>
      <c r="G9" s="664">
        <v>49.4009</v>
      </c>
      <c r="H9" s="664">
        <v>2326.3725999999956</v>
      </c>
      <c r="I9" s="664">
        <v>333.93619999999999</v>
      </c>
      <c r="J9" s="664">
        <v>1014.809700000003</v>
      </c>
      <c r="K9" s="102">
        <v>1016.2921000000026</v>
      </c>
      <c r="L9" s="102">
        <v>82.635600000000039</v>
      </c>
      <c r="M9" s="102">
        <v>438.88639999999941</v>
      </c>
      <c r="N9" s="102">
        <v>9429.3101999994778</v>
      </c>
      <c r="O9" s="664">
        <v>1358.8620000000019</v>
      </c>
      <c r="P9" s="664">
        <v>2568.9701999999825</v>
      </c>
      <c r="Q9" s="664">
        <v>1143.0688000000007</v>
      </c>
      <c r="R9" s="664">
        <v>5052.6614999998465</v>
      </c>
      <c r="S9" s="671">
        <v>226.67060000000009</v>
      </c>
      <c r="T9" s="671">
        <v>20.095099999999999</v>
      </c>
      <c r="U9" s="664">
        <v>10205.357099999444</v>
      </c>
      <c r="V9" s="664">
        <v>362.48829999983536</v>
      </c>
      <c r="W9" s="664">
        <v>2289.7462999999925</v>
      </c>
    </row>
    <row r="10" spans="1:23">
      <c r="A10" s="101" t="s">
        <v>152</v>
      </c>
      <c r="B10" s="653">
        <v>28675.716400000143</v>
      </c>
      <c r="C10" s="673">
        <v>10246.070599999481</v>
      </c>
      <c r="D10" s="664">
        <v>1117.036500000004</v>
      </c>
      <c r="E10" s="664">
        <v>14.320900000000002</v>
      </c>
      <c r="F10" s="664">
        <v>5.8795999999999999</v>
      </c>
      <c r="G10" s="664">
        <v>15.525500000000001</v>
      </c>
      <c r="H10" s="664">
        <v>870.03000000000088</v>
      </c>
      <c r="I10" s="664">
        <v>140.64970000000008</v>
      </c>
      <c r="J10" s="664">
        <v>166.51720000000003</v>
      </c>
      <c r="K10" s="102">
        <v>352.40969999999982</v>
      </c>
      <c r="L10" s="102">
        <v>27.247300000000003</v>
      </c>
      <c r="M10" s="102">
        <v>212.96460000000005</v>
      </c>
      <c r="N10" s="102">
        <v>4904.2076999998981</v>
      </c>
      <c r="O10" s="664">
        <v>789.15850000000182</v>
      </c>
      <c r="P10" s="664">
        <v>1524.5195000000019</v>
      </c>
      <c r="Q10" s="664">
        <v>552.01189999999974</v>
      </c>
      <c r="R10" s="664">
        <v>843.06160000000273</v>
      </c>
      <c r="S10" s="671">
        <v>98.171700000000044</v>
      </c>
      <c r="T10" s="671">
        <v>0</v>
      </c>
      <c r="U10" s="664">
        <v>5355.7657999998191</v>
      </c>
      <c r="V10" s="664">
        <v>667.79089999998723</v>
      </c>
      <c r="W10" s="664">
        <v>772.37720000000149</v>
      </c>
    </row>
    <row r="11" spans="1:23">
      <c r="A11" s="101" t="s">
        <v>157</v>
      </c>
      <c r="B11" s="653">
        <v>582430.07230007125</v>
      </c>
      <c r="C11" s="673">
        <v>214574.5497002324</v>
      </c>
      <c r="D11" s="664">
        <v>12557.31599999922</v>
      </c>
      <c r="E11" s="664">
        <v>2008.8952000000031</v>
      </c>
      <c r="F11" s="664">
        <v>573.15170000000001</v>
      </c>
      <c r="G11" s="664">
        <v>605.13610000000062</v>
      </c>
      <c r="H11" s="664">
        <v>20595.386499999295</v>
      </c>
      <c r="I11" s="664">
        <v>9289.7293999993926</v>
      </c>
      <c r="J11" s="664">
        <v>6227.4693999997035</v>
      </c>
      <c r="K11" s="102">
        <v>4552.469099999912</v>
      </c>
      <c r="L11" s="102">
        <v>4686.2528999998904</v>
      </c>
      <c r="M11" s="102">
        <v>2677.1848999999775</v>
      </c>
      <c r="N11" s="102">
        <v>100544.89580000707</v>
      </c>
      <c r="O11" s="664">
        <v>25715.471999999401</v>
      </c>
      <c r="P11" s="664">
        <v>15416.822799999378</v>
      </c>
      <c r="Q11" s="664">
        <v>25485.55049999859</v>
      </c>
      <c r="R11" s="664">
        <v>37489.280200001696</v>
      </c>
      <c r="S11" s="664">
        <v>1301.8813000000048</v>
      </c>
      <c r="T11" s="671">
        <v>558.59179999999969</v>
      </c>
      <c r="U11" s="664">
        <v>90476.666899996388</v>
      </c>
      <c r="V11" s="664">
        <v>4388.7979000049818</v>
      </c>
      <c r="W11" s="664">
        <v>18999.695199999151</v>
      </c>
    </row>
    <row r="12" spans="1:23">
      <c r="A12" s="101" t="s">
        <v>160</v>
      </c>
      <c r="B12" s="653">
        <v>623997.30829870212</v>
      </c>
      <c r="C12" s="673">
        <v>225422.07590026365</v>
      </c>
      <c r="D12" s="664">
        <v>9215.9539999993849</v>
      </c>
      <c r="E12" s="664">
        <v>2782.8371999999795</v>
      </c>
      <c r="F12" s="664">
        <v>311.45039999999972</v>
      </c>
      <c r="G12" s="664">
        <v>312.38959999999969</v>
      </c>
      <c r="H12" s="664">
        <v>14705.95989999931</v>
      </c>
      <c r="I12" s="664">
        <v>13299.964999999333</v>
      </c>
      <c r="J12" s="664">
        <v>4602.2823999999009</v>
      </c>
      <c r="K12" s="102">
        <v>4468.9763999999304</v>
      </c>
      <c r="L12" s="102">
        <v>3742.6453999999649</v>
      </c>
      <c r="M12" s="102">
        <v>3715.9483999999611</v>
      </c>
      <c r="N12" s="102">
        <v>127953.05970000481</v>
      </c>
      <c r="O12" s="664">
        <v>37662.706700002651</v>
      </c>
      <c r="P12" s="664">
        <v>16733.783999999392</v>
      </c>
      <c r="Q12" s="664">
        <v>17870.042799999166</v>
      </c>
      <c r="R12" s="664">
        <v>27754.389099999356</v>
      </c>
      <c r="S12" s="664">
        <v>1364.8450000000037</v>
      </c>
      <c r="T12" s="664">
        <v>1114.6023000000043</v>
      </c>
      <c r="U12" s="664">
        <v>90127.074499999188</v>
      </c>
      <c r="V12" s="664">
        <v>4062.2095000008667</v>
      </c>
      <c r="W12" s="664">
        <v>16774.11009999926</v>
      </c>
    </row>
    <row r="13" spans="1:23">
      <c r="A13" s="101" t="s">
        <v>161</v>
      </c>
      <c r="B13" s="653">
        <v>21615.905499999819</v>
      </c>
      <c r="C13" s="673">
        <v>7411.5331999995242</v>
      </c>
      <c r="D13" s="664">
        <v>1042.112500000005</v>
      </c>
      <c r="E13" s="664">
        <v>91.855000000000018</v>
      </c>
      <c r="F13" s="664">
        <v>10.509100000000002</v>
      </c>
      <c r="G13" s="664">
        <v>8.5672000000000015</v>
      </c>
      <c r="H13" s="664">
        <v>842.84560000000181</v>
      </c>
      <c r="I13" s="664">
        <v>78.038100000000028</v>
      </c>
      <c r="J13" s="664">
        <v>14.300300000000002</v>
      </c>
      <c r="K13" s="102">
        <v>137.16940000000008</v>
      </c>
      <c r="L13" s="102">
        <v>27.090999999999998</v>
      </c>
      <c r="M13" s="102">
        <v>54.074100000000016</v>
      </c>
      <c r="N13" s="102">
        <v>3748.1860999999526</v>
      </c>
      <c r="O13" s="664">
        <v>130.28480000000008</v>
      </c>
      <c r="P13" s="664">
        <v>1285.6425000000031</v>
      </c>
      <c r="Q13" s="664">
        <v>878.45289999999989</v>
      </c>
      <c r="R13" s="664">
        <v>1351.6367000000034</v>
      </c>
      <c r="S13" s="671">
        <v>0</v>
      </c>
      <c r="T13" s="671">
        <v>9.8069999999999986</v>
      </c>
      <c r="U13" s="664">
        <v>3551.6833999999603</v>
      </c>
      <c r="V13" s="664">
        <v>205.29769999999803</v>
      </c>
      <c r="W13" s="664">
        <v>736.81890000000135</v>
      </c>
    </row>
    <row r="14" spans="1:23">
      <c r="A14" s="101" t="s">
        <v>162</v>
      </c>
      <c r="B14" s="653">
        <v>33588.204200000182</v>
      </c>
      <c r="C14" s="673">
        <v>9636.8932999995577</v>
      </c>
      <c r="D14" s="664">
        <v>1346.3858000000025</v>
      </c>
      <c r="E14" s="664">
        <v>157.75180000000009</v>
      </c>
      <c r="F14" s="664">
        <v>51.189299999999996</v>
      </c>
      <c r="G14" s="664">
        <v>47.456099999999985</v>
      </c>
      <c r="H14" s="664">
        <v>1308.4522000000031</v>
      </c>
      <c r="I14" s="664">
        <v>210.27400000000014</v>
      </c>
      <c r="J14" s="664">
        <v>524.85349999999971</v>
      </c>
      <c r="K14" s="102">
        <v>416.26489999999933</v>
      </c>
      <c r="L14" s="102">
        <v>92.306300000000022</v>
      </c>
      <c r="M14" s="102">
        <v>100.66240000000003</v>
      </c>
      <c r="N14" s="102">
        <v>5561.5363999998026</v>
      </c>
      <c r="O14" s="664">
        <v>1224.0360000000039</v>
      </c>
      <c r="P14" s="664">
        <v>1063.1391000000037</v>
      </c>
      <c r="Q14" s="664">
        <v>675.81289999999933</v>
      </c>
      <c r="R14" s="664">
        <v>2126.4108999999994</v>
      </c>
      <c r="S14" s="671">
        <v>234.24219999999997</v>
      </c>
      <c r="T14" s="671">
        <v>0</v>
      </c>
      <c r="U14" s="664">
        <v>7885.0434999994486</v>
      </c>
      <c r="V14" s="664">
        <v>260.10759999998572</v>
      </c>
      <c r="W14" s="664">
        <v>665.38600000000088</v>
      </c>
    </row>
    <row r="15" spans="1:23">
      <c r="A15" s="347" t="s">
        <v>163</v>
      </c>
      <c r="B15" s="653">
        <v>102150.76850000075</v>
      </c>
      <c r="C15" s="655">
        <v>45682.898300005363</v>
      </c>
      <c r="D15" s="648">
        <v>1759.6396000000009</v>
      </c>
      <c r="E15" s="648">
        <v>255.51080000000019</v>
      </c>
      <c r="F15" s="648">
        <v>72.412599999999998</v>
      </c>
      <c r="G15" s="648">
        <v>139.38500000000008</v>
      </c>
      <c r="H15" s="648">
        <v>2788.8673999999851</v>
      </c>
      <c r="I15" s="648">
        <v>1067.341800000004</v>
      </c>
      <c r="J15" s="648">
        <v>1131.9146000000044</v>
      </c>
      <c r="K15" s="348">
        <v>837.4170000000023</v>
      </c>
      <c r="L15" s="348">
        <v>293.81230000000011</v>
      </c>
      <c r="M15" s="348">
        <v>430.92079999999976</v>
      </c>
      <c r="N15" s="348">
        <v>14324.56049999917</v>
      </c>
      <c r="O15" s="648">
        <v>3389.1338999999671</v>
      </c>
      <c r="P15" s="648">
        <v>1678.3210000000015</v>
      </c>
      <c r="Q15" s="648">
        <v>2839.6467999999918</v>
      </c>
      <c r="R15" s="648">
        <v>7210.0237999995579</v>
      </c>
      <c r="S15" s="652">
        <v>87.538400000000024</v>
      </c>
      <c r="T15" s="652">
        <v>5.9231999999999996</v>
      </c>
      <c r="U15" s="648">
        <v>15483.774399998778</v>
      </c>
      <c r="V15" s="648">
        <v>690.81309999992118</v>
      </c>
      <c r="W15" s="648">
        <v>1980.9132000000004</v>
      </c>
    </row>
  </sheetData>
  <mergeCells count="1">
    <mergeCell ref="A1:W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09D1-8AD8-420E-B974-0DF73D070F83}">
  <sheetPr>
    <tabColor rgb="FF2B3415"/>
  </sheetPr>
  <dimension ref="A1"/>
  <sheetViews>
    <sheetView workbookViewId="0">
      <selection activeCell="M20" sqref="M20"/>
    </sheetView>
  </sheetViews>
  <sheetFormatPr defaultRowHeight="15"/>
  <cols>
    <col min="1" max="16384" width="9.140625" style="14"/>
  </cols>
  <sheetData>
    <row r="1" spans="1:1">
      <c r="A1" s="68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4AE2-5667-42E3-96FB-2950E0AE53F2}">
  <sheetPr>
    <tabColor theme="0"/>
  </sheetPr>
  <dimension ref="A1:N35"/>
  <sheetViews>
    <sheetView tabSelected="1" workbookViewId="0">
      <selection activeCell="K36" sqref="K36"/>
    </sheetView>
  </sheetViews>
  <sheetFormatPr defaultRowHeight="12"/>
  <cols>
    <col min="1" max="1" width="17.85546875" style="30" customWidth="1"/>
    <col min="2" max="4" width="9.140625" style="30"/>
    <col min="5" max="5" width="3.85546875" style="30" customWidth="1"/>
    <col min="6" max="8" width="9.140625" style="30"/>
    <col min="9" max="9" width="3.5703125" style="30" customWidth="1"/>
    <col min="10" max="12" width="9.140625" style="452"/>
    <col min="13" max="13" width="9.140625" style="687"/>
    <col min="14" max="16384" width="9.140625" style="30"/>
  </cols>
  <sheetData>
    <row r="1" spans="1:14" ht="22.5" customHeight="1" thickBot="1">
      <c r="A1" s="1016" t="s">
        <v>503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450"/>
    </row>
    <row r="2" spans="1:14">
      <c r="A2" s="1014" t="s">
        <v>504</v>
      </c>
      <c r="B2" s="1009" t="s">
        <v>426</v>
      </c>
      <c r="C2" s="1009"/>
      <c r="D2" s="1009"/>
      <c r="E2" s="349"/>
      <c r="F2" s="1009" t="s">
        <v>427</v>
      </c>
      <c r="G2" s="1009"/>
      <c r="H2" s="1009"/>
      <c r="I2" s="349"/>
      <c r="J2" s="1011" t="s">
        <v>428</v>
      </c>
      <c r="K2" s="1011"/>
      <c r="L2" s="1011"/>
      <c r="M2" s="1013" t="s">
        <v>429</v>
      </c>
    </row>
    <row r="3" spans="1:14" ht="15" customHeight="1">
      <c r="A3" s="1015"/>
      <c r="B3" s="1010"/>
      <c r="C3" s="1010"/>
      <c r="D3" s="1010"/>
      <c r="E3" s="349"/>
      <c r="F3" s="1010"/>
      <c r="G3" s="1010"/>
      <c r="H3" s="1010"/>
      <c r="I3" s="349"/>
      <c r="J3" s="1012"/>
      <c r="K3" s="1012"/>
      <c r="L3" s="1012"/>
      <c r="M3" s="1013"/>
    </row>
    <row r="4" spans="1:14" ht="16.5" customHeight="1">
      <c r="A4" s="1015"/>
      <c r="B4" s="350" t="s">
        <v>0</v>
      </c>
      <c r="C4" s="351" t="s">
        <v>1</v>
      </c>
      <c r="D4" s="351" t="s">
        <v>2</v>
      </c>
      <c r="E4" s="351"/>
      <c r="F4" s="350" t="s">
        <v>0</v>
      </c>
      <c r="G4" s="351" t="s">
        <v>1</v>
      </c>
      <c r="H4" s="351" t="s">
        <v>2</v>
      </c>
      <c r="I4" s="351"/>
      <c r="J4" s="352" t="s">
        <v>0</v>
      </c>
      <c r="K4" s="353" t="s">
        <v>1</v>
      </c>
      <c r="L4" s="353" t="s">
        <v>2</v>
      </c>
      <c r="M4" s="1013"/>
    </row>
    <row r="5" spans="1:14" s="451" customFormat="1" ht="12.75" customHeight="1">
      <c r="A5" s="510" t="s">
        <v>146</v>
      </c>
      <c r="B5" s="192">
        <v>971026.77609629172</v>
      </c>
      <c r="C5" s="192">
        <v>472583.79079963907</v>
      </c>
      <c r="D5" s="192">
        <v>498442.985299639</v>
      </c>
      <c r="E5" s="192"/>
      <c r="F5" s="192">
        <v>872024.65959698276</v>
      </c>
      <c r="G5" s="192">
        <v>442089.9619997298</v>
      </c>
      <c r="H5" s="192">
        <v>429934.69759987114</v>
      </c>
      <c r="I5" s="192"/>
      <c r="J5" s="511">
        <v>89.80438861862541</v>
      </c>
      <c r="K5" s="511">
        <v>93.547423886808573</v>
      </c>
      <c r="L5" s="511">
        <v>86.255541813155403</v>
      </c>
      <c r="M5" s="683">
        <f>L5/K5</f>
        <v>0.92205149248710183</v>
      </c>
    </row>
    <row r="6" spans="1:14" ht="12.75" customHeight="1">
      <c r="A6" s="512"/>
      <c r="B6" s="513"/>
      <c r="C6" s="513"/>
      <c r="D6" s="513"/>
      <c r="E6" s="513"/>
      <c r="F6" s="513"/>
      <c r="G6" s="513"/>
      <c r="H6" s="513"/>
      <c r="I6" s="513"/>
      <c r="J6" s="514"/>
      <c r="K6" s="514"/>
      <c r="L6" s="514"/>
      <c r="M6" s="684"/>
    </row>
    <row r="7" spans="1:14" s="451" customFormat="1" ht="12.75" customHeight="1">
      <c r="A7" s="354" t="s">
        <v>3</v>
      </c>
      <c r="B7" s="192"/>
      <c r="C7" s="192"/>
      <c r="D7" s="192"/>
      <c r="E7" s="192"/>
      <c r="F7" s="192"/>
      <c r="G7" s="192"/>
      <c r="H7" s="192"/>
      <c r="I7" s="192"/>
      <c r="J7" s="511"/>
      <c r="K7" s="511"/>
      <c r="L7" s="511"/>
      <c r="M7" s="685"/>
    </row>
    <row r="8" spans="1:14" ht="12.75" customHeight="1">
      <c r="A8" s="512" t="s">
        <v>4</v>
      </c>
      <c r="B8" s="513">
        <v>872957.46749694576</v>
      </c>
      <c r="C8" s="513">
        <v>423247.71779984829</v>
      </c>
      <c r="D8" s="513">
        <v>449709.74969978986</v>
      </c>
      <c r="E8" s="513"/>
      <c r="F8" s="513">
        <v>803161.62949766463</v>
      </c>
      <c r="G8" s="513">
        <v>402823.71889988781</v>
      </c>
      <c r="H8" s="513">
        <v>400337.91059991729</v>
      </c>
      <c r="I8" s="513"/>
      <c r="J8" s="514">
        <v>92.004669116328657</v>
      </c>
      <c r="K8" s="514">
        <v>95.174457406171413</v>
      </c>
      <c r="L8" s="514">
        <v>89.021398995101862</v>
      </c>
      <c r="M8" s="684">
        <f t="shared" ref="M8:M32" si="0">L8/K8</f>
        <v>0.93534968752371828</v>
      </c>
    </row>
    <row r="9" spans="1:14" ht="12.75" customHeight="1">
      <c r="A9" s="512" t="s">
        <v>5</v>
      </c>
      <c r="B9" s="513">
        <v>98069.308600018732</v>
      </c>
      <c r="C9" s="513">
        <v>49336.073000004319</v>
      </c>
      <c r="D9" s="513">
        <v>48733.235600004708</v>
      </c>
      <c r="E9" s="513"/>
      <c r="F9" s="513">
        <v>68863.03010000661</v>
      </c>
      <c r="G9" s="513">
        <v>39266.243100003041</v>
      </c>
      <c r="H9" s="513">
        <v>29596.787000001703</v>
      </c>
      <c r="I9" s="513"/>
      <c r="J9" s="514">
        <v>70.218737220698898</v>
      </c>
      <c r="K9" s="514">
        <v>79.589316117624605</v>
      </c>
      <c r="L9" s="514">
        <v>60.732242863830628</v>
      </c>
      <c r="M9" s="684">
        <f t="shared" si="0"/>
        <v>0.76307029418464645</v>
      </c>
    </row>
    <row r="10" spans="1:14" s="451" customFormat="1" ht="12.75" customHeight="1">
      <c r="A10" s="354" t="s">
        <v>430</v>
      </c>
      <c r="B10" s="192"/>
      <c r="C10" s="192"/>
      <c r="D10" s="192"/>
      <c r="E10" s="192"/>
      <c r="F10" s="192"/>
      <c r="G10" s="192"/>
      <c r="H10" s="192"/>
      <c r="I10" s="192"/>
      <c r="J10" s="511"/>
      <c r="K10" s="511"/>
      <c r="L10" s="511"/>
      <c r="M10" s="685"/>
    </row>
    <row r="11" spans="1:14" s="28" customFormat="1" ht="12.75" customHeight="1">
      <c r="A11" s="515" t="s">
        <v>148</v>
      </c>
      <c r="B11" s="516">
        <v>45589.543700005022</v>
      </c>
      <c r="C11" s="516">
        <v>22421.656200001362</v>
      </c>
      <c r="D11" s="516">
        <v>23167.887500001587</v>
      </c>
      <c r="E11" s="516"/>
      <c r="F11" s="516">
        <v>31946.385300002021</v>
      </c>
      <c r="G11" s="516">
        <v>18164.752700000805</v>
      </c>
      <c r="H11" s="516">
        <v>13781.632600000248</v>
      </c>
      <c r="I11" s="516"/>
      <c r="J11" s="517">
        <v>70.073930790391842</v>
      </c>
      <c r="K11" s="517">
        <v>81.014321769856465</v>
      </c>
      <c r="L11" s="517">
        <v>59.485926802774166</v>
      </c>
      <c r="M11" s="684">
        <f t="shared" si="0"/>
        <v>0.73426433133341973</v>
      </c>
    </row>
    <row r="12" spans="1:14" ht="12.75" customHeight="1">
      <c r="A12" s="518" t="s">
        <v>148</v>
      </c>
      <c r="B12" s="513">
        <v>15746.034700000428</v>
      </c>
      <c r="C12" s="513">
        <v>7821.9932999994626</v>
      </c>
      <c r="D12" s="513">
        <v>7924.0413999994744</v>
      </c>
      <c r="E12" s="513"/>
      <c r="F12" s="513">
        <v>13021.340000000024</v>
      </c>
      <c r="G12" s="513">
        <v>7030.0028999995602</v>
      </c>
      <c r="H12" s="513">
        <v>5991.3370999996896</v>
      </c>
      <c r="I12" s="513"/>
      <c r="J12" s="514">
        <v>82.695994566806888</v>
      </c>
      <c r="K12" s="514">
        <v>89.87482640774455</v>
      </c>
      <c r="L12" s="514">
        <v>75.609613801365853</v>
      </c>
      <c r="M12" s="684">
        <f t="shared" si="0"/>
        <v>0.84127688278739798</v>
      </c>
    </row>
    <row r="13" spans="1:14" ht="12.75" customHeight="1">
      <c r="A13" s="518" t="s">
        <v>149</v>
      </c>
      <c r="B13" s="513">
        <v>16975.421500001143</v>
      </c>
      <c r="C13" s="513">
        <v>8104.1708999995162</v>
      </c>
      <c r="D13" s="513">
        <v>8871.250599999672</v>
      </c>
      <c r="E13" s="513"/>
      <c r="F13" s="513">
        <v>10348.386199999881</v>
      </c>
      <c r="G13" s="513">
        <v>6114.8039999997118</v>
      </c>
      <c r="H13" s="513">
        <v>4233.5821999999416</v>
      </c>
      <c r="I13" s="513"/>
      <c r="J13" s="514">
        <v>60.960997050936278</v>
      </c>
      <c r="K13" s="514">
        <v>75.452554930699606</v>
      </c>
      <c r="L13" s="514">
        <v>47.722495856448248</v>
      </c>
      <c r="M13" s="684">
        <f t="shared" si="0"/>
        <v>0.63248349774609491</v>
      </c>
    </row>
    <row r="14" spans="1:14" ht="12.75" customHeight="1">
      <c r="A14" s="518" t="s">
        <v>150</v>
      </c>
      <c r="B14" s="513">
        <v>5457.1154999997907</v>
      </c>
      <c r="C14" s="513">
        <v>2791.041199999966</v>
      </c>
      <c r="D14" s="513">
        <v>2666.0742999999661</v>
      </c>
      <c r="E14" s="513"/>
      <c r="F14" s="513">
        <v>3293.7802999999467</v>
      </c>
      <c r="G14" s="513">
        <v>2032.4459999999899</v>
      </c>
      <c r="H14" s="513">
        <v>1261.3343000000007</v>
      </c>
      <c r="I14" s="513"/>
      <c r="J14" s="514">
        <v>60.357533205960017</v>
      </c>
      <c r="K14" s="514">
        <v>72.8203510575199</v>
      </c>
      <c r="L14" s="514">
        <v>47.310545696345386</v>
      </c>
      <c r="M14" s="684">
        <f t="shared" si="0"/>
        <v>0.64968851439586395</v>
      </c>
    </row>
    <row r="15" spans="1:14" ht="12.75" customHeight="1">
      <c r="A15" s="518" t="s">
        <v>151</v>
      </c>
      <c r="B15" s="513">
        <v>7410.971999999575</v>
      </c>
      <c r="C15" s="513">
        <v>3704.4507999999219</v>
      </c>
      <c r="D15" s="513">
        <v>3706.521199999931</v>
      </c>
      <c r="E15" s="513"/>
      <c r="F15" s="513">
        <v>5282.878799999783</v>
      </c>
      <c r="G15" s="513">
        <v>2987.4997999999609</v>
      </c>
      <c r="H15" s="513">
        <v>2295.3789999999822</v>
      </c>
      <c r="I15" s="513"/>
      <c r="J15" s="514">
        <v>71.284560243922854</v>
      </c>
      <c r="K15" s="514">
        <v>80.646226965682317</v>
      </c>
      <c r="L15" s="514">
        <v>61.928122790718923</v>
      </c>
      <c r="M15" s="684">
        <f t="shared" si="0"/>
        <v>0.76789857530559269</v>
      </c>
    </row>
    <row r="16" spans="1:14" s="28" customFormat="1" ht="12.75" customHeight="1">
      <c r="A16" s="515" t="s">
        <v>152</v>
      </c>
      <c r="B16" s="516">
        <v>18557.985600000837</v>
      </c>
      <c r="C16" s="516">
        <v>9628.9277999996411</v>
      </c>
      <c r="D16" s="516">
        <v>8929.0577999995749</v>
      </c>
      <c r="E16" s="516"/>
      <c r="F16" s="516">
        <v>12437.531500000043</v>
      </c>
      <c r="G16" s="516">
        <v>7508.1795999995429</v>
      </c>
      <c r="H16" s="516">
        <v>4929.3518999998269</v>
      </c>
      <c r="I16" s="516"/>
      <c r="J16" s="517">
        <v>67.019835924430396</v>
      </c>
      <c r="K16" s="517">
        <v>77.975240400081219</v>
      </c>
      <c r="L16" s="517">
        <v>55.20573402492915</v>
      </c>
      <c r="M16" s="684">
        <f t="shared" si="0"/>
        <v>0.707990558819382</v>
      </c>
    </row>
    <row r="17" spans="1:13" ht="12.75" customHeight="1">
      <c r="A17" s="518" t="s">
        <v>153</v>
      </c>
      <c r="B17" s="513">
        <v>11232.905599999862</v>
      </c>
      <c r="C17" s="513">
        <v>5913.6408999997147</v>
      </c>
      <c r="D17" s="513">
        <v>5319.2646999998005</v>
      </c>
      <c r="E17" s="513"/>
      <c r="F17" s="513">
        <v>8171.6775999994361</v>
      </c>
      <c r="G17" s="513">
        <v>4826.3555999998598</v>
      </c>
      <c r="H17" s="513">
        <v>3345.3219999999533</v>
      </c>
      <c r="I17" s="513"/>
      <c r="J17" s="514">
        <v>72.74767447524863</v>
      </c>
      <c r="K17" s="514">
        <v>81.613944465248167</v>
      </c>
      <c r="L17" s="514">
        <v>62.890684872292766</v>
      </c>
      <c r="M17" s="684">
        <f t="shared" si="0"/>
        <v>0.77058749315899189</v>
      </c>
    </row>
    <row r="18" spans="1:13" ht="12.75" customHeight="1">
      <c r="A18" s="518" t="s">
        <v>154</v>
      </c>
      <c r="B18" s="513">
        <v>1155.1303000000003</v>
      </c>
      <c r="C18" s="513">
        <v>643.55549999999994</v>
      </c>
      <c r="D18" s="513">
        <v>511.57479999999816</v>
      </c>
      <c r="E18" s="513"/>
      <c r="F18" s="513">
        <v>897.74580000000265</v>
      </c>
      <c r="G18" s="513">
        <v>569.19529999999918</v>
      </c>
      <c r="H18" s="513">
        <v>328.55049999999966</v>
      </c>
      <c r="I18" s="513"/>
      <c r="J18" s="514">
        <v>77.718141407943619</v>
      </c>
      <c r="K18" s="514">
        <v>88.445409914141266</v>
      </c>
      <c r="L18" s="514">
        <v>64.223355020614903</v>
      </c>
      <c r="M18" s="684">
        <f t="shared" si="0"/>
        <v>0.72613553470960202</v>
      </c>
    </row>
    <row r="19" spans="1:13" ht="12.75" customHeight="1">
      <c r="A19" s="518" t="s">
        <v>155</v>
      </c>
      <c r="B19" s="513">
        <v>2741.032099999964</v>
      </c>
      <c r="C19" s="513">
        <v>1370.1771999999994</v>
      </c>
      <c r="D19" s="513">
        <v>1370.8548999999998</v>
      </c>
      <c r="E19" s="513"/>
      <c r="F19" s="513">
        <v>1507.5135999999957</v>
      </c>
      <c r="G19" s="513">
        <v>956.92950000000337</v>
      </c>
      <c r="H19" s="513">
        <v>550.58409999999833</v>
      </c>
      <c r="I19" s="513"/>
      <c r="J19" s="514">
        <v>54.998027932617887</v>
      </c>
      <c r="K19" s="514">
        <v>69.839835314731886</v>
      </c>
      <c r="L19" s="514">
        <v>40.163557791565026</v>
      </c>
      <c r="M19" s="684">
        <f t="shared" si="0"/>
        <v>0.57508093497885149</v>
      </c>
    </row>
    <row r="20" spans="1:13" ht="12.75" customHeight="1">
      <c r="A20" s="518" t="s">
        <v>156</v>
      </c>
      <c r="B20" s="513">
        <v>3428.9175999999479</v>
      </c>
      <c r="C20" s="513">
        <v>1701.5541999999941</v>
      </c>
      <c r="D20" s="513">
        <v>1727.3633999999929</v>
      </c>
      <c r="E20" s="513"/>
      <c r="F20" s="513">
        <v>1860.5944999999924</v>
      </c>
      <c r="G20" s="513">
        <v>1155.6992000000027</v>
      </c>
      <c r="H20" s="513">
        <v>704.89530000000025</v>
      </c>
      <c r="I20" s="513"/>
      <c r="J20" s="514">
        <v>54.261860944107454</v>
      </c>
      <c r="K20" s="514">
        <v>67.920210828430172</v>
      </c>
      <c r="L20" s="514">
        <v>40.807585711264061</v>
      </c>
      <c r="M20" s="684">
        <f t="shared" si="0"/>
        <v>0.60081653477704966</v>
      </c>
    </row>
    <row r="21" spans="1:13" s="28" customFormat="1" ht="12.75" customHeight="1">
      <c r="A21" s="515" t="s">
        <v>157</v>
      </c>
      <c r="B21" s="516">
        <v>384322.95749996084</v>
      </c>
      <c r="C21" s="516">
        <v>188702.75850015119</v>
      </c>
      <c r="D21" s="516">
        <v>195620.19900016367</v>
      </c>
      <c r="E21" s="516"/>
      <c r="F21" s="516">
        <v>348604.13250005472</v>
      </c>
      <c r="G21" s="516">
        <v>178294.30500014202</v>
      </c>
      <c r="H21" s="516">
        <v>170309.8275001226</v>
      </c>
      <c r="I21" s="516"/>
      <c r="J21" s="517">
        <v>90.706039204152404</v>
      </c>
      <c r="K21" s="517">
        <v>94.484207023340787</v>
      </c>
      <c r="L21" s="517">
        <v>87.061473391039016</v>
      </c>
      <c r="M21" s="684">
        <f t="shared" si="0"/>
        <v>0.92143942499863385</v>
      </c>
    </row>
    <row r="22" spans="1:13" ht="12.75" customHeight="1">
      <c r="A22" s="518" t="s">
        <v>157</v>
      </c>
      <c r="B22" s="513">
        <v>221123.19070021409</v>
      </c>
      <c r="C22" s="513">
        <v>108209.26540002678</v>
      </c>
      <c r="D22" s="513">
        <v>112913.92530003474</v>
      </c>
      <c r="E22" s="513"/>
      <c r="F22" s="513">
        <v>202810.3872001835</v>
      </c>
      <c r="G22" s="513">
        <v>102990.79610002361</v>
      </c>
      <c r="H22" s="513">
        <v>99819.591100024671</v>
      </c>
      <c r="I22" s="513"/>
      <c r="J22" s="514">
        <v>91.718280003963855</v>
      </c>
      <c r="K22" s="514">
        <v>95.177428401602285</v>
      </c>
      <c r="L22" s="514">
        <v>88.403260124708055</v>
      </c>
      <c r="M22" s="684">
        <f t="shared" si="0"/>
        <v>0.92882589506084834</v>
      </c>
    </row>
    <row r="23" spans="1:13" ht="12.75" customHeight="1">
      <c r="A23" s="518" t="s">
        <v>158</v>
      </c>
      <c r="B23" s="513">
        <v>66581.629300008586</v>
      </c>
      <c r="C23" s="513">
        <v>32936.056500002553</v>
      </c>
      <c r="D23" s="513">
        <v>33645.572800002155</v>
      </c>
      <c r="E23" s="513"/>
      <c r="F23" s="513">
        <v>56766.346300007441</v>
      </c>
      <c r="G23" s="513">
        <v>29992.371500002166</v>
      </c>
      <c r="H23" s="513">
        <v>26773.974800000557</v>
      </c>
      <c r="I23" s="513"/>
      <c r="J23" s="514">
        <v>85.258271533449545</v>
      </c>
      <c r="K23" s="514">
        <v>91.062424246190744</v>
      </c>
      <c r="L23" s="514">
        <v>79.57651652759462</v>
      </c>
      <c r="M23" s="684">
        <f t="shared" si="0"/>
        <v>0.87386775814859119</v>
      </c>
    </row>
    <row r="24" spans="1:13" ht="12.75" customHeight="1">
      <c r="A24" s="518" t="s">
        <v>159</v>
      </c>
      <c r="B24" s="513">
        <v>96618.137500017474</v>
      </c>
      <c r="C24" s="513">
        <v>47557.436600007939</v>
      </c>
      <c r="D24" s="513">
        <v>49060.700900007316</v>
      </c>
      <c r="E24" s="513"/>
      <c r="F24" s="513">
        <v>89027.39900001949</v>
      </c>
      <c r="G24" s="513">
        <v>45311.137400005449</v>
      </c>
      <c r="H24" s="513">
        <v>43716.261600004444</v>
      </c>
      <c r="I24" s="513"/>
      <c r="J24" s="514">
        <v>92.14356776438008</v>
      </c>
      <c r="K24" s="514">
        <v>95.276660474982023</v>
      </c>
      <c r="L24" s="514">
        <v>89.106475851399082</v>
      </c>
      <c r="M24" s="684">
        <f t="shared" si="0"/>
        <v>0.93523928533155165</v>
      </c>
    </row>
    <row r="25" spans="1:13" s="28" customFormat="1" ht="12.75" customHeight="1">
      <c r="A25" s="515" t="s">
        <v>160</v>
      </c>
      <c r="B25" s="516">
        <v>415528.82909993612</v>
      </c>
      <c r="C25" s="516">
        <v>198718.51070015639</v>
      </c>
      <c r="D25" s="516">
        <v>216810.31840019135</v>
      </c>
      <c r="E25" s="516"/>
      <c r="F25" s="516">
        <v>394349.07980001549</v>
      </c>
      <c r="G25" s="516">
        <v>192785.01560014579</v>
      </c>
      <c r="H25" s="516">
        <v>201564.06420015611</v>
      </c>
      <c r="I25" s="516"/>
      <c r="J25" s="517">
        <v>94.902941067734673</v>
      </c>
      <c r="K25" s="517">
        <v>97.014120587385008</v>
      </c>
      <c r="L25" s="517">
        <v>92.96792961122236</v>
      </c>
      <c r="M25" s="684">
        <f t="shared" si="0"/>
        <v>0.95829276241783734</v>
      </c>
    </row>
    <row r="26" spans="1:13" ht="12.75" customHeight="1">
      <c r="A26" s="518" t="s">
        <v>160</v>
      </c>
      <c r="B26" s="513">
        <v>415528.82909993612</v>
      </c>
      <c r="C26" s="513">
        <v>198718.51070015639</v>
      </c>
      <c r="D26" s="513">
        <v>216810.31840019135</v>
      </c>
      <c r="E26" s="513"/>
      <c r="F26" s="513">
        <v>394349.07980001549</v>
      </c>
      <c r="G26" s="513">
        <v>192785.01560014579</v>
      </c>
      <c r="H26" s="513">
        <v>201564.06420015611</v>
      </c>
      <c r="I26" s="513"/>
      <c r="J26" s="514">
        <v>94.902941067734673</v>
      </c>
      <c r="K26" s="514">
        <v>97.014120587385008</v>
      </c>
      <c r="L26" s="514">
        <v>92.96792961122236</v>
      </c>
      <c r="M26" s="684">
        <f t="shared" si="0"/>
        <v>0.95829276241783734</v>
      </c>
    </row>
    <row r="27" spans="1:13" s="28" customFormat="1" ht="12.75" customHeight="1">
      <c r="A27" s="515" t="s">
        <v>161</v>
      </c>
      <c r="B27" s="516">
        <v>13832.609900000067</v>
      </c>
      <c r="C27" s="516">
        <v>6962.0563999995775</v>
      </c>
      <c r="D27" s="516">
        <v>6870.5534999995634</v>
      </c>
      <c r="E27" s="516"/>
      <c r="F27" s="516">
        <v>11401.792499999809</v>
      </c>
      <c r="G27" s="516">
        <v>6212.3516999996673</v>
      </c>
      <c r="H27" s="516">
        <v>5189.4407999997757</v>
      </c>
      <c r="I27" s="516"/>
      <c r="J27" s="517">
        <v>82.426907014850016</v>
      </c>
      <c r="K27" s="517">
        <v>89.231562387231932</v>
      </c>
      <c r="L27" s="517">
        <v>75.531626382070542</v>
      </c>
      <c r="M27" s="684">
        <f t="shared" si="0"/>
        <v>0.84646759914716341</v>
      </c>
    </row>
    <row r="28" spans="1:13" ht="12.75" customHeight="1">
      <c r="A28" s="518" t="s">
        <v>161</v>
      </c>
      <c r="B28" s="513">
        <v>13832.609900000067</v>
      </c>
      <c r="C28" s="513">
        <v>6962.0563999995775</v>
      </c>
      <c r="D28" s="513">
        <v>6870.5534999995634</v>
      </c>
      <c r="E28" s="513"/>
      <c r="F28" s="513">
        <v>11401.792499999809</v>
      </c>
      <c r="G28" s="513">
        <v>6212.3516999996673</v>
      </c>
      <c r="H28" s="513">
        <v>5189.4407999997757</v>
      </c>
      <c r="I28" s="513"/>
      <c r="J28" s="514">
        <v>82.426907014850016</v>
      </c>
      <c r="K28" s="514">
        <v>89.231562387231932</v>
      </c>
      <c r="L28" s="514">
        <v>75.531626382070542</v>
      </c>
      <c r="M28" s="684">
        <f t="shared" si="0"/>
        <v>0.84646759914716341</v>
      </c>
    </row>
    <row r="29" spans="1:13" s="28" customFormat="1" ht="12.75" customHeight="1">
      <c r="A29" s="515" t="s">
        <v>162</v>
      </c>
      <c r="B29" s="516">
        <v>22315.602200001038</v>
      </c>
      <c r="C29" s="516">
        <v>10635.675899999722</v>
      </c>
      <c r="D29" s="516">
        <v>11679.926299999915</v>
      </c>
      <c r="E29" s="516"/>
      <c r="F29" s="516">
        <v>16715.442400000305</v>
      </c>
      <c r="G29" s="516">
        <v>8975.4529999995266</v>
      </c>
      <c r="H29" s="516">
        <v>7739.9893999994711</v>
      </c>
      <c r="I29" s="516"/>
      <c r="J29" s="517">
        <v>74.904733693448179</v>
      </c>
      <c r="K29" s="517">
        <v>84.390057429261788</v>
      </c>
      <c r="L29" s="517">
        <v>66.267450677321918</v>
      </c>
      <c r="M29" s="684">
        <f t="shared" si="0"/>
        <v>0.78525187321823109</v>
      </c>
    </row>
    <row r="30" spans="1:13" ht="12.75" customHeight="1">
      <c r="A30" s="518" t="s">
        <v>162</v>
      </c>
      <c r="B30" s="513">
        <v>22315.602200001038</v>
      </c>
      <c r="C30" s="513">
        <v>10635.675899999722</v>
      </c>
      <c r="D30" s="513">
        <v>11679.926299999915</v>
      </c>
      <c r="E30" s="513"/>
      <c r="F30" s="513">
        <v>16715.442400000305</v>
      </c>
      <c r="G30" s="513">
        <v>8975.4529999995266</v>
      </c>
      <c r="H30" s="513">
        <v>7739.9893999994711</v>
      </c>
      <c r="I30" s="513"/>
      <c r="J30" s="514">
        <v>74.904733693448179</v>
      </c>
      <c r="K30" s="514">
        <v>84.390057429261788</v>
      </c>
      <c r="L30" s="514">
        <v>66.267450677321918</v>
      </c>
      <c r="M30" s="684">
        <f t="shared" si="0"/>
        <v>0.78525187321823109</v>
      </c>
    </row>
    <row r="31" spans="1:13" s="28" customFormat="1" ht="12.75" customHeight="1">
      <c r="A31" s="515" t="s">
        <v>163</v>
      </c>
      <c r="B31" s="516">
        <v>70879.248100007739</v>
      </c>
      <c r="C31" s="516">
        <v>35514.205300003458</v>
      </c>
      <c r="D31" s="516">
        <v>35365.042800003517</v>
      </c>
      <c r="E31" s="516"/>
      <c r="F31" s="516">
        <v>56570.295600007623</v>
      </c>
      <c r="G31" s="516">
        <v>30149.904400002713</v>
      </c>
      <c r="H31" s="516">
        <v>26420.391200001319</v>
      </c>
      <c r="I31" s="516"/>
      <c r="J31" s="517">
        <v>79.81221177767209</v>
      </c>
      <c r="K31" s="517">
        <v>84.895337359539681</v>
      </c>
      <c r="L31" s="517">
        <v>74.707646614231123</v>
      </c>
      <c r="M31" s="684">
        <f t="shared" si="0"/>
        <v>0.87999705210943757</v>
      </c>
    </row>
    <row r="32" spans="1:13" ht="12.75" customHeight="1">
      <c r="A32" s="519" t="s">
        <v>163</v>
      </c>
      <c r="B32" s="520">
        <v>70879.248100007739</v>
      </c>
      <c r="C32" s="520">
        <v>35514.205300003458</v>
      </c>
      <c r="D32" s="520">
        <v>35365.042800003517</v>
      </c>
      <c r="E32" s="520"/>
      <c r="F32" s="520">
        <v>56570.295600007623</v>
      </c>
      <c r="G32" s="520">
        <v>30149.904400002713</v>
      </c>
      <c r="H32" s="520">
        <v>26420.391200001319</v>
      </c>
      <c r="I32" s="520"/>
      <c r="J32" s="521">
        <v>79.81221177767209</v>
      </c>
      <c r="K32" s="521">
        <v>84.895337359539681</v>
      </c>
      <c r="L32" s="521">
        <v>74.707646614231123</v>
      </c>
      <c r="M32" s="686">
        <f t="shared" si="0"/>
        <v>0.87999705210943757</v>
      </c>
    </row>
    <row r="33" spans="10:12" ht="13.5" customHeight="1"/>
    <row r="34" spans="10:12" ht="13.5" customHeight="1">
      <c r="J34" s="30"/>
      <c r="K34" s="30"/>
      <c r="L34" s="30"/>
    </row>
    <row r="35" spans="10:12" ht="13.5" customHeight="1"/>
  </sheetData>
  <mergeCells count="6">
    <mergeCell ref="A1:M1"/>
    <mergeCell ref="B2:D3"/>
    <mergeCell ref="F2:H3"/>
    <mergeCell ref="J2:L3"/>
    <mergeCell ref="M2:M4"/>
    <mergeCell ref="A2:A4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347F-856E-4D10-B84A-A5943DFC65A1}">
  <sheetPr>
    <tabColor theme="0"/>
  </sheetPr>
  <dimension ref="A1:M60"/>
  <sheetViews>
    <sheetView zoomScaleNormal="100" workbookViewId="0">
      <selection activeCell="A9" sqref="A9"/>
    </sheetView>
  </sheetViews>
  <sheetFormatPr defaultRowHeight="12"/>
  <cols>
    <col min="1" max="1" width="20.140625" style="30" customWidth="1"/>
    <col min="2" max="4" width="9.140625" style="687"/>
    <col min="5" max="5" width="2.5703125" style="30" customWidth="1"/>
    <col min="6" max="8" width="9.140625" style="687"/>
    <col min="9" max="9" width="2.28515625" style="30" customWidth="1"/>
    <col min="10" max="10" width="9.140625" style="687"/>
    <col min="11" max="13" width="9.140625" style="692"/>
    <col min="14" max="16384" width="9.140625" style="30"/>
  </cols>
  <sheetData>
    <row r="1" spans="1:13" ht="14.25" customHeight="1" thickBot="1">
      <c r="A1" s="1017" t="s">
        <v>505</v>
      </c>
      <c r="B1" s="1017"/>
      <c r="C1" s="1017"/>
      <c r="D1" s="1017"/>
      <c r="E1" s="1017"/>
      <c r="F1" s="1017"/>
      <c r="G1" s="1017"/>
      <c r="H1" s="1017"/>
      <c r="I1" s="1017"/>
      <c r="J1" s="1017"/>
      <c r="K1" s="1017"/>
      <c r="L1" s="1017"/>
      <c r="M1" s="1017"/>
    </row>
    <row r="2" spans="1:13" ht="25.5" customHeight="1">
      <c r="A2" s="1022" t="s">
        <v>514</v>
      </c>
      <c r="B2" s="1018" t="s">
        <v>426</v>
      </c>
      <c r="C2" s="1018"/>
      <c r="D2" s="1018"/>
      <c r="E2" s="356"/>
      <c r="F2" s="1019" t="s">
        <v>506</v>
      </c>
      <c r="G2" s="1019"/>
      <c r="H2" s="1019"/>
      <c r="I2" s="357"/>
      <c r="J2" s="1020" t="s">
        <v>428</v>
      </c>
      <c r="K2" s="1020"/>
      <c r="L2" s="1020"/>
      <c r="M2" s="1021" t="s">
        <v>429</v>
      </c>
    </row>
    <row r="3" spans="1:13" ht="15" customHeight="1">
      <c r="A3" s="1023"/>
      <c r="B3" s="349" t="s">
        <v>0</v>
      </c>
      <c r="C3" s="358" t="s">
        <v>1</v>
      </c>
      <c r="D3" s="358" t="s">
        <v>2</v>
      </c>
      <c r="E3" s="358"/>
      <c r="F3" s="349" t="s">
        <v>0</v>
      </c>
      <c r="G3" s="358" t="s">
        <v>1</v>
      </c>
      <c r="H3" s="358" t="s">
        <v>2</v>
      </c>
      <c r="I3" s="358"/>
      <c r="J3" s="522" t="s">
        <v>0</v>
      </c>
      <c r="K3" s="359" t="s">
        <v>1</v>
      </c>
      <c r="L3" s="359" t="s">
        <v>2</v>
      </c>
      <c r="M3" s="1021"/>
    </row>
    <row r="4" spans="1:13" s="28" customFormat="1" ht="17.25" customHeight="1">
      <c r="A4" s="523" t="s">
        <v>146</v>
      </c>
      <c r="B4" s="693">
        <v>971026.77609629172</v>
      </c>
      <c r="C4" s="693">
        <v>472583.79079963907</v>
      </c>
      <c r="D4" s="693">
        <v>498442.985299639</v>
      </c>
      <c r="E4" s="195"/>
      <c r="F4" s="693">
        <v>872024.65959698276</v>
      </c>
      <c r="G4" s="693">
        <v>442089.9619997298</v>
      </c>
      <c r="H4" s="693">
        <v>429934.69759987114</v>
      </c>
      <c r="I4" s="195"/>
      <c r="J4" s="688">
        <v>89.80438861862541</v>
      </c>
      <c r="K4" s="688">
        <v>93.547423886808573</v>
      </c>
      <c r="L4" s="688">
        <v>86.255541813155403</v>
      </c>
      <c r="M4" s="688">
        <f>L4/K4</f>
        <v>0.92205149248710183</v>
      </c>
    </row>
    <row r="5" spans="1:13" s="28" customFormat="1">
      <c r="A5" s="201"/>
      <c r="B5" s="694"/>
      <c r="C5" s="694"/>
      <c r="D5" s="694"/>
      <c r="E5" s="202"/>
      <c r="F5" s="694"/>
      <c r="G5" s="694"/>
      <c r="H5" s="694"/>
      <c r="I5" s="202"/>
      <c r="J5" s="697"/>
      <c r="K5" s="697"/>
      <c r="L5" s="697"/>
      <c r="M5" s="689"/>
    </row>
    <row r="6" spans="1:13" s="28" customFormat="1" ht="17.25" customHeight="1">
      <c r="A6" s="523" t="s">
        <v>408</v>
      </c>
      <c r="B6" s="693"/>
      <c r="C6" s="693"/>
      <c r="D6" s="693"/>
      <c r="E6" s="195"/>
      <c r="F6" s="693"/>
      <c r="G6" s="693"/>
      <c r="H6" s="693"/>
      <c r="I6" s="195"/>
      <c r="J6" s="688"/>
      <c r="K6" s="688"/>
      <c r="L6" s="688"/>
      <c r="M6" s="688"/>
    </row>
    <row r="7" spans="1:13" ht="15" customHeight="1">
      <c r="A7" s="196" t="s">
        <v>108</v>
      </c>
      <c r="B7" s="695">
        <v>174728.36009991929</v>
      </c>
      <c r="C7" s="695">
        <v>84165.717300076591</v>
      </c>
      <c r="D7" s="695">
        <v>90562.642800086629</v>
      </c>
      <c r="E7" s="197"/>
      <c r="F7" s="695">
        <v>163273.30179997988</v>
      </c>
      <c r="G7" s="695">
        <v>78606.863300067867</v>
      </c>
      <c r="H7" s="695">
        <v>84666.438500077376</v>
      </c>
      <c r="I7" s="197"/>
      <c r="J7" s="698">
        <v>93.44407611138719</v>
      </c>
      <c r="K7" s="698">
        <v>93.395346492110818</v>
      </c>
      <c r="L7" s="698">
        <v>93.489363695881323</v>
      </c>
      <c r="M7" s="690">
        <f t="shared" ref="M7:M59" si="0">L7/K7</f>
        <v>1.0010066583325803</v>
      </c>
    </row>
    <row r="8" spans="1:13" ht="15" customHeight="1">
      <c r="A8" s="196" t="s">
        <v>109</v>
      </c>
      <c r="B8" s="695">
        <v>142171.72749993121</v>
      </c>
      <c r="C8" s="695">
        <v>67602.304000029108</v>
      </c>
      <c r="D8" s="695">
        <v>74569.423500012359</v>
      </c>
      <c r="E8" s="197"/>
      <c r="F8" s="695">
        <v>131837.19999988031</v>
      </c>
      <c r="G8" s="695">
        <v>63337.450000031298</v>
      </c>
      <c r="H8" s="695">
        <v>68499.75000002695</v>
      </c>
      <c r="I8" s="197"/>
      <c r="J8" s="698">
        <v>92.730954542412931</v>
      </c>
      <c r="K8" s="698">
        <v>93.691259398402252</v>
      </c>
      <c r="L8" s="698">
        <v>91.860372234133663</v>
      </c>
      <c r="M8" s="690">
        <f t="shared" si="0"/>
        <v>0.98045829273696572</v>
      </c>
    </row>
    <row r="9" spans="1:13" ht="15" customHeight="1">
      <c r="A9" s="196" t="s">
        <v>110</v>
      </c>
      <c r="B9" s="695">
        <v>117454.23799990927</v>
      </c>
      <c r="C9" s="695">
        <v>55595.985500021539</v>
      </c>
      <c r="D9" s="695">
        <v>61858.252500029434</v>
      </c>
      <c r="E9" s="197"/>
      <c r="F9" s="695">
        <v>108644.57449993044</v>
      </c>
      <c r="G9" s="695">
        <v>52284.171500017364</v>
      </c>
      <c r="H9" s="695">
        <v>56360.403000022503</v>
      </c>
      <c r="I9" s="197"/>
      <c r="J9" s="698">
        <v>92.499492866422827</v>
      </c>
      <c r="K9" s="698">
        <v>94.043069890278048</v>
      </c>
      <c r="L9" s="698">
        <v>91.112181030240805</v>
      </c>
      <c r="M9" s="690">
        <f t="shared" si="0"/>
        <v>0.96883461095584422</v>
      </c>
    </row>
    <row r="10" spans="1:13" ht="15" customHeight="1">
      <c r="A10" s="196" t="s">
        <v>111</v>
      </c>
      <c r="B10" s="695">
        <v>108117.22440009368</v>
      </c>
      <c r="C10" s="695">
        <v>50386.479299994011</v>
      </c>
      <c r="D10" s="695">
        <v>57730.745099986394</v>
      </c>
      <c r="E10" s="197"/>
      <c r="F10" s="695">
        <v>98852.419500068572</v>
      </c>
      <c r="G10" s="695">
        <v>47289.148799997223</v>
      </c>
      <c r="H10" s="695">
        <v>51563.27069999279</v>
      </c>
      <c r="I10" s="197"/>
      <c r="J10" s="698">
        <v>91.43077807309318</v>
      </c>
      <c r="K10" s="698">
        <v>93.852853894489911</v>
      </c>
      <c r="L10" s="698">
        <v>89.316828685833045</v>
      </c>
      <c r="M10" s="690">
        <f t="shared" si="0"/>
        <v>0.95166875571246556</v>
      </c>
    </row>
    <row r="11" spans="1:13" ht="15" customHeight="1">
      <c r="A11" s="196" t="s">
        <v>112</v>
      </c>
      <c r="B11" s="695">
        <v>100652.56080007345</v>
      </c>
      <c r="C11" s="695">
        <v>49029.091199995419</v>
      </c>
      <c r="D11" s="695">
        <v>51623.469599992728</v>
      </c>
      <c r="E11" s="197"/>
      <c r="F11" s="695">
        <v>91434.361500048471</v>
      </c>
      <c r="G11" s="695">
        <v>46446.364199998097</v>
      </c>
      <c r="H11" s="695">
        <v>44987.99729999961</v>
      </c>
      <c r="I11" s="197"/>
      <c r="J11" s="698">
        <v>90.841565056326914</v>
      </c>
      <c r="K11" s="698">
        <v>94.732256020285647</v>
      </c>
      <c r="L11" s="698">
        <v>87.146403851945394</v>
      </c>
      <c r="M11" s="690">
        <f t="shared" si="0"/>
        <v>0.9199232395910022</v>
      </c>
    </row>
    <row r="12" spans="1:13" ht="15" customHeight="1">
      <c r="A12" s="196" t="s">
        <v>113</v>
      </c>
      <c r="B12" s="695">
        <v>80066.478900017668</v>
      </c>
      <c r="C12" s="695">
        <v>41678.999700003042</v>
      </c>
      <c r="D12" s="695">
        <v>38387.479200006455</v>
      </c>
      <c r="E12" s="197"/>
      <c r="F12" s="695">
        <v>71638.632899994831</v>
      </c>
      <c r="G12" s="695">
        <v>39311.823600005497</v>
      </c>
      <c r="H12" s="695">
        <v>32326.809300011915</v>
      </c>
      <c r="I12" s="197"/>
      <c r="J12" s="698">
        <v>89.473939511577996</v>
      </c>
      <c r="K12" s="698">
        <v>94.320458463371878</v>
      </c>
      <c r="L12" s="698">
        <v>84.211857547517297</v>
      </c>
      <c r="M12" s="690">
        <f t="shared" si="0"/>
        <v>0.89282705914984373</v>
      </c>
    </row>
    <row r="13" spans="1:13" ht="15" customHeight="1">
      <c r="A13" s="196" t="s">
        <v>114</v>
      </c>
      <c r="B13" s="695">
        <v>61965.598399962408</v>
      </c>
      <c r="C13" s="695">
        <v>32493.619800006774</v>
      </c>
      <c r="D13" s="695">
        <v>29471.978600005867</v>
      </c>
      <c r="E13" s="197"/>
      <c r="F13" s="695">
        <v>53934.499199974634</v>
      </c>
      <c r="G13" s="695">
        <v>30242.357400006098</v>
      </c>
      <c r="H13" s="695">
        <v>23692.14180000413</v>
      </c>
      <c r="I13" s="197"/>
      <c r="J13" s="698">
        <v>87.039422829245154</v>
      </c>
      <c r="K13" s="698">
        <v>93.071678643818288</v>
      </c>
      <c r="L13" s="698">
        <v>80.388704543912951</v>
      </c>
      <c r="M13" s="690">
        <f t="shared" si="0"/>
        <v>0.86372896368999008</v>
      </c>
    </row>
    <row r="14" spans="1:13" ht="15" customHeight="1">
      <c r="A14" s="196" t="s">
        <v>115</v>
      </c>
      <c r="B14" s="695">
        <v>44965.373999988289</v>
      </c>
      <c r="C14" s="695">
        <v>23819.873000004169</v>
      </c>
      <c r="D14" s="695">
        <v>21145.501000003365</v>
      </c>
      <c r="E14" s="197"/>
      <c r="F14" s="695">
        <v>38688.582999997845</v>
      </c>
      <c r="G14" s="695">
        <v>22197.287600003681</v>
      </c>
      <c r="H14" s="695">
        <v>16491.295400001967</v>
      </c>
      <c r="I14" s="197"/>
      <c r="J14" s="698">
        <v>86.04083444300862</v>
      </c>
      <c r="K14" s="698">
        <v>93.188102220358303</v>
      </c>
      <c r="L14" s="698">
        <v>77.989617744212623</v>
      </c>
      <c r="M14" s="690">
        <f t="shared" si="0"/>
        <v>0.83690531179391969</v>
      </c>
    </row>
    <row r="15" spans="1:13" ht="15" customHeight="1">
      <c r="A15" s="196" t="s">
        <v>116</v>
      </c>
      <c r="B15" s="695">
        <v>33050.448000006429</v>
      </c>
      <c r="C15" s="695">
        <v>16760.728400002048</v>
      </c>
      <c r="D15" s="695">
        <v>16289.719600001908</v>
      </c>
      <c r="E15" s="197"/>
      <c r="F15" s="695">
        <v>28474.078600005567</v>
      </c>
      <c r="G15" s="695">
        <v>15804.740200001763</v>
      </c>
      <c r="H15" s="695">
        <v>12669.338400000821</v>
      </c>
      <c r="I15" s="197"/>
      <c r="J15" s="698">
        <v>86.153381642512727</v>
      </c>
      <c r="K15" s="698">
        <v>94.29626101452186</v>
      </c>
      <c r="L15" s="698">
        <v>77.775055133535687</v>
      </c>
      <c r="M15" s="690">
        <f t="shared" si="0"/>
        <v>0.82479468747502227</v>
      </c>
    </row>
    <row r="16" spans="1:13" ht="15" customHeight="1">
      <c r="A16" s="196" t="s">
        <v>117</v>
      </c>
      <c r="B16" s="695">
        <v>27927.229400005403</v>
      </c>
      <c r="C16" s="695">
        <v>13928.688200001199</v>
      </c>
      <c r="D16" s="695">
        <v>13998.54120000122</v>
      </c>
      <c r="E16" s="197"/>
      <c r="F16" s="695">
        <v>22752.120000003848</v>
      </c>
      <c r="G16" s="695">
        <v>12858.939400000878</v>
      </c>
      <c r="H16" s="695">
        <v>9893.180599999987</v>
      </c>
      <c r="I16" s="197"/>
      <c r="J16" s="698">
        <v>81.469306081609432</v>
      </c>
      <c r="K16" s="698">
        <v>92.319816592626566</v>
      </c>
      <c r="L16" s="698">
        <v>70.67293983460435</v>
      </c>
      <c r="M16" s="690">
        <f t="shared" si="0"/>
        <v>0.76552296617375304</v>
      </c>
    </row>
    <row r="17" spans="1:13" ht="15" customHeight="1">
      <c r="A17" s="196" t="s">
        <v>118</v>
      </c>
      <c r="B17" s="695">
        <v>28033.660600005478</v>
      </c>
      <c r="C17" s="695">
        <v>13651.726000001361</v>
      </c>
      <c r="D17" s="695">
        <v>14381.93460000157</v>
      </c>
      <c r="E17" s="197"/>
      <c r="F17" s="695">
        <v>22015.933600003755</v>
      </c>
      <c r="G17" s="695">
        <v>12422.204800001009</v>
      </c>
      <c r="H17" s="695">
        <v>9593.728800000199</v>
      </c>
      <c r="I17" s="197"/>
      <c r="J17" s="698">
        <v>78.533923607536309</v>
      </c>
      <c r="K17" s="698">
        <v>90.99365750528068</v>
      </c>
      <c r="L17" s="698">
        <v>66.706803130635933</v>
      </c>
      <c r="M17" s="690">
        <f t="shared" si="0"/>
        <v>0.73309288756488</v>
      </c>
    </row>
    <row r="18" spans="1:13" ht="15" customHeight="1">
      <c r="A18" s="196" t="s">
        <v>119</v>
      </c>
      <c r="B18" s="695">
        <v>20896.088000003434</v>
      </c>
      <c r="C18" s="695">
        <v>9712.0630000002329</v>
      </c>
      <c r="D18" s="695">
        <v>11184.025000000654</v>
      </c>
      <c r="E18" s="197"/>
      <c r="F18" s="695">
        <v>15842.351800001989</v>
      </c>
      <c r="G18" s="695">
        <v>8664.3723999999329</v>
      </c>
      <c r="H18" s="695">
        <v>7177.9793999998265</v>
      </c>
      <c r="I18" s="197"/>
      <c r="J18" s="698">
        <v>75.81491712706854</v>
      </c>
      <c r="K18" s="698">
        <v>89.212481426445308</v>
      </c>
      <c r="L18" s="698">
        <v>64.180645161285653</v>
      </c>
      <c r="M18" s="690">
        <f t="shared" si="0"/>
        <v>0.71941329436287316</v>
      </c>
    </row>
    <row r="19" spans="1:13" ht="15" customHeight="1">
      <c r="A19" s="196" t="s">
        <v>120</v>
      </c>
      <c r="B19" s="695">
        <v>15244.908400001817</v>
      </c>
      <c r="C19" s="695">
        <v>6967.2867999998325</v>
      </c>
      <c r="D19" s="695">
        <v>8277.6215999998221</v>
      </c>
      <c r="E19" s="197"/>
      <c r="F19" s="695">
        <v>12546.311400001045</v>
      </c>
      <c r="G19" s="695">
        <v>6496.836199999846</v>
      </c>
      <c r="H19" s="695">
        <v>6049.4751999998589</v>
      </c>
      <c r="I19" s="197"/>
      <c r="J19" s="698">
        <v>82.29837182884711</v>
      </c>
      <c r="K19" s="698">
        <v>93.24772162386175</v>
      </c>
      <c r="L19" s="698">
        <v>73.082287308229297</v>
      </c>
      <c r="M19" s="690">
        <f t="shared" si="0"/>
        <v>0.78374340987145152</v>
      </c>
    </row>
    <row r="20" spans="1:13" ht="15" customHeight="1">
      <c r="A20" s="196" t="s">
        <v>121</v>
      </c>
      <c r="B20" s="695">
        <v>13132.210000001212</v>
      </c>
      <c r="C20" s="695">
        <v>6092.7681999998576</v>
      </c>
      <c r="D20" s="695">
        <v>7039.4417999998304</v>
      </c>
      <c r="E20" s="197"/>
      <c r="F20" s="695">
        <v>11039.715000000613</v>
      </c>
      <c r="G20" s="695">
        <v>5671.3829999998698</v>
      </c>
      <c r="H20" s="695">
        <v>5368.3319999998785</v>
      </c>
      <c r="I20" s="197"/>
      <c r="J20" s="698">
        <v>84.065934065926754</v>
      </c>
      <c r="K20" s="698">
        <v>93.083846518238701</v>
      </c>
      <c r="L20" s="698">
        <v>76.260762607626887</v>
      </c>
      <c r="M20" s="690">
        <f t="shared" si="0"/>
        <v>0.81926956674146978</v>
      </c>
    </row>
    <row r="21" spans="1:13" ht="15" customHeight="1">
      <c r="A21" s="196" t="s">
        <v>122</v>
      </c>
      <c r="B21" s="695">
        <v>1627.816799999986</v>
      </c>
      <c r="C21" s="695">
        <v>421.38519999999863</v>
      </c>
      <c r="D21" s="695">
        <v>1206.4315999999981</v>
      </c>
      <c r="E21" s="197"/>
      <c r="F21" s="695">
        <v>698.46039999999982</v>
      </c>
      <c r="G21" s="695">
        <v>297.27859999999976</v>
      </c>
      <c r="H21" s="695">
        <v>401.18179999999882</v>
      </c>
      <c r="I21" s="197"/>
      <c r="J21" s="698">
        <v>42.907801418440208</v>
      </c>
      <c r="K21" s="698">
        <v>70.547945205479621</v>
      </c>
      <c r="L21" s="698">
        <v>33.25358851674649</v>
      </c>
      <c r="M21" s="690">
        <f t="shared" si="0"/>
        <v>0.47136154596553165</v>
      </c>
    </row>
    <row r="22" spans="1:13" ht="15" customHeight="1">
      <c r="A22" s="196" t="s">
        <v>123</v>
      </c>
      <c r="B22" s="695">
        <v>557.03659999999832</v>
      </c>
      <c r="C22" s="695">
        <v>150.08240000000006</v>
      </c>
      <c r="D22" s="695">
        <v>406.95419999999876</v>
      </c>
      <c r="E22" s="197"/>
      <c r="F22" s="695">
        <v>193.3754000000001</v>
      </c>
      <c r="G22" s="695">
        <v>92.358400000000032</v>
      </c>
      <c r="H22" s="695">
        <v>101.01700000000004</v>
      </c>
      <c r="I22" s="197"/>
      <c r="J22" s="698">
        <v>34.715025906735875</v>
      </c>
      <c r="K22" s="698">
        <v>61.538461538461526</v>
      </c>
      <c r="L22" s="698">
        <v>24.822695035461081</v>
      </c>
      <c r="M22" s="690">
        <f t="shared" si="0"/>
        <v>0.40336879432624262</v>
      </c>
    </row>
    <row r="23" spans="1:13" ht="15" customHeight="1">
      <c r="A23" s="196" t="s">
        <v>104</v>
      </c>
      <c r="B23" s="695">
        <v>435.8161999999985</v>
      </c>
      <c r="C23" s="695">
        <v>126.99280000000006</v>
      </c>
      <c r="D23" s="695">
        <v>308.82339999999965</v>
      </c>
      <c r="E23" s="197"/>
      <c r="F23" s="695">
        <v>158.74100000000007</v>
      </c>
      <c r="G23" s="695">
        <v>66.382600000000011</v>
      </c>
      <c r="H23" s="695">
        <v>92.358400000000032</v>
      </c>
      <c r="I23" s="197"/>
      <c r="J23" s="698">
        <v>36.423841059602822</v>
      </c>
      <c r="K23" s="698">
        <v>52.272727272727245</v>
      </c>
      <c r="L23" s="698">
        <v>29.906542056074805</v>
      </c>
      <c r="M23" s="690">
        <f t="shared" si="0"/>
        <v>0.5721251523770835</v>
      </c>
    </row>
    <row r="24" spans="1:13" s="28" customFormat="1" ht="17.25" customHeight="1">
      <c r="A24" s="523" t="s">
        <v>4</v>
      </c>
      <c r="B24" s="693">
        <v>872957.46749694576</v>
      </c>
      <c r="C24" s="693">
        <v>423247.71779984829</v>
      </c>
      <c r="D24" s="693">
        <v>449709.74969978986</v>
      </c>
      <c r="E24" s="195"/>
      <c r="F24" s="693">
        <v>803161.62949766463</v>
      </c>
      <c r="G24" s="693">
        <v>402823.71889988781</v>
      </c>
      <c r="H24" s="693">
        <v>400337.91059991729</v>
      </c>
      <c r="I24" s="195"/>
      <c r="J24" s="688">
        <v>92.004669116328657</v>
      </c>
      <c r="K24" s="688">
        <v>95.174457406171413</v>
      </c>
      <c r="L24" s="688">
        <v>89.021398995101862</v>
      </c>
      <c r="M24" s="688">
        <f t="shared" si="0"/>
        <v>0.93534968752371828</v>
      </c>
    </row>
    <row r="25" spans="1:13">
      <c r="A25" s="199" t="s">
        <v>108</v>
      </c>
      <c r="B25" s="695">
        <v>159910.40729999766</v>
      </c>
      <c r="C25" s="695">
        <v>76398.173600064401</v>
      </c>
      <c r="D25" s="695">
        <v>83512.233700075565</v>
      </c>
      <c r="E25" s="197"/>
      <c r="F25" s="695">
        <v>151355.71290004291</v>
      </c>
      <c r="G25" s="695">
        <v>72305.414300057979</v>
      </c>
      <c r="H25" s="695">
        <v>79050.298600068563</v>
      </c>
      <c r="I25" s="197"/>
      <c r="J25" s="698">
        <v>94.650320423487329</v>
      </c>
      <c r="K25" s="698">
        <v>94.642857142750131</v>
      </c>
      <c r="L25" s="698">
        <v>94.657147938201177</v>
      </c>
      <c r="M25" s="690">
        <f t="shared" si="0"/>
        <v>1.0001509970840112</v>
      </c>
    </row>
    <row r="26" spans="1:13">
      <c r="A26" s="199" t="s">
        <v>109</v>
      </c>
      <c r="B26" s="695">
        <v>128332.79249988311</v>
      </c>
      <c r="C26" s="695">
        <v>60522.011000027749</v>
      </c>
      <c r="D26" s="695">
        <v>67810.781500028606</v>
      </c>
      <c r="E26" s="197"/>
      <c r="F26" s="695">
        <v>120920.92099990093</v>
      </c>
      <c r="G26" s="695">
        <v>57513.978500023957</v>
      </c>
      <c r="H26" s="695">
        <v>63406.942500031386</v>
      </c>
      <c r="I26" s="197"/>
      <c r="J26" s="698">
        <v>94.224491374793047</v>
      </c>
      <c r="K26" s="698">
        <v>95.029853684046998</v>
      </c>
      <c r="L26" s="698">
        <v>93.505694960818175</v>
      </c>
      <c r="M26" s="690">
        <f t="shared" si="0"/>
        <v>0.98396126412762552</v>
      </c>
    </row>
    <row r="27" spans="1:13">
      <c r="A27" s="199" t="s">
        <v>110</v>
      </c>
      <c r="B27" s="695">
        <v>106321.53949993603</v>
      </c>
      <c r="C27" s="695">
        <v>49691.108500014096</v>
      </c>
      <c r="D27" s="695">
        <v>56630.431000022843</v>
      </c>
      <c r="E27" s="197"/>
      <c r="F27" s="695">
        <v>100031.47549995115</v>
      </c>
      <c r="G27" s="695">
        <v>47403.812500011212</v>
      </c>
      <c r="H27" s="695">
        <v>52627.663000017797</v>
      </c>
      <c r="I27" s="197"/>
      <c r="J27" s="698">
        <v>94.08392313588088</v>
      </c>
      <c r="K27" s="698">
        <v>95.396971270957323</v>
      </c>
      <c r="L27" s="698">
        <v>92.93177196541653</v>
      </c>
      <c r="M27" s="690">
        <f t="shared" si="0"/>
        <v>0.97415851601264303</v>
      </c>
    </row>
    <row r="28" spans="1:13">
      <c r="A28" s="199" t="s">
        <v>111</v>
      </c>
      <c r="B28" s="695">
        <v>98631.042900067972</v>
      </c>
      <c r="C28" s="695">
        <v>45261.805199999326</v>
      </c>
      <c r="D28" s="695">
        <v>53369.237699990917</v>
      </c>
      <c r="E28" s="197"/>
      <c r="F28" s="695">
        <v>91766.426400049371</v>
      </c>
      <c r="G28" s="695">
        <v>43129.599000001537</v>
      </c>
      <c r="H28" s="695">
        <v>48636.827399995826</v>
      </c>
      <c r="I28" s="197"/>
      <c r="J28" s="698">
        <v>93.040105530500881</v>
      </c>
      <c r="K28" s="698">
        <v>95.289171100035233</v>
      </c>
      <c r="L28" s="698">
        <v>91.132700214700463</v>
      </c>
      <c r="M28" s="690">
        <f t="shared" si="0"/>
        <v>0.95638044871886563</v>
      </c>
    </row>
    <row r="29" spans="1:13">
      <c r="A29" s="199" t="s">
        <v>112</v>
      </c>
      <c r="B29" s="695">
        <v>92717.95740005195</v>
      </c>
      <c r="C29" s="695">
        <v>44918.088899999682</v>
      </c>
      <c r="D29" s="695">
        <v>47799.868499996694</v>
      </c>
      <c r="E29" s="197"/>
      <c r="F29" s="695">
        <v>85936.842600033575</v>
      </c>
      <c r="G29" s="695">
        <v>43203.391200001461</v>
      </c>
      <c r="H29" s="695">
        <v>42733.451400001948</v>
      </c>
      <c r="I29" s="197"/>
      <c r="J29" s="698">
        <v>92.686298328682057</v>
      </c>
      <c r="K29" s="698">
        <v>96.182612079011363</v>
      </c>
      <c r="L29" s="698">
        <v>89.400771887048435</v>
      </c>
      <c r="M29" s="690">
        <f t="shared" si="0"/>
        <v>0.92948995618468089</v>
      </c>
    </row>
    <row r="30" spans="1:13">
      <c r="A30" s="199" t="s">
        <v>113</v>
      </c>
      <c r="B30" s="695">
        <v>73102.825499998798</v>
      </c>
      <c r="C30" s="695">
        <v>38065.12380000679</v>
      </c>
      <c r="D30" s="695">
        <v>35037.701700009929</v>
      </c>
      <c r="E30" s="197"/>
      <c r="F30" s="695">
        <v>67016.910899982307</v>
      </c>
      <c r="G30" s="695">
        <v>36523.255200008389</v>
      </c>
      <c r="H30" s="695">
        <v>30493.655700010382</v>
      </c>
      <c r="I30" s="197"/>
      <c r="J30" s="698">
        <v>91.674857218813671</v>
      </c>
      <c r="K30" s="698">
        <v>95.949392919049288</v>
      </c>
      <c r="L30" s="698">
        <v>87.030981544043897</v>
      </c>
      <c r="M30" s="690">
        <f t="shared" si="0"/>
        <v>0.90705088272387835</v>
      </c>
    </row>
    <row r="31" spans="1:13">
      <c r="A31" s="199" t="s">
        <v>114</v>
      </c>
      <c r="B31" s="695">
        <v>55750.677199971869</v>
      </c>
      <c r="C31" s="695">
        <v>29222.503600005792</v>
      </c>
      <c r="D31" s="695">
        <v>26528.173600004982</v>
      </c>
      <c r="E31" s="197"/>
      <c r="F31" s="695">
        <v>49980.819399980654</v>
      </c>
      <c r="G31" s="695">
        <v>27779.540200005358</v>
      </c>
      <c r="H31" s="695">
        <v>22201.279200003682</v>
      </c>
      <c r="I31" s="197"/>
      <c r="J31" s="698">
        <v>89.650604997564045</v>
      </c>
      <c r="K31" s="698">
        <v>95.062149979510963</v>
      </c>
      <c r="L31" s="698">
        <v>83.689437255489167</v>
      </c>
      <c r="M31" s="690">
        <f t="shared" si="0"/>
        <v>0.88036550060699248</v>
      </c>
    </row>
    <row r="32" spans="1:13">
      <c r="A32" s="199" t="s">
        <v>115</v>
      </c>
      <c r="B32" s="695">
        <v>39323.247399996879</v>
      </c>
      <c r="C32" s="695">
        <v>20995.81600000332</v>
      </c>
      <c r="D32" s="695">
        <v>18327.431400002519</v>
      </c>
      <c r="E32" s="197"/>
      <c r="F32" s="695">
        <v>35150.029600003232</v>
      </c>
      <c r="G32" s="695">
        <v>20029.84880000303</v>
      </c>
      <c r="H32" s="695">
        <v>15120.180800001557</v>
      </c>
      <c r="I32" s="197"/>
      <c r="J32" s="698">
        <v>89.387402933591488</v>
      </c>
      <c r="K32" s="698">
        <v>95.399239543723539</v>
      </c>
      <c r="L32" s="698">
        <v>82.500272242179506</v>
      </c>
      <c r="M32" s="690">
        <f t="shared" si="0"/>
        <v>0.86478962135088977</v>
      </c>
    </row>
    <row r="33" spans="1:13">
      <c r="A33" s="199" t="s">
        <v>116</v>
      </c>
      <c r="B33" s="695">
        <v>28571.872800005596</v>
      </c>
      <c r="C33" s="695">
        <v>14770.915800001452</v>
      </c>
      <c r="D33" s="695">
        <v>13800.957000001161</v>
      </c>
      <c r="E33" s="197"/>
      <c r="F33" s="695">
        <v>25538.256800004685</v>
      </c>
      <c r="G33" s="695">
        <v>14176.167400001274</v>
      </c>
      <c r="H33" s="695">
        <v>11362.089400000428</v>
      </c>
      <c r="I33" s="197"/>
      <c r="J33" s="698">
        <v>89.38250908074761</v>
      </c>
      <c r="K33" s="698">
        <v>95.973517092278215</v>
      </c>
      <c r="L33" s="698">
        <v>82.328271872728905</v>
      </c>
      <c r="M33" s="690">
        <f t="shared" si="0"/>
        <v>0.85782280744771022</v>
      </c>
    </row>
    <row r="34" spans="1:13">
      <c r="A34" s="199" t="s">
        <v>117</v>
      </c>
      <c r="B34" s="695">
        <v>23586.364400004099</v>
      </c>
      <c r="C34" s="695">
        <v>11988.770600000616</v>
      </c>
      <c r="D34" s="695">
        <v>11597.593800000499</v>
      </c>
      <c r="E34" s="197"/>
      <c r="F34" s="695">
        <v>20193.504400003079</v>
      </c>
      <c r="G34" s="695">
        <v>11354.106200000426</v>
      </c>
      <c r="H34" s="695">
        <v>8839.3981999996704</v>
      </c>
      <c r="I34" s="197"/>
      <c r="J34" s="698">
        <v>85.615163310201183</v>
      </c>
      <c r="K34" s="698">
        <v>94.706176127840664</v>
      </c>
      <c r="L34" s="698">
        <v>76.217518499389115</v>
      </c>
      <c r="M34" s="690">
        <f t="shared" si="0"/>
        <v>0.80477875483543615</v>
      </c>
    </row>
    <row r="35" spans="1:13">
      <c r="A35" s="199" t="s">
        <v>118</v>
      </c>
      <c r="B35" s="695">
        <v>23303.178800004123</v>
      </c>
      <c r="C35" s="695">
        <v>11570.775800000765</v>
      </c>
      <c r="D35" s="695">
        <v>11732.403000000812</v>
      </c>
      <c r="E35" s="197"/>
      <c r="F35" s="695">
        <v>19493.394800003032</v>
      </c>
      <c r="G35" s="695">
        <v>10889.63260000057</v>
      </c>
      <c r="H35" s="695">
        <v>8603.7621999999155</v>
      </c>
      <c r="I35" s="197"/>
      <c r="J35" s="698">
        <v>83.651226158037645</v>
      </c>
      <c r="K35" s="698">
        <v>94.113245198297591</v>
      </c>
      <c r="L35" s="698">
        <v>73.333333333327204</v>
      </c>
      <c r="M35" s="690">
        <f t="shared" si="0"/>
        <v>0.77920310981534113</v>
      </c>
    </row>
    <row r="36" spans="1:13">
      <c r="A36" s="199" t="s">
        <v>119</v>
      </c>
      <c r="B36" s="695">
        <v>17224.841600002383</v>
      </c>
      <c r="C36" s="695">
        <v>8029.408399999802</v>
      </c>
      <c r="D36" s="695">
        <v>9195.433200000085</v>
      </c>
      <c r="E36" s="197"/>
      <c r="F36" s="695">
        <v>13879.735800001426</v>
      </c>
      <c r="G36" s="695">
        <v>7437.737399999819</v>
      </c>
      <c r="H36" s="695">
        <v>6441.9983999998476</v>
      </c>
      <c r="I36" s="197"/>
      <c r="J36" s="698">
        <v>80.579758713132307</v>
      </c>
      <c r="K36" s="698">
        <v>92.631200575126769</v>
      </c>
      <c r="L36" s="698">
        <v>70.056497175139611</v>
      </c>
      <c r="M36" s="690">
        <f t="shared" si="0"/>
        <v>0.75629482010569027</v>
      </c>
    </row>
    <row r="37" spans="1:13">
      <c r="A37" s="199" t="s">
        <v>120</v>
      </c>
      <c r="B37" s="695">
        <v>12947.493200001159</v>
      </c>
      <c r="C37" s="695">
        <v>6066.7923999998584</v>
      </c>
      <c r="D37" s="695">
        <v>6880.700799999835</v>
      </c>
      <c r="E37" s="197"/>
      <c r="F37" s="695">
        <v>11201.342200000659</v>
      </c>
      <c r="G37" s="695">
        <v>5757.9689999998673</v>
      </c>
      <c r="H37" s="695">
        <v>5443.3731999998763</v>
      </c>
      <c r="I37" s="197"/>
      <c r="J37" s="698">
        <v>86.513597860002108</v>
      </c>
      <c r="K37" s="698">
        <v>94.90960989533869</v>
      </c>
      <c r="L37" s="698">
        <v>79.110738255034377</v>
      </c>
      <c r="M37" s="690">
        <f t="shared" si="0"/>
        <v>0.83353770331870003</v>
      </c>
    </row>
    <row r="38" spans="1:13">
      <c r="A38" s="199" t="s">
        <v>121</v>
      </c>
      <c r="B38" s="695">
        <v>11184.025000000654</v>
      </c>
      <c r="C38" s="695">
        <v>5200.9323999998833</v>
      </c>
      <c r="D38" s="695">
        <v>5983.0925999998608</v>
      </c>
      <c r="E38" s="197"/>
      <c r="F38" s="695">
        <v>9781.3318000002528</v>
      </c>
      <c r="G38" s="695">
        <v>4944.0605999998907</v>
      </c>
      <c r="H38" s="695">
        <v>4837.2711999998937</v>
      </c>
      <c r="I38" s="197"/>
      <c r="J38" s="698">
        <v>87.458064516122633</v>
      </c>
      <c r="K38" s="698">
        <v>95.061043285239478</v>
      </c>
      <c r="L38" s="698">
        <v>80.849011095032154</v>
      </c>
      <c r="M38" s="690">
        <f t="shared" si="0"/>
        <v>0.85049572675567209</v>
      </c>
    </row>
    <row r="39" spans="1:13">
      <c r="A39" s="199" t="s">
        <v>122</v>
      </c>
      <c r="B39" s="695">
        <v>1281.4727999999959</v>
      </c>
      <c r="C39" s="695">
        <v>308.82339999999965</v>
      </c>
      <c r="D39" s="695">
        <v>972.64940000000274</v>
      </c>
      <c r="E39" s="197"/>
      <c r="F39" s="695">
        <v>597.44339999999875</v>
      </c>
      <c r="G39" s="695">
        <v>228.00980000000013</v>
      </c>
      <c r="H39" s="695">
        <v>369.4335999999991</v>
      </c>
      <c r="I39" s="197"/>
      <c r="J39" s="698">
        <v>46.621621621621934</v>
      </c>
      <c r="K39" s="698">
        <v>73.831775700934656</v>
      </c>
      <c r="L39" s="698">
        <v>37.98219584569722</v>
      </c>
      <c r="M39" s="690">
        <f t="shared" si="0"/>
        <v>0.51444239942906311</v>
      </c>
    </row>
    <row r="40" spans="1:13">
      <c r="A40" s="199" t="s">
        <v>123</v>
      </c>
      <c r="B40" s="695">
        <v>430.04379999999855</v>
      </c>
      <c r="C40" s="695">
        <v>135.65140000000005</v>
      </c>
      <c r="D40" s="695">
        <v>294.39239999999978</v>
      </c>
      <c r="E40" s="197"/>
      <c r="F40" s="695">
        <v>178.94440000000009</v>
      </c>
      <c r="G40" s="695">
        <v>89.472200000000029</v>
      </c>
      <c r="H40" s="695">
        <v>89.472200000000029</v>
      </c>
      <c r="I40" s="197"/>
      <c r="J40" s="698">
        <v>41.610738255033738</v>
      </c>
      <c r="K40" s="698">
        <v>65.957446808510625</v>
      </c>
      <c r="L40" s="698">
        <v>30.392156862745125</v>
      </c>
      <c r="M40" s="690">
        <f t="shared" si="0"/>
        <v>0.46078431372549072</v>
      </c>
    </row>
    <row r="41" spans="1:13">
      <c r="A41" s="199" t="s">
        <v>104</v>
      </c>
      <c r="B41" s="695">
        <v>337.68539999999939</v>
      </c>
      <c r="C41" s="695">
        <v>101.01700000000004</v>
      </c>
      <c r="D41" s="695">
        <v>236.66840000000013</v>
      </c>
      <c r="E41" s="197"/>
      <c r="F41" s="695">
        <v>138.53760000000005</v>
      </c>
      <c r="G41" s="695">
        <v>57.724000000000011</v>
      </c>
      <c r="H41" s="695">
        <v>80.813600000000022</v>
      </c>
      <c r="I41" s="197"/>
      <c r="J41" s="698">
        <v>41.025641025641143</v>
      </c>
      <c r="K41" s="698">
        <v>57.142857142857117</v>
      </c>
      <c r="L41" s="698">
        <v>34.146341463414608</v>
      </c>
      <c r="M41" s="690">
        <f t="shared" si="0"/>
        <v>0.59756097560975585</v>
      </c>
    </row>
    <row r="42" spans="1:13" s="28" customFormat="1" ht="17.25" customHeight="1">
      <c r="A42" s="523" t="s">
        <v>5</v>
      </c>
      <c r="B42" s="693">
        <v>98069.308600018732</v>
      </c>
      <c r="C42" s="693">
        <v>49336.073000004319</v>
      </c>
      <c r="D42" s="693">
        <v>48733.235600004708</v>
      </c>
      <c r="E42" s="195"/>
      <c r="F42" s="693">
        <v>68863.03010000661</v>
      </c>
      <c r="G42" s="693">
        <v>39266.243100003041</v>
      </c>
      <c r="H42" s="693">
        <v>29596.787000001703</v>
      </c>
      <c r="I42" s="195"/>
      <c r="J42" s="688">
        <v>70.218737220698898</v>
      </c>
      <c r="K42" s="688">
        <v>79.589316117624605</v>
      </c>
      <c r="L42" s="688">
        <v>60.732242863830628</v>
      </c>
      <c r="M42" s="688">
        <f t="shared" si="0"/>
        <v>0.76307029418464645</v>
      </c>
    </row>
    <row r="43" spans="1:13">
      <c r="A43" s="199" t="s">
        <v>108</v>
      </c>
      <c r="B43" s="695">
        <v>14817.952799998549</v>
      </c>
      <c r="C43" s="695">
        <v>7767.5436999995736</v>
      </c>
      <c r="D43" s="695">
        <v>7050.4090999996779</v>
      </c>
      <c r="E43" s="197"/>
      <c r="F43" s="695">
        <v>11917.588899998971</v>
      </c>
      <c r="G43" s="695">
        <v>6301.4489999997868</v>
      </c>
      <c r="H43" s="695">
        <v>5616.1398999998864</v>
      </c>
      <c r="I43" s="197"/>
      <c r="J43" s="698">
        <v>80.4266895761847</v>
      </c>
      <c r="K43" s="698">
        <v>81.125375580447951</v>
      </c>
      <c r="L43" s="698">
        <v>79.656936503162612</v>
      </c>
      <c r="M43" s="690">
        <f t="shared" si="0"/>
        <v>0.98189913985878363</v>
      </c>
    </row>
    <row r="44" spans="1:13">
      <c r="A44" s="199" t="s">
        <v>109</v>
      </c>
      <c r="B44" s="695">
        <v>13838.935000001249</v>
      </c>
      <c r="C44" s="695">
        <v>7080.2929999994303</v>
      </c>
      <c r="D44" s="695">
        <v>6758.6419999994669</v>
      </c>
      <c r="E44" s="197"/>
      <c r="F44" s="695">
        <v>10916.279000000242</v>
      </c>
      <c r="G44" s="695">
        <v>5823.4714999995731</v>
      </c>
      <c r="H44" s="695">
        <v>5092.8074999996561</v>
      </c>
      <c r="I44" s="197"/>
      <c r="J44" s="698">
        <v>78.880918220947848</v>
      </c>
      <c r="K44" s="698">
        <v>82.249018508137851</v>
      </c>
      <c r="L44" s="698">
        <v>75.352526439485828</v>
      </c>
      <c r="M44" s="690">
        <f t="shared" si="0"/>
        <v>0.91615107154172704</v>
      </c>
    </row>
    <row r="45" spans="1:13">
      <c r="A45" s="199" t="s">
        <v>110</v>
      </c>
      <c r="B45" s="695">
        <v>11132.698500000317</v>
      </c>
      <c r="C45" s="695">
        <v>5904.8769999995638</v>
      </c>
      <c r="D45" s="695">
        <v>5227.8214999996408</v>
      </c>
      <c r="E45" s="197"/>
      <c r="F45" s="695">
        <v>8613.098999999449</v>
      </c>
      <c r="G45" s="695">
        <v>4880.3589999996802</v>
      </c>
      <c r="H45" s="695">
        <v>3732.7399999998102</v>
      </c>
      <c r="I45" s="197"/>
      <c r="J45" s="698">
        <v>77.367576243983692</v>
      </c>
      <c r="K45" s="698">
        <v>82.649630127776845</v>
      </c>
      <c r="L45" s="698">
        <v>71.401443220663296</v>
      </c>
      <c r="M45" s="690">
        <f t="shared" si="0"/>
        <v>0.86390517550140533</v>
      </c>
    </row>
    <row r="46" spans="1:13">
      <c r="A46" s="199" t="s">
        <v>111</v>
      </c>
      <c r="B46" s="695">
        <v>9486.1814999992766</v>
      </c>
      <c r="C46" s="695">
        <v>5124.6740999997137</v>
      </c>
      <c r="D46" s="695">
        <v>4361.5073999997903</v>
      </c>
      <c r="E46" s="197"/>
      <c r="F46" s="695">
        <v>7085.9930999995167</v>
      </c>
      <c r="G46" s="695">
        <v>4159.5497999998106</v>
      </c>
      <c r="H46" s="695">
        <v>2926.4432999999344</v>
      </c>
      <c r="I46" s="197"/>
      <c r="J46" s="698">
        <v>74.698055271239198</v>
      </c>
      <c r="K46" s="698">
        <v>81.16710875332106</v>
      </c>
      <c r="L46" s="698">
        <v>67.097061442568474</v>
      </c>
      <c r="M46" s="690">
        <f t="shared" si="0"/>
        <v>0.82665333868779833</v>
      </c>
    </row>
    <row r="47" spans="1:13">
      <c r="A47" s="199" t="s">
        <v>112</v>
      </c>
      <c r="B47" s="695">
        <v>7934.6033999994315</v>
      </c>
      <c r="C47" s="695">
        <v>4111.0022999998155</v>
      </c>
      <c r="D47" s="695">
        <v>3823.6010999998443</v>
      </c>
      <c r="E47" s="197"/>
      <c r="F47" s="695">
        <v>5497.5188999996763</v>
      </c>
      <c r="G47" s="695">
        <v>3242.9729999999026</v>
      </c>
      <c r="H47" s="695">
        <v>2254.5459000000019</v>
      </c>
      <c r="I47" s="197"/>
      <c r="J47" s="698">
        <v>69.285364659818754</v>
      </c>
      <c r="K47" s="698">
        <v>78.88521492678754</v>
      </c>
      <c r="L47" s="698">
        <v>58.96394108684909</v>
      </c>
      <c r="M47" s="690">
        <f t="shared" si="0"/>
        <v>0.74746504958594384</v>
      </c>
    </row>
    <row r="48" spans="1:13">
      <c r="A48" s="199" t="s">
        <v>113</v>
      </c>
      <c r="B48" s="695">
        <v>6963.653399999529</v>
      </c>
      <c r="C48" s="695">
        <v>3613.8758999998654</v>
      </c>
      <c r="D48" s="695">
        <v>3349.7774999998919</v>
      </c>
      <c r="E48" s="197"/>
      <c r="F48" s="695">
        <v>4621.7219999997642</v>
      </c>
      <c r="G48" s="695">
        <v>2788.5683999999483</v>
      </c>
      <c r="H48" s="695">
        <v>1833.1536000000192</v>
      </c>
      <c r="I48" s="197"/>
      <c r="J48" s="698">
        <v>66.369213608482625</v>
      </c>
      <c r="K48" s="698">
        <v>77.162815690492636</v>
      </c>
      <c r="L48" s="698">
        <v>54.724637681161695</v>
      </c>
      <c r="M48" s="690">
        <f t="shared" si="0"/>
        <v>0.70920996326348951</v>
      </c>
    </row>
    <row r="49" spans="1:13">
      <c r="A49" s="199" t="s">
        <v>114</v>
      </c>
      <c r="B49" s="695">
        <v>6214.9211999997824</v>
      </c>
      <c r="C49" s="695">
        <v>3271.1162000000513</v>
      </c>
      <c r="D49" s="695">
        <v>2943.8050000000276</v>
      </c>
      <c r="E49" s="197"/>
      <c r="F49" s="695">
        <v>3953.6798000001008</v>
      </c>
      <c r="G49" s="695">
        <v>2462.8171999999927</v>
      </c>
      <c r="H49" s="695">
        <v>1490.8625999999856</v>
      </c>
      <c r="I49" s="197"/>
      <c r="J49" s="698">
        <v>63.615928066797906</v>
      </c>
      <c r="K49" s="698">
        <v>75.289810860277527</v>
      </c>
      <c r="L49" s="698">
        <v>50.64406779660964</v>
      </c>
      <c r="M49" s="690">
        <f t="shared" si="0"/>
        <v>0.67265500096148012</v>
      </c>
    </row>
    <row r="50" spans="1:13">
      <c r="A50" s="199" t="s">
        <v>115</v>
      </c>
      <c r="B50" s="695">
        <v>5642.1265999998714</v>
      </c>
      <c r="C50" s="695">
        <v>2824.0570000000189</v>
      </c>
      <c r="D50" s="695">
        <v>2818.0696000000185</v>
      </c>
      <c r="E50" s="197"/>
      <c r="F50" s="695">
        <v>3538.5534000000707</v>
      </c>
      <c r="G50" s="695">
        <v>2167.4387999999713</v>
      </c>
      <c r="H50" s="695">
        <v>1371.1145999999906</v>
      </c>
      <c r="I50" s="197"/>
      <c r="J50" s="698">
        <v>62.716660771136922</v>
      </c>
      <c r="K50" s="698">
        <v>76.749116607771739</v>
      </c>
      <c r="L50" s="698">
        <v>48.654390934844088</v>
      </c>
      <c r="M50" s="690">
        <f t="shared" si="0"/>
        <v>0.63394072903136534</v>
      </c>
    </row>
    <row r="51" spans="1:13">
      <c r="A51" s="199" t="s">
        <v>116</v>
      </c>
      <c r="B51" s="695">
        <v>4478.5752000000521</v>
      </c>
      <c r="C51" s="695">
        <v>1989.812599999965</v>
      </c>
      <c r="D51" s="695">
        <v>2488.7625999999946</v>
      </c>
      <c r="E51" s="197"/>
      <c r="F51" s="695">
        <v>2935.821800000027</v>
      </c>
      <c r="G51" s="695">
        <v>1628.5727999999799</v>
      </c>
      <c r="H51" s="695">
        <v>1307.2489999999932</v>
      </c>
      <c r="I51" s="197"/>
      <c r="J51" s="698">
        <v>65.552584670229891</v>
      </c>
      <c r="K51" s="698">
        <v>81.845536609830404</v>
      </c>
      <c r="L51" s="698">
        <v>52.526062550120798</v>
      </c>
      <c r="M51" s="690">
        <f t="shared" si="0"/>
        <v>0.64177064169693443</v>
      </c>
    </row>
    <row r="52" spans="1:13">
      <c r="A52" s="199" t="s">
        <v>117</v>
      </c>
      <c r="B52" s="695">
        <v>4340.8650000000735</v>
      </c>
      <c r="C52" s="695">
        <v>1939.917599999967</v>
      </c>
      <c r="D52" s="695">
        <v>2400.9473999999882</v>
      </c>
      <c r="E52" s="197"/>
      <c r="F52" s="695">
        <v>2558.6155999999996</v>
      </c>
      <c r="G52" s="695">
        <v>1504.833199999985</v>
      </c>
      <c r="H52" s="695">
        <v>1053.7824000000037</v>
      </c>
      <c r="I52" s="197"/>
      <c r="J52" s="698">
        <v>58.942528735629573</v>
      </c>
      <c r="K52" s="698">
        <v>77.572016460906539</v>
      </c>
      <c r="L52" s="698">
        <v>43.890274314214999</v>
      </c>
      <c r="M52" s="690">
        <f t="shared" si="0"/>
        <v>0.56580035322833322</v>
      </c>
    </row>
    <row r="53" spans="1:13">
      <c r="A53" s="199" t="s">
        <v>118</v>
      </c>
      <c r="B53" s="695">
        <v>4730.4817999998968</v>
      </c>
      <c r="C53" s="695">
        <v>2080.9501999999729</v>
      </c>
      <c r="D53" s="695">
        <v>2649.5315999999566</v>
      </c>
      <c r="E53" s="197"/>
      <c r="F53" s="695">
        <v>2522.5387999999602</v>
      </c>
      <c r="G53" s="695">
        <v>1532.5721999999887</v>
      </c>
      <c r="H53" s="695">
        <v>989.96660000000293</v>
      </c>
      <c r="I53" s="197"/>
      <c r="J53" s="698">
        <v>53.325198291641833</v>
      </c>
      <c r="K53" s="698">
        <v>73.647711511789595</v>
      </c>
      <c r="L53" s="698">
        <v>37.363834422658464</v>
      </c>
      <c r="M53" s="690">
        <f t="shared" si="0"/>
        <v>0.50733191372385311</v>
      </c>
    </row>
    <row r="54" spans="1:13">
      <c r="A54" s="199" t="s">
        <v>119</v>
      </c>
      <c r="B54" s="695">
        <v>3671.2463999999272</v>
      </c>
      <c r="C54" s="695">
        <v>1682.6545999999844</v>
      </c>
      <c r="D54" s="695">
        <v>1988.5917999999756</v>
      </c>
      <c r="E54" s="197"/>
      <c r="F54" s="695">
        <v>1962.6159999999763</v>
      </c>
      <c r="G54" s="695">
        <v>1226.6349999999975</v>
      </c>
      <c r="H54" s="695">
        <v>735.98100000000022</v>
      </c>
      <c r="I54" s="197"/>
      <c r="J54" s="698">
        <v>53.459119496855905</v>
      </c>
      <c r="K54" s="698">
        <v>72.898799313893946</v>
      </c>
      <c r="L54" s="698">
        <v>37.010159651669611</v>
      </c>
      <c r="M54" s="690">
        <f t="shared" si="0"/>
        <v>0.50769230769231288</v>
      </c>
    </row>
    <row r="55" spans="1:13">
      <c r="A55" s="199" t="s">
        <v>120</v>
      </c>
      <c r="B55" s="695">
        <v>2297.4151999999667</v>
      </c>
      <c r="C55" s="695">
        <v>900.49440000000197</v>
      </c>
      <c r="D55" s="695">
        <v>1396.9207999999926</v>
      </c>
      <c r="E55" s="197"/>
      <c r="F55" s="695">
        <v>1344.9691999999941</v>
      </c>
      <c r="G55" s="695">
        <v>738.86720000000025</v>
      </c>
      <c r="H55" s="695">
        <v>606.10199999999884</v>
      </c>
      <c r="I55" s="197"/>
      <c r="J55" s="698">
        <v>58.542713567839684</v>
      </c>
      <c r="K55" s="698">
        <v>82.051282051282016</v>
      </c>
      <c r="L55" s="698">
        <v>43.3884297520665</v>
      </c>
      <c r="M55" s="690">
        <f t="shared" si="0"/>
        <v>0.52879648760331066</v>
      </c>
    </row>
    <row r="56" spans="1:13">
      <c r="A56" s="199" t="s">
        <v>121</v>
      </c>
      <c r="B56" s="695">
        <v>1948.1849999999768</v>
      </c>
      <c r="C56" s="695">
        <v>891.83580000000188</v>
      </c>
      <c r="D56" s="695">
        <v>1056.3492000000024</v>
      </c>
      <c r="E56" s="197"/>
      <c r="F56" s="695">
        <v>1258.3831999999966</v>
      </c>
      <c r="G56" s="695">
        <v>727.32240000000013</v>
      </c>
      <c r="H56" s="695">
        <v>531.06079999999804</v>
      </c>
      <c r="I56" s="197"/>
      <c r="J56" s="698">
        <v>64.592592592593007</v>
      </c>
      <c r="K56" s="698">
        <v>81.553398058252426</v>
      </c>
      <c r="L56" s="698">
        <v>50.273224043715871</v>
      </c>
      <c r="M56" s="690">
        <f t="shared" si="0"/>
        <v>0.61644548529794463</v>
      </c>
    </row>
    <row r="57" spans="1:13">
      <c r="A57" s="199" t="s">
        <v>122</v>
      </c>
      <c r="B57" s="695">
        <v>346.34399999999931</v>
      </c>
      <c r="C57" s="695">
        <v>112.56180000000005</v>
      </c>
      <c r="D57" s="695">
        <v>233.78220000000013</v>
      </c>
      <c r="E57" s="197"/>
      <c r="F57" s="695">
        <v>101.01700000000004</v>
      </c>
      <c r="G57" s="695">
        <v>69.268800000000013</v>
      </c>
      <c r="H57" s="695">
        <v>31.748199999999994</v>
      </c>
      <c r="I57" s="197"/>
      <c r="J57" s="698">
        <v>29.166666666666739</v>
      </c>
      <c r="K57" s="698">
        <v>61.538461538461505</v>
      </c>
      <c r="L57" s="698">
        <v>13.58024691358024</v>
      </c>
      <c r="M57" s="690">
        <f t="shared" si="0"/>
        <v>0.22067901234567902</v>
      </c>
    </row>
    <row r="58" spans="1:13">
      <c r="A58" s="199" t="s">
        <v>123</v>
      </c>
      <c r="B58" s="695">
        <v>126.99280000000006</v>
      </c>
      <c r="C58" s="695">
        <v>14.431000000000001</v>
      </c>
      <c r="D58" s="695">
        <v>112.56180000000005</v>
      </c>
      <c r="E58" s="197"/>
      <c r="F58" s="695">
        <v>14.431000000000001</v>
      </c>
      <c r="G58" s="695">
        <v>2.8862000000000001</v>
      </c>
      <c r="H58" s="695">
        <v>11.5448</v>
      </c>
      <c r="I58" s="197"/>
      <c r="J58" s="698">
        <v>11.36363636363636</v>
      </c>
      <c r="K58" s="698">
        <v>20</v>
      </c>
      <c r="L58" s="698">
        <v>10.256410256410252</v>
      </c>
      <c r="M58" s="690">
        <f t="shared" si="0"/>
        <v>0.51282051282051255</v>
      </c>
    </row>
    <row r="59" spans="1:13">
      <c r="A59" s="524" t="s">
        <v>104</v>
      </c>
      <c r="B59" s="696">
        <v>98.130800000000036</v>
      </c>
      <c r="C59" s="696">
        <v>25.975799999999996</v>
      </c>
      <c r="D59" s="696">
        <v>72.155000000000015</v>
      </c>
      <c r="E59" s="525"/>
      <c r="F59" s="696">
        <v>20.203399999999998</v>
      </c>
      <c r="G59" s="696">
        <v>8.6585999999999999</v>
      </c>
      <c r="H59" s="696">
        <v>11.5448</v>
      </c>
      <c r="I59" s="525"/>
      <c r="J59" s="699">
        <v>20.588235294117645</v>
      </c>
      <c r="K59" s="699">
        <v>33.333333333333336</v>
      </c>
      <c r="L59" s="699">
        <v>16</v>
      </c>
      <c r="M59" s="691">
        <f t="shared" si="0"/>
        <v>0.48</v>
      </c>
    </row>
    <row r="60" spans="1:13" ht="15.75" customHeight="1">
      <c r="K60" s="687"/>
      <c r="L60" s="687"/>
      <c r="M60" s="687"/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6BF1-6447-4651-A144-FAFB70DDAE0F}">
  <sheetPr>
    <tabColor theme="0"/>
  </sheetPr>
  <dimension ref="A1:M33"/>
  <sheetViews>
    <sheetView workbookViewId="0">
      <selection activeCell="B18" sqref="B18"/>
    </sheetView>
  </sheetViews>
  <sheetFormatPr defaultRowHeight="12"/>
  <cols>
    <col min="1" max="1" width="21.140625" style="30" customWidth="1"/>
    <col min="2" max="4" width="10.140625" style="30" customWidth="1"/>
    <col min="5" max="5" width="2.140625" style="30" customWidth="1"/>
    <col min="6" max="8" width="9.140625" style="30"/>
    <col min="9" max="9" width="2.28515625" style="30" customWidth="1"/>
    <col min="10" max="12" width="9.140625" style="30"/>
    <col min="13" max="13" width="9.140625" style="701"/>
    <col min="14" max="16384" width="9.140625" style="30"/>
  </cols>
  <sheetData>
    <row r="1" spans="1:13" ht="21.75" customHeight="1" thickBot="1">
      <c r="A1" s="1030" t="s">
        <v>507</v>
      </c>
      <c r="B1" s="1030"/>
      <c r="C1" s="1030"/>
      <c r="D1" s="1030"/>
      <c r="E1" s="1030"/>
      <c r="F1" s="1030"/>
      <c r="G1" s="1030"/>
      <c r="H1" s="1030"/>
      <c r="I1" s="1030"/>
      <c r="J1" s="1030"/>
      <c r="K1" s="1030"/>
      <c r="L1" s="1030"/>
      <c r="M1" s="1030"/>
    </row>
    <row r="2" spans="1:13" ht="15" customHeight="1">
      <c r="A2" s="1028" t="s">
        <v>504</v>
      </c>
      <c r="B2" s="1024" t="s">
        <v>431</v>
      </c>
      <c r="C2" s="1024"/>
      <c r="D2" s="1024"/>
      <c r="E2" s="507"/>
      <c r="F2" s="1024" t="s">
        <v>432</v>
      </c>
      <c r="G2" s="1024"/>
      <c r="H2" s="1024"/>
      <c r="I2" s="507"/>
      <c r="J2" s="1026" t="s">
        <v>428</v>
      </c>
      <c r="K2" s="1026"/>
      <c r="L2" s="1026"/>
      <c r="M2" s="1031" t="s">
        <v>508</v>
      </c>
    </row>
    <row r="3" spans="1:13" ht="15" customHeight="1">
      <c r="A3" s="1029"/>
      <c r="B3" s="1025"/>
      <c r="C3" s="1025"/>
      <c r="D3" s="1025"/>
      <c r="E3" s="507"/>
      <c r="F3" s="1025"/>
      <c r="G3" s="1025"/>
      <c r="H3" s="1025"/>
      <c r="I3" s="507"/>
      <c r="J3" s="1027"/>
      <c r="K3" s="1027"/>
      <c r="L3" s="1027"/>
      <c r="M3" s="1031"/>
    </row>
    <row r="4" spans="1:13" ht="15" customHeight="1">
      <c r="A4" s="1029"/>
      <c r="B4" s="350" t="s">
        <v>0</v>
      </c>
      <c r="C4" s="351" t="s">
        <v>1</v>
      </c>
      <c r="D4" s="351" t="s">
        <v>2</v>
      </c>
      <c r="E4" s="351"/>
      <c r="F4" s="350" t="s">
        <v>0</v>
      </c>
      <c r="G4" s="351" t="s">
        <v>1</v>
      </c>
      <c r="H4" s="351" t="s">
        <v>2</v>
      </c>
      <c r="I4" s="351"/>
      <c r="J4" s="352" t="s">
        <v>0</v>
      </c>
      <c r="K4" s="353" t="s">
        <v>1</v>
      </c>
      <c r="L4" s="353" t="s">
        <v>2</v>
      </c>
      <c r="M4" s="1031"/>
    </row>
    <row r="5" spans="1:13" s="28" customFormat="1" ht="21.75" customHeight="1">
      <c r="A5" s="360" t="s">
        <v>146</v>
      </c>
      <c r="B5" s="361">
        <v>316900.08760030958</v>
      </c>
      <c r="C5" s="361">
        <v>151768.02130001219</v>
      </c>
      <c r="D5" s="361">
        <v>165132.06629999756</v>
      </c>
      <c r="E5" s="361"/>
      <c r="F5" s="361">
        <v>295110.50180015998</v>
      </c>
      <c r="G5" s="361">
        <v>141944.3133000157</v>
      </c>
      <c r="H5" s="361">
        <v>153166.18850000657</v>
      </c>
      <c r="I5" s="361"/>
      <c r="J5" s="526">
        <v>93.124146489067741</v>
      </c>
      <c r="K5" s="526">
        <v>93.527155512854662</v>
      </c>
      <c r="L5" s="526">
        <v>92.753752757991435</v>
      </c>
      <c r="M5" s="703">
        <f>+L5/K5</f>
        <v>0.99173071445803862</v>
      </c>
    </row>
    <row r="6" spans="1:13" s="28" customFormat="1" ht="15" customHeight="1">
      <c r="A6" s="362"/>
      <c r="B6" s="363"/>
      <c r="C6" s="363"/>
      <c r="D6" s="363"/>
      <c r="E6" s="363"/>
      <c r="F6" s="363"/>
      <c r="G6" s="363"/>
      <c r="H6" s="363"/>
      <c r="I6" s="363"/>
      <c r="J6" s="527"/>
      <c r="K6" s="527"/>
      <c r="L6" s="527"/>
      <c r="M6" s="704"/>
    </row>
    <row r="7" spans="1:13" s="28" customFormat="1" ht="21.75" customHeight="1">
      <c r="A7" s="360" t="s">
        <v>433</v>
      </c>
      <c r="B7" s="361"/>
      <c r="C7" s="361"/>
      <c r="D7" s="361"/>
      <c r="E7" s="361"/>
      <c r="F7" s="361"/>
      <c r="G7" s="361"/>
      <c r="H7" s="361"/>
      <c r="I7" s="361"/>
      <c r="J7" s="526"/>
      <c r="K7" s="526"/>
      <c r="L7" s="526"/>
      <c r="M7" s="703"/>
    </row>
    <row r="8" spans="1:13" ht="15" customHeight="1">
      <c r="A8" s="364" t="s">
        <v>4</v>
      </c>
      <c r="B8" s="365">
        <v>288243.19980011153</v>
      </c>
      <c r="C8" s="365">
        <v>136920.18460002396</v>
      </c>
      <c r="D8" s="365">
        <v>151323.01520000389</v>
      </c>
      <c r="E8" s="365"/>
      <c r="F8" s="365">
        <v>272276.63390000275</v>
      </c>
      <c r="G8" s="365">
        <v>129819.39280003058</v>
      </c>
      <c r="H8" s="365">
        <v>142457.24110001011</v>
      </c>
      <c r="I8" s="365"/>
      <c r="J8" s="528">
        <v>94.460731108163984</v>
      </c>
      <c r="K8" s="528">
        <v>94.813918911415868</v>
      </c>
      <c r="L8" s="528">
        <v>94.141159500264848</v>
      </c>
      <c r="M8" s="706">
        <f t="shared" ref="M8:M32" si="0">+L8/K8</f>
        <v>0.99290442353954833</v>
      </c>
    </row>
    <row r="9" spans="1:13" ht="15" customHeight="1">
      <c r="A9" s="364" t="s">
        <v>5</v>
      </c>
      <c r="B9" s="365">
        <v>28656.887799995919</v>
      </c>
      <c r="C9" s="365">
        <v>14847.836699999971</v>
      </c>
      <c r="D9" s="365">
        <v>13809.05109999991</v>
      </c>
      <c r="E9" s="365"/>
      <c r="F9" s="365">
        <v>22833.867899997982</v>
      </c>
      <c r="G9" s="365">
        <v>12124.920499999695</v>
      </c>
      <c r="H9" s="365">
        <v>10708.947399999601</v>
      </c>
      <c r="I9" s="365"/>
      <c r="J9" s="528">
        <v>79.68020833023796</v>
      </c>
      <c r="K9" s="528">
        <v>81.661192434859984</v>
      </c>
      <c r="L9" s="528">
        <v>77.55020473492911</v>
      </c>
      <c r="M9" s="706">
        <f t="shared" si="0"/>
        <v>0.9496580006076919</v>
      </c>
    </row>
    <row r="10" spans="1:13" ht="21.75" customHeight="1">
      <c r="A10" s="366" t="s">
        <v>513</v>
      </c>
      <c r="B10" s="367"/>
      <c r="C10" s="367"/>
      <c r="D10" s="367"/>
      <c r="E10" s="367"/>
      <c r="F10" s="367"/>
      <c r="G10" s="367"/>
      <c r="H10" s="367"/>
      <c r="I10" s="367"/>
      <c r="J10" s="529"/>
      <c r="K10" s="529"/>
      <c r="L10" s="529"/>
      <c r="M10" s="703"/>
    </row>
    <row r="11" spans="1:13" s="28" customFormat="1" ht="15" customHeight="1">
      <c r="A11" s="362" t="s">
        <v>148</v>
      </c>
      <c r="B11" s="363">
        <v>12624.736799999879</v>
      </c>
      <c r="C11" s="363">
        <v>6698.5707999996021</v>
      </c>
      <c r="D11" s="363">
        <v>5926.1659999997037</v>
      </c>
      <c r="E11" s="363"/>
      <c r="F11" s="363">
        <v>10299.731699999669</v>
      </c>
      <c r="G11" s="363">
        <v>5589.86289999973</v>
      </c>
      <c r="H11" s="363">
        <v>4709.8687999998556</v>
      </c>
      <c r="I11" s="363"/>
      <c r="J11" s="527">
        <v>81.583734086250672</v>
      </c>
      <c r="K11" s="527">
        <v>83.448590257495439</v>
      </c>
      <c r="L11" s="527">
        <v>79.475816235996419</v>
      </c>
      <c r="M11" s="705">
        <f t="shared" si="0"/>
        <v>0.95239255679166868</v>
      </c>
    </row>
    <row r="12" spans="1:13" ht="15" customHeight="1">
      <c r="A12" s="453" t="s">
        <v>148</v>
      </c>
      <c r="B12" s="365">
        <v>5035.7631999997975</v>
      </c>
      <c r="C12" s="365">
        <v>2622.7513999999787</v>
      </c>
      <c r="D12" s="365">
        <v>2413.0117999999761</v>
      </c>
      <c r="E12" s="365"/>
      <c r="F12" s="365">
        <v>4564.5247999998737</v>
      </c>
      <c r="G12" s="365">
        <v>2396.9915999999794</v>
      </c>
      <c r="H12" s="365">
        <v>2167.5331999999867</v>
      </c>
      <c r="I12" s="365"/>
      <c r="J12" s="528">
        <v>90.642165223338154</v>
      </c>
      <c r="K12" s="528">
        <v>91.392253188770667</v>
      </c>
      <c r="L12" s="528">
        <v>89.82687942098012</v>
      </c>
      <c r="M12" s="706">
        <f t="shared" si="0"/>
        <v>0.98287192061500805</v>
      </c>
    </row>
    <row r="13" spans="1:13" ht="15" customHeight="1">
      <c r="A13" s="453" t="s">
        <v>149</v>
      </c>
      <c r="B13" s="365">
        <v>3879.0036999999484</v>
      </c>
      <c r="C13" s="365">
        <v>2109.9112999999829</v>
      </c>
      <c r="D13" s="365">
        <v>1769.0923999999895</v>
      </c>
      <c r="E13" s="365"/>
      <c r="F13" s="365">
        <v>2869.1984999999609</v>
      </c>
      <c r="G13" s="365">
        <v>1623.4335999999926</v>
      </c>
      <c r="H13" s="365">
        <v>1245.764899999999</v>
      </c>
      <c r="I13" s="365"/>
      <c r="J13" s="528">
        <v>73.967408177518095</v>
      </c>
      <c r="K13" s="528">
        <v>76.943215574987107</v>
      </c>
      <c r="L13" s="528">
        <v>70.418306019516436</v>
      </c>
      <c r="M13" s="706">
        <f t="shared" si="0"/>
        <v>0.91519837705363838</v>
      </c>
    </row>
    <row r="14" spans="1:13" ht="15" customHeight="1">
      <c r="A14" s="453" t="s">
        <v>150</v>
      </c>
      <c r="B14" s="365">
        <v>1522.8752999999938</v>
      </c>
      <c r="C14" s="365">
        <v>846.76420000000132</v>
      </c>
      <c r="D14" s="365">
        <v>676.11110000000031</v>
      </c>
      <c r="E14" s="365"/>
      <c r="F14" s="365">
        <v>1127.7669000000005</v>
      </c>
      <c r="G14" s="365">
        <v>654.48550000000012</v>
      </c>
      <c r="H14" s="365">
        <v>473.281399999999</v>
      </c>
      <c r="I14" s="365"/>
      <c r="J14" s="528">
        <v>74.055104840166862</v>
      </c>
      <c r="K14" s="528">
        <v>77.292533151495917</v>
      </c>
      <c r="L14" s="528">
        <v>70.00053689401031</v>
      </c>
      <c r="M14" s="706">
        <f t="shared" si="0"/>
        <v>0.90565717074904173</v>
      </c>
    </row>
    <row r="15" spans="1:13" ht="15" customHeight="1">
      <c r="A15" s="453" t="s">
        <v>151</v>
      </c>
      <c r="B15" s="365">
        <v>2187.0945999999799</v>
      </c>
      <c r="C15" s="365">
        <v>1119.1439000000016</v>
      </c>
      <c r="D15" s="365">
        <v>1067.9507000000024</v>
      </c>
      <c r="E15" s="365"/>
      <c r="F15" s="365">
        <v>1738.2414999999908</v>
      </c>
      <c r="G15" s="365">
        <v>914.95220000000177</v>
      </c>
      <c r="H15" s="365">
        <v>823.28930000000128</v>
      </c>
      <c r="I15" s="365"/>
      <c r="J15" s="528">
        <v>79.477197739870007</v>
      </c>
      <c r="K15" s="528">
        <v>81.754651926351926</v>
      </c>
      <c r="L15" s="528">
        <v>77.090571690247359</v>
      </c>
      <c r="M15" s="706">
        <f t="shared" si="0"/>
        <v>0.94295027712543911</v>
      </c>
    </row>
    <row r="16" spans="1:13" s="28" customFormat="1" ht="15" customHeight="1">
      <c r="A16" s="362" t="s">
        <v>152</v>
      </c>
      <c r="B16" s="363">
        <v>5954.6802999997026</v>
      </c>
      <c r="C16" s="363">
        <v>3283.1297999999606</v>
      </c>
      <c r="D16" s="363">
        <v>2671.5504999999725</v>
      </c>
      <c r="E16" s="363"/>
      <c r="F16" s="363">
        <v>4502.3083999998826</v>
      </c>
      <c r="G16" s="363">
        <v>2597.4422999999751</v>
      </c>
      <c r="H16" s="363">
        <v>1904.8660999999884</v>
      </c>
      <c r="I16" s="363"/>
      <c r="J16" s="527">
        <v>75.60957386746901</v>
      </c>
      <c r="K16" s="527">
        <v>79.114822082271544</v>
      </c>
      <c r="L16" s="527">
        <v>71.301893787896617</v>
      </c>
      <c r="M16" s="705">
        <f t="shared" si="0"/>
        <v>0.90124570733091891</v>
      </c>
    </row>
    <row r="17" spans="1:13" ht="15" customHeight="1">
      <c r="A17" s="453" t="s">
        <v>153</v>
      </c>
      <c r="B17" s="365">
        <v>3451.9547999999654</v>
      </c>
      <c r="C17" s="365">
        <v>1918.1773999999834</v>
      </c>
      <c r="D17" s="365">
        <v>1533.7773999999943</v>
      </c>
      <c r="E17" s="365"/>
      <c r="F17" s="365">
        <v>2901.4537999999684</v>
      </c>
      <c r="G17" s="365">
        <v>1652.2414999999903</v>
      </c>
      <c r="H17" s="365">
        <v>1249.2123000000001</v>
      </c>
      <c r="I17" s="365"/>
      <c r="J17" s="528">
        <v>84.052485275880159</v>
      </c>
      <c r="K17" s="528">
        <v>86.136011194794435</v>
      </c>
      <c r="L17" s="528">
        <v>81.446779695672006</v>
      </c>
      <c r="M17" s="706">
        <f t="shared" si="0"/>
        <v>0.9455601503473634</v>
      </c>
    </row>
    <row r="18" spans="1:13" ht="15" customHeight="1">
      <c r="A18" s="453" t="s">
        <v>154</v>
      </c>
      <c r="B18" s="365">
        <v>386.48539999999923</v>
      </c>
      <c r="C18" s="365">
        <v>234.92760000000024</v>
      </c>
      <c r="D18" s="365">
        <v>151.55780000000013</v>
      </c>
      <c r="E18" s="365"/>
      <c r="F18" s="365">
        <v>341.44239999999951</v>
      </c>
      <c r="G18" s="365">
        <v>214.11920000000021</v>
      </c>
      <c r="H18" s="365">
        <v>127.3232000000001</v>
      </c>
      <c r="I18" s="365"/>
      <c r="J18" s="528">
        <v>88.345484719474413</v>
      </c>
      <c r="K18" s="528">
        <v>91.142632879235663</v>
      </c>
      <c r="L18" s="528">
        <v>84.00966495950712</v>
      </c>
      <c r="M18" s="706">
        <f t="shared" si="0"/>
        <v>0.9217384039236638</v>
      </c>
    </row>
    <row r="19" spans="1:13" ht="15" customHeight="1">
      <c r="A19" s="453" t="s">
        <v>155</v>
      </c>
      <c r="B19" s="365">
        <v>996.20030000000315</v>
      </c>
      <c r="C19" s="365">
        <v>540.43729999999903</v>
      </c>
      <c r="D19" s="365">
        <v>455.76299999999912</v>
      </c>
      <c r="E19" s="365"/>
      <c r="F19" s="365">
        <v>577.12969999999916</v>
      </c>
      <c r="G19" s="365">
        <v>343.01929999999982</v>
      </c>
      <c r="H19" s="365">
        <v>234.11040000000025</v>
      </c>
      <c r="I19" s="365"/>
      <c r="J19" s="528">
        <v>57.933098393967256</v>
      </c>
      <c r="K19" s="528">
        <v>63.470693085025701</v>
      </c>
      <c r="L19" s="528">
        <v>51.366697164973864</v>
      </c>
      <c r="M19" s="706">
        <f t="shared" si="0"/>
        <v>0.8092978769928153</v>
      </c>
    </row>
    <row r="20" spans="1:13" ht="15" customHeight="1">
      <c r="A20" s="453" t="s">
        <v>156</v>
      </c>
      <c r="B20" s="365">
        <v>1120.0398000000007</v>
      </c>
      <c r="C20" s="365">
        <v>589.58749999999964</v>
      </c>
      <c r="D20" s="365">
        <v>530.45229999999913</v>
      </c>
      <c r="E20" s="365"/>
      <c r="F20" s="365">
        <v>682.28250000000014</v>
      </c>
      <c r="G20" s="365">
        <v>388.06229999999948</v>
      </c>
      <c r="H20" s="365">
        <v>294.22020000000009</v>
      </c>
      <c r="I20" s="365"/>
      <c r="J20" s="528">
        <v>60.915915666568203</v>
      </c>
      <c r="K20" s="528">
        <v>65.819288909618905</v>
      </c>
      <c r="L20" s="528">
        <v>55.465910883975745</v>
      </c>
      <c r="M20" s="706">
        <f t="shared" si="0"/>
        <v>0.84269994104828283</v>
      </c>
    </row>
    <row r="21" spans="1:13" s="28" customFormat="1" ht="15" customHeight="1">
      <c r="A21" s="362" t="s">
        <v>157</v>
      </c>
      <c r="B21" s="363">
        <v>128529.49300003143</v>
      </c>
      <c r="C21" s="363">
        <v>60759.685600034718</v>
      </c>
      <c r="D21" s="363">
        <v>67769.807400041303</v>
      </c>
      <c r="E21" s="363"/>
      <c r="F21" s="363">
        <v>119814.70170003458</v>
      </c>
      <c r="G21" s="363">
        <v>57009.839300029278</v>
      </c>
      <c r="H21" s="363">
        <v>62804.862400037709</v>
      </c>
      <c r="I21" s="363"/>
      <c r="J21" s="527">
        <v>93.219617461638407</v>
      </c>
      <c r="K21" s="527">
        <v>93.828397459557152</v>
      </c>
      <c r="L21" s="527">
        <v>92.673809782638315</v>
      </c>
      <c r="M21" s="705">
        <f t="shared" si="0"/>
        <v>0.98769468830141216</v>
      </c>
    </row>
    <row r="22" spans="1:13" ht="15" customHeight="1">
      <c r="A22" s="453" t="s">
        <v>157</v>
      </c>
      <c r="B22" s="365">
        <v>71913.109400041867</v>
      </c>
      <c r="C22" s="365">
        <v>33661.185299995843</v>
      </c>
      <c r="D22" s="365">
        <v>38251.924100002201</v>
      </c>
      <c r="E22" s="365"/>
      <c r="F22" s="365">
        <v>67405.295500042004</v>
      </c>
      <c r="G22" s="365">
        <v>31777.269899994899</v>
      </c>
      <c r="H22" s="365">
        <v>35628.025599998538</v>
      </c>
      <c r="I22" s="365"/>
      <c r="J22" s="528">
        <v>93.731582547774423</v>
      </c>
      <c r="K22" s="528">
        <v>94.403300468439809</v>
      </c>
      <c r="L22" s="528">
        <v>93.140479696781455</v>
      </c>
      <c r="M22" s="706">
        <f t="shared" si="0"/>
        <v>0.98662312900722648</v>
      </c>
    </row>
    <row r="23" spans="1:13" ht="15" customHeight="1">
      <c r="A23" s="453" t="s">
        <v>158</v>
      </c>
      <c r="B23" s="365">
        <v>22299.438499997974</v>
      </c>
      <c r="C23" s="365">
        <v>10635.871299999561</v>
      </c>
      <c r="D23" s="365">
        <v>11663.567199999759</v>
      </c>
      <c r="E23" s="365"/>
      <c r="F23" s="365">
        <v>20047.252199998875</v>
      </c>
      <c r="G23" s="365">
        <v>9675.2737999995134</v>
      </c>
      <c r="H23" s="365">
        <v>10371.9783999996</v>
      </c>
      <c r="I23" s="365"/>
      <c r="J23" s="528">
        <v>89.900255560255147</v>
      </c>
      <c r="K23" s="528">
        <v>90.968323394447125</v>
      </c>
      <c r="L23" s="528">
        <v>88.926296922275768</v>
      </c>
      <c r="M23" s="706">
        <f t="shared" si="0"/>
        <v>0.97755233474715209</v>
      </c>
    </row>
    <row r="24" spans="1:13" ht="15" customHeight="1">
      <c r="A24" s="453" t="s">
        <v>159</v>
      </c>
      <c r="B24" s="365">
        <v>34316.945099996636</v>
      </c>
      <c r="C24" s="365">
        <v>16462.628999999972</v>
      </c>
      <c r="D24" s="365">
        <v>17854.316099999607</v>
      </c>
      <c r="E24" s="365"/>
      <c r="F24" s="365">
        <v>32362.153999994563</v>
      </c>
      <c r="G24" s="365">
        <v>15557.295599999936</v>
      </c>
      <c r="H24" s="365">
        <v>16804.858399999961</v>
      </c>
      <c r="I24" s="365"/>
      <c r="J24" s="528">
        <v>94.303714697483926</v>
      </c>
      <c r="K24" s="528">
        <v>94.500675438901624</v>
      </c>
      <c r="L24" s="528">
        <v>94.12210641885514</v>
      </c>
      <c r="M24" s="706">
        <f t="shared" si="0"/>
        <v>0.9959940072566863</v>
      </c>
    </row>
    <row r="25" spans="1:13" s="28" customFormat="1" ht="15" customHeight="1">
      <c r="A25" s="362" t="s">
        <v>160</v>
      </c>
      <c r="B25" s="363">
        <v>136591.0940000194</v>
      </c>
      <c r="C25" s="363">
        <v>64693.260200040451</v>
      </c>
      <c r="D25" s="363">
        <v>71897.833800041641</v>
      </c>
      <c r="E25" s="363"/>
      <c r="F25" s="363">
        <v>131740.88430002981</v>
      </c>
      <c r="G25" s="363">
        <v>62394.224000037095</v>
      </c>
      <c r="H25" s="363">
        <v>69346.660300042364</v>
      </c>
      <c r="I25" s="363"/>
      <c r="J25" s="527">
        <v>96.449102530805106</v>
      </c>
      <c r="K25" s="527">
        <v>96.446250825887176</v>
      </c>
      <c r="L25" s="527">
        <v>96.451668478404699</v>
      </c>
      <c r="M25" s="705">
        <f t="shared" si="0"/>
        <v>1.0000561727643233</v>
      </c>
    </row>
    <row r="26" spans="1:13" ht="15" customHeight="1">
      <c r="A26" s="453" t="s">
        <v>160</v>
      </c>
      <c r="B26" s="365">
        <v>136591.0940000194</v>
      </c>
      <c r="C26" s="365">
        <v>64693.260200040451</v>
      </c>
      <c r="D26" s="365">
        <v>71897.833800041641</v>
      </c>
      <c r="E26" s="365"/>
      <c r="F26" s="365">
        <v>131740.88430002981</v>
      </c>
      <c r="G26" s="365">
        <v>62394.224000037095</v>
      </c>
      <c r="H26" s="365">
        <v>69346.660300042364</v>
      </c>
      <c r="I26" s="365"/>
      <c r="J26" s="528">
        <v>96.449102530805106</v>
      </c>
      <c r="K26" s="528">
        <v>96.446250825887176</v>
      </c>
      <c r="L26" s="528">
        <v>96.451668478404699</v>
      </c>
      <c r="M26" s="706">
        <f t="shared" si="0"/>
        <v>1.0000561727643233</v>
      </c>
    </row>
    <row r="27" spans="1:13" s="28" customFormat="1" ht="15" customHeight="1">
      <c r="A27" s="362" t="s">
        <v>161</v>
      </c>
      <c r="B27" s="363">
        <v>4528.1985999998869</v>
      </c>
      <c r="C27" s="363">
        <v>2381.8460999999734</v>
      </c>
      <c r="D27" s="363">
        <v>2146.3524999999822</v>
      </c>
      <c r="E27" s="363"/>
      <c r="F27" s="363">
        <v>4005.960699999951</v>
      </c>
      <c r="G27" s="363">
        <v>2119.5300999999827</v>
      </c>
      <c r="H27" s="363">
        <v>1886.4305999999847</v>
      </c>
      <c r="I27" s="363"/>
      <c r="J27" s="527">
        <v>88.466983316500745</v>
      </c>
      <c r="K27" s="527">
        <v>88.986861913539485</v>
      </c>
      <c r="L27" s="527">
        <v>87.89006465620264</v>
      </c>
      <c r="M27" s="705">
        <f t="shared" si="0"/>
        <v>0.98767461585056782</v>
      </c>
    </row>
    <row r="28" spans="1:13" ht="15" customHeight="1">
      <c r="A28" s="453" t="s">
        <v>161</v>
      </c>
      <c r="B28" s="365">
        <v>4528.1985999998869</v>
      </c>
      <c r="C28" s="365">
        <v>2381.8460999999734</v>
      </c>
      <c r="D28" s="365">
        <v>2146.3524999999822</v>
      </c>
      <c r="E28" s="365"/>
      <c r="F28" s="365">
        <v>4005.960699999951</v>
      </c>
      <c r="G28" s="365">
        <v>2119.5300999999827</v>
      </c>
      <c r="H28" s="365">
        <v>1886.4305999999847</v>
      </c>
      <c r="I28" s="365"/>
      <c r="J28" s="528">
        <v>88.466983316500745</v>
      </c>
      <c r="K28" s="528">
        <v>88.986861913539485</v>
      </c>
      <c r="L28" s="528">
        <v>87.89006465620264</v>
      </c>
      <c r="M28" s="706">
        <f t="shared" si="0"/>
        <v>0.98767461585056782</v>
      </c>
    </row>
    <row r="29" spans="1:13" s="28" customFormat="1" ht="15" customHeight="1">
      <c r="A29" s="362" t="s">
        <v>162</v>
      </c>
      <c r="B29" s="363">
        <v>7518.2340999995013</v>
      </c>
      <c r="C29" s="363">
        <v>3502.6606999999708</v>
      </c>
      <c r="D29" s="363">
        <v>4015.5733999999579</v>
      </c>
      <c r="E29" s="363"/>
      <c r="F29" s="363">
        <v>6597.1104999996342</v>
      </c>
      <c r="G29" s="363">
        <v>3185.3166999999748</v>
      </c>
      <c r="H29" s="363">
        <v>3411.7937999999717</v>
      </c>
      <c r="I29" s="363"/>
      <c r="J29" s="527">
        <v>87.748138888100826</v>
      </c>
      <c r="K29" s="527">
        <v>90.939916047249625</v>
      </c>
      <c r="L29" s="527">
        <v>84.96405021509517</v>
      </c>
      <c r="M29" s="705">
        <f t="shared" si="0"/>
        <v>0.93428775732485203</v>
      </c>
    </row>
    <row r="30" spans="1:13" ht="15" customHeight="1">
      <c r="A30" s="453" t="s">
        <v>162</v>
      </c>
      <c r="B30" s="365">
        <v>7518.2340999995013</v>
      </c>
      <c r="C30" s="365">
        <v>3502.6606999999708</v>
      </c>
      <c r="D30" s="365">
        <v>4015.5733999999579</v>
      </c>
      <c r="E30" s="365"/>
      <c r="F30" s="365">
        <v>6597.1104999996342</v>
      </c>
      <c r="G30" s="365">
        <v>3185.3166999999748</v>
      </c>
      <c r="H30" s="365">
        <v>3411.7937999999717</v>
      </c>
      <c r="I30" s="365"/>
      <c r="J30" s="528">
        <v>87.748138888100826</v>
      </c>
      <c r="K30" s="528">
        <v>90.939916047249625</v>
      </c>
      <c r="L30" s="528">
        <v>84.96405021509517</v>
      </c>
      <c r="M30" s="706">
        <f t="shared" si="0"/>
        <v>0.93428775732485203</v>
      </c>
    </row>
    <row r="31" spans="1:13" s="28" customFormat="1" ht="15" customHeight="1">
      <c r="A31" s="362" t="s">
        <v>163</v>
      </c>
      <c r="B31" s="363">
        <v>21153.65079999865</v>
      </c>
      <c r="C31" s="363">
        <v>10448.868099999499</v>
      </c>
      <c r="D31" s="363">
        <v>10704.78269999951</v>
      </c>
      <c r="E31" s="363"/>
      <c r="F31" s="363">
        <v>18149.804499999493</v>
      </c>
      <c r="G31" s="363">
        <v>9048.0979999994252</v>
      </c>
      <c r="H31" s="363">
        <v>9101.7064999994345</v>
      </c>
      <c r="I31" s="363"/>
      <c r="J31" s="527">
        <v>85.799868172170562</v>
      </c>
      <c r="K31" s="527">
        <v>86.594049359289656</v>
      </c>
      <c r="L31" s="527">
        <v>85.024673130460357</v>
      </c>
      <c r="M31" s="705">
        <f t="shared" si="0"/>
        <v>0.98187662731514314</v>
      </c>
    </row>
    <row r="32" spans="1:13" ht="15" customHeight="1">
      <c r="A32" s="453" t="s">
        <v>163</v>
      </c>
      <c r="B32" s="365">
        <v>21153.65079999865</v>
      </c>
      <c r="C32" s="365">
        <v>10448.868099999499</v>
      </c>
      <c r="D32" s="365">
        <v>10704.78269999951</v>
      </c>
      <c r="E32" s="365"/>
      <c r="F32" s="365">
        <v>18149.804499999493</v>
      </c>
      <c r="G32" s="365">
        <v>9048.0979999994252</v>
      </c>
      <c r="H32" s="365">
        <v>9101.7064999994345</v>
      </c>
      <c r="I32" s="365"/>
      <c r="J32" s="528">
        <v>85.799868172170562</v>
      </c>
      <c r="K32" s="528">
        <v>86.594049359289656</v>
      </c>
      <c r="L32" s="528">
        <v>85.024673130460357</v>
      </c>
      <c r="M32" s="706">
        <f t="shared" si="0"/>
        <v>0.98187662731514314</v>
      </c>
    </row>
    <row r="33" ht="15" customHeight="1"/>
  </sheetData>
  <mergeCells count="6">
    <mergeCell ref="B2:D3"/>
    <mergeCell ref="F2:H3"/>
    <mergeCell ref="J2:L3"/>
    <mergeCell ref="A2:A4"/>
    <mergeCell ref="A1:M1"/>
    <mergeCell ref="M2:M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0CEE-0EAD-4833-B711-256366FB6427}">
  <sheetPr>
    <tabColor theme="0"/>
  </sheetPr>
  <dimension ref="A1:N35"/>
  <sheetViews>
    <sheetView zoomScaleNormal="100" workbookViewId="0">
      <selection activeCell="B14" sqref="B14"/>
    </sheetView>
  </sheetViews>
  <sheetFormatPr defaultRowHeight="12"/>
  <cols>
    <col min="1" max="1" width="23.42578125" style="711" customWidth="1"/>
    <col min="2" max="2" width="11.42578125" style="30" customWidth="1"/>
    <col min="3" max="3" width="2.28515625" style="30" customWidth="1"/>
    <col min="4" max="6" width="9.140625" style="30"/>
    <col min="7" max="7" width="2.7109375" style="30" customWidth="1"/>
    <col min="8" max="10" width="9.140625" style="30"/>
    <col min="11" max="11" width="2.85546875" style="30" customWidth="1"/>
    <col min="12" max="16384" width="9.140625" style="30"/>
  </cols>
  <sheetData>
    <row r="1" spans="1:14" ht="15.75" customHeight="1" thickBot="1">
      <c r="A1" s="1032" t="s">
        <v>510</v>
      </c>
      <c r="B1" s="1032"/>
      <c r="C1" s="1032"/>
      <c r="D1" s="1032"/>
      <c r="E1" s="1032"/>
      <c r="F1" s="1032"/>
      <c r="G1" s="1032"/>
      <c r="H1" s="1032"/>
      <c r="I1" s="1032"/>
      <c r="J1" s="1032"/>
      <c r="K1" s="1032"/>
      <c r="L1" s="1032"/>
      <c r="M1" s="1032"/>
      <c r="N1" s="1032"/>
    </row>
    <row r="2" spans="1:14" ht="15.75" customHeight="1">
      <c r="A2" s="1036" t="s">
        <v>504</v>
      </c>
      <c r="B2" s="707"/>
      <c r="C2" s="707"/>
      <c r="D2" s="1035" t="s">
        <v>511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</row>
    <row r="3" spans="1:14" ht="21" customHeight="1">
      <c r="A3" s="1037"/>
      <c r="B3" s="1033" t="s">
        <v>434</v>
      </c>
      <c r="C3" s="368"/>
      <c r="D3" s="1025" t="s">
        <v>435</v>
      </c>
      <c r="E3" s="1025"/>
      <c r="F3" s="1025"/>
      <c r="G3" s="507"/>
      <c r="H3" s="1034" t="s">
        <v>436</v>
      </c>
      <c r="I3" s="1034"/>
      <c r="J3" s="1034"/>
      <c r="K3" s="506"/>
      <c r="L3" s="1034" t="s">
        <v>437</v>
      </c>
      <c r="M3" s="1034"/>
      <c r="N3" s="1034"/>
    </row>
    <row r="4" spans="1:14" ht="17.25" customHeight="1">
      <c r="A4" s="1037"/>
      <c r="B4" s="1033"/>
      <c r="C4" s="368"/>
      <c r="D4" s="369" t="s">
        <v>0</v>
      </c>
      <c r="E4" s="369" t="s">
        <v>1</v>
      </c>
      <c r="F4" s="369" t="s">
        <v>2</v>
      </c>
      <c r="G4" s="369"/>
      <c r="H4" s="369" t="s">
        <v>0</v>
      </c>
      <c r="I4" s="369" t="s">
        <v>1</v>
      </c>
      <c r="J4" s="369" t="s">
        <v>2</v>
      </c>
      <c r="K4" s="369"/>
      <c r="L4" s="369" t="s">
        <v>0</v>
      </c>
      <c r="M4" s="369" t="s">
        <v>1</v>
      </c>
      <c r="N4" s="369" t="s">
        <v>2</v>
      </c>
    </row>
    <row r="5" spans="1:14" s="712" customFormat="1" ht="18.75" customHeight="1">
      <c r="A5" s="708" t="s">
        <v>146</v>
      </c>
      <c r="B5" s="370">
        <v>1355396.2660913235</v>
      </c>
      <c r="C5" s="370"/>
      <c r="D5" s="370">
        <v>669527.47259842011</v>
      </c>
      <c r="E5" s="370">
        <v>327613.71280008211</v>
      </c>
      <c r="F5" s="370">
        <v>341913.7598000482</v>
      </c>
      <c r="G5" s="370"/>
      <c r="H5" s="370">
        <v>554215.65999874682</v>
      </c>
      <c r="I5" s="370">
        <v>281299.1107002981</v>
      </c>
      <c r="J5" s="370">
        <v>272916.54930034309</v>
      </c>
      <c r="K5" s="370"/>
      <c r="L5" s="370">
        <v>131653.13350000032</v>
      </c>
      <c r="M5" s="370">
        <v>54333.73730001309</v>
      </c>
      <c r="N5" s="370">
        <v>77319.396200007512</v>
      </c>
    </row>
    <row r="6" spans="1:14" ht="17.25" customHeight="1">
      <c r="A6" s="709"/>
      <c r="B6" s="371"/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</row>
    <row r="7" spans="1:14" s="28" customFormat="1" ht="18.75" customHeight="1">
      <c r="A7" s="708" t="s">
        <v>3</v>
      </c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</row>
    <row r="8" spans="1:14" ht="17.25" customHeight="1">
      <c r="A8" s="709" t="s">
        <v>4</v>
      </c>
      <c r="B8" s="371">
        <v>1223433.1874930053</v>
      </c>
      <c r="C8" s="371"/>
      <c r="D8" s="371">
        <v>621238.23849879357</v>
      </c>
      <c r="E8" s="371">
        <v>302481.12440016359</v>
      </c>
      <c r="F8" s="371">
        <v>318757.1141001131</v>
      </c>
      <c r="G8" s="371"/>
      <c r="H8" s="371">
        <v>501813.1876990067</v>
      </c>
      <c r="I8" s="371">
        <v>252163.88770038498</v>
      </c>
      <c r="J8" s="371">
        <v>249649.30000038017</v>
      </c>
      <c r="K8" s="371"/>
      <c r="L8" s="371">
        <v>100381.7613000049</v>
      </c>
      <c r="M8" s="371">
        <v>41733.215700004621</v>
      </c>
      <c r="N8" s="371">
        <v>58648.545600008249</v>
      </c>
    </row>
    <row r="9" spans="1:14" ht="17.25" customHeight="1">
      <c r="A9" s="709" t="s">
        <v>5</v>
      </c>
      <c r="B9" s="371">
        <v>131963.07860001107</v>
      </c>
      <c r="C9" s="371"/>
      <c r="D9" s="371">
        <v>48289.234100012924</v>
      </c>
      <c r="E9" s="371">
        <v>25132.588399998458</v>
      </c>
      <c r="F9" s="371">
        <v>23156.645699998695</v>
      </c>
      <c r="G9" s="371"/>
      <c r="H9" s="371">
        <v>52402.472300002955</v>
      </c>
      <c r="I9" s="371">
        <v>29135.223000002479</v>
      </c>
      <c r="J9" s="371">
        <v>23267.249300001378</v>
      </c>
      <c r="K9" s="371"/>
      <c r="L9" s="371">
        <v>31271.372200001759</v>
      </c>
      <c r="M9" s="371">
        <v>12600.521599999476</v>
      </c>
      <c r="N9" s="371">
        <v>18670.850600000576</v>
      </c>
    </row>
    <row r="10" spans="1:14" s="28" customFormat="1" ht="18.75" customHeight="1">
      <c r="A10" s="708" t="s">
        <v>509</v>
      </c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0"/>
      <c r="M10" s="370"/>
      <c r="N10" s="370"/>
    </row>
    <row r="11" spans="1:14" s="28" customFormat="1" ht="17.25" customHeight="1">
      <c r="A11" s="710" t="s">
        <v>148</v>
      </c>
      <c r="B11" s="372">
        <v>59718.823700013636</v>
      </c>
      <c r="C11" s="372"/>
      <c r="D11" s="372">
        <v>21730.220599999066</v>
      </c>
      <c r="E11" s="372">
        <v>11211.049399999369</v>
      </c>
      <c r="F11" s="372">
        <v>10519.17119999938</v>
      </c>
      <c r="G11" s="372"/>
      <c r="H11" s="372">
        <v>23527.624300001124</v>
      </c>
      <c r="I11" s="372">
        <v>13033.712600000135</v>
      </c>
      <c r="J11" s="372">
        <v>10493.911699999793</v>
      </c>
      <c r="K11" s="372"/>
      <c r="L11" s="372">
        <v>14460.978800000103</v>
      </c>
      <c r="M11" s="372">
        <v>5404.3241999997681</v>
      </c>
      <c r="N11" s="372">
        <v>9056.654599999627</v>
      </c>
    </row>
    <row r="12" spans="1:14" ht="17.25" customHeight="1">
      <c r="A12" s="709" t="s">
        <v>148</v>
      </c>
      <c r="B12" s="371">
        <v>21229.6046999998</v>
      </c>
      <c r="C12" s="371"/>
      <c r="D12" s="371">
        <v>9734.1714999993619</v>
      </c>
      <c r="E12" s="371">
        <v>4855.5565999998626</v>
      </c>
      <c r="F12" s="371">
        <v>4878.6148999998577</v>
      </c>
      <c r="G12" s="371"/>
      <c r="H12" s="371">
        <v>8452.7425999994321</v>
      </c>
      <c r="I12" s="371">
        <v>4512.4115999998294</v>
      </c>
      <c r="J12" s="371">
        <v>3940.3309999998792</v>
      </c>
      <c r="K12" s="371"/>
      <c r="L12" s="371">
        <v>3042.6905999999758</v>
      </c>
      <c r="M12" s="371">
        <v>1201.3851000000034</v>
      </c>
      <c r="N12" s="371">
        <v>1841.3054999999943</v>
      </c>
    </row>
    <row r="13" spans="1:14" ht="17.25" customHeight="1">
      <c r="A13" s="709" t="s">
        <v>149</v>
      </c>
      <c r="B13" s="371">
        <v>21812.291500000938</v>
      </c>
      <c r="C13" s="371"/>
      <c r="D13" s="371">
        <v>6542.801899999673</v>
      </c>
      <c r="E13" s="371">
        <v>3516.7631999999853</v>
      </c>
      <c r="F13" s="371">
        <v>3026.0386999999942</v>
      </c>
      <c r="G13" s="371"/>
      <c r="H13" s="371">
        <v>8233.0450999994591</v>
      </c>
      <c r="I13" s="371">
        <v>4598.236799999876</v>
      </c>
      <c r="J13" s="371">
        <v>3634.8082999999724</v>
      </c>
      <c r="K13" s="371"/>
      <c r="L13" s="371">
        <v>7036.4444999996322</v>
      </c>
      <c r="M13" s="371">
        <v>2502.3808999999842</v>
      </c>
      <c r="N13" s="371">
        <v>4534.0635999999249</v>
      </c>
    </row>
    <row r="14" spans="1:14" ht="17.25" customHeight="1">
      <c r="A14" s="709" t="s">
        <v>150</v>
      </c>
      <c r="B14" s="371">
        <v>7009.1954999996005</v>
      </c>
      <c r="C14" s="371"/>
      <c r="D14" s="371">
        <v>1736.9348999999947</v>
      </c>
      <c r="E14" s="371">
        <v>980.14720000000591</v>
      </c>
      <c r="F14" s="371">
        <v>756.78770000000179</v>
      </c>
      <c r="G14" s="371"/>
      <c r="H14" s="371">
        <v>2993.1076999999636</v>
      </c>
      <c r="I14" s="371">
        <v>1777.9060999999965</v>
      </c>
      <c r="J14" s="371">
        <v>1215.2016000000008</v>
      </c>
      <c r="K14" s="371"/>
      <c r="L14" s="371">
        <v>2279.1528999999937</v>
      </c>
      <c r="M14" s="371">
        <v>875.92790000000275</v>
      </c>
      <c r="N14" s="371">
        <v>1403.2250000000008</v>
      </c>
    </row>
    <row r="15" spans="1:14" ht="17.25" customHeight="1">
      <c r="A15" s="709" t="s">
        <v>151</v>
      </c>
      <c r="B15" s="371">
        <v>9667.7319999995434</v>
      </c>
      <c r="C15" s="371"/>
      <c r="D15" s="371">
        <v>3716.31229999999</v>
      </c>
      <c r="E15" s="371">
        <v>1858.5823999999984</v>
      </c>
      <c r="F15" s="371">
        <v>1857.7298999999987</v>
      </c>
      <c r="G15" s="371"/>
      <c r="H15" s="371">
        <v>3848.7288999999055</v>
      </c>
      <c r="I15" s="371">
        <v>2145.1580999999874</v>
      </c>
      <c r="J15" s="371">
        <v>1703.5707999999981</v>
      </c>
      <c r="K15" s="371"/>
      <c r="L15" s="371">
        <v>2102.6907999999903</v>
      </c>
      <c r="M15" s="371">
        <v>824.63030000000197</v>
      </c>
      <c r="N15" s="371">
        <v>1278.0605000000007</v>
      </c>
    </row>
    <row r="16" spans="1:14" s="28" customFormat="1" ht="17.25" customHeight="1">
      <c r="A16" s="710" t="s">
        <v>152</v>
      </c>
      <c r="B16" s="372">
        <v>26160.05559999968</v>
      </c>
      <c r="C16" s="372"/>
      <c r="D16" s="372">
        <v>9220.9536999992051</v>
      </c>
      <c r="E16" s="372">
        <v>5057.9957999998451</v>
      </c>
      <c r="F16" s="372">
        <v>4162.9578999999931</v>
      </c>
      <c r="G16" s="372"/>
      <c r="H16" s="372">
        <v>10343.958099999647</v>
      </c>
      <c r="I16" s="372">
        <v>5927.7427999996826</v>
      </c>
      <c r="J16" s="372">
        <v>4416.2152999998743</v>
      </c>
      <c r="K16" s="372"/>
      <c r="L16" s="372">
        <v>6595.1437999995887</v>
      </c>
      <c r="M16" s="372">
        <v>2657.1891999999925</v>
      </c>
      <c r="N16" s="372">
        <v>3937.9545999999646</v>
      </c>
    </row>
    <row r="17" spans="1:14" ht="17.25" customHeight="1">
      <c r="A17" s="709" t="s">
        <v>153</v>
      </c>
      <c r="B17" s="371">
        <v>15287.045599999681</v>
      </c>
      <c r="C17" s="371"/>
      <c r="D17" s="371">
        <v>5811.6190999997116</v>
      </c>
      <c r="E17" s="371">
        <v>3121.5613000000062</v>
      </c>
      <c r="F17" s="371">
        <v>2690.057800000001</v>
      </c>
      <c r="G17" s="371"/>
      <c r="H17" s="371">
        <v>6398.1623999996282</v>
      </c>
      <c r="I17" s="371">
        <v>3676.1678999999262</v>
      </c>
      <c r="J17" s="371">
        <v>2721.994499999972</v>
      </c>
      <c r="K17" s="371"/>
      <c r="L17" s="371">
        <v>3077.2640999999726</v>
      </c>
      <c r="M17" s="371">
        <v>1234.4117000000037</v>
      </c>
      <c r="N17" s="371">
        <v>1842.8523999999929</v>
      </c>
    </row>
    <row r="18" spans="1:14" ht="17.25" customHeight="1">
      <c r="A18" s="709" t="s">
        <v>154</v>
      </c>
      <c r="B18" s="371">
        <v>1672.4902999999999</v>
      </c>
      <c r="C18" s="371"/>
      <c r="D18" s="371">
        <v>833.5989000000036</v>
      </c>
      <c r="E18" s="371">
        <v>505.78620000000075</v>
      </c>
      <c r="F18" s="371">
        <v>327.81270000000012</v>
      </c>
      <c r="G18" s="371"/>
      <c r="H18" s="371">
        <v>608.90509999999927</v>
      </c>
      <c r="I18" s="371">
        <v>352.21159999999963</v>
      </c>
      <c r="J18" s="371">
        <v>256.69350000000026</v>
      </c>
      <c r="K18" s="371"/>
      <c r="L18" s="371">
        <v>229.98630000000011</v>
      </c>
      <c r="M18" s="371">
        <v>84.377700000000004</v>
      </c>
      <c r="N18" s="371">
        <v>145.60860000000005</v>
      </c>
    </row>
    <row r="19" spans="1:14" ht="17.25" customHeight="1">
      <c r="A19" s="709" t="s">
        <v>155</v>
      </c>
      <c r="B19" s="371">
        <v>4179.3820999999598</v>
      </c>
      <c r="C19" s="371"/>
      <c r="D19" s="371">
        <v>1052.7779000000053</v>
      </c>
      <c r="E19" s="371">
        <v>603.72850000000108</v>
      </c>
      <c r="F19" s="371">
        <v>449.04940000000028</v>
      </c>
      <c r="G19" s="371"/>
      <c r="H19" s="371">
        <v>1703.7564999999984</v>
      </c>
      <c r="I19" s="371">
        <v>984.02460000000303</v>
      </c>
      <c r="J19" s="371">
        <v>719.73190000000125</v>
      </c>
      <c r="K19" s="371"/>
      <c r="L19" s="371">
        <v>1422.8477000000016</v>
      </c>
      <c r="M19" s="371">
        <v>538.39409999999987</v>
      </c>
      <c r="N19" s="371">
        <v>884.45360000000301</v>
      </c>
    </row>
    <row r="20" spans="1:14" ht="17.25" customHeight="1">
      <c r="A20" s="709" t="s">
        <v>156</v>
      </c>
      <c r="B20" s="371">
        <v>5021.1375999998354</v>
      </c>
      <c r="C20" s="371"/>
      <c r="D20" s="371">
        <v>1522.957800000004</v>
      </c>
      <c r="E20" s="371">
        <v>826.91980000000308</v>
      </c>
      <c r="F20" s="371">
        <v>696.03800000000183</v>
      </c>
      <c r="G20" s="371"/>
      <c r="H20" s="371">
        <v>1633.1340999999993</v>
      </c>
      <c r="I20" s="371">
        <v>915.33870000000331</v>
      </c>
      <c r="J20" s="371">
        <v>717.79540000000077</v>
      </c>
      <c r="K20" s="371"/>
      <c r="L20" s="371">
        <v>1865.0456999999983</v>
      </c>
      <c r="M20" s="371">
        <v>800.00570000000221</v>
      </c>
      <c r="N20" s="371">
        <v>1065.0400000000043</v>
      </c>
    </row>
    <row r="21" spans="1:14" s="28" customFormat="1" ht="17.25" customHeight="1">
      <c r="A21" s="710" t="s">
        <v>157</v>
      </c>
      <c r="B21" s="372">
        <v>541941.58749904763</v>
      </c>
      <c r="C21" s="372"/>
      <c r="D21" s="372">
        <v>272200.45920026652</v>
      </c>
      <c r="E21" s="372">
        <v>133917.57979998813</v>
      </c>
      <c r="F21" s="372">
        <v>138282.87940000353</v>
      </c>
      <c r="G21" s="372"/>
      <c r="H21" s="372">
        <v>219208.74890029817</v>
      </c>
      <c r="I21" s="372">
        <v>112221.63640001888</v>
      </c>
      <c r="J21" s="372">
        <v>106987.1125000118</v>
      </c>
      <c r="K21" s="372"/>
      <c r="L21" s="372">
        <v>50532.379400007761</v>
      </c>
      <c r="M21" s="372">
        <v>21110.832299999111</v>
      </c>
      <c r="N21" s="372">
        <v>29421.547100001593</v>
      </c>
    </row>
    <row r="22" spans="1:14" ht="17.25" customHeight="1">
      <c r="A22" s="709" t="s">
        <v>157</v>
      </c>
      <c r="B22" s="371">
        <v>313587.91070008971</v>
      </c>
      <c r="C22" s="371"/>
      <c r="D22" s="371">
        <v>159191.37040006608</v>
      </c>
      <c r="E22" s="371">
        <v>77597.825200015504</v>
      </c>
      <c r="F22" s="371">
        <v>81593.545200014734</v>
      </c>
      <c r="G22" s="371"/>
      <c r="H22" s="371">
        <v>128046.23240004152</v>
      </c>
      <c r="I22" s="371">
        <v>65302.101900000249</v>
      </c>
      <c r="J22" s="371">
        <v>62744.130500006613</v>
      </c>
      <c r="K22" s="371"/>
      <c r="L22" s="371">
        <v>26350.307899999916</v>
      </c>
      <c r="M22" s="371">
        <v>11100.158299999272</v>
      </c>
      <c r="N22" s="371">
        <v>15250.149599999686</v>
      </c>
    </row>
    <row r="23" spans="1:14" ht="17.25" customHeight="1">
      <c r="A23" s="709" t="s">
        <v>158</v>
      </c>
      <c r="B23" s="371">
        <v>93018.279300013848</v>
      </c>
      <c r="C23" s="371"/>
      <c r="D23" s="371">
        <v>42100.386700008043</v>
      </c>
      <c r="E23" s="371">
        <v>21258.455399998184</v>
      </c>
      <c r="F23" s="371">
        <v>20841.931299998345</v>
      </c>
      <c r="G23" s="371"/>
      <c r="H23" s="371">
        <v>39004.431900002739</v>
      </c>
      <c r="I23" s="371">
        <v>20280.973000000762</v>
      </c>
      <c r="J23" s="371">
        <v>18723.458900000391</v>
      </c>
      <c r="K23" s="371"/>
      <c r="L23" s="371">
        <v>11913.460699999492</v>
      </c>
      <c r="M23" s="371">
        <v>4765.4780999998566</v>
      </c>
      <c r="N23" s="371">
        <v>7147.9825999995355</v>
      </c>
    </row>
    <row r="24" spans="1:14" ht="17.25" customHeight="1">
      <c r="A24" s="709" t="s">
        <v>159</v>
      </c>
      <c r="B24" s="371">
        <v>135335.39750002214</v>
      </c>
      <c r="C24" s="371"/>
      <c r="D24" s="371">
        <v>70908.702100025563</v>
      </c>
      <c r="E24" s="371">
        <v>35061.299200000984</v>
      </c>
      <c r="F24" s="371">
        <v>35847.402900001922</v>
      </c>
      <c r="G24" s="371"/>
      <c r="H24" s="371">
        <v>52158.084600002192</v>
      </c>
      <c r="I24" s="371">
        <v>26638.561500001997</v>
      </c>
      <c r="J24" s="371">
        <v>25519.523100001443</v>
      </c>
      <c r="K24" s="371"/>
      <c r="L24" s="371">
        <v>12268.610799999511</v>
      </c>
      <c r="M24" s="371">
        <v>5245.1958999997878</v>
      </c>
      <c r="N24" s="371">
        <v>7023.4148999995496</v>
      </c>
    </row>
    <row r="25" spans="1:14" s="28" customFormat="1" ht="17.25" customHeight="1">
      <c r="A25" s="710" t="s">
        <v>160</v>
      </c>
      <c r="B25" s="372">
        <v>581257.96909879718</v>
      </c>
      <c r="C25" s="372"/>
      <c r="D25" s="372">
        <v>303799.84550016531</v>
      </c>
      <c r="E25" s="372">
        <v>146029.42570002223</v>
      </c>
      <c r="F25" s="372">
        <v>157770.41980004695</v>
      </c>
      <c r="G25" s="372"/>
      <c r="H25" s="372">
        <v>241769.6835003529</v>
      </c>
      <c r="I25" s="372">
        <v>118531.39810003919</v>
      </c>
      <c r="J25" s="372">
        <v>123238.28540004278</v>
      </c>
      <c r="K25" s="372"/>
      <c r="L25" s="372">
        <v>35688.440100001921</v>
      </c>
      <c r="M25" s="372">
        <v>14861.386899999296</v>
      </c>
      <c r="N25" s="372">
        <v>20827.053200000519</v>
      </c>
    </row>
    <row r="26" spans="1:14" ht="17.25" customHeight="1">
      <c r="A26" s="709" t="s">
        <v>160</v>
      </c>
      <c r="B26" s="371">
        <v>581257.96909879718</v>
      </c>
      <c r="C26" s="371"/>
      <c r="D26" s="371">
        <v>303799.84550016531</v>
      </c>
      <c r="E26" s="371">
        <v>146029.42570002223</v>
      </c>
      <c r="F26" s="371">
        <v>157770.41980004695</v>
      </c>
      <c r="G26" s="371"/>
      <c r="H26" s="371">
        <v>241769.6835003529</v>
      </c>
      <c r="I26" s="371">
        <v>118531.39810003919</v>
      </c>
      <c r="J26" s="371">
        <v>123238.28540004278</v>
      </c>
      <c r="K26" s="371"/>
      <c r="L26" s="371">
        <v>35688.440100001921</v>
      </c>
      <c r="M26" s="371">
        <v>14861.386899999296</v>
      </c>
      <c r="N26" s="371">
        <v>20827.053200000519</v>
      </c>
    </row>
    <row r="27" spans="1:14" s="28" customFormat="1" ht="17.25" customHeight="1">
      <c r="A27" s="710" t="s">
        <v>161</v>
      </c>
      <c r="B27" s="372">
        <v>19677.439899999794</v>
      </c>
      <c r="C27" s="372"/>
      <c r="D27" s="372">
        <v>7454.2339999994529</v>
      </c>
      <c r="E27" s="372">
        <v>3779.9112000000082</v>
      </c>
      <c r="F27" s="372">
        <v>3674.3228000000113</v>
      </c>
      <c r="G27" s="372"/>
      <c r="H27" s="372">
        <v>9075.7266999994863</v>
      </c>
      <c r="I27" s="372">
        <v>4846.8431999997965</v>
      </c>
      <c r="J27" s="372">
        <v>4228.8834999998744</v>
      </c>
      <c r="K27" s="372"/>
      <c r="L27" s="372">
        <v>3147.4791999999684</v>
      </c>
      <c r="M27" s="372">
        <v>1292.2820000000042</v>
      </c>
      <c r="N27" s="372">
        <v>1855.1972000000035</v>
      </c>
    </row>
    <row r="28" spans="1:14" ht="17.25" customHeight="1">
      <c r="A28" s="709" t="s">
        <v>161</v>
      </c>
      <c r="B28" s="371">
        <v>19677.439899999794</v>
      </c>
      <c r="C28" s="371"/>
      <c r="D28" s="371">
        <v>7454.2339999994529</v>
      </c>
      <c r="E28" s="371">
        <v>3779.9112000000082</v>
      </c>
      <c r="F28" s="371">
        <v>3674.3228000000113</v>
      </c>
      <c r="G28" s="371"/>
      <c r="H28" s="371">
        <v>9075.7266999994863</v>
      </c>
      <c r="I28" s="371">
        <v>4846.8431999997965</v>
      </c>
      <c r="J28" s="371">
        <v>4228.8834999998744</v>
      </c>
      <c r="K28" s="371"/>
      <c r="L28" s="371">
        <v>3147.4791999999684</v>
      </c>
      <c r="M28" s="371">
        <v>1292.2820000000042</v>
      </c>
      <c r="N28" s="371">
        <v>1855.1972000000035</v>
      </c>
    </row>
    <row r="29" spans="1:14" s="28" customFormat="1" ht="17.25" customHeight="1">
      <c r="A29" s="710" t="s">
        <v>162</v>
      </c>
      <c r="B29" s="372">
        <v>31126.332199999837</v>
      </c>
      <c r="C29" s="372"/>
      <c r="D29" s="372">
        <v>13572.888399998872</v>
      </c>
      <c r="E29" s="372">
        <v>6763.3524999995734</v>
      </c>
      <c r="F29" s="372">
        <v>6809.5358999995651</v>
      </c>
      <c r="G29" s="372"/>
      <c r="H29" s="372">
        <v>12356.717399999992</v>
      </c>
      <c r="I29" s="372">
        <v>6464.5144999995964</v>
      </c>
      <c r="J29" s="372">
        <v>5892.2028999996592</v>
      </c>
      <c r="K29" s="372"/>
      <c r="L29" s="372">
        <v>5196.7263999997949</v>
      </c>
      <c r="M29" s="372">
        <v>1948.0888999999984</v>
      </c>
      <c r="N29" s="372">
        <v>3248.6374999999584</v>
      </c>
    </row>
    <row r="30" spans="1:14" ht="17.25" customHeight="1">
      <c r="A30" s="709" t="s">
        <v>162</v>
      </c>
      <c r="B30" s="371">
        <v>31126.332199999837</v>
      </c>
      <c r="C30" s="371"/>
      <c r="D30" s="371">
        <v>13572.888399998872</v>
      </c>
      <c r="E30" s="371">
        <v>6763.3524999995734</v>
      </c>
      <c r="F30" s="371">
        <v>6809.5358999995651</v>
      </c>
      <c r="G30" s="371"/>
      <c r="H30" s="371">
        <v>12356.717399999992</v>
      </c>
      <c r="I30" s="371">
        <v>6464.5144999995964</v>
      </c>
      <c r="J30" s="371">
        <v>5892.2028999996592</v>
      </c>
      <c r="K30" s="371"/>
      <c r="L30" s="371">
        <v>5196.7263999997949</v>
      </c>
      <c r="M30" s="371">
        <v>1948.0888999999984</v>
      </c>
      <c r="N30" s="371">
        <v>3248.6374999999584</v>
      </c>
    </row>
    <row r="31" spans="1:14" s="28" customFormat="1" ht="17.25" customHeight="1">
      <c r="A31" s="710" t="s">
        <v>163</v>
      </c>
      <c r="B31" s="372">
        <v>95514.058100009628</v>
      </c>
      <c r="C31" s="372"/>
      <c r="D31" s="372">
        <v>41548.871200009002</v>
      </c>
      <c r="E31" s="372">
        <v>20854.398399998718</v>
      </c>
      <c r="F31" s="372">
        <v>20694.472799998835</v>
      </c>
      <c r="G31" s="372"/>
      <c r="H31" s="372">
        <v>37933.201100001243</v>
      </c>
      <c r="I31" s="372">
        <v>20273.263100001044</v>
      </c>
      <c r="J31" s="372">
        <v>17659.938000000573</v>
      </c>
      <c r="K31" s="372"/>
      <c r="L31" s="372">
        <v>16031.98579999984</v>
      </c>
      <c r="M31" s="372">
        <v>7059.6337999995194</v>
      </c>
      <c r="N31" s="372">
        <v>8972.351999999446</v>
      </c>
    </row>
    <row r="32" spans="1:14" ht="17.25" customHeight="1">
      <c r="A32" s="709" t="s">
        <v>163</v>
      </c>
      <c r="B32" s="371">
        <v>95514.058100009628</v>
      </c>
      <c r="C32" s="371"/>
      <c r="D32" s="371">
        <v>41548.871200009002</v>
      </c>
      <c r="E32" s="371">
        <v>20854.398399998718</v>
      </c>
      <c r="F32" s="371">
        <v>20694.472799998835</v>
      </c>
      <c r="G32" s="371"/>
      <c r="H32" s="371">
        <v>37933.201100001243</v>
      </c>
      <c r="I32" s="371">
        <v>20273.263100001044</v>
      </c>
      <c r="J32" s="371">
        <v>17659.938000000573</v>
      </c>
      <c r="K32" s="371"/>
      <c r="L32" s="371">
        <v>16031.98579999984</v>
      </c>
      <c r="M32" s="371">
        <v>7059.6337999995194</v>
      </c>
      <c r="N32" s="371">
        <v>8972.351999999446</v>
      </c>
    </row>
    <row r="33" ht="17.25" customHeight="1"/>
    <row r="34" ht="17.25" customHeight="1"/>
    <row r="35" ht="17.25" customHeight="1"/>
  </sheetData>
  <mergeCells count="7">
    <mergeCell ref="A1:N1"/>
    <mergeCell ref="B3:B4"/>
    <mergeCell ref="D3:F3"/>
    <mergeCell ref="H3:J3"/>
    <mergeCell ref="L3:N3"/>
    <mergeCell ref="D2:N2"/>
    <mergeCell ref="A2:A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F34E-F603-4C8A-BE23-7007C42A979F}">
  <sheetPr>
    <tabColor theme="0"/>
  </sheetPr>
  <dimension ref="A1:L37"/>
  <sheetViews>
    <sheetView workbookViewId="0">
      <selection activeCell="D13" sqref="D13"/>
    </sheetView>
  </sheetViews>
  <sheetFormatPr defaultRowHeight="12"/>
  <cols>
    <col min="1" max="1" width="24.28515625" style="30" customWidth="1"/>
    <col min="2" max="2" width="2.140625" style="30" customWidth="1"/>
    <col min="3" max="5" width="9.140625" style="30"/>
    <col min="6" max="6" width="3" style="30" customWidth="1"/>
    <col min="7" max="16384" width="9.140625" style="30"/>
  </cols>
  <sheetData>
    <row r="1" spans="1:12" ht="22.5" customHeight="1" thickBot="1">
      <c r="A1" s="998" t="s">
        <v>512</v>
      </c>
      <c r="B1" s="998"/>
      <c r="C1" s="998"/>
      <c r="D1" s="998"/>
      <c r="E1" s="998"/>
      <c r="F1" s="998"/>
      <c r="G1" s="998"/>
      <c r="H1" s="998"/>
      <c r="I1" s="998"/>
    </row>
    <row r="2" spans="1:12" ht="22.5" customHeight="1">
      <c r="A2" s="1038" t="s">
        <v>504</v>
      </c>
      <c r="B2" s="507"/>
      <c r="C2" s="1025" t="s">
        <v>470</v>
      </c>
      <c r="D2" s="1025"/>
      <c r="E2" s="1025"/>
      <c r="F2" s="615"/>
      <c r="G2" s="1025" t="s">
        <v>438</v>
      </c>
      <c r="H2" s="1025"/>
      <c r="I2" s="1025"/>
    </row>
    <row r="3" spans="1:12" ht="21" customHeight="1">
      <c r="A3" s="1039"/>
      <c r="B3" s="369"/>
      <c r="C3" s="369" t="s">
        <v>0</v>
      </c>
      <c r="D3" s="369" t="s">
        <v>1</v>
      </c>
      <c r="E3" s="369" t="s">
        <v>2</v>
      </c>
      <c r="F3" s="369"/>
      <c r="G3" s="369" t="s">
        <v>0</v>
      </c>
      <c r="H3" s="369" t="s">
        <v>1</v>
      </c>
      <c r="I3" s="369" t="s">
        <v>2</v>
      </c>
      <c r="L3" s="611"/>
    </row>
    <row r="4" spans="1:12" s="288" customFormat="1" ht="17.25" customHeight="1">
      <c r="A4" s="373" t="s">
        <v>146</v>
      </c>
      <c r="B4" s="374"/>
      <c r="C4" s="374">
        <v>262602.57000053371</v>
      </c>
      <c r="D4" s="374">
        <v>131242.18999992253</v>
      </c>
      <c r="E4" s="374">
        <v>131360.37999992308</v>
      </c>
      <c r="F4" s="374"/>
      <c r="G4" s="374">
        <v>49880.640000018982</v>
      </c>
      <c r="H4" s="374">
        <v>25254.749999995889</v>
      </c>
      <c r="I4" s="374">
        <v>24625.889999996012</v>
      </c>
    </row>
    <row r="5" spans="1:12" ht="14.25" customHeight="1">
      <c r="A5" s="375"/>
      <c r="B5" s="376"/>
      <c r="C5" s="376"/>
      <c r="D5" s="376"/>
      <c r="E5" s="376"/>
      <c r="F5" s="376"/>
      <c r="G5" s="376"/>
      <c r="H5" s="376"/>
      <c r="I5" s="376"/>
    </row>
    <row r="6" spans="1:12" ht="17.25" customHeight="1">
      <c r="A6" s="377" t="s">
        <v>3</v>
      </c>
      <c r="B6" s="374"/>
      <c r="C6" s="374"/>
      <c r="D6" s="374"/>
      <c r="E6" s="374"/>
      <c r="F6" s="374"/>
      <c r="G6" s="374"/>
      <c r="H6" s="374"/>
      <c r="I6" s="374"/>
    </row>
    <row r="7" spans="1:12" ht="14.25" customHeight="1">
      <c r="A7" s="375" t="s">
        <v>4</v>
      </c>
      <c r="B7" s="376"/>
      <c r="C7" s="376">
        <v>238746.03000042762</v>
      </c>
      <c r="D7" s="376">
        <v>119021.78999994374</v>
      </c>
      <c r="E7" s="376">
        <v>119724.23999994245</v>
      </c>
      <c r="F7" s="376"/>
      <c r="G7" s="376">
        <v>41651.940000007169</v>
      </c>
      <c r="H7" s="376">
        <v>21069.039999996709</v>
      </c>
      <c r="I7" s="376">
        <v>20582.899999996804</v>
      </c>
    </row>
    <row r="8" spans="1:12" ht="14.25" customHeight="1">
      <c r="A8" s="375" t="s">
        <v>5</v>
      </c>
      <c r="B8" s="376"/>
      <c r="C8" s="376">
        <v>23856.539999996163</v>
      </c>
      <c r="D8" s="376">
        <v>12220.399999998441</v>
      </c>
      <c r="E8" s="376">
        <v>11636.139999998555</v>
      </c>
      <c r="F8" s="376"/>
      <c r="G8" s="376">
        <v>8228.6999999992222</v>
      </c>
      <c r="H8" s="376">
        <v>4185.7100000000128</v>
      </c>
      <c r="I8" s="376">
        <v>4042.9900000000302</v>
      </c>
    </row>
    <row r="9" spans="1:12" ht="17.25" customHeight="1">
      <c r="A9" s="377" t="s">
        <v>513</v>
      </c>
      <c r="B9" s="374"/>
      <c r="C9" s="374"/>
      <c r="D9" s="374"/>
      <c r="E9" s="374"/>
      <c r="F9" s="374"/>
      <c r="G9" s="374"/>
      <c r="H9" s="374"/>
      <c r="I9" s="374"/>
    </row>
    <row r="10" spans="1:12" s="28" customFormat="1" ht="14.25" customHeight="1">
      <c r="A10" s="378" t="s">
        <v>148</v>
      </c>
      <c r="B10" s="379"/>
      <c r="C10" s="379">
        <v>10021.619999998871</v>
      </c>
      <c r="D10" s="379">
        <v>5131.2299999998277</v>
      </c>
      <c r="E10" s="379">
        <v>4890.3899999998748</v>
      </c>
      <c r="F10" s="379"/>
      <c r="G10" s="379">
        <v>3478.8000000000256</v>
      </c>
      <c r="H10" s="379">
        <v>1781.7700000000118</v>
      </c>
      <c r="I10" s="379">
        <v>1697.0300000000111</v>
      </c>
    </row>
    <row r="11" spans="1:12" ht="14.25" customHeight="1">
      <c r="A11" s="455" t="s">
        <v>148</v>
      </c>
      <c r="B11" s="376"/>
      <c r="C11" s="376">
        <v>3784.3100000000281</v>
      </c>
      <c r="D11" s="376">
        <v>1935.6400000000131</v>
      </c>
      <c r="E11" s="376">
        <v>1848.6700000000124</v>
      </c>
      <c r="F11" s="376"/>
      <c r="G11" s="376">
        <v>918.76000000000488</v>
      </c>
      <c r="H11" s="376">
        <v>497.29000000000144</v>
      </c>
      <c r="I11" s="376">
        <v>421.47000000000082</v>
      </c>
    </row>
    <row r="12" spans="1:12" ht="14.25" customHeight="1">
      <c r="A12" s="455" t="s">
        <v>149</v>
      </c>
      <c r="B12" s="376"/>
      <c r="C12" s="376">
        <v>3494.4100000000258</v>
      </c>
      <c r="D12" s="376">
        <v>1799.610000000012</v>
      </c>
      <c r="E12" s="376">
        <v>1694.8000000000111</v>
      </c>
      <c r="F12" s="376"/>
      <c r="G12" s="376">
        <v>1494.1000000000095</v>
      </c>
      <c r="H12" s="376">
        <v>729.21000000000333</v>
      </c>
      <c r="I12" s="376">
        <v>764.89000000000362</v>
      </c>
    </row>
    <row r="13" spans="1:12" ht="14.25" customHeight="1">
      <c r="A13" s="455" t="s">
        <v>150</v>
      </c>
      <c r="B13" s="376"/>
      <c r="C13" s="376">
        <v>1137.3000000000065</v>
      </c>
      <c r="D13" s="376">
        <v>604.33000000000231</v>
      </c>
      <c r="E13" s="376">
        <v>532.97000000000173</v>
      </c>
      <c r="F13" s="376"/>
      <c r="G13" s="376">
        <v>613.25000000000239</v>
      </c>
      <c r="H13" s="376">
        <v>312.2</v>
      </c>
      <c r="I13" s="376">
        <v>301.04999999999984</v>
      </c>
    </row>
    <row r="14" spans="1:12" ht="14.25" customHeight="1">
      <c r="A14" s="455" t="s">
        <v>151</v>
      </c>
      <c r="B14" s="376"/>
      <c r="C14" s="376">
        <v>1605.6000000000104</v>
      </c>
      <c r="D14" s="376">
        <v>791.65000000000384</v>
      </c>
      <c r="E14" s="376">
        <v>813.95000000000402</v>
      </c>
      <c r="F14" s="376"/>
      <c r="G14" s="376">
        <v>452.69000000000108</v>
      </c>
      <c r="H14" s="376">
        <v>243.06999999999954</v>
      </c>
      <c r="I14" s="376">
        <v>209.61999999999969</v>
      </c>
    </row>
    <row r="15" spans="1:12" s="28" customFormat="1" ht="14.25" customHeight="1">
      <c r="A15" s="378" t="s">
        <v>152</v>
      </c>
      <c r="B15" s="379"/>
      <c r="C15" s="379">
        <v>5434.5099999997683</v>
      </c>
      <c r="D15" s="379">
        <v>2820.9500000000203</v>
      </c>
      <c r="E15" s="379">
        <v>2613.5600000000186</v>
      </c>
      <c r="F15" s="379"/>
      <c r="G15" s="379">
        <v>2085.0500000000143</v>
      </c>
      <c r="H15" s="379">
        <v>1079.3200000000061</v>
      </c>
      <c r="I15" s="379">
        <v>1005.7300000000056</v>
      </c>
    </row>
    <row r="16" spans="1:12" ht="14.25" customHeight="1">
      <c r="A16" s="455" t="s">
        <v>153</v>
      </c>
      <c r="B16" s="376"/>
      <c r="C16" s="376">
        <v>2849.9400000000205</v>
      </c>
      <c r="D16" s="376">
        <v>1453.9600000000091</v>
      </c>
      <c r="E16" s="376">
        <v>1395.9800000000087</v>
      </c>
      <c r="F16" s="376"/>
      <c r="G16" s="376">
        <v>936.60000000000502</v>
      </c>
      <c r="H16" s="376">
        <v>497.29000000000144</v>
      </c>
      <c r="I16" s="376">
        <v>439.31000000000097</v>
      </c>
    </row>
    <row r="17" spans="1:9" ht="14.25" customHeight="1">
      <c r="A17" s="455" t="s">
        <v>154</v>
      </c>
      <c r="B17" s="376"/>
      <c r="C17" s="376">
        <v>370.1800000000004</v>
      </c>
      <c r="D17" s="376">
        <v>211.84999999999968</v>
      </c>
      <c r="E17" s="376">
        <v>158.32999999999993</v>
      </c>
      <c r="F17" s="376"/>
      <c r="G17" s="376">
        <v>62.439999999999962</v>
      </c>
      <c r="H17" s="376">
        <v>35.68</v>
      </c>
      <c r="I17" s="376">
        <v>26.76</v>
      </c>
    </row>
    <row r="18" spans="1:9" ht="14.25" customHeight="1">
      <c r="A18" s="455" t="s">
        <v>155</v>
      </c>
      <c r="B18" s="376"/>
      <c r="C18" s="376">
        <v>1045.8700000000058</v>
      </c>
      <c r="D18" s="376">
        <v>544.12000000000182</v>
      </c>
      <c r="E18" s="376">
        <v>501.75000000000148</v>
      </c>
      <c r="F18" s="376"/>
      <c r="G18" s="376">
        <v>590.95000000000221</v>
      </c>
      <c r="H18" s="376">
        <v>294.35999999999979</v>
      </c>
      <c r="I18" s="376">
        <v>296.5899999999998</v>
      </c>
    </row>
    <row r="19" spans="1:9" ht="14.25" customHeight="1">
      <c r="A19" s="455" t="s">
        <v>156</v>
      </c>
      <c r="B19" s="376"/>
      <c r="C19" s="376">
        <v>1168.5200000000068</v>
      </c>
      <c r="D19" s="376">
        <v>611.02000000000237</v>
      </c>
      <c r="E19" s="376">
        <v>557.50000000000193</v>
      </c>
      <c r="F19" s="376"/>
      <c r="G19" s="376">
        <v>495.06000000000142</v>
      </c>
      <c r="H19" s="376">
        <v>251.9899999999995</v>
      </c>
      <c r="I19" s="376">
        <v>243.06999999999954</v>
      </c>
    </row>
    <row r="20" spans="1:9" s="28" customFormat="1" ht="14.25" customHeight="1">
      <c r="A20" s="378" t="s">
        <v>157</v>
      </c>
      <c r="B20" s="379"/>
      <c r="C20" s="379">
        <v>106975.32999996575</v>
      </c>
      <c r="D20" s="379">
        <v>53627.040000024361</v>
      </c>
      <c r="E20" s="379">
        <v>53348.290000023961</v>
      </c>
      <c r="F20" s="379"/>
      <c r="G20" s="379">
        <v>21129.249999996697</v>
      </c>
      <c r="H20" s="379">
        <v>10757.519999998727</v>
      </c>
      <c r="I20" s="379">
        <v>10371.729999998803</v>
      </c>
    </row>
    <row r="21" spans="1:9" ht="14.25" customHeight="1">
      <c r="A21" s="455" t="s">
        <v>157</v>
      </c>
      <c r="B21" s="376"/>
      <c r="C21" s="376">
        <v>63327.540000038287</v>
      </c>
      <c r="D21" s="376">
        <v>31717.289999994624</v>
      </c>
      <c r="E21" s="376">
        <v>31610.249999994645</v>
      </c>
      <c r="F21" s="376"/>
      <c r="G21" s="376">
        <v>11785.549999998526</v>
      </c>
      <c r="H21" s="376">
        <v>6087.8999999996404</v>
      </c>
      <c r="I21" s="376">
        <v>5697.6499999997168</v>
      </c>
    </row>
    <row r="22" spans="1:9" ht="14.25" customHeight="1">
      <c r="A22" s="455" t="s">
        <v>158</v>
      </c>
      <c r="B22" s="376"/>
      <c r="C22" s="376">
        <v>18089.759999997292</v>
      </c>
      <c r="D22" s="376">
        <v>9096.1699999990524</v>
      </c>
      <c r="E22" s="376">
        <v>8993.5899999990725</v>
      </c>
      <c r="F22" s="376"/>
      <c r="G22" s="376">
        <v>4587.1099999999342</v>
      </c>
      <c r="H22" s="376">
        <v>2265.6800000000158</v>
      </c>
      <c r="I22" s="376">
        <v>2321.4300000000162</v>
      </c>
    </row>
    <row r="23" spans="1:9" ht="14.25" customHeight="1">
      <c r="A23" s="455" t="s">
        <v>159</v>
      </c>
      <c r="B23" s="376"/>
      <c r="C23" s="376">
        <v>25558.02999999583</v>
      </c>
      <c r="D23" s="376">
        <v>12813.579999998325</v>
      </c>
      <c r="E23" s="376">
        <v>12744.449999998338</v>
      </c>
      <c r="F23" s="376"/>
      <c r="G23" s="376">
        <v>4756.589999999901</v>
      </c>
      <c r="H23" s="376">
        <v>2403.9400000000169</v>
      </c>
      <c r="I23" s="376">
        <v>2352.6500000000165</v>
      </c>
    </row>
    <row r="24" spans="1:9" s="28" customFormat="1" ht="14.25" customHeight="1">
      <c r="A24" s="378" t="s">
        <v>160</v>
      </c>
      <c r="B24" s="379"/>
      <c r="C24" s="379">
        <v>113076.6099999546</v>
      </c>
      <c r="D24" s="379">
        <v>55785.68000002746</v>
      </c>
      <c r="E24" s="379">
        <v>57290.930000029621</v>
      </c>
      <c r="F24" s="379"/>
      <c r="G24" s="379">
        <v>16577.819999997588</v>
      </c>
      <c r="H24" s="379">
        <v>8255.459999999217</v>
      </c>
      <c r="I24" s="379">
        <v>8322.3599999992039</v>
      </c>
    </row>
    <row r="25" spans="1:9" ht="14.25" customHeight="1">
      <c r="A25" s="455" t="s">
        <v>160</v>
      </c>
      <c r="B25" s="376"/>
      <c r="C25" s="376">
        <v>113076.6099999546</v>
      </c>
      <c r="D25" s="376">
        <v>55785.68000002746</v>
      </c>
      <c r="E25" s="376">
        <v>57290.930000029621</v>
      </c>
      <c r="F25" s="376"/>
      <c r="G25" s="376">
        <v>16577.819999997588</v>
      </c>
      <c r="H25" s="376">
        <v>8255.459999999217</v>
      </c>
      <c r="I25" s="376">
        <v>8322.3599999992039</v>
      </c>
    </row>
    <row r="26" spans="1:9" s="28" customFormat="1" ht="14.25" customHeight="1">
      <c r="A26" s="378" t="s">
        <v>161</v>
      </c>
      <c r="B26" s="379"/>
      <c r="C26" s="379">
        <v>4150.0300000000198</v>
      </c>
      <c r="D26" s="379">
        <v>2071.6700000000142</v>
      </c>
      <c r="E26" s="379">
        <v>2078.3600000000142</v>
      </c>
      <c r="F26" s="379"/>
      <c r="G26" s="379">
        <v>1195.280000000007</v>
      </c>
      <c r="H26" s="379">
        <v>577.5700000000021</v>
      </c>
      <c r="I26" s="379">
        <v>617.71000000000242</v>
      </c>
    </row>
    <row r="27" spans="1:9" ht="14.25" customHeight="1">
      <c r="A27" s="455" t="s">
        <v>161</v>
      </c>
      <c r="B27" s="376"/>
      <c r="C27" s="376">
        <v>4150.0300000000198</v>
      </c>
      <c r="D27" s="376">
        <v>2071.6700000000142</v>
      </c>
      <c r="E27" s="376">
        <v>2078.3600000000142</v>
      </c>
      <c r="F27" s="376"/>
      <c r="G27" s="376">
        <v>1195.280000000007</v>
      </c>
      <c r="H27" s="376">
        <v>577.5700000000021</v>
      </c>
      <c r="I27" s="376">
        <v>617.71000000000242</v>
      </c>
    </row>
    <row r="28" spans="1:9" s="28" customFormat="1" ht="14.25" customHeight="1">
      <c r="A28" s="378" t="s">
        <v>162</v>
      </c>
      <c r="B28" s="379"/>
      <c r="C28" s="379">
        <v>6163.7199999996255</v>
      </c>
      <c r="D28" s="379">
        <v>3235.7300000000237</v>
      </c>
      <c r="E28" s="379">
        <v>2927.9900000000212</v>
      </c>
      <c r="F28" s="379"/>
      <c r="G28" s="379">
        <v>1251.0300000000075</v>
      </c>
      <c r="H28" s="379">
        <v>680.15000000000293</v>
      </c>
      <c r="I28" s="379">
        <v>570.88000000000204</v>
      </c>
    </row>
    <row r="29" spans="1:9" ht="14.25" customHeight="1">
      <c r="A29" s="455" t="s">
        <v>162</v>
      </c>
      <c r="B29" s="376"/>
      <c r="C29" s="376">
        <v>6163.7199999996255</v>
      </c>
      <c r="D29" s="376">
        <v>3235.7300000000237</v>
      </c>
      <c r="E29" s="376">
        <v>2927.9900000000212</v>
      </c>
      <c r="F29" s="376"/>
      <c r="G29" s="376">
        <v>1251.0300000000075</v>
      </c>
      <c r="H29" s="376">
        <v>680.15000000000293</v>
      </c>
      <c r="I29" s="376">
        <v>570.88000000000204</v>
      </c>
    </row>
    <row r="30" spans="1:9" s="28" customFormat="1" ht="14.25" customHeight="1">
      <c r="A30" s="378" t="s">
        <v>163</v>
      </c>
      <c r="B30" s="379"/>
      <c r="C30" s="379">
        <v>16780.749999997548</v>
      </c>
      <c r="D30" s="379">
        <v>8569.8899999991554</v>
      </c>
      <c r="E30" s="379">
        <v>8210.8599999992257</v>
      </c>
      <c r="F30" s="379"/>
      <c r="G30" s="379">
        <v>4163.4100000000171</v>
      </c>
      <c r="H30" s="379">
        <v>2122.9600000000146</v>
      </c>
      <c r="I30" s="379">
        <v>2040.4500000000139</v>
      </c>
    </row>
    <row r="31" spans="1:9" ht="14.25" customHeight="1">
      <c r="A31" s="455" t="s">
        <v>163</v>
      </c>
      <c r="B31" s="376"/>
      <c r="C31" s="376">
        <v>16780.749999997548</v>
      </c>
      <c r="D31" s="376">
        <v>8569.8899999991554</v>
      </c>
      <c r="E31" s="376">
        <v>8210.8599999992257</v>
      </c>
      <c r="F31" s="376"/>
      <c r="G31" s="376">
        <v>4163.4100000000171</v>
      </c>
      <c r="H31" s="376">
        <v>2122.9600000000146</v>
      </c>
      <c r="I31" s="376">
        <v>2040.4500000000139</v>
      </c>
    </row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</sheetData>
  <mergeCells count="4">
    <mergeCell ref="A1:I1"/>
    <mergeCell ref="C2:E2"/>
    <mergeCell ref="A2:A3"/>
    <mergeCell ref="G2:I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CE82-E5DA-4F5F-BD14-2DEDAA38B0A1}">
  <sheetPr>
    <tabColor theme="0"/>
  </sheetPr>
  <dimension ref="A1:H31"/>
  <sheetViews>
    <sheetView workbookViewId="0">
      <selection activeCell="K22" sqref="K22"/>
    </sheetView>
  </sheetViews>
  <sheetFormatPr defaultRowHeight="15" customHeight="1"/>
  <cols>
    <col min="1" max="1" width="18.5703125" style="30" customWidth="1"/>
    <col min="2" max="4" width="9.140625" style="687"/>
    <col min="5" max="5" width="8.42578125" style="722" customWidth="1"/>
    <col min="6" max="7" width="9.140625" style="687"/>
    <col min="8" max="8" width="12.28515625" style="687" customWidth="1"/>
    <col min="9" max="16384" width="9.140625" style="30"/>
  </cols>
  <sheetData>
    <row r="1" spans="1:8" ht="22.5" customHeight="1" thickBot="1">
      <c r="A1" s="1040" t="s">
        <v>515</v>
      </c>
      <c r="B1" s="1040"/>
      <c r="C1" s="1040"/>
      <c r="D1" s="1040"/>
      <c r="E1" s="1040"/>
      <c r="F1" s="1040"/>
      <c r="G1" s="1040"/>
      <c r="H1" s="1040"/>
    </row>
    <row r="2" spans="1:8" ht="28.5" customHeight="1">
      <c r="A2" s="1041" t="s">
        <v>516</v>
      </c>
      <c r="B2" s="1025" t="s">
        <v>471</v>
      </c>
      <c r="C2" s="1025"/>
      <c r="D2" s="1025"/>
      <c r="E2" s="716"/>
      <c r="F2" s="1043" t="s">
        <v>439</v>
      </c>
      <c r="G2" s="1043"/>
      <c r="H2" s="1043"/>
    </row>
    <row r="3" spans="1:8" ht="15" customHeight="1">
      <c r="A3" s="1042"/>
      <c r="B3" s="380" t="s">
        <v>440</v>
      </c>
      <c r="C3" s="380" t="s">
        <v>1</v>
      </c>
      <c r="D3" s="381" t="s">
        <v>2</v>
      </c>
      <c r="E3" s="717"/>
      <c r="F3" s="380" t="s">
        <v>440</v>
      </c>
      <c r="G3" s="380" t="s">
        <v>1</v>
      </c>
      <c r="H3" s="381" t="s">
        <v>2</v>
      </c>
    </row>
    <row r="4" spans="1:8" s="715" customFormat="1" ht="17.25" customHeight="1">
      <c r="A4" s="714" t="s">
        <v>146</v>
      </c>
      <c r="B4" s="723">
        <v>121766.91999993872</v>
      </c>
      <c r="C4" s="723">
        <v>59420.580000032678</v>
      </c>
      <c r="D4" s="723">
        <v>62346.340000036878</v>
      </c>
      <c r="E4" s="718"/>
      <c r="F4" s="723">
        <v>17648.219999997378</v>
      </c>
      <c r="G4" s="723">
        <v>8940.0699999990829</v>
      </c>
      <c r="H4" s="723">
        <v>8708.1499999991283</v>
      </c>
    </row>
    <row r="5" spans="1:8" ht="15" customHeight="1">
      <c r="A5" s="382"/>
      <c r="B5" s="724"/>
      <c r="C5" s="724"/>
      <c r="D5" s="724"/>
      <c r="E5" s="719"/>
      <c r="F5" s="724"/>
      <c r="G5" s="724"/>
      <c r="H5" s="724"/>
    </row>
    <row r="6" spans="1:8" ht="17.25" customHeight="1">
      <c r="A6" s="383" t="s">
        <v>3</v>
      </c>
      <c r="B6" s="713"/>
      <c r="C6" s="713"/>
      <c r="D6" s="713"/>
      <c r="E6" s="720"/>
      <c r="F6" s="713"/>
      <c r="G6" s="713"/>
      <c r="H6" s="713"/>
    </row>
    <row r="7" spans="1:8" ht="15" customHeight="1">
      <c r="A7" s="382" t="s">
        <v>4</v>
      </c>
      <c r="B7" s="724">
        <v>111729.68999995706</v>
      </c>
      <c r="C7" s="724">
        <v>54108.720000025052</v>
      </c>
      <c r="D7" s="724">
        <v>57620.970000030095</v>
      </c>
      <c r="E7" s="719"/>
      <c r="F7" s="724">
        <v>15146.159999997868</v>
      </c>
      <c r="G7" s="724">
        <v>7617.6799999993409</v>
      </c>
      <c r="H7" s="724">
        <v>7528.4799999993584</v>
      </c>
    </row>
    <row r="8" spans="1:8" ht="15" customHeight="1">
      <c r="A8" s="382" t="s">
        <v>5</v>
      </c>
      <c r="B8" s="724">
        <v>10037.229999998868</v>
      </c>
      <c r="C8" s="724">
        <v>5311.8599999997923</v>
      </c>
      <c r="D8" s="724">
        <v>4725.3699999999071</v>
      </c>
      <c r="E8" s="719"/>
      <c r="F8" s="724">
        <v>2502.0600000000177</v>
      </c>
      <c r="G8" s="724">
        <v>1322.3900000000081</v>
      </c>
      <c r="H8" s="724">
        <v>1179.6700000000069</v>
      </c>
    </row>
    <row r="9" spans="1:8" ht="17.25" customHeight="1">
      <c r="A9" s="383" t="s">
        <v>513</v>
      </c>
      <c r="B9" s="713"/>
      <c r="C9" s="713"/>
      <c r="D9" s="713"/>
      <c r="E9" s="720"/>
      <c r="F9" s="713"/>
      <c r="G9" s="713"/>
      <c r="H9" s="713"/>
    </row>
    <row r="10" spans="1:8" s="28" customFormat="1" ht="15" customHeight="1">
      <c r="A10" s="384" t="s">
        <v>148</v>
      </c>
      <c r="B10" s="725">
        <v>4107.660000000028</v>
      </c>
      <c r="C10" s="725">
        <v>2096.2000000000144</v>
      </c>
      <c r="D10" s="725">
        <v>2011.4600000000137</v>
      </c>
      <c r="E10" s="721"/>
      <c r="F10" s="725">
        <v>981.20000000000539</v>
      </c>
      <c r="G10" s="725">
        <v>532.97000000000173</v>
      </c>
      <c r="H10" s="725">
        <v>448.23000000000104</v>
      </c>
    </row>
    <row r="11" spans="1:8" ht="15" customHeight="1">
      <c r="A11" s="456" t="s">
        <v>148</v>
      </c>
      <c r="B11" s="724">
        <v>1699.2600000000111</v>
      </c>
      <c r="C11" s="724">
        <v>811.72000000000401</v>
      </c>
      <c r="D11" s="724">
        <v>887.54000000000462</v>
      </c>
      <c r="E11" s="719"/>
      <c r="F11" s="724">
        <v>280.97999999999968</v>
      </c>
      <c r="G11" s="724">
        <v>149.40999999999997</v>
      </c>
      <c r="H11" s="724">
        <v>131.57000000000005</v>
      </c>
    </row>
    <row r="12" spans="1:8" ht="15" customHeight="1">
      <c r="A12" s="456" t="s">
        <v>149</v>
      </c>
      <c r="B12" s="724">
        <v>1342.4600000000082</v>
      </c>
      <c r="C12" s="724">
        <v>713.60000000000321</v>
      </c>
      <c r="D12" s="724">
        <v>628.86000000000251</v>
      </c>
      <c r="E12" s="719"/>
      <c r="F12" s="724">
        <v>350.11000000000024</v>
      </c>
      <c r="G12" s="724">
        <v>198.46999999999974</v>
      </c>
      <c r="H12" s="724">
        <v>151.63999999999996</v>
      </c>
    </row>
    <row r="13" spans="1:8" ht="15" customHeight="1">
      <c r="A13" s="456" t="s">
        <v>150</v>
      </c>
      <c r="B13" s="724">
        <v>414.78000000000077</v>
      </c>
      <c r="C13" s="724">
        <v>238.60999999999956</v>
      </c>
      <c r="D13" s="724">
        <v>176.16999999999985</v>
      </c>
      <c r="E13" s="719"/>
      <c r="F13" s="724">
        <v>196.23999999999975</v>
      </c>
      <c r="G13" s="724">
        <v>100.35000000000002</v>
      </c>
      <c r="H13" s="724">
        <v>95.890000000000015</v>
      </c>
    </row>
    <row r="14" spans="1:8" ht="15" customHeight="1">
      <c r="A14" s="456" t="s">
        <v>151</v>
      </c>
      <c r="B14" s="724">
        <v>651.1600000000027</v>
      </c>
      <c r="C14" s="724">
        <v>332.2700000000001</v>
      </c>
      <c r="D14" s="724">
        <v>318.89</v>
      </c>
      <c r="E14" s="719"/>
      <c r="F14" s="724">
        <v>153.86999999999995</v>
      </c>
      <c r="G14" s="724">
        <v>84.74</v>
      </c>
      <c r="H14" s="724">
        <v>69.129999999999967</v>
      </c>
    </row>
    <row r="15" spans="1:8" s="28" customFormat="1" ht="15" customHeight="1">
      <c r="A15" s="384" t="s">
        <v>152</v>
      </c>
      <c r="B15" s="725">
        <v>2167.560000000015</v>
      </c>
      <c r="C15" s="725">
        <v>1193.050000000007</v>
      </c>
      <c r="D15" s="725">
        <v>974.51000000000533</v>
      </c>
      <c r="E15" s="721"/>
      <c r="F15" s="725">
        <v>604.33000000000231</v>
      </c>
      <c r="G15" s="725">
        <v>298.81999999999982</v>
      </c>
      <c r="H15" s="725">
        <v>305.50999999999988</v>
      </c>
    </row>
    <row r="16" spans="1:8" ht="15" customHeight="1">
      <c r="A16" s="456" t="s">
        <v>153</v>
      </c>
      <c r="B16" s="724">
        <v>1204.2000000000071</v>
      </c>
      <c r="C16" s="724">
        <v>664.54000000000281</v>
      </c>
      <c r="D16" s="724">
        <v>539.66000000000179</v>
      </c>
      <c r="E16" s="719"/>
      <c r="F16" s="724">
        <v>240.83999999999955</v>
      </c>
      <c r="G16" s="724">
        <v>122.65000000000006</v>
      </c>
      <c r="H16" s="724">
        <v>118.19000000000005</v>
      </c>
    </row>
    <row r="17" spans="1:8" ht="15" customHeight="1">
      <c r="A17" s="456" t="s">
        <v>154</v>
      </c>
      <c r="B17" s="724">
        <v>147.17999999999998</v>
      </c>
      <c r="C17" s="724">
        <v>86.97</v>
      </c>
      <c r="D17" s="724">
        <v>60.209999999999965</v>
      </c>
      <c r="E17" s="719"/>
      <c r="F17" s="724">
        <v>24.53</v>
      </c>
      <c r="G17" s="724">
        <v>11.15</v>
      </c>
      <c r="H17" s="724">
        <v>13.38</v>
      </c>
    </row>
    <row r="18" spans="1:8" ht="15" customHeight="1">
      <c r="A18" s="456" t="s">
        <v>155</v>
      </c>
      <c r="B18" s="724">
        <v>392.48000000000059</v>
      </c>
      <c r="C18" s="724">
        <v>211.84999999999968</v>
      </c>
      <c r="D18" s="724">
        <v>180.62999999999982</v>
      </c>
      <c r="E18" s="719"/>
      <c r="F18" s="724">
        <v>160.55999999999992</v>
      </c>
      <c r="G18" s="724">
        <v>75.819999999999979</v>
      </c>
      <c r="H18" s="724">
        <v>84.74</v>
      </c>
    </row>
    <row r="19" spans="1:8" ht="15" customHeight="1">
      <c r="A19" s="456" t="s">
        <v>156</v>
      </c>
      <c r="B19" s="724">
        <v>423.70000000000084</v>
      </c>
      <c r="C19" s="724">
        <v>229.6899999999996</v>
      </c>
      <c r="D19" s="724">
        <v>194.00999999999976</v>
      </c>
      <c r="E19" s="719"/>
      <c r="F19" s="724">
        <v>178.39999999999984</v>
      </c>
      <c r="G19" s="724">
        <v>89.2</v>
      </c>
      <c r="H19" s="724">
        <v>89.2</v>
      </c>
    </row>
    <row r="20" spans="1:8" s="28" customFormat="1" ht="15" customHeight="1">
      <c r="A20" s="384" t="s">
        <v>157</v>
      </c>
      <c r="B20" s="725">
        <v>50643.300000020077</v>
      </c>
      <c r="C20" s="725">
        <v>24920.249999995955</v>
      </c>
      <c r="D20" s="725">
        <v>25723.049999995797</v>
      </c>
      <c r="E20" s="721"/>
      <c r="F20" s="725">
        <v>7677.8899999993291</v>
      </c>
      <c r="G20" s="725">
        <v>3906.9600000000291</v>
      </c>
      <c r="H20" s="725">
        <v>3770.930000000028</v>
      </c>
    </row>
    <row r="21" spans="1:8" ht="15" customHeight="1">
      <c r="A21" s="456" t="s">
        <v>157</v>
      </c>
      <c r="B21" s="724">
        <v>29137.179999995129</v>
      </c>
      <c r="C21" s="724">
        <v>14073.529999998078</v>
      </c>
      <c r="D21" s="724">
        <v>15063.649999997884</v>
      </c>
      <c r="E21" s="719"/>
      <c r="F21" s="724">
        <v>4337.3499999999831</v>
      </c>
      <c r="G21" s="724">
        <v>2172.020000000015</v>
      </c>
      <c r="H21" s="724">
        <v>2165.3300000000149</v>
      </c>
    </row>
    <row r="22" spans="1:8" ht="15" customHeight="1">
      <c r="A22" s="456" t="s">
        <v>158</v>
      </c>
      <c r="B22" s="724">
        <v>8346.8899999991991</v>
      </c>
      <c r="C22" s="724">
        <v>4272.6799999999957</v>
      </c>
      <c r="D22" s="724">
        <v>4074.2100000000305</v>
      </c>
      <c r="E22" s="719"/>
      <c r="F22" s="724">
        <v>1476.2600000000093</v>
      </c>
      <c r="G22" s="724">
        <v>769.35000000000366</v>
      </c>
      <c r="H22" s="724">
        <v>706.91000000000315</v>
      </c>
    </row>
    <row r="23" spans="1:8" ht="15" customHeight="1">
      <c r="A23" s="456" t="s">
        <v>159</v>
      </c>
      <c r="B23" s="724">
        <v>13159.229999998257</v>
      </c>
      <c r="C23" s="724">
        <v>6574.0399999995452</v>
      </c>
      <c r="D23" s="724">
        <v>6585.189999999543</v>
      </c>
      <c r="E23" s="719"/>
      <c r="F23" s="724">
        <v>1864.2800000000125</v>
      </c>
      <c r="G23" s="724">
        <v>965.59000000000526</v>
      </c>
      <c r="H23" s="724">
        <v>898.69000000000472</v>
      </c>
    </row>
    <row r="24" spans="1:8" s="28" customFormat="1" ht="15" customHeight="1">
      <c r="A24" s="384" t="s">
        <v>160</v>
      </c>
      <c r="B24" s="725">
        <v>52652.530000022962</v>
      </c>
      <c r="C24" s="725">
        <v>24918.019999995955</v>
      </c>
      <c r="D24" s="725">
        <v>27734.509999995404</v>
      </c>
      <c r="E24" s="721"/>
      <c r="F24" s="725">
        <v>6125.809999999633</v>
      </c>
      <c r="G24" s="725">
        <v>2994.8900000000217</v>
      </c>
      <c r="H24" s="725">
        <v>3130.9200000000228</v>
      </c>
    </row>
    <row r="25" spans="1:8" ht="15" customHeight="1">
      <c r="A25" s="456" t="s">
        <v>160</v>
      </c>
      <c r="B25" s="724">
        <v>52652.530000022962</v>
      </c>
      <c r="C25" s="724">
        <v>24918.019999995955</v>
      </c>
      <c r="D25" s="724">
        <v>27734.509999995404</v>
      </c>
      <c r="E25" s="719"/>
      <c r="F25" s="724">
        <v>6125.809999999633</v>
      </c>
      <c r="G25" s="724">
        <v>2994.8900000000217</v>
      </c>
      <c r="H25" s="724">
        <v>3130.9200000000228</v>
      </c>
    </row>
    <row r="26" spans="1:8" s="28" customFormat="1" ht="15" customHeight="1">
      <c r="A26" s="384" t="s">
        <v>161</v>
      </c>
      <c r="B26" s="725">
        <v>1694.8000000000111</v>
      </c>
      <c r="C26" s="725">
        <v>885.31000000000461</v>
      </c>
      <c r="D26" s="725">
        <v>809.49000000000399</v>
      </c>
      <c r="E26" s="721"/>
      <c r="F26" s="725">
        <v>370.1800000000004</v>
      </c>
      <c r="G26" s="725">
        <v>189.54999999999978</v>
      </c>
      <c r="H26" s="725">
        <v>180.62999999999982</v>
      </c>
    </row>
    <row r="27" spans="1:8" ht="15" customHeight="1">
      <c r="A27" s="456" t="s">
        <v>161</v>
      </c>
      <c r="B27" s="724">
        <v>1694.8000000000111</v>
      </c>
      <c r="C27" s="724">
        <v>885.31000000000461</v>
      </c>
      <c r="D27" s="724">
        <v>809.49000000000399</v>
      </c>
      <c r="E27" s="719"/>
      <c r="F27" s="724">
        <v>370.1800000000004</v>
      </c>
      <c r="G27" s="724">
        <v>189.54999999999978</v>
      </c>
      <c r="H27" s="724">
        <v>180.62999999999982</v>
      </c>
    </row>
    <row r="28" spans="1:8" s="28" customFormat="1" ht="15" customHeight="1">
      <c r="A28" s="384" t="s">
        <v>162</v>
      </c>
      <c r="B28" s="725">
        <v>2647.0100000000189</v>
      </c>
      <c r="C28" s="725">
        <v>1304.5500000000079</v>
      </c>
      <c r="D28" s="725">
        <v>1342.4600000000082</v>
      </c>
      <c r="E28" s="721"/>
      <c r="F28" s="725">
        <v>381.3300000000005</v>
      </c>
      <c r="G28" s="725">
        <v>191.77999999999977</v>
      </c>
      <c r="H28" s="725">
        <v>189.54999999999978</v>
      </c>
    </row>
    <row r="29" spans="1:8" ht="15" customHeight="1">
      <c r="A29" s="456" t="s">
        <v>162</v>
      </c>
      <c r="B29" s="724">
        <v>2647.0100000000189</v>
      </c>
      <c r="C29" s="724">
        <v>1304.5500000000079</v>
      </c>
      <c r="D29" s="724">
        <v>1342.4600000000082</v>
      </c>
      <c r="E29" s="719"/>
      <c r="F29" s="724">
        <v>381.3300000000005</v>
      </c>
      <c r="G29" s="724">
        <v>191.77999999999977</v>
      </c>
      <c r="H29" s="724">
        <v>189.54999999999978</v>
      </c>
    </row>
    <row r="30" spans="1:8" s="28" customFormat="1" ht="15" customHeight="1">
      <c r="A30" s="384" t="s">
        <v>163</v>
      </c>
      <c r="B30" s="725">
        <v>7854.0599999992946</v>
      </c>
      <c r="C30" s="725">
        <v>4103.2000000000289</v>
      </c>
      <c r="D30" s="725">
        <v>3750.8600000000279</v>
      </c>
      <c r="E30" s="721"/>
      <c r="F30" s="725">
        <v>1507.4800000000096</v>
      </c>
      <c r="G30" s="725">
        <v>825.10000000000412</v>
      </c>
      <c r="H30" s="725">
        <v>682.38000000000295</v>
      </c>
    </row>
    <row r="31" spans="1:8" ht="15" customHeight="1">
      <c r="A31" s="456" t="s">
        <v>163</v>
      </c>
      <c r="B31" s="724">
        <v>7854.0599999992946</v>
      </c>
      <c r="C31" s="724">
        <v>4103.2000000000289</v>
      </c>
      <c r="D31" s="724">
        <v>3750.8600000000279</v>
      </c>
      <c r="E31" s="719"/>
      <c r="F31" s="724">
        <v>1507.4800000000096</v>
      </c>
      <c r="G31" s="724">
        <v>825.10000000000412</v>
      </c>
      <c r="H31" s="724">
        <v>682.38000000000295</v>
      </c>
    </row>
  </sheetData>
  <mergeCells count="4">
    <mergeCell ref="A1:H1"/>
    <mergeCell ref="B2:D2"/>
    <mergeCell ref="A2:A3"/>
    <mergeCell ref="F2:H2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8C63-9352-4BFC-A433-1CB70326934D}">
  <sheetPr>
    <tabColor theme="0"/>
  </sheetPr>
  <dimension ref="A1:H31"/>
  <sheetViews>
    <sheetView workbookViewId="0">
      <selection activeCell="H3" sqref="H1:H1048576"/>
    </sheetView>
  </sheetViews>
  <sheetFormatPr defaultRowHeight="12"/>
  <cols>
    <col min="1" max="1" width="17" style="30" customWidth="1"/>
    <col min="2" max="4" width="9.140625" style="30"/>
    <col min="5" max="5" width="6" style="30" customWidth="1"/>
    <col min="6" max="7" width="9.140625" style="30"/>
    <col min="8" max="8" width="9.140625" style="687"/>
    <col min="9" max="16384" width="9.140625" style="30"/>
  </cols>
  <sheetData>
    <row r="1" spans="1:8" ht="21.75" customHeight="1" thickBot="1">
      <c r="A1" s="1046" t="s">
        <v>518</v>
      </c>
      <c r="B1" s="1046"/>
      <c r="C1" s="1046"/>
      <c r="D1" s="1046"/>
      <c r="E1" s="1046"/>
      <c r="F1" s="1046"/>
      <c r="G1" s="1046"/>
      <c r="H1" s="1046"/>
    </row>
    <row r="2" spans="1:8" ht="25.5" customHeight="1">
      <c r="A2" s="1047" t="s">
        <v>516</v>
      </c>
      <c r="B2" s="1044" t="s">
        <v>441</v>
      </c>
      <c r="C2" s="1044"/>
      <c r="D2" s="1044"/>
      <c r="E2" s="608"/>
      <c r="F2" s="1045" t="s">
        <v>442</v>
      </c>
      <c r="G2" s="1045"/>
      <c r="H2" s="1045"/>
    </row>
    <row r="3" spans="1:8">
      <c r="A3" s="1048"/>
      <c r="B3" s="369" t="s">
        <v>0</v>
      </c>
      <c r="C3" s="380" t="s">
        <v>1</v>
      </c>
      <c r="D3" s="381" t="s">
        <v>2</v>
      </c>
      <c r="E3" s="381"/>
      <c r="F3" s="369" t="s">
        <v>0</v>
      </c>
      <c r="G3" s="380" t="s">
        <v>1</v>
      </c>
      <c r="H3" s="381" t="s">
        <v>2</v>
      </c>
    </row>
    <row r="4" spans="1:8" s="288" customFormat="1" ht="12.75" customHeight="1">
      <c r="A4" s="388" t="s">
        <v>146</v>
      </c>
      <c r="B4" s="385">
        <v>141536.48530009485</v>
      </c>
      <c r="C4" s="385">
        <v>67977.146300051187</v>
      </c>
      <c r="D4" s="385">
        <v>73559.339000059947</v>
      </c>
      <c r="E4" s="385"/>
      <c r="F4" s="385">
        <v>33855.966899997649</v>
      </c>
      <c r="G4" s="385">
        <v>16415.592899998319</v>
      </c>
      <c r="H4" s="726">
        <v>17440.37399999817</v>
      </c>
    </row>
    <row r="5" spans="1:8" ht="12.75" customHeight="1">
      <c r="A5" s="386"/>
      <c r="B5" s="387"/>
      <c r="C5" s="387"/>
      <c r="D5" s="387"/>
      <c r="E5" s="387"/>
      <c r="F5" s="387"/>
      <c r="G5" s="387"/>
      <c r="H5" s="727"/>
    </row>
    <row r="6" spans="1:8" ht="12.75" customHeight="1">
      <c r="A6" s="388" t="s">
        <v>3</v>
      </c>
      <c r="B6" s="385"/>
      <c r="C6" s="385"/>
      <c r="D6" s="385"/>
      <c r="E6" s="385"/>
      <c r="F6" s="385"/>
      <c r="G6" s="385"/>
      <c r="H6" s="726"/>
    </row>
    <row r="7" spans="1:8" ht="12.75" customHeight="1">
      <c r="A7" s="389" t="s">
        <v>4</v>
      </c>
      <c r="B7" s="387">
        <v>129699.52100014804</v>
      </c>
      <c r="C7" s="387">
        <v>61790.269100041485</v>
      </c>
      <c r="D7" s="387">
        <v>67909.25190005108</v>
      </c>
      <c r="E7" s="387"/>
      <c r="F7" s="387">
        <v>29054.559799996481</v>
      </c>
      <c r="G7" s="387">
        <v>13956.542599998675</v>
      </c>
      <c r="H7" s="727">
        <v>15098.017199998509</v>
      </c>
    </row>
    <row r="8" spans="1:8" ht="12.75" customHeight="1">
      <c r="A8" s="389" t="s">
        <v>5</v>
      </c>
      <c r="B8" s="387">
        <v>11836.964299998983</v>
      </c>
      <c r="C8" s="387">
        <v>6186.8771999998035</v>
      </c>
      <c r="D8" s="387">
        <v>5650.0870999998815</v>
      </c>
      <c r="E8" s="387"/>
      <c r="F8" s="387">
        <v>4801.4071000000049</v>
      </c>
      <c r="G8" s="387">
        <v>2459.0502999999944</v>
      </c>
      <c r="H8" s="727">
        <v>2342.3567999999864</v>
      </c>
    </row>
    <row r="9" spans="1:8" ht="12.75" customHeight="1">
      <c r="A9" s="388" t="s">
        <v>517</v>
      </c>
      <c r="B9" s="390"/>
      <c r="C9" s="390"/>
      <c r="D9" s="390"/>
      <c r="E9" s="390"/>
      <c r="F9" s="390"/>
      <c r="G9" s="390"/>
      <c r="H9" s="728"/>
    </row>
    <row r="10" spans="1:8" ht="12.75" customHeight="1">
      <c r="A10" s="386" t="s">
        <v>148</v>
      </c>
      <c r="B10" s="391">
        <v>5113.2969999999596</v>
      </c>
      <c r="C10" s="391">
        <v>2760.3317000000152</v>
      </c>
      <c r="D10" s="391">
        <v>2352.9652999999871</v>
      </c>
      <c r="E10" s="391"/>
      <c r="F10" s="391">
        <v>2132.3084999999719</v>
      </c>
      <c r="G10" s="391">
        <v>1154.2048000000002</v>
      </c>
      <c r="H10" s="729">
        <v>978.10370000000455</v>
      </c>
    </row>
    <row r="11" spans="1:8" s="28" customFormat="1" ht="12.75" customHeight="1">
      <c r="A11" s="449" t="s">
        <v>148</v>
      </c>
      <c r="B11" s="387">
        <v>1920.1384999999709</v>
      </c>
      <c r="C11" s="387">
        <v>1016.2943000000051</v>
      </c>
      <c r="D11" s="387">
        <v>903.84420000000341</v>
      </c>
      <c r="E11" s="387"/>
      <c r="F11" s="387">
        <v>541.03349999999784</v>
      </c>
      <c r="G11" s="387">
        <v>271.57760000000013</v>
      </c>
      <c r="H11" s="727">
        <v>269.45590000000016</v>
      </c>
    </row>
    <row r="12" spans="1:8" ht="12.75" customHeight="1">
      <c r="A12" s="449" t="s">
        <v>149</v>
      </c>
      <c r="B12" s="387">
        <v>1682.50809999998</v>
      </c>
      <c r="C12" s="387">
        <v>933.54800000000387</v>
      </c>
      <c r="D12" s="387">
        <v>748.96010000000103</v>
      </c>
      <c r="E12" s="387"/>
      <c r="F12" s="387">
        <v>808.36770000000195</v>
      </c>
      <c r="G12" s="387">
        <v>447.67869999999812</v>
      </c>
      <c r="H12" s="727">
        <v>360.68899999999911</v>
      </c>
    </row>
    <row r="13" spans="1:8" ht="12.75" customHeight="1">
      <c r="A13" s="449" t="s">
        <v>150</v>
      </c>
      <c r="B13" s="387">
        <v>649.2401999999995</v>
      </c>
      <c r="C13" s="387">
        <v>354.32389999999918</v>
      </c>
      <c r="D13" s="387">
        <v>294.91629999999986</v>
      </c>
      <c r="E13" s="387"/>
      <c r="F13" s="387">
        <v>398.87959999999867</v>
      </c>
      <c r="G13" s="387">
        <v>218.53510000000026</v>
      </c>
      <c r="H13" s="727">
        <v>180.34450000000018</v>
      </c>
    </row>
    <row r="14" spans="1:8" ht="12.75" customHeight="1">
      <c r="A14" s="449" t="s">
        <v>151</v>
      </c>
      <c r="B14" s="387">
        <v>861.41020000000276</v>
      </c>
      <c r="C14" s="387">
        <v>456.16549999999802</v>
      </c>
      <c r="D14" s="387">
        <v>405.2446999999986</v>
      </c>
      <c r="E14" s="387"/>
      <c r="F14" s="387">
        <v>384.02769999999884</v>
      </c>
      <c r="G14" s="387">
        <v>216.41340000000025</v>
      </c>
      <c r="H14" s="727">
        <v>167.61430000000016</v>
      </c>
    </row>
    <row r="15" spans="1:8" s="28" customFormat="1" ht="12.75" customHeight="1">
      <c r="A15" s="386" t="s">
        <v>152</v>
      </c>
      <c r="B15" s="391">
        <v>2507.8493999999978</v>
      </c>
      <c r="C15" s="391">
        <v>1440.6342999999893</v>
      </c>
      <c r="D15" s="391">
        <v>1067.2151000000035</v>
      </c>
      <c r="E15" s="391"/>
      <c r="F15" s="391">
        <v>1041.7547000000045</v>
      </c>
      <c r="G15" s="391">
        <v>528.30329999999765</v>
      </c>
      <c r="H15" s="729">
        <v>513.45139999999742</v>
      </c>
    </row>
    <row r="16" spans="1:8" ht="12.75" customHeight="1">
      <c r="A16" s="449" t="s">
        <v>153</v>
      </c>
      <c r="B16" s="387">
        <v>1485.1899999999875</v>
      </c>
      <c r="C16" s="387">
        <v>861.41020000000276</v>
      </c>
      <c r="D16" s="387">
        <v>623.77979999999911</v>
      </c>
      <c r="E16" s="387"/>
      <c r="F16" s="387">
        <v>492.23439999999761</v>
      </c>
      <c r="G16" s="387">
        <v>252.48230000000032</v>
      </c>
      <c r="H16" s="727">
        <v>239.7521000000003</v>
      </c>
    </row>
    <row r="17" spans="1:8" ht="12.75" customHeight="1">
      <c r="A17" s="449" t="s">
        <v>154</v>
      </c>
      <c r="B17" s="387">
        <v>154.88410000000013</v>
      </c>
      <c r="C17" s="387">
        <v>101.84160000000003</v>
      </c>
      <c r="D17" s="387">
        <v>53.042499999999976</v>
      </c>
      <c r="E17" s="387"/>
      <c r="F17" s="387">
        <v>40.312299999999993</v>
      </c>
      <c r="G17" s="387">
        <v>27.582100000000004</v>
      </c>
      <c r="H17" s="727">
        <v>12.730200000000002</v>
      </c>
    </row>
    <row r="18" spans="1:8" ht="12.75" customHeight="1">
      <c r="A18" s="449" t="s">
        <v>155</v>
      </c>
      <c r="B18" s="387">
        <v>420.09659999999843</v>
      </c>
      <c r="C18" s="387">
        <v>231.26530000000028</v>
      </c>
      <c r="D18" s="387">
        <v>188.8313000000002</v>
      </c>
      <c r="E18" s="387"/>
      <c r="F18" s="387">
        <v>246.11720000000031</v>
      </c>
      <c r="G18" s="387">
        <v>120.93690000000007</v>
      </c>
      <c r="H18" s="727">
        <v>125.18030000000007</v>
      </c>
    </row>
    <row r="19" spans="1:8" ht="12.75" customHeight="1">
      <c r="A19" s="449" t="s">
        <v>156</v>
      </c>
      <c r="B19" s="387">
        <v>447.67869999999812</v>
      </c>
      <c r="C19" s="387">
        <v>246.11720000000031</v>
      </c>
      <c r="D19" s="387">
        <v>201.56150000000022</v>
      </c>
      <c r="E19" s="387"/>
      <c r="F19" s="387">
        <v>263.09080000000023</v>
      </c>
      <c r="G19" s="387">
        <v>127.30200000000008</v>
      </c>
      <c r="H19" s="727">
        <v>135.78880000000009</v>
      </c>
    </row>
    <row r="20" spans="1:8" s="28" customFormat="1" ht="12.75" customHeight="1">
      <c r="A20" s="386" t="s">
        <v>157</v>
      </c>
      <c r="B20" s="391">
        <v>57746.308900035139</v>
      </c>
      <c r="C20" s="391">
        <v>27467.528199996712</v>
      </c>
      <c r="D20" s="391">
        <v>30278.780699996303</v>
      </c>
      <c r="E20" s="391"/>
      <c r="F20" s="391">
        <v>14686.407399998569</v>
      </c>
      <c r="G20" s="391">
        <v>6927.3504999996958</v>
      </c>
      <c r="H20" s="729">
        <v>7759.0568999995749</v>
      </c>
    </row>
    <row r="21" spans="1:8" ht="12.75" customHeight="1">
      <c r="A21" s="449" t="s">
        <v>157</v>
      </c>
      <c r="B21" s="387">
        <v>32873.619799996108</v>
      </c>
      <c r="C21" s="387">
        <v>15401.420299998465</v>
      </c>
      <c r="D21" s="387">
        <v>17472.199499998165</v>
      </c>
      <c r="E21" s="387"/>
      <c r="F21" s="387">
        <v>8162.1798999995162</v>
      </c>
      <c r="G21" s="387">
        <v>3759.6524000000841</v>
      </c>
      <c r="H21" s="727">
        <v>4402.5275000000629</v>
      </c>
    </row>
    <row r="22" spans="1:8" ht="12.75" customHeight="1">
      <c r="A22" s="449" t="s">
        <v>158</v>
      </c>
      <c r="B22" s="387">
        <v>9543.4065999993163</v>
      </c>
      <c r="C22" s="387">
        <v>4616.8192000000317</v>
      </c>
      <c r="D22" s="387">
        <v>4926.5873999999867</v>
      </c>
      <c r="E22" s="387"/>
      <c r="F22" s="387">
        <v>3046.7612000000349</v>
      </c>
      <c r="G22" s="387">
        <v>1421.53899999999</v>
      </c>
      <c r="H22" s="727">
        <v>1625.2221999999822</v>
      </c>
    </row>
    <row r="23" spans="1:8" ht="12.75" customHeight="1">
      <c r="A23" s="449" t="s">
        <v>159</v>
      </c>
      <c r="B23" s="387">
        <v>15329.282499998475</v>
      </c>
      <c r="C23" s="387">
        <v>7449.2886999996199</v>
      </c>
      <c r="D23" s="387">
        <v>7879.9937999995573</v>
      </c>
      <c r="E23" s="387"/>
      <c r="F23" s="387">
        <v>3477.4663000000646</v>
      </c>
      <c r="G23" s="387">
        <v>1746.1590999999776</v>
      </c>
      <c r="H23" s="727">
        <v>1731.3071999999781</v>
      </c>
    </row>
    <row r="24" spans="1:8" s="28" customFormat="1" ht="12.75" customHeight="1">
      <c r="A24" s="386" t="s">
        <v>160</v>
      </c>
      <c r="B24" s="391">
        <v>62267.651600042234</v>
      </c>
      <c r="C24" s="391">
        <v>29455.561099996423</v>
      </c>
      <c r="D24" s="391">
        <v>32812.090499996011</v>
      </c>
      <c r="E24" s="391"/>
      <c r="F24" s="391">
        <v>11932.440799998969</v>
      </c>
      <c r="G24" s="391">
        <v>5906.8127999998442</v>
      </c>
      <c r="H24" s="729">
        <v>6025.6279999998269</v>
      </c>
    </row>
    <row r="25" spans="1:8" ht="12.75" customHeight="1">
      <c r="A25" s="449" t="s">
        <v>160</v>
      </c>
      <c r="B25" s="387">
        <v>62267.651600042234</v>
      </c>
      <c r="C25" s="387">
        <v>29455.561099996423</v>
      </c>
      <c r="D25" s="387">
        <v>32812.090499996011</v>
      </c>
      <c r="E25" s="387"/>
      <c r="F25" s="387">
        <v>11932.440799998969</v>
      </c>
      <c r="G25" s="387">
        <v>5906.8127999998442</v>
      </c>
      <c r="H25" s="727">
        <v>6025.6279999998269</v>
      </c>
    </row>
    <row r="26" spans="1:8" ht="12.75" customHeight="1">
      <c r="A26" s="386" t="s">
        <v>161</v>
      </c>
      <c r="B26" s="391">
        <v>1799.2015999999755</v>
      </c>
      <c r="C26" s="391">
        <v>925.06120000000374</v>
      </c>
      <c r="D26" s="391">
        <v>874.14040000000296</v>
      </c>
      <c r="E26" s="391"/>
      <c r="F26" s="391">
        <v>715.01290000000051</v>
      </c>
      <c r="G26" s="391">
        <v>354.32389999999918</v>
      </c>
      <c r="H26" s="729">
        <v>360.68899999999911</v>
      </c>
    </row>
    <row r="27" spans="1:8" ht="12.75" customHeight="1">
      <c r="A27" s="449" t="s">
        <v>161</v>
      </c>
      <c r="B27" s="387">
        <v>1799.2015999999755</v>
      </c>
      <c r="C27" s="387">
        <v>925.06120000000374</v>
      </c>
      <c r="D27" s="387">
        <v>874.14040000000296</v>
      </c>
      <c r="E27" s="387"/>
      <c r="F27" s="387">
        <v>715.01290000000051</v>
      </c>
      <c r="G27" s="387">
        <v>354.32389999999918</v>
      </c>
      <c r="H27" s="727">
        <v>360.68899999999911</v>
      </c>
    </row>
    <row r="28" spans="1:8" s="28" customFormat="1" ht="12.75" customHeight="1">
      <c r="A28" s="386" t="s">
        <v>162</v>
      </c>
      <c r="B28" s="391">
        <v>3229.2274000000475</v>
      </c>
      <c r="C28" s="391">
        <v>1500.041899999987</v>
      </c>
      <c r="D28" s="391">
        <v>1729.1854999999782</v>
      </c>
      <c r="E28" s="391"/>
      <c r="F28" s="391">
        <v>785.02900000000159</v>
      </c>
      <c r="G28" s="391">
        <v>316.13329999999962</v>
      </c>
      <c r="H28" s="729">
        <v>468.89569999999787</v>
      </c>
    </row>
    <row r="29" spans="1:8" ht="12.75" customHeight="1">
      <c r="A29" s="449" t="s">
        <v>162</v>
      </c>
      <c r="B29" s="387">
        <v>3229.2274000000475</v>
      </c>
      <c r="C29" s="387">
        <v>1500.041899999987</v>
      </c>
      <c r="D29" s="387">
        <v>1729.1854999999782</v>
      </c>
      <c r="E29" s="387"/>
      <c r="F29" s="387">
        <v>785.02900000000159</v>
      </c>
      <c r="G29" s="387">
        <v>316.13329999999962</v>
      </c>
      <c r="H29" s="727">
        <v>468.89569999999787</v>
      </c>
    </row>
    <row r="30" spans="1:8" s="28" customFormat="1" ht="12.75" customHeight="1">
      <c r="A30" s="386" t="s">
        <v>163</v>
      </c>
      <c r="B30" s="391">
        <v>8872.9493999994138</v>
      </c>
      <c r="C30" s="391">
        <v>4427.9879000000592</v>
      </c>
      <c r="D30" s="391">
        <v>4444.9615000000567</v>
      </c>
      <c r="E30" s="391"/>
      <c r="F30" s="391">
        <v>2563.0136000000016</v>
      </c>
      <c r="G30" s="391">
        <v>1228.4642999999974</v>
      </c>
      <c r="H30" s="729">
        <v>1334.5492999999933</v>
      </c>
    </row>
    <row r="31" spans="1:8" ht="12.75" customHeight="1">
      <c r="A31" s="449" t="s">
        <v>163</v>
      </c>
      <c r="B31" s="387">
        <v>8872.9493999994138</v>
      </c>
      <c r="C31" s="387">
        <v>4427.9879000000592</v>
      </c>
      <c r="D31" s="387">
        <v>4444.9615000000567</v>
      </c>
      <c r="E31" s="387"/>
      <c r="F31" s="387">
        <v>2563.0136000000016</v>
      </c>
      <c r="G31" s="387">
        <v>1228.4642999999974</v>
      </c>
      <c r="H31" s="727">
        <v>1334.5492999999933</v>
      </c>
    </row>
  </sheetData>
  <mergeCells count="4">
    <mergeCell ref="B2:D2"/>
    <mergeCell ref="F2:H2"/>
    <mergeCell ref="A1:H1"/>
    <mergeCell ref="A2:A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25E7-9EA6-47FE-9B43-1CFEF78296CC}">
  <sheetPr>
    <tabColor theme="0"/>
  </sheetPr>
  <dimension ref="A1:M49"/>
  <sheetViews>
    <sheetView topLeftCell="A13" workbookViewId="0">
      <selection activeCell="A28" sqref="A28"/>
    </sheetView>
  </sheetViews>
  <sheetFormatPr defaultRowHeight="12"/>
  <cols>
    <col min="1" max="1" width="18.85546875" style="300" customWidth="1"/>
    <col min="2" max="2" width="14.140625" style="330" customWidth="1"/>
    <col min="3" max="5" width="9.140625" style="300"/>
    <col min="6" max="6" width="5.7109375" style="300" customWidth="1"/>
    <col min="7" max="9" width="9.140625" style="300"/>
    <col min="10" max="10" width="6" style="300" customWidth="1"/>
    <col min="11" max="16384" width="9.140625" style="300"/>
  </cols>
  <sheetData>
    <row r="1" spans="1:13" ht="15.75" customHeight="1" thickBot="1">
      <c r="A1" s="1049" t="s">
        <v>519</v>
      </c>
      <c r="B1" s="1049"/>
      <c r="C1" s="1049"/>
      <c r="D1" s="1049"/>
      <c r="E1" s="1049"/>
      <c r="F1" s="1049"/>
      <c r="G1" s="1049"/>
      <c r="H1" s="1049"/>
      <c r="I1" s="1049"/>
      <c r="J1" s="1049"/>
      <c r="K1" s="1049"/>
      <c r="L1" s="1049"/>
      <c r="M1" s="1049"/>
    </row>
    <row r="2" spans="1:13" ht="15.75" customHeight="1">
      <c r="A2" s="1054" t="s">
        <v>520</v>
      </c>
      <c r="B2" s="730"/>
      <c r="C2" s="1056" t="s">
        <v>511</v>
      </c>
      <c r="D2" s="1056"/>
      <c r="E2" s="1056"/>
      <c r="F2" s="1056"/>
      <c r="G2" s="1056"/>
      <c r="H2" s="1056"/>
      <c r="I2" s="1056"/>
      <c r="J2" s="1056"/>
      <c r="K2" s="1056"/>
      <c r="L2" s="1056"/>
      <c r="M2" s="1056"/>
    </row>
    <row r="3" spans="1:13" ht="23.25" customHeight="1">
      <c r="A3" s="1055"/>
      <c r="B3" s="1050" t="s">
        <v>434</v>
      </c>
      <c r="C3" s="1051" t="s">
        <v>443</v>
      </c>
      <c r="D3" s="1051"/>
      <c r="E3" s="1051"/>
      <c r="F3" s="392"/>
      <c r="G3" s="1052" t="s">
        <v>436</v>
      </c>
      <c r="H3" s="1052"/>
      <c r="I3" s="1052"/>
      <c r="J3" s="393"/>
      <c r="K3" s="1053" t="s">
        <v>437</v>
      </c>
      <c r="L3" s="1053"/>
      <c r="M3" s="1053"/>
    </row>
    <row r="4" spans="1:13" ht="12.75" customHeight="1">
      <c r="A4" s="1055"/>
      <c r="B4" s="1050"/>
      <c r="C4" s="392" t="s">
        <v>0</v>
      </c>
      <c r="D4" s="392" t="s">
        <v>1</v>
      </c>
      <c r="E4" s="392" t="s">
        <v>2</v>
      </c>
      <c r="F4" s="392"/>
      <c r="G4" s="392" t="s">
        <v>0</v>
      </c>
      <c r="H4" s="392" t="s">
        <v>1</v>
      </c>
      <c r="I4" s="392" t="s">
        <v>2</v>
      </c>
      <c r="J4" s="392"/>
      <c r="K4" s="392" t="s">
        <v>0</v>
      </c>
      <c r="L4" s="392" t="s">
        <v>1</v>
      </c>
      <c r="M4" s="392" t="s">
        <v>2</v>
      </c>
    </row>
    <row r="5" spans="1:13" s="304" customFormat="1" ht="12.75" customHeight="1">
      <c r="A5" s="735" t="s">
        <v>146</v>
      </c>
      <c r="B5" s="736">
        <v>1355396.2660913235</v>
      </c>
      <c r="C5" s="737">
        <v>669527.47259842011</v>
      </c>
      <c r="D5" s="737">
        <v>327613.71280008211</v>
      </c>
      <c r="E5" s="737">
        <v>341913.7598000482</v>
      </c>
      <c r="F5" s="737"/>
      <c r="G5" s="737">
        <v>554215.65999874682</v>
      </c>
      <c r="H5" s="737">
        <v>281299.1107002981</v>
      </c>
      <c r="I5" s="737">
        <v>272916.54930034309</v>
      </c>
      <c r="J5" s="737"/>
      <c r="K5" s="737">
        <v>131653.13350000032</v>
      </c>
      <c r="L5" s="737">
        <v>54333.73730001309</v>
      </c>
      <c r="M5" s="737">
        <v>77319.396200007512</v>
      </c>
    </row>
    <row r="6" spans="1:13" ht="12.75" customHeight="1">
      <c r="A6" s="395"/>
      <c r="B6" s="732"/>
      <c r="C6" s="531"/>
      <c r="D6" s="531"/>
      <c r="E6" s="531"/>
      <c r="F6" s="531"/>
      <c r="G6" s="531"/>
      <c r="H6" s="531"/>
      <c r="I6" s="531"/>
      <c r="J6" s="531"/>
      <c r="K6" s="531"/>
      <c r="L6" s="531"/>
      <c r="M6" s="531"/>
    </row>
    <row r="7" spans="1:13" ht="12.75" customHeight="1">
      <c r="A7" s="394" t="s">
        <v>408</v>
      </c>
      <c r="B7" s="731"/>
      <c r="C7" s="530"/>
      <c r="D7" s="530"/>
      <c r="E7" s="530"/>
      <c r="F7" s="530"/>
      <c r="G7" s="530"/>
      <c r="H7" s="530"/>
      <c r="I7" s="530"/>
      <c r="J7" s="530"/>
      <c r="K7" s="530"/>
      <c r="L7" s="530"/>
      <c r="M7" s="530"/>
    </row>
    <row r="8" spans="1:13" ht="12.75" customHeight="1">
      <c r="A8" s="395" t="s">
        <v>106</v>
      </c>
      <c r="B8" s="732">
        <v>184840.24000017435</v>
      </c>
      <c r="C8" s="531">
        <v>146125.20999999245</v>
      </c>
      <c r="D8" s="531">
        <v>72885.320000028034</v>
      </c>
      <c r="E8" s="531">
        <v>73239.890000027386</v>
      </c>
      <c r="F8" s="531"/>
      <c r="G8" s="531">
        <v>10886.859999998702</v>
      </c>
      <c r="H8" s="531">
        <v>5238.2699999998067</v>
      </c>
      <c r="I8" s="531">
        <v>5648.5899999997264</v>
      </c>
      <c r="J8" s="531"/>
      <c r="K8" s="531">
        <v>27828.169999995385</v>
      </c>
      <c r="L8" s="531">
        <v>14294.299999998035</v>
      </c>
      <c r="M8" s="531">
        <v>13533.869999998184</v>
      </c>
    </row>
    <row r="9" spans="1:13" ht="12.75" customHeight="1">
      <c r="A9" s="395" t="s">
        <v>107</v>
      </c>
      <c r="B9" s="732">
        <v>199529.25000024337</v>
      </c>
      <c r="C9" s="531">
        <v>170715.42000010799</v>
      </c>
      <c r="D9" s="531">
        <v>83582.630000008488</v>
      </c>
      <c r="E9" s="531">
        <v>87132.790000002002</v>
      </c>
      <c r="F9" s="531"/>
      <c r="G9" s="531">
        <v>16602.349999997583</v>
      </c>
      <c r="H9" s="531">
        <v>8333.5099999992017</v>
      </c>
      <c r="I9" s="531">
        <v>8268.8399999992143</v>
      </c>
      <c r="J9" s="531"/>
      <c r="K9" s="531">
        <v>12211.479999998443</v>
      </c>
      <c r="L9" s="531">
        <v>6328.7399999995932</v>
      </c>
      <c r="M9" s="531">
        <v>5882.7399999996805</v>
      </c>
    </row>
    <row r="10" spans="1:13" ht="12.75" customHeight="1">
      <c r="A10" s="395" t="s">
        <v>108</v>
      </c>
      <c r="B10" s="732">
        <v>174728.36009991929</v>
      </c>
      <c r="C10" s="531">
        <v>126724.89760014338</v>
      </c>
      <c r="D10" s="531">
        <v>60967.049500040193</v>
      </c>
      <c r="E10" s="531">
        <v>65757.848100047704</v>
      </c>
      <c r="F10" s="531"/>
      <c r="G10" s="531">
        <v>39580.313500006632</v>
      </c>
      <c r="H10" s="531">
        <v>19014.675399997941</v>
      </c>
      <c r="I10" s="531">
        <v>20565.638099997715</v>
      </c>
      <c r="J10" s="531"/>
      <c r="K10" s="531">
        <v>8423.1489999994792</v>
      </c>
      <c r="L10" s="531">
        <v>4183.9924000000947</v>
      </c>
      <c r="M10" s="531">
        <v>4239.1566000000867</v>
      </c>
    </row>
    <row r="11" spans="1:13" ht="12.75" customHeight="1">
      <c r="A11" s="395" t="s">
        <v>109</v>
      </c>
      <c r="B11" s="732">
        <v>142171.72749993121</v>
      </c>
      <c r="C11" s="531">
        <v>56012.940500022065</v>
      </c>
      <c r="D11" s="531">
        <v>26423.033999996387</v>
      </c>
      <c r="E11" s="531">
        <v>29589.906499994577</v>
      </c>
      <c r="F11" s="531"/>
      <c r="G11" s="531">
        <v>75973.172000008984</v>
      </c>
      <c r="H11" s="531">
        <v>36360.461499997291</v>
      </c>
      <c r="I11" s="531">
        <v>39612.710500001391</v>
      </c>
      <c r="J11" s="531"/>
      <c r="K11" s="531">
        <v>10185.614999999991</v>
      </c>
      <c r="L11" s="531">
        <v>4818.8084999996872</v>
      </c>
      <c r="M11" s="531">
        <v>5366.806499999625</v>
      </c>
    </row>
    <row r="12" spans="1:13" ht="12.75" customHeight="1">
      <c r="A12" s="395" t="s">
        <v>110</v>
      </c>
      <c r="B12" s="732">
        <v>117454.23799990927</v>
      </c>
      <c r="C12" s="531">
        <v>30415.874499994105</v>
      </c>
      <c r="D12" s="531">
        <v>14378.991000001435</v>
      </c>
      <c r="E12" s="531">
        <v>16036.883500002006</v>
      </c>
      <c r="F12" s="531"/>
      <c r="G12" s="531">
        <v>78002.353000004106</v>
      </c>
      <c r="H12" s="531">
        <v>37124.878999998255</v>
      </c>
      <c r="I12" s="531">
        <v>40877.474000002985</v>
      </c>
      <c r="J12" s="531"/>
      <c r="K12" s="531">
        <v>9036.0104999995947</v>
      </c>
      <c r="L12" s="531">
        <v>4092.1154999997693</v>
      </c>
      <c r="M12" s="531">
        <v>4943.894999999673</v>
      </c>
    </row>
    <row r="13" spans="1:13" ht="12.75" customHeight="1">
      <c r="A13" s="395" t="s">
        <v>111</v>
      </c>
      <c r="B13" s="732">
        <v>108117.22440009368</v>
      </c>
      <c r="C13" s="531">
        <v>22252.23210000349</v>
      </c>
      <c r="D13" s="531">
        <v>10435.770599999181</v>
      </c>
      <c r="E13" s="531">
        <v>11816.461499999043</v>
      </c>
      <c r="F13" s="531"/>
      <c r="G13" s="531">
        <v>76429.300200007812</v>
      </c>
      <c r="H13" s="531">
        <v>36041.664000008888</v>
      </c>
      <c r="I13" s="531">
        <v>40387.636200004381</v>
      </c>
      <c r="J13" s="531"/>
      <c r="K13" s="531">
        <v>9435.6920999992817</v>
      </c>
      <c r="L13" s="531">
        <v>3909.0446999998358</v>
      </c>
      <c r="M13" s="531">
        <v>5526.6473999996733</v>
      </c>
    </row>
    <row r="14" spans="1:13" ht="12.75" customHeight="1">
      <c r="A14" s="395" t="s">
        <v>112</v>
      </c>
      <c r="B14" s="732">
        <v>100652.56080007345</v>
      </c>
      <c r="C14" s="531">
        <v>19395.697200001101</v>
      </c>
      <c r="D14" s="531">
        <v>9443.4596999992809</v>
      </c>
      <c r="E14" s="531">
        <v>9952.2374999992298</v>
      </c>
      <c r="F14" s="531"/>
      <c r="G14" s="531">
        <v>72129.933599996162</v>
      </c>
      <c r="H14" s="531">
        <v>36263.040600008659</v>
      </c>
      <c r="I14" s="531">
        <v>35866.89300000907</v>
      </c>
      <c r="J14" s="531"/>
      <c r="K14" s="531">
        <v>9126.9299999993127</v>
      </c>
      <c r="L14" s="531">
        <v>3322.5908999998946</v>
      </c>
      <c r="M14" s="531">
        <v>5804.3390999996454</v>
      </c>
    </row>
    <row r="15" spans="1:13" ht="12.75" customHeight="1">
      <c r="A15" s="395" t="s">
        <v>113</v>
      </c>
      <c r="B15" s="732">
        <v>80066.478900017668</v>
      </c>
      <c r="C15" s="531">
        <v>15750.750899998648</v>
      </c>
      <c r="D15" s="531">
        <v>8016.1631999994233</v>
      </c>
      <c r="E15" s="531">
        <v>7734.5876999994516</v>
      </c>
      <c r="F15" s="531"/>
      <c r="G15" s="531">
        <v>56049.059699988138</v>
      </c>
      <c r="H15" s="531">
        <v>30460.643400010355</v>
      </c>
      <c r="I15" s="531">
        <v>25588.41630000628</v>
      </c>
      <c r="J15" s="531"/>
      <c r="K15" s="531">
        <v>8266.6682999993991</v>
      </c>
      <c r="L15" s="531">
        <v>3202.1930999999067</v>
      </c>
      <c r="M15" s="531">
        <v>5064.4751999997197</v>
      </c>
    </row>
    <row r="16" spans="1:13" ht="12.75" customHeight="1">
      <c r="A16" s="395" t="s">
        <v>114</v>
      </c>
      <c r="B16" s="732">
        <v>61965.598399962408</v>
      </c>
      <c r="C16" s="531">
        <v>12487.720600000766</v>
      </c>
      <c r="D16" s="531">
        <v>6378.576799999757</v>
      </c>
      <c r="E16" s="531">
        <v>6109.1437999997988</v>
      </c>
      <c r="F16" s="531"/>
      <c r="G16" s="531">
        <v>41903.81679999295</v>
      </c>
      <c r="H16" s="531">
        <v>23320.923000004019</v>
      </c>
      <c r="I16" s="531">
        <v>18582.893800002596</v>
      </c>
      <c r="J16" s="531"/>
      <c r="K16" s="531">
        <v>7574.0609999995713</v>
      </c>
      <c r="L16" s="531">
        <v>2794.1200000000167</v>
      </c>
      <c r="M16" s="531">
        <v>4779.9410000000053</v>
      </c>
    </row>
    <row r="17" spans="1:13" ht="12.75" customHeight="1">
      <c r="A17" s="395" t="s">
        <v>115</v>
      </c>
      <c r="B17" s="732">
        <v>44965.373999988289</v>
      </c>
      <c r="C17" s="531">
        <v>10675.534200000222</v>
      </c>
      <c r="D17" s="531">
        <v>5608.1979999998766</v>
      </c>
      <c r="E17" s="531">
        <v>5067.3361999999606</v>
      </c>
      <c r="F17" s="531"/>
      <c r="G17" s="531">
        <v>28595.822400005603</v>
      </c>
      <c r="H17" s="531">
        <v>16249.803600001896</v>
      </c>
      <c r="I17" s="531">
        <v>12346.018800000724</v>
      </c>
      <c r="J17" s="531"/>
      <c r="K17" s="531">
        <v>5694.0173999998633</v>
      </c>
      <c r="L17" s="531">
        <v>1961.8713999999661</v>
      </c>
      <c r="M17" s="531">
        <v>3732.1460000000848</v>
      </c>
    </row>
    <row r="18" spans="1:13" ht="12.75" customHeight="1">
      <c r="A18" s="395" t="s">
        <v>116</v>
      </c>
      <c r="B18" s="732">
        <v>33050.448000006429</v>
      </c>
      <c r="C18" s="531">
        <v>8907.2553999996908</v>
      </c>
      <c r="D18" s="531">
        <v>4482.5668000000514</v>
      </c>
      <c r="E18" s="531">
        <v>4424.6886000000604</v>
      </c>
      <c r="F18" s="531"/>
      <c r="G18" s="531">
        <v>20051.802600003037</v>
      </c>
      <c r="H18" s="531">
        <v>11062.719400000338</v>
      </c>
      <c r="I18" s="531">
        <v>8989.0831999997154</v>
      </c>
      <c r="J18" s="531"/>
      <c r="K18" s="531">
        <v>4091.3900000001108</v>
      </c>
      <c r="L18" s="531">
        <v>1215.442199999997</v>
      </c>
      <c r="M18" s="531">
        <v>2875.9478000000227</v>
      </c>
    </row>
    <row r="19" spans="1:13" ht="12.75" customHeight="1">
      <c r="A19" s="395" t="s">
        <v>117</v>
      </c>
      <c r="B19" s="732">
        <v>27927.229400005403</v>
      </c>
      <c r="C19" s="531">
        <v>8410.3011999995415</v>
      </c>
      <c r="D19" s="531">
        <v>4424.6886000000604</v>
      </c>
      <c r="E19" s="531">
        <v>3985.6126000001032</v>
      </c>
      <c r="F19" s="531"/>
      <c r="G19" s="531">
        <v>14912.617600001495</v>
      </c>
      <c r="H19" s="531">
        <v>8364.3977999995277</v>
      </c>
      <c r="I19" s="531">
        <v>6548.2197999997306</v>
      </c>
      <c r="J19" s="531"/>
      <c r="K19" s="531">
        <v>4604.3106000000325</v>
      </c>
      <c r="L19" s="531">
        <v>1139.6018000000001</v>
      </c>
      <c r="M19" s="531">
        <v>3464.7088000000654</v>
      </c>
    </row>
    <row r="20" spans="1:13" ht="12.75" customHeight="1">
      <c r="A20" s="395" t="s">
        <v>136</v>
      </c>
      <c r="B20" s="732">
        <v>79927.536599984058</v>
      </c>
      <c r="C20" s="531">
        <v>41653.638400009375</v>
      </c>
      <c r="D20" s="531">
        <v>20587.264600003346</v>
      </c>
      <c r="E20" s="531">
        <v>21066.373800003483</v>
      </c>
      <c r="F20" s="531"/>
      <c r="G20" s="531">
        <v>23098.258600004065</v>
      </c>
      <c r="H20" s="531">
        <v>13464.123000001307</v>
      </c>
      <c r="I20" s="531">
        <v>9634.1356000002106</v>
      </c>
      <c r="J20" s="531"/>
      <c r="K20" s="531">
        <v>15175.639600001798</v>
      </c>
      <c r="L20" s="531">
        <v>3070.9167999999445</v>
      </c>
      <c r="M20" s="531">
        <v>12104.722800000918</v>
      </c>
    </row>
    <row r="21" spans="1:13" ht="16.5" customHeight="1">
      <c r="A21" s="394" t="s">
        <v>4</v>
      </c>
      <c r="B21" s="731">
        <v>1223433.1874930053</v>
      </c>
      <c r="C21" s="530">
        <v>621238.23849879357</v>
      </c>
      <c r="D21" s="530">
        <v>302481.12440016359</v>
      </c>
      <c r="E21" s="530">
        <v>318757.1141001131</v>
      </c>
      <c r="F21" s="530"/>
      <c r="G21" s="530">
        <v>501813.1876990067</v>
      </c>
      <c r="H21" s="530">
        <v>252163.88770038498</v>
      </c>
      <c r="I21" s="530">
        <v>249649.30000038017</v>
      </c>
      <c r="J21" s="530"/>
      <c r="K21" s="530">
        <v>100381.7613000049</v>
      </c>
      <c r="L21" s="530">
        <v>41733.215700004621</v>
      </c>
      <c r="M21" s="530">
        <v>58648.545600008249</v>
      </c>
    </row>
    <row r="22" spans="1:13" ht="15" customHeight="1">
      <c r="A22" s="396" t="s">
        <v>106</v>
      </c>
      <c r="B22" s="732">
        <v>167655.86000009361</v>
      </c>
      <c r="C22" s="531">
        <v>135367.68999994191</v>
      </c>
      <c r="D22" s="531">
        <v>67361.610000038127</v>
      </c>
      <c r="E22" s="531">
        <v>68006.080000036949</v>
      </c>
      <c r="F22" s="531"/>
      <c r="G22" s="531">
        <v>9809.7699999989127</v>
      </c>
      <c r="H22" s="531">
        <v>4700.8399999999119</v>
      </c>
      <c r="I22" s="531">
        <v>5108.929999999832</v>
      </c>
      <c r="J22" s="531"/>
      <c r="K22" s="531">
        <v>22478.399999996433</v>
      </c>
      <c r="L22" s="531">
        <v>11555.859999998571</v>
      </c>
      <c r="M22" s="531">
        <v>10922.539999998695</v>
      </c>
    </row>
    <row r="23" spans="1:13">
      <c r="A23" s="396" t="s">
        <v>107</v>
      </c>
      <c r="B23" s="732">
        <v>182819.86000016486</v>
      </c>
      <c r="C23" s="531">
        <v>158309.9300000497</v>
      </c>
      <c r="D23" s="531">
        <v>77082.180000020366</v>
      </c>
      <c r="E23" s="531">
        <v>81227.750000012791</v>
      </c>
      <c r="F23" s="531"/>
      <c r="G23" s="531">
        <v>14787.129999997938</v>
      </c>
      <c r="H23" s="531">
        <v>7338.9299999993955</v>
      </c>
      <c r="I23" s="531">
        <v>7448.1999999993741</v>
      </c>
      <c r="J23" s="531"/>
      <c r="K23" s="531">
        <v>9722.7999999989297</v>
      </c>
      <c r="L23" s="531">
        <v>5091.0899999998355</v>
      </c>
      <c r="M23" s="531">
        <v>4631.7099999999255</v>
      </c>
    </row>
    <row r="24" spans="1:13">
      <c r="A24" s="396" t="s">
        <v>108</v>
      </c>
      <c r="B24" s="732">
        <v>159910.40729999766</v>
      </c>
      <c r="C24" s="531">
        <v>118600.90830013063</v>
      </c>
      <c r="D24" s="531">
        <v>56632.416400033391</v>
      </c>
      <c r="E24" s="531">
        <v>61968.491900041765</v>
      </c>
      <c r="F24" s="531"/>
      <c r="G24" s="531">
        <v>34725.863899999014</v>
      </c>
      <c r="H24" s="531">
        <v>16515.312799998304</v>
      </c>
      <c r="I24" s="531">
        <v>18210.551099998058</v>
      </c>
      <c r="J24" s="531"/>
      <c r="K24" s="531">
        <v>6583.6350999997458</v>
      </c>
      <c r="L24" s="531">
        <v>3250.444400000049</v>
      </c>
      <c r="M24" s="531">
        <v>3333.1907000000547</v>
      </c>
    </row>
    <row r="25" spans="1:13">
      <c r="A25" s="396" t="s">
        <v>109</v>
      </c>
      <c r="B25" s="732">
        <v>128332.79249988311</v>
      </c>
      <c r="C25" s="531">
        <v>52887.763500018125</v>
      </c>
      <c r="D25" s="531">
        <v>24743.300999997347</v>
      </c>
      <c r="E25" s="531">
        <v>28144.462499995403</v>
      </c>
      <c r="F25" s="531"/>
      <c r="G25" s="531">
        <v>67679.738500028921</v>
      </c>
      <c r="H25" s="531">
        <v>32121.41899999313</v>
      </c>
      <c r="I25" s="531">
        <v>35558.31949999628</v>
      </c>
      <c r="J25" s="531"/>
      <c r="K25" s="531">
        <v>7765.2904999993525</v>
      </c>
      <c r="L25" s="531">
        <v>3657.2909999998187</v>
      </c>
      <c r="M25" s="531">
        <v>4107.999499999768</v>
      </c>
    </row>
    <row r="26" spans="1:13">
      <c r="A26" s="396" t="s">
        <v>110</v>
      </c>
      <c r="B26" s="732">
        <v>106321.53949993603</v>
      </c>
      <c r="C26" s="531">
        <v>28555.460999995168</v>
      </c>
      <c r="D26" s="531">
        <v>13356.458500001083</v>
      </c>
      <c r="E26" s="531">
        <v>15199.002500001718</v>
      </c>
      <c r="F26" s="531"/>
      <c r="G26" s="531">
        <v>70709.611500021638</v>
      </c>
      <c r="H26" s="531">
        <v>33120.125499993206</v>
      </c>
      <c r="I26" s="531">
        <v>37589.48599999884</v>
      </c>
      <c r="J26" s="531"/>
      <c r="K26" s="531">
        <v>7056.466999999433</v>
      </c>
      <c r="L26" s="531">
        <v>3214.524499999869</v>
      </c>
      <c r="M26" s="531">
        <v>3841.9424999997977</v>
      </c>
    </row>
    <row r="27" spans="1:13">
      <c r="A27" s="396" t="s">
        <v>111</v>
      </c>
      <c r="B27" s="732">
        <v>98631.042900067972</v>
      </c>
      <c r="C27" s="531">
        <v>20879.308800002342</v>
      </c>
      <c r="D27" s="531">
        <v>9726.9770999992525</v>
      </c>
      <c r="E27" s="531">
        <v>11152.331699999109</v>
      </c>
      <c r="F27" s="531"/>
      <c r="G27" s="531">
        <v>70362.804599991374</v>
      </c>
      <c r="H27" s="531">
        <v>32577.314400012125</v>
      </c>
      <c r="I27" s="531">
        <v>37785.49020000708</v>
      </c>
      <c r="J27" s="531"/>
      <c r="K27" s="531">
        <v>7388.9294999994863</v>
      </c>
      <c r="L27" s="531">
        <v>2957.5136999999313</v>
      </c>
      <c r="M27" s="531">
        <v>4431.4157999997833</v>
      </c>
    </row>
    <row r="28" spans="1:13">
      <c r="A28" s="396" t="s">
        <v>112</v>
      </c>
      <c r="B28" s="732">
        <v>92717.95740005195</v>
      </c>
      <c r="C28" s="531">
        <v>18187.835400000091</v>
      </c>
      <c r="D28" s="531">
        <v>8833.7030999993422</v>
      </c>
      <c r="E28" s="531">
        <v>9354.1322999992899</v>
      </c>
      <c r="F28" s="531"/>
      <c r="G28" s="531">
        <v>67459.664099983507</v>
      </c>
      <c r="H28" s="531">
        <v>33573.509100011448</v>
      </c>
      <c r="I28" s="531">
        <v>33886.155000011124</v>
      </c>
      <c r="J28" s="531"/>
      <c r="K28" s="531">
        <v>7070.4578999995183</v>
      </c>
      <c r="L28" s="531">
        <v>2510.8766999999762</v>
      </c>
      <c r="M28" s="531">
        <v>4559.5811999997704</v>
      </c>
    </row>
    <row r="29" spans="1:13">
      <c r="A29" s="396" t="s">
        <v>113</v>
      </c>
      <c r="B29" s="732">
        <v>73102.825499998798</v>
      </c>
      <c r="C29" s="531">
        <v>14667.170699998756</v>
      </c>
      <c r="D29" s="531">
        <v>7486.0244999994766</v>
      </c>
      <c r="E29" s="531">
        <v>7181.1461999995072</v>
      </c>
      <c r="F29" s="531"/>
      <c r="G29" s="531">
        <v>52068.164699992267</v>
      </c>
      <c r="H29" s="531">
        <v>28136.189100008411</v>
      </c>
      <c r="I29" s="531">
        <v>23931.975600004895</v>
      </c>
      <c r="J29" s="531"/>
      <c r="K29" s="531">
        <v>6367.4900999995889</v>
      </c>
      <c r="L29" s="531">
        <v>2442.910199999983</v>
      </c>
      <c r="M29" s="531">
        <v>3924.5798999998342</v>
      </c>
    </row>
    <row r="30" spans="1:13">
      <c r="A30" s="396" t="s">
        <v>114</v>
      </c>
      <c r="B30" s="732">
        <v>55750.677199971869</v>
      </c>
      <c r="C30" s="531">
        <v>11415.976000000444</v>
      </c>
      <c r="D30" s="531">
        <v>5821.7485999998435</v>
      </c>
      <c r="E30" s="531">
        <v>5594.2273999998788</v>
      </c>
      <c r="F30" s="531"/>
      <c r="G30" s="531">
        <v>38477.028199998167</v>
      </c>
      <c r="H30" s="531">
        <v>21285.207000003407</v>
      </c>
      <c r="I30" s="531">
        <v>17191.821200002178</v>
      </c>
      <c r="J30" s="531"/>
      <c r="K30" s="531">
        <v>5857.6729999998379</v>
      </c>
      <c r="L30" s="531">
        <v>2115.5479999999675</v>
      </c>
      <c r="M30" s="531">
        <v>3742.1250000000855</v>
      </c>
    </row>
    <row r="31" spans="1:13">
      <c r="A31" s="396" t="s">
        <v>115</v>
      </c>
      <c r="B31" s="732">
        <v>39323.247399996879</v>
      </c>
      <c r="C31" s="531">
        <v>9655.6803999999156</v>
      </c>
      <c r="D31" s="531">
        <v>5089.2899999999572</v>
      </c>
      <c r="E31" s="531">
        <v>4566.3904000000384</v>
      </c>
      <c r="F31" s="531"/>
      <c r="G31" s="531">
        <v>25665.988000004723</v>
      </c>
      <c r="H31" s="531">
        <v>14527.428200001379</v>
      </c>
      <c r="I31" s="531">
        <v>11138.559800000361</v>
      </c>
      <c r="J31" s="531"/>
      <c r="K31" s="531">
        <v>4001.5790000001043</v>
      </c>
      <c r="L31" s="531">
        <v>1379.0977999999902</v>
      </c>
      <c r="M31" s="531">
        <v>2622.4812000000043</v>
      </c>
    </row>
    <row r="32" spans="1:13">
      <c r="A32" s="396" t="s">
        <v>116</v>
      </c>
      <c r="B32" s="732">
        <v>28571.872800005596</v>
      </c>
      <c r="C32" s="531">
        <v>7979.2083999995084</v>
      </c>
      <c r="D32" s="531">
        <v>4027.5244000001062</v>
      </c>
      <c r="E32" s="531">
        <v>3951.6840000001007</v>
      </c>
      <c r="F32" s="531"/>
      <c r="G32" s="531">
        <v>17700.750200002331</v>
      </c>
      <c r="H32" s="531">
        <v>9855.2603999999756</v>
      </c>
      <c r="I32" s="531">
        <v>7845.4897999995292</v>
      </c>
      <c r="J32" s="531"/>
      <c r="K32" s="531">
        <v>2891.9142000000238</v>
      </c>
      <c r="L32" s="531">
        <v>888.13100000000281</v>
      </c>
      <c r="M32" s="531">
        <v>2003.7831999999644</v>
      </c>
    </row>
    <row r="33" spans="1:13">
      <c r="A33" s="396" t="s">
        <v>117</v>
      </c>
      <c r="B33" s="732">
        <v>23586.364400004099</v>
      </c>
      <c r="C33" s="531">
        <v>7502.2121999995825</v>
      </c>
      <c r="D33" s="531">
        <v>3963.6588000001016</v>
      </c>
      <c r="E33" s="531">
        <v>3538.5534000000707</v>
      </c>
      <c r="F33" s="531"/>
      <c r="G33" s="531">
        <v>12936.775600000901</v>
      </c>
      <c r="H33" s="531">
        <v>7242.7581999996228</v>
      </c>
      <c r="I33" s="531">
        <v>5694.0173999998633</v>
      </c>
      <c r="J33" s="531"/>
      <c r="K33" s="531">
        <v>3147.3766000000423</v>
      </c>
      <c r="L33" s="531">
        <v>782.35360000000117</v>
      </c>
      <c r="M33" s="531">
        <v>2365.0229999999856</v>
      </c>
    </row>
    <row r="34" spans="1:13">
      <c r="A34" s="396" t="s">
        <v>136</v>
      </c>
      <c r="B34" s="732">
        <v>66708.740600013596</v>
      </c>
      <c r="C34" s="531">
        <v>37229.093800008108</v>
      </c>
      <c r="D34" s="531">
        <v>18356.232000002707</v>
      </c>
      <c r="E34" s="531">
        <v>18872.861800002855</v>
      </c>
      <c r="F34" s="531"/>
      <c r="G34" s="531">
        <v>19429.898400003014</v>
      </c>
      <c r="H34" s="531">
        <v>11169.59400000065</v>
      </c>
      <c r="I34" s="531">
        <v>8260.3043999998172</v>
      </c>
      <c r="J34" s="531"/>
      <c r="K34" s="531">
        <v>10049.74840000033</v>
      </c>
      <c r="L34" s="531">
        <v>1887.5747999999785</v>
      </c>
      <c r="M34" s="531">
        <v>8162.1735999997982</v>
      </c>
    </row>
    <row r="35" spans="1:13" ht="16.5" customHeight="1">
      <c r="A35" s="394" t="s">
        <v>5</v>
      </c>
      <c r="B35" s="731">
        <v>131963.07860001107</v>
      </c>
      <c r="C35" s="530">
        <v>48289.234100012924</v>
      </c>
      <c r="D35" s="530">
        <v>25132.588399998458</v>
      </c>
      <c r="E35" s="530">
        <v>23156.645699998695</v>
      </c>
      <c r="F35" s="530"/>
      <c r="G35" s="530">
        <v>52402.472300002955</v>
      </c>
      <c r="H35" s="530">
        <v>29135.223000002479</v>
      </c>
      <c r="I35" s="530">
        <v>23267.249300001378</v>
      </c>
      <c r="J35" s="530"/>
      <c r="K35" s="530">
        <v>31271.372200001759</v>
      </c>
      <c r="L35" s="530">
        <v>12600.521599999476</v>
      </c>
      <c r="M35" s="530">
        <v>18670.850600000576</v>
      </c>
    </row>
    <row r="36" spans="1:13" ht="15" customHeight="1">
      <c r="A36" s="396" t="s">
        <v>106</v>
      </c>
      <c r="B36" s="732">
        <v>17184.379999997469</v>
      </c>
      <c r="C36" s="531">
        <v>10757.519999998727</v>
      </c>
      <c r="D36" s="531">
        <v>5523.7099999997508</v>
      </c>
      <c r="E36" s="531">
        <v>5233.8099999998076</v>
      </c>
      <c r="F36" s="531"/>
      <c r="G36" s="531">
        <v>1077.0900000000061</v>
      </c>
      <c r="H36" s="531">
        <v>537.43000000000177</v>
      </c>
      <c r="I36" s="531">
        <v>539.66000000000179</v>
      </c>
      <c r="J36" s="531"/>
      <c r="K36" s="531">
        <v>5349.7699999997849</v>
      </c>
      <c r="L36" s="531">
        <v>2738.4400000000196</v>
      </c>
      <c r="M36" s="531">
        <v>2611.3300000000186</v>
      </c>
    </row>
    <row r="37" spans="1:13">
      <c r="A37" s="396" t="s">
        <v>107</v>
      </c>
      <c r="B37" s="732">
        <v>16709.389999997562</v>
      </c>
      <c r="C37" s="531">
        <v>12405.489999998405</v>
      </c>
      <c r="D37" s="531">
        <v>6500.4499999995596</v>
      </c>
      <c r="E37" s="531">
        <v>5905.0399999996762</v>
      </c>
      <c r="F37" s="531"/>
      <c r="G37" s="531">
        <v>1815.2200000000121</v>
      </c>
      <c r="H37" s="531">
        <v>994.5800000000055</v>
      </c>
      <c r="I37" s="531">
        <v>820.64000000000408</v>
      </c>
      <c r="J37" s="531"/>
      <c r="K37" s="531">
        <v>2488.6800000000176</v>
      </c>
      <c r="L37" s="531">
        <v>1237.6500000000074</v>
      </c>
      <c r="M37" s="531">
        <v>1251.0300000000075</v>
      </c>
    </row>
    <row r="38" spans="1:13">
      <c r="A38" s="396" t="s">
        <v>108</v>
      </c>
      <c r="B38" s="732">
        <v>14817.952799998549</v>
      </c>
      <c r="C38" s="531">
        <v>8123.9892999995218</v>
      </c>
      <c r="D38" s="531">
        <v>4334.6331000000728</v>
      </c>
      <c r="E38" s="531">
        <v>3789.3562000000861</v>
      </c>
      <c r="F38" s="531"/>
      <c r="G38" s="531">
        <v>4854.4495999999972</v>
      </c>
      <c r="H38" s="531">
        <v>2499.3625999999972</v>
      </c>
      <c r="I38" s="531">
        <v>2355.0869999999873</v>
      </c>
      <c r="J38" s="531"/>
      <c r="K38" s="531">
        <v>1839.513899999974</v>
      </c>
      <c r="L38" s="531">
        <v>933.54800000000387</v>
      </c>
      <c r="M38" s="531">
        <v>905.96590000000344</v>
      </c>
    </row>
    <row r="39" spans="1:13">
      <c r="A39" s="396" t="s">
        <v>109</v>
      </c>
      <c r="B39" s="732">
        <v>13838.935000001249</v>
      </c>
      <c r="C39" s="531">
        <v>3125.1769999998792</v>
      </c>
      <c r="D39" s="531">
        <v>1679.7330000000013</v>
      </c>
      <c r="E39" s="531">
        <v>1445.4440000000011</v>
      </c>
      <c r="F39" s="531"/>
      <c r="G39" s="531">
        <v>8293.4334999993389</v>
      </c>
      <c r="H39" s="531">
        <v>4239.0424999997531</v>
      </c>
      <c r="I39" s="531">
        <v>4054.3909999997736</v>
      </c>
      <c r="J39" s="531"/>
      <c r="K39" s="531">
        <v>2420.3244999999592</v>
      </c>
      <c r="L39" s="531">
        <v>1161.5175000000008</v>
      </c>
      <c r="M39" s="531">
        <v>1258.8070000000009</v>
      </c>
    </row>
    <row r="40" spans="1:13">
      <c r="A40" s="396" t="s">
        <v>110</v>
      </c>
      <c r="B40" s="732">
        <v>11132.698500000317</v>
      </c>
      <c r="C40" s="531">
        <v>1860.4135000000015</v>
      </c>
      <c r="D40" s="531">
        <v>1022.5325000000008</v>
      </c>
      <c r="E40" s="531">
        <v>837.88100000000065</v>
      </c>
      <c r="F40" s="531"/>
      <c r="G40" s="531">
        <v>7292.7414999994062</v>
      </c>
      <c r="H40" s="531">
        <v>4004.7534999997793</v>
      </c>
      <c r="I40" s="531">
        <v>3287.9879999998607</v>
      </c>
      <c r="J40" s="531"/>
      <c r="K40" s="531">
        <v>1979.5435000000016</v>
      </c>
      <c r="L40" s="531">
        <v>877.59100000000069</v>
      </c>
      <c r="M40" s="531">
        <v>1101.9525000000008</v>
      </c>
    </row>
    <row r="41" spans="1:13">
      <c r="A41" s="396" t="s">
        <v>111</v>
      </c>
      <c r="B41" s="732">
        <v>9486.1814999992766</v>
      </c>
      <c r="C41" s="531">
        <v>1372.9233000000115</v>
      </c>
      <c r="D41" s="531">
        <v>708.79350000000045</v>
      </c>
      <c r="E41" s="531">
        <v>664.1297999999997</v>
      </c>
      <c r="F41" s="531"/>
      <c r="G41" s="531">
        <v>6066.4955999996191</v>
      </c>
      <c r="H41" s="531">
        <v>3464.3495999998804</v>
      </c>
      <c r="I41" s="531">
        <v>2602.145999999967</v>
      </c>
      <c r="J41" s="531"/>
      <c r="K41" s="531">
        <v>2046.7626000000228</v>
      </c>
      <c r="L41" s="531">
        <v>951.5310000000045</v>
      </c>
      <c r="M41" s="531">
        <v>1095.2316000000069</v>
      </c>
    </row>
    <row r="42" spans="1:13">
      <c r="A42" s="396" t="s">
        <v>112</v>
      </c>
      <c r="B42" s="732">
        <v>7934.6033999994315</v>
      </c>
      <c r="C42" s="531">
        <v>1207.8618000000088</v>
      </c>
      <c r="D42" s="531">
        <v>609.7565999999988</v>
      </c>
      <c r="E42" s="531">
        <v>598.1051999999986</v>
      </c>
      <c r="F42" s="531"/>
      <c r="G42" s="531">
        <v>4670.2694999997593</v>
      </c>
      <c r="H42" s="531">
        <v>2689.5314999999582</v>
      </c>
      <c r="I42" s="531">
        <v>1980.7380000000217</v>
      </c>
      <c r="J42" s="531"/>
      <c r="K42" s="531">
        <v>2056.4721000000218</v>
      </c>
      <c r="L42" s="531">
        <v>811.71420000000217</v>
      </c>
      <c r="M42" s="531">
        <v>1244.7579000000094</v>
      </c>
    </row>
    <row r="43" spans="1:13">
      <c r="A43" s="396" t="s">
        <v>113</v>
      </c>
      <c r="B43" s="732">
        <v>6963.653399999529</v>
      </c>
      <c r="C43" s="531">
        <v>1083.5802000000067</v>
      </c>
      <c r="D43" s="531">
        <v>530.13869999999747</v>
      </c>
      <c r="E43" s="531">
        <v>553.44149999999786</v>
      </c>
      <c r="F43" s="531"/>
      <c r="G43" s="531">
        <v>3980.8949999998285</v>
      </c>
      <c r="H43" s="531">
        <v>2324.4542999999949</v>
      </c>
      <c r="I43" s="531">
        <v>1656.4407000000162</v>
      </c>
      <c r="J43" s="531"/>
      <c r="K43" s="531">
        <v>1899.1782000000203</v>
      </c>
      <c r="L43" s="531">
        <v>759.28290000000129</v>
      </c>
      <c r="M43" s="531">
        <v>1139.8953000000076</v>
      </c>
    </row>
    <row r="44" spans="1:13">
      <c r="A44" s="396" t="s">
        <v>114</v>
      </c>
      <c r="B44" s="732">
        <v>6214.9211999997824</v>
      </c>
      <c r="C44" s="531">
        <v>1071.7446000000029</v>
      </c>
      <c r="D44" s="531">
        <v>556.82819999999765</v>
      </c>
      <c r="E44" s="531">
        <v>514.916399999997</v>
      </c>
      <c r="F44" s="531"/>
      <c r="G44" s="531">
        <v>3426.7886000000626</v>
      </c>
      <c r="H44" s="531">
        <v>2035.7159999999631</v>
      </c>
      <c r="I44" s="531">
        <v>1391.0725999999897</v>
      </c>
      <c r="J44" s="531"/>
      <c r="K44" s="531">
        <v>1716.3879999999763</v>
      </c>
      <c r="L44" s="531">
        <v>678.57199999999955</v>
      </c>
      <c r="M44" s="531">
        <v>1037.8160000000044</v>
      </c>
    </row>
    <row r="45" spans="1:13">
      <c r="A45" s="396" t="s">
        <v>115</v>
      </c>
      <c r="B45" s="732">
        <v>5642.1265999998714</v>
      </c>
      <c r="C45" s="531">
        <v>1019.8538000000049</v>
      </c>
      <c r="D45" s="531">
        <v>518.90799999999706</v>
      </c>
      <c r="E45" s="531">
        <v>500.94579999999712</v>
      </c>
      <c r="F45" s="531"/>
      <c r="G45" s="531">
        <v>2929.8344000000266</v>
      </c>
      <c r="H45" s="531">
        <v>1722.375399999976</v>
      </c>
      <c r="I45" s="531">
        <v>1207.4589999999973</v>
      </c>
      <c r="J45" s="531"/>
      <c r="K45" s="531">
        <v>1692.4383999999773</v>
      </c>
      <c r="L45" s="531">
        <v>582.77359999999805</v>
      </c>
      <c r="M45" s="531">
        <v>1109.6648000000014</v>
      </c>
    </row>
    <row r="46" spans="1:13">
      <c r="A46" s="396" t="s">
        <v>116</v>
      </c>
      <c r="B46" s="732">
        <v>4478.5752000000521</v>
      </c>
      <c r="C46" s="531">
        <v>928.04700000000344</v>
      </c>
      <c r="D46" s="531">
        <v>455.04239999999771</v>
      </c>
      <c r="E46" s="531">
        <v>473.00459999999748</v>
      </c>
      <c r="F46" s="531"/>
      <c r="G46" s="531">
        <v>2351.0523999999846</v>
      </c>
      <c r="H46" s="531">
        <v>1207.4589999999973</v>
      </c>
      <c r="I46" s="531">
        <v>1143.5934</v>
      </c>
      <c r="J46" s="531"/>
      <c r="K46" s="531">
        <v>1199.4757999999977</v>
      </c>
      <c r="L46" s="531">
        <v>327.31119999999936</v>
      </c>
      <c r="M46" s="531">
        <v>872.16460000000257</v>
      </c>
    </row>
    <row r="47" spans="1:13">
      <c r="A47" s="396" t="s">
        <v>117</v>
      </c>
      <c r="B47" s="732">
        <v>4340.8650000000735</v>
      </c>
      <c r="C47" s="531">
        <v>908.08900000000313</v>
      </c>
      <c r="D47" s="531">
        <v>461.02979999999764</v>
      </c>
      <c r="E47" s="531">
        <v>447.05919999999782</v>
      </c>
      <c r="F47" s="531"/>
      <c r="G47" s="531">
        <v>1975.8419999999655</v>
      </c>
      <c r="H47" s="531">
        <v>1121.6396000000009</v>
      </c>
      <c r="I47" s="531">
        <v>854.20240000000229</v>
      </c>
      <c r="J47" s="531"/>
      <c r="K47" s="531">
        <v>1456.933999999987</v>
      </c>
      <c r="L47" s="531">
        <v>357.24819999999897</v>
      </c>
      <c r="M47" s="531">
        <v>1099.6858000000018</v>
      </c>
    </row>
    <row r="48" spans="1:13">
      <c r="A48" s="532" t="s">
        <v>136</v>
      </c>
      <c r="B48" s="733">
        <v>13218.796000001237</v>
      </c>
      <c r="C48" s="533">
        <v>4424.5445999999056</v>
      </c>
      <c r="D48" s="533">
        <v>2231.0325999999686</v>
      </c>
      <c r="E48" s="533">
        <v>2193.5119999999697</v>
      </c>
      <c r="F48" s="533"/>
      <c r="G48" s="533">
        <v>3668.3601999999273</v>
      </c>
      <c r="H48" s="533">
        <v>2294.5289999999668</v>
      </c>
      <c r="I48" s="533">
        <v>1373.8311999999933</v>
      </c>
      <c r="J48" s="533"/>
      <c r="K48" s="533">
        <v>5125.8911999998854</v>
      </c>
      <c r="L48" s="533">
        <v>1183.3419999999987</v>
      </c>
      <c r="M48" s="533">
        <v>3942.5491999999194</v>
      </c>
    </row>
    <row r="49" spans="1:13">
      <c r="A49" s="534"/>
      <c r="B49" s="734"/>
      <c r="C49" s="534"/>
      <c r="D49" s="534"/>
      <c r="E49" s="534"/>
      <c r="F49" s="534"/>
      <c r="G49" s="534"/>
      <c r="H49" s="534"/>
      <c r="I49" s="534"/>
      <c r="J49" s="534"/>
      <c r="K49" s="534"/>
      <c r="L49" s="534"/>
      <c r="M49" s="534"/>
    </row>
  </sheetData>
  <mergeCells count="7">
    <mergeCell ref="A1:M1"/>
    <mergeCell ref="B3:B4"/>
    <mergeCell ref="C3:E3"/>
    <mergeCell ref="G3:I3"/>
    <mergeCell ref="K3:M3"/>
    <mergeCell ref="A2:A4"/>
    <mergeCell ref="C2:M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0757-C68D-48E3-BC71-F9C5470EF27C}">
  <sheetPr>
    <tabColor theme="0"/>
  </sheetPr>
  <dimension ref="A1:H31"/>
  <sheetViews>
    <sheetView workbookViewId="0">
      <selection activeCell="A35" sqref="A35"/>
    </sheetView>
  </sheetViews>
  <sheetFormatPr defaultRowHeight="15" customHeight="1"/>
  <cols>
    <col min="1" max="1" width="18.140625" style="30" customWidth="1"/>
    <col min="2" max="4" width="9.140625" style="30"/>
    <col min="5" max="5" width="3.5703125" style="30" customWidth="1"/>
    <col min="6" max="16384" width="9.140625" style="30"/>
  </cols>
  <sheetData>
    <row r="1" spans="1:8" ht="26.25" customHeight="1" thickBot="1">
      <c r="A1" s="1057" t="s">
        <v>521</v>
      </c>
      <c r="B1" s="1057"/>
      <c r="C1" s="1057"/>
      <c r="D1" s="1057"/>
      <c r="E1" s="1057"/>
      <c r="F1" s="1057"/>
      <c r="G1" s="1057"/>
      <c r="H1" s="1057"/>
    </row>
    <row r="2" spans="1:8" ht="28.5" customHeight="1">
      <c r="A2" s="1058" t="s">
        <v>516</v>
      </c>
      <c r="B2" s="1025" t="s">
        <v>444</v>
      </c>
      <c r="C2" s="1025"/>
      <c r="D2" s="1025"/>
      <c r="E2" s="507"/>
      <c r="F2" s="1043" t="s">
        <v>445</v>
      </c>
      <c r="G2" s="1043"/>
      <c r="H2" s="1043"/>
    </row>
    <row r="3" spans="1:8" ht="12.75" customHeight="1">
      <c r="A3" s="1058"/>
      <c r="B3" s="369" t="s">
        <v>0</v>
      </c>
      <c r="C3" s="369" t="s">
        <v>1</v>
      </c>
      <c r="D3" s="369" t="s">
        <v>2</v>
      </c>
      <c r="E3" s="369"/>
      <c r="F3" s="369" t="s">
        <v>0</v>
      </c>
      <c r="G3" s="369" t="s">
        <v>1</v>
      </c>
      <c r="H3" s="369" t="s">
        <v>2</v>
      </c>
    </row>
    <row r="4" spans="1:8" s="457" customFormat="1" ht="12.75" customHeight="1">
      <c r="A4" s="397" t="s">
        <v>146</v>
      </c>
      <c r="B4" s="398">
        <v>525905.9752992345</v>
      </c>
      <c r="C4" s="398">
        <v>258639.91630024574</v>
      </c>
      <c r="D4" s="398">
        <v>267266.05900021514</v>
      </c>
      <c r="E4" s="398"/>
      <c r="F4" s="398">
        <v>101384.8269000196</v>
      </c>
      <c r="G4" s="398">
        <v>50610.412900021322</v>
      </c>
      <c r="H4" s="398">
        <v>50774.414000021628</v>
      </c>
    </row>
    <row r="5" spans="1:8" ht="12.75" customHeight="1">
      <c r="A5" s="399"/>
      <c r="B5" s="400"/>
      <c r="C5" s="400"/>
      <c r="D5" s="400"/>
      <c r="E5" s="400"/>
      <c r="F5" s="400"/>
      <c r="G5" s="400"/>
      <c r="H5" s="400"/>
    </row>
    <row r="6" spans="1:8" s="457" customFormat="1" ht="12.75" customHeight="1">
      <c r="A6" s="354" t="s">
        <v>3</v>
      </c>
      <c r="B6" s="398"/>
      <c r="C6" s="398"/>
      <c r="D6" s="398"/>
      <c r="E6" s="398"/>
      <c r="F6" s="398"/>
      <c r="G6" s="398"/>
      <c r="H6" s="398"/>
    </row>
    <row r="7" spans="1:8" ht="12.75" customHeight="1">
      <c r="A7" s="399" t="s">
        <v>4</v>
      </c>
      <c r="B7" s="400">
        <v>480175.24099943176</v>
      </c>
      <c r="C7" s="400">
        <v>234920.77910019099</v>
      </c>
      <c r="D7" s="400">
        <v>245254.46190020253</v>
      </c>
      <c r="E7" s="400"/>
      <c r="F7" s="400">
        <v>85852.659800029985</v>
      </c>
      <c r="G7" s="400">
        <v>42643.262600009541</v>
      </c>
      <c r="H7" s="400">
        <v>43209.397200010419</v>
      </c>
    </row>
    <row r="8" spans="1:8" ht="12.75" customHeight="1">
      <c r="A8" s="399" t="s">
        <v>5</v>
      </c>
      <c r="B8" s="400">
        <v>45730.734300013872</v>
      </c>
      <c r="C8" s="400">
        <v>23719.137199996465</v>
      </c>
      <c r="D8" s="400">
        <v>22011.597099996776</v>
      </c>
      <c r="E8" s="400"/>
      <c r="F8" s="400">
        <v>15532.167099997989</v>
      </c>
      <c r="G8" s="400">
        <v>7967.1502999993554</v>
      </c>
      <c r="H8" s="400">
        <v>7565.0167999994355</v>
      </c>
    </row>
    <row r="9" spans="1:8" s="457" customFormat="1" ht="12.75" customHeight="1">
      <c r="A9" s="354" t="s">
        <v>513</v>
      </c>
      <c r="B9" s="398"/>
      <c r="C9" s="398"/>
      <c r="D9" s="398"/>
      <c r="E9" s="398"/>
      <c r="F9" s="398"/>
      <c r="G9" s="398"/>
      <c r="H9" s="398"/>
    </row>
    <row r="10" spans="1:8" s="28" customFormat="1" ht="12.75" customHeight="1">
      <c r="A10" s="401" t="s">
        <v>148</v>
      </c>
      <c r="B10" s="402">
        <v>19242.576999997291</v>
      </c>
      <c r="C10" s="402">
        <v>9987.7616999989805</v>
      </c>
      <c r="D10" s="402">
        <v>9254.8152999991089</v>
      </c>
      <c r="E10" s="402"/>
      <c r="F10" s="402">
        <v>6592.3084999996108</v>
      </c>
      <c r="G10" s="402">
        <v>3468.944800000038</v>
      </c>
      <c r="H10" s="402">
        <v>3123.3637000000303</v>
      </c>
    </row>
    <row r="11" spans="1:8" ht="12.75" customHeight="1">
      <c r="A11" s="458" t="s">
        <v>148</v>
      </c>
      <c r="B11" s="400">
        <v>7403.7084999994413</v>
      </c>
      <c r="C11" s="400">
        <v>3763.6543000000443</v>
      </c>
      <c r="D11" s="400">
        <v>3640.0542000000419</v>
      </c>
      <c r="E11" s="400"/>
      <c r="F11" s="400">
        <v>1740.7735</v>
      </c>
      <c r="G11" s="400">
        <v>918.27760000000467</v>
      </c>
      <c r="H11" s="400">
        <v>822.49590000000387</v>
      </c>
    </row>
    <row r="12" spans="1:8" ht="12.75" customHeight="1">
      <c r="A12" s="458" t="s">
        <v>149</v>
      </c>
      <c r="B12" s="400">
        <v>6519.3780999996034</v>
      </c>
      <c r="C12" s="400">
        <v>3446.7580000000307</v>
      </c>
      <c r="D12" s="400">
        <v>3072.6201000000265</v>
      </c>
      <c r="E12" s="400"/>
      <c r="F12" s="400">
        <v>2652.5777000000135</v>
      </c>
      <c r="G12" s="400">
        <v>1375.3587000000041</v>
      </c>
      <c r="H12" s="400">
        <v>1277.2190000000039</v>
      </c>
    </row>
    <row r="13" spans="1:8" ht="12.75" customHeight="1">
      <c r="A13" s="458" t="s">
        <v>150</v>
      </c>
      <c r="B13" s="400">
        <v>2201.3202000000028</v>
      </c>
      <c r="C13" s="400">
        <v>1197.2639000000049</v>
      </c>
      <c r="D13" s="400">
        <v>1004.0563000000055</v>
      </c>
      <c r="E13" s="400"/>
      <c r="F13" s="400">
        <v>1208.3696000000048</v>
      </c>
      <c r="G13" s="400">
        <v>631.08510000000138</v>
      </c>
      <c r="H13" s="400">
        <v>577.28450000000123</v>
      </c>
    </row>
    <row r="14" spans="1:8" ht="12.75" customHeight="1">
      <c r="A14" s="458" t="s">
        <v>151</v>
      </c>
      <c r="B14" s="400">
        <v>3118.1702000000287</v>
      </c>
      <c r="C14" s="400">
        <v>1580.085500000002</v>
      </c>
      <c r="D14" s="400">
        <v>1538.0847000000031</v>
      </c>
      <c r="E14" s="400"/>
      <c r="F14" s="400">
        <v>990.58770000000538</v>
      </c>
      <c r="G14" s="400">
        <v>544.22339999999997</v>
      </c>
      <c r="H14" s="400">
        <v>446.36429999999962</v>
      </c>
    </row>
    <row r="15" spans="1:8" s="28" customFormat="1" ht="12.75" customHeight="1">
      <c r="A15" s="401" t="s">
        <v>152</v>
      </c>
      <c r="B15" s="402">
        <v>10109.91939999894</v>
      </c>
      <c r="C15" s="402">
        <v>5454.634299999796</v>
      </c>
      <c r="D15" s="402">
        <v>4655.2850999999428</v>
      </c>
      <c r="E15" s="402"/>
      <c r="F15" s="402">
        <v>3731.1347000000374</v>
      </c>
      <c r="G15" s="402">
        <v>1906.4433000000022</v>
      </c>
      <c r="H15" s="402">
        <v>1824.6914000000024</v>
      </c>
    </row>
    <row r="16" spans="1:8" ht="12.75" customHeight="1">
      <c r="A16" s="458" t="s">
        <v>153</v>
      </c>
      <c r="B16" s="400">
        <v>5539.3299999997826</v>
      </c>
      <c r="C16" s="400">
        <v>2979.9102000000212</v>
      </c>
      <c r="D16" s="400">
        <v>2559.4198000000142</v>
      </c>
      <c r="E16" s="400"/>
      <c r="F16" s="400">
        <v>1669.6744000000024</v>
      </c>
      <c r="G16" s="400">
        <v>872.42230000000393</v>
      </c>
      <c r="H16" s="400">
        <v>797.252100000003</v>
      </c>
    </row>
    <row r="17" spans="1:8" ht="12.75" customHeight="1">
      <c r="A17" s="458" t="s">
        <v>154</v>
      </c>
      <c r="B17" s="400">
        <v>672.24410000000171</v>
      </c>
      <c r="C17" s="400">
        <v>400.66160000000059</v>
      </c>
      <c r="D17" s="400">
        <v>271.58249999999975</v>
      </c>
      <c r="E17" s="400"/>
      <c r="F17" s="400">
        <v>127.28230000000008</v>
      </c>
      <c r="G17" s="400">
        <v>74.412099999999981</v>
      </c>
      <c r="H17" s="400">
        <v>52.870199999999976</v>
      </c>
    </row>
    <row r="18" spans="1:8" ht="12.75" customHeight="1">
      <c r="A18" s="458" t="s">
        <v>155</v>
      </c>
      <c r="B18" s="400">
        <v>1858.4466000000045</v>
      </c>
      <c r="C18" s="400">
        <v>987.23530000000505</v>
      </c>
      <c r="D18" s="400">
        <v>871.21130000000392</v>
      </c>
      <c r="E18" s="400"/>
      <c r="F18" s="400">
        <v>997.62720000000547</v>
      </c>
      <c r="G18" s="400">
        <v>491.11690000000067</v>
      </c>
      <c r="H18" s="400">
        <v>506.51030000000071</v>
      </c>
    </row>
    <row r="19" spans="1:8" ht="12.75" customHeight="1">
      <c r="A19" s="458" t="s">
        <v>156</v>
      </c>
      <c r="B19" s="400">
        <v>2039.8987000000043</v>
      </c>
      <c r="C19" s="400">
        <v>1086.8272000000054</v>
      </c>
      <c r="D19" s="400">
        <v>953.0715000000049</v>
      </c>
      <c r="E19" s="400"/>
      <c r="F19" s="400">
        <v>936.5508000000051</v>
      </c>
      <c r="G19" s="400">
        <v>468.49200000000025</v>
      </c>
      <c r="H19" s="400">
        <v>468.05880000000042</v>
      </c>
    </row>
    <row r="20" spans="1:8" s="28" customFormat="1" ht="12.75" customHeight="1">
      <c r="A20" s="401" t="s">
        <v>157</v>
      </c>
      <c r="B20" s="402">
        <v>215364.93890016363</v>
      </c>
      <c r="C20" s="402">
        <v>106014.81820000344</v>
      </c>
      <c r="D20" s="402">
        <v>109350.1207000024</v>
      </c>
      <c r="E20" s="402"/>
      <c r="F20" s="402">
        <v>43493.547400010808</v>
      </c>
      <c r="G20" s="402">
        <v>21591.830499996915</v>
      </c>
      <c r="H20" s="402">
        <v>21901.716899996889</v>
      </c>
    </row>
    <row r="21" spans="1:8" ht="12.75" customHeight="1">
      <c r="A21" s="458" t="s">
        <v>157</v>
      </c>
      <c r="B21" s="400">
        <v>125338.339799985</v>
      </c>
      <c r="C21" s="400">
        <v>61192.240300036545</v>
      </c>
      <c r="D21" s="400">
        <v>64146.099500040982</v>
      </c>
      <c r="E21" s="400"/>
      <c r="F21" s="400">
        <v>24285.079899996443</v>
      </c>
      <c r="G21" s="400">
        <v>12019.572399998629</v>
      </c>
      <c r="H21" s="400">
        <v>12265.507499998603</v>
      </c>
    </row>
    <row r="22" spans="1:8" ht="12.75" customHeight="1">
      <c r="A22" s="458" t="s">
        <v>158</v>
      </c>
      <c r="B22" s="400">
        <v>35980.056599999531</v>
      </c>
      <c r="C22" s="400">
        <v>17985.669199997501</v>
      </c>
      <c r="D22" s="400">
        <v>17994.387399997508</v>
      </c>
      <c r="E22" s="400"/>
      <c r="F22" s="400">
        <v>9110.1311999991631</v>
      </c>
      <c r="G22" s="400">
        <v>4456.5689999999904</v>
      </c>
      <c r="H22" s="400">
        <v>4653.5621999999557</v>
      </c>
    </row>
    <row r="23" spans="1:8" ht="12.75" customHeight="1">
      <c r="A23" s="458" t="s">
        <v>159</v>
      </c>
      <c r="B23" s="400">
        <v>54046.542500026211</v>
      </c>
      <c r="C23" s="400">
        <v>26836.908699995907</v>
      </c>
      <c r="D23" s="400">
        <v>27209.633799995856</v>
      </c>
      <c r="E23" s="400"/>
      <c r="F23" s="400">
        <v>10098.33629999898</v>
      </c>
      <c r="G23" s="400">
        <v>5115.6890999998768</v>
      </c>
      <c r="H23" s="400">
        <v>4982.6471999999048</v>
      </c>
    </row>
    <row r="24" spans="1:8" s="28" customFormat="1" ht="12.75" customHeight="1">
      <c r="A24" s="401" t="s">
        <v>160</v>
      </c>
      <c r="B24" s="402">
        <v>227996.79160018094</v>
      </c>
      <c r="C24" s="402">
        <v>110159.26110000047</v>
      </c>
      <c r="D24" s="402">
        <v>117837.53049999627</v>
      </c>
      <c r="E24" s="402"/>
      <c r="F24" s="402">
        <v>34636.070799997709</v>
      </c>
      <c r="G24" s="402">
        <v>17157.162799997728</v>
      </c>
      <c r="H24" s="402">
        <v>17478.907999997671</v>
      </c>
    </row>
    <row r="25" spans="1:8" ht="12.75" customHeight="1">
      <c r="A25" s="458" t="s">
        <v>160</v>
      </c>
      <c r="B25" s="400">
        <v>227996.79160018094</v>
      </c>
      <c r="C25" s="400">
        <v>110159.26110000047</v>
      </c>
      <c r="D25" s="400">
        <v>117837.53049999627</v>
      </c>
      <c r="E25" s="400"/>
      <c r="F25" s="400">
        <v>34636.070799997709</v>
      </c>
      <c r="G25" s="400">
        <v>17157.162799997728</v>
      </c>
      <c r="H25" s="400">
        <v>17478.907999997671</v>
      </c>
    </row>
    <row r="26" spans="1:8" s="28" customFormat="1" ht="12.75" customHeight="1">
      <c r="A26" s="401" t="s">
        <v>161</v>
      </c>
      <c r="B26" s="402">
        <v>7644.0315999994</v>
      </c>
      <c r="C26" s="402">
        <v>3882.0412000000479</v>
      </c>
      <c r="D26" s="402">
        <v>3761.990400000037</v>
      </c>
      <c r="E26" s="402"/>
      <c r="F26" s="402">
        <v>2280.4729000000034</v>
      </c>
      <c r="G26" s="402">
        <v>1121.4439000000054</v>
      </c>
      <c r="H26" s="402">
        <v>1159.0290000000055</v>
      </c>
    </row>
    <row r="27" spans="1:8" ht="12.75" customHeight="1">
      <c r="A27" s="458" t="s">
        <v>161</v>
      </c>
      <c r="B27" s="400">
        <v>7644.0315999994</v>
      </c>
      <c r="C27" s="400">
        <v>3882.0412000000479</v>
      </c>
      <c r="D27" s="400">
        <v>3761.990400000037</v>
      </c>
      <c r="E27" s="400"/>
      <c r="F27" s="400">
        <v>2280.4729000000034</v>
      </c>
      <c r="G27" s="400">
        <v>1121.4439000000054</v>
      </c>
      <c r="H27" s="400">
        <v>1159.0290000000055</v>
      </c>
    </row>
    <row r="28" spans="1:8" s="28" customFormat="1" ht="12.75" customHeight="1">
      <c r="A28" s="401" t="s">
        <v>162</v>
      </c>
      <c r="B28" s="402">
        <v>12039.957399998599</v>
      </c>
      <c r="C28" s="402">
        <v>6040.3218999996943</v>
      </c>
      <c r="D28" s="402">
        <v>5999.6354999997066</v>
      </c>
      <c r="E28" s="402"/>
      <c r="F28" s="402">
        <v>2417.3890000000083</v>
      </c>
      <c r="G28" s="402">
        <v>1188.0633000000057</v>
      </c>
      <c r="H28" s="402">
        <v>1229.3257000000033</v>
      </c>
    </row>
    <row r="29" spans="1:8" ht="12.75" customHeight="1">
      <c r="A29" s="458" t="s">
        <v>162</v>
      </c>
      <c r="B29" s="400">
        <v>12039.957399998599</v>
      </c>
      <c r="C29" s="400">
        <v>6040.3218999996943</v>
      </c>
      <c r="D29" s="400">
        <v>5999.6354999997066</v>
      </c>
      <c r="E29" s="400"/>
      <c r="F29" s="400">
        <v>2417.3890000000083</v>
      </c>
      <c r="G29" s="400">
        <v>1188.0633000000057</v>
      </c>
      <c r="H29" s="400">
        <v>1229.3257000000033</v>
      </c>
    </row>
    <row r="30" spans="1:8" s="28" customFormat="1" ht="12.75" customHeight="1">
      <c r="A30" s="401" t="s">
        <v>163</v>
      </c>
      <c r="B30" s="402">
        <v>33507.759399995914</v>
      </c>
      <c r="C30" s="402">
        <v>17101.077899997672</v>
      </c>
      <c r="D30" s="402">
        <v>16406.681499997809</v>
      </c>
      <c r="E30" s="402"/>
      <c r="F30" s="402">
        <v>8233.9035999993102</v>
      </c>
      <c r="G30" s="402">
        <v>4176.5243000000391</v>
      </c>
      <c r="H30" s="402">
        <v>4057.3793000000551</v>
      </c>
    </row>
    <row r="31" spans="1:8" ht="12.75" customHeight="1">
      <c r="A31" s="458" t="s">
        <v>163</v>
      </c>
      <c r="B31" s="400">
        <v>33507.759399995914</v>
      </c>
      <c r="C31" s="400">
        <v>17101.077899997672</v>
      </c>
      <c r="D31" s="400">
        <v>16406.681499997809</v>
      </c>
      <c r="E31" s="400"/>
      <c r="F31" s="400">
        <v>8233.9035999993102</v>
      </c>
      <c r="G31" s="400">
        <v>4176.5243000000391</v>
      </c>
      <c r="H31" s="400">
        <v>4057.3793000000551</v>
      </c>
    </row>
  </sheetData>
  <mergeCells count="4">
    <mergeCell ref="F2:H2"/>
    <mergeCell ref="A1:H1"/>
    <mergeCell ref="A2:A3"/>
    <mergeCell ref="B2:D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3075-39BC-4B5A-A890-3289CC46FDF5}">
  <sheetPr>
    <tabColor theme="0"/>
  </sheetPr>
  <dimension ref="A1:K32"/>
  <sheetViews>
    <sheetView workbookViewId="0">
      <selection activeCell="A36" sqref="A36"/>
    </sheetView>
  </sheetViews>
  <sheetFormatPr defaultRowHeight="15.75" customHeight="1"/>
  <cols>
    <col min="1" max="1" width="18.7109375" style="30" customWidth="1"/>
    <col min="2" max="2" width="12.7109375" style="687" customWidth="1"/>
    <col min="3" max="5" width="9.140625" style="687"/>
    <col min="6" max="16384" width="9.140625" style="30"/>
  </cols>
  <sheetData>
    <row r="1" spans="1:11" ht="15.75" customHeight="1" thickBot="1">
      <c r="A1" s="1060" t="s">
        <v>522</v>
      </c>
      <c r="B1" s="1060"/>
      <c r="C1" s="1060"/>
      <c r="D1" s="1060"/>
      <c r="E1" s="1060"/>
      <c r="F1" s="1060"/>
      <c r="G1" s="1060"/>
      <c r="H1" s="1060"/>
      <c r="I1" s="1060"/>
      <c r="J1" s="1060"/>
      <c r="K1" s="1060"/>
    </row>
    <row r="2" spans="1:11" ht="15.75" customHeight="1">
      <c r="A2" s="1062" t="s">
        <v>516</v>
      </c>
      <c r="B2" s="1061" t="s">
        <v>511</v>
      </c>
      <c r="C2" s="1061"/>
      <c r="D2" s="1061"/>
      <c r="E2" s="1061"/>
      <c r="F2" s="1061"/>
      <c r="G2" s="1061"/>
      <c r="H2" s="1061"/>
      <c r="I2" s="1061"/>
      <c r="J2" s="1061"/>
      <c r="K2" s="1061"/>
    </row>
    <row r="3" spans="1:11" ht="15.75" customHeight="1">
      <c r="A3" s="1063"/>
      <c r="B3" s="1059" t="s">
        <v>523</v>
      </c>
      <c r="C3" s="1025" t="s">
        <v>435</v>
      </c>
      <c r="D3" s="1025"/>
      <c r="E3" s="1025"/>
      <c r="F3" s="1034" t="s">
        <v>436</v>
      </c>
      <c r="G3" s="1034"/>
      <c r="H3" s="1034"/>
      <c r="I3" s="1034" t="s">
        <v>437</v>
      </c>
      <c r="J3" s="1034"/>
      <c r="K3" s="1034"/>
    </row>
    <row r="4" spans="1:11" ht="12.75" customHeight="1">
      <c r="A4" s="1063"/>
      <c r="B4" s="1059"/>
      <c r="C4" s="738" t="s">
        <v>0</v>
      </c>
      <c r="D4" s="738" t="s">
        <v>1</v>
      </c>
      <c r="E4" s="381" t="s">
        <v>2</v>
      </c>
      <c r="F4" s="613" t="s">
        <v>0</v>
      </c>
      <c r="G4" s="613" t="s">
        <v>1</v>
      </c>
      <c r="H4" s="612" t="s">
        <v>2</v>
      </c>
      <c r="I4" s="411" t="s">
        <v>0</v>
      </c>
      <c r="J4" s="411" t="s">
        <v>1</v>
      </c>
      <c r="K4" s="612" t="s">
        <v>2</v>
      </c>
    </row>
    <row r="5" spans="1:11" ht="12.75" customHeight="1">
      <c r="A5" s="354" t="s">
        <v>146</v>
      </c>
      <c r="B5" s="739">
        <v>525905.9752992345</v>
      </c>
      <c r="C5" s="739">
        <v>424521.1483996184</v>
      </c>
      <c r="D5" s="739">
        <v>208029.50340014554</v>
      </c>
      <c r="E5" s="739">
        <v>216491.64500015407</v>
      </c>
      <c r="F5" s="403">
        <v>54712.742700028088</v>
      </c>
      <c r="G5" s="403">
        <v>26632.965199996208</v>
      </c>
      <c r="H5" s="403">
        <v>28079.777499995977</v>
      </c>
      <c r="I5" s="403">
        <v>46672.084200014848</v>
      </c>
      <c r="J5" s="403">
        <v>23977.44769999629</v>
      </c>
      <c r="K5" s="403">
        <v>22694.636499996537</v>
      </c>
    </row>
    <row r="6" spans="1:11" ht="12.75" customHeight="1">
      <c r="A6" s="404"/>
      <c r="B6" s="740"/>
      <c r="C6" s="740"/>
      <c r="D6" s="740"/>
      <c r="E6" s="740"/>
      <c r="F6" s="405"/>
      <c r="G6" s="405"/>
      <c r="H6" s="405"/>
      <c r="I6" s="405"/>
      <c r="J6" s="405"/>
      <c r="K6" s="405"/>
    </row>
    <row r="7" spans="1:11" ht="12.75" customHeight="1">
      <c r="A7" s="406" t="s">
        <v>3</v>
      </c>
      <c r="B7" s="739"/>
      <c r="C7" s="739"/>
      <c r="D7" s="739"/>
      <c r="E7" s="739"/>
      <c r="F7" s="403"/>
      <c r="G7" s="403"/>
      <c r="H7" s="403"/>
      <c r="I7" s="403"/>
      <c r="J7" s="403"/>
      <c r="K7" s="403"/>
    </row>
    <row r="8" spans="1:11" ht="12.75" customHeight="1">
      <c r="A8" s="459" t="s">
        <v>4</v>
      </c>
      <c r="B8" s="740">
        <v>480175.24099943176</v>
      </c>
      <c r="C8" s="740">
        <v>394322.58119974297</v>
      </c>
      <c r="D8" s="740">
        <v>192277.51650011193</v>
      </c>
      <c r="E8" s="740">
        <v>202045.06470012502</v>
      </c>
      <c r="F8" s="405">
        <v>48451.173100018699</v>
      </c>
      <c r="G8" s="405">
        <v>23403.595199996766</v>
      </c>
      <c r="H8" s="405">
        <v>25047.57789999649</v>
      </c>
      <c r="I8" s="405">
        <v>37401.486700001362</v>
      </c>
      <c r="J8" s="405">
        <v>19239.667399997179</v>
      </c>
      <c r="K8" s="405">
        <v>18161.819299997387</v>
      </c>
    </row>
    <row r="9" spans="1:11" ht="12.75" customHeight="1">
      <c r="A9" s="459" t="s">
        <v>5</v>
      </c>
      <c r="B9" s="740">
        <v>45730.734300013872</v>
      </c>
      <c r="C9" s="740">
        <v>30198.567199995243</v>
      </c>
      <c r="D9" s="740">
        <v>15751.986899997906</v>
      </c>
      <c r="E9" s="740">
        <v>14446.580299998144</v>
      </c>
      <c r="F9" s="405">
        <v>6261.569599999707</v>
      </c>
      <c r="G9" s="405">
        <v>3229.3700000000349</v>
      </c>
      <c r="H9" s="405">
        <v>3032.1996000000295</v>
      </c>
      <c r="I9" s="405">
        <v>9270.5974999990685</v>
      </c>
      <c r="J9" s="405">
        <v>4737.780299999924</v>
      </c>
      <c r="K9" s="405">
        <v>4532.8171999999595</v>
      </c>
    </row>
    <row r="10" spans="1:11" ht="12.75" customHeight="1">
      <c r="A10" s="406" t="s">
        <v>513</v>
      </c>
      <c r="B10" s="739"/>
      <c r="C10" s="739"/>
      <c r="D10" s="739"/>
      <c r="E10" s="739"/>
      <c r="F10" s="403"/>
      <c r="G10" s="403"/>
      <c r="H10" s="403"/>
      <c r="I10" s="403"/>
      <c r="J10" s="403"/>
      <c r="K10" s="403"/>
    </row>
    <row r="11" spans="1:11" s="28" customFormat="1" ht="12.75" customHeight="1">
      <c r="A11" s="407" t="s">
        <v>148</v>
      </c>
      <c r="B11" s="741">
        <v>19242.576999997291</v>
      </c>
      <c r="C11" s="741">
        <v>12650.268499998472</v>
      </c>
      <c r="D11" s="741">
        <v>6518.8168999996051</v>
      </c>
      <c r="E11" s="741">
        <v>6131.4515999996756</v>
      </c>
      <c r="F11" s="408">
        <v>2705.0000000000136</v>
      </c>
      <c r="G11" s="408">
        <v>1436.2972999999988</v>
      </c>
      <c r="H11" s="408">
        <v>1268.7026999999998</v>
      </c>
      <c r="I11" s="408">
        <v>3887.3085000000397</v>
      </c>
      <c r="J11" s="408">
        <v>2032.6475000000055</v>
      </c>
      <c r="K11" s="408">
        <v>1854.6610000000067</v>
      </c>
    </row>
    <row r="12" spans="1:11" ht="12.75" customHeight="1">
      <c r="A12" s="459" t="s">
        <v>148</v>
      </c>
      <c r="B12" s="740">
        <v>7403.7084999994413</v>
      </c>
      <c r="C12" s="740">
        <v>5662.9349999997612</v>
      </c>
      <c r="D12" s="740">
        <v>2845.3767000000207</v>
      </c>
      <c r="E12" s="740">
        <v>2817.5583000000192</v>
      </c>
      <c r="F12" s="405">
        <v>847.82340000000409</v>
      </c>
      <c r="G12" s="405">
        <v>421.78999999999974</v>
      </c>
      <c r="H12" s="405">
        <v>426.03339999999918</v>
      </c>
      <c r="I12" s="405">
        <v>892.9501000000048</v>
      </c>
      <c r="J12" s="405">
        <v>496.48760000000095</v>
      </c>
      <c r="K12" s="405">
        <v>396.46250000000015</v>
      </c>
    </row>
    <row r="13" spans="1:11" ht="12.75" customHeight="1">
      <c r="A13" s="459" t="s">
        <v>149</v>
      </c>
      <c r="B13" s="740">
        <v>6519.3780999996034</v>
      </c>
      <c r="C13" s="740">
        <v>3866.8004000000415</v>
      </c>
      <c r="D13" s="740">
        <v>2071.3993000000037</v>
      </c>
      <c r="E13" s="740">
        <v>1795.4011000000044</v>
      </c>
      <c r="F13" s="405">
        <v>916.64820000000441</v>
      </c>
      <c r="G13" s="405">
        <v>505.29439999999892</v>
      </c>
      <c r="H13" s="405">
        <v>411.35379999999918</v>
      </c>
      <c r="I13" s="405">
        <v>1735.9295000000061</v>
      </c>
      <c r="J13" s="405">
        <v>870.0643000000041</v>
      </c>
      <c r="K13" s="405">
        <v>865.86520000000451</v>
      </c>
    </row>
    <row r="14" spans="1:11" ht="12.75" customHeight="1">
      <c r="A14" s="459" t="s">
        <v>150</v>
      </c>
      <c r="B14" s="740">
        <v>2201.3202000000028</v>
      </c>
      <c r="C14" s="740">
        <v>992.95060000000547</v>
      </c>
      <c r="D14" s="740">
        <v>566.17880000000139</v>
      </c>
      <c r="E14" s="740">
        <v>426.77179999999998</v>
      </c>
      <c r="F14" s="405">
        <v>507.63269999999955</v>
      </c>
      <c r="G14" s="405">
        <v>277.75069999999999</v>
      </c>
      <c r="H14" s="405">
        <v>229.88199999999998</v>
      </c>
      <c r="I14" s="405">
        <v>700.73690000000261</v>
      </c>
      <c r="J14" s="405">
        <v>353.33440000000007</v>
      </c>
      <c r="K14" s="405">
        <v>347.40250000000026</v>
      </c>
    </row>
    <row r="15" spans="1:11" ht="12.75" customHeight="1">
      <c r="A15" s="459" t="s">
        <v>151</v>
      </c>
      <c r="B15" s="740">
        <v>3118.1702000000287</v>
      </c>
      <c r="C15" s="740">
        <v>2127.5825000000041</v>
      </c>
      <c r="D15" s="740">
        <v>1035.8621000000057</v>
      </c>
      <c r="E15" s="740">
        <v>1091.7204000000056</v>
      </c>
      <c r="F15" s="405">
        <v>432.89569999999952</v>
      </c>
      <c r="G15" s="405">
        <v>231.4622</v>
      </c>
      <c r="H15" s="405">
        <v>201.43350000000004</v>
      </c>
      <c r="I15" s="405">
        <v>557.69200000000069</v>
      </c>
      <c r="J15" s="405">
        <v>312.7611999999998</v>
      </c>
      <c r="K15" s="405">
        <v>244.93079999999978</v>
      </c>
    </row>
    <row r="16" spans="1:11" s="28" customFormat="1" ht="12.75" customHeight="1">
      <c r="A16" s="407" t="s">
        <v>152</v>
      </c>
      <c r="B16" s="741">
        <v>10109.91939999894</v>
      </c>
      <c r="C16" s="741">
        <v>6378.7846999996218</v>
      </c>
      <c r="D16" s="741">
        <v>3548.1910000000316</v>
      </c>
      <c r="E16" s="741">
        <v>2830.5937000000181</v>
      </c>
      <c r="F16" s="408">
        <v>1427.5742000000005</v>
      </c>
      <c r="G16" s="408">
        <v>753.7105000000023</v>
      </c>
      <c r="H16" s="408">
        <v>673.86370000000124</v>
      </c>
      <c r="I16" s="408">
        <v>2303.5605000000096</v>
      </c>
      <c r="J16" s="408">
        <v>1152.7328000000057</v>
      </c>
      <c r="K16" s="408">
        <v>1150.827700000006</v>
      </c>
    </row>
    <row r="17" spans="1:11" ht="12.75" customHeight="1">
      <c r="A17" s="459" t="s">
        <v>153</v>
      </c>
      <c r="B17" s="740">
        <v>5539.3299999997826</v>
      </c>
      <c r="C17" s="740">
        <v>3869.6556000000428</v>
      </c>
      <c r="D17" s="740">
        <v>2107.4879000000014</v>
      </c>
      <c r="E17" s="740">
        <v>1762.1677000000047</v>
      </c>
      <c r="F17" s="405">
        <v>765.68260000000259</v>
      </c>
      <c r="G17" s="405">
        <v>417.97979999999978</v>
      </c>
      <c r="H17" s="405">
        <v>347.70279999999974</v>
      </c>
      <c r="I17" s="405">
        <v>903.99180000000445</v>
      </c>
      <c r="J17" s="405">
        <v>454.44250000000079</v>
      </c>
      <c r="K17" s="405">
        <v>449.54930000000058</v>
      </c>
    </row>
    <row r="18" spans="1:11" ht="12.75" customHeight="1">
      <c r="A18" s="459" t="s">
        <v>154</v>
      </c>
      <c r="B18" s="740">
        <v>672.24410000000171</v>
      </c>
      <c r="C18" s="740">
        <v>544.96180000000084</v>
      </c>
      <c r="D18" s="740">
        <v>326.2495000000003</v>
      </c>
      <c r="E18" s="740">
        <v>218.71229999999974</v>
      </c>
      <c r="F18" s="405">
        <v>67.28889999999997</v>
      </c>
      <c r="G18" s="405">
        <v>36.718699999999998</v>
      </c>
      <c r="H18" s="405">
        <v>30.570200000000003</v>
      </c>
      <c r="I18" s="405">
        <v>59.993399999999966</v>
      </c>
      <c r="J18" s="405">
        <v>37.693399999999997</v>
      </c>
      <c r="K18" s="405">
        <v>22.3</v>
      </c>
    </row>
    <row r="19" spans="1:11" ht="12.75" customHeight="1">
      <c r="A19" s="459" t="s">
        <v>155</v>
      </c>
      <c r="B19" s="740">
        <v>1858.4466000000045</v>
      </c>
      <c r="C19" s="740">
        <v>860.81940000000407</v>
      </c>
      <c r="D19" s="740">
        <v>496.11840000000063</v>
      </c>
      <c r="E19" s="740">
        <v>364.70100000000025</v>
      </c>
      <c r="F19" s="405">
        <v>366.62579999999969</v>
      </c>
      <c r="G19" s="405">
        <v>190.21949999999993</v>
      </c>
      <c r="H19" s="405">
        <v>176.40630000000007</v>
      </c>
      <c r="I19" s="405">
        <v>631.00140000000215</v>
      </c>
      <c r="J19" s="405">
        <v>300.89739999999983</v>
      </c>
      <c r="K19" s="405">
        <v>330.10400000000016</v>
      </c>
    </row>
    <row r="20" spans="1:11" ht="12.75" customHeight="1">
      <c r="A20" s="459" t="s">
        <v>156</v>
      </c>
      <c r="B20" s="740">
        <v>2039.8987000000043</v>
      </c>
      <c r="C20" s="740">
        <v>1103.3479000000061</v>
      </c>
      <c r="D20" s="740">
        <v>618.33520000000158</v>
      </c>
      <c r="E20" s="740">
        <v>485.01270000000079</v>
      </c>
      <c r="F20" s="405">
        <v>227.97690000000003</v>
      </c>
      <c r="G20" s="405">
        <v>108.79250000000005</v>
      </c>
      <c r="H20" s="405">
        <v>119.18440000000007</v>
      </c>
      <c r="I20" s="405">
        <v>708.57390000000248</v>
      </c>
      <c r="J20" s="405">
        <v>359.69950000000017</v>
      </c>
      <c r="K20" s="405">
        <v>348.87440000000021</v>
      </c>
    </row>
    <row r="21" spans="1:11" s="28" customFormat="1" ht="12.75" customHeight="1">
      <c r="A21" s="407" t="s">
        <v>157</v>
      </c>
      <c r="B21" s="741">
        <v>215364.93890016363</v>
      </c>
      <c r="C21" s="741">
        <v>171871.3915000741</v>
      </c>
      <c r="D21" s="741">
        <v>84422.987700023514</v>
      </c>
      <c r="E21" s="741">
        <v>87448.403800020606</v>
      </c>
      <c r="F21" s="408">
        <v>23902.992199996694</v>
      </c>
      <c r="G21" s="408">
        <v>11465.863099998805</v>
      </c>
      <c r="H21" s="408">
        <v>12437.129099998652</v>
      </c>
      <c r="I21" s="408">
        <v>19590.55519999711</v>
      </c>
      <c r="J21" s="408">
        <v>10125.967399998903</v>
      </c>
      <c r="K21" s="408">
        <v>9464.5877999990298</v>
      </c>
    </row>
    <row r="22" spans="1:11" ht="12.75" customHeight="1">
      <c r="A22" s="459" t="s">
        <v>157</v>
      </c>
      <c r="B22" s="740">
        <v>125338.339799985</v>
      </c>
      <c r="C22" s="740">
        <v>101053.25990000654</v>
      </c>
      <c r="D22" s="740">
        <v>49172.667900018838</v>
      </c>
      <c r="E22" s="740">
        <v>51880.592000022851</v>
      </c>
      <c r="F22" s="405">
        <v>13916.844899998385</v>
      </c>
      <c r="G22" s="405">
        <v>6536.7751999996426</v>
      </c>
      <c r="H22" s="405">
        <v>7380.0696999995062</v>
      </c>
      <c r="I22" s="405">
        <v>10368.234999998851</v>
      </c>
      <c r="J22" s="405">
        <v>5482.7971999997735</v>
      </c>
      <c r="K22" s="405">
        <v>4885.4377999998933</v>
      </c>
    </row>
    <row r="23" spans="1:11" ht="12.75" customHeight="1">
      <c r="A23" s="459" t="s">
        <v>158</v>
      </c>
      <c r="B23" s="740">
        <v>35980.056599999531</v>
      </c>
      <c r="C23" s="740">
        <v>26869.925399995853</v>
      </c>
      <c r="D23" s="740">
        <v>13529.1001999983</v>
      </c>
      <c r="E23" s="740">
        <v>13340.82519999834</v>
      </c>
      <c r="F23" s="405">
        <v>4581.0798999999906</v>
      </c>
      <c r="G23" s="405">
        <v>2223.1328999999969</v>
      </c>
      <c r="H23" s="405">
        <v>2357.9470000000028</v>
      </c>
      <c r="I23" s="405">
        <v>4529.0512999999555</v>
      </c>
      <c r="J23" s="405">
        <v>2233.4361000000117</v>
      </c>
      <c r="K23" s="405">
        <v>2295.615200000012</v>
      </c>
    </row>
    <row r="24" spans="1:11" ht="12.75" customHeight="1">
      <c r="A24" s="459" t="s">
        <v>159</v>
      </c>
      <c r="B24" s="740">
        <v>54046.542500026211</v>
      </c>
      <c r="C24" s="740">
        <v>43948.206200011278</v>
      </c>
      <c r="D24" s="740">
        <v>21721.219599996828</v>
      </c>
      <c r="E24" s="740">
        <v>22226.986599996748</v>
      </c>
      <c r="F24" s="405">
        <v>5405.0673999998498</v>
      </c>
      <c r="G24" s="405">
        <v>2705.9550000000168</v>
      </c>
      <c r="H24" s="405">
        <v>2699.1124000000145</v>
      </c>
      <c r="I24" s="405">
        <v>4693.26889999993</v>
      </c>
      <c r="J24" s="405">
        <v>2409.7341000000129</v>
      </c>
      <c r="K24" s="405">
        <v>2283.5348000000104</v>
      </c>
    </row>
    <row r="25" spans="1:11" s="28" customFormat="1" ht="12.75" customHeight="1">
      <c r="A25" s="407" t="s">
        <v>160</v>
      </c>
      <c r="B25" s="741">
        <v>227996.79160018094</v>
      </c>
      <c r="C25" s="741">
        <v>193360.72080011549</v>
      </c>
      <c r="D25" s="741">
        <v>93002.098300015117</v>
      </c>
      <c r="E25" s="741">
        <v>100358.62250000985</v>
      </c>
      <c r="F25" s="408">
        <v>20750.013199997211</v>
      </c>
      <c r="G25" s="408">
        <v>10094.905299999038</v>
      </c>
      <c r="H25" s="408">
        <v>10655.10789999894</v>
      </c>
      <c r="I25" s="408">
        <v>13886.05759999819</v>
      </c>
      <c r="J25" s="408">
        <v>7062.2574999994831</v>
      </c>
      <c r="K25" s="408">
        <v>6823.8000999995238</v>
      </c>
    </row>
    <row r="26" spans="1:11" ht="12.75" customHeight="1">
      <c r="A26" s="459" t="s">
        <v>160</v>
      </c>
      <c r="B26" s="740">
        <v>227996.79160018094</v>
      </c>
      <c r="C26" s="740">
        <v>193360.72080011549</v>
      </c>
      <c r="D26" s="740">
        <v>93002.098300015117</v>
      </c>
      <c r="E26" s="740">
        <v>100358.62250000985</v>
      </c>
      <c r="F26" s="405">
        <v>20750.013199997211</v>
      </c>
      <c r="G26" s="405">
        <v>10094.905299999038</v>
      </c>
      <c r="H26" s="405">
        <v>10655.10789999894</v>
      </c>
      <c r="I26" s="405">
        <v>13886.05759999819</v>
      </c>
      <c r="J26" s="405">
        <v>7062.2574999994831</v>
      </c>
      <c r="K26" s="405">
        <v>6823.8000999995238</v>
      </c>
    </row>
    <row r="27" spans="1:11" s="28" customFormat="1" ht="12.75" customHeight="1">
      <c r="A27" s="407" t="s">
        <v>161</v>
      </c>
      <c r="B27" s="741">
        <v>7644.0315999994</v>
      </c>
      <c r="C27" s="741">
        <v>5363.5586999998113</v>
      </c>
      <c r="D27" s="741">
        <v>2760.5973000000172</v>
      </c>
      <c r="E27" s="741">
        <v>2602.9614000000129</v>
      </c>
      <c r="F27" s="408">
        <v>1053.4560000000054</v>
      </c>
      <c r="G27" s="408">
        <v>525.03949999999895</v>
      </c>
      <c r="H27" s="408">
        <v>528.41649999999959</v>
      </c>
      <c r="I27" s="408">
        <v>1227.0169000000064</v>
      </c>
      <c r="J27" s="408">
        <v>596.40440000000206</v>
      </c>
      <c r="K27" s="408">
        <v>630.612500000002</v>
      </c>
    </row>
    <row r="28" spans="1:11" ht="12.75" customHeight="1">
      <c r="A28" s="459" t="s">
        <v>161</v>
      </c>
      <c r="B28" s="740">
        <v>7644.0315999994</v>
      </c>
      <c r="C28" s="740">
        <v>5363.5586999998113</v>
      </c>
      <c r="D28" s="740">
        <v>2760.5973000000172</v>
      </c>
      <c r="E28" s="740">
        <v>2602.9614000000129</v>
      </c>
      <c r="F28" s="405">
        <v>1053.4560000000054</v>
      </c>
      <c r="G28" s="405">
        <v>525.03949999999895</v>
      </c>
      <c r="H28" s="405">
        <v>528.41649999999959</v>
      </c>
      <c r="I28" s="405">
        <v>1227.0169000000064</v>
      </c>
      <c r="J28" s="405">
        <v>596.40440000000206</v>
      </c>
      <c r="K28" s="405">
        <v>630.612500000002</v>
      </c>
    </row>
    <row r="29" spans="1:11" s="28" customFormat="1" ht="12.75" customHeight="1">
      <c r="A29" s="407" t="s">
        <v>162</v>
      </c>
      <c r="B29" s="741">
        <v>12039.957399998599</v>
      </c>
      <c r="C29" s="741">
        <v>9622.5683999990397</v>
      </c>
      <c r="D29" s="741">
        <v>4852.2585999999119</v>
      </c>
      <c r="E29" s="741">
        <v>4770.3097999999309</v>
      </c>
      <c r="F29" s="408">
        <v>1185.7398000000035</v>
      </c>
      <c r="G29" s="408">
        <v>533.46229999999957</v>
      </c>
      <c r="H29" s="408">
        <v>652.27750000000083</v>
      </c>
      <c r="I29" s="408">
        <v>1231.6492000000057</v>
      </c>
      <c r="J29" s="408">
        <v>654.60100000000239</v>
      </c>
      <c r="K29" s="408">
        <v>577.04820000000177</v>
      </c>
    </row>
    <row r="30" spans="1:11" ht="12.75" customHeight="1">
      <c r="A30" s="459" t="s">
        <v>162</v>
      </c>
      <c r="B30" s="740">
        <v>12039.957399998599</v>
      </c>
      <c r="C30" s="740">
        <v>9622.5683999990397</v>
      </c>
      <c r="D30" s="740">
        <v>4852.2585999999119</v>
      </c>
      <c r="E30" s="740">
        <v>4770.3097999999309</v>
      </c>
      <c r="F30" s="405">
        <v>1185.7398000000035</v>
      </c>
      <c r="G30" s="405">
        <v>533.46229999999957</v>
      </c>
      <c r="H30" s="405">
        <v>652.27750000000083</v>
      </c>
      <c r="I30" s="405">
        <v>1231.6492000000057</v>
      </c>
      <c r="J30" s="405">
        <v>654.60100000000239</v>
      </c>
      <c r="K30" s="405">
        <v>577.04820000000177</v>
      </c>
    </row>
    <row r="31" spans="1:11" s="28" customFormat="1" ht="12.75" customHeight="1">
      <c r="A31" s="407" t="s">
        <v>163</v>
      </c>
      <c r="B31" s="741">
        <v>33507.759399995914</v>
      </c>
      <c r="C31" s="741">
        <v>25273.85579999617</v>
      </c>
      <c r="D31" s="741">
        <v>12924.553599998429</v>
      </c>
      <c r="E31" s="741">
        <v>12349.302199998545</v>
      </c>
      <c r="F31" s="408">
        <v>3687.967300000048</v>
      </c>
      <c r="G31" s="408">
        <v>1823.687199999996</v>
      </c>
      <c r="H31" s="408">
        <v>1864.2800999999936</v>
      </c>
      <c r="I31" s="408">
        <v>4545.9362999999612</v>
      </c>
      <c r="J31" s="408">
        <v>2352.837100000012</v>
      </c>
      <c r="K31" s="408">
        <v>2193.0992000000078</v>
      </c>
    </row>
    <row r="32" spans="1:11" ht="12.75" customHeight="1">
      <c r="A32" s="459" t="s">
        <v>163</v>
      </c>
      <c r="B32" s="740">
        <v>33507.759399995914</v>
      </c>
      <c r="C32" s="740">
        <v>25273.85579999617</v>
      </c>
      <c r="D32" s="740">
        <v>12924.553599998429</v>
      </c>
      <c r="E32" s="740">
        <v>12349.302199998545</v>
      </c>
      <c r="F32" s="405">
        <v>3687.967300000048</v>
      </c>
      <c r="G32" s="405">
        <v>1823.687199999996</v>
      </c>
      <c r="H32" s="405">
        <v>1864.2800999999936</v>
      </c>
      <c r="I32" s="405">
        <v>4545.9362999999612</v>
      </c>
      <c r="J32" s="405">
        <v>2352.837100000012</v>
      </c>
      <c r="K32" s="405">
        <v>2193.0992000000078</v>
      </c>
    </row>
  </sheetData>
  <mergeCells count="7">
    <mergeCell ref="B3:B4"/>
    <mergeCell ref="C3:E3"/>
    <mergeCell ref="F3:H3"/>
    <mergeCell ref="I3:K3"/>
    <mergeCell ref="A1:K1"/>
    <mergeCell ref="B2:K2"/>
    <mergeCell ref="A2:A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EB69-6302-4109-9165-5EDE08E16BFF}">
  <sheetPr>
    <tabColor theme="0"/>
  </sheetPr>
  <dimension ref="A1:P32"/>
  <sheetViews>
    <sheetView workbookViewId="0">
      <selection activeCell="A18" sqref="A18"/>
    </sheetView>
  </sheetViews>
  <sheetFormatPr defaultRowHeight="13.5" customHeight="1"/>
  <cols>
    <col min="1" max="1" width="21.28515625" style="30" customWidth="1"/>
    <col min="2" max="2" width="9.140625" style="687"/>
    <col min="3" max="5" width="9.140625" style="30"/>
    <col min="6" max="6" width="2.7109375" style="30" customWidth="1"/>
    <col min="7" max="9" width="9.140625" style="30"/>
    <col min="10" max="10" width="2.5703125" style="30" customWidth="1"/>
    <col min="11" max="13" width="9.140625" style="687"/>
    <col min="14" max="16384" width="9.140625" style="30"/>
  </cols>
  <sheetData>
    <row r="1" spans="1:16" ht="13.5" customHeight="1" thickBot="1">
      <c r="A1" s="1064" t="s">
        <v>525</v>
      </c>
      <c r="B1" s="1064"/>
      <c r="C1" s="1064"/>
      <c r="D1" s="1064"/>
      <c r="E1" s="1064"/>
      <c r="F1" s="1064"/>
      <c r="G1" s="1064"/>
      <c r="H1" s="1064"/>
      <c r="I1" s="1064"/>
      <c r="J1" s="1064"/>
      <c r="K1" s="1064"/>
      <c r="L1" s="1064"/>
      <c r="M1" s="1064"/>
      <c r="N1" s="454"/>
      <c r="O1" s="454"/>
      <c r="P1" s="454"/>
    </row>
    <row r="2" spans="1:16" ht="13.5" customHeight="1">
      <c r="A2" s="1067" t="s">
        <v>524</v>
      </c>
      <c r="B2" s="1066" t="s">
        <v>446</v>
      </c>
      <c r="C2" s="1065" t="s">
        <v>511</v>
      </c>
      <c r="D2" s="1065"/>
      <c r="E2" s="1065"/>
      <c r="F2" s="1065"/>
      <c r="G2" s="1065"/>
      <c r="H2" s="1065"/>
      <c r="I2" s="1065"/>
      <c r="J2" s="1065"/>
      <c r="K2" s="1065"/>
      <c r="L2" s="1065"/>
      <c r="M2" s="1065"/>
      <c r="N2" s="454"/>
      <c r="O2" s="454"/>
      <c r="P2" s="454"/>
    </row>
    <row r="3" spans="1:16" ht="19.5" customHeight="1">
      <c r="A3" s="1068"/>
      <c r="B3" s="1059"/>
      <c r="C3" s="1034" t="s">
        <v>435</v>
      </c>
      <c r="D3" s="1034"/>
      <c r="E3" s="1034"/>
      <c r="F3" s="506"/>
      <c r="G3" s="1034" t="s">
        <v>436</v>
      </c>
      <c r="H3" s="1034"/>
      <c r="I3" s="1034"/>
      <c r="J3" s="506"/>
      <c r="K3" s="1034" t="s">
        <v>437</v>
      </c>
      <c r="L3" s="1034"/>
      <c r="M3" s="1034"/>
      <c r="N3" s="460"/>
    </row>
    <row r="4" spans="1:16" ht="12.75" customHeight="1">
      <c r="A4" s="1068"/>
      <c r="B4" s="1059"/>
      <c r="C4" s="463" t="s">
        <v>0</v>
      </c>
      <c r="D4" s="463" t="s">
        <v>1</v>
      </c>
      <c r="E4" s="463" t="s">
        <v>2</v>
      </c>
      <c r="F4" s="463"/>
      <c r="G4" s="463" t="s">
        <v>0</v>
      </c>
      <c r="H4" s="463" t="s">
        <v>1</v>
      </c>
      <c r="I4" s="463" t="s">
        <v>2</v>
      </c>
      <c r="J4" s="463"/>
      <c r="K4" s="463" t="s">
        <v>0</v>
      </c>
      <c r="L4" s="463" t="s">
        <v>1</v>
      </c>
      <c r="M4" s="463" t="s">
        <v>2</v>
      </c>
      <c r="N4" s="460"/>
    </row>
    <row r="5" spans="1:16" s="288" customFormat="1" ht="12.75" customHeight="1">
      <c r="A5" s="409" t="s">
        <v>146</v>
      </c>
      <c r="B5" s="742">
        <v>262602.57000053371</v>
      </c>
      <c r="C5" s="410">
        <v>212721.93000030535</v>
      </c>
      <c r="D5" s="410">
        <v>105987.43999996755</v>
      </c>
      <c r="E5" s="410">
        <v>106734.48999996619</v>
      </c>
      <c r="F5" s="410"/>
      <c r="G5" s="410">
        <v>16696.009999997565</v>
      </c>
      <c r="H5" s="410">
        <v>8222.0099999992235</v>
      </c>
      <c r="I5" s="410">
        <v>8473.9999999991742</v>
      </c>
      <c r="J5" s="410"/>
      <c r="K5" s="742">
        <v>33184.629999995013</v>
      </c>
      <c r="L5" s="742">
        <v>17032.739999997499</v>
      </c>
      <c r="M5" s="742">
        <v>16151.889999997671</v>
      </c>
      <c r="N5" s="461"/>
    </row>
    <row r="6" spans="1:16" ht="12.75" customHeight="1">
      <c r="A6" s="465"/>
      <c r="B6" s="743"/>
      <c r="C6" s="466"/>
      <c r="D6" s="466"/>
      <c r="E6" s="466"/>
      <c r="F6" s="466"/>
      <c r="G6" s="466"/>
      <c r="H6" s="466"/>
      <c r="I6" s="466"/>
      <c r="J6" s="466"/>
      <c r="K6" s="743"/>
      <c r="L6" s="743"/>
      <c r="M6" s="743"/>
      <c r="N6" s="460"/>
    </row>
    <row r="7" spans="1:16" s="288" customFormat="1" ht="12.75" customHeight="1">
      <c r="A7" s="409" t="s">
        <v>3</v>
      </c>
      <c r="B7" s="742"/>
      <c r="C7" s="410"/>
      <c r="D7" s="410"/>
      <c r="E7" s="410"/>
      <c r="F7" s="410"/>
      <c r="G7" s="410"/>
      <c r="H7" s="410"/>
      <c r="I7" s="410"/>
      <c r="J7" s="410"/>
      <c r="K7" s="742"/>
      <c r="L7" s="742"/>
      <c r="M7" s="742"/>
      <c r="N7" s="461"/>
    </row>
    <row r="8" spans="1:16" ht="12.75" customHeight="1">
      <c r="A8" s="465" t="s">
        <v>4</v>
      </c>
      <c r="B8" s="743">
        <v>238746.03000042762</v>
      </c>
      <c r="C8" s="466">
        <v>197094.09000023192</v>
      </c>
      <c r="D8" s="466">
        <v>97952.749999982232</v>
      </c>
      <c r="E8" s="466">
        <v>99141.33999998006</v>
      </c>
      <c r="F8" s="466"/>
      <c r="G8" s="466">
        <v>14978.909999997901</v>
      </c>
      <c r="H8" s="466">
        <v>7332.2399999993968</v>
      </c>
      <c r="I8" s="466">
        <v>7646.6699999993352</v>
      </c>
      <c r="J8" s="466"/>
      <c r="K8" s="743">
        <v>26673.029999995611</v>
      </c>
      <c r="L8" s="743">
        <v>13736.799999998144</v>
      </c>
      <c r="M8" s="743">
        <v>12936.229999998301</v>
      </c>
      <c r="N8" s="460"/>
    </row>
    <row r="9" spans="1:16" ht="12.75" customHeight="1">
      <c r="A9" s="465" t="s">
        <v>5</v>
      </c>
      <c r="B9" s="743">
        <v>23856.539999996163</v>
      </c>
      <c r="C9" s="466">
        <v>15627.839999997774</v>
      </c>
      <c r="D9" s="466">
        <v>8034.6899999992593</v>
      </c>
      <c r="E9" s="466">
        <v>7593.1499999993457</v>
      </c>
      <c r="F9" s="466"/>
      <c r="G9" s="466">
        <v>1717.1000000000113</v>
      </c>
      <c r="H9" s="466">
        <v>889.77000000000464</v>
      </c>
      <c r="I9" s="466">
        <v>827.33000000000413</v>
      </c>
      <c r="J9" s="466"/>
      <c r="K9" s="743">
        <v>6511.5999999995574</v>
      </c>
      <c r="L9" s="743">
        <v>3295.9400000000242</v>
      </c>
      <c r="M9" s="743">
        <v>3215.6600000000235</v>
      </c>
      <c r="N9" s="460"/>
    </row>
    <row r="10" spans="1:16" s="288" customFormat="1" ht="12.75" customHeight="1">
      <c r="A10" s="409" t="s">
        <v>513</v>
      </c>
      <c r="B10" s="742"/>
      <c r="C10" s="410"/>
      <c r="D10" s="410"/>
      <c r="E10" s="410"/>
      <c r="F10" s="410"/>
      <c r="G10" s="410"/>
      <c r="H10" s="410"/>
      <c r="I10" s="410"/>
      <c r="J10" s="410"/>
      <c r="K10" s="742"/>
      <c r="L10" s="742"/>
      <c r="M10" s="742"/>
      <c r="N10" s="461"/>
    </row>
    <row r="11" spans="1:16" s="28" customFormat="1" ht="12.75" customHeight="1">
      <c r="A11" s="467" t="s">
        <v>148</v>
      </c>
      <c r="B11" s="744">
        <v>10021.619999998871</v>
      </c>
      <c r="C11" s="464">
        <v>6542.8199999995513</v>
      </c>
      <c r="D11" s="464">
        <v>3349.4600000000246</v>
      </c>
      <c r="E11" s="464">
        <v>3193.3600000000233</v>
      </c>
      <c r="F11" s="464"/>
      <c r="G11" s="464">
        <v>731.44000000000335</v>
      </c>
      <c r="H11" s="464">
        <v>381.3300000000005</v>
      </c>
      <c r="I11" s="464">
        <v>350.11000000000024</v>
      </c>
      <c r="J11" s="464"/>
      <c r="K11" s="744">
        <v>2747.3600000000197</v>
      </c>
      <c r="L11" s="744">
        <v>1400.4400000000087</v>
      </c>
      <c r="M11" s="744">
        <v>1346.9200000000083</v>
      </c>
      <c r="N11" s="462"/>
    </row>
    <row r="12" spans="1:16" ht="12.75" customHeight="1">
      <c r="A12" s="468" t="s">
        <v>148</v>
      </c>
      <c r="B12" s="743">
        <v>3784.3100000000281</v>
      </c>
      <c r="C12" s="466">
        <v>2865.5500000000206</v>
      </c>
      <c r="D12" s="466">
        <v>1438.350000000009</v>
      </c>
      <c r="E12" s="466">
        <v>1427.2000000000089</v>
      </c>
      <c r="F12" s="466"/>
      <c r="G12" s="466">
        <v>256.44999999999948</v>
      </c>
      <c r="H12" s="466">
        <v>131.57000000000005</v>
      </c>
      <c r="I12" s="466">
        <v>124.88000000000007</v>
      </c>
      <c r="J12" s="466"/>
      <c r="K12" s="743">
        <v>662.31000000000279</v>
      </c>
      <c r="L12" s="743">
        <v>365.72000000000037</v>
      </c>
      <c r="M12" s="743">
        <v>296.5899999999998</v>
      </c>
      <c r="N12" s="460"/>
    </row>
    <row r="13" spans="1:16" ht="12.75" customHeight="1">
      <c r="A13" s="468" t="s">
        <v>149</v>
      </c>
      <c r="B13" s="743">
        <v>3494.4100000000258</v>
      </c>
      <c r="C13" s="466">
        <v>2000.3100000000136</v>
      </c>
      <c r="D13" s="466">
        <v>1070.400000000006</v>
      </c>
      <c r="E13" s="466">
        <v>929.91000000000497</v>
      </c>
      <c r="F13" s="466"/>
      <c r="G13" s="466">
        <v>225.22999999999962</v>
      </c>
      <c r="H13" s="466">
        <v>122.65000000000006</v>
      </c>
      <c r="I13" s="466">
        <v>102.58000000000003</v>
      </c>
      <c r="J13" s="466"/>
      <c r="K13" s="743">
        <v>1268.8700000000076</v>
      </c>
      <c r="L13" s="743">
        <v>606.56000000000233</v>
      </c>
      <c r="M13" s="743">
        <v>662.31000000000279</v>
      </c>
      <c r="N13" s="460"/>
    </row>
    <row r="14" spans="1:16" ht="12.75" customHeight="1">
      <c r="A14" s="468" t="s">
        <v>150</v>
      </c>
      <c r="B14" s="743">
        <v>1137.3000000000065</v>
      </c>
      <c r="C14" s="466">
        <v>524.05000000000166</v>
      </c>
      <c r="D14" s="466">
        <v>292.12999999999977</v>
      </c>
      <c r="E14" s="466">
        <v>231.91999999999959</v>
      </c>
      <c r="F14" s="466"/>
      <c r="G14" s="466">
        <v>144.94999999999999</v>
      </c>
      <c r="H14" s="466">
        <v>75.819999999999979</v>
      </c>
      <c r="I14" s="466">
        <v>69.129999999999967</v>
      </c>
      <c r="J14" s="466"/>
      <c r="K14" s="743">
        <v>468.30000000000121</v>
      </c>
      <c r="L14" s="743">
        <v>236.37999999999957</v>
      </c>
      <c r="M14" s="743">
        <v>231.91999999999959</v>
      </c>
      <c r="N14" s="460"/>
    </row>
    <row r="15" spans="1:16" ht="12.75" customHeight="1">
      <c r="A15" s="468" t="s">
        <v>151</v>
      </c>
      <c r="B15" s="743">
        <v>1605.6000000000104</v>
      </c>
      <c r="C15" s="466">
        <v>1152.9100000000067</v>
      </c>
      <c r="D15" s="466">
        <v>548.58000000000186</v>
      </c>
      <c r="E15" s="466">
        <v>604.33000000000231</v>
      </c>
      <c r="F15" s="466"/>
      <c r="G15" s="466">
        <v>104.81000000000003</v>
      </c>
      <c r="H15" s="466">
        <v>51.289999999999978</v>
      </c>
      <c r="I15" s="466">
        <v>53.519999999999975</v>
      </c>
      <c r="J15" s="466"/>
      <c r="K15" s="743">
        <v>347.88000000000022</v>
      </c>
      <c r="L15" s="743">
        <v>191.77999999999977</v>
      </c>
      <c r="M15" s="743">
        <v>156.09999999999994</v>
      </c>
      <c r="N15" s="460"/>
    </row>
    <row r="16" spans="1:16" s="28" customFormat="1" ht="12.75" customHeight="1">
      <c r="A16" s="467" t="s">
        <v>152</v>
      </c>
      <c r="B16" s="744">
        <v>5434.5099999997683</v>
      </c>
      <c r="C16" s="464">
        <v>3349.4600000000246</v>
      </c>
      <c r="D16" s="464">
        <v>1741.6300000000115</v>
      </c>
      <c r="E16" s="464">
        <v>1607.8300000000104</v>
      </c>
      <c r="F16" s="464"/>
      <c r="G16" s="464">
        <v>461.61000000000115</v>
      </c>
      <c r="H16" s="464">
        <v>258.6799999999995</v>
      </c>
      <c r="I16" s="464">
        <v>202.92999999999972</v>
      </c>
      <c r="J16" s="464"/>
      <c r="K16" s="744">
        <v>1623.4400000000105</v>
      </c>
      <c r="L16" s="744">
        <v>820.64000000000408</v>
      </c>
      <c r="M16" s="744">
        <v>802.80000000000393</v>
      </c>
      <c r="N16" s="462"/>
    </row>
    <row r="17" spans="1:14" ht="12.75" customHeight="1">
      <c r="A17" s="468" t="s">
        <v>153</v>
      </c>
      <c r="B17" s="743">
        <v>2849.9400000000205</v>
      </c>
      <c r="C17" s="466">
        <v>1913.3400000000129</v>
      </c>
      <c r="D17" s="466">
        <v>956.67000000000519</v>
      </c>
      <c r="E17" s="466">
        <v>956.67000000000519</v>
      </c>
      <c r="F17" s="466"/>
      <c r="G17" s="466">
        <v>243.06999999999954</v>
      </c>
      <c r="H17" s="466">
        <v>140.49</v>
      </c>
      <c r="I17" s="466">
        <v>102.58000000000003</v>
      </c>
      <c r="J17" s="466"/>
      <c r="K17" s="743">
        <v>693.53000000000304</v>
      </c>
      <c r="L17" s="743">
        <v>356.8000000000003</v>
      </c>
      <c r="M17" s="743">
        <v>336.73000000000013</v>
      </c>
      <c r="N17" s="460"/>
    </row>
    <row r="18" spans="1:14" ht="12.75" customHeight="1">
      <c r="A18" s="468" t="s">
        <v>154</v>
      </c>
      <c r="B18" s="743">
        <v>370.1800000000004</v>
      </c>
      <c r="C18" s="466">
        <v>307.7399999999999</v>
      </c>
      <c r="D18" s="466">
        <v>176.16999999999985</v>
      </c>
      <c r="E18" s="466">
        <v>131.57000000000005</v>
      </c>
      <c r="F18" s="466"/>
      <c r="G18" s="466">
        <v>20.07</v>
      </c>
      <c r="H18" s="466">
        <v>8.92</v>
      </c>
      <c r="I18" s="466">
        <v>11.15</v>
      </c>
      <c r="J18" s="466"/>
      <c r="K18" s="743">
        <v>42.36999999999999</v>
      </c>
      <c r="L18" s="743">
        <v>26.76</v>
      </c>
      <c r="M18" s="743">
        <v>15.610000000000001</v>
      </c>
      <c r="N18" s="460"/>
    </row>
    <row r="19" spans="1:14" ht="12.75" customHeight="1">
      <c r="A19" s="468" t="s">
        <v>155</v>
      </c>
      <c r="B19" s="743">
        <v>1045.8700000000058</v>
      </c>
      <c r="C19" s="466">
        <v>454.9200000000011</v>
      </c>
      <c r="D19" s="466">
        <v>249.75999999999951</v>
      </c>
      <c r="E19" s="466">
        <v>205.15999999999971</v>
      </c>
      <c r="F19" s="466"/>
      <c r="G19" s="466">
        <v>129.34000000000006</v>
      </c>
      <c r="H19" s="466">
        <v>71.359999999999971</v>
      </c>
      <c r="I19" s="466">
        <v>57.979999999999968</v>
      </c>
      <c r="J19" s="466"/>
      <c r="K19" s="743">
        <v>461.61000000000115</v>
      </c>
      <c r="L19" s="743">
        <v>222.99999999999963</v>
      </c>
      <c r="M19" s="743">
        <v>238.60999999999956</v>
      </c>
      <c r="N19" s="460"/>
    </row>
    <row r="20" spans="1:14" ht="12.75" customHeight="1">
      <c r="A20" s="468" t="s">
        <v>156</v>
      </c>
      <c r="B20" s="743">
        <v>1168.5200000000068</v>
      </c>
      <c r="C20" s="466">
        <v>673.46000000000288</v>
      </c>
      <c r="D20" s="466">
        <v>359.03000000000031</v>
      </c>
      <c r="E20" s="466">
        <v>314.42999999999995</v>
      </c>
      <c r="F20" s="466"/>
      <c r="G20" s="466">
        <v>69.129999999999967</v>
      </c>
      <c r="H20" s="466">
        <v>37.909999999999997</v>
      </c>
      <c r="I20" s="466">
        <v>31.220000000000002</v>
      </c>
      <c r="J20" s="466"/>
      <c r="K20" s="743">
        <v>425.93000000000086</v>
      </c>
      <c r="L20" s="743">
        <v>214.07999999999967</v>
      </c>
      <c r="M20" s="743">
        <v>211.84999999999968</v>
      </c>
      <c r="N20" s="460"/>
    </row>
    <row r="21" spans="1:14" s="28" customFormat="1" ht="12.75" customHeight="1">
      <c r="A21" s="467" t="s">
        <v>157</v>
      </c>
      <c r="B21" s="744">
        <v>106975.32999996575</v>
      </c>
      <c r="C21" s="464">
        <v>85846.080000004353</v>
      </c>
      <c r="D21" s="464">
        <v>42869.520000008917</v>
      </c>
      <c r="E21" s="464">
        <v>42976.560000009071</v>
      </c>
      <c r="F21" s="464"/>
      <c r="G21" s="464">
        <v>7182.829999999426</v>
      </c>
      <c r="H21" s="464">
        <v>3525.630000000026</v>
      </c>
      <c r="I21" s="464">
        <v>3657.2000000000271</v>
      </c>
      <c r="J21" s="464"/>
      <c r="K21" s="744">
        <v>13946.419999998103</v>
      </c>
      <c r="L21" s="744">
        <v>7231.8899999994164</v>
      </c>
      <c r="M21" s="744">
        <v>6714.5299999995177</v>
      </c>
      <c r="N21" s="462"/>
    </row>
    <row r="22" spans="1:14" ht="12.75" customHeight="1">
      <c r="A22" s="468" t="s">
        <v>157</v>
      </c>
      <c r="B22" s="743">
        <v>63327.540000038287</v>
      </c>
      <c r="C22" s="466">
        <v>51541.990000021367</v>
      </c>
      <c r="D22" s="466">
        <v>25629.389999995816</v>
      </c>
      <c r="E22" s="466">
        <v>25912.59999999576</v>
      </c>
      <c r="F22" s="466"/>
      <c r="G22" s="466">
        <v>4352.95999999998</v>
      </c>
      <c r="H22" s="466">
        <v>2111.8100000000145</v>
      </c>
      <c r="I22" s="466">
        <v>2241.1500000000156</v>
      </c>
      <c r="J22" s="466"/>
      <c r="K22" s="743">
        <v>7432.5899999993771</v>
      </c>
      <c r="L22" s="743">
        <v>3976.0900000000297</v>
      </c>
      <c r="M22" s="743">
        <v>3456.5000000000255</v>
      </c>
      <c r="N22" s="460"/>
    </row>
    <row r="23" spans="1:14" ht="12.75" customHeight="1">
      <c r="A23" s="468" t="s">
        <v>158</v>
      </c>
      <c r="B23" s="743">
        <v>18089.759999997292</v>
      </c>
      <c r="C23" s="466">
        <v>13502.64999999819</v>
      </c>
      <c r="D23" s="466">
        <v>6830.489999999495</v>
      </c>
      <c r="E23" s="466">
        <v>6672.159999999526</v>
      </c>
      <c r="F23" s="466"/>
      <c r="G23" s="466">
        <v>1293.4000000000078</v>
      </c>
      <c r="H23" s="466">
        <v>642.24000000000262</v>
      </c>
      <c r="I23" s="466">
        <v>651.1600000000027</v>
      </c>
      <c r="J23" s="466"/>
      <c r="K23" s="743">
        <v>3293.7100000000241</v>
      </c>
      <c r="L23" s="743">
        <v>1623.4400000000105</v>
      </c>
      <c r="M23" s="743">
        <v>1670.2700000000109</v>
      </c>
      <c r="N23" s="460"/>
    </row>
    <row r="24" spans="1:14" ht="12.75" customHeight="1">
      <c r="A24" s="468" t="s">
        <v>159</v>
      </c>
      <c r="B24" s="743">
        <v>25558.02999999583</v>
      </c>
      <c r="C24" s="466">
        <v>20801.439999996761</v>
      </c>
      <c r="D24" s="466">
        <v>10409.639999998795</v>
      </c>
      <c r="E24" s="466">
        <v>10391.799999998799</v>
      </c>
      <c r="F24" s="466"/>
      <c r="G24" s="466">
        <v>1536.4700000000098</v>
      </c>
      <c r="H24" s="466">
        <v>771.58000000000368</v>
      </c>
      <c r="I24" s="466">
        <v>764.89000000000362</v>
      </c>
      <c r="J24" s="466"/>
      <c r="K24" s="743">
        <v>3220.1200000000235</v>
      </c>
      <c r="L24" s="743">
        <v>1632.3600000000106</v>
      </c>
      <c r="M24" s="743">
        <v>1587.7600000000102</v>
      </c>
      <c r="N24" s="460"/>
    </row>
    <row r="25" spans="1:14" s="28" customFormat="1" ht="12.75" customHeight="1">
      <c r="A25" s="467" t="s">
        <v>160</v>
      </c>
      <c r="B25" s="744">
        <v>113076.6099999546</v>
      </c>
      <c r="C25" s="464">
        <v>96498.789999984889</v>
      </c>
      <c r="D25" s="464">
        <v>47530.220000015608</v>
      </c>
      <c r="E25" s="464">
        <v>48968.570000017673</v>
      </c>
      <c r="F25" s="464"/>
      <c r="G25" s="464">
        <v>6589.6499999995422</v>
      </c>
      <c r="H25" s="464">
        <v>3222.3500000000236</v>
      </c>
      <c r="I25" s="464">
        <v>3367.3000000000247</v>
      </c>
      <c r="J25" s="464"/>
      <c r="K25" s="744">
        <v>9988.1699999988778</v>
      </c>
      <c r="L25" s="744">
        <v>5033.1099999998469</v>
      </c>
      <c r="M25" s="744">
        <v>4955.0599999998622</v>
      </c>
      <c r="N25" s="462"/>
    </row>
    <row r="26" spans="1:14" ht="12.75" customHeight="1">
      <c r="A26" s="468" t="s">
        <v>160</v>
      </c>
      <c r="B26" s="743">
        <v>113076.6099999546</v>
      </c>
      <c r="C26" s="466">
        <v>96498.789999984889</v>
      </c>
      <c r="D26" s="466">
        <v>47530.220000015608</v>
      </c>
      <c r="E26" s="466">
        <v>48968.570000017673</v>
      </c>
      <c r="F26" s="466"/>
      <c r="G26" s="466">
        <v>6589.6499999995422</v>
      </c>
      <c r="H26" s="466">
        <v>3222.3500000000236</v>
      </c>
      <c r="I26" s="466">
        <v>3367.3000000000247</v>
      </c>
      <c r="J26" s="466"/>
      <c r="K26" s="743">
        <v>9988.1699999988778</v>
      </c>
      <c r="L26" s="743">
        <v>5033.1099999998469</v>
      </c>
      <c r="M26" s="743">
        <v>4955.0599999998622</v>
      </c>
      <c r="N26" s="460"/>
    </row>
    <row r="27" spans="1:14" s="28" customFormat="1" ht="12.75" customHeight="1">
      <c r="A27" s="467" t="s">
        <v>161</v>
      </c>
      <c r="B27" s="744">
        <v>4150.0300000000198</v>
      </c>
      <c r="C27" s="464">
        <v>2954.7500000000214</v>
      </c>
      <c r="D27" s="464">
        <v>1494.1000000000095</v>
      </c>
      <c r="E27" s="464">
        <v>1460.6500000000092</v>
      </c>
      <c r="F27" s="464"/>
      <c r="G27" s="464">
        <v>260.90999999999951</v>
      </c>
      <c r="H27" s="464">
        <v>124.88000000000007</v>
      </c>
      <c r="I27" s="464">
        <v>136.03000000000003</v>
      </c>
      <c r="J27" s="464"/>
      <c r="K27" s="744">
        <v>934.37000000000501</v>
      </c>
      <c r="L27" s="744">
        <v>452.69000000000108</v>
      </c>
      <c r="M27" s="744">
        <v>481.68000000000131</v>
      </c>
      <c r="N27" s="462"/>
    </row>
    <row r="28" spans="1:14" ht="12.75" customHeight="1">
      <c r="A28" s="468" t="s">
        <v>161</v>
      </c>
      <c r="B28" s="743">
        <v>4150.0300000000198</v>
      </c>
      <c r="C28" s="466">
        <v>2954.7500000000214</v>
      </c>
      <c r="D28" s="466">
        <v>1494.1000000000095</v>
      </c>
      <c r="E28" s="466">
        <v>1460.6500000000092</v>
      </c>
      <c r="F28" s="466"/>
      <c r="G28" s="466">
        <v>260.90999999999951</v>
      </c>
      <c r="H28" s="466">
        <v>124.88000000000007</v>
      </c>
      <c r="I28" s="466">
        <v>136.03000000000003</v>
      </c>
      <c r="J28" s="466"/>
      <c r="K28" s="743">
        <v>934.37000000000501</v>
      </c>
      <c r="L28" s="743">
        <v>452.69000000000108</v>
      </c>
      <c r="M28" s="743">
        <v>481.68000000000131</v>
      </c>
      <c r="N28" s="460"/>
    </row>
    <row r="29" spans="1:14" s="28" customFormat="1" ht="12.75" customHeight="1">
      <c r="A29" s="467" t="s">
        <v>162</v>
      </c>
      <c r="B29" s="744">
        <v>6163.7199999996255</v>
      </c>
      <c r="C29" s="464">
        <v>4912.6899999998705</v>
      </c>
      <c r="D29" s="464">
        <v>2555.5800000000181</v>
      </c>
      <c r="E29" s="464">
        <v>2357.1100000000165</v>
      </c>
      <c r="F29" s="464"/>
      <c r="G29" s="464">
        <v>338.96000000000015</v>
      </c>
      <c r="H29" s="464">
        <v>158.32999999999993</v>
      </c>
      <c r="I29" s="464">
        <v>180.62999999999982</v>
      </c>
      <c r="J29" s="464"/>
      <c r="K29" s="744">
        <v>912.07000000000482</v>
      </c>
      <c r="L29" s="744">
        <v>521.82000000000164</v>
      </c>
      <c r="M29" s="744">
        <v>390.25000000000057</v>
      </c>
      <c r="N29" s="462"/>
    </row>
    <row r="30" spans="1:14" ht="12.75" customHeight="1">
      <c r="A30" s="468" t="s">
        <v>162</v>
      </c>
      <c r="B30" s="743">
        <v>6163.7199999996255</v>
      </c>
      <c r="C30" s="466">
        <v>4912.6899999998705</v>
      </c>
      <c r="D30" s="466">
        <v>2555.5800000000181</v>
      </c>
      <c r="E30" s="466">
        <v>2357.1100000000165</v>
      </c>
      <c r="F30" s="466"/>
      <c r="G30" s="466">
        <v>338.96000000000015</v>
      </c>
      <c r="H30" s="466">
        <v>158.32999999999993</v>
      </c>
      <c r="I30" s="466">
        <v>180.62999999999982</v>
      </c>
      <c r="J30" s="466"/>
      <c r="K30" s="743">
        <v>912.07000000000482</v>
      </c>
      <c r="L30" s="743">
        <v>521.82000000000164</v>
      </c>
      <c r="M30" s="743">
        <v>390.25000000000057</v>
      </c>
      <c r="N30" s="460"/>
    </row>
    <row r="31" spans="1:14" s="28" customFormat="1" ht="12.75" customHeight="1">
      <c r="A31" s="467" t="s">
        <v>163</v>
      </c>
      <c r="B31" s="744">
        <v>16780.749999997548</v>
      </c>
      <c r="C31" s="464">
        <v>12617.339999998363</v>
      </c>
      <c r="D31" s="464">
        <v>6446.9299999995701</v>
      </c>
      <c r="E31" s="464">
        <v>6170.4099999996242</v>
      </c>
      <c r="F31" s="464"/>
      <c r="G31" s="464">
        <v>1130.6100000000065</v>
      </c>
      <c r="H31" s="464">
        <v>550.81000000000188</v>
      </c>
      <c r="I31" s="464">
        <v>579.80000000000211</v>
      </c>
      <c r="J31" s="464"/>
      <c r="K31" s="744">
        <v>3032.800000000022</v>
      </c>
      <c r="L31" s="744">
        <v>1572.1500000000101</v>
      </c>
      <c r="M31" s="744">
        <v>1460.6500000000092</v>
      </c>
      <c r="N31" s="462"/>
    </row>
    <row r="32" spans="1:14" ht="12.75" customHeight="1">
      <c r="A32" s="468" t="s">
        <v>163</v>
      </c>
      <c r="B32" s="743">
        <v>16780.749999997548</v>
      </c>
      <c r="C32" s="466">
        <v>12617.339999998363</v>
      </c>
      <c r="D32" s="466">
        <v>6446.9299999995701</v>
      </c>
      <c r="E32" s="466">
        <v>6170.4099999996242</v>
      </c>
      <c r="F32" s="466"/>
      <c r="G32" s="466">
        <v>1130.6100000000065</v>
      </c>
      <c r="H32" s="466">
        <v>550.81000000000188</v>
      </c>
      <c r="I32" s="466">
        <v>579.80000000000211</v>
      </c>
      <c r="J32" s="466"/>
      <c r="K32" s="743">
        <v>3032.800000000022</v>
      </c>
      <c r="L32" s="743">
        <v>1572.1500000000101</v>
      </c>
      <c r="M32" s="743">
        <v>1460.6500000000092</v>
      </c>
      <c r="N32" s="460"/>
    </row>
  </sheetData>
  <mergeCells count="7">
    <mergeCell ref="A1:M1"/>
    <mergeCell ref="C3:E3"/>
    <mergeCell ref="G3:I3"/>
    <mergeCell ref="K3:M3"/>
    <mergeCell ref="C2:M2"/>
    <mergeCell ref="B2:B4"/>
    <mergeCell ref="A2:A4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9B66-20D2-4817-8549-552D42BCA76C}">
  <sheetPr>
    <tabColor theme="0"/>
  </sheetPr>
  <dimension ref="A1:W32"/>
  <sheetViews>
    <sheetView workbookViewId="0">
      <selection activeCell="A10" sqref="A10"/>
    </sheetView>
  </sheetViews>
  <sheetFormatPr defaultRowHeight="15" customHeight="1"/>
  <cols>
    <col min="1" max="1" width="19.28515625" style="30" customWidth="1"/>
    <col min="2" max="2" width="15.85546875" style="30" customWidth="1"/>
    <col min="3" max="5" width="9.140625" style="30"/>
    <col min="6" max="6" width="2.7109375" style="30" customWidth="1"/>
    <col min="7" max="9" width="9.140625" style="30"/>
    <col min="10" max="10" width="2.5703125" style="30" customWidth="1"/>
    <col min="11" max="11" width="9.140625" style="30"/>
    <col min="12" max="13" width="9.140625" style="30" customWidth="1"/>
    <col min="14" max="14" width="2" style="30" customWidth="1"/>
    <col min="15" max="17" width="9.140625" style="30"/>
    <col min="18" max="18" width="2.7109375" style="30" customWidth="1"/>
    <col min="19" max="16384" width="9.140625" style="30"/>
  </cols>
  <sheetData>
    <row r="1" spans="1:23" ht="15" customHeight="1" thickBot="1">
      <c r="A1" s="1069" t="s">
        <v>528</v>
      </c>
      <c r="B1" s="1069"/>
      <c r="C1" s="1069"/>
      <c r="D1" s="1069"/>
      <c r="E1" s="1069"/>
      <c r="F1" s="1069"/>
      <c r="G1" s="1069"/>
      <c r="H1" s="1069"/>
      <c r="I1" s="1069"/>
      <c r="J1" s="1069"/>
      <c r="K1" s="1069"/>
      <c r="L1" s="1069"/>
      <c r="M1" s="1069"/>
      <c r="N1" s="1069"/>
      <c r="O1" s="1069"/>
      <c r="P1" s="1069"/>
      <c r="Q1" s="1069"/>
      <c r="R1" s="1069"/>
      <c r="S1" s="1069"/>
      <c r="T1" s="1069"/>
      <c r="U1" s="1069"/>
      <c r="V1" s="469"/>
      <c r="W1" s="469"/>
    </row>
    <row r="2" spans="1:23" ht="15" customHeight="1">
      <c r="A2" s="1075" t="s">
        <v>529</v>
      </c>
      <c r="B2" s="1072" t="s">
        <v>527</v>
      </c>
      <c r="C2" s="1071" t="s">
        <v>526</v>
      </c>
      <c r="D2" s="1071"/>
      <c r="E2" s="1071"/>
      <c r="F2" s="1071"/>
      <c r="G2" s="1071"/>
      <c r="H2" s="1071"/>
      <c r="I2" s="1071"/>
      <c r="J2" s="1071"/>
      <c r="K2" s="1071"/>
      <c r="L2" s="1071"/>
      <c r="M2" s="1071"/>
      <c r="N2" s="1071"/>
      <c r="O2" s="1071"/>
      <c r="P2" s="1071"/>
      <c r="Q2" s="1071"/>
      <c r="R2" s="1071"/>
      <c r="S2" s="1071"/>
      <c r="T2" s="1071"/>
      <c r="U2" s="1071"/>
      <c r="V2" s="469"/>
      <c r="W2" s="469"/>
    </row>
    <row r="3" spans="1:23" ht="20.25" customHeight="1">
      <c r="A3" s="1076"/>
      <c r="B3" s="1073"/>
      <c r="C3" s="1070" t="s">
        <v>447</v>
      </c>
      <c r="D3" s="1070"/>
      <c r="E3" s="1070"/>
      <c r="F3" s="606"/>
      <c r="G3" s="1070" t="s">
        <v>448</v>
      </c>
      <c r="H3" s="1070"/>
      <c r="I3" s="1070"/>
      <c r="J3" s="606"/>
      <c r="K3" s="1070" t="s">
        <v>449</v>
      </c>
      <c r="L3" s="1070"/>
      <c r="M3" s="1070"/>
      <c r="N3" s="606"/>
      <c r="O3" s="1070" t="s">
        <v>450</v>
      </c>
      <c r="P3" s="1070"/>
      <c r="Q3" s="1070"/>
      <c r="R3" s="606"/>
      <c r="S3" s="1070" t="s">
        <v>451</v>
      </c>
      <c r="T3" s="1070"/>
      <c r="U3" s="1070"/>
      <c r="V3" s="470"/>
    </row>
    <row r="4" spans="1:23" ht="15" customHeight="1">
      <c r="A4" s="1076"/>
      <c r="B4" s="1074"/>
      <c r="C4" s="411" t="s">
        <v>0</v>
      </c>
      <c r="D4" s="411" t="s">
        <v>1</v>
      </c>
      <c r="E4" s="411" t="s">
        <v>2</v>
      </c>
      <c r="F4" s="411"/>
      <c r="G4" s="411" t="s">
        <v>0</v>
      </c>
      <c r="H4" s="411" t="s">
        <v>1</v>
      </c>
      <c r="I4" s="411" t="s">
        <v>2</v>
      </c>
      <c r="J4" s="411"/>
      <c r="K4" s="411" t="s">
        <v>0</v>
      </c>
      <c r="L4" s="411" t="s">
        <v>1</v>
      </c>
      <c r="M4" s="411" t="s">
        <v>2</v>
      </c>
      <c r="N4" s="411"/>
      <c r="O4" s="411" t="s">
        <v>0</v>
      </c>
      <c r="P4" s="411" t="s">
        <v>1</v>
      </c>
      <c r="Q4" s="411" t="s">
        <v>2</v>
      </c>
      <c r="R4" s="411"/>
      <c r="S4" s="411" t="s">
        <v>0</v>
      </c>
      <c r="T4" s="411" t="s">
        <v>1</v>
      </c>
      <c r="U4" s="411" t="s">
        <v>2</v>
      </c>
      <c r="V4" s="470"/>
    </row>
    <row r="5" spans="1:23" s="28" customFormat="1" ht="18.75" customHeight="1">
      <c r="A5" s="406" t="s">
        <v>146</v>
      </c>
      <c r="B5" s="745">
        <v>669527.47259842011</v>
      </c>
      <c r="C5" s="745">
        <v>18177.440699997394</v>
      </c>
      <c r="D5" s="745">
        <v>9027.1685999990787</v>
      </c>
      <c r="E5" s="745">
        <v>9150.2720999990652</v>
      </c>
      <c r="F5" s="745"/>
      <c r="G5" s="745">
        <v>253430.52300046367</v>
      </c>
      <c r="H5" s="745">
        <v>125751.48709993911</v>
      </c>
      <c r="I5" s="745">
        <v>127679.03589993727</v>
      </c>
      <c r="J5" s="745"/>
      <c r="K5" s="745">
        <v>274182.88480022253</v>
      </c>
      <c r="L5" s="745">
        <v>134674.41790002197</v>
      </c>
      <c r="M5" s="745">
        <v>139508.46690002727</v>
      </c>
      <c r="N5" s="745"/>
      <c r="O5" s="745">
        <v>90187.938500048054</v>
      </c>
      <c r="P5" s="745">
        <v>42518.417800008159</v>
      </c>
      <c r="Q5" s="745">
        <v>47669.520700015019</v>
      </c>
      <c r="R5" s="745"/>
      <c r="S5" s="745">
        <v>33548.685600000754</v>
      </c>
      <c r="T5" s="745">
        <v>15642.221400000579</v>
      </c>
      <c r="U5" s="745">
        <v>17906.464200000777</v>
      </c>
      <c r="V5" s="471"/>
    </row>
    <row r="6" spans="1:23" ht="15" customHeight="1">
      <c r="A6" s="413"/>
      <c r="B6" s="414"/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70"/>
    </row>
    <row r="7" spans="1:23" ht="18.75" customHeight="1">
      <c r="A7" s="416" t="s">
        <v>3</v>
      </c>
      <c r="B7" s="415"/>
      <c r="C7" s="415"/>
      <c r="D7" s="415"/>
      <c r="E7" s="415"/>
      <c r="F7" s="415"/>
      <c r="G7" s="415"/>
      <c r="H7" s="415"/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70"/>
    </row>
    <row r="8" spans="1:23" ht="15" customHeight="1">
      <c r="A8" s="413" t="s">
        <v>4</v>
      </c>
      <c r="B8" s="414">
        <v>621238.23849879357</v>
      </c>
      <c r="C8" s="414">
        <v>16773.959699997671</v>
      </c>
      <c r="D8" s="414">
        <v>8349.0829999992056</v>
      </c>
      <c r="E8" s="414">
        <v>8424.8766999991949</v>
      </c>
      <c r="F8" s="414"/>
      <c r="G8" s="414">
        <v>231062.00420037095</v>
      </c>
      <c r="H8" s="414">
        <v>114031.39849995846</v>
      </c>
      <c r="I8" s="414">
        <v>117030.60569995451</v>
      </c>
      <c r="J8" s="414"/>
      <c r="K8" s="414">
        <v>252814.1479002292</v>
      </c>
      <c r="L8" s="414">
        <v>123621.26400001113</v>
      </c>
      <c r="M8" s="414">
        <v>129192.88390001154</v>
      </c>
      <c r="N8" s="414"/>
      <c r="O8" s="414">
        <v>87381.771900047344</v>
      </c>
      <c r="P8" s="414">
        <v>41009.023200006355</v>
      </c>
      <c r="Q8" s="414">
        <v>46372.748700013261</v>
      </c>
      <c r="R8" s="414"/>
      <c r="S8" s="414">
        <v>33206.354800000132</v>
      </c>
      <c r="T8" s="414">
        <v>15470.355700000564</v>
      </c>
      <c r="U8" s="414">
        <v>17735.999100000761</v>
      </c>
      <c r="V8" s="470"/>
    </row>
    <row r="9" spans="1:23" ht="15" customHeight="1">
      <c r="A9" s="413" t="s">
        <v>5</v>
      </c>
      <c r="B9" s="414">
        <v>48289.234100012924</v>
      </c>
      <c r="C9" s="414">
        <v>1403.481000000008</v>
      </c>
      <c r="D9" s="414">
        <v>678.08560000000273</v>
      </c>
      <c r="E9" s="414">
        <v>725.39540000000318</v>
      </c>
      <c r="F9" s="414"/>
      <c r="G9" s="414">
        <v>22368.518799996793</v>
      </c>
      <c r="H9" s="414">
        <v>11720.08859999864</v>
      </c>
      <c r="I9" s="414">
        <v>10648.430199998813</v>
      </c>
      <c r="J9" s="414"/>
      <c r="K9" s="414">
        <v>21368.736900000775</v>
      </c>
      <c r="L9" s="414">
        <v>11053.153899999676</v>
      </c>
      <c r="M9" s="414">
        <v>10315.582999999628</v>
      </c>
      <c r="N9" s="414"/>
      <c r="O9" s="414">
        <v>2806.1665999999836</v>
      </c>
      <c r="P9" s="414">
        <v>1509.3945999999935</v>
      </c>
      <c r="Q9" s="414">
        <v>1296.7719999999974</v>
      </c>
      <c r="R9" s="414"/>
      <c r="S9" s="414">
        <v>342.33080000000007</v>
      </c>
      <c r="T9" s="414">
        <v>171.86570000000015</v>
      </c>
      <c r="U9" s="414">
        <v>170.46510000000015</v>
      </c>
      <c r="V9" s="470"/>
    </row>
    <row r="10" spans="1:23" ht="18.75" customHeight="1">
      <c r="A10" s="416" t="s">
        <v>513</v>
      </c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70"/>
    </row>
    <row r="11" spans="1:23" s="28" customFormat="1" ht="15" customHeight="1">
      <c r="A11" s="417" t="s">
        <v>148</v>
      </c>
      <c r="B11" s="418">
        <v>21730.220599999066</v>
      </c>
      <c r="C11" s="418">
        <v>513.89600000000155</v>
      </c>
      <c r="D11" s="418">
        <v>255.61129999999949</v>
      </c>
      <c r="E11" s="418">
        <v>258.28469999999959</v>
      </c>
      <c r="F11" s="418"/>
      <c r="G11" s="418">
        <v>9335.4800999990748</v>
      </c>
      <c r="H11" s="418">
        <v>4813.246199999895</v>
      </c>
      <c r="I11" s="418">
        <v>4522.2338999999483</v>
      </c>
      <c r="J11" s="418"/>
      <c r="K11" s="418">
        <v>10429.317099999649</v>
      </c>
      <c r="L11" s="418">
        <v>5376.849799999799</v>
      </c>
      <c r="M11" s="418">
        <v>5052.4672999998384</v>
      </c>
      <c r="N11" s="418"/>
      <c r="O11" s="418">
        <v>1295.5099</v>
      </c>
      <c r="P11" s="418">
        <v>668.92099999999982</v>
      </c>
      <c r="Q11" s="418">
        <v>626.58889999999928</v>
      </c>
      <c r="R11" s="418"/>
      <c r="S11" s="418">
        <v>156.01750000000013</v>
      </c>
      <c r="T11" s="418">
        <v>96.421100000000052</v>
      </c>
      <c r="U11" s="418">
        <v>59.59640000000001</v>
      </c>
      <c r="V11" s="471"/>
    </row>
    <row r="12" spans="1:23" ht="15" customHeight="1">
      <c r="A12" s="472" t="s">
        <v>148</v>
      </c>
      <c r="B12" s="414">
        <v>9734.1714999993619</v>
      </c>
      <c r="C12" s="414">
        <v>222.60359999999963</v>
      </c>
      <c r="D12" s="414">
        <v>120.42000000000006</v>
      </c>
      <c r="E12" s="414">
        <v>102.18360000000003</v>
      </c>
      <c r="F12" s="414"/>
      <c r="G12" s="414">
        <v>3613.2266000000259</v>
      </c>
      <c r="H12" s="414">
        <v>1763.4961000000092</v>
      </c>
      <c r="I12" s="414">
        <v>1849.7305000000101</v>
      </c>
      <c r="J12" s="414"/>
      <c r="K12" s="414">
        <v>4888.0666999998384</v>
      </c>
      <c r="L12" s="414">
        <v>2426.8048999999905</v>
      </c>
      <c r="M12" s="414">
        <v>2461.2617999999879</v>
      </c>
      <c r="N12" s="414"/>
      <c r="O12" s="414">
        <v>877.04730000000154</v>
      </c>
      <c r="P12" s="414">
        <v>459.15549999999894</v>
      </c>
      <c r="Q12" s="414">
        <v>417.89179999999959</v>
      </c>
      <c r="R12" s="414"/>
      <c r="S12" s="414">
        <v>133.2273000000001</v>
      </c>
      <c r="T12" s="414">
        <v>85.680100000000039</v>
      </c>
      <c r="U12" s="414">
        <v>47.547200000000004</v>
      </c>
      <c r="V12" s="470"/>
    </row>
    <row r="13" spans="1:23" ht="15" customHeight="1">
      <c r="A13" s="472" t="s">
        <v>149</v>
      </c>
      <c r="B13" s="414">
        <v>6542.801899999673</v>
      </c>
      <c r="C13" s="414">
        <v>139.2809</v>
      </c>
      <c r="D13" s="414">
        <v>75.377699999999976</v>
      </c>
      <c r="E13" s="414">
        <v>63.903199999999963</v>
      </c>
      <c r="F13" s="414"/>
      <c r="G13" s="414">
        <v>3163.3329000000203</v>
      </c>
      <c r="H13" s="414">
        <v>1696.7109000000071</v>
      </c>
      <c r="I13" s="414">
        <v>1466.6220000000067</v>
      </c>
      <c r="J13" s="414"/>
      <c r="K13" s="414">
        <v>3011.4247999999752</v>
      </c>
      <c r="L13" s="414">
        <v>1628.904899999992</v>
      </c>
      <c r="M13" s="414">
        <v>1382.5198999999957</v>
      </c>
      <c r="N13" s="414"/>
      <c r="O13" s="414">
        <v>218.8794000000002</v>
      </c>
      <c r="P13" s="414">
        <v>109.85680000000008</v>
      </c>
      <c r="Q13" s="414">
        <v>109.02260000000005</v>
      </c>
      <c r="R13" s="414"/>
      <c r="S13" s="414">
        <v>9.8839000000000006</v>
      </c>
      <c r="T13" s="414">
        <v>5.9129000000000005</v>
      </c>
      <c r="U13" s="414">
        <v>3.9710000000000001</v>
      </c>
      <c r="V13" s="470"/>
    </row>
    <row r="14" spans="1:23" ht="15" customHeight="1">
      <c r="A14" s="472" t="s">
        <v>150</v>
      </c>
      <c r="B14" s="414">
        <v>1736.9348999999947</v>
      </c>
      <c r="C14" s="414">
        <v>41.098499999999987</v>
      </c>
      <c r="D14" s="414">
        <v>17.4436</v>
      </c>
      <c r="E14" s="414">
        <v>23.654900000000001</v>
      </c>
      <c r="F14" s="414"/>
      <c r="G14" s="414">
        <v>909.3289000000043</v>
      </c>
      <c r="H14" s="414">
        <v>521.84330000000091</v>
      </c>
      <c r="I14" s="414">
        <v>387.48559999999992</v>
      </c>
      <c r="J14" s="414"/>
      <c r="K14" s="414">
        <v>713.60279999999989</v>
      </c>
      <c r="L14" s="414">
        <v>396.11759999999913</v>
      </c>
      <c r="M14" s="414">
        <v>317.48519999999979</v>
      </c>
      <c r="N14" s="414"/>
      <c r="O14" s="414">
        <v>72.904700000000005</v>
      </c>
      <c r="P14" s="414">
        <v>44.742699999999999</v>
      </c>
      <c r="Q14" s="414">
        <v>28.162000000000003</v>
      </c>
      <c r="R14" s="414"/>
      <c r="S14" s="414">
        <v>0</v>
      </c>
      <c r="T14" s="414">
        <v>0</v>
      </c>
      <c r="U14" s="414">
        <v>0</v>
      </c>
      <c r="V14" s="470"/>
    </row>
    <row r="15" spans="1:23" ht="15" customHeight="1">
      <c r="A15" s="472" t="s">
        <v>151</v>
      </c>
      <c r="B15" s="414">
        <v>3716.31229999999</v>
      </c>
      <c r="C15" s="414">
        <v>110.91300000000005</v>
      </c>
      <c r="D15" s="414">
        <v>42.36999999999999</v>
      </c>
      <c r="E15" s="414">
        <v>68.542999999999978</v>
      </c>
      <c r="F15" s="414"/>
      <c r="G15" s="414">
        <v>1649.5917000000061</v>
      </c>
      <c r="H15" s="414">
        <v>831.19590000000392</v>
      </c>
      <c r="I15" s="414">
        <v>818.39580000000365</v>
      </c>
      <c r="J15" s="414"/>
      <c r="K15" s="414">
        <v>1816.2227999999909</v>
      </c>
      <c r="L15" s="414">
        <v>925.02240000000234</v>
      </c>
      <c r="M15" s="414">
        <v>891.20040000000245</v>
      </c>
      <c r="N15" s="414"/>
      <c r="O15" s="414">
        <v>126.67850000000008</v>
      </c>
      <c r="P15" s="414">
        <v>55.166000000000004</v>
      </c>
      <c r="Q15" s="414">
        <v>71.512500000000017</v>
      </c>
      <c r="R15" s="414"/>
      <c r="S15" s="414">
        <v>12.9063</v>
      </c>
      <c r="T15" s="414">
        <v>4.8281000000000001</v>
      </c>
      <c r="U15" s="414">
        <v>8.0782000000000007</v>
      </c>
      <c r="V15" s="470"/>
    </row>
    <row r="16" spans="1:23" s="28" customFormat="1" ht="15" customHeight="1">
      <c r="A16" s="417" t="s">
        <v>152</v>
      </c>
      <c r="B16" s="418">
        <v>9220.9536999992051</v>
      </c>
      <c r="C16" s="418">
        <v>411.20650000000057</v>
      </c>
      <c r="D16" s="418">
        <v>211.49719999999971</v>
      </c>
      <c r="E16" s="418">
        <v>199.70929999999979</v>
      </c>
      <c r="F16" s="418"/>
      <c r="G16" s="418">
        <v>4760.7394999999087</v>
      </c>
      <c r="H16" s="418">
        <v>2566.0372000000148</v>
      </c>
      <c r="I16" s="418">
        <v>2194.7023000000108</v>
      </c>
      <c r="J16" s="418"/>
      <c r="K16" s="418">
        <v>3407.1624999999735</v>
      </c>
      <c r="L16" s="418">
        <v>1929.4717999999873</v>
      </c>
      <c r="M16" s="418">
        <v>1477.6906999999967</v>
      </c>
      <c r="N16" s="418"/>
      <c r="O16" s="418">
        <v>600.30349999999896</v>
      </c>
      <c r="P16" s="418">
        <v>327.28410000000008</v>
      </c>
      <c r="Q16" s="418">
        <v>273.01940000000019</v>
      </c>
      <c r="R16" s="418"/>
      <c r="S16" s="418">
        <v>41.541700000000006</v>
      </c>
      <c r="T16" s="418">
        <v>23.705499999999997</v>
      </c>
      <c r="U16" s="418">
        <v>17.836199999999998</v>
      </c>
      <c r="V16" s="471"/>
    </row>
    <row r="17" spans="1:22" ht="15" customHeight="1">
      <c r="A17" s="472" t="s">
        <v>153</v>
      </c>
      <c r="B17" s="414">
        <v>5811.6190999997116</v>
      </c>
      <c r="C17" s="414">
        <v>220.53579999999965</v>
      </c>
      <c r="D17" s="414">
        <v>95.890000000000015</v>
      </c>
      <c r="E17" s="414">
        <v>124.64580000000007</v>
      </c>
      <c r="F17" s="414"/>
      <c r="G17" s="414">
        <v>2651.9877000000147</v>
      </c>
      <c r="H17" s="414">
        <v>1387.8211000000076</v>
      </c>
      <c r="I17" s="414">
        <v>1264.1666000000066</v>
      </c>
      <c r="J17" s="414"/>
      <c r="K17" s="414">
        <v>2381.3870999999808</v>
      </c>
      <c r="L17" s="414">
        <v>1342.7916999999982</v>
      </c>
      <c r="M17" s="414">
        <v>1038.5954000000045</v>
      </c>
      <c r="N17" s="414"/>
      <c r="O17" s="414">
        <v>527.99259999999856</v>
      </c>
      <c r="P17" s="414">
        <v>277.22230000000025</v>
      </c>
      <c r="Q17" s="414">
        <v>250.77030000000025</v>
      </c>
      <c r="R17" s="414"/>
      <c r="S17" s="414">
        <v>29.715900000000005</v>
      </c>
      <c r="T17" s="414">
        <v>17.836199999999998</v>
      </c>
      <c r="U17" s="414">
        <v>11.8797</v>
      </c>
      <c r="V17" s="470"/>
    </row>
    <row r="18" spans="1:22" ht="15" customHeight="1">
      <c r="A18" s="472" t="s">
        <v>154</v>
      </c>
      <c r="B18" s="414">
        <v>833.5989000000036</v>
      </c>
      <c r="C18" s="414">
        <v>44.6</v>
      </c>
      <c r="D18" s="414">
        <v>26.76</v>
      </c>
      <c r="E18" s="414">
        <v>17.84</v>
      </c>
      <c r="F18" s="414"/>
      <c r="G18" s="414">
        <v>365.30690000000055</v>
      </c>
      <c r="H18" s="414">
        <v>214.3881999999997</v>
      </c>
      <c r="I18" s="414">
        <v>150.91869999999997</v>
      </c>
      <c r="J18" s="414"/>
      <c r="K18" s="414">
        <v>403.74439999999959</v>
      </c>
      <c r="L18" s="414">
        <v>250.78310000000008</v>
      </c>
      <c r="M18" s="414">
        <v>152.96130000000005</v>
      </c>
      <c r="N18" s="414"/>
      <c r="O18" s="414">
        <v>18.005700000000004</v>
      </c>
      <c r="P18" s="414">
        <v>11.913</v>
      </c>
      <c r="Q18" s="414">
        <v>6.0927000000000007</v>
      </c>
      <c r="R18" s="414"/>
      <c r="S18" s="414">
        <v>1.9419</v>
      </c>
      <c r="T18" s="414">
        <v>1.9419</v>
      </c>
      <c r="U18" s="414">
        <v>0</v>
      </c>
      <c r="V18" s="470"/>
    </row>
    <row r="19" spans="1:22" ht="15" customHeight="1">
      <c r="A19" s="472" t="s">
        <v>155</v>
      </c>
      <c r="B19" s="414">
        <v>1052.7779000000053</v>
      </c>
      <c r="C19" s="414">
        <v>62.097499999999961</v>
      </c>
      <c r="D19" s="414">
        <v>40.031699999999994</v>
      </c>
      <c r="E19" s="414">
        <v>22.065800000000003</v>
      </c>
      <c r="F19" s="414"/>
      <c r="G19" s="414">
        <v>782.38230000000351</v>
      </c>
      <c r="H19" s="414">
        <v>449.43720000000036</v>
      </c>
      <c r="I19" s="414">
        <v>332.94510000000002</v>
      </c>
      <c r="J19" s="414"/>
      <c r="K19" s="414">
        <v>192.44740000000016</v>
      </c>
      <c r="L19" s="414">
        <v>102.37990000000005</v>
      </c>
      <c r="M19" s="414">
        <v>90.067500000000024</v>
      </c>
      <c r="N19" s="414"/>
      <c r="O19" s="414">
        <v>13.865200000000002</v>
      </c>
      <c r="P19" s="414">
        <v>11.8797</v>
      </c>
      <c r="Q19" s="414">
        <v>1.9855</v>
      </c>
      <c r="R19" s="414"/>
      <c r="S19" s="414">
        <v>1.9855</v>
      </c>
      <c r="T19" s="414">
        <v>0</v>
      </c>
      <c r="U19" s="414">
        <v>1.9855</v>
      </c>
      <c r="V19" s="470"/>
    </row>
    <row r="20" spans="1:22" ht="15" customHeight="1">
      <c r="A20" s="472" t="s">
        <v>156</v>
      </c>
      <c r="B20" s="414">
        <v>1522.957800000004</v>
      </c>
      <c r="C20" s="414">
        <v>83.973199999999991</v>
      </c>
      <c r="D20" s="414">
        <v>48.815499999999979</v>
      </c>
      <c r="E20" s="414">
        <v>35.157699999999998</v>
      </c>
      <c r="F20" s="414"/>
      <c r="G20" s="414">
        <v>961.06260000000498</v>
      </c>
      <c r="H20" s="414">
        <v>514.39070000000072</v>
      </c>
      <c r="I20" s="414">
        <v>446.67190000000056</v>
      </c>
      <c r="J20" s="414"/>
      <c r="K20" s="414">
        <v>429.58359999999891</v>
      </c>
      <c r="L20" s="414">
        <v>233.51710000000014</v>
      </c>
      <c r="M20" s="414">
        <v>196.06650000000016</v>
      </c>
      <c r="N20" s="414"/>
      <c r="O20" s="414">
        <v>40.440000000000005</v>
      </c>
      <c r="P20" s="414">
        <v>26.269100000000002</v>
      </c>
      <c r="Q20" s="414">
        <v>14.170900000000001</v>
      </c>
      <c r="R20" s="414"/>
      <c r="S20" s="414">
        <v>7.8984000000000005</v>
      </c>
      <c r="T20" s="414">
        <v>3.9274</v>
      </c>
      <c r="U20" s="414">
        <v>3.9710000000000001</v>
      </c>
      <c r="V20" s="470"/>
    </row>
    <row r="21" spans="1:22" s="28" customFormat="1" ht="15" customHeight="1">
      <c r="A21" s="417" t="s">
        <v>157</v>
      </c>
      <c r="B21" s="418">
        <v>272200.45920026652</v>
      </c>
      <c r="C21" s="418">
        <v>7152.379699999432</v>
      </c>
      <c r="D21" s="418">
        <v>3570.7420000000261</v>
      </c>
      <c r="E21" s="418">
        <v>3581.6377000000225</v>
      </c>
      <c r="F21" s="418"/>
      <c r="G21" s="418">
        <v>105250.90589997754</v>
      </c>
      <c r="H21" s="418">
        <v>52196.326300022367</v>
      </c>
      <c r="I21" s="418">
        <v>53054.579600023528</v>
      </c>
      <c r="J21" s="418"/>
      <c r="K21" s="418">
        <v>114583.81630002493</v>
      </c>
      <c r="L21" s="418">
        <v>56716.945600008665</v>
      </c>
      <c r="M21" s="418">
        <v>57866.870700010593</v>
      </c>
      <c r="N21" s="418"/>
      <c r="O21" s="418">
        <v>34180.734799998107</v>
      </c>
      <c r="P21" s="418">
        <v>16272.160499999611</v>
      </c>
      <c r="Q21" s="418">
        <v>17908.574299999105</v>
      </c>
      <c r="R21" s="418"/>
      <c r="S21" s="418">
        <v>11032.622499999967</v>
      </c>
      <c r="T21" s="418">
        <v>5161.4053999997186</v>
      </c>
      <c r="U21" s="418">
        <v>5871.2170999996197</v>
      </c>
      <c r="V21" s="471"/>
    </row>
    <row r="22" spans="1:22" ht="15" customHeight="1">
      <c r="A22" s="472" t="s">
        <v>157</v>
      </c>
      <c r="B22" s="414">
        <v>159191.37040006608</v>
      </c>
      <c r="C22" s="414">
        <v>4266.8140999999951</v>
      </c>
      <c r="D22" s="414">
        <v>2136.487600000014</v>
      </c>
      <c r="E22" s="414">
        <v>2130.3265000000138</v>
      </c>
      <c r="F22" s="414"/>
      <c r="G22" s="414">
        <v>61767.823000035816</v>
      </c>
      <c r="H22" s="414">
        <v>30384.776199995038</v>
      </c>
      <c r="I22" s="414">
        <v>31383.046799994878</v>
      </c>
      <c r="J22" s="414"/>
      <c r="K22" s="414">
        <v>64351.682900010455</v>
      </c>
      <c r="L22" s="414">
        <v>31716.005300001438</v>
      </c>
      <c r="M22" s="414">
        <v>32635.677600001291</v>
      </c>
      <c r="N22" s="414"/>
      <c r="O22" s="414">
        <v>20369.803999998603</v>
      </c>
      <c r="P22" s="414">
        <v>9544.9247999995387</v>
      </c>
      <c r="Q22" s="414">
        <v>10824.879199999579</v>
      </c>
      <c r="R22" s="414"/>
      <c r="S22" s="414">
        <v>8435.2463999993979</v>
      </c>
      <c r="T22" s="414">
        <v>3815.6312999998459</v>
      </c>
      <c r="U22" s="414">
        <v>4619.6150999997681</v>
      </c>
      <c r="V22" s="470"/>
    </row>
    <row r="23" spans="1:22" ht="15" customHeight="1">
      <c r="A23" s="472" t="s">
        <v>158</v>
      </c>
      <c r="B23" s="414">
        <v>42100.386700008043</v>
      </c>
      <c r="C23" s="414">
        <v>1199.3468000000064</v>
      </c>
      <c r="D23" s="414">
        <v>625.61490000000254</v>
      </c>
      <c r="E23" s="414">
        <v>573.73190000000204</v>
      </c>
      <c r="F23" s="414"/>
      <c r="G23" s="414">
        <v>17969.008299997506</v>
      </c>
      <c r="H23" s="414">
        <v>9083.2252999991051</v>
      </c>
      <c r="I23" s="414">
        <v>8885.7829999991409</v>
      </c>
      <c r="J23" s="414"/>
      <c r="K23" s="414">
        <v>18276.561199999833</v>
      </c>
      <c r="L23" s="414">
        <v>9123.4567999995252</v>
      </c>
      <c r="M23" s="414">
        <v>9153.1043999995218</v>
      </c>
      <c r="N23" s="414"/>
      <c r="O23" s="414">
        <v>3927.5220999999738</v>
      </c>
      <c r="P23" s="414">
        <v>2019.5790999999838</v>
      </c>
      <c r="Q23" s="414">
        <v>1907.9429999999847</v>
      </c>
      <c r="R23" s="414"/>
      <c r="S23" s="414">
        <v>727.94830000000093</v>
      </c>
      <c r="T23" s="414">
        <v>406.57929999999953</v>
      </c>
      <c r="U23" s="414">
        <v>321.36900000000003</v>
      </c>
      <c r="V23" s="470"/>
    </row>
    <row r="24" spans="1:22" ht="15" customHeight="1">
      <c r="A24" s="472" t="s">
        <v>159</v>
      </c>
      <c r="B24" s="414">
        <v>70908.702100025563</v>
      </c>
      <c r="C24" s="414">
        <v>1686.2188000000106</v>
      </c>
      <c r="D24" s="414">
        <v>808.63950000000386</v>
      </c>
      <c r="E24" s="414">
        <v>877.5793000000042</v>
      </c>
      <c r="F24" s="414"/>
      <c r="G24" s="414">
        <v>25514.074599996045</v>
      </c>
      <c r="H24" s="414">
        <v>12728.324799998401</v>
      </c>
      <c r="I24" s="414">
        <v>12785.749799998399</v>
      </c>
      <c r="J24" s="414"/>
      <c r="K24" s="414">
        <v>31955.572200000599</v>
      </c>
      <c r="L24" s="414">
        <v>15877.483499999629</v>
      </c>
      <c r="M24" s="414">
        <v>16078.088699999575</v>
      </c>
      <c r="N24" s="414"/>
      <c r="O24" s="414">
        <v>9883.4086999994415</v>
      </c>
      <c r="P24" s="414">
        <v>4707.6565999998802</v>
      </c>
      <c r="Q24" s="414">
        <v>5175.752099999816</v>
      </c>
      <c r="R24" s="414"/>
      <c r="S24" s="414">
        <v>1869.4278000000024</v>
      </c>
      <c r="T24" s="414">
        <v>939.19480000000215</v>
      </c>
      <c r="U24" s="414">
        <v>930.23300000000165</v>
      </c>
      <c r="V24" s="470"/>
    </row>
    <row r="25" spans="1:22" s="28" customFormat="1" ht="15" customHeight="1">
      <c r="A25" s="417" t="s">
        <v>160</v>
      </c>
      <c r="B25" s="418">
        <v>303799.84550016531</v>
      </c>
      <c r="C25" s="418">
        <v>8190.40529999924</v>
      </c>
      <c r="D25" s="418">
        <v>4062.7196000000263</v>
      </c>
      <c r="E25" s="418">
        <v>4127.6857000000191</v>
      </c>
      <c r="F25" s="418"/>
      <c r="G25" s="418">
        <v>106712.30759997167</v>
      </c>
      <c r="H25" s="418">
        <v>52137.004600022148</v>
      </c>
      <c r="I25" s="418">
        <v>54575.303000025509</v>
      </c>
      <c r="J25" s="418"/>
      <c r="K25" s="418">
        <v>118244.50730000508</v>
      </c>
      <c r="L25" s="418">
        <v>57178.421100016079</v>
      </c>
      <c r="M25" s="418">
        <v>61066.08620002</v>
      </c>
      <c r="N25" s="418"/>
      <c r="O25" s="418">
        <v>49215.18790001647</v>
      </c>
      <c r="P25" s="418">
        <v>22717.272999998251</v>
      </c>
      <c r="Q25" s="418">
        <v>26497.914899997497</v>
      </c>
      <c r="R25" s="418"/>
      <c r="S25" s="418">
        <v>21437.437400000566</v>
      </c>
      <c r="T25" s="418">
        <v>9934.007399999582</v>
      </c>
      <c r="U25" s="418">
        <v>11503.429999999958</v>
      </c>
      <c r="V25" s="471"/>
    </row>
    <row r="26" spans="1:22" ht="15" customHeight="1">
      <c r="A26" s="472" t="s">
        <v>160</v>
      </c>
      <c r="B26" s="414">
        <v>303799.84550016531</v>
      </c>
      <c r="C26" s="414">
        <v>8190.40529999924</v>
      </c>
      <c r="D26" s="414">
        <v>4062.7196000000263</v>
      </c>
      <c r="E26" s="414">
        <v>4127.6857000000191</v>
      </c>
      <c r="F26" s="414"/>
      <c r="G26" s="414">
        <v>106712.30759997167</v>
      </c>
      <c r="H26" s="414">
        <v>52137.004600022148</v>
      </c>
      <c r="I26" s="414">
        <v>54575.303000025509</v>
      </c>
      <c r="J26" s="414"/>
      <c r="K26" s="414">
        <v>118244.50730000508</v>
      </c>
      <c r="L26" s="414">
        <v>57178.421100016079</v>
      </c>
      <c r="M26" s="414">
        <v>61066.08620002</v>
      </c>
      <c r="N26" s="414"/>
      <c r="O26" s="414">
        <v>49215.18790001647</v>
      </c>
      <c r="P26" s="414">
        <v>22717.272999998251</v>
      </c>
      <c r="Q26" s="414">
        <v>26497.914899997497</v>
      </c>
      <c r="R26" s="414"/>
      <c r="S26" s="414">
        <v>21437.437400000566</v>
      </c>
      <c r="T26" s="414">
        <v>9934.007399999582</v>
      </c>
      <c r="U26" s="414">
        <v>11503.429999999958</v>
      </c>
      <c r="V26" s="470"/>
    </row>
    <row r="27" spans="1:22" s="28" customFormat="1" ht="15" customHeight="1">
      <c r="A27" s="417" t="s">
        <v>161</v>
      </c>
      <c r="B27" s="418">
        <v>7454.2339999994529</v>
      </c>
      <c r="C27" s="418">
        <v>222.51099999999963</v>
      </c>
      <c r="D27" s="418">
        <v>122.16100000000007</v>
      </c>
      <c r="E27" s="418">
        <v>100.35000000000002</v>
      </c>
      <c r="F27" s="418"/>
      <c r="G27" s="418">
        <v>3791.6237000000237</v>
      </c>
      <c r="H27" s="418">
        <v>1942.94930000001</v>
      </c>
      <c r="I27" s="418">
        <v>1848.6744000000094</v>
      </c>
      <c r="J27" s="418"/>
      <c r="K27" s="418">
        <v>2881.4394999999936</v>
      </c>
      <c r="L27" s="418">
        <v>1422.2800999999972</v>
      </c>
      <c r="M27" s="418">
        <v>1459.1593999999961</v>
      </c>
      <c r="N27" s="418"/>
      <c r="O27" s="418">
        <v>532.8658999999991</v>
      </c>
      <c r="P27" s="418">
        <v>278.74280000000005</v>
      </c>
      <c r="Q27" s="418">
        <v>254.12310000000025</v>
      </c>
      <c r="R27" s="418"/>
      <c r="S27" s="418">
        <v>25.793900000000004</v>
      </c>
      <c r="T27" s="418">
        <v>13.777999999999999</v>
      </c>
      <c r="U27" s="418">
        <v>12.0159</v>
      </c>
      <c r="V27" s="471"/>
    </row>
    <row r="28" spans="1:22" ht="15" customHeight="1">
      <c r="A28" s="472" t="s">
        <v>161</v>
      </c>
      <c r="B28" s="414">
        <v>7454.2339999994529</v>
      </c>
      <c r="C28" s="414">
        <v>222.51099999999963</v>
      </c>
      <c r="D28" s="414">
        <v>122.16100000000007</v>
      </c>
      <c r="E28" s="414">
        <v>100.35000000000002</v>
      </c>
      <c r="F28" s="414"/>
      <c r="G28" s="414">
        <v>3791.6237000000237</v>
      </c>
      <c r="H28" s="414">
        <v>1942.94930000001</v>
      </c>
      <c r="I28" s="414">
        <v>1848.6744000000094</v>
      </c>
      <c r="J28" s="414"/>
      <c r="K28" s="414">
        <v>2881.4394999999936</v>
      </c>
      <c r="L28" s="414">
        <v>1422.2800999999972</v>
      </c>
      <c r="M28" s="414">
        <v>1459.1593999999961</v>
      </c>
      <c r="N28" s="414"/>
      <c r="O28" s="414">
        <v>532.8658999999991</v>
      </c>
      <c r="P28" s="414">
        <v>278.74280000000005</v>
      </c>
      <c r="Q28" s="414">
        <v>254.12310000000025</v>
      </c>
      <c r="R28" s="414"/>
      <c r="S28" s="414">
        <v>25.793900000000004</v>
      </c>
      <c r="T28" s="414">
        <v>13.777999999999999</v>
      </c>
      <c r="U28" s="414">
        <v>12.0159</v>
      </c>
      <c r="V28" s="470"/>
    </row>
    <row r="29" spans="1:22" s="28" customFormat="1" ht="15" customHeight="1">
      <c r="A29" s="417" t="s">
        <v>162</v>
      </c>
      <c r="B29" s="418">
        <v>13572.888399998872</v>
      </c>
      <c r="C29" s="418">
        <v>569.26910000000191</v>
      </c>
      <c r="D29" s="418">
        <v>256.16189999999949</v>
      </c>
      <c r="E29" s="418">
        <v>313.10719999999992</v>
      </c>
      <c r="F29" s="418"/>
      <c r="G29" s="418">
        <v>6215.8543999996327</v>
      </c>
      <c r="H29" s="418">
        <v>3205.6805000000227</v>
      </c>
      <c r="I29" s="418">
        <v>3010.1739000000193</v>
      </c>
      <c r="J29" s="418"/>
      <c r="K29" s="418">
        <v>5901.2719999997526</v>
      </c>
      <c r="L29" s="418">
        <v>2854.9577999999906</v>
      </c>
      <c r="M29" s="418">
        <v>3046.3141999999916</v>
      </c>
      <c r="N29" s="418"/>
      <c r="O29" s="418">
        <v>814.534500000001</v>
      </c>
      <c r="P29" s="418">
        <v>396.30359999999962</v>
      </c>
      <c r="Q29" s="418">
        <v>418.23089999999928</v>
      </c>
      <c r="R29" s="418"/>
      <c r="S29" s="418">
        <v>71.958399999999997</v>
      </c>
      <c r="T29" s="418">
        <v>50.248699999999999</v>
      </c>
      <c r="U29" s="418">
        <v>21.709700000000002</v>
      </c>
      <c r="V29" s="471"/>
    </row>
    <row r="30" spans="1:22" ht="15" customHeight="1">
      <c r="A30" s="472" t="s">
        <v>162</v>
      </c>
      <c r="B30" s="414">
        <v>13572.888399998872</v>
      </c>
      <c r="C30" s="414">
        <v>569.26910000000191</v>
      </c>
      <c r="D30" s="414">
        <v>256.16189999999949</v>
      </c>
      <c r="E30" s="414">
        <v>313.10719999999992</v>
      </c>
      <c r="F30" s="414"/>
      <c r="G30" s="414">
        <v>6215.8543999996327</v>
      </c>
      <c r="H30" s="414">
        <v>3205.6805000000227</v>
      </c>
      <c r="I30" s="414">
        <v>3010.1739000000193</v>
      </c>
      <c r="J30" s="414"/>
      <c r="K30" s="414">
        <v>5901.2719999997526</v>
      </c>
      <c r="L30" s="414">
        <v>2854.9577999999906</v>
      </c>
      <c r="M30" s="414">
        <v>3046.3141999999916</v>
      </c>
      <c r="N30" s="414"/>
      <c r="O30" s="414">
        <v>814.534500000001</v>
      </c>
      <c r="P30" s="414">
        <v>396.30359999999962</v>
      </c>
      <c r="Q30" s="414">
        <v>418.23089999999928</v>
      </c>
      <c r="R30" s="414"/>
      <c r="S30" s="414">
        <v>71.958399999999997</v>
      </c>
      <c r="T30" s="414">
        <v>50.248699999999999</v>
      </c>
      <c r="U30" s="414">
        <v>21.709700000000002</v>
      </c>
      <c r="V30" s="470"/>
    </row>
    <row r="31" spans="1:22" s="28" customFormat="1" ht="15" customHeight="1">
      <c r="A31" s="417" t="s">
        <v>163</v>
      </c>
      <c r="B31" s="418">
        <v>41548.871200009002</v>
      </c>
      <c r="C31" s="418">
        <v>1117.7731000000065</v>
      </c>
      <c r="D31" s="418">
        <v>548.27560000000176</v>
      </c>
      <c r="E31" s="418">
        <v>569.49750000000199</v>
      </c>
      <c r="F31" s="418"/>
      <c r="G31" s="418">
        <v>17363.611799997627</v>
      </c>
      <c r="H31" s="418">
        <v>8890.2429999990964</v>
      </c>
      <c r="I31" s="418">
        <v>8473.3687999991726</v>
      </c>
      <c r="J31" s="418"/>
      <c r="K31" s="418">
        <v>18735.370100000055</v>
      </c>
      <c r="L31" s="418">
        <v>9195.4916999994384</v>
      </c>
      <c r="M31" s="418">
        <v>9539.8783999994139</v>
      </c>
      <c r="N31" s="418"/>
      <c r="O31" s="418">
        <v>3548.8019999999933</v>
      </c>
      <c r="P31" s="418">
        <v>1857.7327999999864</v>
      </c>
      <c r="Q31" s="418">
        <v>1691.0691999999885</v>
      </c>
      <c r="R31" s="418"/>
      <c r="S31" s="418">
        <v>783.31419999999969</v>
      </c>
      <c r="T31" s="418">
        <v>362.65529999999995</v>
      </c>
      <c r="U31" s="418">
        <v>420.65889999999979</v>
      </c>
      <c r="V31" s="471"/>
    </row>
    <row r="32" spans="1:22" ht="15" customHeight="1">
      <c r="A32" s="472" t="s">
        <v>163</v>
      </c>
      <c r="B32" s="414">
        <v>41548.871200009002</v>
      </c>
      <c r="C32" s="414">
        <v>1117.7731000000065</v>
      </c>
      <c r="D32" s="414">
        <v>548.27560000000176</v>
      </c>
      <c r="E32" s="414">
        <v>569.49750000000199</v>
      </c>
      <c r="F32" s="414"/>
      <c r="G32" s="414">
        <v>17363.611799997627</v>
      </c>
      <c r="H32" s="414">
        <v>8890.2429999990964</v>
      </c>
      <c r="I32" s="414">
        <v>8473.3687999991726</v>
      </c>
      <c r="J32" s="414"/>
      <c r="K32" s="414">
        <v>18735.370100000055</v>
      </c>
      <c r="L32" s="414">
        <v>9195.4916999994384</v>
      </c>
      <c r="M32" s="414">
        <v>9539.8783999994139</v>
      </c>
      <c r="N32" s="414"/>
      <c r="O32" s="414">
        <v>3548.8019999999933</v>
      </c>
      <c r="P32" s="414">
        <v>1857.7327999999864</v>
      </c>
      <c r="Q32" s="414">
        <v>1691.0691999999885</v>
      </c>
      <c r="R32" s="414"/>
      <c r="S32" s="414">
        <v>783.31419999999969</v>
      </c>
      <c r="T32" s="414">
        <v>362.65529999999995</v>
      </c>
      <c r="U32" s="414">
        <v>420.65889999999979</v>
      </c>
      <c r="V32" s="470"/>
    </row>
  </sheetData>
  <mergeCells count="9">
    <mergeCell ref="A1:U1"/>
    <mergeCell ref="C3:E3"/>
    <mergeCell ref="G3:I3"/>
    <mergeCell ref="K3:M3"/>
    <mergeCell ref="O3:Q3"/>
    <mergeCell ref="S3:U3"/>
    <mergeCell ref="C2:U2"/>
    <mergeCell ref="B2:B4"/>
    <mergeCell ref="A2:A4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2BBE-E020-4D02-8F95-A6C9A109967C}">
  <sheetPr>
    <tabColor theme="0"/>
  </sheetPr>
  <dimension ref="A1:P32"/>
  <sheetViews>
    <sheetView workbookViewId="0">
      <selection activeCell="C18" sqref="C18"/>
    </sheetView>
  </sheetViews>
  <sheetFormatPr defaultRowHeight="16.5" customHeight="1"/>
  <cols>
    <col min="1" max="1" width="20.42578125" style="30" customWidth="1"/>
    <col min="2" max="2" width="12.140625" style="687" customWidth="1"/>
    <col min="3" max="3" width="9.140625" style="687"/>
    <col min="4" max="5" width="9.140625" style="30"/>
    <col min="6" max="6" width="3" style="30" customWidth="1"/>
    <col min="7" max="9" width="9.140625" style="30"/>
    <col min="10" max="10" width="2.5703125" style="30" customWidth="1"/>
    <col min="11" max="16384" width="9.140625" style="30"/>
  </cols>
  <sheetData>
    <row r="1" spans="1:16" ht="16.5" customHeight="1" thickBot="1">
      <c r="A1" s="1077" t="s">
        <v>530</v>
      </c>
      <c r="B1" s="1077"/>
      <c r="C1" s="1077"/>
      <c r="D1" s="1077"/>
      <c r="E1" s="1077"/>
      <c r="F1" s="1077"/>
      <c r="G1" s="1077"/>
      <c r="H1" s="1077"/>
      <c r="I1" s="1077"/>
      <c r="J1" s="1077"/>
      <c r="K1" s="1077"/>
      <c r="L1" s="1077"/>
      <c r="M1" s="1077"/>
      <c r="N1" s="454"/>
      <c r="O1" s="454"/>
      <c r="P1" s="454"/>
    </row>
    <row r="2" spans="1:16" ht="12.75" customHeight="1">
      <c r="A2" s="1078" t="s">
        <v>495</v>
      </c>
      <c r="B2" s="1066" t="s">
        <v>452</v>
      </c>
      <c r="C2" s="1080" t="s">
        <v>511</v>
      </c>
      <c r="D2" s="1080"/>
      <c r="E2" s="1080"/>
      <c r="F2" s="1080"/>
      <c r="G2" s="1080"/>
      <c r="H2" s="1080"/>
      <c r="I2" s="1080"/>
      <c r="J2" s="1080"/>
      <c r="K2" s="1080"/>
      <c r="L2" s="1080"/>
      <c r="M2" s="1080"/>
      <c r="N2" s="454"/>
      <c r="O2" s="454"/>
      <c r="P2" s="454"/>
    </row>
    <row r="3" spans="1:16" ht="16.5" customHeight="1">
      <c r="A3" s="1079"/>
      <c r="B3" s="1059"/>
      <c r="C3" s="1025" t="s">
        <v>435</v>
      </c>
      <c r="D3" s="1025"/>
      <c r="E3" s="1025"/>
      <c r="F3" s="507"/>
      <c r="G3" s="1034" t="s">
        <v>436</v>
      </c>
      <c r="H3" s="1034"/>
      <c r="I3" s="1034"/>
      <c r="J3" s="506"/>
      <c r="K3" s="1034" t="s">
        <v>437</v>
      </c>
      <c r="L3" s="1034"/>
      <c r="M3" s="1034"/>
      <c r="N3" s="473"/>
    </row>
    <row r="4" spans="1:16" ht="16.5" customHeight="1">
      <c r="A4" s="1079"/>
      <c r="B4" s="1059"/>
      <c r="C4" s="369" t="s">
        <v>0</v>
      </c>
      <c r="D4" s="411" t="s">
        <v>1</v>
      </c>
      <c r="E4" s="411" t="s">
        <v>2</v>
      </c>
      <c r="F4" s="411"/>
      <c r="G4" s="411" t="s">
        <v>0</v>
      </c>
      <c r="H4" s="411" t="s">
        <v>1</v>
      </c>
      <c r="I4" s="411" t="s">
        <v>2</v>
      </c>
      <c r="J4" s="411"/>
      <c r="K4" s="411" t="s">
        <v>0</v>
      </c>
      <c r="L4" s="411" t="s">
        <v>1</v>
      </c>
      <c r="M4" s="411" t="s">
        <v>2</v>
      </c>
      <c r="N4" s="473"/>
    </row>
    <row r="5" spans="1:16" s="28" customFormat="1" ht="18" customHeight="1">
      <c r="A5" s="422" t="s">
        <v>146</v>
      </c>
      <c r="B5" s="749">
        <v>121766.91999993872</v>
      </c>
      <c r="C5" s="749">
        <v>104118.69999997097</v>
      </c>
      <c r="D5" s="750">
        <v>50480.510000019844</v>
      </c>
      <c r="E5" s="750">
        <v>53638.190000024377</v>
      </c>
      <c r="F5" s="750"/>
      <c r="G5" s="750">
        <v>10793.19999999872</v>
      </c>
      <c r="H5" s="750">
        <v>5349.7699999997849</v>
      </c>
      <c r="I5" s="750">
        <v>5443.4299999997666</v>
      </c>
      <c r="J5" s="750"/>
      <c r="K5" s="750">
        <v>6855.0199999994902</v>
      </c>
      <c r="L5" s="750">
        <v>3590.3000000000266</v>
      </c>
      <c r="M5" s="750">
        <v>3264.7200000000239</v>
      </c>
      <c r="N5" s="474"/>
    </row>
    <row r="6" spans="1:16" ht="16.5" customHeight="1">
      <c r="A6" s="420"/>
      <c r="B6" s="747"/>
      <c r="C6" s="747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73"/>
    </row>
    <row r="7" spans="1:16" ht="18" customHeight="1">
      <c r="A7" s="422" t="s">
        <v>453</v>
      </c>
      <c r="B7" s="746"/>
      <c r="C7" s="746"/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73"/>
    </row>
    <row r="8" spans="1:16" ht="16.5" customHeight="1">
      <c r="A8" s="420" t="s">
        <v>4</v>
      </c>
      <c r="B8" s="747">
        <v>111729.68999995706</v>
      </c>
      <c r="C8" s="747">
        <v>96583.529999984734</v>
      </c>
      <c r="D8" s="421">
        <v>46491.040000014116</v>
      </c>
      <c r="E8" s="421">
        <v>50092.490000019287</v>
      </c>
      <c r="F8" s="421"/>
      <c r="G8" s="421">
        <v>9617.9899999989502</v>
      </c>
      <c r="H8" s="421">
        <v>4707.5299999999106</v>
      </c>
      <c r="I8" s="421">
        <v>4910.4599999998709</v>
      </c>
      <c r="J8" s="421"/>
      <c r="K8" s="421">
        <v>5528.16999999975</v>
      </c>
      <c r="L8" s="421">
        <v>2910.150000000021</v>
      </c>
      <c r="M8" s="421">
        <v>2618.0200000000186</v>
      </c>
      <c r="N8" s="473"/>
    </row>
    <row r="9" spans="1:16" ht="16.5" customHeight="1">
      <c r="A9" s="420" t="s">
        <v>5</v>
      </c>
      <c r="B9" s="747">
        <v>10037.229999998868</v>
      </c>
      <c r="C9" s="747">
        <v>7535.1699999993571</v>
      </c>
      <c r="D9" s="421">
        <v>3989.4700000000298</v>
      </c>
      <c r="E9" s="421">
        <v>3545.7000000000262</v>
      </c>
      <c r="F9" s="421"/>
      <c r="G9" s="421">
        <v>1175.2100000000069</v>
      </c>
      <c r="H9" s="421">
        <v>642.24000000000262</v>
      </c>
      <c r="I9" s="421">
        <v>532.97000000000173</v>
      </c>
      <c r="J9" s="421"/>
      <c r="K9" s="421">
        <v>1326.8500000000081</v>
      </c>
      <c r="L9" s="421">
        <v>680.15000000000293</v>
      </c>
      <c r="M9" s="421">
        <v>646.70000000000266</v>
      </c>
      <c r="N9" s="473"/>
    </row>
    <row r="10" spans="1:16" ht="18" customHeight="1">
      <c r="A10" s="422" t="s">
        <v>513</v>
      </c>
      <c r="B10" s="746"/>
      <c r="C10" s="746"/>
      <c r="D10" s="419"/>
      <c r="E10" s="419"/>
      <c r="F10" s="419"/>
      <c r="G10" s="419"/>
      <c r="H10" s="419"/>
      <c r="I10" s="419"/>
      <c r="J10" s="419"/>
      <c r="K10" s="419"/>
      <c r="L10" s="419"/>
      <c r="M10" s="419"/>
      <c r="N10" s="473"/>
    </row>
    <row r="11" spans="1:16" s="28" customFormat="1" ht="16.5" customHeight="1">
      <c r="A11" s="423" t="s">
        <v>148</v>
      </c>
      <c r="B11" s="748">
        <v>4107.660000000028</v>
      </c>
      <c r="C11" s="748">
        <v>3126.4600000000228</v>
      </c>
      <c r="D11" s="424">
        <v>1563.23000000001</v>
      </c>
      <c r="E11" s="424">
        <v>1563.23000000001</v>
      </c>
      <c r="F11" s="424"/>
      <c r="G11" s="424">
        <v>488.37000000000137</v>
      </c>
      <c r="H11" s="424">
        <v>272.0599999999996</v>
      </c>
      <c r="I11" s="424">
        <v>216.30999999999966</v>
      </c>
      <c r="J11" s="424"/>
      <c r="K11" s="424">
        <v>492.83000000000141</v>
      </c>
      <c r="L11" s="424">
        <v>260.90999999999951</v>
      </c>
      <c r="M11" s="424">
        <v>231.91999999999959</v>
      </c>
      <c r="N11" s="474"/>
    </row>
    <row r="12" spans="1:16" ht="16.5" customHeight="1">
      <c r="A12" s="475" t="s">
        <v>148</v>
      </c>
      <c r="B12" s="747">
        <v>1699.2600000000111</v>
      </c>
      <c r="C12" s="747">
        <v>1418.2800000000088</v>
      </c>
      <c r="D12" s="421">
        <v>662.31000000000279</v>
      </c>
      <c r="E12" s="421">
        <v>755.97000000000355</v>
      </c>
      <c r="F12" s="421"/>
      <c r="G12" s="421">
        <v>162.78999999999991</v>
      </c>
      <c r="H12" s="421">
        <v>78.049999999999983</v>
      </c>
      <c r="I12" s="421">
        <v>84.74</v>
      </c>
      <c r="J12" s="421"/>
      <c r="K12" s="421">
        <v>118.19000000000005</v>
      </c>
      <c r="L12" s="421">
        <v>71.359999999999971</v>
      </c>
      <c r="M12" s="421">
        <v>46.829999999999984</v>
      </c>
      <c r="N12" s="473"/>
    </row>
    <row r="13" spans="1:16" ht="16.5" customHeight="1">
      <c r="A13" s="475" t="s">
        <v>149</v>
      </c>
      <c r="B13" s="747">
        <v>1342.4600000000082</v>
      </c>
      <c r="C13" s="747">
        <v>992.35000000000548</v>
      </c>
      <c r="D13" s="421">
        <v>515.13000000000159</v>
      </c>
      <c r="E13" s="421">
        <v>477.22000000000128</v>
      </c>
      <c r="F13" s="421"/>
      <c r="G13" s="421">
        <v>169.47999999999988</v>
      </c>
      <c r="H13" s="421">
        <v>102.58000000000003</v>
      </c>
      <c r="I13" s="421">
        <v>66.900000000000006</v>
      </c>
      <c r="J13" s="421"/>
      <c r="K13" s="421">
        <v>180.62999999999982</v>
      </c>
      <c r="L13" s="421">
        <v>95.890000000000015</v>
      </c>
      <c r="M13" s="421">
        <v>84.74</v>
      </c>
      <c r="N13" s="473"/>
    </row>
    <row r="14" spans="1:16" ht="16.5" customHeight="1">
      <c r="A14" s="475" t="s">
        <v>150</v>
      </c>
      <c r="B14" s="747">
        <v>414.78000000000077</v>
      </c>
      <c r="C14" s="747">
        <v>218.53999999999965</v>
      </c>
      <c r="D14" s="421">
        <v>138.26000000000002</v>
      </c>
      <c r="E14" s="421">
        <v>80.279999999999987</v>
      </c>
      <c r="F14" s="421"/>
      <c r="G14" s="421">
        <v>84.74</v>
      </c>
      <c r="H14" s="421">
        <v>51.289999999999978</v>
      </c>
      <c r="I14" s="421">
        <v>33.450000000000003</v>
      </c>
      <c r="J14" s="421"/>
      <c r="K14" s="421">
        <v>111.50000000000004</v>
      </c>
      <c r="L14" s="421">
        <v>49.059999999999981</v>
      </c>
      <c r="M14" s="421">
        <v>62.439999999999962</v>
      </c>
      <c r="N14" s="473"/>
    </row>
    <row r="15" spans="1:16" ht="16.5" customHeight="1">
      <c r="A15" s="475" t="s">
        <v>151</v>
      </c>
      <c r="B15" s="747">
        <v>651.1600000000027</v>
      </c>
      <c r="C15" s="747">
        <v>497.29000000000144</v>
      </c>
      <c r="D15" s="421">
        <v>247.52999999999952</v>
      </c>
      <c r="E15" s="421">
        <v>249.75999999999951</v>
      </c>
      <c r="F15" s="421"/>
      <c r="G15" s="421">
        <v>71.359999999999971</v>
      </c>
      <c r="H15" s="421">
        <v>40.139999999999993</v>
      </c>
      <c r="I15" s="421">
        <v>31.220000000000002</v>
      </c>
      <c r="J15" s="421"/>
      <c r="K15" s="421">
        <v>82.509999999999991</v>
      </c>
      <c r="L15" s="421">
        <v>44.6</v>
      </c>
      <c r="M15" s="421">
        <v>37.909999999999997</v>
      </c>
      <c r="N15" s="473"/>
    </row>
    <row r="16" spans="1:16" s="28" customFormat="1" ht="16.5" customHeight="1">
      <c r="A16" s="423" t="s">
        <v>152</v>
      </c>
      <c r="B16" s="748">
        <v>2167.560000000015</v>
      </c>
      <c r="C16" s="748">
        <v>1563.23000000001</v>
      </c>
      <c r="D16" s="424">
        <v>894.23000000000468</v>
      </c>
      <c r="E16" s="424">
        <v>669.00000000000284</v>
      </c>
      <c r="F16" s="424"/>
      <c r="G16" s="424">
        <v>274.28999999999962</v>
      </c>
      <c r="H16" s="424">
        <v>144.94999999999999</v>
      </c>
      <c r="I16" s="424">
        <v>129.34000000000006</v>
      </c>
      <c r="J16" s="424"/>
      <c r="K16" s="424">
        <v>330.04000000000008</v>
      </c>
      <c r="L16" s="424">
        <v>153.86999999999995</v>
      </c>
      <c r="M16" s="424">
        <v>176.16999999999985</v>
      </c>
      <c r="N16" s="474"/>
    </row>
    <row r="17" spans="1:14" ht="16.5" customHeight="1">
      <c r="A17" s="475" t="s">
        <v>153</v>
      </c>
      <c r="B17" s="747">
        <v>1204.2000000000071</v>
      </c>
      <c r="C17" s="747">
        <v>963.36000000000524</v>
      </c>
      <c r="D17" s="421">
        <v>541.89000000000181</v>
      </c>
      <c r="E17" s="421">
        <v>421.47000000000082</v>
      </c>
      <c r="F17" s="421"/>
      <c r="G17" s="421">
        <v>144.94999999999999</v>
      </c>
      <c r="H17" s="421">
        <v>78.049999999999983</v>
      </c>
      <c r="I17" s="421">
        <v>66.900000000000006</v>
      </c>
      <c r="J17" s="421"/>
      <c r="K17" s="421">
        <v>95.890000000000015</v>
      </c>
      <c r="L17" s="421">
        <v>44.6</v>
      </c>
      <c r="M17" s="421">
        <v>51.289999999999978</v>
      </c>
      <c r="N17" s="473"/>
    </row>
    <row r="18" spans="1:14" ht="16.5" customHeight="1">
      <c r="A18" s="475" t="s">
        <v>154</v>
      </c>
      <c r="B18" s="747">
        <v>147.17999999999998</v>
      </c>
      <c r="C18" s="747">
        <v>122.65000000000006</v>
      </c>
      <c r="D18" s="421">
        <v>75.819999999999979</v>
      </c>
      <c r="E18" s="421">
        <v>46.829999999999984</v>
      </c>
      <c r="F18" s="421"/>
      <c r="G18" s="421">
        <v>11.15</v>
      </c>
      <c r="H18" s="421">
        <v>4.46</v>
      </c>
      <c r="I18" s="421">
        <v>6.6899999999999995</v>
      </c>
      <c r="J18" s="421"/>
      <c r="K18" s="421">
        <v>13.38</v>
      </c>
      <c r="L18" s="421">
        <v>6.6899999999999995</v>
      </c>
      <c r="M18" s="421">
        <v>6.6899999999999995</v>
      </c>
      <c r="N18" s="473"/>
    </row>
    <row r="19" spans="1:14" ht="16.5" customHeight="1">
      <c r="A19" s="475" t="s">
        <v>155</v>
      </c>
      <c r="B19" s="747">
        <v>392.48000000000059</v>
      </c>
      <c r="C19" s="747">
        <v>231.91999999999959</v>
      </c>
      <c r="D19" s="421">
        <v>136.03000000000003</v>
      </c>
      <c r="E19" s="421">
        <v>95.890000000000015</v>
      </c>
      <c r="F19" s="421"/>
      <c r="G19" s="421">
        <v>80.279999999999987</v>
      </c>
      <c r="H19" s="421">
        <v>44.6</v>
      </c>
      <c r="I19" s="421">
        <v>35.68</v>
      </c>
      <c r="J19" s="421"/>
      <c r="K19" s="421">
        <v>80.279999999999987</v>
      </c>
      <c r="L19" s="421">
        <v>31.220000000000002</v>
      </c>
      <c r="M19" s="421">
        <v>49.059999999999981</v>
      </c>
      <c r="N19" s="473"/>
    </row>
    <row r="20" spans="1:14" ht="16.5" customHeight="1">
      <c r="A20" s="475" t="s">
        <v>156</v>
      </c>
      <c r="B20" s="747">
        <v>423.70000000000084</v>
      </c>
      <c r="C20" s="747">
        <v>245.29999999999953</v>
      </c>
      <c r="D20" s="421">
        <v>140.49</v>
      </c>
      <c r="E20" s="421">
        <v>104.81000000000003</v>
      </c>
      <c r="F20" s="421"/>
      <c r="G20" s="421">
        <v>37.909999999999997</v>
      </c>
      <c r="H20" s="421">
        <v>17.84</v>
      </c>
      <c r="I20" s="421">
        <v>20.07</v>
      </c>
      <c r="J20" s="421"/>
      <c r="K20" s="421">
        <v>140.49</v>
      </c>
      <c r="L20" s="421">
        <v>71.359999999999971</v>
      </c>
      <c r="M20" s="421">
        <v>69.129999999999967</v>
      </c>
      <c r="N20" s="473"/>
    </row>
    <row r="21" spans="1:14" s="28" customFormat="1" ht="16.5" customHeight="1">
      <c r="A21" s="423" t="s">
        <v>157</v>
      </c>
      <c r="B21" s="748">
        <v>50643.300000020077</v>
      </c>
      <c r="C21" s="748">
        <v>42965.410000009055</v>
      </c>
      <c r="D21" s="424">
        <v>21013.289999996719</v>
      </c>
      <c r="E21" s="424">
        <v>21952.119999996536</v>
      </c>
      <c r="F21" s="424"/>
      <c r="G21" s="424">
        <v>4698.6099999999124</v>
      </c>
      <c r="H21" s="424">
        <v>2332.5800000000163</v>
      </c>
      <c r="I21" s="424">
        <v>2366.0300000000166</v>
      </c>
      <c r="J21" s="424"/>
      <c r="K21" s="424">
        <v>2979.2800000000216</v>
      </c>
      <c r="L21" s="424">
        <v>1574.3800000000101</v>
      </c>
      <c r="M21" s="424">
        <v>1404.9000000000087</v>
      </c>
      <c r="N21" s="474"/>
    </row>
    <row r="22" spans="1:14" ht="16.5" customHeight="1">
      <c r="A22" s="475" t="s">
        <v>157</v>
      </c>
      <c r="B22" s="747">
        <v>29137.179999995129</v>
      </c>
      <c r="C22" s="747">
        <v>24799.829999995978</v>
      </c>
      <c r="D22" s="421">
        <v>11901.509999998503</v>
      </c>
      <c r="E22" s="421">
        <v>12898.319999998308</v>
      </c>
      <c r="F22" s="421"/>
      <c r="G22" s="421">
        <v>2780.81000000002</v>
      </c>
      <c r="H22" s="421">
        <v>1335.7700000000082</v>
      </c>
      <c r="I22" s="421">
        <v>1445.0400000000091</v>
      </c>
      <c r="J22" s="421"/>
      <c r="K22" s="421">
        <v>1556.54000000001</v>
      </c>
      <c r="L22" s="421">
        <v>836.25000000000421</v>
      </c>
      <c r="M22" s="421">
        <v>720.29000000000326</v>
      </c>
      <c r="N22" s="473"/>
    </row>
    <row r="23" spans="1:14" ht="16.5" customHeight="1">
      <c r="A23" s="475" t="s">
        <v>158</v>
      </c>
      <c r="B23" s="747">
        <v>8346.8899999991991</v>
      </c>
      <c r="C23" s="747">
        <v>6870.6299999994872</v>
      </c>
      <c r="D23" s="421">
        <v>3503.3300000000258</v>
      </c>
      <c r="E23" s="421">
        <v>3367.3000000000247</v>
      </c>
      <c r="F23" s="421"/>
      <c r="G23" s="421">
        <v>854.09000000000435</v>
      </c>
      <c r="H23" s="421">
        <v>441.54000000000099</v>
      </c>
      <c r="I23" s="421">
        <v>412.55000000000075</v>
      </c>
      <c r="J23" s="421"/>
      <c r="K23" s="421">
        <v>622.17000000000246</v>
      </c>
      <c r="L23" s="421">
        <v>327.81000000000006</v>
      </c>
      <c r="M23" s="421">
        <v>294.35999999999979</v>
      </c>
      <c r="N23" s="473"/>
    </row>
    <row r="24" spans="1:14" ht="16.5" customHeight="1">
      <c r="A24" s="475" t="s">
        <v>159</v>
      </c>
      <c r="B24" s="747">
        <v>13159.229999998257</v>
      </c>
      <c r="C24" s="747">
        <v>11294.949999998622</v>
      </c>
      <c r="D24" s="421">
        <v>5608.4499999997342</v>
      </c>
      <c r="E24" s="421">
        <v>5686.499999999719</v>
      </c>
      <c r="F24" s="421"/>
      <c r="G24" s="421">
        <v>1063.7100000000059</v>
      </c>
      <c r="H24" s="421">
        <v>555.27000000000191</v>
      </c>
      <c r="I24" s="421">
        <v>508.44000000000153</v>
      </c>
      <c r="J24" s="421"/>
      <c r="K24" s="421">
        <v>800.57000000000392</v>
      </c>
      <c r="L24" s="421">
        <v>410.32000000000073</v>
      </c>
      <c r="M24" s="421">
        <v>390.25000000000057</v>
      </c>
      <c r="N24" s="473"/>
    </row>
    <row r="25" spans="1:14" s="28" customFormat="1" ht="16.5" customHeight="1">
      <c r="A25" s="423" t="s">
        <v>160</v>
      </c>
      <c r="B25" s="748">
        <v>52652.530000022962</v>
      </c>
      <c r="C25" s="748">
        <v>46526.720000014167</v>
      </c>
      <c r="D25" s="424">
        <v>21923.129999996541</v>
      </c>
      <c r="E25" s="424">
        <v>24603.589999996017</v>
      </c>
      <c r="F25" s="424"/>
      <c r="G25" s="424">
        <v>4196.8600000000106</v>
      </c>
      <c r="H25" s="424">
        <v>1973.5500000000134</v>
      </c>
      <c r="I25" s="424">
        <v>2223.3100000000154</v>
      </c>
      <c r="J25" s="424"/>
      <c r="K25" s="424">
        <v>1928.950000000013</v>
      </c>
      <c r="L25" s="424">
        <v>1021.3400000000057</v>
      </c>
      <c r="M25" s="424">
        <v>907.61000000000479</v>
      </c>
      <c r="N25" s="474"/>
    </row>
    <row r="26" spans="1:14" ht="16.5" customHeight="1">
      <c r="A26" s="475" t="s">
        <v>160</v>
      </c>
      <c r="B26" s="747">
        <v>52652.530000022962</v>
      </c>
      <c r="C26" s="747">
        <v>46526.720000014167</v>
      </c>
      <c r="D26" s="421">
        <v>21923.129999996541</v>
      </c>
      <c r="E26" s="421">
        <v>24603.589999996017</v>
      </c>
      <c r="F26" s="421"/>
      <c r="G26" s="421">
        <v>4196.8600000000106</v>
      </c>
      <c r="H26" s="421">
        <v>1973.5500000000134</v>
      </c>
      <c r="I26" s="421">
        <v>2223.3100000000154</v>
      </c>
      <c r="J26" s="421"/>
      <c r="K26" s="421">
        <v>1928.950000000013</v>
      </c>
      <c r="L26" s="421">
        <v>1021.3400000000057</v>
      </c>
      <c r="M26" s="421">
        <v>907.61000000000479</v>
      </c>
      <c r="N26" s="473"/>
    </row>
    <row r="27" spans="1:14" s="28" customFormat="1" ht="16.5" customHeight="1">
      <c r="A27" s="423" t="s">
        <v>161</v>
      </c>
      <c r="B27" s="748">
        <v>1694.8000000000111</v>
      </c>
      <c r="C27" s="748">
        <v>1324.6200000000081</v>
      </c>
      <c r="D27" s="424">
        <v>695.76000000000306</v>
      </c>
      <c r="E27" s="424">
        <v>628.86000000000251</v>
      </c>
      <c r="F27" s="424"/>
      <c r="G27" s="424">
        <v>198.46999999999974</v>
      </c>
      <c r="H27" s="424">
        <v>113.73000000000005</v>
      </c>
      <c r="I27" s="424">
        <v>84.74</v>
      </c>
      <c r="J27" s="424"/>
      <c r="K27" s="424">
        <v>171.70999999999987</v>
      </c>
      <c r="L27" s="424">
        <v>75.819999999999979</v>
      </c>
      <c r="M27" s="424">
        <v>95.890000000000015</v>
      </c>
      <c r="N27" s="474"/>
    </row>
    <row r="28" spans="1:14" ht="16.5" customHeight="1">
      <c r="A28" s="475" t="s">
        <v>161</v>
      </c>
      <c r="B28" s="747">
        <v>1694.8000000000111</v>
      </c>
      <c r="C28" s="747">
        <v>1324.6200000000081</v>
      </c>
      <c r="D28" s="421">
        <v>695.76000000000306</v>
      </c>
      <c r="E28" s="421">
        <v>628.86000000000251</v>
      </c>
      <c r="F28" s="421"/>
      <c r="G28" s="421">
        <v>198.46999999999974</v>
      </c>
      <c r="H28" s="421">
        <v>113.73000000000005</v>
      </c>
      <c r="I28" s="421">
        <v>84.74</v>
      </c>
      <c r="J28" s="421"/>
      <c r="K28" s="421">
        <v>171.70999999999987</v>
      </c>
      <c r="L28" s="421">
        <v>75.819999999999979</v>
      </c>
      <c r="M28" s="421">
        <v>95.890000000000015</v>
      </c>
      <c r="N28" s="473"/>
    </row>
    <row r="29" spans="1:14" s="28" customFormat="1" ht="16.5" customHeight="1">
      <c r="A29" s="423" t="s">
        <v>162</v>
      </c>
      <c r="B29" s="748">
        <v>2647.0100000000189</v>
      </c>
      <c r="C29" s="748">
        <v>2265.6800000000158</v>
      </c>
      <c r="D29" s="424">
        <v>1112.7700000000063</v>
      </c>
      <c r="E29" s="424">
        <v>1152.9100000000067</v>
      </c>
      <c r="F29" s="424"/>
      <c r="G29" s="424">
        <v>222.99999999999963</v>
      </c>
      <c r="H29" s="424">
        <v>122.65000000000006</v>
      </c>
      <c r="I29" s="424">
        <v>100.35000000000002</v>
      </c>
      <c r="J29" s="424"/>
      <c r="K29" s="424">
        <v>158.32999999999993</v>
      </c>
      <c r="L29" s="424">
        <v>69.129999999999967</v>
      </c>
      <c r="M29" s="424">
        <v>89.2</v>
      </c>
      <c r="N29" s="474"/>
    </row>
    <row r="30" spans="1:14" ht="16.5" customHeight="1">
      <c r="A30" s="475" t="s">
        <v>162</v>
      </c>
      <c r="B30" s="747">
        <v>2647.0100000000189</v>
      </c>
      <c r="C30" s="747">
        <v>2265.6800000000158</v>
      </c>
      <c r="D30" s="421">
        <v>1112.7700000000063</v>
      </c>
      <c r="E30" s="421">
        <v>1152.9100000000067</v>
      </c>
      <c r="F30" s="421"/>
      <c r="G30" s="421">
        <v>222.99999999999963</v>
      </c>
      <c r="H30" s="421">
        <v>122.65000000000006</v>
      </c>
      <c r="I30" s="421">
        <v>100.35000000000002</v>
      </c>
      <c r="J30" s="421"/>
      <c r="K30" s="421">
        <v>158.32999999999993</v>
      </c>
      <c r="L30" s="421">
        <v>69.129999999999967</v>
      </c>
      <c r="M30" s="421">
        <v>89.2</v>
      </c>
      <c r="N30" s="473"/>
    </row>
    <row r="31" spans="1:14" s="28" customFormat="1" ht="16.5" customHeight="1">
      <c r="A31" s="423" t="s">
        <v>163</v>
      </c>
      <c r="B31" s="748">
        <v>7854.0599999992946</v>
      </c>
      <c r="C31" s="748">
        <v>6346.5799999995897</v>
      </c>
      <c r="D31" s="424">
        <v>3278.100000000024</v>
      </c>
      <c r="E31" s="424">
        <v>3068.4800000000223</v>
      </c>
      <c r="F31" s="424"/>
      <c r="G31" s="424">
        <v>713.60000000000321</v>
      </c>
      <c r="H31" s="424">
        <v>390.25000000000057</v>
      </c>
      <c r="I31" s="424">
        <v>323.35000000000002</v>
      </c>
      <c r="J31" s="424"/>
      <c r="K31" s="424">
        <v>793.88000000000386</v>
      </c>
      <c r="L31" s="424">
        <v>434.85000000000093</v>
      </c>
      <c r="M31" s="424">
        <v>359.03000000000031</v>
      </c>
      <c r="N31" s="474"/>
    </row>
    <row r="32" spans="1:14" ht="16.5" customHeight="1">
      <c r="A32" s="475" t="s">
        <v>163</v>
      </c>
      <c r="B32" s="747">
        <v>7854.0599999992946</v>
      </c>
      <c r="C32" s="747">
        <v>6346.5799999995897</v>
      </c>
      <c r="D32" s="421">
        <v>3278.100000000024</v>
      </c>
      <c r="E32" s="421">
        <v>3068.4800000000223</v>
      </c>
      <c r="F32" s="421"/>
      <c r="G32" s="421">
        <v>713.60000000000321</v>
      </c>
      <c r="H32" s="421">
        <v>390.25000000000057</v>
      </c>
      <c r="I32" s="421">
        <v>323.35000000000002</v>
      </c>
      <c r="J32" s="421"/>
      <c r="K32" s="421">
        <v>793.88000000000386</v>
      </c>
      <c r="L32" s="421">
        <v>434.85000000000093</v>
      </c>
      <c r="M32" s="421">
        <v>359.03000000000031</v>
      </c>
      <c r="N32" s="473"/>
    </row>
  </sheetData>
  <mergeCells count="7">
    <mergeCell ref="C3:E3"/>
    <mergeCell ref="G3:I3"/>
    <mergeCell ref="K3:M3"/>
    <mergeCell ref="A1:M1"/>
    <mergeCell ref="A2:A4"/>
    <mergeCell ref="C2:M2"/>
    <mergeCell ref="B2:B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9721-4C2A-40CE-A5C2-93F01D4B27E9}">
  <sheetPr>
    <tabColor theme="0"/>
  </sheetPr>
  <dimension ref="A1:AG32"/>
  <sheetViews>
    <sheetView zoomScale="91" zoomScaleNormal="91" workbookViewId="0">
      <selection activeCell="A10" sqref="A10"/>
    </sheetView>
  </sheetViews>
  <sheetFormatPr defaultRowHeight="15.75" customHeight="1"/>
  <cols>
    <col min="1" max="1" width="21.28515625" style="30" customWidth="1"/>
    <col min="2" max="2" width="12.28515625" style="30" customWidth="1"/>
    <col min="3" max="3" width="16.28515625" style="30" customWidth="1"/>
    <col min="4" max="4" width="2.28515625" style="30" customWidth="1"/>
    <col min="5" max="7" width="9.140625" style="30"/>
    <col min="8" max="8" width="2.28515625" style="30" customWidth="1"/>
    <col min="9" max="11" width="9.140625" style="30"/>
    <col min="12" max="12" width="2.28515625" style="30" customWidth="1"/>
    <col min="13" max="15" width="9.140625" style="30"/>
    <col min="16" max="16" width="2.28515625" style="30" customWidth="1"/>
    <col min="17" max="19" width="9.140625" style="30"/>
    <col min="20" max="20" width="2.28515625" style="30" customWidth="1"/>
    <col min="21" max="23" width="9.140625" style="30"/>
    <col min="24" max="24" width="2.28515625" style="30" customWidth="1"/>
    <col min="25" max="16384" width="9.140625" style="30"/>
  </cols>
  <sheetData>
    <row r="1" spans="1:33" ht="21.75" customHeight="1" thickBot="1">
      <c r="A1" s="1086" t="s">
        <v>531</v>
      </c>
      <c r="B1" s="1086"/>
      <c r="C1" s="1086"/>
      <c r="D1" s="1086"/>
      <c r="E1" s="1086"/>
      <c r="F1" s="1086"/>
      <c r="G1" s="1086"/>
      <c r="H1" s="1086"/>
      <c r="I1" s="1086"/>
      <c r="J1" s="1086"/>
      <c r="K1" s="1086"/>
      <c r="L1" s="1086"/>
      <c r="M1" s="1086"/>
      <c r="N1" s="1086"/>
      <c r="O1" s="1086"/>
      <c r="P1" s="1086"/>
      <c r="Q1" s="1086"/>
      <c r="R1" s="1086"/>
      <c r="S1" s="1086"/>
      <c r="T1" s="1086"/>
      <c r="U1" s="1086"/>
      <c r="V1" s="1086"/>
      <c r="W1" s="1086"/>
      <c r="X1" s="1086"/>
      <c r="Y1" s="1086"/>
      <c r="Z1" s="1086"/>
      <c r="AA1" s="751"/>
      <c r="AB1" s="469"/>
      <c r="AC1" s="469"/>
      <c r="AD1" s="469"/>
      <c r="AE1" s="469"/>
      <c r="AF1" s="469"/>
      <c r="AG1" s="469"/>
    </row>
    <row r="2" spans="1:33" ht="14.25" customHeight="1">
      <c r="A2" s="752"/>
      <c r="B2" s="752"/>
      <c r="C2" s="1087" t="s">
        <v>455</v>
      </c>
      <c r="D2" s="752"/>
      <c r="E2" s="1088" t="s">
        <v>533</v>
      </c>
      <c r="F2" s="1088"/>
      <c r="G2" s="1088"/>
      <c r="H2" s="1088"/>
      <c r="I2" s="1088"/>
      <c r="J2" s="1088"/>
      <c r="K2" s="1088"/>
      <c r="L2" s="1088"/>
      <c r="M2" s="1088"/>
      <c r="N2" s="1088"/>
      <c r="O2" s="1088"/>
      <c r="P2" s="1088"/>
      <c r="Q2" s="1088"/>
      <c r="R2" s="1088"/>
      <c r="S2" s="1088"/>
      <c r="T2" s="1088"/>
      <c r="U2" s="1088"/>
      <c r="V2" s="1088"/>
      <c r="W2" s="1088"/>
      <c r="X2" s="1088"/>
      <c r="Y2" s="1088"/>
      <c r="Z2" s="1088"/>
      <c r="AA2" s="1088"/>
      <c r="AB2" s="469"/>
      <c r="AC2" s="469"/>
      <c r="AD2" s="469"/>
      <c r="AE2" s="469"/>
      <c r="AF2" s="469"/>
      <c r="AG2" s="469"/>
    </row>
    <row r="3" spans="1:33" ht="19.5" customHeight="1">
      <c r="A3" s="1084" t="s">
        <v>532</v>
      </c>
      <c r="B3" s="1081" t="s">
        <v>454</v>
      </c>
      <c r="C3" s="1081"/>
      <c r="D3" s="607"/>
      <c r="E3" s="1083" t="s">
        <v>456</v>
      </c>
      <c r="F3" s="1083"/>
      <c r="G3" s="1083"/>
      <c r="H3" s="425"/>
      <c r="I3" s="1083" t="s">
        <v>449</v>
      </c>
      <c r="J3" s="1083"/>
      <c r="K3" s="1083"/>
      <c r="L3" s="425"/>
      <c r="M3" s="1083" t="s">
        <v>450</v>
      </c>
      <c r="N3" s="1083"/>
      <c r="O3" s="1083"/>
      <c r="P3" s="425"/>
      <c r="Q3" s="1083" t="s">
        <v>457</v>
      </c>
      <c r="R3" s="1083"/>
      <c r="S3" s="1083"/>
      <c r="T3" s="425"/>
      <c r="U3" s="1083" t="s">
        <v>458</v>
      </c>
      <c r="V3" s="1083"/>
      <c r="W3" s="1083"/>
      <c r="X3" s="425"/>
      <c r="Y3" s="1083" t="s">
        <v>171</v>
      </c>
      <c r="Z3" s="1083"/>
      <c r="AA3" s="1083"/>
      <c r="AB3" s="476"/>
    </row>
    <row r="4" spans="1:33" ht="19.5" customHeight="1">
      <c r="A4" s="1085"/>
      <c r="B4" s="1082"/>
      <c r="C4" s="1081"/>
      <c r="D4" s="607"/>
      <c r="E4" s="479" t="s">
        <v>0</v>
      </c>
      <c r="F4" s="479" t="s">
        <v>1</v>
      </c>
      <c r="G4" s="479" t="s">
        <v>2</v>
      </c>
      <c r="H4" s="479"/>
      <c r="I4" s="479" t="s">
        <v>0</v>
      </c>
      <c r="J4" s="479" t="s">
        <v>1</v>
      </c>
      <c r="K4" s="479" t="s">
        <v>2</v>
      </c>
      <c r="L4" s="479"/>
      <c r="M4" s="479" t="s">
        <v>0</v>
      </c>
      <c r="N4" s="479" t="s">
        <v>1</v>
      </c>
      <c r="O4" s="479" t="s">
        <v>2</v>
      </c>
      <c r="P4" s="479"/>
      <c r="Q4" s="479" t="s">
        <v>0</v>
      </c>
      <c r="R4" s="479" t="s">
        <v>1</v>
      </c>
      <c r="S4" s="479" t="s">
        <v>2</v>
      </c>
      <c r="T4" s="479"/>
      <c r="U4" s="479" t="s">
        <v>0</v>
      </c>
      <c r="V4" s="479" t="s">
        <v>1</v>
      </c>
      <c r="W4" s="479" t="s">
        <v>2</v>
      </c>
      <c r="X4" s="479"/>
      <c r="Y4" s="479" t="s">
        <v>0</v>
      </c>
      <c r="Z4" s="479" t="s">
        <v>1</v>
      </c>
      <c r="AA4" s="479" t="s">
        <v>2</v>
      </c>
      <c r="AB4" s="476"/>
    </row>
    <row r="5" spans="1:33" ht="18" customHeight="1">
      <c r="A5" s="426" t="s">
        <v>146</v>
      </c>
      <c r="B5" s="427">
        <v>863953.06389606185</v>
      </c>
      <c r="C5" s="427">
        <v>777230.09889690601</v>
      </c>
      <c r="D5" s="427"/>
      <c r="E5" s="427">
        <v>119128.35080004387</v>
      </c>
      <c r="F5" s="427">
        <v>56213.770699999637</v>
      </c>
      <c r="G5" s="427">
        <v>62914.580099996208</v>
      </c>
      <c r="H5" s="427"/>
      <c r="I5" s="427">
        <v>292902.6459002698</v>
      </c>
      <c r="J5" s="427">
        <v>149022.47300006528</v>
      </c>
      <c r="K5" s="427">
        <v>143880.17290005359</v>
      </c>
      <c r="L5" s="427"/>
      <c r="M5" s="427">
        <v>221999.62300028399</v>
      </c>
      <c r="N5" s="427">
        <v>119369.93080003461</v>
      </c>
      <c r="O5" s="427">
        <v>102629.69220002046</v>
      </c>
      <c r="P5" s="427"/>
      <c r="Q5" s="427">
        <v>56107.096499992353</v>
      </c>
      <c r="R5" s="427">
        <v>31087.284900006733</v>
      </c>
      <c r="S5" s="427">
        <v>25019.811600002944</v>
      </c>
      <c r="T5" s="427"/>
      <c r="U5" s="427">
        <v>84961.941200003377</v>
      </c>
      <c r="V5" s="427">
        <v>33302.077700005291</v>
      </c>
      <c r="W5" s="427">
        <v>51659.863499994601</v>
      </c>
      <c r="X5" s="427"/>
      <c r="Y5" s="427">
        <v>2130.4414999999922</v>
      </c>
      <c r="Z5" s="427">
        <v>1042.3875000000007</v>
      </c>
      <c r="AA5" s="427">
        <v>1088.0540000000008</v>
      </c>
      <c r="AB5" s="476"/>
    </row>
    <row r="6" spans="1:33" ht="15.75" customHeight="1">
      <c r="A6" s="428"/>
      <c r="B6" s="429"/>
      <c r="C6" s="429"/>
      <c r="D6" s="429"/>
      <c r="E6" s="429"/>
      <c r="F6" s="429"/>
      <c r="G6" s="429"/>
      <c r="H6" s="429"/>
      <c r="I6" s="429"/>
      <c r="J6" s="429"/>
      <c r="K6" s="429"/>
      <c r="L6" s="429"/>
      <c r="M6" s="429"/>
      <c r="N6" s="429"/>
      <c r="O6" s="429"/>
      <c r="P6" s="429"/>
      <c r="Q6" s="429"/>
      <c r="R6" s="429"/>
      <c r="S6" s="429"/>
      <c r="T6" s="429"/>
      <c r="U6" s="429"/>
      <c r="V6" s="429"/>
      <c r="W6" s="429"/>
      <c r="X6" s="429"/>
      <c r="Y6" s="429"/>
      <c r="Z6" s="429"/>
      <c r="AA6" s="429"/>
      <c r="AB6" s="476"/>
    </row>
    <row r="7" spans="1:33" ht="18" customHeight="1">
      <c r="A7" s="426" t="s">
        <v>3</v>
      </c>
      <c r="B7" s="430"/>
      <c r="C7" s="430"/>
      <c r="D7" s="430"/>
      <c r="E7" s="430"/>
      <c r="F7" s="430"/>
      <c r="G7" s="430"/>
      <c r="H7" s="430"/>
      <c r="I7" s="430"/>
      <c r="J7" s="430"/>
      <c r="K7" s="430"/>
      <c r="L7" s="430"/>
      <c r="M7" s="430"/>
      <c r="N7" s="430"/>
      <c r="O7" s="430"/>
      <c r="P7" s="430"/>
      <c r="Q7" s="430"/>
      <c r="R7" s="430"/>
      <c r="S7" s="430"/>
      <c r="T7" s="430"/>
      <c r="U7" s="430"/>
      <c r="V7" s="430"/>
      <c r="W7" s="430"/>
      <c r="X7" s="430"/>
      <c r="Y7" s="430"/>
      <c r="Z7" s="430"/>
      <c r="AA7" s="430"/>
      <c r="AB7" s="476"/>
    </row>
    <row r="8" spans="1:33" ht="15.75" customHeight="1">
      <c r="A8" s="428" t="s">
        <v>4</v>
      </c>
      <c r="B8" s="429">
        <v>774788.53019704798</v>
      </c>
      <c r="C8" s="429">
        <v>710437.63739753806</v>
      </c>
      <c r="D8" s="429"/>
      <c r="E8" s="429">
        <v>101410.3656000308</v>
      </c>
      <c r="F8" s="429">
        <v>45814.970100001534</v>
      </c>
      <c r="G8" s="429">
        <v>55595.395499996594</v>
      </c>
      <c r="H8" s="429"/>
      <c r="I8" s="429">
        <v>269482.62590031611</v>
      </c>
      <c r="J8" s="429">
        <v>135994.72890003546</v>
      </c>
      <c r="K8" s="429">
        <v>133487.89700002919</v>
      </c>
      <c r="L8" s="429"/>
      <c r="M8" s="429">
        <v>216478.54050027672</v>
      </c>
      <c r="N8" s="429">
        <v>115868.1368000326</v>
      </c>
      <c r="O8" s="429">
        <v>100610.4037000183</v>
      </c>
      <c r="P8" s="429"/>
      <c r="Q8" s="429">
        <v>55530.353899992588</v>
      </c>
      <c r="R8" s="429">
        <v>30715.376000006647</v>
      </c>
      <c r="S8" s="429">
        <v>24814.977900002905</v>
      </c>
      <c r="T8" s="429"/>
      <c r="U8" s="429">
        <v>65562.16449998811</v>
      </c>
      <c r="V8" s="429">
        <v>24044.312700002894</v>
      </c>
      <c r="W8" s="429">
        <v>41517.851800000317</v>
      </c>
      <c r="X8" s="429"/>
      <c r="Y8" s="429">
        <v>1973.5870000000016</v>
      </c>
      <c r="Z8" s="429">
        <v>970.90950000000078</v>
      </c>
      <c r="AA8" s="429">
        <v>1002.6775000000008</v>
      </c>
      <c r="AB8" s="476"/>
    </row>
    <row r="9" spans="1:33" ht="15.75" customHeight="1">
      <c r="A9" s="428" t="s">
        <v>5</v>
      </c>
      <c r="B9" s="429">
        <v>89164.533700007407</v>
      </c>
      <c r="C9" s="429">
        <v>66792.461500000456</v>
      </c>
      <c r="D9" s="429"/>
      <c r="E9" s="429">
        <v>17717.985200000745</v>
      </c>
      <c r="F9" s="429">
        <v>10398.800599999691</v>
      </c>
      <c r="G9" s="429">
        <v>7319.1845999994957</v>
      </c>
      <c r="H9" s="429"/>
      <c r="I9" s="429">
        <v>23420.020000001994</v>
      </c>
      <c r="J9" s="429">
        <v>13027.744100000275</v>
      </c>
      <c r="K9" s="429">
        <v>10392.275899999855</v>
      </c>
      <c r="L9" s="429"/>
      <c r="M9" s="429">
        <v>5521.0824999996867</v>
      </c>
      <c r="N9" s="429">
        <v>3501.7939999999053</v>
      </c>
      <c r="O9" s="429">
        <v>2019.2885000000024</v>
      </c>
      <c r="P9" s="429"/>
      <c r="Q9" s="429">
        <v>576.74259999999788</v>
      </c>
      <c r="R9" s="429">
        <v>371.90889999999911</v>
      </c>
      <c r="S9" s="429">
        <v>204.83370000000022</v>
      </c>
      <c r="T9" s="429"/>
      <c r="U9" s="429">
        <v>19399.776700001898</v>
      </c>
      <c r="V9" s="429">
        <v>9257.7649999996411</v>
      </c>
      <c r="W9" s="429">
        <v>10142.011699999681</v>
      </c>
      <c r="X9" s="429"/>
      <c r="Y9" s="429">
        <v>156.85450000000012</v>
      </c>
      <c r="Z9" s="429">
        <v>71.478000000000051</v>
      </c>
      <c r="AA9" s="429">
        <v>85.376500000000064</v>
      </c>
      <c r="AB9" s="476"/>
    </row>
    <row r="10" spans="1:33" ht="18" customHeight="1">
      <c r="A10" s="426" t="s">
        <v>513</v>
      </c>
      <c r="B10" s="430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0"/>
      <c r="T10" s="430"/>
      <c r="U10" s="430"/>
      <c r="V10" s="430"/>
      <c r="W10" s="430"/>
      <c r="X10" s="430"/>
      <c r="Y10" s="430"/>
      <c r="Z10" s="430"/>
      <c r="AA10" s="430"/>
      <c r="AB10" s="476"/>
    </row>
    <row r="11" spans="1:33" s="28" customFormat="1" ht="15.75" customHeight="1">
      <c r="A11" s="431" t="s">
        <v>148</v>
      </c>
      <c r="B11" s="432">
        <v>41880.81210000367</v>
      </c>
      <c r="C11" s="432">
        <v>31133.162400002631</v>
      </c>
      <c r="D11" s="432"/>
      <c r="E11" s="432">
        <v>7332.0797999995393</v>
      </c>
      <c r="F11" s="432">
        <v>4203.2798999998813</v>
      </c>
      <c r="G11" s="432">
        <v>3128.7998999999245</v>
      </c>
      <c r="H11" s="432"/>
      <c r="I11" s="432">
        <v>12152.831600000169</v>
      </c>
      <c r="J11" s="432">
        <v>6680.8165999996254</v>
      </c>
      <c r="K11" s="432">
        <v>5472.0149999997557</v>
      </c>
      <c r="L11" s="432"/>
      <c r="M11" s="432">
        <v>3122.70259999992</v>
      </c>
      <c r="N11" s="432">
        <v>2029.8451000000025</v>
      </c>
      <c r="O11" s="432">
        <v>1092.8575000000028</v>
      </c>
      <c r="P11" s="432"/>
      <c r="Q11" s="432">
        <v>212.1191000000002</v>
      </c>
      <c r="R11" s="432">
        <v>157.17120000000011</v>
      </c>
      <c r="S11" s="432">
        <v>54.947899999999997</v>
      </c>
      <c r="T11" s="432"/>
      <c r="U11" s="432">
        <v>8216.139799999517</v>
      </c>
      <c r="V11" s="432">
        <v>3820.1231999999418</v>
      </c>
      <c r="W11" s="432">
        <v>4396.0165999999026</v>
      </c>
      <c r="X11" s="432"/>
      <c r="Y11" s="432">
        <v>97.289500000000075</v>
      </c>
      <c r="Z11" s="432">
        <v>47.652000000000029</v>
      </c>
      <c r="AA11" s="432">
        <v>49.637500000000031</v>
      </c>
      <c r="AB11" s="477"/>
    </row>
    <row r="12" spans="1:33" ht="15.75" customHeight="1">
      <c r="A12" s="478" t="s">
        <v>148</v>
      </c>
      <c r="B12" s="429">
        <v>14373.294800000422</v>
      </c>
      <c r="C12" s="429">
        <v>12195.972200000051</v>
      </c>
      <c r="D12" s="429"/>
      <c r="E12" s="429">
        <v>2498.2671999999743</v>
      </c>
      <c r="F12" s="429">
        <v>1237.4654000000023</v>
      </c>
      <c r="G12" s="429">
        <v>1260.8018000000018</v>
      </c>
      <c r="H12" s="429"/>
      <c r="I12" s="429">
        <v>5770.2631999997147</v>
      </c>
      <c r="J12" s="429">
        <v>3025.7672999999413</v>
      </c>
      <c r="K12" s="429">
        <v>2744.4958999999544</v>
      </c>
      <c r="L12" s="429"/>
      <c r="M12" s="429">
        <v>2012.2388000000028</v>
      </c>
      <c r="N12" s="429">
        <v>1284.8688000000027</v>
      </c>
      <c r="O12" s="429">
        <v>727.37000000000069</v>
      </c>
      <c r="P12" s="429"/>
      <c r="Q12" s="429">
        <v>153.05060000000009</v>
      </c>
      <c r="R12" s="429">
        <v>113.83290000000007</v>
      </c>
      <c r="S12" s="429">
        <v>39.217700000000001</v>
      </c>
      <c r="T12" s="429"/>
      <c r="U12" s="429">
        <v>1700.6018999999935</v>
      </c>
      <c r="V12" s="429">
        <v>674.70569999999987</v>
      </c>
      <c r="W12" s="429">
        <v>1025.8962000000045</v>
      </c>
      <c r="X12" s="429"/>
      <c r="Y12" s="429">
        <v>61.550500000000042</v>
      </c>
      <c r="Z12" s="429">
        <v>35.739000000000019</v>
      </c>
      <c r="AA12" s="429">
        <v>25.811500000000009</v>
      </c>
      <c r="AB12" s="476"/>
    </row>
    <row r="13" spans="1:33" ht="15.75" customHeight="1">
      <c r="A13" s="478" t="s">
        <v>149</v>
      </c>
      <c r="B13" s="429">
        <v>15736.348700001055</v>
      </c>
      <c r="C13" s="429">
        <v>10370.060999999916</v>
      </c>
      <c r="D13" s="429"/>
      <c r="E13" s="429">
        <v>2632.0478999999673</v>
      </c>
      <c r="F13" s="429">
        <v>1599.8721999999968</v>
      </c>
      <c r="G13" s="429">
        <v>1032.1757000000034</v>
      </c>
      <c r="H13" s="429"/>
      <c r="I13" s="429">
        <v>3428.8123999999516</v>
      </c>
      <c r="J13" s="429">
        <v>2013.9319999999886</v>
      </c>
      <c r="K13" s="429">
        <v>1414.8803999999957</v>
      </c>
      <c r="L13" s="429"/>
      <c r="M13" s="429">
        <v>547.02009999999882</v>
      </c>
      <c r="N13" s="429">
        <v>383.4472999999993</v>
      </c>
      <c r="O13" s="429">
        <v>163.57280000000014</v>
      </c>
      <c r="P13" s="429"/>
      <c r="Q13" s="429">
        <v>16.738699999999998</v>
      </c>
      <c r="R13" s="429">
        <v>16.738699999999998</v>
      </c>
      <c r="S13" s="429">
        <v>0</v>
      </c>
      <c r="T13" s="429"/>
      <c r="U13" s="429">
        <v>3725.5868999999743</v>
      </c>
      <c r="V13" s="429">
        <v>1715.6776999999897</v>
      </c>
      <c r="W13" s="429">
        <v>2009.9091999999791</v>
      </c>
      <c r="X13" s="429"/>
      <c r="Y13" s="429">
        <v>19.855000000000004</v>
      </c>
      <c r="Z13" s="429">
        <v>5.9565000000000001</v>
      </c>
      <c r="AA13" s="429">
        <v>13.8985</v>
      </c>
      <c r="AB13" s="476"/>
    </row>
    <row r="14" spans="1:33" ht="15.75" customHeight="1">
      <c r="A14" s="478" t="s">
        <v>150</v>
      </c>
      <c r="B14" s="429">
        <v>5003.0716999998331</v>
      </c>
      <c r="C14" s="429">
        <v>3373.7348999999399</v>
      </c>
      <c r="D14" s="429"/>
      <c r="E14" s="429">
        <v>952.59060000000306</v>
      </c>
      <c r="F14" s="429">
        <v>664.33510000000001</v>
      </c>
      <c r="G14" s="429">
        <v>288.25549999999993</v>
      </c>
      <c r="H14" s="429"/>
      <c r="I14" s="429">
        <v>866.34270000000129</v>
      </c>
      <c r="J14" s="429">
        <v>491.48649999999839</v>
      </c>
      <c r="K14" s="429">
        <v>374.85619999999943</v>
      </c>
      <c r="L14" s="429"/>
      <c r="M14" s="429">
        <v>149.45770000000007</v>
      </c>
      <c r="N14" s="429">
        <v>94.191900000000047</v>
      </c>
      <c r="O14" s="429">
        <v>55.265800000000027</v>
      </c>
      <c r="P14" s="429"/>
      <c r="Q14" s="429">
        <v>1.9855</v>
      </c>
      <c r="R14" s="429">
        <v>0</v>
      </c>
      <c r="S14" s="429">
        <v>1.9855</v>
      </c>
      <c r="T14" s="429"/>
      <c r="U14" s="429">
        <v>1397.4018999999985</v>
      </c>
      <c r="V14" s="429">
        <v>749.11450000000082</v>
      </c>
      <c r="W14" s="429">
        <v>648.28739999999925</v>
      </c>
      <c r="X14" s="429"/>
      <c r="Y14" s="429">
        <v>5.9565000000000001</v>
      </c>
      <c r="Z14" s="429">
        <v>1.9855</v>
      </c>
      <c r="AA14" s="429">
        <v>3.9710000000000001</v>
      </c>
      <c r="AB14" s="476"/>
    </row>
    <row r="15" spans="1:33" ht="15.75" customHeight="1">
      <c r="A15" s="478" t="s">
        <v>151</v>
      </c>
      <c r="B15" s="429">
        <v>6768.0968999996303</v>
      </c>
      <c r="C15" s="429">
        <v>5193.3942999997798</v>
      </c>
      <c r="D15" s="429"/>
      <c r="E15" s="429">
        <v>1249.1741000000002</v>
      </c>
      <c r="F15" s="429">
        <v>701.6072000000006</v>
      </c>
      <c r="G15" s="429">
        <v>547.56689999999901</v>
      </c>
      <c r="H15" s="429"/>
      <c r="I15" s="429">
        <v>2087.4132999999906</v>
      </c>
      <c r="J15" s="429">
        <v>1149.6308000000013</v>
      </c>
      <c r="K15" s="429">
        <v>937.78250000000219</v>
      </c>
      <c r="L15" s="429"/>
      <c r="M15" s="429">
        <v>413.98599999999919</v>
      </c>
      <c r="N15" s="429">
        <v>267.33710000000019</v>
      </c>
      <c r="O15" s="429">
        <v>146.64890000000011</v>
      </c>
      <c r="P15" s="429"/>
      <c r="Q15" s="429">
        <v>40.344300000000004</v>
      </c>
      <c r="R15" s="429">
        <v>26.599599999999999</v>
      </c>
      <c r="S15" s="429">
        <v>13.744700000000002</v>
      </c>
      <c r="T15" s="429"/>
      <c r="U15" s="429">
        <v>1392.5490999999979</v>
      </c>
      <c r="V15" s="429">
        <v>680.62529999999992</v>
      </c>
      <c r="W15" s="429">
        <v>711.92380000000048</v>
      </c>
      <c r="X15" s="429"/>
      <c r="Y15" s="429">
        <v>9.9275000000000002</v>
      </c>
      <c r="Z15" s="429">
        <v>3.9710000000000001</v>
      </c>
      <c r="AA15" s="429">
        <v>5.9565000000000001</v>
      </c>
      <c r="AB15" s="476"/>
    </row>
    <row r="16" spans="1:33" s="28" customFormat="1" ht="15.75" customHeight="1">
      <c r="A16" s="431" t="s">
        <v>152</v>
      </c>
      <c r="B16" s="432">
        <v>16667.550900000944</v>
      </c>
      <c r="C16" s="432">
        <v>12291.099600000167</v>
      </c>
      <c r="D16" s="432"/>
      <c r="E16" s="432">
        <v>3526.3856999999148</v>
      </c>
      <c r="F16" s="432">
        <v>2142.7789999999918</v>
      </c>
      <c r="G16" s="432">
        <v>1383.6067</v>
      </c>
      <c r="H16" s="432"/>
      <c r="I16" s="432">
        <v>3815.2576999998987</v>
      </c>
      <c r="J16" s="432">
        <v>2234.0642999999809</v>
      </c>
      <c r="K16" s="432">
        <v>1581.1933999999969</v>
      </c>
      <c r="L16" s="432"/>
      <c r="M16" s="432">
        <v>1135.3049000000017</v>
      </c>
      <c r="N16" s="432">
        <v>791.21190000000126</v>
      </c>
      <c r="O16" s="432">
        <v>344.09299999999979</v>
      </c>
      <c r="P16" s="432"/>
      <c r="Q16" s="432">
        <v>41.3855</v>
      </c>
      <c r="R16" s="432">
        <v>37.5017</v>
      </c>
      <c r="S16" s="432">
        <v>3.8837999999999999</v>
      </c>
      <c r="T16" s="432"/>
      <c r="U16" s="432">
        <v>3758.8672999999326</v>
      </c>
      <c r="V16" s="432">
        <v>1784.6221999999939</v>
      </c>
      <c r="W16" s="432">
        <v>1974.2450999999921</v>
      </c>
      <c r="X16" s="432"/>
      <c r="Y16" s="432">
        <v>13.8985</v>
      </c>
      <c r="Z16" s="432">
        <v>11.913</v>
      </c>
      <c r="AA16" s="432">
        <v>1.9855</v>
      </c>
      <c r="AB16" s="477"/>
    </row>
    <row r="17" spans="1:28" ht="15.75" customHeight="1">
      <c r="A17" s="478" t="s">
        <v>153</v>
      </c>
      <c r="B17" s="429">
        <v>10125.378199999799</v>
      </c>
      <c r="C17" s="429">
        <v>7922.4020999994682</v>
      </c>
      <c r="D17" s="429"/>
      <c r="E17" s="429">
        <v>2248.5659999999848</v>
      </c>
      <c r="F17" s="429">
        <v>1326.4870000000008</v>
      </c>
      <c r="G17" s="429">
        <v>922.07900000000257</v>
      </c>
      <c r="H17" s="429"/>
      <c r="I17" s="429">
        <v>2705.3705999999565</v>
      </c>
      <c r="J17" s="429">
        <v>1533.0198999999982</v>
      </c>
      <c r="K17" s="429">
        <v>1172.3507000000016</v>
      </c>
      <c r="L17" s="429"/>
      <c r="M17" s="429">
        <v>982.40710000000217</v>
      </c>
      <c r="N17" s="429">
        <v>679.68139999999994</v>
      </c>
      <c r="O17" s="429">
        <v>302.72570000000002</v>
      </c>
      <c r="P17" s="429"/>
      <c r="Q17" s="429">
        <v>33.574300000000008</v>
      </c>
      <c r="R17" s="429">
        <v>29.6905</v>
      </c>
      <c r="S17" s="429">
        <v>3.8837999999999999</v>
      </c>
      <c r="T17" s="429"/>
      <c r="U17" s="429">
        <v>1952.4840999999894</v>
      </c>
      <c r="V17" s="429">
        <v>909.1876000000027</v>
      </c>
      <c r="W17" s="429">
        <v>1043.2965000000045</v>
      </c>
      <c r="X17" s="429"/>
      <c r="Y17" s="429">
        <v>0</v>
      </c>
      <c r="Z17" s="429">
        <v>0</v>
      </c>
      <c r="AA17" s="429">
        <v>0</v>
      </c>
      <c r="AB17" s="476"/>
    </row>
    <row r="18" spans="1:28" ht="15.75" customHeight="1">
      <c r="A18" s="478" t="s">
        <v>154</v>
      </c>
      <c r="B18" s="429">
        <v>1036.3151000000032</v>
      </c>
      <c r="C18" s="429">
        <v>864.20050000000231</v>
      </c>
      <c r="D18" s="429"/>
      <c r="E18" s="429">
        <v>214.37200000000018</v>
      </c>
      <c r="F18" s="429">
        <v>148.43350000000012</v>
      </c>
      <c r="G18" s="429">
        <v>65.938499999999991</v>
      </c>
      <c r="H18" s="429"/>
      <c r="I18" s="429">
        <v>348.77879999999982</v>
      </c>
      <c r="J18" s="429">
        <v>215.3306000000002</v>
      </c>
      <c r="K18" s="429">
        <v>133.44820000000007</v>
      </c>
      <c r="L18" s="429"/>
      <c r="M18" s="429">
        <v>40.182599999999994</v>
      </c>
      <c r="N18" s="429">
        <v>28.443999999999999</v>
      </c>
      <c r="O18" s="429">
        <v>11.7386</v>
      </c>
      <c r="P18" s="429"/>
      <c r="Q18" s="429">
        <v>0</v>
      </c>
      <c r="R18" s="429">
        <v>0</v>
      </c>
      <c r="S18" s="429">
        <v>0</v>
      </c>
      <c r="T18" s="429"/>
      <c r="U18" s="429">
        <v>250.93960000000027</v>
      </c>
      <c r="V18" s="429">
        <v>120.47610000000009</v>
      </c>
      <c r="W18" s="429">
        <v>130.4635000000001</v>
      </c>
      <c r="X18" s="429"/>
      <c r="Y18" s="429">
        <v>9.9275000000000002</v>
      </c>
      <c r="Z18" s="429">
        <v>9.9275000000000002</v>
      </c>
      <c r="AA18" s="429">
        <v>0</v>
      </c>
      <c r="AB18" s="476"/>
    </row>
    <row r="19" spans="1:28" ht="15.75" customHeight="1">
      <c r="A19" s="478" t="s">
        <v>155</v>
      </c>
      <c r="B19" s="429">
        <v>2429.1421999999666</v>
      </c>
      <c r="C19" s="429">
        <v>1607.592099999998</v>
      </c>
      <c r="D19" s="429"/>
      <c r="E19" s="429">
        <v>468.04099999999863</v>
      </c>
      <c r="F19" s="429">
        <v>283.75409999999999</v>
      </c>
      <c r="G19" s="429">
        <v>184.28690000000017</v>
      </c>
      <c r="H19" s="429"/>
      <c r="I19" s="429">
        <v>327.32879999999972</v>
      </c>
      <c r="J19" s="429">
        <v>229.83440000000022</v>
      </c>
      <c r="K19" s="429">
        <v>97.494400000000056</v>
      </c>
      <c r="L19" s="429"/>
      <c r="M19" s="429">
        <v>65.263000000000005</v>
      </c>
      <c r="N19" s="429">
        <v>53.437200000000004</v>
      </c>
      <c r="O19" s="429">
        <v>11.825800000000001</v>
      </c>
      <c r="P19" s="429"/>
      <c r="Q19" s="429">
        <v>1.9419</v>
      </c>
      <c r="R19" s="429">
        <v>1.9419</v>
      </c>
      <c r="S19" s="429">
        <v>0</v>
      </c>
      <c r="T19" s="429"/>
      <c r="U19" s="429">
        <v>743.03190000000075</v>
      </c>
      <c r="V19" s="429">
        <v>375.01779999999917</v>
      </c>
      <c r="W19" s="429">
        <v>368.01409999999947</v>
      </c>
      <c r="X19" s="429"/>
      <c r="Y19" s="429">
        <v>1.9855</v>
      </c>
      <c r="Z19" s="429">
        <v>1.9855</v>
      </c>
      <c r="AA19" s="429">
        <v>0</v>
      </c>
      <c r="AB19" s="476"/>
    </row>
    <row r="20" spans="1:28" ht="15.75" customHeight="1">
      <c r="A20" s="478" t="s">
        <v>156</v>
      </c>
      <c r="B20" s="429">
        <v>3076.715399999945</v>
      </c>
      <c r="C20" s="429">
        <v>1896.9048999999943</v>
      </c>
      <c r="D20" s="429"/>
      <c r="E20" s="429">
        <v>595.40669999999932</v>
      </c>
      <c r="F20" s="429">
        <v>384.10439999999932</v>
      </c>
      <c r="G20" s="429">
        <v>211.3023000000002</v>
      </c>
      <c r="H20" s="429"/>
      <c r="I20" s="429">
        <v>433.77949999999885</v>
      </c>
      <c r="J20" s="429">
        <v>255.87940000000023</v>
      </c>
      <c r="K20" s="429">
        <v>177.90010000000015</v>
      </c>
      <c r="L20" s="429"/>
      <c r="M20" s="429">
        <v>47.452200000000012</v>
      </c>
      <c r="N20" s="429">
        <v>29.649299999999997</v>
      </c>
      <c r="O20" s="429">
        <v>17.802900000000001</v>
      </c>
      <c r="P20" s="429"/>
      <c r="Q20" s="429">
        <v>5.8693</v>
      </c>
      <c r="R20" s="429">
        <v>5.8693</v>
      </c>
      <c r="S20" s="429">
        <v>0</v>
      </c>
      <c r="T20" s="429"/>
      <c r="U20" s="429">
        <v>812.41170000000102</v>
      </c>
      <c r="V20" s="429">
        <v>379.94069999999914</v>
      </c>
      <c r="W20" s="429">
        <v>432.47099999999921</v>
      </c>
      <c r="X20" s="429"/>
      <c r="Y20" s="429">
        <v>1.9855</v>
      </c>
      <c r="Z20" s="429">
        <v>0</v>
      </c>
      <c r="AA20" s="429">
        <v>1.9855</v>
      </c>
      <c r="AB20" s="476"/>
    </row>
    <row r="21" spans="1:28" s="28" customFormat="1" ht="15.75" customHeight="1">
      <c r="A21" s="431" t="s">
        <v>157</v>
      </c>
      <c r="B21" s="432">
        <v>340435.59300008015</v>
      </c>
      <c r="C21" s="432">
        <v>308816.94650021166</v>
      </c>
      <c r="D21" s="432"/>
      <c r="E21" s="432">
        <v>52605.860200002659</v>
      </c>
      <c r="F21" s="432">
        <v>24484.778000002065</v>
      </c>
      <c r="G21" s="432">
        <v>28121.082200001983</v>
      </c>
      <c r="H21" s="432"/>
      <c r="I21" s="432">
        <v>126011.62030001776</v>
      </c>
      <c r="J21" s="432">
        <v>65458.395100000926</v>
      </c>
      <c r="K21" s="432">
        <v>60553.225200004505</v>
      </c>
      <c r="L21" s="432"/>
      <c r="M21" s="432">
        <v>76813.746900005848</v>
      </c>
      <c r="N21" s="432">
        <v>43223.067100001936</v>
      </c>
      <c r="O21" s="432">
        <v>33590.679800001235</v>
      </c>
      <c r="P21" s="432"/>
      <c r="Q21" s="432">
        <v>18877.410100000783</v>
      </c>
      <c r="R21" s="432">
        <v>10291.460499999735</v>
      </c>
      <c r="S21" s="432">
        <v>8585.9495999994724</v>
      </c>
      <c r="T21" s="432"/>
      <c r="U21" s="432">
        <v>33694.25400000529</v>
      </c>
      <c r="V21" s="432">
        <v>12589.624200000182</v>
      </c>
      <c r="W21" s="432">
        <v>21104.629800002171</v>
      </c>
      <c r="X21" s="432"/>
      <c r="Y21" s="432">
        <v>814.05500000000063</v>
      </c>
      <c r="Z21" s="432">
        <v>409.01300000000032</v>
      </c>
      <c r="AA21" s="432">
        <v>405.04200000000031</v>
      </c>
      <c r="AB21" s="477"/>
    </row>
    <row r="22" spans="1:28" ht="15.75" customHeight="1">
      <c r="A22" s="478" t="s">
        <v>157</v>
      </c>
      <c r="B22" s="429">
        <v>196129.56470021559</v>
      </c>
      <c r="C22" s="429">
        <v>179788.92450017543</v>
      </c>
      <c r="D22" s="429"/>
      <c r="E22" s="429">
        <v>28062.952900001928</v>
      </c>
      <c r="F22" s="429">
        <v>13265.841100000102</v>
      </c>
      <c r="G22" s="429">
        <v>14797.111800000186</v>
      </c>
      <c r="H22" s="429"/>
      <c r="I22" s="429">
        <v>69996.494700002862</v>
      </c>
      <c r="J22" s="429">
        <v>36314.112600003878</v>
      </c>
      <c r="K22" s="429">
        <v>33682.382100003066</v>
      </c>
      <c r="L22" s="429"/>
      <c r="M22" s="429">
        <v>48057.645600001284</v>
      </c>
      <c r="N22" s="429">
        <v>26103.212000002328</v>
      </c>
      <c r="O22" s="429">
        <v>21954.433600000648</v>
      </c>
      <c r="P22" s="429"/>
      <c r="Q22" s="429">
        <v>15860.936600000312</v>
      </c>
      <c r="R22" s="429">
        <v>8438.0692999994753</v>
      </c>
      <c r="S22" s="429">
        <v>7422.8672999994769</v>
      </c>
      <c r="T22" s="429"/>
      <c r="U22" s="429">
        <v>17409.823700000954</v>
      </c>
      <c r="V22" s="429">
        <v>6357.1968999996707</v>
      </c>
      <c r="W22" s="429">
        <v>11052.626799999804</v>
      </c>
      <c r="X22" s="429"/>
      <c r="Y22" s="429">
        <v>401.07100000000031</v>
      </c>
      <c r="Z22" s="429">
        <v>206.49200000000016</v>
      </c>
      <c r="AA22" s="429">
        <v>194.57900000000015</v>
      </c>
      <c r="AB22" s="476"/>
    </row>
    <row r="23" spans="1:28" ht="15.75" customHeight="1">
      <c r="A23" s="478" t="s">
        <v>158</v>
      </c>
      <c r="B23" s="429">
        <v>59393.309700001526</v>
      </c>
      <c r="C23" s="429">
        <v>51870.989800003124</v>
      </c>
      <c r="D23" s="429"/>
      <c r="E23" s="429">
        <v>11953.493399999899</v>
      </c>
      <c r="F23" s="429">
        <v>5744.7766999997093</v>
      </c>
      <c r="G23" s="429">
        <v>6208.7166999996216</v>
      </c>
      <c r="H23" s="429"/>
      <c r="I23" s="429">
        <v>21048.649800001003</v>
      </c>
      <c r="J23" s="429">
        <v>11264.882499999921</v>
      </c>
      <c r="K23" s="429">
        <v>9783.7672999997467</v>
      </c>
      <c r="L23" s="429"/>
      <c r="M23" s="429">
        <v>8984.8997999995227</v>
      </c>
      <c r="N23" s="429">
        <v>5600.4947999996839</v>
      </c>
      <c r="O23" s="429">
        <v>3384.4049999998838</v>
      </c>
      <c r="P23" s="429"/>
      <c r="Q23" s="429">
        <v>819.11090000000195</v>
      </c>
      <c r="R23" s="429">
        <v>517.54049999999802</v>
      </c>
      <c r="S23" s="429">
        <v>301.57039999999989</v>
      </c>
      <c r="T23" s="429"/>
      <c r="U23" s="429">
        <v>8937.7638999995779</v>
      </c>
      <c r="V23" s="429">
        <v>3671.1218999999546</v>
      </c>
      <c r="W23" s="429">
        <v>5266.641999999787</v>
      </c>
      <c r="X23" s="429"/>
      <c r="Y23" s="429">
        <v>127.0720000000001</v>
      </c>
      <c r="Z23" s="429">
        <v>55.594000000000037</v>
      </c>
      <c r="AA23" s="429">
        <v>71.478000000000051</v>
      </c>
      <c r="AB23" s="476"/>
    </row>
    <row r="24" spans="1:28" s="610" customFormat="1" ht="15.75" customHeight="1">
      <c r="A24" s="478" t="s">
        <v>159</v>
      </c>
      <c r="B24" s="429">
        <v>84912.718600008229</v>
      </c>
      <c r="C24" s="429">
        <v>77157.032200005517</v>
      </c>
      <c r="D24" s="429"/>
      <c r="E24" s="429">
        <v>12589.413899999954</v>
      </c>
      <c r="F24" s="429">
        <v>5474.1601999997511</v>
      </c>
      <c r="G24" s="429">
        <v>7115.2536999995127</v>
      </c>
      <c r="H24" s="429"/>
      <c r="I24" s="429">
        <v>34966.475800003056</v>
      </c>
      <c r="J24" s="429">
        <v>17879.400000000845</v>
      </c>
      <c r="K24" s="429">
        <v>17087.075800000734</v>
      </c>
      <c r="L24" s="429"/>
      <c r="M24" s="429">
        <v>19771.201500000818</v>
      </c>
      <c r="N24" s="429">
        <v>11519.36029999988</v>
      </c>
      <c r="O24" s="429">
        <v>8251.8411999993841</v>
      </c>
      <c r="P24" s="429"/>
      <c r="Q24" s="429">
        <v>2197.3625999999849</v>
      </c>
      <c r="R24" s="429">
        <v>1335.8507000000031</v>
      </c>
      <c r="S24" s="429">
        <v>861.51190000000202</v>
      </c>
      <c r="T24" s="429"/>
      <c r="U24" s="429">
        <v>7346.6663999995362</v>
      </c>
      <c r="V24" s="429">
        <v>2561.3053999999815</v>
      </c>
      <c r="W24" s="429">
        <v>4785.3609999998489</v>
      </c>
      <c r="X24" s="429"/>
      <c r="Y24" s="429">
        <v>285.91200000000021</v>
      </c>
      <c r="Z24" s="429">
        <v>146.92700000000011</v>
      </c>
      <c r="AA24" s="429">
        <v>138.9850000000001</v>
      </c>
      <c r="AB24" s="609"/>
    </row>
    <row r="25" spans="1:28" s="28" customFormat="1" ht="15.75" customHeight="1">
      <c r="A25" s="431" t="s">
        <v>160</v>
      </c>
      <c r="B25" s="432">
        <v>368382.53339992987</v>
      </c>
      <c r="C25" s="432">
        <v>346041.23910007143</v>
      </c>
      <c r="D25" s="432"/>
      <c r="E25" s="432">
        <v>36671.347900002955</v>
      </c>
      <c r="F25" s="432">
        <v>15414.187500000515</v>
      </c>
      <c r="G25" s="432">
        <v>21257.160400001587</v>
      </c>
      <c r="H25" s="432"/>
      <c r="I25" s="432">
        <v>120908.67330002153</v>
      </c>
      <c r="J25" s="432">
        <v>58679.192900004229</v>
      </c>
      <c r="K25" s="432">
        <v>62229.480400003798</v>
      </c>
      <c r="L25" s="432"/>
      <c r="M25" s="432">
        <v>130151.51100003754</v>
      </c>
      <c r="N25" s="432">
        <v>66819.015100000135</v>
      </c>
      <c r="O25" s="432">
        <v>63332.495900004236</v>
      </c>
      <c r="P25" s="432"/>
      <c r="Q25" s="432">
        <v>35229.624000006377</v>
      </c>
      <c r="R25" s="432">
        <v>19559.828400001687</v>
      </c>
      <c r="S25" s="432">
        <v>15669.79560000014</v>
      </c>
      <c r="T25" s="432"/>
      <c r="U25" s="432">
        <v>22180.651400002957</v>
      </c>
      <c r="V25" s="432">
        <v>7552.5614999995832</v>
      </c>
      <c r="W25" s="432">
        <v>14628.089900000672</v>
      </c>
      <c r="X25" s="432"/>
      <c r="Y25" s="432">
        <v>899.43150000000071</v>
      </c>
      <c r="Z25" s="432">
        <v>442.76650000000035</v>
      </c>
      <c r="AA25" s="432">
        <v>456.66500000000036</v>
      </c>
      <c r="AB25" s="477"/>
    </row>
    <row r="26" spans="1:28" ht="15.75" customHeight="1">
      <c r="A26" s="478" t="s">
        <v>160</v>
      </c>
      <c r="B26" s="429">
        <v>368382.53339992987</v>
      </c>
      <c r="C26" s="429">
        <v>346041.23910007143</v>
      </c>
      <c r="D26" s="429"/>
      <c r="E26" s="429">
        <v>36671.347900002955</v>
      </c>
      <c r="F26" s="429">
        <v>15414.187500000515</v>
      </c>
      <c r="G26" s="429">
        <v>21257.160400001587</v>
      </c>
      <c r="H26" s="429"/>
      <c r="I26" s="429">
        <v>120908.67330002153</v>
      </c>
      <c r="J26" s="429">
        <v>58679.192900004229</v>
      </c>
      <c r="K26" s="429">
        <v>62229.480400003798</v>
      </c>
      <c r="L26" s="429"/>
      <c r="M26" s="429">
        <v>130151.51100003754</v>
      </c>
      <c r="N26" s="429">
        <v>66819.015100000135</v>
      </c>
      <c r="O26" s="429">
        <v>63332.495900004236</v>
      </c>
      <c r="P26" s="429"/>
      <c r="Q26" s="429">
        <v>35229.624000006377</v>
      </c>
      <c r="R26" s="429">
        <v>19559.828400001687</v>
      </c>
      <c r="S26" s="429">
        <v>15669.79560000014</v>
      </c>
      <c r="T26" s="429"/>
      <c r="U26" s="429">
        <v>22180.651400002957</v>
      </c>
      <c r="V26" s="429">
        <v>7552.5614999995832</v>
      </c>
      <c r="W26" s="429">
        <v>14628.089900000672</v>
      </c>
      <c r="X26" s="429"/>
      <c r="Y26" s="429">
        <v>899.43150000000071</v>
      </c>
      <c r="Z26" s="429">
        <v>442.76650000000035</v>
      </c>
      <c r="AA26" s="429">
        <v>456.66500000000036</v>
      </c>
      <c r="AB26" s="476"/>
    </row>
    <row r="27" spans="1:28" s="28" customFormat="1" ht="15.75" customHeight="1">
      <c r="A27" s="431" t="s">
        <v>161</v>
      </c>
      <c r="B27" s="432">
        <v>12478.965300000078</v>
      </c>
      <c r="C27" s="432">
        <v>10535.16429999978</v>
      </c>
      <c r="D27" s="432"/>
      <c r="E27" s="432">
        <v>3458.1468999999101</v>
      </c>
      <c r="F27" s="432">
        <v>1841.8450000000005</v>
      </c>
      <c r="G27" s="432">
        <v>1616.3019000000013</v>
      </c>
      <c r="H27" s="432"/>
      <c r="I27" s="432">
        <v>3594.8190999999188</v>
      </c>
      <c r="J27" s="432">
        <v>1973.7137999999959</v>
      </c>
      <c r="K27" s="432">
        <v>1621.1052999999965</v>
      </c>
      <c r="L27" s="432"/>
      <c r="M27" s="432">
        <v>1256.4081000000017</v>
      </c>
      <c r="N27" s="432">
        <v>824.50100000000145</v>
      </c>
      <c r="O27" s="432">
        <v>431.90709999999945</v>
      </c>
      <c r="P27" s="432"/>
      <c r="Q27" s="432">
        <v>33.402300000000004</v>
      </c>
      <c r="R27" s="432">
        <v>19.624300000000002</v>
      </c>
      <c r="S27" s="432">
        <v>13.778</v>
      </c>
      <c r="T27" s="432"/>
      <c r="U27" s="432">
        <v>2182.4603999999931</v>
      </c>
      <c r="V27" s="432">
        <v>906.33370000000286</v>
      </c>
      <c r="W27" s="432">
        <v>1276.126700000003</v>
      </c>
      <c r="X27" s="432"/>
      <c r="Y27" s="432">
        <v>9.9275000000000002</v>
      </c>
      <c r="Z27" s="432">
        <v>0</v>
      </c>
      <c r="AA27" s="432">
        <v>9.9275000000000002</v>
      </c>
      <c r="AB27" s="477"/>
    </row>
    <row r="28" spans="1:28" ht="15.75" customHeight="1">
      <c r="A28" s="478" t="s">
        <v>161</v>
      </c>
      <c r="B28" s="429">
        <v>12478.965300000078</v>
      </c>
      <c r="C28" s="429">
        <v>10535.16429999978</v>
      </c>
      <c r="D28" s="429"/>
      <c r="E28" s="429">
        <v>3458.1468999999101</v>
      </c>
      <c r="F28" s="429">
        <v>1841.8450000000005</v>
      </c>
      <c r="G28" s="429">
        <v>1616.3019000000013</v>
      </c>
      <c r="H28" s="429"/>
      <c r="I28" s="429">
        <v>3594.8190999999188</v>
      </c>
      <c r="J28" s="429">
        <v>1973.7137999999959</v>
      </c>
      <c r="K28" s="429">
        <v>1621.1052999999965</v>
      </c>
      <c r="L28" s="429"/>
      <c r="M28" s="429">
        <v>1256.4081000000017</v>
      </c>
      <c r="N28" s="429">
        <v>824.50100000000145</v>
      </c>
      <c r="O28" s="429">
        <v>431.90709999999945</v>
      </c>
      <c r="P28" s="429"/>
      <c r="Q28" s="429">
        <v>33.402300000000004</v>
      </c>
      <c r="R28" s="429">
        <v>19.624300000000002</v>
      </c>
      <c r="S28" s="429">
        <v>13.778</v>
      </c>
      <c r="T28" s="429"/>
      <c r="U28" s="429">
        <v>2182.4603999999931</v>
      </c>
      <c r="V28" s="429">
        <v>906.33370000000286</v>
      </c>
      <c r="W28" s="429">
        <v>1276.126700000003</v>
      </c>
      <c r="X28" s="429"/>
      <c r="Y28" s="429">
        <v>9.9275000000000002</v>
      </c>
      <c r="Z28" s="429">
        <v>0</v>
      </c>
      <c r="AA28" s="429">
        <v>9.9275000000000002</v>
      </c>
      <c r="AB28" s="476"/>
    </row>
    <row r="29" spans="1:28" s="28" customFormat="1" ht="15.75" customHeight="1">
      <c r="A29" s="431" t="s">
        <v>162</v>
      </c>
      <c r="B29" s="432">
        <v>19854.430200001119</v>
      </c>
      <c r="C29" s="432">
        <v>15853.284100000608</v>
      </c>
      <c r="D29" s="432"/>
      <c r="E29" s="432">
        <v>3951.6724999998842</v>
      </c>
      <c r="F29" s="432">
        <v>2081.8645999999967</v>
      </c>
      <c r="G29" s="432">
        <v>1869.8078999999984</v>
      </c>
      <c r="H29" s="432"/>
      <c r="I29" s="432">
        <v>5914.6126999996859</v>
      </c>
      <c r="J29" s="432">
        <v>3201.7157999999472</v>
      </c>
      <c r="K29" s="432">
        <v>2712.8968999999588</v>
      </c>
      <c r="L29" s="432"/>
      <c r="M29" s="432">
        <v>1754.5164000000036</v>
      </c>
      <c r="N29" s="432">
        <v>1129.1987000000038</v>
      </c>
      <c r="O29" s="432">
        <v>625.31769999999938</v>
      </c>
      <c r="P29" s="432"/>
      <c r="Q29" s="432">
        <v>78.490500000000026</v>
      </c>
      <c r="R29" s="432">
        <v>53.938199999999995</v>
      </c>
      <c r="S29" s="432">
        <v>24.552299999999999</v>
      </c>
      <c r="T29" s="432"/>
      <c r="U29" s="432">
        <v>4052.7314999999235</v>
      </c>
      <c r="V29" s="432">
        <v>1687.9209999999935</v>
      </c>
      <c r="W29" s="432">
        <v>2364.810499999985</v>
      </c>
      <c r="X29" s="432"/>
      <c r="Y29" s="432">
        <v>101.26050000000008</v>
      </c>
      <c r="Z29" s="432">
        <v>39.710000000000022</v>
      </c>
      <c r="AA29" s="432">
        <v>61.550500000000042</v>
      </c>
      <c r="AB29" s="477"/>
    </row>
    <row r="30" spans="1:28" ht="15.75" customHeight="1">
      <c r="A30" s="478" t="s">
        <v>162</v>
      </c>
      <c r="B30" s="429">
        <v>19854.430200001119</v>
      </c>
      <c r="C30" s="429">
        <v>15853.284100000608</v>
      </c>
      <c r="D30" s="429"/>
      <c r="E30" s="429">
        <v>3951.6724999998842</v>
      </c>
      <c r="F30" s="429">
        <v>2081.8645999999967</v>
      </c>
      <c r="G30" s="429">
        <v>1869.8078999999984</v>
      </c>
      <c r="H30" s="429"/>
      <c r="I30" s="429">
        <v>5914.6126999996859</v>
      </c>
      <c r="J30" s="429">
        <v>3201.7157999999472</v>
      </c>
      <c r="K30" s="429">
        <v>2712.8968999999588</v>
      </c>
      <c r="L30" s="429"/>
      <c r="M30" s="429">
        <v>1754.5164000000036</v>
      </c>
      <c r="N30" s="429">
        <v>1129.1987000000038</v>
      </c>
      <c r="O30" s="429">
        <v>625.31769999999938</v>
      </c>
      <c r="P30" s="429"/>
      <c r="Q30" s="429">
        <v>78.490500000000026</v>
      </c>
      <c r="R30" s="429">
        <v>53.938199999999995</v>
      </c>
      <c r="S30" s="429">
        <v>24.552299999999999</v>
      </c>
      <c r="T30" s="429"/>
      <c r="U30" s="429">
        <v>4052.7314999999235</v>
      </c>
      <c r="V30" s="429">
        <v>1687.9209999999935</v>
      </c>
      <c r="W30" s="429">
        <v>2364.810499999985</v>
      </c>
      <c r="X30" s="429"/>
      <c r="Y30" s="429">
        <v>101.26050000000008</v>
      </c>
      <c r="Z30" s="429">
        <v>39.710000000000022</v>
      </c>
      <c r="AA30" s="429">
        <v>61.550500000000042</v>
      </c>
      <c r="AB30" s="476"/>
    </row>
    <row r="31" spans="1:28" s="28" customFormat="1" ht="15.75" customHeight="1">
      <c r="A31" s="431" t="s">
        <v>163</v>
      </c>
      <c r="B31" s="432">
        <v>64253.179000000178</v>
      </c>
      <c r="C31" s="432">
        <v>52559.2029000041</v>
      </c>
      <c r="D31" s="432"/>
      <c r="E31" s="432">
        <v>11582.857799999849</v>
      </c>
      <c r="F31" s="432">
        <v>6045.0366999996586</v>
      </c>
      <c r="G31" s="432">
        <v>5537.8210999997036</v>
      </c>
      <c r="H31" s="432"/>
      <c r="I31" s="432">
        <v>20504.831200001103</v>
      </c>
      <c r="J31" s="432">
        <v>10794.574499999859</v>
      </c>
      <c r="K31" s="432">
        <v>9710.2566999996907</v>
      </c>
      <c r="L31" s="432"/>
      <c r="M31" s="432">
        <v>7765.4330999994181</v>
      </c>
      <c r="N31" s="432">
        <v>4553.0918999998103</v>
      </c>
      <c r="O31" s="432">
        <v>3212.3411999999221</v>
      </c>
      <c r="P31" s="432"/>
      <c r="Q31" s="432">
        <v>1634.6650000000072</v>
      </c>
      <c r="R31" s="432">
        <v>967.76060000000371</v>
      </c>
      <c r="S31" s="432">
        <v>666.9043999999991</v>
      </c>
      <c r="T31" s="432"/>
      <c r="U31" s="432">
        <v>10876.836799999883</v>
      </c>
      <c r="V31" s="432">
        <v>4960.8918999998259</v>
      </c>
      <c r="W31" s="432">
        <v>5915.9448999996739</v>
      </c>
      <c r="X31" s="432"/>
      <c r="Y31" s="432">
        <v>194.57900000000015</v>
      </c>
      <c r="Z31" s="432">
        <v>91.333000000000069</v>
      </c>
      <c r="AA31" s="432">
        <v>103.24600000000008</v>
      </c>
      <c r="AB31" s="477"/>
    </row>
    <row r="32" spans="1:28" ht="15.75" customHeight="1">
      <c r="A32" s="478" t="s">
        <v>163</v>
      </c>
      <c r="B32" s="429">
        <v>64253.179000000178</v>
      </c>
      <c r="C32" s="429">
        <v>52559.2029000041</v>
      </c>
      <c r="D32" s="429"/>
      <c r="E32" s="429">
        <v>11582.857799999849</v>
      </c>
      <c r="F32" s="429">
        <v>6045.0366999996586</v>
      </c>
      <c r="G32" s="429">
        <v>5537.8210999997036</v>
      </c>
      <c r="H32" s="429"/>
      <c r="I32" s="429">
        <v>20504.831200001103</v>
      </c>
      <c r="J32" s="429">
        <v>10794.574499999859</v>
      </c>
      <c r="K32" s="429">
        <v>9710.2566999996907</v>
      </c>
      <c r="L32" s="429"/>
      <c r="M32" s="429">
        <v>7765.4330999994181</v>
      </c>
      <c r="N32" s="429">
        <v>4553.0918999998103</v>
      </c>
      <c r="O32" s="429">
        <v>3212.3411999999221</v>
      </c>
      <c r="P32" s="429"/>
      <c r="Q32" s="429">
        <v>1634.6650000000072</v>
      </c>
      <c r="R32" s="429">
        <v>967.76060000000371</v>
      </c>
      <c r="S32" s="429">
        <v>666.9043999999991</v>
      </c>
      <c r="T32" s="429"/>
      <c r="U32" s="429">
        <v>10876.836799999883</v>
      </c>
      <c r="V32" s="429">
        <v>4960.8918999998259</v>
      </c>
      <c r="W32" s="429">
        <v>5915.9448999996739</v>
      </c>
      <c r="X32" s="429"/>
      <c r="Y32" s="429">
        <v>194.57900000000015</v>
      </c>
      <c r="Z32" s="429">
        <v>91.333000000000069</v>
      </c>
      <c r="AA32" s="429">
        <v>103.24600000000008</v>
      </c>
      <c r="AB32" s="476"/>
    </row>
  </sheetData>
  <mergeCells count="11">
    <mergeCell ref="U3:W3"/>
    <mergeCell ref="Y3:AA3"/>
    <mergeCell ref="A3:A4"/>
    <mergeCell ref="A1:Z1"/>
    <mergeCell ref="C2:C4"/>
    <mergeCell ref="E2:AA2"/>
    <mergeCell ref="B3:B4"/>
    <mergeCell ref="E3:G3"/>
    <mergeCell ref="I3:K3"/>
    <mergeCell ref="M3:O3"/>
    <mergeCell ref="Q3:S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9626-CED7-4CDA-B9B4-85B25183D55B}">
  <sheetPr>
    <tabColor theme="0"/>
  </sheetPr>
  <dimension ref="A1:O33"/>
  <sheetViews>
    <sheetView workbookViewId="0">
      <selection activeCell="B21" sqref="B21"/>
    </sheetView>
  </sheetViews>
  <sheetFormatPr defaultRowHeight="12"/>
  <cols>
    <col min="1" max="1" width="20.5703125" style="30" customWidth="1"/>
    <col min="2" max="4" width="9.140625" style="30"/>
    <col min="5" max="5" width="2.42578125" style="30" customWidth="1"/>
    <col min="6" max="8" width="9.140625" style="30"/>
    <col min="9" max="9" width="2.5703125" style="30" customWidth="1"/>
    <col min="10" max="12" width="9.140625" style="30"/>
    <col min="13" max="13" width="9.140625" style="701"/>
    <col min="14" max="16384" width="9.140625" style="30"/>
  </cols>
  <sheetData>
    <row r="1" spans="1:15" ht="26.25" customHeight="1" thickBot="1">
      <c r="A1" s="1089" t="s">
        <v>534</v>
      </c>
      <c r="B1" s="1089"/>
      <c r="C1" s="1089"/>
      <c r="D1" s="1089"/>
      <c r="E1" s="1089"/>
      <c r="F1" s="1089"/>
      <c r="G1" s="1089"/>
      <c r="H1" s="1089"/>
      <c r="I1" s="1089"/>
      <c r="J1" s="1089"/>
      <c r="K1" s="1089"/>
      <c r="L1" s="1089"/>
      <c r="M1" s="1089"/>
      <c r="O1" s="480"/>
    </row>
    <row r="2" spans="1:15" ht="12" customHeight="1">
      <c r="A2" s="1092" t="s">
        <v>495</v>
      </c>
      <c r="B2" s="1090" t="s">
        <v>459</v>
      </c>
      <c r="C2" s="1090"/>
      <c r="D2" s="1090"/>
      <c r="E2" s="606"/>
      <c r="F2" s="1090" t="s">
        <v>460</v>
      </c>
      <c r="G2" s="1090"/>
      <c r="H2" s="1090"/>
      <c r="I2" s="606"/>
      <c r="J2" s="1090" t="s">
        <v>461</v>
      </c>
      <c r="K2" s="1090"/>
      <c r="L2" s="1090"/>
      <c r="M2" s="1090" t="s">
        <v>429</v>
      </c>
      <c r="O2" s="480"/>
    </row>
    <row r="3" spans="1:15" ht="15" customHeight="1">
      <c r="A3" s="1093"/>
      <c r="B3" s="1070"/>
      <c r="C3" s="1070"/>
      <c r="D3" s="1070"/>
      <c r="E3" s="606"/>
      <c r="F3" s="1070"/>
      <c r="G3" s="1070"/>
      <c r="H3" s="1070"/>
      <c r="I3" s="606"/>
      <c r="J3" s="1070"/>
      <c r="K3" s="1070"/>
      <c r="L3" s="1070"/>
      <c r="M3" s="1091"/>
      <c r="O3" s="480"/>
    </row>
    <row r="4" spans="1:15" ht="15" customHeight="1">
      <c r="A4" s="1093"/>
      <c r="B4" s="369" t="s">
        <v>0</v>
      </c>
      <c r="C4" s="369" t="s">
        <v>1</v>
      </c>
      <c r="D4" s="369" t="s">
        <v>2</v>
      </c>
      <c r="E4" s="369"/>
      <c r="F4" s="369" t="s">
        <v>0</v>
      </c>
      <c r="G4" s="369" t="s">
        <v>1</v>
      </c>
      <c r="H4" s="369" t="s">
        <v>2</v>
      </c>
      <c r="I4" s="369"/>
      <c r="J4" s="369" t="s">
        <v>0</v>
      </c>
      <c r="K4" s="369" t="s">
        <v>1</v>
      </c>
      <c r="L4" s="369" t="s">
        <v>2</v>
      </c>
      <c r="M4" s="1091"/>
      <c r="O4" s="480"/>
    </row>
    <row r="5" spans="1:15">
      <c r="A5" s="1093"/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1091"/>
      <c r="O5" s="480"/>
    </row>
    <row r="6" spans="1:15" s="712" customFormat="1" ht="17.25" customHeight="1">
      <c r="A6" s="439" t="s">
        <v>344</v>
      </c>
      <c r="B6" s="757">
        <v>263303.40529995476</v>
      </c>
      <c r="C6" s="757">
        <v>127397.72630004458</v>
      </c>
      <c r="D6" s="757">
        <v>135905.67900004255</v>
      </c>
      <c r="E6" s="757"/>
      <c r="F6" s="757">
        <v>153688.01630003128</v>
      </c>
      <c r="G6" s="757">
        <v>73325.27960004675</v>
      </c>
      <c r="H6" s="757">
        <v>80362.736700048059</v>
      </c>
      <c r="I6" s="757"/>
      <c r="J6" s="758">
        <v>58.369171536117619</v>
      </c>
      <c r="K6" s="758">
        <v>57.556191722992629</v>
      </c>
      <c r="L6" s="758">
        <v>59.131257274363328</v>
      </c>
      <c r="M6" s="759">
        <f>L6/K6</f>
        <v>1.0273657013124009</v>
      </c>
      <c r="O6" s="760"/>
    </row>
    <row r="7" spans="1:15">
      <c r="A7" s="436"/>
      <c r="B7" s="437"/>
      <c r="C7" s="437"/>
      <c r="D7" s="437"/>
      <c r="E7" s="437"/>
      <c r="F7" s="437"/>
      <c r="G7" s="437"/>
      <c r="H7" s="437"/>
      <c r="I7" s="437"/>
      <c r="J7" s="438"/>
      <c r="K7" s="438"/>
      <c r="L7" s="438"/>
      <c r="M7" s="754"/>
      <c r="O7" s="480"/>
    </row>
    <row r="8" spans="1:15" s="288" customFormat="1" ht="17.25" customHeight="1">
      <c r="A8" s="439" t="s">
        <v>3</v>
      </c>
      <c r="B8" s="434"/>
      <c r="C8" s="434"/>
      <c r="D8" s="434"/>
      <c r="E8" s="434"/>
      <c r="F8" s="434"/>
      <c r="G8" s="434"/>
      <c r="H8" s="434"/>
      <c r="I8" s="434"/>
      <c r="J8" s="435"/>
      <c r="K8" s="435"/>
      <c r="L8" s="435"/>
      <c r="M8" s="753"/>
      <c r="O8" s="481"/>
    </row>
    <row r="9" spans="1:15" ht="15" customHeight="1">
      <c r="A9" s="436" t="s">
        <v>4</v>
      </c>
      <c r="B9" s="437">
        <v>241429.21099996462</v>
      </c>
      <c r="C9" s="437">
        <v>115898.98910004499</v>
      </c>
      <c r="D9" s="437">
        <v>125530.22190004555</v>
      </c>
      <c r="E9" s="437"/>
      <c r="F9" s="437">
        <v>146172.65980003966</v>
      </c>
      <c r="G9" s="437">
        <v>69427.687300045611</v>
      </c>
      <c r="H9" s="437">
        <v>76744.97250004753</v>
      </c>
      <c r="I9" s="437"/>
      <c r="J9" s="438">
        <v>60.544728284761177</v>
      </c>
      <c r="K9" s="438">
        <v>59.903617658008542</v>
      </c>
      <c r="L9" s="438">
        <v>61.136650073872353</v>
      </c>
      <c r="M9" s="754">
        <f t="shared" ref="M9:M33" si="0">L9/K9</f>
        <v>1.020583605198992</v>
      </c>
      <c r="O9" s="480"/>
    </row>
    <row r="10" spans="1:15">
      <c r="A10" s="436" t="s">
        <v>5</v>
      </c>
      <c r="B10" s="437">
        <v>21874.194299997074</v>
      </c>
      <c r="C10" s="437">
        <v>11498.737199998819</v>
      </c>
      <c r="D10" s="437">
        <v>10375.457099999016</v>
      </c>
      <c r="E10" s="437"/>
      <c r="F10" s="437">
        <v>7515.3564999995169</v>
      </c>
      <c r="G10" s="437">
        <v>3897.5923000000735</v>
      </c>
      <c r="H10" s="437">
        <v>3617.764200000056</v>
      </c>
      <c r="I10" s="437"/>
      <c r="J10" s="438">
        <v>34.357180872262866</v>
      </c>
      <c r="K10" s="438">
        <v>33.895829013297032</v>
      </c>
      <c r="L10" s="438">
        <v>34.868480155928161</v>
      </c>
      <c r="M10" s="754">
        <f t="shared" si="0"/>
        <v>1.0286953047305487</v>
      </c>
      <c r="O10" s="480"/>
    </row>
    <row r="11" spans="1:15" s="288" customFormat="1" ht="17.25" customHeight="1">
      <c r="A11" s="439" t="s">
        <v>535</v>
      </c>
      <c r="B11" s="440"/>
      <c r="C11" s="440"/>
      <c r="D11" s="440"/>
      <c r="E11" s="440"/>
      <c r="F11" s="440"/>
      <c r="G11" s="440"/>
      <c r="H11" s="440"/>
      <c r="I11" s="440"/>
      <c r="J11" s="441"/>
      <c r="K11" s="441"/>
      <c r="L11" s="441"/>
      <c r="M11" s="755"/>
      <c r="O11" s="481"/>
    </row>
    <row r="12" spans="1:15" s="288" customFormat="1" ht="13.5" customHeight="1">
      <c r="A12" s="442" t="s">
        <v>148</v>
      </c>
      <c r="B12" s="443">
        <v>9220.9569999992127</v>
      </c>
      <c r="C12" s="443">
        <v>4856.5316999999441</v>
      </c>
      <c r="D12" s="443">
        <v>4364.4253000000226</v>
      </c>
      <c r="E12" s="443"/>
      <c r="F12" s="443">
        <v>3227.8440000000346</v>
      </c>
      <c r="G12" s="443">
        <v>1656.0630999999917</v>
      </c>
      <c r="H12" s="443">
        <v>1571.7808999999943</v>
      </c>
      <c r="I12" s="443"/>
      <c r="J12" s="444">
        <v>35.0055205766635</v>
      </c>
      <c r="K12" s="444">
        <v>34.099707410537967</v>
      </c>
      <c r="L12" s="444">
        <v>36.013467798383353</v>
      </c>
      <c r="M12" s="756">
        <f>L12/K12</f>
        <v>1.0561224870584658</v>
      </c>
      <c r="O12" s="481"/>
    </row>
    <row r="13" spans="1:15" s="288" customFormat="1" ht="15" customHeight="1">
      <c r="A13" s="446" t="s">
        <v>148</v>
      </c>
      <c r="B13" s="447">
        <v>3619.3985000000539</v>
      </c>
      <c r="C13" s="447">
        <v>1828.0142999999912</v>
      </c>
      <c r="D13" s="447">
        <v>1791.3841999999929</v>
      </c>
      <c r="E13" s="447"/>
      <c r="F13" s="447">
        <v>1815.5400999999888</v>
      </c>
      <c r="G13" s="447">
        <v>941.80340000000479</v>
      </c>
      <c r="H13" s="447">
        <v>873.73670000000357</v>
      </c>
      <c r="I13" s="447"/>
      <c r="J13" s="448">
        <v>50.161376261828707</v>
      </c>
      <c r="K13" s="448">
        <v>51.520570708883426</v>
      </c>
      <c r="L13" s="448">
        <v>48.774389100897515</v>
      </c>
      <c r="M13" s="754">
        <f>L13/K13</f>
        <v>0.94669737601504478</v>
      </c>
      <c r="O13" s="481"/>
    </row>
    <row r="14" spans="1:15" ht="15" customHeight="1">
      <c r="A14" s="446" t="s">
        <v>149</v>
      </c>
      <c r="B14" s="437">
        <v>3024.9681000000251</v>
      </c>
      <c r="C14" s="437">
        <v>1647.1479999999956</v>
      </c>
      <c r="D14" s="437">
        <v>1377.8200999999988</v>
      </c>
      <c r="E14" s="437"/>
      <c r="F14" s="437">
        <v>755.22180000000151</v>
      </c>
      <c r="G14" s="437">
        <v>388.79289999999963</v>
      </c>
      <c r="H14" s="437">
        <v>366.4288999999996</v>
      </c>
      <c r="I14" s="437"/>
      <c r="J14" s="438">
        <v>24.966273198054235</v>
      </c>
      <c r="K14" s="438">
        <v>23.604005226002748</v>
      </c>
      <c r="L14" s="438">
        <v>26.594829034646786</v>
      </c>
      <c r="M14" s="754">
        <f t="shared" si="0"/>
        <v>1.1267083183556184</v>
      </c>
      <c r="O14" s="480"/>
    </row>
    <row r="15" spans="1:15" ht="15" customHeight="1">
      <c r="A15" s="446" t="s">
        <v>150</v>
      </c>
      <c r="B15" s="437">
        <v>1064.0202000000052</v>
      </c>
      <c r="C15" s="437">
        <v>592.93389999999965</v>
      </c>
      <c r="D15" s="437">
        <v>471.08629999999908</v>
      </c>
      <c r="E15" s="437"/>
      <c r="F15" s="437">
        <v>208.40410000000008</v>
      </c>
      <c r="G15" s="437">
        <v>118.20970000000007</v>
      </c>
      <c r="H15" s="437">
        <v>90.194400000000016</v>
      </c>
      <c r="I15" s="437"/>
      <c r="J15" s="438">
        <v>19.586479655179364</v>
      </c>
      <c r="K15" s="438">
        <v>19.936404378295808</v>
      </c>
      <c r="L15" s="438">
        <v>19.146046064171294</v>
      </c>
      <c r="M15" s="754">
        <f t="shared" si="0"/>
        <v>0.96035602513234763</v>
      </c>
      <c r="O15" s="480"/>
    </row>
    <row r="16" spans="1:15" ht="15" customHeight="1">
      <c r="A16" s="446" t="s">
        <v>151</v>
      </c>
      <c r="B16" s="437">
        <v>1512.5701999999956</v>
      </c>
      <c r="C16" s="437">
        <v>788.43550000000278</v>
      </c>
      <c r="D16" s="437">
        <v>724.134700000002</v>
      </c>
      <c r="E16" s="437"/>
      <c r="F16" s="437">
        <v>448.67799999999892</v>
      </c>
      <c r="G16" s="437">
        <v>207.25710000000007</v>
      </c>
      <c r="H16" s="437">
        <v>241.4209000000001</v>
      </c>
      <c r="I16" s="437"/>
      <c r="J16" s="438">
        <v>29.663284388387382</v>
      </c>
      <c r="K16" s="438">
        <v>26.287134458050033</v>
      </c>
      <c r="L16" s="438">
        <v>33.339225423115181</v>
      </c>
      <c r="M16" s="754">
        <f t="shared" si="0"/>
        <v>1.2682715750672304</v>
      </c>
      <c r="O16" s="480"/>
    </row>
    <row r="17" spans="1:15" s="28" customFormat="1" ht="15" customHeight="1">
      <c r="A17" s="445" t="s">
        <v>152</v>
      </c>
      <c r="B17" s="443">
        <v>4675.4093999999695</v>
      </c>
      <c r="C17" s="443">
        <v>2633.6843000000126</v>
      </c>
      <c r="D17" s="443">
        <v>2041.725099999989</v>
      </c>
      <c r="E17" s="443"/>
      <c r="F17" s="443">
        <v>1409.7489999999962</v>
      </c>
      <c r="G17" s="443">
        <v>877.35000000000332</v>
      </c>
      <c r="H17" s="443">
        <v>532.39899999999932</v>
      </c>
      <c r="I17" s="443"/>
      <c r="J17" s="444">
        <v>30.152418310148558</v>
      </c>
      <c r="K17" s="444">
        <v>33.312648748370925</v>
      </c>
      <c r="L17" s="444">
        <v>26.075939410256602</v>
      </c>
      <c r="M17" s="754">
        <f t="shared" si="0"/>
        <v>0.78276391670991885</v>
      </c>
      <c r="O17" s="482"/>
    </row>
    <row r="18" spans="1:15" ht="15" customHeight="1">
      <c r="A18" s="446" t="s">
        <v>153</v>
      </c>
      <c r="B18" s="437">
        <v>2689.3900000000122</v>
      </c>
      <c r="C18" s="437">
        <v>1525.9501999999966</v>
      </c>
      <c r="D18" s="437">
        <v>1163.4398000000024</v>
      </c>
      <c r="E18" s="437"/>
      <c r="F18" s="437">
        <v>1071.4437000000041</v>
      </c>
      <c r="G18" s="437">
        <v>655.34930000000043</v>
      </c>
      <c r="H18" s="437">
        <v>416.0943999999995</v>
      </c>
      <c r="I18" s="437"/>
      <c r="J18" s="438">
        <v>39.839655089071869</v>
      </c>
      <c r="K18" s="438">
        <v>42.946965110656855</v>
      </c>
      <c r="L18" s="438">
        <v>35.764153847925606</v>
      </c>
      <c r="M18" s="754">
        <f t="shared" si="0"/>
        <v>0.83275159853032532</v>
      </c>
      <c r="O18" s="480"/>
    </row>
    <row r="19" spans="1:15" ht="15" customHeight="1">
      <c r="A19" s="446" t="s">
        <v>154</v>
      </c>
      <c r="B19" s="437">
        <v>302.06410000000011</v>
      </c>
      <c r="C19" s="437">
        <v>188.81159999999994</v>
      </c>
      <c r="D19" s="437">
        <v>113.25250000000005</v>
      </c>
      <c r="E19" s="437"/>
      <c r="F19" s="437">
        <v>142.52310000000006</v>
      </c>
      <c r="G19" s="437">
        <v>92.857600000000019</v>
      </c>
      <c r="H19" s="437">
        <v>49.66549999999998</v>
      </c>
      <c r="I19" s="437"/>
      <c r="J19" s="438">
        <v>47.183064786580054</v>
      </c>
      <c r="K19" s="438">
        <v>49.180029193121626</v>
      </c>
      <c r="L19" s="438">
        <v>43.85377806229441</v>
      </c>
      <c r="M19" s="754">
        <f t="shared" si="0"/>
        <v>0.89169890261935525</v>
      </c>
      <c r="O19" s="480"/>
    </row>
    <row r="20" spans="1:15" ht="15" customHeight="1">
      <c r="A20" s="446" t="s">
        <v>155</v>
      </c>
      <c r="B20" s="437">
        <v>812.57660000000294</v>
      </c>
      <c r="C20" s="437">
        <v>443.11529999999965</v>
      </c>
      <c r="D20" s="437">
        <v>369.46129999999965</v>
      </c>
      <c r="E20" s="437"/>
      <c r="F20" s="437">
        <v>59.949099999999966</v>
      </c>
      <c r="G20" s="437">
        <v>36.393799999999999</v>
      </c>
      <c r="H20" s="437">
        <v>23.555300000000003</v>
      </c>
      <c r="I20" s="437"/>
      <c r="J20" s="438">
        <v>7.3776552265964579</v>
      </c>
      <c r="K20" s="438">
        <v>8.2131670921766933</v>
      </c>
      <c r="L20" s="438">
        <v>6.3755797968555905</v>
      </c>
      <c r="M20" s="754">
        <f t="shared" si="0"/>
        <v>0.77626325208073943</v>
      </c>
      <c r="O20" s="480"/>
    </row>
    <row r="21" spans="1:15" ht="15" customHeight="1">
      <c r="A21" s="446" t="s">
        <v>156</v>
      </c>
      <c r="B21" s="437">
        <v>871.37870000000396</v>
      </c>
      <c r="C21" s="437">
        <v>475.80719999999928</v>
      </c>
      <c r="D21" s="437">
        <v>395.5714999999995</v>
      </c>
      <c r="E21" s="437"/>
      <c r="F21" s="437">
        <v>135.83310000000009</v>
      </c>
      <c r="G21" s="437">
        <v>92.749300000000019</v>
      </c>
      <c r="H21" s="437">
        <v>43.083799999999989</v>
      </c>
      <c r="I21" s="437"/>
      <c r="J21" s="438">
        <v>15.58829702860529</v>
      </c>
      <c r="K21" s="438">
        <v>19.493042560095798</v>
      </c>
      <c r="L21" s="438">
        <v>10.891532883435751</v>
      </c>
      <c r="M21" s="754">
        <f t="shared" si="0"/>
        <v>0.55873950153537366</v>
      </c>
      <c r="O21" s="480"/>
    </row>
    <row r="22" spans="1:15" s="28" customFormat="1" ht="15" customHeight="1">
      <c r="A22" s="445" t="s">
        <v>157</v>
      </c>
      <c r="B22" s="443">
        <v>108389.60890004285</v>
      </c>
      <c r="C22" s="443">
        <v>52387.778200024753</v>
      </c>
      <c r="D22" s="443">
        <v>56001.830700030252</v>
      </c>
      <c r="E22" s="443"/>
      <c r="F22" s="443">
        <v>59984.207800036704</v>
      </c>
      <c r="G22" s="443">
        <v>28771.944299996023</v>
      </c>
      <c r="H22" s="443">
        <v>31212.263499995624</v>
      </c>
      <c r="I22" s="443"/>
      <c r="J22" s="444">
        <v>55.341290008073827</v>
      </c>
      <c r="K22" s="444">
        <v>54.921100471451133</v>
      </c>
      <c r="L22" s="444">
        <v>55.734362805355943</v>
      </c>
      <c r="M22" s="754">
        <f t="shared" si="0"/>
        <v>1.0148078302678505</v>
      </c>
      <c r="O22" s="482"/>
    </row>
    <row r="23" spans="1:15" ht="15" customHeight="1">
      <c r="A23" s="446" t="s">
        <v>157</v>
      </c>
      <c r="B23" s="437">
        <v>62010.799800039247</v>
      </c>
      <c r="C23" s="437">
        <v>29474.950299995769</v>
      </c>
      <c r="D23" s="437">
        <v>32535.849499995275</v>
      </c>
      <c r="E23" s="437"/>
      <c r="F23" s="437">
        <v>34852.726399998537</v>
      </c>
      <c r="G23" s="437">
        <v>16472.39079999804</v>
      </c>
      <c r="H23" s="437">
        <v>18380.335599997728</v>
      </c>
      <c r="I23" s="437"/>
      <c r="J23" s="438">
        <v>56.204284596202122</v>
      </c>
      <c r="K23" s="438">
        <v>55.886068109847152</v>
      </c>
      <c r="L23" s="438">
        <v>56.492563994683891</v>
      </c>
      <c r="M23" s="754">
        <f t="shared" si="0"/>
        <v>1.0108523627685639</v>
      </c>
      <c r="O23" s="480"/>
    </row>
    <row r="24" spans="1:15" ht="15" customHeight="1">
      <c r="A24" s="446" t="s">
        <v>158</v>
      </c>
      <c r="B24" s="437">
        <v>17890.296599997731</v>
      </c>
      <c r="C24" s="437">
        <v>8889.4991999992544</v>
      </c>
      <c r="D24" s="437">
        <v>9000.7973999992482</v>
      </c>
      <c r="E24" s="437"/>
      <c r="F24" s="437">
        <v>8302.6892999993943</v>
      </c>
      <c r="G24" s="437">
        <v>4115.3299000000743</v>
      </c>
      <c r="H24" s="437">
        <v>4187.3594000000612</v>
      </c>
      <c r="I24" s="437"/>
      <c r="J24" s="438">
        <v>46.408896876541093</v>
      </c>
      <c r="K24" s="438">
        <v>46.294282809545876</v>
      </c>
      <c r="L24" s="438">
        <v>46.52209369805751</v>
      </c>
      <c r="M24" s="754">
        <f t="shared" si="0"/>
        <v>1.0049209292095278</v>
      </c>
      <c r="O24" s="480"/>
    </row>
    <row r="25" spans="1:15" ht="15" customHeight="1">
      <c r="A25" s="446" t="s">
        <v>159</v>
      </c>
      <c r="B25" s="437">
        <v>28488.512499995952</v>
      </c>
      <c r="C25" s="437">
        <v>14023.328699998392</v>
      </c>
      <c r="D25" s="437">
        <v>14465.183799998329</v>
      </c>
      <c r="E25" s="437"/>
      <c r="F25" s="437">
        <v>16828.792099997994</v>
      </c>
      <c r="G25" s="437">
        <v>8184.2235999994082</v>
      </c>
      <c r="H25" s="437">
        <v>8644.5684999993427</v>
      </c>
      <c r="I25" s="437"/>
      <c r="J25" s="438">
        <v>59.072203576797996</v>
      </c>
      <c r="K25" s="438">
        <v>58.361490164608533</v>
      </c>
      <c r="L25" s="438">
        <v>59.761207458707489</v>
      </c>
      <c r="M25" s="754">
        <f t="shared" si="0"/>
        <v>1.0239835770154437</v>
      </c>
      <c r="O25" s="480"/>
    </row>
    <row r="26" spans="1:15" s="28" customFormat="1" ht="15" customHeight="1">
      <c r="A26" s="445" t="s">
        <v>160</v>
      </c>
      <c r="B26" s="443">
        <v>114920.18160004455</v>
      </c>
      <c r="C26" s="443">
        <v>54373.581100027797</v>
      </c>
      <c r="D26" s="443">
        <v>60546.600500037122</v>
      </c>
      <c r="E26" s="443"/>
      <c r="F26" s="443">
        <v>77017.721600047356</v>
      </c>
      <c r="G26" s="443">
        <v>35962.528000000166</v>
      </c>
      <c r="H26" s="443">
        <v>41055.1936000079</v>
      </c>
      <c r="I26" s="443"/>
      <c r="J26" s="444">
        <v>67.018447523891339</v>
      </c>
      <c r="K26" s="444">
        <v>66.139708425378615</v>
      </c>
      <c r="L26" s="444">
        <v>67.807594911904104</v>
      </c>
      <c r="M26" s="754">
        <f t="shared" si="0"/>
        <v>1.0252176268422359</v>
      </c>
      <c r="O26" s="482"/>
    </row>
    <row r="27" spans="1:15" ht="15" customHeight="1">
      <c r="A27" s="446" t="s">
        <v>160</v>
      </c>
      <c r="B27" s="437">
        <v>114920.18160004455</v>
      </c>
      <c r="C27" s="437">
        <v>54373.581100027797</v>
      </c>
      <c r="D27" s="437">
        <v>60546.600500037122</v>
      </c>
      <c r="E27" s="437"/>
      <c r="F27" s="437">
        <v>77017.721600047356</v>
      </c>
      <c r="G27" s="437">
        <v>35962.528000000166</v>
      </c>
      <c r="H27" s="437">
        <v>41055.1936000079</v>
      </c>
      <c r="I27" s="437"/>
      <c r="J27" s="438">
        <v>67.018447523891339</v>
      </c>
      <c r="K27" s="438">
        <v>66.139708425378615</v>
      </c>
      <c r="L27" s="438">
        <v>67.807594911904104</v>
      </c>
      <c r="M27" s="754">
        <f t="shared" si="0"/>
        <v>1.0252176268422359</v>
      </c>
      <c r="O27" s="480"/>
    </row>
    <row r="28" spans="1:15" s="28" customFormat="1" ht="15" customHeight="1">
      <c r="A28" s="445" t="s">
        <v>161</v>
      </c>
      <c r="B28" s="443">
        <v>3494.0016000000478</v>
      </c>
      <c r="C28" s="443">
        <v>1810.3711999999925</v>
      </c>
      <c r="D28" s="443">
        <v>1683.6303999999955</v>
      </c>
      <c r="E28" s="443"/>
      <c r="F28" s="443">
        <v>1444.6954999999964</v>
      </c>
      <c r="G28" s="443">
        <v>748.51210000000231</v>
      </c>
      <c r="H28" s="443">
        <v>696.18340000000148</v>
      </c>
      <c r="I28" s="443"/>
      <c r="J28" s="444">
        <v>41.347877459471654</v>
      </c>
      <c r="K28" s="444">
        <v>41.345780357089204</v>
      </c>
      <c r="L28" s="444">
        <v>41.350132428114819</v>
      </c>
      <c r="M28" s="754">
        <f t="shared" si="0"/>
        <v>1.0001052603430878</v>
      </c>
      <c r="O28" s="482"/>
    </row>
    <row r="29" spans="1:15" ht="15" customHeight="1">
      <c r="A29" s="446" t="s">
        <v>161</v>
      </c>
      <c r="B29" s="437">
        <v>3494.0016000000478</v>
      </c>
      <c r="C29" s="437">
        <v>1810.3711999999925</v>
      </c>
      <c r="D29" s="437">
        <v>1683.6303999999955</v>
      </c>
      <c r="E29" s="437"/>
      <c r="F29" s="437">
        <v>1444.6954999999964</v>
      </c>
      <c r="G29" s="437">
        <v>748.51210000000231</v>
      </c>
      <c r="H29" s="437">
        <v>696.18340000000148</v>
      </c>
      <c r="I29" s="437"/>
      <c r="J29" s="438">
        <v>41.347877459471654</v>
      </c>
      <c r="K29" s="438">
        <v>41.345780357089204</v>
      </c>
      <c r="L29" s="438">
        <v>41.350132428114819</v>
      </c>
      <c r="M29" s="754">
        <f t="shared" si="0"/>
        <v>1.0001052603430878</v>
      </c>
      <c r="O29" s="480"/>
    </row>
    <row r="30" spans="1:15" s="28" customFormat="1" ht="15" customHeight="1">
      <c r="A30" s="445" t="s">
        <v>162</v>
      </c>
      <c r="B30" s="443">
        <v>5876.2373999997735</v>
      </c>
      <c r="C30" s="443">
        <v>2804.5919000000185</v>
      </c>
      <c r="D30" s="443">
        <v>3071.6455000000283</v>
      </c>
      <c r="E30" s="443"/>
      <c r="F30" s="443">
        <v>2832.4251000000263</v>
      </c>
      <c r="G30" s="443">
        <v>1363.440799999996</v>
      </c>
      <c r="H30" s="443">
        <v>1468.9842999999935</v>
      </c>
      <c r="I30" s="443"/>
      <c r="J30" s="444">
        <v>48.201338836312793</v>
      </c>
      <c r="K30" s="444">
        <v>48.614588097469287</v>
      </c>
      <c r="L30" s="444">
        <v>47.824018103651213</v>
      </c>
      <c r="M30" s="754">
        <f t="shared" si="0"/>
        <v>0.98373800900599984</v>
      </c>
      <c r="O30" s="482"/>
    </row>
    <row r="31" spans="1:15" ht="15" customHeight="1">
      <c r="A31" s="446" t="s">
        <v>162</v>
      </c>
      <c r="B31" s="437">
        <v>5876.2373999997735</v>
      </c>
      <c r="C31" s="437">
        <v>2804.5919000000185</v>
      </c>
      <c r="D31" s="437">
        <v>3071.6455000000283</v>
      </c>
      <c r="E31" s="437"/>
      <c r="F31" s="437">
        <v>2832.4251000000263</v>
      </c>
      <c r="G31" s="437">
        <v>1363.440799999996</v>
      </c>
      <c r="H31" s="437">
        <v>1468.9842999999935</v>
      </c>
      <c r="I31" s="437"/>
      <c r="J31" s="438">
        <v>48.201338836312793</v>
      </c>
      <c r="K31" s="438">
        <v>48.614588097469287</v>
      </c>
      <c r="L31" s="438">
        <v>47.824018103651213</v>
      </c>
      <c r="M31" s="754">
        <f t="shared" si="0"/>
        <v>0.98373800900599984</v>
      </c>
      <c r="O31" s="480"/>
    </row>
    <row r="32" spans="1:15" s="28" customFormat="1" ht="15" customHeight="1">
      <c r="A32" s="445" t="s">
        <v>163</v>
      </c>
      <c r="B32" s="443">
        <v>16727.009399997933</v>
      </c>
      <c r="C32" s="443">
        <v>8531.1878999993169</v>
      </c>
      <c r="D32" s="443">
        <v>8195.8214999993816</v>
      </c>
      <c r="E32" s="443"/>
      <c r="F32" s="443">
        <v>7771.3732999994709</v>
      </c>
      <c r="G32" s="443">
        <v>3945.4413000000627</v>
      </c>
      <c r="H32" s="443">
        <v>3825.9320000000625</v>
      </c>
      <c r="I32" s="443"/>
      <c r="J32" s="444">
        <v>46.460028294126353</v>
      </c>
      <c r="K32" s="444">
        <v>46.247267628465877</v>
      </c>
      <c r="L32" s="444">
        <v>46.681494954475035</v>
      </c>
      <c r="M32" s="754">
        <f t="shared" si="0"/>
        <v>1.0093892536419142</v>
      </c>
      <c r="O32" s="482"/>
    </row>
    <row r="33" spans="1:15" ht="15" customHeight="1">
      <c r="A33" s="446" t="s">
        <v>163</v>
      </c>
      <c r="B33" s="437">
        <v>16727.009399997933</v>
      </c>
      <c r="C33" s="437">
        <v>8531.1878999993169</v>
      </c>
      <c r="D33" s="437">
        <v>8195.8214999993816</v>
      </c>
      <c r="E33" s="437"/>
      <c r="F33" s="437">
        <v>7771.3732999994709</v>
      </c>
      <c r="G33" s="437">
        <v>3945.4413000000627</v>
      </c>
      <c r="H33" s="437">
        <v>3825.9320000000625</v>
      </c>
      <c r="I33" s="437"/>
      <c r="J33" s="438">
        <v>46.460028294126353</v>
      </c>
      <c r="K33" s="438">
        <v>46.247267628465877</v>
      </c>
      <c r="L33" s="438">
        <v>46.681494954475035</v>
      </c>
      <c r="M33" s="754">
        <f t="shared" si="0"/>
        <v>1.0093892536419142</v>
      </c>
      <c r="O33" s="480"/>
    </row>
  </sheetData>
  <mergeCells count="6">
    <mergeCell ref="A1:M1"/>
    <mergeCell ref="B2:D3"/>
    <mergeCell ref="F2:H3"/>
    <mergeCell ref="J2:L3"/>
    <mergeCell ref="M2:M5"/>
    <mergeCell ref="A2:A5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6626-6BB5-4F41-AE24-AF695E3ACDF0}">
  <sheetPr>
    <tabColor theme="0"/>
  </sheetPr>
  <dimension ref="A1:P32"/>
  <sheetViews>
    <sheetView workbookViewId="0">
      <selection activeCell="Q32" sqref="Q32"/>
    </sheetView>
  </sheetViews>
  <sheetFormatPr defaultRowHeight="12"/>
  <cols>
    <col min="1" max="1" width="20.5703125" style="30" customWidth="1"/>
    <col min="2" max="4" width="9.140625" style="30"/>
    <col min="5" max="5" width="2.85546875" style="30" customWidth="1"/>
    <col min="6" max="8" width="9.140625" style="30"/>
    <col min="9" max="9" width="2.42578125" style="30" customWidth="1"/>
    <col min="10" max="12" width="9.140625" style="30"/>
    <col min="13" max="13" width="9.140625" style="687"/>
    <col min="14" max="16384" width="9.140625" style="30"/>
  </cols>
  <sheetData>
    <row r="1" spans="1:16" ht="15" customHeight="1" thickBot="1">
      <c r="A1" s="1094" t="s">
        <v>536</v>
      </c>
      <c r="B1" s="1094"/>
      <c r="C1" s="1094"/>
      <c r="D1" s="1094"/>
      <c r="E1" s="1094"/>
      <c r="F1" s="1094"/>
      <c r="G1" s="1094"/>
      <c r="H1" s="1094"/>
      <c r="I1" s="1094"/>
      <c r="J1" s="1094"/>
      <c r="K1" s="1094"/>
      <c r="L1" s="1094"/>
      <c r="M1" s="1094"/>
      <c r="P1" s="480"/>
    </row>
    <row r="2" spans="1:16" ht="12" customHeight="1">
      <c r="A2" s="1100" t="s">
        <v>537</v>
      </c>
      <c r="B2" s="1095" t="s">
        <v>462</v>
      </c>
      <c r="C2" s="1095"/>
      <c r="D2" s="1095"/>
      <c r="E2" s="606"/>
      <c r="F2" s="1095" t="s">
        <v>463</v>
      </c>
      <c r="G2" s="1095"/>
      <c r="H2" s="1095"/>
      <c r="I2" s="606"/>
      <c r="J2" s="1096" t="s">
        <v>464</v>
      </c>
      <c r="K2" s="1096"/>
      <c r="L2" s="1096"/>
      <c r="M2" s="1098" t="s">
        <v>429</v>
      </c>
      <c r="P2" s="480"/>
    </row>
    <row r="3" spans="1:16" ht="15" customHeight="1">
      <c r="A3" s="1093"/>
      <c r="B3" s="1070"/>
      <c r="C3" s="1070"/>
      <c r="D3" s="1070"/>
      <c r="E3" s="606"/>
      <c r="F3" s="1070"/>
      <c r="G3" s="1070"/>
      <c r="H3" s="1070"/>
      <c r="I3" s="606"/>
      <c r="J3" s="1097"/>
      <c r="K3" s="1097"/>
      <c r="L3" s="1097"/>
      <c r="M3" s="1099"/>
      <c r="P3" s="480"/>
    </row>
    <row r="4" spans="1:16" ht="15" customHeight="1">
      <c r="A4" s="1093"/>
      <c r="B4" s="369" t="s">
        <v>0</v>
      </c>
      <c r="C4" s="369" t="s">
        <v>1</v>
      </c>
      <c r="D4" s="369" t="s">
        <v>2</v>
      </c>
      <c r="E4" s="369"/>
      <c r="F4" s="369" t="s">
        <v>0</v>
      </c>
      <c r="G4" s="369" t="s">
        <v>1</v>
      </c>
      <c r="H4" s="369" t="s">
        <v>2</v>
      </c>
      <c r="I4" s="369"/>
      <c r="J4" s="369" t="s">
        <v>0</v>
      </c>
      <c r="K4" s="369" t="s">
        <v>1</v>
      </c>
      <c r="L4" s="369" t="s">
        <v>2</v>
      </c>
      <c r="M4" s="1099"/>
      <c r="P4" s="480"/>
    </row>
    <row r="5" spans="1:16" s="712" customFormat="1" ht="17.25" customHeight="1">
      <c r="A5" s="439" t="s">
        <v>344</v>
      </c>
      <c r="B5" s="757">
        <v>225852.17000036704</v>
      </c>
      <c r="C5" s="757">
        <v>112866.98999995498</v>
      </c>
      <c r="D5" s="757">
        <v>112985.17999995477</v>
      </c>
      <c r="E5" s="757"/>
      <c r="F5" s="757">
        <v>177106.60000013802</v>
      </c>
      <c r="G5" s="757">
        <v>88330.299999999814</v>
      </c>
      <c r="H5" s="757">
        <v>88776.299999998999</v>
      </c>
      <c r="I5" s="757"/>
      <c r="J5" s="758">
        <v>78.417045981764161</v>
      </c>
      <c r="K5" s="758">
        <v>78.260525951861766</v>
      </c>
      <c r="L5" s="758">
        <v>78.573402281640426</v>
      </c>
      <c r="M5" s="702">
        <f>L5/K5</f>
        <v>1.0039978817669986</v>
      </c>
      <c r="P5" s="760"/>
    </row>
    <row r="6" spans="1:16">
      <c r="A6" s="436"/>
      <c r="B6" s="437"/>
      <c r="C6" s="437"/>
      <c r="D6" s="437"/>
      <c r="E6" s="437"/>
      <c r="F6" s="437"/>
      <c r="G6" s="437"/>
      <c r="H6" s="437"/>
      <c r="I6" s="437"/>
      <c r="J6" s="438"/>
      <c r="K6" s="438"/>
      <c r="L6" s="438"/>
      <c r="M6" s="761"/>
      <c r="P6" s="480"/>
    </row>
    <row r="7" spans="1:16" s="288" customFormat="1" ht="17.25" customHeight="1">
      <c r="A7" s="439" t="s">
        <v>3</v>
      </c>
      <c r="B7" s="434"/>
      <c r="C7" s="434"/>
      <c r="D7" s="434"/>
      <c r="E7" s="434"/>
      <c r="F7" s="434"/>
      <c r="G7" s="434"/>
      <c r="H7" s="434"/>
      <c r="I7" s="434"/>
      <c r="J7" s="435"/>
      <c r="K7" s="435"/>
      <c r="L7" s="435"/>
      <c r="M7" s="762"/>
      <c r="P7" s="481"/>
    </row>
    <row r="8" spans="1:16" ht="15" customHeight="1">
      <c r="A8" s="436" t="s">
        <v>4</v>
      </c>
      <c r="B8" s="437">
        <v>205525.72000027154</v>
      </c>
      <c r="C8" s="437">
        <v>102486.33999997395</v>
      </c>
      <c r="D8" s="437">
        <v>103039.37999997294</v>
      </c>
      <c r="E8" s="437"/>
      <c r="F8" s="437">
        <v>163947.37000007619</v>
      </c>
      <c r="G8" s="437">
        <v>81560.020000012184</v>
      </c>
      <c r="H8" s="437">
        <v>82387.350000010672</v>
      </c>
      <c r="I8" s="437"/>
      <c r="J8" s="438">
        <v>79.769758256914699</v>
      </c>
      <c r="K8" s="438">
        <v>79.581356891094686</v>
      </c>
      <c r="L8" s="438">
        <v>79.957148422303817</v>
      </c>
      <c r="M8" s="761">
        <f t="shared" ref="M8:M32" si="0">L8/K8</f>
        <v>1.0047221050996076</v>
      </c>
      <c r="P8" s="480"/>
    </row>
    <row r="9" spans="1:16">
      <c r="A9" s="436" t="s">
        <v>5</v>
      </c>
      <c r="B9" s="437">
        <v>20326.449999996854</v>
      </c>
      <c r="C9" s="437">
        <v>10380.649999998801</v>
      </c>
      <c r="D9" s="437">
        <v>9945.7999999988861</v>
      </c>
      <c r="E9" s="437"/>
      <c r="F9" s="437">
        <v>13159.229999998257</v>
      </c>
      <c r="G9" s="437">
        <v>6770.2799999995068</v>
      </c>
      <c r="H9" s="437">
        <v>6388.9499999995815</v>
      </c>
      <c r="I9" s="437"/>
      <c r="J9" s="438">
        <v>64.739440482730814</v>
      </c>
      <c r="K9" s="438">
        <v>65.220193340501623</v>
      </c>
      <c r="L9" s="438">
        <v>64.237668161442173</v>
      </c>
      <c r="M9" s="761">
        <f t="shared" si="0"/>
        <v>0.98493526117087871</v>
      </c>
      <c r="P9" s="480"/>
    </row>
    <row r="10" spans="1:16" s="288" customFormat="1" ht="17.25" customHeight="1">
      <c r="A10" s="439" t="s">
        <v>535</v>
      </c>
      <c r="B10" s="440"/>
      <c r="C10" s="440"/>
      <c r="D10" s="440"/>
      <c r="E10" s="440"/>
      <c r="F10" s="440"/>
      <c r="G10" s="440"/>
      <c r="H10" s="440"/>
      <c r="I10" s="440"/>
      <c r="J10" s="441"/>
      <c r="K10" s="441"/>
      <c r="L10" s="441"/>
      <c r="M10" s="763"/>
      <c r="P10" s="481"/>
    </row>
    <row r="11" spans="1:16" ht="15" customHeight="1">
      <c r="A11" s="445" t="s">
        <v>148</v>
      </c>
      <c r="B11" s="443">
        <v>8596.6499999991502</v>
      </c>
      <c r="C11" s="443">
        <v>4348.4999999999809</v>
      </c>
      <c r="D11" s="443">
        <v>4248.1500000000005</v>
      </c>
      <c r="E11" s="443"/>
      <c r="F11" s="443">
        <v>5554.9299999997447</v>
      </c>
      <c r="G11" s="443">
        <v>2834.3300000000204</v>
      </c>
      <c r="H11" s="443">
        <v>2720.6000000000195</v>
      </c>
      <c r="I11" s="443"/>
      <c r="J11" s="444">
        <v>64.61738002594673</v>
      </c>
      <c r="K11" s="444">
        <v>65.179487179487467</v>
      </c>
      <c r="L11" s="444">
        <v>64.041994750656158</v>
      </c>
      <c r="M11" s="764">
        <f t="shared" si="0"/>
        <v>0.98254830656002323</v>
      </c>
      <c r="P11" s="480"/>
    </row>
    <row r="12" spans="1:16" s="28" customFormat="1" ht="15" customHeight="1">
      <c r="A12" s="446" t="s">
        <v>148</v>
      </c>
      <c r="B12" s="437">
        <v>3242.4200000000237</v>
      </c>
      <c r="C12" s="437">
        <v>1636.8200000000106</v>
      </c>
      <c r="D12" s="437">
        <v>1605.6000000000104</v>
      </c>
      <c r="E12" s="437"/>
      <c r="F12" s="437">
        <v>2406.1700000000169</v>
      </c>
      <c r="G12" s="437">
        <v>1195.280000000007</v>
      </c>
      <c r="H12" s="437">
        <v>1210.8900000000071</v>
      </c>
      <c r="I12" s="437"/>
      <c r="J12" s="438">
        <v>74.209078404401112</v>
      </c>
      <c r="K12" s="438">
        <v>73.02452316076247</v>
      </c>
      <c r="L12" s="438">
        <v>75.416666666666174</v>
      </c>
      <c r="M12" s="761">
        <f t="shared" si="0"/>
        <v>1.0327580845771143</v>
      </c>
      <c r="P12" s="482"/>
    </row>
    <row r="13" spans="1:16">
      <c r="A13" s="446" t="s">
        <v>149</v>
      </c>
      <c r="B13" s="437">
        <v>3026.110000000022</v>
      </c>
      <c r="C13" s="437">
        <v>1554.3100000000099</v>
      </c>
      <c r="D13" s="437">
        <v>1471.8000000000093</v>
      </c>
      <c r="E13" s="437"/>
      <c r="F13" s="437">
        <v>1732.7100000000114</v>
      </c>
      <c r="G13" s="437">
        <v>932.14000000000499</v>
      </c>
      <c r="H13" s="437">
        <v>800.57000000000392</v>
      </c>
      <c r="I13" s="437"/>
      <c r="J13" s="438">
        <v>57.258658806189707</v>
      </c>
      <c r="K13" s="438">
        <v>59.971305595408509</v>
      </c>
      <c r="L13" s="438">
        <v>54.39393939393905</v>
      </c>
      <c r="M13" s="761">
        <f t="shared" si="0"/>
        <v>0.90699942003769762</v>
      </c>
      <c r="P13" s="480"/>
    </row>
    <row r="14" spans="1:16">
      <c r="A14" s="446" t="s">
        <v>150</v>
      </c>
      <c r="B14" s="437">
        <v>949.98000000000513</v>
      </c>
      <c r="C14" s="437">
        <v>488.37000000000137</v>
      </c>
      <c r="D14" s="437">
        <v>461.61000000000115</v>
      </c>
      <c r="E14" s="437"/>
      <c r="F14" s="437">
        <v>457.15000000000111</v>
      </c>
      <c r="G14" s="437">
        <v>254.21999999999949</v>
      </c>
      <c r="H14" s="437">
        <v>202.92999999999972</v>
      </c>
      <c r="I14" s="437"/>
      <c r="J14" s="438">
        <v>48.122065727699272</v>
      </c>
      <c r="K14" s="438">
        <v>52.054794520547802</v>
      </c>
      <c r="L14" s="438">
        <v>43.961352657004724</v>
      </c>
      <c r="M14" s="761">
        <f t="shared" si="0"/>
        <v>0.8445207220950931</v>
      </c>
      <c r="P14" s="480"/>
    </row>
    <row r="15" spans="1:16">
      <c r="A15" s="446" t="s">
        <v>151</v>
      </c>
      <c r="B15" s="437">
        <v>1378.1400000000085</v>
      </c>
      <c r="C15" s="437">
        <v>669.00000000000284</v>
      </c>
      <c r="D15" s="437">
        <v>709.14000000000317</v>
      </c>
      <c r="E15" s="437"/>
      <c r="F15" s="437">
        <v>958.90000000000521</v>
      </c>
      <c r="G15" s="437">
        <v>452.69000000000108</v>
      </c>
      <c r="H15" s="437">
        <v>506.21000000000151</v>
      </c>
      <c r="I15" s="437"/>
      <c r="J15" s="438">
        <v>69.579288025889539</v>
      </c>
      <c r="K15" s="438">
        <v>67.666666666666373</v>
      </c>
      <c r="L15" s="438">
        <v>71.383647798741819</v>
      </c>
      <c r="M15" s="761">
        <f t="shared" si="0"/>
        <v>1.0549307556464353</v>
      </c>
      <c r="P15" s="480"/>
    </row>
    <row r="16" spans="1:16" s="28" customFormat="1">
      <c r="A16" s="445" t="s">
        <v>152</v>
      </c>
      <c r="B16" s="443">
        <v>4560.3499999999394</v>
      </c>
      <c r="C16" s="443">
        <v>2357.1100000000165</v>
      </c>
      <c r="D16" s="443">
        <v>2203.2400000000152</v>
      </c>
      <c r="E16" s="443"/>
      <c r="F16" s="443">
        <v>2736.2100000000196</v>
      </c>
      <c r="G16" s="443">
        <v>1427.2000000000089</v>
      </c>
      <c r="H16" s="443">
        <v>1309.0100000000079</v>
      </c>
      <c r="I16" s="443"/>
      <c r="J16" s="444">
        <v>60.000000000000796</v>
      </c>
      <c r="K16" s="444">
        <v>60.548722800378009</v>
      </c>
      <c r="L16" s="444">
        <v>59.412955465586634</v>
      </c>
      <c r="M16" s="761">
        <f t="shared" si="0"/>
        <v>0.9812420926113361</v>
      </c>
      <c r="P16" s="482"/>
    </row>
    <row r="17" spans="1:16" ht="15" customHeight="1">
      <c r="A17" s="446" t="s">
        <v>153</v>
      </c>
      <c r="B17" s="437">
        <v>2401.7100000000169</v>
      </c>
      <c r="C17" s="437">
        <v>1228.7300000000073</v>
      </c>
      <c r="D17" s="437">
        <v>1172.9800000000068</v>
      </c>
      <c r="E17" s="437"/>
      <c r="F17" s="437">
        <v>1596.6800000000103</v>
      </c>
      <c r="G17" s="437">
        <v>811.72000000000401</v>
      </c>
      <c r="H17" s="437">
        <v>784.96000000000379</v>
      </c>
      <c r="I17" s="437"/>
      <c r="J17" s="438">
        <v>66.480965645310576</v>
      </c>
      <c r="K17" s="438">
        <v>66.061705989110322</v>
      </c>
      <c r="L17" s="438">
        <v>66.920152091254366</v>
      </c>
      <c r="M17" s="761">
        <f t="shared" si="0"/>
        <v>1.0129946099527849</v>
      </c>
      <c r="P17" s="480"/>
    </row>
    <row r="18" spans="1:16">
      <c r="A18" s="446" t="s">
        <v>154</v>
      </c>
      <c r="B18" s="437">
        <v>309.96999999999991</v>
      </c>
      <c r="C18" s="437">
        <v>176.16999999999985</v>
      </c>
      <c r="D18" s="437">
        <v>133.80000000000004</v>
      </c>
      <c r="E18" s="437"/>
      <c r="F18" s="437">
        <v>245.29999999999953</v>
      </c>
      <c r="G18" s="437">
        <v>140.49</v>
      </c>
      <c r="H18" s="437">
        <v>104.81000000000003</v>
      </c>
      <c r="I18" s="437"/>
      <c r="J18" s="438">
        <v>79.136690647482041</v>
      </c>
      <c r="K18" s="438">
        <v>79.746835443038051</v>
      </c>
      <c r="L18" s="438">
        <v>78.333333333333314</v>
      </c>
      <c r="M18" s="761">
        <f t="shared" si="0"/>
        <v>0.98227513227513108</v>
      </c>
      <c r="P18" s="480"/>
    </row>
    <row r="19" spans="1:16">
      <c r="A19" s="446" t="s">
        <v>155</v>
      </c>
      <c r="B19" s="437">
        <v>869.70000000000448</v>
      </c>
      <c r="C19" s="437">
        <v>443.770000000001</v>
      </c>
      <c r="D19" s="437">
        <v>425.93000000000086</v>
      </c>
      <c r="E19" s="437"/>
      <c r="F19" s="437">
        <v>365.72000000000037</v>
      </c>
      <c r="G19" s="437">
        <v>198.46999999999974</v>
      </c>
      <c r="H19" s="437">
        <v>167.24999999999989</v>
      </c>
      <c r="I19" s="437"/>
      <c r="J19" s="438">
        <v>42.051282051281838</v>
      </c>
      <c r="K19" s="438">
        <v>44.723618090452163</v>
      </c>
      <c r="L19" s="438">
        <v>39.267015706806205</v>
      </c>
      <c r="M19" s="761">
        <f t="shared" si="0"/>
        <v>0.8779928231072418</v>
      </c>
      <c r="P19" s="480"/>
    </row>
    <row r="20" spans="1:16">
      <c r="A20" s="446" t="s">
        <v>156</v>
      </c>
      <c r="B20" s="437">
        <v>978.97000000000537</v>
      </c>
      <c r="C20" s="437">
        <v>508.44000000000153</v>
      </c>
      <c r="D20" s="437">
        <v>470.53000000000122</v>
      </c>
      <c r="E20" s="437"/>
      <c r="F20" s="437">
        <v>528.5100000000017</v>
      </c>
      <c r="G20" s="437">
        <v>276.51999999999964</v>
      </c>
      <c r="H20" s="437">
        <v>251.9899999999995</v>
      </c>
      <c r="I20" s="437"/>
      <c r="J20" s="438">
        <v>53.986332574031593</v>
      </c>
      <c r="K20" s="438">
        <v>54.385964912280535</v>
      </c>
      <c r="L20" s="438">
        <v>53.554502369668107</v>
      </c>
      <c r="M20" s="761">
        <f t="shared" si="0"/>
        <v>0.98471181776486816</v>
      </c>
      <c r="P20" s="480"/>
    </row>
    <row r="21" spans="1:16" s="28" customFormat="1">
      <c r="A21" s="445" t="s">
        <v>157</v>
      </c>
      <c r="B21" s="443">
        <v>92293.009999992573</v>
      </c>
      <c r="C21" s="443">
        <v>46332.710000013889</v>
      </c>
      <c r="D21" s="443">
        <v>45960.300000013354</v>
      </c>
      <c r="E21" s="443"/>
      <c r="F21" s="443">
        <v>71739.100000030128</v>
      </c>
      <c r="G21" s="443">
        <v>35842.789999998829</v>
      </c>
      <c r="H21" s="443">
        <v>35896.309999998906</v>
      </c>
      <c r="I21" s="443"/>
      <c r="J21" s="444">
        <v>77.729721893354409</v>
      </c>
      <c r="K21" s="444">
        <v>77.359580305121924</v>
      </c>
      <c r="L21" s="444">
        <v>78.10286268799284</v>
      </c>
      <c r="M21" s="761">
        <f t="shared" si="0"/>
        <v>1.0096081491127442</v>
      </c>
      <c r="P21" s="482"/>
    </row>
    <row r="22" spans="1:16" ht="15" customHeight="1">
      <c r="A22" s="446" t="s">
        <v>157</v>
      </c>
      <c r="B22" s="437">
        <v>54719.740000025929</v>
      </c>
      <c r="C22" s="437">
        <v>27391.089999995471</v>
      </c>
      <c r="D22" s="437">
        <v>27328.649999995483</v>
      </c>
      <c r="E22" s="437"/>
      <c r="F22" s="437">
        <v>43088.060000009231</v>
      </c>
      <c r="G22" s="437">
        <v>21399.079999996644</v>
      </c>
      <c r="H22" s="437">
        <v>21688.979999996587</v>
      </c>
      <c r="I22" s="437"/>
      <c r="J22" s="438">
        <v>78.743173852762425</v>
      </c>
      <c r="K22" s="438">
        <v>78.124236749992562</v>
      </c>
      <c r="L22" s="438">
        <v>79.363525091812377</v>
      </c>
      <c r="M22" s="761">
        <f t="shared" si="0"/>
        <v>1.015863045750907</v>
      </c>
      <c r="P22" s="480"/>
    </row>
    <row r="23" spans="1:16">
      <c r="A23" s="446" t="s">
        <v>158</v>
      </c>
      <c r="B23" s="437">
        <v>15489.579999997801</v>
      </c>
      <c r="C23" s="437">
        <v>7776.0099999993099</v>
      </c>
      <c r="D23" s="437">
        <v>7713.5699999993221</v>
      </c>
      <c r="E23" s="437"/>
      <c r="F23" s="437">
        <v>11341.779999998613</v>
      </c>
      <c r="G23" s="437">
        <v>5679.8099999997203</v>
      </c>
      <c r="H23" s="437">
        <v>5661.9699999997238</v>
      </c>
      <c r="I23" s="437"/>
      <c r="J23" s="438">
        <v>73.221998272397386</v>
      </c>
      <c r="K23" s="438">
        <v>73.04273014052842</v>
      </c>
      <c r="L23" s="438">
        <v>73.402717548430857</v>
      </c>
      <c r="M23" s="761">
        <f t="shared" si="0"/>
        <v>1.0049284495145492</v>
      </c>
      <c r="P23" s="480"/>
    </row>
    <row r="24" spans="1:16">
      <c r="A24" s="446" t="s">
        <v>159</v>
      </c>
      <c r="B24" s="437">
        <v>22083.68999999651</v>
      </c>
      <c r="C24" s="437">
        <v>11165.609999998647</v>
      </c>
      <c r="D24" s="437">
        <v>10918.079999998696</v>
      </c>
      <c r="E24" s="437"/>
      <c r="F24" s="437">
        <v>17309.259999997445</v>
      </c>
      <c r="G24" s="437">
        <v>8763.8999999991174</v>
      </c>
      <c r="H24" s="437">
        <v>8545.3599999991602</v>
      </c>
      <c r="I24" s="437"/>
      <c r="J24" s="438">
        <v>78.380288801385703</v>
      </c>
      <c r="K24" s="438">
        <v>78.490113840632631</v>
      </c>
      <c r="L24" s="438">
        <v>78.267973856218504</v>
      </c>
      <c r="M24" s="761">
        <f t="shared" si="0"/>
        <v>0.99716983485506006</v>
      </c>
      <c r="P24" s="480"/>
    </row>
    <row r="25" spans="1:16" s="28" customFormat="1">
      <c r="A25" s="445" t="s">
        <v>160</v>
      </c>
      <c r="B25" s="443">
        <v>97301.589999983422</v>
      </c>
      <c r="C25" s="443">
        <v>48016.360000016306</v>
      </c>
      <c r="D25" s="443">
        <v>49285.230000018128</v>
      </c>
      <c r="E25" s="443"/>
      <c r="F25" s="443">
        <v>79996.79000001504</v>
      </c>
      <c r="G25" s="443">
        <v>39444.240000004</v>
      </c>
      <c r="H25" s="443">
        <v>40552.550000005591</v>
      </c>
      <c r="I25" s="443"/>
      <c r="J25" s="444">
        <v>82.215295762395698</v>
      </c>
      <c r="K25" s="444">
        <v>82.147501393247225</v>
      </c>
      <c r="L25" s="444">
        <v>82.28134473550206</v>
      </c>
      <c r="M25" s="761">
        <f t="shared" si="0"/>
        <v>1.0016293050912664</v>
      </c>
      <c r="P25" s="482"/>
    </row>
    <row r="26" spans="1:16">
      <c r="A26" s="446" t="s">
        <v>160</v>
      </c>
      <c r="B26" s="437">
        <v>97301.589999983422</v>
      </c>
      <c r="C26" s="437">
        <v>48016.360000016306</v>
      </c>
      <c r="D26" s="437">
        <v>49285.230000018128</v>
      </c>
      <c r="E26" s="437"/>
      <c r="F26" s="437">
        <v>79996.79000001504</v>
      </c>
      <c r="G26" s="437">
        <v>39444.240000004</v>
      </c>
      <c r="H26" s="437">
        <v>40552.550000005591</v>
      </c>
      <c r="I26" s="437"/>
      <c r="J26" s="438">
        <v>82.215295762395698</v>
      </c>
      <c r="K26" s="438">
        <v>82.147501393247225</v>
      </c>
      <c r="L26" s="438">
        <v>82.28134473550206</v>
      </c>
      <c r="M26" s="761">
        <f t="shared" si="0"/>
        <v>1.0016293050912664</v>
      </c>
      <c r="P26" s="480"/>
    </row>
    <row r="27" spans="1:16" s="28" customFormat="1" ht="15" customHeight="1">
      <c r="A27" s="445" t="s">
        <v>161</v>
      </c>
      <c r="B27" s="443">
        <v>3507.7900000000259</v>
      </c>
      <c r="C27" s="443">
        <v>1746.0900000000115</v>
      </c>
      <c r="D27" s="443">
        <v>1761.7000000000116</v>
      </c>
      <c r="E27" s="443"/>
      <c r="F27" s="443">
        <v>2519.9000000000178</v>
      </c>
      <c r="G27" s="443">
        <v>1273.3300000000077</v>
      </c>
      <c r="H27" s="443">
        <v>1246.5700000000074</v>
      </c>
      <c r="I27" s="443"/>
      <c r="J27" s="444">
        <v>71.837253655434949</v>
      </c>
      <c r="K27" s="444">
        <v>72.92464878671727</v>
      </c>
      <c r="L27" s="444">
        <v>70.759493670885604</v>
      </c>
      <c r="M27" s="761">
        <f t="shared" si="0"/>
        <v>0.97030969429603842</v>
      </c>
      <c r="P27" s="482"/>
    </row>
    <row r="28" spans="1:16">
      <c r="A28" s="446" t="s">
        <v>161</v>
      </c>
      <c r="B28" s="437">
        <v>3507.7900000000259</v>
      </c>
      <c r="C28" s="437">
        <v>1746.0900000000115</v>
      </c>
      <c r="D28" s="437">
        <v>1761.7000000000116</v>
      </c>
      <c r="E28" s="437"/>
      <c r="F28" s="437">
        <v>2519.9000000000178</v>
      </c>
      <c r="G28" s="437">
        <v>1273.3300000000077</v>
      </c>
      <c r="H28" s="437">
        <v>1246.5700000000074</v>
      </c>
      <c r="I28" s="437"/>
      <c r="J28" s="438">
        <v>71.837253655434949</v>
      </c>
      <c r="K28" s="438">
        <v>72.92464878671727</v>
      </c>
      <c r="L28" s="438">
        <v>70.759493670885604</v>
      </c>
      <c r="M28" s="761">
        <f t="shared" si="0"/>
        <v>0.97030969429603842</v>
      </c>
      <c r="P28" s="480"/>
    </row>
    <row r="29" spans="1:16" s="28" customFormat="1" ht="15" customHeight="1">
      <c r="A29" s="445" t="s">
        <v>162</v>
      </c>
      <c r="B29" s="443">
        <v>5260.5699999998023</v>
      </c>
      <c r="C29" s="443">
        <v>2787.50000000002</v>
      </c>
      <c r="D29" s="443">
        <v>2473.0700000000174</v>
      </c>
      <c r="E29" s="443"/>
      <c r="F29" s="443">
        <v>3951.5600000000295</v>
      </c>
      <c r="G29" s="443">
        <v>2093.9700000000144</v>
      </c>
      <c r="H29" s="443">
        <v>1857.5900000000124</v>
      </c>
      <c r="I29" s="443"/>
      <c r="J29" s="444">
        <v>75.11657481984173</v>
      </c>
      <c r="K29" s="444">
        <v>75.119999999999465</v>
      </c>
      <c r="L29" s="444">
        <v>75.112714156897582</v>
      </c>
      <c r="M29" s="761">
        <f t="shared" si="0"/>
        <v>0.99990301060833486</v>
      </c>
      <c r="P29" s="482"/>
    </row>
    <row r="30" spans="1:16">
      <c r="A30" s="446" t="s">
        <v>162</v>
      </c>
      <c r="B30" s="437">
        <v>5260.5699999998023</v>
      </c>
      <c r="C30" s="437">
        <v>2787.50000000002</v>
      </c>
      <c r="D30" s="437">
        <v>2473.0700000000174</v>
      </c>
      <c r="E30" s="437"/>
      <c r="F30" s="437">
        <v>3951.5600000000295</v>
      </c>
      <c r="G30" s="437">
        <v>2093.9700000000144</v>
      </c>
      <c r="H30" s="437">
        <v>1857.5900000000124</v>
      </c>
      <c r="I30" s="437"/>
      <c r="J30" s="438">
        <v>75.11657481984173</v>
      </c>
      <c r="K30" s="438">
        <v>75.119999999999465</v>
      </c>
      <c r="L30" s="438">
        <v>75.112714156897582</v>
      </c>
      <c r="M30" s="761">
        <f t="shared" si="0"/>
        <v>0.99990301060833486</v>
      </c>
      <c r="P30" s="480"/>
    </row>
    <row r="31" spans="1:16" s="28" customFormat="1">
      <c r="A31" s="445" t="s">
        <v>163</v>
      </c>
      <c r="B31" s="443">
        <v>14332.209999998027</v>
      </c>
      <c r="C31" s="443">
        <v>7278.7199999994073</v>
      </c>
      <c r="D31" s="443">
        <v>7053.4899999994514</v>
      </c>
      <c r="E31" s="443"/>
      <c r="F31" s="443">
        <v>10608.109999998756</v>
      </c>
      <c r="G31" s="443">
        <v>5414.4399999997722</v>
      </c>
      <c r="H31" s="443">
        <v>5193.6699999998154</v>
      </c>
      <c r="I31" s="443"/>
      <c r="J31" s="444">
        <v>74.015870546143688</v>
      </c>
      <c r="K31" s="444">
        <v>74.387254901966841</v>
      </c>
      <c r="L31" s="444">
        <v>73.632627252614014</v>
      </c>
      <c r="M31" s="761">
        <f t="shared" si="0"/>
        <v>0.9898554174320946</v>
      </c>
      <c r="P31" s="482"/>
    </row>
    <row r="32" spans="1:16">
      <c r="A32" s="446" t="s">
        <v>163</v>
      </c>
      <c r="B32" s="437">
        <v>14332.209999998027</v>
      </c>
      <c r="C32" s="437">
        <v>7278.7199999994073</v>
      </c>
      <c r="D32" s="437">
        <v>7053.4899999994514</v>
      </c>
      <c r="E32" s="437"/>
      <c r="F32" s="437">
        <v>10608.109999998756</v>
      </c>
      <c r="G32" s="437">
        <v>5414.4399999997722</v>
      </c>
      <c r="H32" s="437">
        <v>5193.6699999998154</v>
      </c>
      <c r="I32" s="437"/>
      <c r="J32" s="438">
        <v>74.015870546143688</v>
      </c>
      <c r="K32" s="438">
        <v>74.387254901966841</v>
      </c>
      <c r="L32" s="438">
        <v>73.632627252614014</v>
      </c>
      <c r="M32" s="761">
        <f t="shared" si="0"/>
        <v>0.9898554174320946</v>
      </c>
      <c r="P32" s="480"/>
    </row>
  </sheetData>
  <mergeCells count="6">
    <mergeCell ref="A1:M1"/>
    <mergeCell ref="B2:D3"/>
    <mergeCell ref="F2:H3"/>
    <mergeCell ref="J2:L3"/>
    <mergeCell ref="M2:M4"/>
    <mergeCell ref="A2:A4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5000-A75D-47D3-A950-22E53EAF13C0}">
  <sheetPr>
    <tabColor rgb="FF2B3415"/>
  </sheetPr>
  <dimension ref="A1"/>
  <sheetViews>
    <sheetView workbookViewId="0">
      <selection activeCell="M13" sqref="M13"/>
    </sheetView>
  </sheetViews>
  <sheetFormatPr defaultRowHeight="15"/>
  <cols>
    <col min="1" max="16384" width="9.140625" style="14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5782-9F8E-406A-A0CF-166C9257944C}">
  <dimension ref="A1:M33"/>
  <sheetViews>
    <sheetView zoomScale="106" zoomScaleNormal="106" workbookViewId="0">
      <selection activeCell="K8" sqref="K8"/>
    </sheetView>
  </sheetViews>
  <sheetFormatPr defaultRowHeight="12"/>
  <cols>
    <col min="1" max="1" width="18" style="30" customWidth="1"/>
    <col min="2" max="2" width="9.140625" style="30"/>
    <col min="3" max="3" width="11.42578125" style="30" customWidth="1"/>
    <col min="4" max="7" width="9.140625" style="30"/>
    <col min="8" max="8" width="13.28515625" style="30" customWidth="1"/>
    <col min="9" max="12" width="9.140625" style="30"/>
    <col min="13" max="13" width="9.140625" style="188"/>
    <col min="14" max="16384" width="9.140625" style="30"/>
  </cols>
  <sheetData>
    <row r="1" spans="1:13" ht="12.75" customHeight="1" thickBot="1">
      <c r="A1" s="1101" t="s">
        <v>288</v>
      </c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30"/>
    </row>
    <row r="2" spans="1:13" ht="12.75" customHeight="1">
      <c r="A2" s="1104" t="s">
        <v>495</v>
      </c>
      <c r="B2" s="1102" t="s">
        <v>289</v>
      </c>
      <c r="C2" s="1103" t="s">
        <v>290</v>
      </c>
      <c r="D2" s="1103"/>
      <c r="E2" s="1103"/>
      <c r="F2" s="1103"/>
      <c r="G2" s="1103"/>
      <c r="H2" s="1103"/>
      <c r="I2" s="1103"/>
      <c r="J2" s="1103"/>
      <c r="K2" s="1103"/>
      <c r="L2" s="1103"/>
      <c r="M2" s="30"/>
    </row>
    <row r="3" spans="1:13" s="288" customFormat="1" ht="40.5" customHeight="1">
      <c r="A3" s="1105"/>
      <c r="B3" s="1102"/>
      <c r="C3" s="766" t="s">
        <v>291</v>
      </c>
      <c r="D3" s="767" t="s">
        <v>292</v>
      </c>
      <c r="E3" s="767" t="s">
        <v>293</v>
      </c>
      <c r="F3" s="767" t="s">
        <v>294</v>
      </c>
      <c r="G3" s="767" t="s">
        <v>295</v>
      </c>
      <c r="H3" s="765" t="s">
        <v>296</v>
      </c>
      <c r="I3" s="767" t="s">
        <v>297</v>
      </c>
      <c r="J3" s="767" t="s">
        <v>298</v>
      </c>
      <c r="K3" s="767" t="s">
        <v>299</v>
      </c>
      <c r="L3" s="680" t="s">
        <v>358</v>
      </c>
    </row>
    <row r="4" spans="1:13" ht="17.25" customHeight="1">
      <c r="A4" s="191" t="s">
        <v>146</v>
      </c>
      <c r="B4" s="192">
        <v>422672.78799538844</v>
      </c>
      <c r="C4" s="192">
        <v>242069.67720705591</v>
      </c>
      <c r="D4" s="192">
        <v>19308.36420852238</v>
      </c>
      <c r="E4" s="192">
        <v>11480.160367428176</v>
      </c>
      <c r="F4" s="192">
        <v>11285.309001611806</v>
      </c>
      <c r="G4" s="192">
        <v>66307.718909629344</v>
      </c>
      <c r="H4" s="192">
        <v>13482.911003705713</v>
      </c>
      <c r="I4" s="192">
        <v>25985.538847419575</v>
      </c>
      <c r="J4" s="192">
        <v>3662.0004111672206</v>
      </c>
      <c r="K4" s="192">
        <v>8412.7579385457302</v>
      </c>
      <c r="L4" s="192">
        <v>20678.350100137268</v>
      </c>
      <c r="M4" s="30"/>
    </row>
    <row r="5" spans="1:13">
      <c r="A5" s="291"/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30"/>
    </row>
    <row r="6" spans="1:13" ht="17.25" customHeight="1">
      <c r="A6" s="191" t="s">
        <v>3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30"/>
    </row>
    <row r="7" spans="1:13" ht="12" customHeight="1">
      <c r="A7" s="293" t="s">
        <v>4</v>
      </c>
      <c r="B7" s="292">
        <v>371463.03677104594</v>
      </c>
      <c r="C7" s="292">
        <v>227739.06232318742</v>
      </c>
      <c r="D7" s="292">
        <v>16271.093434150267</v>
      </c>
      <c r="E7" s="292">
        <v>10080.042821304361</v>
      </c>
      <c r="F7" s="292">
        <v>9989.6478577813032</v>
      </c>
      <c r="G7" s="292">
        <v>45107.086798002209</v>
      </c>
      <c r="H7" s="292">
        <v>11058.31720432057</v>
      </c>
      <c r="I7" s="292">
        <v>21857.502179870316</v>
      </c>
      <c r="J7" s="292">
        <v>1277.5821511257473</v>
      </c>
      <c r="K7" s="292">
        <v>7611.2559286412798</v>
      </c>
      <c r="L7" s="292">
        <v>20471.446072518011</v>
      </c>
      <c r="M7" s="30"/>
    </row>
    <row r="8" spans="1:13">
      <c r="A8" s="293" t="s">
        <v>5</v>
      </c>
      <c r="B8" s="292">
        <v>51209.751224297761</v>
      </c>
      <c r="C8" s="292">
        <v>14330.614883855282</v>
      </c>
      <c r="D8" s="292">
        <v>3037.2707743745286</v>
      </c>
      <c r="E8" s="292">
        <v>1400.1175461236569</v>
      </c>
      <c r="F8" s="292">
        <v>1295.6611438303569</v>
      </c>
      <c r="G8" s="292">
        <v>21200.632111603354</v>
      </c>
      <c r="H8" s="292">
        <v>2424.5937993849111</v>
      </c>
      <c r="I8" s="292">
        <v>4128.0366675527657</v>
      </c>
      <c r="J8" s="292">
        <v>2384.4182600413296</v>
      </c>
      <c r="K8" s="292">
        <v>801.50200990436065</v>
      </c>
      <c r="L8" s="292">
        <v>206.90402761942207</v>
      </c>
      <c r="M8" s="30"/>
    </row>
    <row r="9" spans="1:13" ht="17.25" customHeight="1">
      <c r="A9" s="193" t="s">
        <v>300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30"/>
    </row>
    <row r="10" spans="1:13" s="28" customFormat="1">
      <c r="A10" s="289" t="s">
        <v>148</v>
      </c>
      <c r="B10" s="290">
        <v>24589.412524329851</v>
      </c>
      <c r="C10" s="290">
        <v>8593.5478655918469</v>
      </c>
      <c r="D10" s="290">
        <v>891.89697342740874</v>
      </c>
      <c r="E10" s="290">
        <v>620.71208285826447</v>
      </c>
      <c r="F10" s="290">
        <v>680.97539187362986</v>
      </c>
      <c r="G10" s="290">
        <v>9812.8579307351865</v>
      </c>
      <c r="H10" s="290">
        <v>1367.9771146487954</v>
      </c>
      <c r="I10" s="290">
        <v>1331.8191292395761</v>
      </c>
      <c r="J10" s="290">
        <v>881.85308859151451</v>
      </c>
      <c r="K10" s="290">
        <v>377.6412928624452</v>
      </c>
      <c r="L10" s="290">
        <v>30.131654507682899</v>
      </c>
    </row>
    <row r="11" spans="1:13">
      <c r="A11" s="295" t="s">
        <v>148</v>
      </c>
      <c r="B11" s="292">
        <v>8362.5209604318952</v>
      </c>
      <c r="C11" s="292">
        <v>5534.1805445781174</v>
      </c>
      <c r="D11" s="292">
        <v>239.04445909428361</v>
      </c>
      <c r="E11" s="292">
        <v>233.01812819274707</v>
      </c>
      <c r="F11" s="292">
        <v>257.12345179889326</v>
      </c>
      <c r="G11" s="292">
        <v>891.87941949305105</v>
      </c>
      <c r="H11" s="292">
        <v>480.09769515574521</v>
      </c>
      <c r="I11" s="292">
        <v>409.79050130448559</v>
      </c>
      <c r="J11" s="292">
        <v>102.44762532612188</v>
      </c>
      <c r="K11" s="292">
        <v>196.85136581634899</v>
      </c>
      <c r="L11" s="292">
        <v>18.078992704609735</v>
      </c>
      <c r="M11" s="30"/>
    </row>
    <row r="12" spans="1:13">
      <c r="A12" s="295" t="s">
        <v>149</v>
      </c>
      <c r="B12" s="292">
        <v>9511.5589395926836</v>
      </c>
      <c r="C12" s="292">
        <v>903.94963523048182</v>
      </c>
      <c r="D12" s="292">
        <v>367.60618499372981</v>
      </c>
      <c r="E12" s="292">
        <v>200.87769671788553</v>
      </c>
      <c r="F12" s="292">
        <v>224.98302032403168</v>
      </c>
      <c r="G12" s="292">
        <v>5947.9885998170066</v>
      </c>
      <c r="H12" s="292">
        <v>584.55409744904523</v>
      </c>
      <c r="I12" s="292">
        <v>608.65942105519139</v>
      </c>
      <c r="J12" s="292">
        <v>556.43121990854138</v>
      </c>
      <c r="K12" s="292">
        <v>106.4651792604796</v>
      </c>
      <c r="L12" s="292">
        <v>10.043884835894296</v>
      </c>
      <c r="M12" s="30"/>
    </row>
    <row r="13" spans="1:13">
      <c r="A13" s="295" t="s">
        <v>150</v>
      </c>
      <c r="B13" s="292">
        <v>2806.2614231489351</v>
      </c>
      <c r="C13" s="292">
        <v>28.122877540504039</v>
      </c>
      <c r="D13" s="292">
        <v>106.4651792604796</v>
      </c>
      <c r="E13" s="292">
        <v>48.210647212292642</v>
      </c>
      <c r="F13" s="292">
        <v>60.263309015365806</v>
      </c>
      <c r="G13" s="292">
        <v>2125.2860312752291</v>
      </c>
      <c r="H13" s="292">
        <v>148.64949557123552</v>
      </c>
      <c r="I13" s="292">
        <v>116.5090640963739</v>
      </c>
      <c r="J13" s="292">
        <v>156.68460343995091</v>
      </c>
      <c r="K13" s="292">
        <v>14.061438770252014</v>
      </c>
      <c r="L13" s="292">
        <v>2.0087769671788593</v>
      </c>
      <c r="M13" s="30"/>
    </row>
    <row r="14" spans="1:13">
      <c r="A14" s="295" t="s">
        <v>151</v>
      </c>
      <c r="B14" s="292">
        <v>3909.0799781302467</v>
      </c>
      <c r="C14" s="292">
        <v>2127.2948082424082</v>
      </c>
      <c r="D14" s="292">
        <v>178.78115007891822</v>
      </c>
      <c r="E14" s="292">
        <v>138.60561073534129</v>
      </c>
      <c r="F14" s="292">
        <v>138.60561073534129</v>
      </c>
      <c r="G14" s="292">
        <v>847.70388014947412</v>
      </c>
      <c r="H14" s="292">
        <v>154.67582647277206</v>
      </c>
      <c r="I14" s="292">
        <v>196.86014278352783</v>
      </c>
      <c r="J14" s="292">
        <v>66.289639916902388</v>
      </c>
      <c r="K14" s="292">
        <v>60.263309015365806</v>
      </c>
      <c r="L14" s="292">
        <v>0</v>
      </c>
      <c r="M14" s="30"/>
    </row>
    <row r="15" spans="1:13" s="28" customFormat="1">
      <c r="A15" s="289" t="s">
        <v>152</v>
      </c>
      <c r="B15" s="290">
        <v>9451.2956305773114</v>
      </c>
      <c r="C15" s="290">
        <v>1267.538266289853</v>
      </c>
      <c r="D15" s="290">
        <v>807.52834080589719</v>
      </c>
      <c r="E15" s="290">
        <v>309.35165294554326</v>
      </c>
      <c r="F15" s="290">
        <v>214.93913548813745</v>
      </c>
      <c r="G15" s="290">
        <v>5704.9265867883387</v>
      </c>
      <c r="H15" s="290">
        <v>524.29078843367984</v>
      </c>
      <c r="I15" s="290">
        <v>224.98302032403168</v>
      </c>
      <c r="J15" s="290">
        <v>303.32532204400673</v>
      </c>
      <c r="K15" s="290">
        <v>92.403740490227577</v>
      </c>
      <c r="L15" s="290">
        <v>2.0087769671788593</v>
      </c>
    </row>
    <row r="16" spans="1:13">
      <c r="A16" s="295" t="s">
        <v>153</v>
      </c>
      <c r="B16" s="292">
        <v>5968.0763694887974</v>
      </c>
      <c r="C16" s="292">
        <v>1010.4148144909607</v>
      </c>
      <c r="D16" s="292">
        <v>713.1158233484914</v>
      </c>
      <c r="E16" s="292">
        <v>245.07078999582015</v>
      </c>
      <c r="F16" s="292">
        <v>160.7021573743086</v>
      </c>
      <c r="G16" s="292">
        <v>3276.3152334688384</v>
      </c>
      <c r="H16" s="292">
        <v>249.08834393017784</v>
      </c>
      <c r="I16" s="292">
        <v>162.71093434148744</v>
      </c>
      <c r="J16" s="292">
        <v>98.430071391764159</v>
      </c>
      <c r="K16" s="292">
        <v>50.219424179471503</v>
      </c>
      <c r="L16" s="292">
        <v>2.0087769671788593</v>
      </c>
      <c r="M16" s="30"/>
    </row>
    <row r="17" spans="1:13">
      <c r="A17" s="295" t="s">
        <v>154</v>
      </c>
      <c r="B17" s="292">
        <v>546.38733507264715</v>
      </c>
      <c r="C17" s="292">
        <v>2.0087769671788593</v>
      </c>
      <c r="D17" s="292">
        <v>6.0263309015365785</v>
      </c>
      <c r="E17" s="292">
        <v>10.043884835894296</v>
      </c>
      <c r="F17" s="292">
        <v>8.0351078687154374</v>
      </c>
      <c r="G17" s="292">
        <v>460.00992548395675</v>
      </c>
      <c r="H17" s="292">
        <v>28.122877540504039</v>
      </c>
      <c r="I17" s="292">
        <v>14.061438770252014</v>
      </c>
      <c r="J17" s="292">
        <v>10.043884835894296</v>
      </c>
      <c r="K17" s="292">
        <v>8.0351078687154374</v>
      </c>
      <c r="L17" s="292">
        <v>0</v>
      </c>
      <c r="M17" s="30"/>
    </row>
    <row r="18" spans="1:13">
      <c r="A18" s="295" t="s">
        <v>155</v>
      </c>
      <c r="B18" s="292">
        <v>1361.9507837472588</v>
      </c>
      <c r="C18" s="292">
        <v>8.0351078687154374</v>
      </c>
      <c r="D18" s="292">
        <v>24.105323606146317</v>
      </c>
      <c r="E18" s="292">
        <v>14.061438770252014</v>
      </c>
      <c r="F18" s="292">
        <v>16.070215737430875</v>
      </c>
      <c r="G18" s="292">
        <v>1080.7220083422203</v>
      </c>
      <c r="H18" s="292">
        <v>24.105323606146317</v>
      </c>
      <c r="I18" s="292">
        <v>14.061438770252014</v>
      </c>
      <c r="J18" s="292">
        <v>158.69338040712975</v>
      </c>
      <c r="K18" s="292">
        <v>22.096546638967457</v>
      </c>
      <c r="L18" s="292">
        <v>0</v>
      </c>
      <c r="M18" s="30"/>
    </row>
    <row r="19" spans="1:13">
      <c r="A19" s="295" t="s">
        <v>156</v>
      </c>
      <c r="B19" s="292">
        <v>1574.8811422682165</v>
      </c>
      <c r="C19" s="292">
        <v>247.079566962999</v>
      </c>
      <c r="D19" s="292">
        <v>64.280862949723527</v>
      </c>
      <c r="E19" s="292">
        <v>40.175539343577199</v>
      </c>
      <c r="F19" s="292">
        <v>30.131654507682899</v>
      </c>
      <c r="G19" s="292">
        <v>887.87941949305105</v>
      </c>
      <c r="H19" s="292">
        <v>222.97424335685284</v>
      </c>
      <c r="I19" s="292">
        <v>34.149208442040617</v>
      </c>
      <c r="J19" s="292">
        <v>36.157985409219478</v>
      </c>
      <c r="K19" s="292">
        <v>12.052661803073155</v>
      </c>
      <c r="L19" s="292">
        <v>0</v>
      </c>
      <c r="M19" s="30"/>
    </row>
    <row r="20" spans="1:13" s="28" customFormat="1">
      <c r="A20" s="289" t="s">
        <v>157</v>
      </c>
      <c r="B20" s="290">
        <v>168090.43905971799</v>
      </c>
      <c r="C20" s="290">
        <v>90688.24496030384</v>
      </c>
      <c r="D20" s="290">
        <v>7398.3255701202979</v>
      </c>
      <c r="E20" s="290">
        <v>5092.2496117987212</v>
      </c>
      <c r="F20" s="290">
        <v>4999.8458713084838</v>
      </c>
      <c r="G20" s="290">
        <v>26517.864743721548</v>
      </c>
      <c r="H20" s="290">
        <v>5387.539825974045</v>
      </c>
      <c r="I20" s="290">
        <v>11202.949145957464</v>
      </c>
      <c r="J20" s="290">
        <v>630.7559676941587</v>
      </c>
      <c r="K20" s="290">
        <v>4543.853499758834</v>
      </c>
      <c r="L20" s="290">
        <v>11628.809862999427</v>
      </c>
    </row>
    <row r="21" spans="1:13">
      <c r="A21" s="295" t="s">
        <v>157</v>
      </c>
      <c r="B21" s="292">
        <v>95670.011838912455</v>
      </c>
      <c r="C21" s="292">
        <v>44767.603490548638</v>
      </c>
      <c r="D21" s="292">
        <v>4670.4064486911157</v>
      </c>
      <c r="E21" s="292">
        <v>2997.0952350309472</v>
      </c>
      <c r="F21" s="292">
        <v>3045.3058822432449</v>
      </c>
      <c r="G21" s="292">
        <v>17032.41990471055</v>
      </c>
      <c r="H21" s="292">
        <v>3167.8412772411684</v>
      </c>
      <c r="I21" s="292">
        <v>6649.0517613625034</v>
      </c>
      <c r="J21" s="292">
        <v>299.30776810964903</v>
      </c>
      <c r="K21" s="292">
        <v>2888.6212788032772</v>
      </c>
      <c r="L21" s="292">
        <v>10152.358792122808</v>
      </c>
      <c r="M21" s="30"/>
    </row>
    <row r="22" spans="1:13">
      <c r="A22" s="295" t="s">
        <v>158</v>
      </c>
      <c r="B22" s="292">
        <v>30806.603568644987</v>
      </c>
      <c r="C22" s="292">
        <v>18193.492991739004</v>
      </c>
      <c r="D22" s="292">
        <v>1167.0994179309107</v>
      </c>
      <c r="E22" s="292">
        <v>775.38790933103564</v>
      </c>
      <c r="F22" s="292">
        <v>729.18603908592218</v>
      </c>
      <c r="G22" s="292">
        <v>5504.0488900704313</v>
      </c>
      <c r="H22" s="292">
        <v>863.77409588690489</v>
      </c>
      <c r="I22" s="292">
        <v>2344.2427206977482</v>
      </c>
      <c r="J22" s="292">
        <v>172.75481917738168</v>
      </c>
      <c r="K22" s="292">
        <v>534.33467326957407</v>
      </c>
      <c r="L22" s="292">
        <v>522.28201146650099</v>
      </c>
      <c r="M22" s="30"/>
    </row>
    <row r="23" spans="1:13">
      <c r="A23" s="295" t="s">
        <v>159</v>
      </c>
      <c r="B23" s="292">
        <v>41613.823652074636</v>
      </c>
      <c r="C23" s="292">
        <v>27727.148477962255</v>
      </c>
      <c r="D23" s="292">
        <v>1560.8197034979646</v>
      </c>
      <c r="E23" s="292">
        <v>1319.766467436503</v>
      </c>
      <c r="F23" s="292">
        <v>1225.3539499790973</v>
      </c>
      <c r="G23" s="292">
        <v>3981.3959489486933</v>
      </c>
      <c r="H23" s="292">
        <v>1355.9244528457223</v>
      </c>
      <c r="I23" s="292">
        <v>2209.6546638967502</v>
      </c>
      <c r="J23" s="292">
        <v>158.69338040712975</v>
      </c>
      <c r="K23" s="292">
        <v>1120.8975476857972</v>
      </c>
      <c r="L23" s="292">
        <v>954.16905940995298</v>
      </c>
      <c r="M23" s="30"/>
    </row>
    <row r="24" spans="1:13" s="28" customFormat="1">
      <c r="A24" s="289" t="s">
        <v>160</v>
      </c>
      <c r="B24" s="290">
        <v>166465.33849326865</v>
      </c>
      <c r="C24" s="290">
        <v>119532.27343205428</v>
      </c>
      <c r="D24" s="290">
        <v>5588.4175226919524</v>
      </c>
      <c r="E24" s="290">
        <v>4148.1244372245565</v>
      </c>
      <c r="F24" s="290">
        <v>4130.0454445199448</v>
      </c>
      <c r="G24" s="290">
        <v>10134.279799418196</v>
      </c>
      <c r="H24" s="290">
        <v>4359.0460187783592</v>
      </c>
      <c r="I24" s="290">
        <v>8302.2752053508812</v>
      </c>
      <c r="J24" s="290">
        <v>170.74604221020283</v>
      </c>
      <c r="K24" s="290">
        <v>2163.4527936516315</v>
      </c>
      <c r="L24" s="290">
        <v>7936.6777973242897</v>
      </c>
    </row>
    <row r="25" spans="1:13">
      <c r="A25" s="295" t="s">
        <v>160</v>
      </c>
      <c r="B25" s="292">
        <v>166465.33849326865</v>
      </c>
      <c r="C25" s="292">
        <v>119532.27343205428</v>
      </c>
      <c r="D25" s="292">
        <v>5588.4175226919524</v>
      </c>
      <c r="E25" s="292">
        <v>4148.1244372245565</v>
      </c>
      <c r="F25" s="292">
        <v>4130.0454445199448</v>
      </c>
      <c r="G25" s="292">
        <v>10134.279799418196</v>
      </c>
      <c r="H25" s="292">
        <v>4359.0460187783592</v>
      </c>
      <c r="I25" s="292">
        <v>8302.2752053508812</v>
      </c>
      <c r="J25" s="292">
        <v>170.74604221020283</v>
      </c>
      <c r="K25" s="292">
        <v>2163.4527936516315</v>
      </c>
      <c r="L25" s="292">
        <v>7936.6777973242897</v>
      </c>
      <c r="M25" s="30"/>
    </row>
    <row r="26" spans="1:13" s="28" customFormat="1" ht="12" customHeight="1">
      <c r="A26" s="289" t="s">
        <v>161</v>
      </c>
      <c r="B26" s="290">
        <v>6502.411042758431</v>
      </c>
      <c r="C26" s="290">
        <v>168.73726524302398</v>
      </c>
      <c r="D26" s="290">
        <v>2778.1385456084281</v>
      </c>
      <c r="E26" s="290">
        <v>134.58805680098359</v>
      </c>
      <c r="F26" s="290">
        <v>126.55294893226821</v>
      </c>
      <c r="G26" s="290">
        <v>2298.0408504526295</v>
      </c>
      <c r="H26" s="290">
        <v>196.86014278352783</v>
      </c>
      <c r="I26" s="290">
        <v>299.30776810964903</v>
      </c>
      <c r="J26" s="290">
        <v>421.84316310755867</v>
      </c>
      <c r="K26" s="290">
        <v>76.333524752796691</v>
      </c>
      <c r="L26" s="290">
        <v>2.0087769671788593</v>
      </c>
    </row>
    <row r="27" spans="1:13">
      <c r="A27" s="295" t="s">
        <v>161</v>
      </c>
      <c r="B27" s="292">
        <v>6502.411042758431</v>
      </c>
      <c r="C27" s="292">
        <v>168.73726524302398</v>
      </c>
      <c r="D27" s="292">
        <v>2778.1385456084281</v>
      </c>
      <c r="E27" s="292">
        <v>134.58805680098359</v>
      </c>
      <c r="F27" s="292">
        <v>126.55294893226821</v>
      </c>
      <c r="G27" s="292">
        <v>2298.0408504526295</v>
      </c>
      <c r="H27" s="292">
        <v>196.86014278352783</v>
      </c>
      <c r="I27" s="292">
        <v>299.30776810964903</v>
      </c>
      <c r="J27" s="292">
        <v>421.84316310755867</v>
      </c>
      <c r="K27" s="292">
        <v>76.333524752796691</v>
      </c>
      <c r="L27" s="292">
        <v>2.0087769671788593</v>
      </c>
      <c r="M27" s="30"/>
    </row>
    <row r="28" spans="1:13" s="28" customFormat="1" ht="12" customHeight="1">
      <c r="A28" s="289" t="s">
        <v>162</v>
      </c>
      <c r="B28" s="290">
        <v>11210.98425382618</v>
      </c>
      <c r="C28" s="290">
        <v>6052.4450021103185</v>
      </c>
      <c r="D28" s="290">
        <v>255.11467483171438</v>
      </c>
      <c r="E28" s="290">
        <v>164.71971130866629</v>
      </c>
      <c r="F28" s="290">
        <v>160.7021573743086</v>
      </c>
      <c r="G28" s="290">
        <v>3105.5691912586171</v>
      </c>
      <c r="H28" s="290">
        <v>331.44819958451058</v>
      </c>
      <c r="I28" s="290">
        <v>707.08949244695486</v>
      </c>
      <c r="J28" s="290">
        <v>136.59683376816244</v>
      </c>
      <c r="K28" s="290">
        <v>275.20244450350287</v>
      </c>
      <c r="L28" s="290">
        <v>22.096546638967457</v>
      </c>
    </row>
    <row r="29" spans="1:13">
      <c r="A29" s="295" t="s">
        <v>162</v>
      </c>
      <c r="B29" s="292">
        <v>11210.98425382618</v>
      </c>
      <c r="C29" s="292">
        <v>6052.4450021103185</v>
      </c>
      <c r="D29" s="292">
        <v>255.11467483171438</v>
      </c>
      <c r="E29" s="292">
        <v>164.71971130866629</v>
      </c>
      <c r="F29" s="292">
        <v>160.7021573743086</v>
      </c>
      <c r="G29" s="292">
        <v>3105.5691912586171</v>
      </c>
      <c r="H29" s="292">
        <v>331.44819958451058</v>
      </c>
      <c r="I29" s="292">
        <v>707.08949244695486</v>
      </c>
      <c r="J29" s="292">
        <v>136.59683376816244</v>
      </c>
      <c r="K29" s="292">
        <v>275.20244450350287</v>
      </c>
      <c r="L29" s="292">
        <v>22.096546638967457</v>
      </c>
      <c r="M29" s="30"/>
    </row>
    <row r="30" spans="1:13" s="28" customFormat="1">
      <c r="A30" s="289" t="s">
        <v>163</v>
      </c>
      <c r="B30" s="290">
        <v>36362.880659863782</v>
      </c>
      <c r="C30" s="290">
        <v>15766.89041538832</v>
      </c>
      <c r="D30" s="290">
        <v>1588.9425810384685</v>
      </c>
      <c r="E30" s="290">
        <v>1010.4148144909607</v>
      </c>
      <c r="F30" s="290">
        <v>972.2480521145626</v>
      </c>
      <c r="G30" s="290">
        <v>8734.162253294382</v>
      </c>
      <c r="H30" s="290">
        <v>1315.7489135021453</v>
      </c>
      <c r="I30" s="290">
        <v>3917.115085998963</v>
      </c>
      <c r="J30" s="290">
        <v>1116.8799937514395</v>
      </c>
      <c r="K30" s="290">
        <v>883.86186555869335</v>
      </c>
      <c r="L30" s="290">
        <v>1056.6166847360741</v>
      </c>
    </row>
    <row r="31" spans="1:13">
      <c r="A31" s="295" t="s">
        <v>163</v>
      </c>
      <c r="B31" s="292">
        <v>36362.880659863782</v>
      </c>
      <c r="C31" s="292">
        <v>15766.89041538832</v>
      </c>
      <c r="D31" s="292">
        <v>1588.9425810384685</v>
      </c>
      <c r="E31" s="292">
        <v>1010.4148144909607</v>
      </c>
      <c r="F31" s="292">
        <v>972.2480521145626</v>
      </c>
      <c r="G31" s="292">
        <v>8734.162253294382</v>
      </c>
      <c r="H31" s="292">
        <v>1315.7489135021453</v>
      </c>
      <c r="I31" s="292">
        <v>3917.115085998963</v>
      </c>
      <c r="J31" s="292">
        <v>1116.8799937514395</v>
      </c>
      <c r="K31" s="292">
        <v>883.86186555869335</v>
      </c>
      <c r="L31" s="292">
        <v>1056.6166847360741</v>
      </c>
      <c r="M31" s="30"/>
    </row>
    <row r="32" spans="1:13">
      <c r="M32" s="30"/>
    </row>
    <row r="33" spans="2:12" s="188" customFormat="1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</sheetData>
  <mergeCells count="4">
    <mergeCell ref="A1:L1"/>
    <mergeCell ref="B2:B3"/>
    <mergeCell ref="C2:L2"/>
    <mergeCell ref="A2:A3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58F8-45E5-4D6A-952D-C17B5C842F73}">
  <dimension ref="A1:K32"/>
  <sheetViews>
    <sheetView zoomScale="106" zoomScaleNormal="106" workbookViewId="0">
      <selection activeCell="A9" sqref="A9"/>
    </sheetView>
  </sheetViews>
  <sheetFormatPr defaultRowHeight="16.5" customHeight="1"/>
  <cols>
    <col min="1" max="1" width="16.7109375" style="30" customWidth="1"/>
    <col min="2" max="3" width="12.140625" style="687" customWidth="1"/>
    <col min="4" max="10" width="12.140625" style="30" customWidth="1"/>
    <col min="11" max="16384" width="9.140625" style="30"/>
  </cols>
  <sheetData>
    <row r="1" spans="1:11" ht="24.75" customHeight="1" thickBot="1">
      <c r="A1" s="1106" t="s">
        <v>538</v>
      </c>
      <c r="B1" s="1106"/>
      <c r="C1" s="1106"/>
      <c r="D1" s="1106"/>
      <c r="E1" s="1106"/>
      <c r="F1" s="1106"/>
      <c r="G1" s="1106"/>
      <c r="H1" s="1106"/>
      <c r="I1" s="1106"/>
      <c r="J1" s="1106"/>
    </row>
    <row r="2" spans="1:11" ht="15.75" customHeight="1">
      <c r="A2" s="1108" t="s">
        <v>495</v>
      </c>
      <c r="B2" s="1107" t="s">
        <v>289</v>
      </c>
      <c r="C2" s="1110" t="s">
        <v>301</v>
      </c>
      <c r="D2" s="1110"/>
      <c r="E2" s="1110"/>
      <c r="F2" s="1110"/>
      <c r="G2" s="1110"/>
      <c r="H2" s="1110"/>
      <c r="I2" s="1110"/>
      <c r="J2" s="1110"/>
      <c r="K2" s="1110"/>
    </row>
    <row r="3" spans="1:11" ht="18.75" customHeight="1">
      <c r="A3" s="1109"/>
      <c r="B3" s="1107"/>
      <c r="C3" s="769" t="s">
        <v>302</v>
      </c>
      <c r="D3" s="768" t="s">
        <v>303</v>
      </c>
      <c r="E3" s="768" t="s">
        <v>304</v>
      </c>
      <c r="F3" s="768" t="s">
        <v>305</v>
      </c>
      <c r="G3" s="768" t="s">
        <v>306</v>
      </c>
      <c r="H3" s="768" t="s">
        <v>307</v>
      </c>
      <c r="I3" s="768" t="s">
        <v>308</v>
      </c>
      <c r="J3" s="768" t="s">
        <v>309</v>
      </c>
    </row>
    <row r="4" spans="1:11" ht="12.75" customHeight="1">
      <c r="A4" s="194" t="s">
        <v>146</v>
      </c>
      <c r="B4" s="693">
        <v>422672.78799538844</v>
      </c>
      <c r="C4" s="693">
        <v>21976.020020933775</v>
      </c>
      <c r="D4" s="195">
        <v>23767.849075655886</v>
      </c>
      <c r="E4" s="195">
        <v>270869.51258552837</v>
      </c>
      <c r="F4" s="195">
        <v>16574.418756194136</v>
      </c>
      <c r="G4" s="195">
        <v>46045.185641675685</v>
      </c>
      <c r="H4" s="195">
        <v>41852.868111169162</v>
      </c>
      <c r="I4" s="195">
        <v>383.67640073116058</v>
      </c>
      <c r="J4" s="195">
        <v>1203.2574033401299</v>
      </c>
    </row>
    <row r="5" spans="1:11" ht="12.75" customHeight="1">
      <c r="A5" s="196"/>
      <c r="B5" s="695"/>
      <c r="C5" s="695"/>
      <c r="D5" s="197"/>
      <c r="E5" s="197"/>
      <c r="F5" s="197"/>
      <c r="G5" s="197"/>
      <c r="H5" s="197"/>
      <c r="I5" s="197"/>
      <c r="J5" s="197"/>
    </row>
    <row r="6" spans="1:11" ht="12.75" customHeight="1">
      <c r="A6" s="194" t="s">
        <v>140</v>
      </c>
      <c r="B6" s="770"/>
      <c r="C6" s="198"/>
      <c r="D6" s="198"/>
      <c r="E6" s="198"/>
      <c r="F6" s="198"/>
      <c r="G6" s="198"/>
      <c r="H6" s="198"/>
      <c r="I6" s="198"/>
      <c r="J6" s="198"/>
    </row>
    <row r="7" spans="1:11" ht="12.75" customHeight="1">
      <c r="A7" s="199" t="s">
        <v>4</v>
      </c>
      <c r="B7" s="695">
        <v>371463.03677104594</v>
      </c>
      <c r="C7" s="695">
        <v>19442.952265323256</v>
      </c>
      <c r="D7" s="197">
        <v>21582.299735367033</v>
      </c>
      <c r="E7" s="197">
        <v>257085.28503673308</v>
      </c>
      <c r="F7" s="197">
        <v>14842.853010485946</v>
      </c>
      <c r="G7" s="197">
        <v>40191.609559310564</v>
      </c>
      <c r="H7" s="197">
        <v>16950.060049056283</v>
      </c>
      <c r="I7" s="197">
        <v>323.41309171579519</v>
      </c>
      <c r="J7" s="197">
        <v>1044.5640229330011</v>
      </c>
    </row>
    <row r="8" spans="1:11" ht="12.75" customHeight="1">
      <c r="A8" s="199" t="s">
        <v>5</v>
      </c>
      <c r="B8" s="695">
        <v>51209.751224297761</v>
      </c>
      <c r="C8" s="695">
        <v>2533.0677556125811</v>
      </c>
      <c r="D8" s="197">
        <v>2185.5493402906013</v>
      </c>
      <c r="E8" s="197">
        <v>13784.227548782574</v>
      </c>
      <c r="F8" s="197">
        <v>1731.5657457081666</v>
      </c>
      <c r="G8" s="197">
        <v>5853.5760823595901</v>
      </c>
      <c r="H8" s="197">
        <v>24902.808062111035</v>
      </c>
      <c r="I8" s="197">
        <v>60.263309015365806</v>
      </c>
      <c r="J8" s="197">
        <v>158.69338040712975</v>
      </c>
    </row>
    <row r="9" spans="1:11" ht="12.75" customHeight="1">
      <c r="A9" s="200" t="s">
        <v>509</v>
      </c>
      <c r="B9" s="770"/>
      <c r="C9" s="198"/>
      <c r="D9" s="198"/>
      <c r="E9" s="198"/>
      <c r="F9" s="198"/>
      <c r="G9" s="198"/>
      <c r="H9" s="198"/>
      <c r="I9" s="198"/>
      <c r="J9" s="198"/>
    </row>
    <row r="10" spans="1:11" s="28" customFormat="1" ht="12.75" customHeight="1">
      <c r="A10" s="201" t="s">
        <v>148</v>
      </c>
      <c r="B10" s="694">
        <v>24589.412524329851</v>
      </c>
      <c r="C10" s="694">
        <v>1062.6430156376107</v>
      </c>
      <c r="D10" s="202">
        <v>1801.8729395594262</v>
      </c>
      <c r="E10" s="202">
        <v>6968.4472991439761</v>
      </c>
      <c r="F10" s="202">
        <v>885.8706425258722</v>
      </c>
      <c r="G10" s="202">
        <v>2380.4007061069715</v>
      </c>
      <c r="H10" s="202">
        <v>11405.809288741013</v>
      </c>
      <c r="I10" s="202">
        <v>24.105323606146317</v>
      </c>
      <c r="J10" s="202">
        <v>60.263309015365806</v>
      </c>
    </row>
    <row r="11" spans="1:11" ht="12.75" customHeight="1">
      <c r="A11" s="297" t="s">
        <v>148</v>
      </c>
      <c r="B11" s="695">
        <v>8362.5121834647161</v>
      </c>
      <c r="C11" s="695">
        <v>423.85194007473751</v>
      </c>
      <c r="D11" s="197">
        <v>1165.0906409637319</v>
      </c>
      <c r="E11" s="197">
        <v>4248.5632855835102</v>
      </c>
      <c r="F11" s="197">
        <v>349.52719228912019</v>
      </c>
      <c r="G11" s="197">
        <v>785.43179416692988</v>
      </c>
      <c r="H11" s="197">
        <v>1369.9683376816165</v>
      </c>
      <c r="I11" s="197">
        <v>6.0263309015365785</v>
      </c>
      <c r="J11" s="197">
        <v>12.052661803073155</v>
      </c>
    </row>
    <row r="12" spans="1:11" ht="12.75" customHeight="1">
      <c r="A12" s="297" t="s">
        <v>149</v>
      </c>
      <c r="B12" s="695">
        <v>9511.5589395926836</v>
      </c>
      <c r="C12" s="695">
        <v>313.36920687990096</v>
      </c>
      <c r="D12" s="197">
        <v>283.23755237221826</v>
      </c>
      <c r="E12" s="197">
        <v>922.02862793509144</v>
      </c>
      <c r="F12" s="197">
        <v>293.28143720811249</v>
      </c>
      <c r="G12" s="197">
        <v>821.58977957614911</v>
      </c>
      <c r="H12" s="197">
        <v>6835.8680193101573</v>
      </c>
      <c r="I12" s="197">
        <v>16.070215737430875</v>
      </c>
      <c r="J12" s="197">
        <v>26.114100573325178</v>
      </c>
    </row>
    <row r="13" spans="1:11" ht="12.75" customHeight="1">
      <c r="A13" s="297" t="s">
        <v>150</v>
      </c>
      <c r="B13" s="695">
        <v>2806.2614231489351</v>
      </c>
      <c r="C13" s="695">
        <v>76.333524752796691</v>
      </c>
      <c r="D13" s="197">
        <v>52.228201146650363</v>
      </c>
      <c r="E13" s="197">
        <v>251.09712089735669</v>
      </c>
      <c r="F13" s="197">
        <v>50.219424179471503</v>
      </c>
      <c r="G13" s="197">
        <v>289.2638832737548</v>
      </c>
      <c r="H13" s="197">
        <v>2083.1017149644686</v>
      </c>
      <c r="I13" s="197">
        <v>0</v>
      </c>
      <c r="J13" s="197">
        <v>4.0175539343577187</v>
      </c>
    </row>
    <row r="14" spans="1:11" ht="12.75" customHeight="1">
      <c r="A14" s="297" t="s">
        <v>151</v>
      </c>
      <c r="B14" s="695">
        <v>3909.0799781302467</v>
      </c>
      <c r="C14" s="695">
        <v>249.08834393017784</v>
      </c>
      <c r="D14" s="197">
        <v>301.31654507682788</v>
      </c>
      <c r="E14" s="197">
        <v>1546.7582647277127</v>
      </c>
      <c r="F14" s="197">
        <v>192.84258884917014</v>
      </c>
      <c r="G14" s="197">
        <v>484.11524909010291</v>
      </c>
      <c r="H14" s="197">
        <v>1114.8712167842607</v>
      </c>
      <c r="I14" s="197">
        <v>2.0087769671788593</v>
      </c>
      <c r="J14" s="197">
        <v>18.078992704609735</v>
      </c>
    </row>
    <row r="15" spans="1:11" s="28" customFormat="1" ht="12.75" customHeight="1">
      <c r="A15" s="201" t="s">
        <v>152</v>
      </c>
      <c r="B15" s="694">
        <v>9451.2956305773114</v>
      </c>
      <c r="C15" s="694">
        <v>389.70273163269712</v>
      </c>
      <c r="D15" s="202">
        <v>253.10589786453554</v>
      </c>
      <c r="E15" s="202">
        <v>1725.53941480663</v>
      </c>
      <c r="F15" s="202">
        <v>249.08834393017784</v>
      </c>
      <c r="G15" s="202">
        <v>482.10647212292406</v>
      </c>
      <c r="H15" s="202">
        <v>6313.5860078435981</v>
      </c>
      <c r="I15" s="202">
        <v>16.070215737430875</v>
      </c>
      <c r="J15" s="202">
        <v>22.096546638967457</v>
      </c>
    </row>
    <row r="16" spans="1:11" ht="12.75" customHeight="1">
      <c r="A16" s="297" t="s">
        <v>153</v>
      </c>
      <c r="B16" s="695">
        <v>5968.0763694887974</v>
      </c>
      <c r="C16" s="695">
        <v>263.1497827004298</v>
      </c>
      <c r="D16" s="197">
        <v>200.87769671788553</v>
      </c>
      <c r="E16" s="197">
        <v>1486.4949557123473</v>
      </c>
      <c r="F16" s="197">
        <v>182.79870401327591</v>
      </c>
      <c r="G16" s="197">
        <v>391.71150859987597</v>
      </c>
      <c r="H16" s="197">
        <v>3410.9032902698364</v>
      </c>
      <c r="I16" s="197">
        <v>12.052661803073155</v>
      </c>
      <c r="J16" s="197">
        <v>20.087769671788596</v>
      </c>
    </row>
    <row r="17" spans="1:10" ht="12.75" customHeight="1">
      <c r="A17" s="297" t="s">
        <v>154</v>
      </c>
      <c r="B17" s="695">
        <v>546.38733507264715</v>
      </c>
      <c r="C17" s="695">
        <v>26.114100573325178</v>
      </c>
      <c r="D17" s="197">
        <v>6.0263309015365785</v>
      </c>
      <c r="E17" s="197">
        <v>16.070215737430875</v>
      </c>
      <c r="F17" s="197">
        <v>8.0351078687154374</v>
      </c>
      <c r="G17" s="197">
        <v>12.052661803073155</v>
      </c>
      <c r="H17" s="197">
        <v>478.08891818856637</v>
      </c>
      <c r="I17" s="197">
        <v>0</v>
      </c>
      <c r="J17" s="197">
        <v>0</v>
      </c>
    </row>
    <row r="18" spans="1:10" ht="12.75" customHeight="1">
      <c r="A18" s="297" t="s">
        <v>155</v>
      </c>
      <c r="B18" s="695">
        <v>1361.9507837472588</v>
      </c>
      <c r="C18" s="695">
        <v>66.289639916902388</v>
      </c>
      <c r="D18" s="197">
        <v>16.070215737430875</v>
      </c>
      <c r="E18" s="197">
        <v>50.219424179471503</v>
      </c>
      <c r="F18" s="197">
        <v>10.043884835894296</v>
      </c>
      <c r="G18" s="197">
        <v>24.105323606146317</v>
      </c>
      <c r="H18" s="197">
        <v>1193.2135185042357</v>
      </c>
      <c r="I18" s="197">
        <v>2.0087769671788593</v>
      </c>
      <c r="J18" s="197">
        <v>0</v>
      </c>
    </row>
    <row r="19" spans="1:10" ht="12.75" customHeight="1">
      <c r="A19" s="297" t="s">
        <v>156</v>
      </c>
      <c r="B19" s="695">
        <v>1574.8811422682165</v>
      </c>
      <c r="C19" s="695">
        <v>34.149208442040617</v>
      </c>
      <c r="D19" s="197">
        <v>30.131654507682899</v>
      </c>
      <c r="E19" s="197">
        <v>172.75481917738168</v>
      </c>
      <c r="F19" s="197">
        <v>48.210647212292642</v>
      </c>
      <c r="G19" s="197">
        <v>54.236978113829224</v>
      </c>
      <c r="H19" s="197">
        <v>1231.3802808806338</v>
      </c>
      <c r="I19" s="197">
        <v>2.0087769671788593</v>
      </c>
      <c r="J19" s="197">
        <v>2.0087769671788593</v>
      </c>
    </row>
    <row r="20" spans="1:10" s="28" customFormat="1" ht="12.75" customHeight="1">
      <c r="A20" s="201" t="s">
        <v>157</v>
      </c>
      <c r="B20" s="694">
        <v>168090.43905971799</v>
      </c>
      <c r="C20" s="694">
        <v>9762.6560604900678</v>
      </c>
      <c r="D20" s="202">
        <v>9698.3751975403375</v>
      </c>
      <c r="E20" s="202">
        <v>110008.66183064967</v>
      </c>
      <c r="F20" s="202">
        <v>7550.9926196259075</v>
      </c>
      <c r="G20" s="202">
        <v>22168.862609782791</v>
      </c>
      <c r="H20" s="202">
        <v>8197.8275800247484</v>
      </c>
      <c r="I20" s="202">
        <v>212.93035852095861</v>
      </c>
      <c r="J20" s="202">
        <v>490.14157999163945</v>
      </c>
    </row>
    <row r="21" spans="1:10" ht="12.75" customHeight="1">
      <c r="A21" s="297" t="s">
        <v>157</v>
      </c>
      <c r="B21" s="695">
        <v>95670.011838912455</v>
      </c>
      <c r="C21" s="695">
        <v>5389.5486029412241</v>
      </c>
      <c r="D21" s="197">
        <v>5120.3724893392282</v>
      </c>
      <c r="E21" s="197">
        <v>63429.141515659132</v>
      </c>
      <c r="F21" s="197">
        <v>4501.6691834480735</v>
      </c>
      <c r="G21" s="197">
        <v>13231.813882808328</v>
      </c>
      <c r="H21" s="197">
        <v>3756.4129286246371</v>
      </c>
      <c r="I21" s="197">
        <v>72.31597081843897</v>
      </c>
      <c r="J21" s="197">
        <v>168.73726524302398</v>
      </c>
    </row>
    <row r="22" spans="1:10" ht="12.75" customHeight="1">
      <c r="A22" s="297" t="s">
        <v>158</v>
      </c>
      <c r="B22" s="695">
        <v>30806.603568644987</v>
      </c>
      <c r="C22" s="695">
        <v>1900.3030109511897</v>
      </c>
      <c r="D22" s="197">
        <v>1880.2152412794012</v>
      </c>
      <c r="E22" s="197">
        <v>18255.765077721499</v>
      </c>
      <c r="F22" s="197">
        <v>1104.8273319483665</v>
      </c>
      <c r="G22" s="197">
        <v>4539.8359458244759</v>
      </c>
      <c r="H22" s="197">
        <v>2977.0074653591564</v>
      </c>
      <c r="I22" s="197">
        <v>54.236978113829224</v>
      </c>
      <c r="J22" s="197">
        <v>94.412517457406437</v>
      </c>
    </row>
    <row r="23" spans="1:10" ht="12.75" customHeight="1">
      <c r="A23" s="297" t="s">
        <v>159</v>
      </c>
      <c r="B23" s="695">
        <v>41613.823652074636</v>
      </c>
      <c r="C23" s="695">
        <v>2472.8044465972089</v>
      </c>
      <c r="D23" s="197">
        <v>2697.7874669212651</v>
      </c>
      <c r="E23" s="197">
        <v>28323.7552372139</v>
      </c>
      <c r="F23" s="197">
        <v>1944.4961042291243</v>
      </c>
      <c r="G23" s="197">
        <v>4397.2127811547616</v>
      </c>
      <c r="H23" s="197">
        <v>1464.39840907338</v>
      </c>
      <c r="I23" s="197">
        <v>86.377409588690995</v>
      </c>
      <c r="J23" s="197">
        <v>226.99179729121053</v>
      </c>
    </row>
    <row r="24" spans="1:10" s="28" customFormat="1" ht="12.75" customHeight="1">
      <c r="A24" s="201" t="s">
        <v>160</v>
      </c>
      <c r="B24" s="694">
        <v>166465.33849326865</v>
      </c>
      <c r="C24" s="694">
        <v>7906.5461428166036</v>
      </c>
      <c r="D24" s="202">
        <v>9728.5068520480236</v>
      </c>
      <c r="E24" s="202">
        <v>126550.94015538432</v>
      </c>
      <c r="F24" s="202">
        <v>6106.6819802241534</v>
      </c>
      <c r="G24" s="202">
        <v>13525.095320016473</v>
      </c>
      <c r="H24" s="202">
        <v>2121.268477340871</v>
      </c>
      <c r="I24" s="202">
        <v>54.236978113829224</v>
      </c>
      <c r="J24" s="202">
        <v>472.06258728702983</v>
      </c>
    </row>
    <row r="25" spans="1:10" ht="12.75" customHeight="1">
      <c r="A25" s="297" t="s">
        <v>160</v>
      </c>
      <c r="B25" s="695">
        <v>166465.33849326865</v>
      </c>
      <c r="C25" s="695">
        <v>7906.5461428166036</v>
      </c>
      <c r="D25" s="197">
        <v>9728.5068520480236</v>
      </c>
      <c r="E25" s="197">
        <v>126550.94015538432</v>
      </c>
      <c r="F25" s="197">
        <v>6106.6819802241534</v>
      </c>
      <c r="G25" s="197">
        <v>13525.095320016473</v>
      </c>
      <c r="H25" s="197">
        <v>2121.268477340871</v>
      </c>
      <c r="I25" s="197">
        <v>54.236978113829224</v>
      </c>
      <c r="J25" s="197">
        <v>472.06258728702983</v>
      </c>
    </row>
    <row r="26" spans="1:10" s="28" customFormat="1" ht="12.75" customHeight="1">
      <c r="A26" s="201" t="s">
        <v>161</v>
      </c>
      <c r="B26" s="694">
        <v>6502.411042758431</v>
      </c>
      <c r="C26" s="694">
        <v>335.46575351886827</v>
      </c>
      <c r="D26" s="202">
        <v>176.77237311173937</v>
      </c>
      <c r="E26" s="202">
        <v>2856.480847328412</v>
      </c>
      <c r="F26" s="202">
        <v>160.7021573743086</v>
      </c>
      <c r="G26" s="202">
        <v>1829.99581709993</v>
      </c>
      <c r="H26" s="202">
        <v>1126.9238785873338</v>
      </c>
      <c r="I26" s="202">
        <v>0</v>
      </c>
      <c r="J26" s="202">
        <v>16.070215737430875</v>
      </c>
    </row>
    <row r="27" spans="1:10" ht="12.75" customHeight="1">
      <c r="A27" s="297" t="s">
        <v>161</v>
      </c>
      <c r="B27" s="695">
        <v>6502.411042758431</v>
      </c>
      <c r="C27" s="695">
        <v>335.46575351886827</v>
      </c>
      <c r="D27" s="197">
        <v>176.77237311173937</v>
      </c>
      <c r="E27" s="197">
        <v>2856.480847328412</v>
      </c>
      <c r="F27" s="197">
        <v>160.7021573743086</v>
      </c>
      <c r="G27" s="197">
        <v>1829.99581709993</v>
      </c>
      <c r="H27" s="197">
        <v>1126.9238785873338</v>
      </c>
      <c r="I27" s="197">
        <v>0</v>
      </c>
      <c r="J27" s="197">
        <v>16.070215737430875</v>
      </c>
    </row>
    <row r="28" spans="1:10" s="28" customFormat="1" ht="12.75" customHeight="1">
      <c r="A28" s="201" t="s">
        <v>162</v>
      </c>
      <c r="B28" s="694">
        <v>11210.98425382618</v>
      </c>
      <c r="C28" s="694">
        <v>779.40546326539334</v>
      </c>
      <c r="D28" s="202">
        <v>391.71150859987597</v>
      </c>
      <c r="E28" s="202">
        <v>5212.7762298294656</v>
      </c>
      <c r="F28" s="202">
        <v>210.92158155377976</v>
      </c>
      <c r="G28" s="202">
        <v>1078.7132313750415</v>
      </c>
      <c r="H28" s="202">
        <v>3459.1139374821341</v>
      </c>
      <c r="I28" s="202">
        <v>16.070215737430875</v>
      </c>
      <c r="J28" s="202">
        <v>62.272085982544667</v>
      </c>
    </row>
    <row r="29" spans="1:10" ht="12.75" customHeight="1">
      <c r="A29" s="297" t="s">
        <v>162</v>
      </c>
      <c r="B29" s="695">
        <v>11210.98425382618</v>
      </c>
      <c r="C29" s="695">
        <v>779.40546326539334</v>
      </c>
      <c r="D29" s="197">
        <v>391.71150859987597</v>
      </c>
      <c r="E29" s="197">
        <v>5212.7762298294656</v>
      </c>
      <c r="F29" s="197">
        <v>210.92158155377976</v>
      </c>
      <c r="G29" s="197">
        <v>1078.7132313750415</v>
      </c>
      <c r="H29" s="197">
        <v>3459.1139374821341</v>
      </c>
      <c r="I29" s="197">
        <v>16.070215737430875</v>
      </c>
      <c r="J29" s="197">
        <v>62.272085982544667</v>
      </c>
    </row>
    <row r="30" spans="1:10" s="28" customFormat="1" ht="12.75" customHeight="1">
      <c r="A30" s="201" t="s">
        <v>163</v>
      </c>
      <c r="B30" s="694">
        <v>36362.880659863782</v>
      </c>
      <c r="C30" s="694">
        <v>1739.6008535768819</v>
      </c>
      <c r="D30" s="202">
        <v>1717.5043069379146</v>
      </c>
      <c r="E30" s="202">
        <v>17546.666808307928</v>
      </c>
      <c r="F30" s="202">
        <v>1410.1614309595511</v>
      </c>
      <c r="G30" s="202">
        <v>4580.0114851680573</v>
      </c>
      <c r="H30" s="202">
        <v>9228.3213872204342</v>
      </c>
      <c r="I30" s="202">
        <v>60.263309015365806</v>
      </c>
      <c r="J30" s="202">
        <v>80.351078687154413</v>
      </c>
    </row>
    <row r="31" spans="1:10" ht="12.75" customHeight="1">
      <c r="A31" s="297" t="s">
        <v>163</v>
      </c>
      <c r="B31" s="695">
        <v>36362.880659863782</v>
      </c>
      <c r="C31" s="695">
        <v>1739.6008535768819</v>
      </c>
      <c r="D31" s="197">
        <v>1717.5043069379146</v>
      </c>
      <c r="E31" s="197">
        <v>17546.666808307928</v>
      </c>
      <c r="F31" s="197">
        <v>1410.1614309595511</v>
      </c>
      <c r="G31" s="197">
        <v>4580.0114851680573</v>
      </c>
      <c r="H31" s="197">
        <v>9228.3213872204342</v>
      </c>
      <c r="I31" s="197">
        <v>60.263309015365806</v>
      </c>
      <c r="J31" s="197">
        <v>80.351078687154413</v>
      </c>
    </row>
    <row r="32" spans="1:10" ht="16.5" customHeight="1">
      <c r="A32" s="296"/>
      <c r="B32" s="771"/>
      <c r="C32" s="771"/>
      <c r="D32" s="296"/>
      <c r="E32" s="296"/>
      <c r="F32" s="296"/>
      <c r="G32" s="296"/>
      <c r="H32" s="296"/>
      <c r="I32" s="296"/>
      <c r="J32" s="296"/>
    </row>
  </sheetData>
  <mergeCells count="4">
    <mergeCell ref="A1:J1"/>
    <mergeCell ref="B2:B3"/>
    <mergeCell ref="A2:A3"/>
    <mergeCell ref="C2:K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681E-2E3A-4AD1-A7E1-1C5FAA71BD79}">
  <dimension ref="A1:Q32"/>
  <sheetViews>
    <sheetView zoomScale="96" zoomScaleNormal="96" workbookViewId="0">
      <selection activeCell="H4" sqref="H4"/>
    </sheetView>
  </sheetViews>
  <sheetFormatPr defaultRowHeight="16.5" customHeight="1"/>
  <cols>
    <col min="1" max="1" width="24" style="30" customWidth="1"/>
    <col min="2" max="2" width="11.28515625" style="687" customWidth="1"/>
    <col min="3" max="3" width="11.7109375" style="687" customWidth="1"/>
    <col min="4" max="4" width="13.28515625" style="687" customWidth="1"/>
    <col min="5" max="5" width="10.7109375" style="30" customWidth="1"/>
    <col min="6" max="6" width="13.42578125" style="30" customWidth="1"/>
    <col min="7" max="7" width="11" style="30" customWidth="1"/>
    <col min="8" max="8" width="12.7109375" style="30" customWidth="1"/>
    <col min="9" max="9" width="9.28515625" style="30" customWidth="1"/>
    <col min="10" max="10" width="11.85546875" style="30" customWidth="1"/>
    <col min="11" max="11" width="9.5703125" style="30" customWidth="1"/>
    <col min="12" max="12" width="11.28515625" style="30" customWidth="1"/>
    <col min="13" max="13" width="12.42578125" style="30" customWidth="1"/>
    <col min="14" max="14" width="10.5703125" style="30" customWidth="1"/>
    <col min="15" max="15" width="13.140625" style="30" customWidth="1"/>
    <col min="16" max="16" width="11.5703125" style="30" customWidth="1"/>
    <col min="17" max="17" width="12.42578125" style="30" customWidth="1"/>
    <col min="18" max="16384" width="9.140625" style="30"/>
  </cols>
  <sheetData>
    <row r="1" spans="1:17" ht="15" customHeight="1" thickBot="1">
      <c r="A1" s="1111" t="s">
        <v>311</v>
      </c>
      <c r="B1" s="1111"/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1111"/>
      <c r="N1" s="1111"/>
      <c r="O1" s="1111"/>
      <c r="P1" s="1111"/>
      <c r="Q1" s="1111"/>
    </row>
    <row r="2" spans="1:17" s="16" customFormat="1" ht="15" customHeight="1">
      <c r="A2" s="772"/>
      <c r="B2" s="1117" t="s">
        <v>539</v>
      </c>
      <c r="C2" s="1117"/>
      <c r="D2" s="1117"/>
      <c r="E2" s="1117"/>
      <c r="F2" s="1117"/>
      <c r="G2" s="1117"/>
      <c r="H2" s="1117"/>
      <c r="I2" s="1117"/>
      <c r="J2" s="1117"/>
      <c r="K2" s="1117"/>
      <c r="L2" s="1117"/>
      <c r="M2" s="1117"/>
      <c r="N2" s="1117"/>
      <c r="O2" s="1117"/>
      <c r="P2" s="1117"/>
      <c r="Q2" s="1118" t="s">
        <v>315</v>
      </c>
    </row>
    <row r="3" spans="1:17" ht="12" customHeight="1">
      <c r="A3" s="1115" t="s">
        <v>529</v>
      </c>
      <c r="B3" s="1102" t="s">
        <v>289</v>
      </c>
      <c r="C3" s="1112" t="s">
        <v>312</v>
      </c>
      <c r="D3" s="1112"/>
      <c r="E3" s="1112"/>
      <c r="F3" s="1112"/>
      <c r="G3" s="1112"/>
      <c r="H3" s="1112"/>
      <c r="I3" s="1113" t="s">
        <v>313</v>
      </c>
      <c r="J3" s="1114" t="s">
        <v>314</v>
      </c>
      <c r="K3" s="1114"/>
      <c r="L3" s="1114"/>
      <c r="M3" s="1114"/>
      <c r="N3" s="1114"/>
      <c r="O3" s="1114"/>
      <c r="P3" s="1114"/>
      <c r="Q3" s="1119"/>
    </row>
    <row r="4" spans="1:17" ht="55.5" customHeight="1">
      <c r="A4" s="1116"/>
      <c r="B4" s="1102"/>
      <c r="C4" s="766" t="s">
        <v>316</v>
      </c>
      <c r="D4" s="766" t="s">
        <v>317</v>
      </c>
      <c r="E4" s="294" t="s">
        <v>317</v>
      </c>
      <c r="F4" s="294" t="s">
        <v>318</v>
      </c>
      <c r="G4" s="294" t="s">
        <v>319</v>
      </c>
      <c r="H4" s="294" t="s">
        <v>320</v>
      </c>
      <c r="I4" s="1113"/>
      <c r="J4" s="294" t="s">
        <v>316</v>
      </c>
      <c r="K4" s="294" t="s">
        <v>317</v>
      </c>
      <c r="L4" s="294" t="s">
        <v>321</v>
      </c>
      <c r="M4" s="294" t="s">
        <v>318</v>
      </c>
      <c r="N4" s="294" t="s">
        <v>319</v>
      </c>
      <c r="O4" s="294" t="s">
        <v>320</v>
      </c>
      <c r="P4" s="294" t="s">
        <v>322</v>
      </c>
      <c r="Q4" s="1119"/>
    </row>
    <row r="5" spans="1:17" ht="16.5" customHeight="1">
      <c r="A5" s="203" t="s">
        <v>146</v>
      </c>
      <c r="B5" s="773">
        <v>422672.78799538844</v>
      </c>
      <c r="C5" s="773">
        <v>68947.251844505037</v>
      </c>
      <c r="D5" s="773">
        <v>145586.11069639045</v>
      </c>
      <c r="E5" s="204">
        <v>20166.111973507068</v>
      </c>
      <c r="F5" s="204">
        <v>17092.683213725868</v>
      </c>
      <c r="G5" s="204">
        <v>25226.221153826573</v>
      </c>
      <c r="H5" s="204">
        <v>847.70388014947412</v>
      </c>
      <c r="I5" s="204">
        <f>SUM(C5:H5)</f>
        <v>277866.08276210446</v>
      </c>
      <c r="J5" s="204">
        <v>5552.2595372827291</v>
      </c>
      <c r="K5" s="204">
        <v>49058.351092447025</v>
      </c>
      <c r="L5" s="204">
        <v>1988.6891975070589</v>
      </c>
      <c r="M5" s="204">
        <v>1456.3633012046646</v>
      </c>
      <c r="N5" s="204">
        <v>26576.119275769688</v>
      </c>
      <c r="O5" s="204">
        <v>3061.3760979806775</v>
      </c>
      <c r="P5" s="204">
        <v>57113.546730842405</v>
      </c>
      <c r="Q5" s="205">
        <f>SUM(J5:P5)</f>
        <v>144806.70523303424</v>
      </c>
    </row>
    <row r="6" spans="1:17" ht="16.5" customHeight="1">
      <c r="A6" s="206"/>
      <c r="B6" s="774"/>
      <c r="C6" s="774"/>
      <c r="D6" s="774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8"/>
    </row>
    <row r="7" spans="1:17" ht="16.5" customHeight="1">
      <c r="A7" s="203" t="s">
        <v>140</v>
      </c>
      <c r="B7" s="770"/>
      <c r="C7" s="770"/>
      <c r="D7" s="770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6.5" customHeight="1">
      <c r="A8" s="209" t="s">
        <v>4</v>
      </c>
      <c r="B8" s="774">
        <v>371463.03677104594</v>
      </c>
      <c r="C8" s="774">
        <v>66187.192291598491</v>
      </c>
      <c r="D8" s="774">
        <v>140732.90554368141</v>
      </c>
      <c r="E8" s="207">
        <v>18163.361337231345</v>
      </c>
      <c r="F8" s="207">
        <v>15316.924374740207</v>
      </c>
      <c r="G8" s="207">
        <v>23123.031669191987</v>
      </c>
      <c r="H8" s="207">
        <v>771.37035539667795</v>
      </c>
      <c r="I8" s="207">
        <v>264294.78557184018</v>
      </c>
      <c r="J8" s="207">
        <v>5046.0477415536025</v>
      </c>
      <c r="K8" s="207">
        <v>44596.857448338262</v>
      </c>
      <c r="L8" s="207">
        <v>1689.3814293974108</v>
      </c>
      <c r="M8" s="207">
        <v>1386.056107353405</v>
      </c>
      <c r="N8" s="207">
        <v>24219.823893270768</v>
      </c>
      <c r="O8" s="207">
        <v>1960.5663199665551</v>
      </c>
      <c r="P8" s="207">
        <v>28269.518259100114</v>
      </c>
      <c r="Q8" s="208">
        <v>107168.25119898011</v>
      </c>
    </row>
    <row r="9" spans="1:17" ht="16.5" customHeight="1">
      <c r="A9" s="209" t="s">
        <v>5</v>
      </c>
      <c r="B9" s="774">
        <v>51209.751224297761</v>
      </c>
      <c r="C9" s="774">
        <v>2760.0595529038164</v>
      </c>
      <c r="D9" s="774">
        <v>4853.2051527044114</v>
      </c>
      <c r="E9" s="207">
        <v>2002.7506362773108</v>
      </c>
      <c r="F9" s="207">
        <v>1775.7588389861012</v>
      </c>
      <c r="G9" s="207">
        <v>2103.1894846362593</v>
      </c>
      <c r="H9" s="207">
        <v>76.333524752796691</v>
      </c>
      <c r="I9" s="207">
        <v>13571.297190260697</v>
      </c>
      <c r="J9" s="207">
        <v>506.21179572907022</v>
      </c>
      <c r="K9" s="207">
        <v>4461.493644104492</v>
      </c>
      <c r="L9" s="207">
        <v>299.30776810964903</v>
      </c>
      <c r="M9" s="207">
        <v>70.307193851260109</v>
      </c>
      <c r="N9" s="207">
        <v>2356.2953825008226</v>
      </c>
      <c r="O9" s="207">
        <v>1100.8097780140088</v>
      </c>
      <c r="P9" s="207">
        <v>28844.028471712809</v>
      </c>
      <c r="Q9" s="208">
        <v>37638.454034022114</v>
      </c>
    </row>
    <row r="10" spans="1:17" ht="16.5" customHeight="1">
      <c r="A10" s="776" t="s">
        <v>310</v>
      </c>
      <c r="B10" s="773"/>
      <c r="C10" s="773"/>
      <c r="D10" s="773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5"/>
    </row>
    <row r="11" spans="1:17" s="28" customFormat="1" ht="15" customHeight="1">
      <c r="A11" s="210" t="s">
        <v>148</v>
      </c>
      <c r="B11" s="775">
        <v>24589.412524329851</v>
      </c>
      <c r="C11" s="775">
        <v>1277.5821511257473</v>
      </c>
      <c r="D11" s="775">
        <v>3935.1940787035746</v>
      </c>
      <c r="E11" s="211">
        <v>1165.0906409637319</v>
      </c>
      <c r="F11" s="211">
        <v>1034.5201380971068</v>
      </c>
      <c r="G11" s="211">
        <v>1281.599705060105</v>
      </c>
      <c r="H11" s="211">
        <v>30.131654507682899</v>
      </c>
      <c r="I11" s="207">
        <v>8724.1183684579482</v>
      </c>
      <c r="J11" s="211">
        <v>44.193093277934921</v>
      </c>
      <c r="K11" s="211">
        <v>1034.5201380971068</v>
      </c>
      <c r="L11" s="211">
        <v>158.69338040712975</v>
      </c>
      <c r="M11" s="211">
        <v>70.307193851260109</v>
      </c>
      <c r="N11" s="211">
        <v>1066.6605695719684</v>
      </c>
      <c r="O11" s="211">
        <v>451.97481761524136</v>
      </c>
      <c r="P11" s="211">
        <v>13038.9449630576</v>
      </c>
      <c r="Q11" s="208">
        <v>15865.2941558782</v>
      </c>
    </row>
    <row r="12" spans="1:17" ht="15" customHeight="1">
      <c r="A12" s="298" t="s">
        <v>148</v>
      </c>
      <c r="B12" s="774">
        <v>8362.5121834647161</v>
      </c>
      <c r="C12" s="774">
        <v>578.52776654750869</v>
      </c>
      <c r="D12" s="774">
        <v>2386.4270370085087</v>
      </c>
      <c r="E12" s="207">
        <v>464.02747941831444</v>
      </c>
      <c r="F12" s="207">
        <v>365.59740802655097</v>
      </c>
      <c r="G12" s="207">
        <v>691.01927670952409</v>
      </c>
      <c r="H12" s="207">
        <v>18.078992704609735</v>
      </c>
      <c r="I12" s="207">
        <v>4503.6779604150161</v>
      </c>
      <c r="J12" s="207">
        <v>24.105323606146317</v>
      </c>
      <c r="K12" s="207">
        <v>622.72085982544331</v>
      </c>
      <c r="L12" s="207">
        <v>108.47395622765846</v>
      </c>
      <c r="M12" s="207">
        <v>56.245755081008085</v>
      </c>
      <c r="N12" s="207">
        <v>377.65006982962404</v>
      </c>
      <c r="O12" s="207">
        <v>40.175539343577199</v>
      </c>
      <c r="P12" s="207">
        <v>2629.4627191356394</v>
      </c>
      <c r="Q12" s="208">
        <v>3858.8342230490971</v>
      </c>
    </row>
    <row r="13" spans="1:17" ht="15" customHeight="1">
      <c r="A13" s="298" t="s">
        <v>149</v>
      </c>
      <c r="B13" s="774">
        <v>9511.5589395926836</v>
      </c>
      <c r="C13" s="774">
        <v>259.1322287660721</v>
      </c>
      <c r="D13" s="774">
        <v>650.84373736594716</v>
      </c>
      <c r="E13" s="207">
        <v>433.89582491063175</v>
      </c>
      <c r="F13" s="207">
        <v>283.23755237221826</v>
      </c>
      <c r="G13" s="207">
        <v>307.34287597836442</v>
      </c>
      <c r="H13" s="207">
        <v>8.0351078687154374</v>
      </c>
      <c r="I13" s="207">
        <v>1942.4873272619491</v>
      </c>
      <c r="J13" s="207">
        <v>12.052661803073155</v>
      </c>
      <c r="K13" s="207">
        <v>371.6237389280875</v>
      </c>
      <c r="L13" s="207">
        <v>28.122877540504039</v>
      </c>
      <c r="M13" s="207">
        <v>2.0087769671788593</v>
      </c>
      <c r="N13" s="207">
        <v>656.8700682674837</v>
      </c>
      <c r="O13" s="207">
        <v>323.41309171579519</v>
      </c>
      <c r="P13" s="207">
        <v>6174.980397108242</v>
      </c>
      <c r="Q13" s="208">
        <v>7569.0716123303646</v>
      </c>
    </row>
    <row r="14" spans="1:17" ht="15" customHeight="1">
      <c r="A14" s="298" t="s">
        <v>150</v>
      </c>
      <c r="B14" s="774">
        <v>2806.2614231489351</v>
      </c>
      <c r="C14" s="774">
        <v>114.50028712919504</v>
      </c>
      <c r="D14" s="774">
        <v>279.21999843786057</v>
      </c>
      <c r="E14" s="207">
        <v>62.272085982544667</v>
      </c>
      <c r="F14" s="207">
        <v>64.280862949723527</v>
      </c>
      <c r="G14" s="207">
        <v>66.289639916902388</v>
      </c>
      <c r="H14" s="207">
        <v>2.0087769671788593</v>
      </c>
      <c r="I14" s="207">
        <v>588.57165138340508</v>
      </c>
      <c r="J14" s="207">
        <v>4.0175539343577187</v>
      </c>
      <c r="K14" s="207">
        <v>10.043884835894296</v>
      </c>
      <c r="L14" s="207">
        <v>18.078992704609735</v>
      </c>
      <c r="M14" s="207">
        <v>10.043884835894296</v>
      </c>
      <c r="N14" s="207">
        <v>4.0175539343577187</v>
      </c>
      <c r="O14" s="207">
        <v>24.105323606146317</v>
      </c>
      <c r="P14" s="207">
        <v>2147.3825779141989</v>
      </c>
      <c r="Q14" s="208">
        <v>2217.6897717654592</v>
      </c>
    </row>
    <row r="15" spans="1:17" ht="15" customHeight="1">
      <c r="A15" s="298" t="s">
        <v>151</v>
      </c>
      <c r="B15" s="774">
        <v>3909.0799781302467</v>
      </c>
      <c r="C15" s="774">
        <v>325.42186868297404</v>
      </c>
      <c r="D15" s="774">
        <v>618.70330589108562</v>
      </c>
      <c r="E15" s="207">
        <v>204.89525065224322</v>
      </c>
      <c r="F15" s="207">
        <v>321.40431474861634</v>
      </c>
      <c r="G15" s="207">
        <v>216.9479124553163</v>
      </c>
      <c r="H15" s="207">
        <v>2.0087769671788593</v>
      </c>
      <c r="I15" s="207">
        <v>1689.3814293974144</v>
      </c>
      <c r="J15" s="207">
        <v>4.0175539343577187</v>
      </c>
      <c r="K15" s="207">
        <v>30.131654507682899</v>
      </c>
      <c r="L15" s="207">
        <v>4.0175539343577187</v>
      </c>
      <c r="M15" s="207">
        <v>2.0087769671788593</v>
      </c>
      <c r="N15" s="207">
        <v>28.122877540504039</v>
      </c>
      <c r="O15" s="207">
        <v>64.280862949723527</v>
      </c>
      <c r="P15" s="207">
        <v>2087.1192688988267</v>
      </c>
      <c r="Q15" s="208">
        <v>2219.6985487326315</v>
      </c>
    </row>
    <row r="16" spans="1:17" s="28" customFormat="1" ht="15" customHeight="1">
      <c r="A16" s="210" t="s">
        <v>152</v>
      </c>
      <c r="B16" s="775">
        <v>9451.2956305773114</v>
      </c>
      <c r="C16" s="775">
        <v>297.29899114247019</v>
      </c>
      <c r="D16" s="775">
        <v>359.57107712501443</v>
      </c>
      <c r="E16" s="211">
        <v>247.079566962999</v>
      </c>
      <c r="F16" s="211">
        <v>265.15855966760864</v>
      </c>
      <c r="G16" s="211">
        <v>257.12345179889326</v>
      </c>
      <c r="H16" s="211">
        <v>14.061438770252014</v>
      </c>
      <c r="I16" s="207">
        <v>1440.2930854672375</v>
      </c>
      <c r="J16" s="211">
        <v>2.0087769671788593</v>
      </c>
      <c r="K16" s="211">
        <v>821.58977957614911</v>
      </c>
      <c r="L16" s="211">
        <v>34.149208442040617</v>
      </c>
      <c r="M16" s="211">
        <v>8.0351078687154374</v>
      </c>
      <c r="N16" s="211">
        <v>703.07193851259717</v>
      </c>
      <c r="O16" s="211">
        <v>180.78992704609706</v>
      </c>
      <c r="P16" s="211">
        <v>6261.3578066969421</v>
      </c>
      <c r="Q16" s="208">
        <v>8011.0025451097208</v>
      </c>
    </row>
    <row r="17" spans="1:17" ht="15" customHeight="1">
      <c r="A17" s="298" t="s">
        <v>153</v>
      </c>
      <c r="B17" s="774">
        <v>5968.0763694887974</v>
      </c>
      <c r="C17" s="774">
        <v>243.0620130286413</v>
      </c>
      <c r="D17" s="774">
        <v>237.03568212710476</v>
      </c>
      <c r="E17" s="207">
        <v>202.88647368506437</v>
      </c>
      <c r="F17" s="207">
        <v>208.91280458660091</v>
      </c>
      <c r="G17" s="207">
        <v>182.79870401327591</v>
      </c>
      <c r="H17" s="207">
        <v>14.061438770252014</v>
      </c>
      <c r="I17" s="207">
        <v>1088.7571162109391</v>
      </c>
      <c r="J17" s="207">
        <v>2.0087769671788593</v>
      </c>
      <c r="K17" s="207">
        <v>745.25625482335295</v>
      </c>
      <c r="L17" s="207">
        <v>26.114100573325178</v>
      </c>
      <c r="M17" s="207">
        <v>8.0351078687154374</v>
      </c>
      <c r="N17" s="207">
        <v>666.91395310337793</v>
      </c>
      <c r="O17" s="207">
        <v>72.31597081843897</v>
      </c>
      <c r="P17" s="207">
        <v>3358.6750891231804</v>
      </c>
      <c r="Q17" s="208">
        <v>4879.3192532775702</v>
      </c>
    </row>
    <row r="18" spans="1:17" ht="15" customHeight="1">
      <c r="A18" s="298" t="s">
        <v>154</v>
      </c>
      <c r="B18" s="774">
        <v>546.38733507264715</v>
      </c>
      <c r="C18" s="774">
        <v>8.0351078687154374</v>
      </c>
      <c r="D18" s="774">
        <v>14.061438770252014</v>
      </c>
      <c r="E18" s="207">
        <v>12.052661803073155</v>
      </c>
      <c r="F18" s="207">
        <v>10.043884835894296</v>
      </c>
      <c r="G18" s="207">
        <v>8.0351078687154374</v>
      </c>
      <c r="H18" s="207">
        <v>0</v>
      </c>
      <c r="I18" s="207">
        <v>52.228201146650342</v>
      </c>
      <c r="J18" s="207">
        <v>0</v>
      </c>
      <c r="K18" s="207">
        <v>26.114100573325178</v>
      </c>
      <c r="L18" s="207">
        <v>2.0087769671788593</v>
      </c>
      <c r="M18" s="207">
        <v>0</v>
      </c>
      <c r="N18" s="207">
        <v>2.0087769671788593</v>
      </c>
      <c r="O18" s="207">
        <v>6.0263309015365785</v>
      </c>
      <c r="P18" s="207">
        <v>458.0011485167779</v>
      </c>
      <c r="Q18" s="208">
        <v>494.15913392599737</v>
      </c>
    </row>
    <row r="19" spans="1:17" ht="15" customHeight="1">
      <c r="A19" s="298" t="s">
        <v>155</v>
      </c>
      <c r="B19" s="774">
        <v>1361.9507837472588</v>
      </c>
      <c r="C19" s="774">
        <v>18.078992704609735</v>
      </c>
      <c r="D19" s="774">
        <v>42.18431631075606</v>
      </c>
      <c r="E19" s="207">
        <v>14.061438770252014</v>
      </c>
      <c r="F19" s="207">
        <v>18.078992704609735</v>
      </c>
      <c r="G19" s="207">
        <v>22.096546638967457</v>
      </c>
      <c r="H19" s="207">
        <v>0</v>
      </c>
      <c r="I19" s="207">
        <v>114.50028712919499</v>
      </c>
      <c r="J19" s="207">
        <v>0</v>
      </c>
      <c r="K19" s="207">
        <v>44.193093277934921</v>
      </c>
      <c r="L19" s="207">
        <v>0</v>
      </c>
      <c r="M19" s="207">
        <v>0</v>
      </c>
      <c r="N19" s="207">
        <v>12.052661803073155</v>
      </c>
      <c r="O19" s="207">
        <v>26.114100573325178</v>
      </c>
      <c r="P19" s="207">
        <v>1165.0906409637319</v>
      </c>
      <c r="Q19" s="208">
        <v>1247.450496618065</v>
      </c>
    </row>
    <row r="20" spans="1:17" ht="15" customHeight="1">
      <c r="A20" s="298" t="s">
        <v>156</v>
      </c>
      <c r="B20" s="774">
        <v>1574.8811422682165</v>
      </c>
      <c r="C20" s="774">
        <v>28.122877540504039</v>
      </c>
      <c r="D20" s="774">
        <v>66.289639916902388</v>
      </c>
      <c r="E20" s="207">
        <v>18.078992704609735</v>
      </c>
      <c r="F20" s="207">
        <v>28.122877540504039</v>
      </c>
      <c r="G20" s="207">
        <v>44.193093277934921</v>
      </c>
      <c r="H20" s="207">
        <v>0</v>
      </c>
      <c r="I20" s="207">
        <v>184.80748098045513</v>
      </c>
      <c r="J20" s="207">
        <v>0</v>
      </c>
      <c r="K20" s="207">
        <v>6.0263309015365785</v>
      </c>
      <c r="L20" s="207">
        <v>6.0263309015365785</v>
      </c>
      <c r="M20" s="207">
        <v>0</v>
      </c>
      <c r="N20" s="207">
        <v>22.096546638967457</v>
      </c>
      <c r="O20" s="207">
        <v>76.333524752796691</v>
      </c>
      <c r="P20" s="207">
        <v>1279.5909280929261</v>
      </c>
      <c r="Q20" s="208">
        <v>1390.0736612877633</v>
      </c>
    </row>
    <row r="21" spans="1:17" s="28" customFormat="1" ht="15" customHeight="1">
      <c r="A21" s="210" t="s">
        <v>157</v>
      </c>
      <c r="B21" s="775">
        <v>168090.43905971799</v>
      </c>
      <c r="C21" s="775">
        <v>27707.060708290483</v>
      </c>
      <c r="D21" s="775">
        <v>45695.65844938621</v>
      </c>
      <c r="E21" s="211">
        <v>9095.7421073866153</v>
      </c>
      <c r="F21" s="211">
        <v>7336.0534841377466</v>
      </c>
      <c r="G21" s="211">
        <v>11393.782957839476</v>
      </c>
      <c r="H21" s="211">
        <v>401.7553934357702</v>
      </c>
      <c r="I21" s="207">
        <v>101630.0531004763</v>
      </c>
      <c r="J21" s="211">
        <v>3298.4117801078082</v>
      </c>
      <c r="K21" s="211">
        <v>29010.756959988521</v>
      </c>
      <c r="L21" s="211">
        <v>1201.2486263729511</v>
      </c>
      <c r="M21" s="211">
        <v>1078.7132313750415</v>
      </c>
      <c r="N21" s="211">
        <v>17478.368391423901</v>
      </c>
      <c r="O21" s="211">
        <v>1454.3545242374857</v>
      </c>
      <c r="P21" s="211">
        <v>12938.532445600184</v>
      </c>
      <c r="Q21" s="208">
        <v>66460.385959105886</v>
      </c>
    </row>
    <row r="22" spans="1:17" ht="15" customHeight="1">
      <c r="A22" s="298" t="s">
        <v>157</v>
      </c>
      <c r="B22" s="774">
        <v>95670.011838912455</v>
      </c>
      <c r="C22" s="774">
        <v>19925.058737445797</v>
      </c>
      <c r="D22" s="774">
        <v>25704.310072014759</v>
      </c>
      <c r="E22" s="207">
        <v>5582.3911917904152</v>
      </c>
      <c r="F22" s="207">
        <v>4447.4322053342385</v>
      </c>
      <c r="G22" s="207">
        <v>6946.3507525050063</v>
      </c>
      <c r="H22" s="207">
        <v>186.8162579476336</v>
      </c>
      <c r="I22" s="207">
        <v>62792.359217037862</v>
      </c>
      <c r="J22" s="207">
        <v>1952.5312120978397</v>
      </c>
      <c r="K22" s="207">
        <v>14694.203514914694</v>
      </c>
      <c r="L22" s="207">
        <v>522.28201146650099</v>
      </c>
      <c r="M22" s="207">
        <v>678.96661490645101</v>
      </c>
      <c r="N22" s="207">
        <v>8368.5648452677906</v>
      </c>
      <c r="O22" s="207">
        <v>797.48445597000295</v>
      </c>
      <c r="P22" s="207">
        <v>5863.6199671954855</v>
      </c>
      <c r="Q22" s="208">
        <v>32877.652621818765</v>
      </c>
    </row>
    <row r="23" spans="1:17" ht="15" customHeight="1">
      <c r="A23" s="298" t="s">
        <v>158</v>
      </c>
      <c r="B23" s="774">
        <v>30806.603568644987</v>
      </c>
      <c r="C23" s="774">
        <v>2667.655812413579</v>
      </c>
      <c r="D23" s="774">
        <v>5727.0231334273085</v>
      </c>
      <c r="E23" s="207">
        <v>1231.3802808806338</v>
      </c>
      <c r="F23" s="207">
        <v>1054.6079077688953</v>
      </c>
      <c r="G23" s="207">
        <v>1858.1186946404339</v>
      </c>
      <c r="H23" s="207">
        <v>72.31597081843897</v>
      </c>
      <c r="I23" s="207">
        <v>12611.101799949291</v>
      </c>
      <c r="J23" s="207">
        <v>889.88819646022989</v>
      </c>
      <c r="K23" s="207">
        <v>5980.1290312918718</v>
      </c>
      <c r="L23" s="207">
        <v>297.29899114247019</v>
      </c>
      <c r="M23" s="207">
        <v>202.88647368506437</v>
      </c>
      <c r="N23" s="207">
        <v>5662.7422704775781</v>
      </c>
      <c r="O23" s="207">
        <v>572.50143564597215</v>
      </c>
      <c r="P23" s="207">
        <v>4590.0553700039527</v>
      </c>
      <c r="Q23" s="208">
        <v>18195.501768707138</v>
      </c>
    </row>
    <row r="24" spans="1:17" ht="15" customHeight="1">
      <c r="A24" s="298" t="s">
        <v>159</v>
      </c>
      <c r="B24" s="774">
        <v>41613.823652074636</v>
      </c>
      <c r="C24" s="774">
        <v>5114.346158437691</v>
      </c>
      <c r="D24" s="774">
        <v>14264.325243938372</v>
      </c>
      <c r="E24" s="207">
        <v>2281.9706347151969</v>
      </c>
      <c r="F24" s="207">
        <v>1834.0133710342877</v>
      </c>
      <c r="G24" s="207">
        <v>2589.3135106935952</v>
      </c>
      <c r="H24" s="207">
        <v>142.62316466969898</v>
      </c>
      <c r="I24" s="207">
        <v>26226.592083488842</v>
      </c>
      <c r="J24" s="207">
        <v>455.99237154959906</v>
      </c>
      <c r="K24" s="207">
        <v>8336.4244137929254</v>
      </c>
      <c r="L24" s="207">
        <v>381.66762376398174</v>
      </c>
      <c r="M24" s="207">
        <v>196.86014278352783</v>
      </c>
      <c r="N24" s="207">
        <v>3447.0612756790597</v>
      </c>
      <c r="O24" s="207">
        <v>84.368632621512134</v>
      </c>
      <c r="P24" s="207">
        <v>2484.8571084002833</v>
      </c>
      <c r="Q24" s="208">
        <v>15387.231568590889</v>
      </c>
    </row>
    <row r="25" spans="1:17" s="28" customFormat="1" ht="15" customHeight="1">
      <c r="A25" s="210" t="s">
        <v>160</v>
      </c>
      <c r="B25" s="775">
        <v>166465.33849326865</v>
      </c>
      <c r="C25" s="775">
        <v>33295.478230978559</v>
      </c>
      <c r="D25" s="775">
        <v>87817.702674202344</v>
      </c>
      <c r="E25" s="211">
        <v>7113.0792407808694</v>
      </c>
      <c r="F25" s="211">
        <v>6643.0254304609662</v>
      </c>
      <c r="G25" s="211">
        <v>10013.753181387452</v>
      </c>
      <c r="H25" s="211">
        <v>142.62316466969898</v>
      </c>
      <c r="I25" s="207">
        <v>145025.66192247989</v>
      </c>
      <c r="J25" s="211">
        <v>901.94085826330297</v>
      </c>
      <c r="K25" s="211">
        <v>9700.3839745075165</v>
      </c>
      <c r="L25" s="211">
        <v>204.89525065224322</v>
      </c>
      <c r="M25" s="211">
        <v>100.43884835894302</v>
      </c>
      <c r="N25" s="211">
        <v>4598.090477872669</v>
      </c>
      <c r="O25" s="211">
        <v>313.36920687990096</v>
      </c>
      <c r="P25" s="211">
        <v>5620.5579541668176</v>
      </c>
      <c r="Q25" s="208">
        <v>21439.676570701391</v>
      </c>
    </row>
    <row r="26" spans="1:17" ht="15" customHeight="1">
      <c r="A26" s="298" t="s">
        <v>160</v>
      </c>
      <c r="B26" s="774">
        <v>166465.33849326865</v>
      </c>
      <c r="C26" s="774">
        <v>33295.478230978559</v>
      </c>
      <c r="D26" s="774">
        <v>87817.702674202344</v>
      </c>
      <c r="E26" s="207">
        <v>7113.0792407808694</v>
      </c>
      <c r="F26" s="207">
        <v>6643.0254304609662</v>
      </c>
      <c r="G26" s="207">
        <v>10013.753181387452</v>
      </c>
      <c r="H26" s="207">
        <v>142.62316466969898</v>
      </c>
      <c r="I26" s="207">
        <v>145025.66192247989</v>
      </c>
      <c r="J26" s="207">
        <v>901.94085826330297</v>
      </c>
      <c r="K26" s="207">
        <v>9700.3839745075165</v>
      </c>
      <c r="L26" s="207">
        <v>204.89525065224322</v>
      </c>
      <c r="M26" s="207">
        <v>100.43884835894302</v>
      </c>
      <c r="N26" s="207">
        <v>4598.090477872669</v>
      </c>
      <c r="O26" s="207">
        <v>313.36920687990096</v>
      </c>
      <c r="P26" s="207">
        <v>5620.5579541668176</v>
      </c>
      <c r="Q26" s="208">
        <v>21439.676570701391</v>
      </c>
    </row>
    <row r="27" spans="1:17" s="28" customFormat="1" ht="15" customHeight="1">
      <c r="A27" s="210" t="s">
        <v>161</v>
      </c>
      <c r="B27" s="775">
        <v>6502.411042758431</v>
      </c>
      <c r="C27" s="775">
        <v>190.83381188199129</v>
      </c>
      <c r="D27" s="775">
        <v>705.08071547977602</v>
      </c>
      <c r="E27" s="211">
        <v>233.01812819274707</v>
      </c>
      <c r="F27" s="211">
        <v>200.87769671788553</v>
      </c>
      <c r="G27" s="211">
        <v>229.00057425838938</v>
      </c>
      <c r="H27" s="211">
        <v>6.0263309015365785</v>
      </c>
      <c r="I27" s="207">
        <v>1564.8372574323259</v>
      </c>
      <c r="J27" s="211">
        <v>237.03568212710476</v>
      </c>
      <c r="K27" s="211">
        <v>1647.197113086655</v>
      </c>
      <c r="L27" s="211">
        <v>106.4651792604796</v>
      </c>
      <c r="M27" s="211">
        <v>18.078992704609735</v>
      </c>
      <c r="N27" s="211">
        <v>130.5705028666259</v>
      </c>
      <c r="O27" s="211">
        <v>82.359855654333273</v>
      </c>
      <c r="P27" s="211">
        <v>2715.8664596258768</v>
      </c>
      <c r="Q27" s="208">
        <v>4937.5737853256851</v>
      </c>
    </row>
    <row r="28" spans="1:17" ht="15" customHeight="1">
      <c r="A28" s="298" t="s">
        <v>161</v>
      </c>
      <c r="B28" s="774">
        <v>6502.411042758431</v>
      </c>
      <c r="C28" s="774">
        <v>190.83381188199129</v>
      </c>
      <c r="D28" s="774">
        <v>705.08071547977602</v>
      </c>
      <c r="E28" s="207">
        <v>233.01812819274707</v>
      </c>
      <c r="F28" s="207">
        <v>200.87769671788553</v>
      </c>
      <c r="G28" s="207">
        <v>229.00057425838938</v>
      </c>
      <c r="H28" s="207">
        <v>6.0263309015365785</v>
      </c>
      <c r="I28" s="207">
        <v>1564.8372574323259</v>
      </c>
      <c r="J28" s="207">
        <v>237.03568212710476</v>
      </c>
      <c r="K28" s="207">
        <v>1647.197113086655</v>
      </c>
      <c r="L28" s="207">
        <v>106.4651792604796</v>
      </c>
      <c r="M28" s="207">
        <v>18.078992704609735</v>
      </c>
      <c r="N28" s="207">
        <v>130.5705028666259</v>
      </c>
      <c r="O28" s="207">
        <v>82.359855654333273</v>
      </c>
      <c r="P28" s="207">
        <v>2715.8664596258768</v>
      </c>
      <c r="Q28" s="208">
        <v>4937.5737853256851</v>
      </c>
    </row>
    <row r="29" spans="1:17" s="28" customFormat="1" ht="15" customHeight="1">
      <c r="A29" s="210" t="s">
        <v>162</v>
      </c>
      <c r="B29" s="775">
        <v>11210.98425382618</v>
      </c>
      <c r="C29" s="775">
        <v>1295.6611438303569</v>
      </c>
      <c r="D29" s="775">
        <v>1550.7758186620704</v>
      </c>
      <c r="E29" s="211">
        <v>200.87769671788553</v>
      </c>
      <c r="F29" s="211">
        <v>235.02690515992592</v>
      </c>
      <c r="G29" s="211">
        <v>395.72906253423366</v>
      </c>
      <c r="H29" s="211">
        <v>12.052661803073155</v>
      </c>
      <c r="I29" s="207">
        <v>3690.1232887075453</v>
      </c>
      <c r="J29" s="211">
        <v>28.122877540504039</v>
      </c>
      <c r="K29" s="211">
        <v>1418.1965388282665</v>
      </c>
      <c r="L29" s="211">
        <v>80.351078687154413</v>
      </c>
      <c r="M29" s="211">
        <v>22.096546638967457</v>
      </c>
      <c r="N29" s="211">
        <v>514.2469035977856</v>
      </c>
      <c r="O29" s="211">
        <v>295.29021417529134</v>
      </c>
      <c r="P29" s="211">
        <v>5162.5568056499887</v>
      </c>
      <c r="Q29" s="208">
        <v>7520.8609651179577</v>
      </c>
    </row>
    <row r="30" spans="1:17" ht="15" customHeight="1">
      <c r="A30" s="298" t="s">
        <v>162</v>
      </c>
      <c r="B30" s="774">
        <v>11210.98425382618</v>
      </c>
      <c r="C30" s="774">
        <v>1295.6611438303569</v>
      </c>
      <c r="D30" s="774">
        <v>1550.7758186620704</v>
      </c>
      <c r="E30" s="207">
        <v>200.87769671788553</v>
      </c>
      <c r="F30" s="207">
        <v>235.02690515992592</v>
      </c>
      <c r="G30" s="207">
        <v>395.72906253423366</v>
      </c>
      <c r="H30" s="207">
        <v>12.052661803073155</v>
      </c>
      <c r="I30" s="207">
        <v>3690.1232887075453</v>
      </c>
      <c r="J30" s="207">
        <v>28.122877540504039</v>
      </c>
      <c r="K30" s="207">
        <v>1418.1965388282665</v>
      </c>
      <c r="L30" s="207">
        <v>80.351078687154413</v>
      </c>
      <c r="M30" s="207">
        <v>22.096546638967457</v>
      </c>
      <c r="N30" s="207">
        <v>514.2469035977856</v>
      </c>
      <c r="O30" s="207">
        <v>295.29021417529134</v>
      </c>
      <c r="P30" s="207">
        <v>5162.5568056499887</v>
      </c>
      <c r="Q30" s="208">
        <v>7520.8609651179577</v>
      </c>
    </row>
    <row r="31" spans="1:17" s="28" customFormat="1" ht="15" customHeight="1">
      <c r="A31" s="210" t="s">
        <v>163</v>
      </c>
      <c r="B31" s="775">
        <v>36362.880659863782</v>
      </c>
      <c r="C31" s="775">
        <v>4883.3368072120975</v>
      </c>
      <c r="D31" s="775">
        <v>5522.127882775043</v>
      </c>
      <c r="E31" s="211">
        <v>2111.2245925049756</v>
      </c>
      <c r="F31" s="211">
        <v>1378.0209994846896</v>
      </c>
      <c r="G31" s="211">
        <v>1655.2322209553704</v>
      </c>
      <c r="H31" s="211">
        <v>241.05323606146246</v>
      </c>
      <c r="I31" s="207">
        <v>15790.995738993637</v>
      </c>
      <c r="J31" s="211">
        <v>1040.5464689986434</v>
      </c>
      <c r="K31" s="211">
        <v>5425.7065883504474</v>
      </c>
      <c r="L31" s="211">
        <v>202.88647368506437</v>
      </c>
      <c r="M31" s="211">
        <v>158.69338040712975</v>
      </c>
      <c r="N31" s="211">
        <v>2085.1104919316476</v>
      </c>
      <c r="O31" s="211">
        <v>283.23755237221826</v>
      </c>
      <c r="P31" s="211">
        <v>11375.703965134864</v>
      </c>
      <c r="Q31" s="208">
        <v>20571.884920880017</v>
      </c>
    </row>
    <row r="32" spans="1:17" ht="15" customHeight="1">
      <c r="A32" s="298" t="s">
        <v>163</v>
      </c>
      <c r="B32" s="774">
        <v>36362.880659863782</v>
      </c>
      <c r="C32" s="774">
        <v>4883.3368072120975</v>
      </c>
      <c r="D32" s="774">
        <v>5522.127882775043</v>
      </c>
      <c r="E32" s="207">
        <v>2111.2245925049756</v>
      </c>
      <c r="F32" s="207">
        <v>1378.0209994846896</v>
      </c>
      <c r="G32" s="207">
        <v>1655.2322209553704</v>
      </c>
      <c r="H32" s="207">
        <v>241.05323606146246</v>
      </c>
      <c r="I32" s="207">
        <v>15790.995738993637</v>
      </c>
      <c r="J32" s="207">
        <v>1040.5464689986434</v>
      </c>
      <c r="K32" s="207">
        <v>5425.7065883504474</v>
      </c>
      <c r="L32" s="207">
        <v>202.88647368506437</v>
      </c>
      <c r="M32" s="207">
        <v>158.69338040712975</v>
      </c>
      <c r="N32" s="207">
        <v>2085.1104919316476</v>
      </c>
      <c r="O32" s="207">
        <v>283.23755237221826</v>
      </c>
      <c r="P32" s="207">
        <v>11375.703965134864</v>
      </c>
      <c r="Q32" s="208">
        <v>20571.884920880017</v>
      </c>
    </row>
  </sheetData>
  <mergeCells count="8">
    <mergeCell ref="A1:Q1"/>
    <mergeCell ref="B3:B4"/>
    <mergeCell ref="C3:H3"/>
    <mergeCell ref="I3:I4"/>
    <mergeCell ref="J3:P3"/>
    <mergeCell ref="A3:A4"/>
    <mergeCell ref="B2:P2"/>
    <mergeCell ref="Q2:Q4"/>
  </mergeCells>
  <pageMargins left="0.7" right="0.7" top="0.75" bottom="0.75" header="0.3" footer="0.3"/>
  <ignoredErrors>
    <ignoredError sqref="I5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F3DF-749C-4230-BFC9-F5DBBDD79DCB}">
  <dimension ref="A1:L33"/>
  <sheetViews>
    <sheetView zoomScale="98" zoomScaleNormal="98" workbookViewId="0">
      <selection activeCell="A12" sqref="A12"/>
    </sheetView>
  </sheetViews>
  <sheetFormatPr defaultRowHeight="13.5" customHeight="1"/>
  <cols>
    <col min="1" max="1" width="18.140625" style="300" customWidth="1"/>
    <col min="2" max="2" width="13.5703125" style="330" customWidth="1"/>
    <col min="3" max="3" width="9.140625" style="330"/>
    <col min="4" max="4" width="18.85546875" style="330" customWidth="1"/>
    <col min="5" max="5" width="9.140625" style="300"/>
    <col min="6" max="6" width="13.140625" style="300" customWidth="1"/>
    <col min="7" max="8" width="9.140625" style="300"/>
    <col min="9" max="9" width="10.7109375" style="300" customWidth="1"/>
    <col min="10" max="16384" width="9.140625" style="300"/>
  </cols>
  <sheetData>
    <row r="1" spans="1:12" ht="16.5" customHeight="1" thickBot="1">
      <c r="A1" s="1120" t="s">
        <v>540</v>
      </c>
      <c r="B1" s="1120"/>
      <c r="C1" s="1120"/>
      <c r="D1" s="1120"/>
      <c r="E1" s="1120"/>
      <c r="F1" s="1120"/>
      <c r="G1" s="1120"/>
      <c r="H1" s="1120"/>
      <c r="I1" s="1120"/>
      <c r="J1" s="1120"/>
      <c r="K1" s="1120"/>
      <c r="L1" s="299"/>
    </row>
    <row r="2" spans="1:12" ht="13.5" customHeight="1">
      <c r="A2" s="1123" t="s">
        <v>495</v>
      </c>
      <c r="B2" s="1121" t="s">
        <v>289</v>
      </c>
      <c r="C2" s="1122" t="s">
        <v>323</v>
      </c>
      <c r="D2" s="1122"/>
      <c r="E2" s="1122"/>
      <c r="F2" s="1122"/>
      <c r="G2" s="1122"/>
      <c r="H2" s="1122"/>
      <c r="I2" s="1122"/>
      <c r="J2" s="1122"/>
      <c r="K2" s="1122"/>
      <c r="L2" s="299"/>
    </row>
    <row r="3" spans="1:12" ht="37.5" customHeight="1">
      <c r="A3" s="1123"/>
      <c r="B3" s="1121"/>
      <c r="C3" s="777" t="s">
        <v>324</v>
      </c>
      <c r="D3" s="777" t="s">
        <v>325</v>
      </c>
      <c r="E3" s="310" t="s">
        <v>326</v>
      </c>
      <c r="F3" s="310" t="s">
        <v>327</v>
      </c>
      <c r="G3" s="310" t="s">
        <v>328</v>
      </c>
      <c r="H3" s="310" t="s">
        <v>329</v>
      </c>
      <c r="I3" s="310" t="s">
        <v>330</v>
      </c>
      <c r="J3" s="310" t="s">
        <v>331</v>
      </c>
      <c r="K3" s="310" t="s">
        <v>332</v>
      </c>
      <c r="L3" s="299"/>
    </row>
    <row r="4" spans="1:12" s="302" customFormat="1" ht="18.75" customHeight="1">
      <c r="A4" s="212" t="s">
        <v>146</v>
      </c>
      <c r="B4" s="778">
        <v>422672.78799538844</v>
      </c>
      <c r="C4" s="778">
        <v>53041.755818366735</v>
      </c>
      <c r="D4" s="778">
        <v>185948.46629795613</v>
      </c>
      <c r="E4" s="213">
        <v>10795.167421620112</v>
      </c>
      <c r="F4" s="213">
        <v>24199.736123598996</v>
      </c>
      <c r="G4" s="213">
        <v>13619.50783747389</v>
      </c>
      <c r="H4" s="213">
        <v>10361.271596709432</v>
      </c>
      <c r="I4" s="213">
        <v>94756.018318845148</v>
      </c>
      <c r="J4" s="213">
        <v>26457.60143470623</v>
      </c>
      <c r="K4" s="213">
        <v>3493.2631459241784</v>
      </c>
      <c r="L4" s="301"/>
    </row>
    <row r="5" spans="1:12" ht="13.5" customHeight="1">
      <c r="A5" s="306"/>
      <c r="B5" s="779"/>
      <c r="C5" s="779"/>
      <c r="D5" s="779"/>
      <c r="E5" s="307"/>
      <c r="F5" s="307"/>
      <c r="G5" s="307"/>
      <c r="H5" s="307"/>
      <c r="I5" s="307"/>
      <c r="J5" s="307"/>
      <c r="K5" s="307"/>
      <c r="L5" s="299"/>
    </row>
    <row r="6" spans="1:12" s="302" customFormat="1" ht="18.75" customHeight="1">
      <c r="A6" s="212" t="s">
        <v>3</v>
      </c>
      <c r="B6" s="770"/>
      <c r="C6" s="770"/>
      <c r="D6" s="770"/>
      <c r="E6" s="198"/>
      <c r="F6" s="198"/>
      <c r="G6" s="198"/>
      <c r="H6" s="198"/>
      <c r="I6" s="198"/>
      <c r="J6" s="198"/>
      <c r="K6" s="198"/>
      <c r="L6" s="301"/>
    </row>
    <row r="7" spans="1:12" ht="13.5" customHeight="1">
      <c r="A7" s="308" t="s">
        <v>4</v>
      </c>
      <c r="B7" s="779">
        <v>371463.03677104594</v>
      </c>
      <c r="C7" s="779">
        <v>49570.589219078152</v>
      </c>
      <c r="D7" s="779">
        <v>172112.01054801414</v>
      </c>
      <c r="E7" s="307">
        <v>9601.9539031157419</v>
      </c>
      <c r="F7" s="307">
        <v>22938.22418821168</v>
      </c>
      <c r="G7" s="307">
        <v>12386.118779625938</v>
      </c>
      <c r="H7" s="307">
        <v>9188.1458478768527</v>
      </c>
      <c r="I7" s="307">
        <v>71681.197296838232</v>
      </c>
      <c r="J7" s="307">
        <v>20656.253553498318</v>
      </c>
      <c r="K7" s="307">
        <v>3328.5434346154943</v>
      </c>
      <c r="L7" s="299"/>
    </row>
    <row r="8" spans="1:12" ht="13.5" customHeight="1">
      <c r="A8" s="308" t="s">
        <v>5</v>
      </c>
      <c r="B8" s="779">
        <v>51209.751224297761</v>
      </c>
      <c r="C8" s="779">
        <v>3471.1665992852086</v>
      </c>
      <c r="D8" s="779">
        <v>13836.45574992923</v>
      </c>
      <c r="E8" s="307">
        <v>1193.2135185042357</v>
      </c>
      <c r="F8" s="307">
        <v>1261.5119353883165</v>
      </c>
      <c r="G8" s="307">
        <v>1233.3890578478126</v>
      </c>
      <c r="H8" s="307">
        <v>1173.1257488324472</v>
      </c>
      <c r="I8" s="307">
        <v>23074.821021979733</v>
      </c>
      <c r="J8" s="307">
        <v>5801.3478812129342</v>
      </c>
      <c r="K8" s="307">
        <v>164.71971130866629</v>
      </c>
      <c r="L8" s="299"/>
    </row>
    <row r="9" spans="1:12" s="302" customFormat="1" ht="18.75" customHeight="1">
      <c r="A9" s="782" t="s">
        <v>143</v>
      </c>
      <c r="B9" s="778"/>
      <c r="C9" s="778"/>
      <c r="D9" s="778"/>
      <c r="E9" s="213"/>
      <c r="F9" s="213"/>
      <c r="G9" s="213"/>
      <c r="H9" s="213"/>
      <c r="I9" s="213"/>
      <c r="J9" s="213"/>
      <c r="K9" s="213"/>
      <c r="L9" s="301"/>
    </row>
    <row r="10" spans="1:12" s="304" customFormat="1" ht="12" customHeight="1">
      <c r="A10" s="309" t="s">
        <v>148</v>
      </c>
      <c r="B10" s="780">
        <v>24589.412524329851</v>
      </c>
      <c r="C10" s="780">
        <v>1791.829054723532</v>
      </c>
      <c r="D10" s="780">
        <v>6890.1049974239922</v>
      </c>
      <c r="E10" s="305">
        <v>600.624313186476</v>
      </c>
      <c r="F10" s="305">
        <v>636.78229859569524</v>
      </c>
      <c r="G10" s="305">
        <v>550.40488900700484</v>
      </c>
      <c r="H10" s="305">
        <v>592.58920531776062</v>
      </c>
      <c r="I10" s="305">
        <v>10574.1756243289</v>
      </c>
      <c r="J10" s="305">
        <v>2882.5686170002027</v>
      </c>
      <c r="K10" s="305">
        <v>76.333524752796691</v>
      </c>
      <c r="L10" s="303"/>
    </row>
    <row r="11" spans="1:12" ht="12" customHeight="1">
      <c r="A11" s="312" t="s">
        <v>148</v>
      </c>
      <c r="B11" s="779">
        <v>8362.5121834647161</v>
      </c>
      <c r="C11" s="779">
        <v>695.03683064388179</v>
      </c>
      <c r="D11" s="779">
        <v>3105.5691912586171</v>
      </c>
      <c r="E11" s="307">
        <v>210.92158155377976</v>
      </c>
      <c r="F11" s="307">
        <v>206.90402761942207</v>
      </c>
      <c r="G11" s="307">
        <v>200.87769671788553</v>
      </c>
      <c r="H11" s="307">
        <v>224.98302032403168</v>
      </c>
      <c r="I11" s="307">
        <v>3097.5077524883636</v>
      </c>
      <c r="J11" s="307">
        <v>596.580428350582</v>
      </c>
      <c r="K11" s="307">
        <v>30.131654507682899</v>
      </c>
      <c r="L11" s="299"/>
    </row>
    <row r="12" spans="1:12" ht="12" customHeight="1">
      <c r="A12" s="312" t="s">
        <v>149</v>
      </c>
      <c r="B12" s="779">
        <v>9511.5589395926836</v>
      </c>
      <c r="C12" s="779">
        <v>684.99294580798755</v>
      </c>
      <c r="D12" s="779">
        <v>2370.3568212710761</v>
      </c>
      <c r="E12" s="307">
        <v>229.00057425838938</v>
      </c>
      <c r="F12" s="307">
        <v>231.00935122556822</v>
      </c>
      <c r="G12" s="307">
        <v>210.92158155377976</v>
      </c>
      <c r="H12" s="307">
        <v>186.8162579476336</v>
      </c>
      <c r="I12" s="307">
        <v>4349.0021339424638</v>
      </c>
      <c r="J12" s="307">
        <v>1211.2925112088453</v>
      </c>
      <c r="K12" s="307">
        <v>38.166762376398339</v>
      </c>
      <c r="L12" s="299"/>
    </row>
    <row r="13" spans="1:12" ht="12" customHeight="1">
      <c r="A13" s="312" t="s">
        <v>150</v>
      </c>
      <c r="B13" s="779">
        <v>2806.2614231489351</v>
      </c>
      <c r="C13" s="779">
        <v>158.69338040712975</v>
      </c>
      <c r="D13" s="779">
        <v>472.06258728702983</v>
      </c>
      <c r="E13" s="307">
        <v>50.219424179471503</v>
      </c>
      <c r="F13" s="307">
        <v>48.210647212292642</v>
      </c>
      <c r="G13" s="307">
        <v>38.166762376398339</v>
      </c>
      <c r="H13" s="307">
        <v>54.236978113829224</v>
      </c>
      <c r="I13" s="307">
        <v>1333.827906206755</v>
      </c>
      <c r="J13" s="307">
        <v>646.82618343158947</v>
      </c>
      <c r="K13" s="307">
        <v>4.0175539343577187</v>
      </c>
      <c r="L13" s="299"/>
    </row>
    <row r="14" spans="1:12" ht="12" customHeight="1">
      <c r="A14" s="312" t="s">
        <v>151</v>
      </c>
      <c r="B14" s="779">
        <v>3909.0799781302467</v>
      </c>
      <c r="C14" s="779">
        <v>253.10589786453554</v>
      </c>
      <c r="D14" s="779">
        <v>942.1163976068799</v>
      </c>
      <c r="E14" s="307">
        <v>110.48273319483732</v>
      </c>
      <c r="F14" s="307">
        <v>150.65827253841437</v>
      </c>
      <c r="G14" s="307">
        <v>100.43884835894302</v>
      </c>
      <c r="H14" s="307">
        <v>126.55294893226821</v>
      </c>
      <c r="I14" s="307">
        <v>1793.8378316907108</v>
      </c>
      <c r="J14" s="307">
        <v>427.86949400909521</v>
      </c>
      <c r="K14" s="307">
        <v>4.0175539343577187</v>
      </c>
      <c r="L14" s="299"/>
    </row>
    <row r="15" spans="1:12" s="304" customFormat="1" ht="12" customHeight="1">
      <c r="A15" s="309" t="s">
        <v>152</v>
      </c>
      <c r="B15" s="780">
        <v>9451.2956305773114</v>
      </c>
      <c r="C15" s="780">
        <v>309.35165294554326</v>
      </c>
      <c r="D15" s="780">
        <v>1014.4323684253184</v>
      </c>
      <c r="E15" s="305">
        <v>158.69338040712975</v>
      </c>
      <c r="F15" s="305">
        <v>186.8162579476336</v>
      </c>
      <c r="G15" s="305">
        <v>224.98302032403168</v>
      </c>
      <c r="H15" s="305">
        <v>168.73726524302398</v>
      </c>
      <c r="I15" s="305">
        <v>6108.6907571913325</v>
      </c>
      <c r="J15" s="305">
        <v>1197.2310724385934</v>
      </c>
      <c r="K15" s="305">
        <v>82.359855654333273</v>
      </c>
      <c r="L15" s="303"/>
    </row>
    <row r="16" spans="1:12" ht="12" customHeight="1">
      <c r="A16" s="312" t="s">
        <v>153</v>
      </c>
      <c r="B16" s="779">
        <v>5968.0763694887974</v>
      </c>
      <c r="C16" s="779">
        <v>204.89525065224322</v>
      </c>
      <c r="D16" s="779">
        <v>942.1163976068799</v>
      </c>
      <c r="E16" s="307">
        <v>126.55294893226821</v>
      </c>
      <c r="F16" s="307">
        <v>136.59683376816244</v>
      </c>
      <c r="G16" s="307">
        <v>180.78992704609706</v>
      </c>
      <c r="H16" s="307">
        <v>106.4651792604796</v>
      </c>
      <c r="I16" s="307">
        <v>3555.5352319067297</v>
      </c>
      <c r="J16" s="307">
        <v>632.76474466133755</v>
      </c>
      <c r="K16" s="307">
        <v>82.359855654333273</v>
      </c>
      <c r="L16" s="299"/>
    </row>
    <row r="17" spans="1:12" ht="12" customHeight="1">
      <c r="A17" s="312" t="s">
        <v>154</v>
      </c>
      <c r="B17" s="779">
        <v>546.38733507264715</v>
      </c>
      <c r="C17" s="779">
        <v>24.105323606146317</v>
      </c>
      <c r="D17" s="779">
        <v>22.096546638967457</v>
      </c>
      <c r="E17" s="307">
        <v>8.0351078687154374</v>
      </c>
      <c r="F17" s="307">
        <v>8.0351078687154374</v>
      </c>
      <c r="G17" s="307">
        <v>10.043884835894296</v>
      </c>
      <c r="H17" s="307">
        <v>8.0351078687154374</v>
      </c>
      <c r="I17" s="307">
        <v>419.83438614037982</v>
      </c>
      <c r="J17" s="307">
        <v>46.201870245113781</v>
      </c>
      <c r="K17" s="307">
        <v>0</v>
      </c>
      <c r="L17" s="299"/>
    </row>
    <row r="18" spans="1:12" ht="12" customHeight="1">
      <c r="A18" s="312" t="s">
        <v>155</v>
      </c>
      <c r="B18" s="779">
        <v>1361.9507837472588</v>
      </c>
      <c r="C18" s="779">
        <v>24.105323606146317</v>
      </c>
      <c r="D18" s="779">
        <v>18.078992704609735</v>
      </c>
      <c r="E18" s="307">
        <v>8.0351078687154374</v>
      </c>
      <c r="F18" s="307">
        <v>10.043884835894296</v>
      </c>
      <c r="G18" s="307">
        <v>14.061438770252014</v>
      </c>
      <c r="H18" s="307">
        <v>14.061438770252014</v>
      </c>
      <c r="I18" s="307">
        <v>913.99352006637605</v>
      </c>
      <c r="J18" s="307">
        <v>359.57107712501443</v>
      </c>
      <c r="K18" s="307">
        <v>0</v>
      </c>
      <c r="L18" s="299"/>
    </row>
    <row r="19" spans="1:12" ht="12" customHeight="1">
      <c r="A19" s="312" t="s">
        <v>156</v>
      </c>
      <c r="B19" s="779">
        <v>1574.8811422682165</v>
      </c>
      <c r="C19" s="779">
        <v>56.245755081008085</v>
      </c>
      <c r="D19" s="779">
        <v>32.140431474861757</v>
      </c>
      <c r="E19" s="307">
        <v>16.070215737430875</v>
      </c>
      <c r="F19" s="307">
        <v>32.140431474861757</v>
      </c>
      <c r="G19" s="307">
        <v>20.087769671788596</v>
      </c>
      <c r="H19" s="307">
        <v>40.175539343577199</v>
      </c>
      <c r="I19" s="307">
        <v>1219.3276190775607</v>
      </c>
      <c r="J19" s="307">
        <v>158.69338040712975</v>
      </c>
      <c r="K19" s="307">
        <v>0</v>
      </c>
      <c r="L19" s="299"/>
    </row>
    <row r="20" spans="1:12" s="304" customFormat="1" ht="12" customHeight="1">
      <c r="A20" s="309" t="s">
        <v>157</v>
      </c>
      <c r="B20" s="780">
        <v>168090.43905971799</v>
      </c>
      <c r="C20" s="780">
        <v>19603.654422697437</v>
      </c>
      <c r="D20" s="780">
        <v>78296.099849764913</v>
      </c>
      <c r="E20" s="305">
        <v>4706.564434100339</v>
      </c>
      <c r="F20" s="305">
        <v>8462.9773627252071</v>
      </c>
      <c r="G20" s="305">
        <v>5893.7516217031716</v>
      </c>
      <c r="H20" s="305">
        <v>4557.9149385290875</v>
      </c>
      <c r="I20" s="305">
        <v>34092.980240883735</v>
      </c>
      <c r="J20" s="305">
        <v>11407.861950544087</v>
      </c>
      <c r="K20" s="305">
        <v>1062.6430156376107</v>
      </c>
      <c r="L20" s="303"/>
    </row>
    <row r="21" spans="1:12" ht="12" customHeight="1">
      <c r="A21" s="312" t="s">
        <v>157</v>
      </c>
      <c r="B21" s="779">
        <v>95670.011838912455</v>
      </c>
      <c r="C21" s="779">
        <v>11267.230008907194</v>
      </c>
      <c r="D21" s="779">
        <v>42431.395877717259</v>
      </c>
      <c r="E21" s="307">
        <v>2808.2702001161142</v>
      </c>
      <c r="F21" s="307">
        <v>6494.3759348897147</v>
      </c>
      <c r="G21" s="307">
        <v>3714.2286123138765</v>
      </c>
      <c r="H21" s="307">
        <v>2653.5943736433255</v>
      </c>
      <c r="I21" s="307">
        <v>19171.767374754327</v>
      </c>
      <c r="J21" s="307">
        <v>6311.577230876419</v>
      </c>
      <c r="K21" s="307">
        <v>817.57222564179142</v>
      </c>
      <c r="L21" s="299"/>
    </row>
    <row r="22" spans="1:12" ht="12" customHeight="1">
      <c r="A22" s="312" t="s">
        <v>158</v>
      </c>
      <c r="B22" s="779">
        <v>30806.603568644987</v>
      </c>
      <c r="C22" s="779">
        <v>3212.0343705191081</v>
      </c>
      <c r="D22" s="779">
        <v>15357.099914083788</v>
      </c>
      <c r="E22" s="307">
        <v>678.96661490645101</v>
      </c>
      <c r="F22" s="307">
        <v>715.12460031567025</v>
      </c>
      <c r="G22" s="307">
        <v>859.7565419525472</v>
      </c>
      <c r="H22" s="307">
        <v>733.20359302027987</v>
      </c>
      <c r="I22" s="307">
        <v>6918.2278749644993</v>
      </c>
      <c r="J22" s="307">
        <v>2235.7687644700782</v>
      </c>
      <c r="K22" s="307">
        <v>96.421294424585298</v>
      </c>
      <c r="L22" s="299"/>
    </row>
    <row r="23" spans="1:12" ht="12" customHeight="1">
      <c r="A23" s="312" t="s">
        <v>159</v>
      </c>
      <c r="B23" s="779">
        <v>41613.823652074636</v>
      </c>
      <c r="C23" s="779">
        <v>5124.3900432735863</v>
      </c>
      <c r="D23" s="779">
        <v>20505.595280960024</v>
      </c>
      <c r="E23" s="307">
        <v>1219.3276190775607</v>
      </c>
      <c r="F23" s="307">
        <v>1253.4768275196011</v>
      </c>
      <c r="G23" s="307">
        <v>1319.766467436503</v>
      </c>
      <c r="H23" s="307">
        <v>1171.1169718652684</v>
      </c>
      <c r="I23" s="307">
        <v>8006.9849911755573</v>
      </c>
      <c r="J23" s="307">
        <v>2864.5159551971283</v>
      </c>
      <c r="K23" s="307">
        <v>148.64949557123552</v>
      </c>
      <c r="L23" s="299"/>
    </row>
    <row r="24" spans="1:12" s="304" customFormat="1" ht="12" customHeight="1">
      <c r="A24" s="309" t="s">
        <v>160</v>
      </c>
      <c r="B24" s="780">
        <v>166465.33849326865</v>
      </c>
      <c r="C24" s="780">
        <v>25806.757697340799</v>
      </c>
      <c r="D24" s="780">
        <v>80335.008471453519</v>
      </c>
      <c r="E24" s="305">
        <v>4222.4491850101822</v>
      </c>
      <c r="F24" s="305">
        <v>13593.393736900562</v>
      </c>
      <c r="G24" s="305">
        <v>5741.084572197562</v>
      </c>
      <c r="H24" s="305">
        <v>3850.8254460820535</v>
      </c>
      <c r="I24" s="305">
        <v>23791.954399262013</v>
      </c>
      <c r="J24" s="305">
        <v>7058.8422626670344</v>
      </c>
      <c r="K24" s="305">
        <v>2065.0227222598569</v>
      </c>
      <c r="L24" s="303"/>
    </row>
    <row r="25" spans="1:12" ht="12" customHeight="1">
      <c r="A25" s="312" t="s">
        <v>160</v>
      </c>
      <c r="B25" s="779">
        <v>166465.33849326865</v>
      </c>
      <c r="C25" s="779">
        <v>25806.757697340799</v>
      </c>
      <c r="D25" s="779">
        <v>80335.008471453519</v>
      </c>
      <c r="E25" s="307">
        <v>4222.4491850101822</v>
      </c>
      <c r="F25" s="307">
        <v>13593.393736900562</v>
      </c>
      <c r="G25" s="307">
        <v>5741.084572197562</v>
      </c>
      <c r="H25" s="307">
        <v>3850.8254460820535</v>
      </c>
      <c r="I25" s="307">
        <v>23791.954399262013</v>
      </c>
      <c r="J25" s="307">
        <v>7058.8422626670344</v>
      </c>
      <c r="K25" s="307">
        <v>2065.0227222598569</v>
      </c>
      <c r="L25" s="299"/>
    </row>
    <row r="26" spans="1:12" s="304" customFormat="1" ht="12" customHeight="1">
      <c r="A26" s="309" t="s">
        <v>161</v>
      </c>
      <c r="B26" s="780">
        <v>6502.411042758431</v>
      </c>
      <c r="C26" s="780">
        <v>453.98359458242021</v>
      </c>
      <c r="D26" s="780">
        <v>2048.9525065224243</v>
      </c>
      <c r="E26" s="305">
        <v>100.43884835894302</v>
      </c>
      <c r="F26" s="305">
        <v>126.55294893226821</v>
      </c>
      <c r="G26" s="305">
        <v>106.4651792604796</v>
      </c>
      <c r="H26" s="305">
        <v>108.47395622765846</v>
      </c>
      <c r="I26" s="305">
        <v>3220.0694783878243</v>
      </c>
      <c r="J26" s="305">
        <v>317.38676081425865</v>
      </c>
      <c r="K26" s="305">
        <v>20.087769671788596</v>
      </c>
      <c r="L26" s="303"/>
    </row>
    <row r="27" spans="1:12" ht="12" customHeight="1">
      <c r="A27" s="312" t="s">
        <v>161</v>
      </c>
      <c r="B27" s="779">
        <v>6502.411042758431</v>
      </c>
      <c r="C27" s="779">
        <v>453.98359458242021</v>
      </c>
      <c r="D27" s="779">
        <v>2048.9525065224243</v>
      </c>
      <c r="E27" s="307">
        <v>100.43884835894302</v>
      </c>
      <c r="F27" s="307">
        <v>126.55294893226821</v>
      </c>
      <c r="G27" s="307">
        <v>106.4651792604796</v>
      </c>
      <c r="H27" s="307">
        <v>108.47395622765846</v>
      </c>
      <c r="I27" s="307">
        <v>3220.0694783878243</v>
      </c>
      <c r="J27" s="307">
        <v>317.38676081425865</v>
      </c>
      <c r="K27" s="307">
        <v>20.087769671788596</v>
      </c>
      <c r="L27" s="299"/>
    </row>
    <row r="28" spans="1:12" s="304" customFormat="1" ht="12" customHeight="1">
      <c r="A28" s="309" t="s">
        <v>162</v>
      </c>
      <c r="B28" s="780">
        <v>11210.98425382618</v>
      </c>
      <c r="C28" s="780">
        <v>901.94085826330297</v>
      </c>
      <c r="D28" s="780">
        <v>3571.6054476441623</v>
      </c>
      <c r="E28" s="305">
        <v>124.54417196508935</v>
      </c>
      <c r="F28" s="305">
        <v>245.07078999582015</v>
      </c>
      <c r="G28" s="305">
        <v>160.7021573743086</v>
      </c>
      <c r="H28" s="305">
        <v>170.74604221020283</v>
      </c>
      <c r="I28" s="305">
        <v>5321.2501860571356</v>
      </c>
      <c r="J28" s="305">
        <v>656.8700682674837</v>
      </c>
      <c r="K28" s="305">
        <v>58.254532048186945</v>
      </c>
      <c r="L28" s="303"/>
    </row>
    <row r="29" spans="1:12" ht="12" customHeight="1">
      <c r="A29" s="312" t="s">
        <v>162</v>
      </c>
      <c r="B29" s="779">
        <v>11210.98425382618</v>
      </c>
      <c r="C29" s="779">
        <v>901.94085826330297</v>
      </c>
      <c r="D29" s="779">
        <v>3571.6054476441623</v>
      </c>
      <c r="E29" s="307">
        <v>124.54417196508935</v>
      </c>
      <c r="F29" s="307">
        <v>245.07078999582015</v>
      </c>
      <c r="G29" s="307">
        <v>160.7021573743086</v>
      </c>
      <c r="H29" s="307">
        <v>170.74604221020283</v>
      </c>
      <c r="I29" s="307">
        <v>5321.2501860571356</v>
      </c>
      <c r="J29" s="307">
        <v>656.8700682674837</v>
      </c>
      <c r="K29" s="307">
        <v>58.254532048186945</v>
      </c>
      <c r="L29" s="299"/>
    </row>
    <row r="30" spans="1:12" s="304" customFormat="1" ht="12" customHeight="1">
      <c r="A30" s="309" t="s">
        <v>163</v>
      </c>
      <c r="B30" s="780">
        <v>36362.880659863782</v>
      </c>
      <c r="C30" s="780">
        <v>4174.2385377978844</v>
      </c>
      <c r="D30" s="780">
        <v>13792.26265665129</v>
      </c>
      <c r="E30" s="305">
        <v>881.85308859151451</v>
      </c>
      <c r="F30" s="305">
        <v>948.14272850841644</v>
      </c>
      <c r="G30" s="305">
        <v>942.1163976068799</v>
      </c>
      <c r="H30" s="305">
        <v>911.9847430991972</v>
      </c>
      <c r="I30" s="305">
        <v>11646.888855704039</v>
      </c>
      <c r="J30" s="305">
        <v>2936.8319260155749</v>
      </c>
      <c r="K30" s="305">
        <v>128.56172589944705</v>
      </c>
      <c r="L30" s="303"/>
    </row>
    <row r="31" spans="1:12" ht="12" customHeight="1">
      <c r="A31" s="312" t="s">
        <v>163</v>
      </c>
      <c r="B31" s="779">
        <v>36362.880659863782</v>
      </c>
      <c r="C31" s="779">
        <v>4174.2385377978844</v>
      </c>
      <c r="D31" s="779">
        <v>13792.26265665129</v>
      </c>
      <c r="E31" s="307">
        <v>881.85308859151451</v>
      </c>
      <c r="F31" s="307">
        <v>948.14272850841644</v>
      </c>
      <c r="G31" s="307">
        <v>942.1163976068799</v>
      </c>
      <c r="H31" s="307">
        <v>911.9847430991972</v>
      </c>
      <c r="I31" s="307">
        <v>11646.888855704039</v>
      </c>
      <c r="J31" s="307">
        <v>2936.8319260155749</v>
      </c>
      <c r="K31" s="307">
        <v>128.56172589944705</v>
      </c>
      <c r="L31" s="299"/>
    </row>
    <row r="32" spans="1:12" ht="13.5" customHeight="1">
      <c r="A32" s="311"/>
      <c r="B32" s="781"/>
      <c r="C32" s="781"/>
      <c r="D32" s="781"/>
      <c r="E32" s="311"/>
      <c r="F32" s="311"/>
      <c r="G32" s="311"/>
      <c r="H32" s="311"/>
      <c r="I32" s="311"/>
      <c r="J32" s="311"/>
      <c r="K32" s="311"/>
    </row>
    <row r="33" spans="1:11" ht="13.5" customHeight="1">
      <c r="A33" s="311"/>
      <c r="B33" s="781"/>
      <c r="C33" s="781"/>
      <c r="D33" s="781"/>
      <c r="E33" s="311"/>
      <c r="F33" s="311"/>
      <c r="G33" s="311"/>
      <c r="H33" s="311"/>
      <c r="I33" s="311"/>
      <c r="J33" s="311"/>
      <c r="K33" s="311"/>
    </row>
  </sheetData>
  <mergeCells count="4">
    <mergeCell ref="A1:K1"/>
    <mergeCell ref="B2:B3"/>
    <mergeCell ref="C2:K2"/>
    <mergeCell ref="A2:A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6D98-1E9C-4181-86C1-D3997468431B}">
  <dimension ref="A1:I29"/>
  <sheetViews>
    <sheetView zoomScale="106" zoomScaleNormal="106" workbookViewId="0">
      <selection activeCell="G11" sqref="G11"/>
    </sheetView>
  </sheetViews>
  <sheetFormatPr defaultRowHeight="15.75" customHeight="1"/>
  <cols>
    <col min="1" max="1" width="15.85546875" style="30" customWidth="1"/>
    <col min="2" max="2" width="16.42578125" style="687" customWidth="1"/>
    <col min="3" max="3" width="17" style="687" customWidth="1"/>
    <col min="4" max="4" width="15.28515625" style="687" customWidth="1"/>
    <col min="5" max="16384" width="9.140625" style="30"/>
  </cols>
  <sheetData>
    <row r="1" spans="1:9" ht="22.5" customHeight="1" thickBot="1">
      <c r="A1" s="1124" t="s">
        <v>541</v>
      </c>
      <c r="B1" s="1124"/>
      <c r="C1" s="1124"/>
      <c r="D1" s="1124"/>
    </row>
    <row r="2" spans="1:9" ht="15.75" customHeight="1">
      <c r="A2" s="1127" t="s">
        <v>495</v>
      </c>
      <c r="B2" s="1125" t="s">
        <v>289</v>
      </c>
      <c r="C2" s="1126" t="s">
        <v>542</v>
      </c>
      <c r="D2" s="1126"/>
    </row>
    <row r="3" spans="1:9" ht="15.75" customHeight="1">
      <c r="A3" s="1109"/>
      <c r="B3" s="1125"/>
      <c r="C3" s="788" t="s">
        <v>334</v>
      </c>
      <c r="D3" s="788" t="s">
        <v>335</v>
      </c>
      <c r="E3" s="610"/>
      <c r="F3" s="610"/>
      <c r="G3" s="610"/>
      <c r="H3" s="610"/>
      <c r="I3" s="610"/>
    </row>
    <row r="4" spans="1:9" ht="15.75" customHeight="1">
      <c r="A4" s="313" t="s">
        <v>146</v>
      </c>
      <c r="B4" s="784">
        <v>422672.78799538844</v>
      </c>
      <c r="C4" s="784">
        <v>168030.17575070256</v>
      </c>
      <c r="D4" s="784">
        <v>254642.61224464112</v>
      </c>
      <c r="E4" s="783"/>
      <c r="F4" s="783"/>
      <c r="G4" s="783"/>
      <c r="H4" s="783"/>
      <c r="I4" s="610"/>
    </row>
    <row r="5" spans="1:9" ht="15.75" customHeight="1">
      <c r="A5" s="215" t="s">
        <v>4</v>
      </c>
      <c r="B5" s="785">
        <v>371463.03677104594</v>
      </c>
      <c r="C5" s="785">
        <v>152279.35555103718</v>
      </c>
      <c r="D5" s="785">
        <v>219183.681219964</v>
      </c>
    </row>
    <row r="6" spans="1:9" ht="15.75" customHeight="1">
      <c r="A6" s="215" t="s">
        <v>5</v>
      </c>
      <c r="B6" s="785">
        <v>51209.751224297761</v>
      </c>
      <c r="C6" s="785">
        <v>15750.820199650887</v>
      </c>
      <c r="D6" s="785">
        <v>35458.93102463238</v>
      </c>
    </row>
    <row r="7" spans="1:9" ht="15.75" customHeight="1">
      <c r="A7" s="216" t="s">
        <v>143</v>
      </c>
      <c r="B7" s="786"/>
      <c r="C7" s="786"/>
      <c r="D7" s="786"/>
    </row>
    <row r="8" spans="1:9" s="28" customFormat="1" ht="10.5" customHeight="1">
      <c r="A8" s="217" t="s">
        <v>148</v>
      </c>
      <c r="B8" s="787">
        <v>24589.412524329851</v>
      </c>
      <c r="C8" s="787">
        <v>7679.5455685581892</v>
      </c>
      <c r="D8" s="787">
        <v>16909.866955778383</v>
      </c>
    </row>
    <row r="9" spans="1:9" ht="10.5" customHeight="1">
      <c r="A9" s="314" t="s">
        <v>148</v>
      </c>
      <c r="B9" s="785">
        <v>8362.5121834647161</v>
      </c>
      <c r="C9" s="785">
        <v>3515.3509155959691</v>
      </c>
      <c r="D9" s="785">
        <v>4847.161267868516</v>
      </c>
    </row>
    <row r="10" spans="1:9" ht="10.5" customHeight="1">
      <c r="A10" s="314" t="s">
        <v>149</v>
      </c>
      <c r="B10" s="785">
        <v>9511.5589395926836</v>
      </c>
      <c r="C10" s="785">
        <v>2448.69912299106</v>
      </c>
      <c r="D10" s="785">
        <v>7062.8598166013926</v>
      </c>
    </row>
    <row r="11" spans="1:9" ht="12" customHeight="1">
      <c r="A11" s="314" t="s">
        <v>150</v>
      </c>
      <c r="B11" s="785">
        <v>2806.2614231489351</v>
      </c>
      <c r="C11" s="785">
        <v>486.12402605728175</v>
      </c>
      <c r="D11" s="785">
        <v>2320.1373970915993</v>
      </c>
    </row>
    <row r="12" spans="1:9" ht="10.5" customHeight="1">
      <c r="A12" s="314" t="s">
        <v>151</v>
      </c>
      <c r="B12" s="785">
        <v>3909.0799781302467</v>
      </c>
      <c r="C12" s="785">
        <v>1229.3715039134549</v>
      </c>
      <c r="D12" s="785">
        <v>2679.7084742166535</v>
      </c>
    </row>
    <row r="13" spans="1:9" s="28" customFormat="1" ht="10.5" customHeight="1">
      <c r="A13" s="217" t="s">
        <v>152</v>
      </c>
      <c r="B13" s="787">
        <v>9451.2956305773114</v>
      </c>
      <c r="C13" s="787">
        <v>3033.2532204401705</v>
      </c>
      <c r="D13" s="787">
        <v>6418.0424101369099</v>
      </c>
    </row>
    <row r="14" spans="1:9" ht="10.5" customHeight="1">
      <c r="A14" s="314" t="s">
        <v>153</v>
      </c>
      <c r="B14" s="785">
        <v>5968.0763694887974</v>
      </c>
      <c r="C14" s="785">
        <v>2091.1368228331849</v>
      </c>
      <c r="D14" s="785">
        <v>3876.9395466553815</v>
      </c>
    </row>
    <row r="15" spans="1:9" ht="10.5" customHeight="1">
      <c r="A15" s="314" t="s">
        <v>154</v>
      </c>
      <c r="B15" s="785">
        <v>546.38733507264715</v>
      </c>
      <c r="C15" s="785">
        <v>216.9479124553163</v>
      </c>
      <c r="D15" s="785">
        <v>329.43942261733173</v>
      </c>
    </row>
    <row r="16" spans="1:9" ht="10.5" customHeight="1">
      <c r="A16" s="314" t="s">
        <v>155</v>
      </c>
      <c r="B16" s="785">
        <v>1361.9507837472588</v>
      </c>
      <c r="C16" s="785">
        <v>417.82560917320097</v>
      </c>
      <c r="D16" s="785">
        <v>944.12517457405875</v>
      </c>
    </row>
    <row r="17" spans="1:4" ht="12.75" customHeight="1">
      <c r="A17" s="314" t="s">
        <v>156</v>
      </c>
      <c r="B17" s="785">
        <v>1574.8811422682165</v>
      </c>
      <c r="C17" s="785">
        <v>307.34287597836442</v>
      </c>
      <c r="D17" s="785">
        <v>1267.538266289853</v>
      </c>
    </row>
    <row r="18" spans="1:4" s="28" customFormat="1" ht="10.5" customHeight="1">
      <c r="A18" s="217" t="s">
        <v>157</v>
      </c>
      <c r="B18" s="787">
        <v>168090.43905971799</v>
      </c>
      <c r="C18" s="787">
        <v>69961.684212931388</v>
      </c>
      <c r="D18" s="787">
        <v>98128.754846741867</v>
      </c>
    </row>
    <row r="19" spans="1:4" ht="10.5" customHeight="1">
      <c r="A19" s="314" t="s">
        <v>157</v>
      </c>
      <c r="B19" s="785">
        <v>95670.011838912455</v>
      </c>
      <c r="C19" s="785">
        <v>39384.081218503845</v>
      </c>
      <c r="D19" s="785">
        <v>56285.930620363877</v>
      </c>
    </row>
    <row r="20" spans="1:4" ht="10.5" customHeight="1">
      <c r="A20" s="314" t="s">
        <v>158</v>
      </c>
      <c r="B20" s="785">
        <v>30806.603568644987</v>
      </c>
      <c r="C20" s="785">
        <v>12424.285542002341</v>
      </c>
      <c r="D20" s="785">
        <v>18382.318026653666</v>
      </c>
    </row>
    <row r="21" spans="1:4" ht="12.75" customHeight="1">
      <c r="A21" s="314" t="s">
        <v>159</v>
      </c>
      <c r="B21" s="785">
        <v>41613.823652074636</v>
      </c>
      <c r="C21" s="785">
        <v>18153.317452395459</v>
      </c>
      <c r="D21" s="785">
        <v>23460.506199677766</v>
      </c>
    </row>
    <row r="22" spans="1:4" s="28" customFormat="1" ht="10.5" customHeight="1">
      <c r="A22" s="217" t="s">
        <v>160</v>
      </c>
      <c r="B22" s="787">
        <v>166465.33849326865</v>
      </c>
      <c r="C22" s="787">
        <v>68306.451991974332</v>
      </c>
      <c r="D22" s="787">
        <v>98158.886501249581</v>
      </c>
    </row>
    <row r="23" spans="1:4" ht="10.5" customHeight="1">
      <c r="A23" s="314" t="s">
        <v>160</v>
      </c>
      <c r="B23" s="785">
        <v>166465.33849326865</v>
      </c>
      <c r="C23" s="785">
        <v>68306.451991974332</v>
      </c>
      <c r="D23" s="785">
        <v>98158.886501249581</v>
      </c>
    </row>
    <row r="24" spans="1:4" s="28" customFormat="1" ht="10.5" customHeight="1">
      <c r="A24" s="217" t="s">
        <v>161</v>
      </c>
      <c r="B24" s="787">
        <v>6502.411042758431</v>
      </c>
      <c r="C24" s="787">
        <v>2633.5066039715348</v>
      </c>
      <c r="D24" s="787">
        <v>3868.9044387866652</v>
      </c>
    </row>
    <row r="25" spans="1:4" ht="10.5" customHeight="1">
      <c r="A25" s="314" t="s">
        <v>161</v>
      </c>
      <c r="B25" s="785">
        <v>6502.411042758431</v>
      </c>
      <c r="C25" s="785">
        <v>2633.5066039715348</v>
      </c>
      <c r="D25" s="785">
        <v>3868.9044387866652</v>
      </c>
    </row>
    <row r="26" spans="1:4" s="28" customFormat="1" ht="10.5" customHeight="1">
      <c r="A26" s="217" t="s">
        <v>162</v>
      </c>
      <c r="B26" s="787">
        <v>11210.98425382618</v>
      </c>
      <c r="C26" s="787">
        <v>4750.7575273782786</v>
      </c>
      <c r="D26" s="787">
        <v>6460.2267264476704</v>
      </c>
    </row>
    <row r="27" spans="1:4" ht="10.5" customHeight="1">
      <c r="A27" s="314" t="s">
        <v>162</v>
      </c>
      <c r="B27" s="785">
        <v>11210.98425382618</v>
      </c>
      <c r="C27" s="785">
        <v>4750.7575273782786</v>
      </c>
      <c r="D27" s="785">
        <v>6460.2267264476704</v>
      </c>
    </row>
    <row r="28" spans="1:4" s="28" customFormat="1" ht="10.5" customHeight="1">
      <c r="A28" s="217" t="s">
        <v>163</v>
      </c>
      <c r="B28" s="787">
        <v>36362.880659863782</v>
      </c>
      <c r="C28" s="787">
        <v>11664.967848408651</v>
      </c>
      <c r="D28" s="787">
        <v>24697.912811458955</v>
      </c>
    </row>
    <row r="29" spans="1:4" ht="10.5" customHeight="1">
      <c r="A29" s="314" t="s">
        <v>163</v>
      </c>
      <c r="B29" s="785">
        <v>36362.880659863782</v>
      </c>
      <c r="C29" s="785">
        <v>11664.967848408651</v>
      </c>
      <c r="D29" s="785">
        <v>24697.912811458955</v>
      </c>
    </row>
  </sheetData>
  <mergeCells count="4">
    <mergeCell ref="A1:D1"/>
    <mergeCell ref="B2:B3"/>
    <mergeCell ref="C2:D2"/>
    <mergeCell ref="A2:A3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2062-AA85-47DE-AA9C-E9C80F84902C}">
  <dimension ref="A1:G32"/>
  <sheetViews>
    <sheetView zoomScale="106" zoomScaleNormal="106" workbookViewId="0">
      <selection activeCell="B11" sqref="B11"/>
    </sheetView>
  </sheetViews>
  <sheetFormatPr defaultRowHeight="15.75" customHeight="1"/>
  <cols>
    <col min="1" max="1" width="18" style="300" customWidth="1"/>
    <col min="2" max="2" width="16" style="330" customWidth="1"/>
    <col min="3" max="3" width="15.85546875" style="300" customWidth="1"/>
    <col min="4" max="4" width="14.85546875" style="330" customWidth="1"/>
    <col min="5" max="5" width="9.140625" style="330"/>
    <col min="6" max="6" width="18.85546875" style="330" customWidth="1"/>
    <col min="7" max="16384" width="9.140625" style="300"/>
  </cols>
  <sheetData>
    <row r="1" spans="1:7" ht="17.25" customHeight="1" thickBot="1">
      <c r="A1" s="1128" t="s">
        <v>543</v>
      </c>
      <c r="B1" s="1128"/>
      <c r="C1" s="1128"/>
      <c r="D1" s="1128"/>
      <c r="E1" s="1128"/>
      <c r="F1" s="1128"/>
      <c r="G1" s="30"/>
    </row>
    <row r="2" spans="1:7" ht="18" customHeight="1">
      <c r="A2" s="1132" t="s">
        <v>495</v>
      </c>
      <c r="B2" s="1129" t="s">
        <v>336</v>
      </c>
      <c r="C2" s="1130" t="s">
        <v>337</v>
      </c>
      <c r="D2" s="1130"/>
      <c r="E2" s="1130"/>
      <c r="F2" s="1131" t="s">
        <v>338</v>
      </c>
      <c r="G2" s="30"/>
    </row>
    <row r="3" spans="1:7" s="302" customFormat="1" ht="24" customHeight="1">
      <c r="A3" s="1133"/>
      <c r="B3" s="1129"/>
      <c r="C3" s="790" t="s">
        <v>339</v>
      </c>
      <c r="D3" s="791" t="s">
        <v>340</v>
      </c>
      <c r="E3" s="791" t="s">
        <v>340</v>
      </c>
      <c r="F3" s="1131"/>
      <c r="G3" s="288"/>
    </row>
    <row r="4" spans="1:7" ht="15.75" customHeight="1">
      <c r="A4" s="218" t="s">
        <v>146</v>
      </c>
      <c r="B4" s="793">
        <v>422672.78799538844</v>
      </c>
      <c r="C4" s="792">
        <v>96780.865501763488</v>
      </c>
      <c r="D4" s="793">
        <v>69150.138318190307</v>
      </c>
      <c r="E4" s="793">
        <v>256741.78417534515</v>
      </c>
      <c r="F4" s="794">
        <f>C4+D4</f>
        <v>165931.0038199538</v>
      </c>
      <c r="G4" s="30"/>
    </row>
    <row r="5" spans="1:7" ht="15.75" customHeight="1">
      <c r="A5" s="795"/>
      <c r="B5" s="797"/>
      <c r="C5" s="796"/>
      <c r="D5" s="797"/>
      <c r="E5" s="797"/>
      <c r="F5" s="798"/>
      <c r="G5" s="30"/>
    </row>
    <row r="6" spans="1:7" ht="15.75" customHeight="1">
      <c r="A6" s="218" t="s">
        <v>3</v>
      </c>
      <c r="B6" s="770"/>
      <c r="C6" s="198"/>
      <c r="D6" s="770"/>
      <c r="E6" s="770"/>
      <c r="F6" s="770"/>
      <c r="G6" s="30"/>
    </row>
    <row r="7" spans="1:7" ht="15.75" customHeight="1">
      <c r="A7" s="799" t="s">
        <v>4</v>
      </c>
      <c r="B7" s="797">
        <v>371463.03677104594</v>
      </c>
      <c r="C7" s="796">
        <v>92164.696031181797</v>
      </c>
      <c r="D7" s="797">
        <v>64905.592586537088</v>
      </c>
      <c r="E7" s="797">
        <v>214392.74815323757</v>
      </c>
      <c r="F7" s="798">
        <f t="shared" ref="F7:F31" si="0">C7+D7</f>
        <v>157070.28861771888</v>
      </c>
      <c r="G7" s="30"/>
    </row>
    <row r="8" spans="1:7" ht="15.75" customHeight="1">
      <c r="A8" s="799" t="s">
        <v>5</v>
      </c>
      <c r="B8" s="797">
        <v>51209.751224297761</v>
      </c>
      <c r="C8" s="796">
        <v>4616.1694705772807</v>
      </c>
      <c r="D8" s="797">
        <v>4244.545731649152</v>
      </c>
      <c r="E8" s="797">
        <v>42349.036022062843</v>
      </c>
      <c r="F8" s="798">
        <f t="shared" si="0"/>
        <v>8860.7152022264327</v>
      </c>
      <c r="G8" s="30"/>
    </row>
    <row r="9" spans="1:7" ht="15.75" customHeight="1">
      <c r="A9" s="789" t="s">
        <v>333</v>
      </c>
      <c r="B9" s="793"/>
      <c r="C9" s="792"/>
      <c r="D9" s="793"/>
      <c r="E9" s="793"/>
      <c r="F9" s="794"/>
      <c r="G9" s="30"/>
    </row>
    <row r="10" spans="1:7" s="304" customFormat="1" ht="13.5" customHeight="1">
      <c r="A10" s="800" t="s">
        <v>148</v>
      </c>
      <c r="B10" s="802">
        <v>24589.412524329851</v>
      </c>
      <c r="C10" s="801">
        <v>2766.0858838053537</v>
      </c>
      <c r="D10" s="802">
        <v>2402.4972527459413</v>
      </c>
      <c r="E10" s="802">
        <v>19420.829387782775</v>
      </c>
      <c r="F10" s="798">
        <f t="shared" si="0"/>
        <v>5168.583136551295</v>
      </c>
      <c r="G10" s="28"/>
    </row>
    <row r="11" spans="1:7" ht="13.5" customHeight="1">
      <c r="A11" s="803" t="s">
        <v>148</v>
      </c>
      <c r="B11" s="797">
        <v>8362.5121834647161</v>
      </c>
      <c r="C11" s="796">
        <v>1369.9858916159742</v>
      </c>
      <c r="D11" s="797">
        <v>1128.9326555545126</v>
      </c>
      <c r="E11" s="797">
        <v>5863.5936362939483</v>
      </c>
      <c r="F11" s="798">
        <f t="shared" si="0"/>
        <v>2498.9185471704868</v>
      </c>
      <c r="G11" s="30"/>
    </row>
    <row r="12" spans="1:7" ht="13.5" customHeight="1">
      <c r="A12" s="803" t="s">
        <v>149</v>
      </c>
      <c r="B12" s="797">
        <v>9511.5589395926836</v>
      </c>
      <c r="C12" s="796">
        <v>522.28201146650099</v>
      </c>
      <c r="D12" s="797">
        <v>570.4926586787933</v>
      </c>
      <c r="E12" s="797">
        <v>8418.7842694472674</v>
      </c>
      <c r="F12" s="798">
        <f t="shared" si="0"/>
        <v>1092.7746701452943</v>
      </c>
      <c r="G12" s="30"/>
    </row>
    <row r="13" spans="1:7" ht="13.5" customHeight="1">
      <c r="A13" s="803" t="s">
        <v>150</v>
      </c>
      <c r="B13" s="797">
        <v>2806.2614231489351</v>
      </c>
      <c r="C13" s="796">
        <v>269.17611360196634</v>
      </c>
      <c r="D13" s="797">
        <v>140.61438770252013</v>
      </c>
      <c r="E13" s="797">
        <v>2396.4709218444041</v>
      </c>
      <c r="F13" s="798">
        <f t="shared" si="0"/>
        <v>409.7905013044865</v>
      </c>
      <c r="G13" s="30"/>
    </row>
    <row r="14" spans="1:7" ht="13.5" customHeight="1">
      <c r="A14" s="803" t="s">
        <v>151</v>
      </c>
      <c r="B14" s="797">
        <v>3909.0799781302467</v>
      </c>
      <c r="C14" s="796">
        <v>604.64186712083369</v>
      </c>
      <c r="D14" s="797">
        <v>562.45755081007792</v>
      </c>
      <c r="E14" s="797">
        <v>2741.9805601992048</v>
      </c>
      <c r="F14" s="798">
        <f t="shared" si="0"/>
        <v>1167.0994179309116</v>
      </c>
      <c r="G14" s="30"/>
    </row>
    <row r="15" spans="1:7" s="304" customFormat="1" ht="13.5" customHeight="1">
      <c r="A15" s="800" t="s">
        <v>152</v>
      </c>
      <c r="B15" s="802">
        <v>9451.2956305773114</v>
      </c>
      <c r="C15" s="801">
        <v>538.35222720393176</v>
      </c>
      <c r="D15" s="802">
        <v>1205.2661803073088</v>
      </c>
      <c r="E15" s="802">
        <v>7707.6772230658753</v>
      </c>
      <c r="F15" s="798">
        <f t="shared" si="0"/>
        <v>1743.6184075112405</v>
      </c>
      <c r="G15" s="28"/>
    </row>
    <row r="16" spans="1:7" ht="13.5" customHeight="1">
      <c r="A16" s="803" t="s">
        <v>153</v>
      </c>
      <c r="B16" s="797">
        <v>5968.0763694887974</v>
      </c>
      <c r="C16" s="796">
        <v>427.86949400909521</v>
      </c>
      <c r="D16" s="797">
        <v>1054.6079077688953</v>
      </c>
      <c r="E16" s="797">
        <v>4485.5989677106409</v>
      </c>
      <c r="F16" s="798">
        <f t="shared" si="0"/>
        <v>1482.4774017779905</v>
      </c>
      <c r="G16" s="30"/>
    </row>
    <row r="17" spans="1:7" ht="13.5" customHeight="1">
      <c r="A17" s="803" t="s">
        <v>154</v>
      </c>
      <c r="B17" s="797">
        <v>546.38733507264715</v>
      </c>
      <c r="C17" s="796">
        <v>14.061438770252014</v>
      </c>
      <c r="D17" s="797">
        <v>36.157985409219478</v>
      </c>
      <c r="E17" s="797">
        <v>496.16791089317599</v>
      </c>
      <c r="F17" s="798">
        <f t="shared" si="0"/>
        <v>50.219424179471488</v>
      </c>
      <c r="G17" s="30"/>
    </row>
    <row r="18" spans="1:7" ht="13.5" customHeight="1">
      <c r="A18" s="803" t="s">
        <v>155</v>
      </c>
      <c r="B18" s="797">
        <v>1361.9507837472588</v>
      </c>
      <c r="C18" s="796">
        <v>42.18431631075606</v>
      </c>
      <c r="D18" s="797">
        <v>66.289639916902388</v>
      </c>
      <c r="E18" s="797">
        <v>1253.4768275196011</v>
      </c>
      <c r="F18" s="798">
        <f t="shared" si="0"/>
        <v>108.47395622765845</v>
      </c>
      <c r="G18" s="30"/>
    </row>
    <row r="19" spans="1:7" ht="13.5" customHeight="1">
      <c r="A19" s="803" t="s">
        <v>156</v>
      </c>
      <c r="B19" s="797">
        <v>1574.8811422682165</v>
      </c>
      <c r="C19" s="796">
        <v>54.236978113829224</v>
      </c>
      <c r="D19" s="797">
        <v>48.210647212292642</v>
      </c>
      <c r="E19" s="797">
        <v>1472.4335169420954</v>
      </c>
      <c r="F19" s="798">
        <f t="shared" si="0"/>
        <v>102.44762532612187</v>
      </c>
      <c r="G19" s="30"/>
    </row>
    <row r="20" spans="1:7" s="304" customFormat="1" ht="13.5" customHeight="1">
      <c r="A20" s="800" t="s">
        <v>157</v>
      </c>
      <c r="B20" s="802">
        <v>168090.43905971799</v>
      </c>
      <c r="C20" s="801">
        <v>39966.626538986304</v>
      </c>
      <c r="D20" s="802">
        <v>25250.3264774327</v>
      </c>
      <c r="E20" s="802">
        <v>102873.48604322314</v>
      </c>
      <c r="F20" s="798">
        <f t="shared" si="0"/>
        <v>65216.953016419007</v>
      </c>
      <c r="G20" s="28"/>
    </row>
    <row r="21" spans="1:7" ht="13.5" customHeight="1">
      <c r="A21" s="803" t="s">
        <v>157</v>
      </c>
      <c r="B21" s="797">
        <v>95670.011838912455</v>
      </c>
      <c r="C21" s="796">
        <v>28036.500130907552</v>
      </c>
      <c r="D21" s="797">
        <v>10668.61447268783</v>
      </c>
      <c r="E21" s="797">
        <v>56964.897235271019</v>
      </c>
      <c r="F21" s="798">
        <f t="shared" si="0"/>
        <v>38705.114603595386</v>
      </c>
      <c r="G21" s="30"/>
    </row>
    <row r="22" spans="1:7" ht="13.5" customHeight="1">
      <c r="A22" s="803" t="s">
        <v>158</v>
      </c>
      <c r="B22" s="797">
        <v>30806.603568644987</v>
      </c>
      <c r="C22" s="796">
        <v>3726.281274116951</v>
      </c>
      <c r="D22" s="797">
        <v>3736.3251589528463</v>
      </c>
      <c r="E22" s="797">
        <v>23343.997135581485</v>
      </c>
      <c r="F22" s="798">
        <f t="shared" si="0"/>
        <v>7462.6064330697973</v>
      </c>
      <c r="G22" s="30"/>
    </row>
    <row r="23" spans="1:7" ht="13.5" customHeight="1">
      <c r="A23" s="803" t="s">
        <v>159</v>
      </c>
      <c r="B23" s="797">
        <v>41613.823652074636</v>
      </c>
      <c r="C23" s="796">
        <v>8203.8451339591065</v>
      </c>
      <c r="D23" s="797">
        <v>10845.386845799589</v>
      </c>
      <c r="E23" s="797">
        <v>22564.59167231671</v>
      </c>
      <c r="F23" s="798">
        <f t="shared" si="0"/>
        <v>19049.231979758697</v>
      </c>
      <c r="G23" s="30"/>
    </row>
    <row r="24" spans="1:7" s="304" customFormat="1" ht="13.5" customHeight="1">
      <c r="A24" s="800" t="s">
        <v>160</v>
      </c>
      <c r="B24" s="802">
        <v>166465.33849326865</v>
      </c>
      <c r="C24" s="801">
        <v>45924.659023644832</v>
      </c>
      <c r="D24" s="802">
        <v>34247.638513422302</v>
      </c>
      <c r="E24" s="802">
        <v>86293.040956112047</v>
      </c>
      <c r="F24" s="798">
        <f t="shared" si="0"/>
        <v>80172.297537067134</v>
      </c>
      <c r="G24" s="28"/>
    </row>
    <row r="25" spans="1:7" ht="13.5" customHeight="1">
      <c r="A25" s="803" t="s">
        <v>160</v>
      </c>
      <c r="B25" s="797">
        <v>166465.33849326865</v>
      </c>
      <c r="C25" s="796">
        <v>45924.659023644832</v>
      </c>
      <c r="D25" s="797">
        <v>34247.638513422302</v>
      </c>
      <c r="E25" s="797">
        <v>86293.040956112047</v>
      </c>
      <c r="F25" s="798">
        <f t="shared" si="0"/>
        <v>80172.297537067134</v>
      </c>
      <c r="G25" s="30"/>
    </row>
    <row r="26" spans="1:7" s="304" customFormat="1" ht="13.5" customHeight="1">
      <c r="A26" s="800" t="s">
        <v>161</v>
      </c>
      <c r="B26" s="802">
        <v>6502.411042758431</v>
      </c>
      <c r="C26" s="801">
        <v>383.67640073116058</v>
      </c>
      <c r="D26" s="802">
        <v>427.86949400909521</v>
      </c>
      <c r="E26" s="802">
        <v>5690.8651480180852</v>
      </c>
      <c r="F26" s="798">
        <f t="shared" si="0"/>
        <v>811.54589474025579</v>
      </c>
      <c r="G26" s="28"/>
    </row>
    <row r="27" spans="1:7" ht="13.5" customHeight="1">
      <c r="A27" s="803" t="s">
        <v>161</v>
      </c>
      <c r="B27" s="797">
        <v>6502.411042758431</v>
      </c>
      <c r="C27" s="796">
        <v>383.67640073116058</v>
      </c>
      <c r="D27" s="797">
        <v>427.86949400909521</v>
      </c>
      <c r="E27" s="797">
        <v>5690.8651480180852</v>
      </c>
      <c r="F27" s="798">
        <f t="shared" si="0"/>
        <v>811.54589474025579</v>
      </c>
      <c r="G27" s="30"/>
    </row>
    <row r="28" spans="1:7" s="304" customFormat="1" ht="13.5" customHeight="1">
      <c r="A28" s="800" t="s">
        <v>162</v>
      </c>
      <c r="B28" s="802">
        <v>11210.98425382618</v>
      </c>
      <c r="C28" s="801">
        <v>1201.2486263729511</v>
      </c>
      <c r="D28" s="802">
        <v>1584.9250271041108</v>
      </c>
      <c r="E28" s="802">
        <v>8424.8106003488047</v>
      </c>
      <c r="F28" s="798">
        <f t="shared" si="0"/>
        <v>2786.1736534770616</v>
      </c>
      <c r="G28" s="28"/>
    </row>
    <row r="29" spans="1:7" ht="13.5" customHeight="1">
      <c r="A29" s="803" t="s">
        <v>162</v>
      </c>
      <c r="B29" s="797">
        <v>11210.98425382618</v>
      </c>
      <c r="C29" s="796">
        <v>1201.2486263729511</v>
      </c>
      <c r="D29" s="797">
        <v>1584.9250271041108</v>
      </c>
      <c r="E29" s="797">
        <v>8424.8106003488047</v>
      </c>
      <c r="F29" s="798">
        <f t="shared" si="0"/>
        <v>2786.1736534770616</v>
      </c>
      <c r="G29" s="30"/>
    </row>
    <row r="30" spans="1:7" s="304" customFormat="1" ht="13.5" customHeight="1">
      <c r="A30" s="800" t="s">
        <v>163</v>
      </c>
      <c r="B30" s="802">
        <v>36362.880659863782</v>
      </c>
      <c r="C30" s="801">
        <v>6000.2168009636625</v>
      </c>
      <c r="D30" s="802">
        <v>4031.6153731281702</v>
      </c>
      <c r="E30" s="802">
        <v>26331.048485774063</v>
      </c>
      <c r="F30" s="798">
        <f t="shared" si="0"/>
        <v>10031.832174091833</v>
      </c>
      <c r="G30" s="28"/>
    </row>
    <row r="31" spans="1:7" ht="13.5" customHeight="1">
      <c r="A31" s="803" t="s">
        <v>163</v>
      </c>
      <c r="B31" s="797">
        <v>36362.880659863782</v>
      </c>
      <c r="C31" s="796">
        <v>6000.2168009636625</v>
      </c>
      <c r="D31" s="797">
        <v>4031.6153731281702</v>
      </c>
      <c r="E31" s="797">
        <v>26331.048485774063</v>
      </c>
      <c r="F31" s="798">
        <f t="shared" si="0"/>
        <v>10031.832174091833</v>
      </c>
      <c r="G31" s="30"/>
    </row>
    <row r="32" spans="1:7" ht="15.75" customHeight="1">
      <c r="A32" s="30"/>
      <c r="B32" s="687"/>
      <c r="C32" s="30"/>
      <c r="D32" s="687"/>
      <c r="E32" s="687"/>
      <c r="F32" s="687"/>
      <c r="G32" s="30"/>
    </row>
  </sheetData>
  <mergeCells count="5">
    <mergeCell ref="A1:F1"/>
    <mergeCell ref="B2:B3"/>
    <mergeCell ref="C2:E2"/>
    <mergeCell ref="F2:F3"/>
    <mergeCell ref="A2:A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9E7B-678F-4401-8F90-8E475AF91FDA}">
  <dimension ref="A1:D32"/>
  <sheetViews>
    <sheetView zoomScale="98" zoomScaleNormal="98" workbookViewId="0">
      <selection activeCell="B8" sqref="B8"/>
    </sheetView>
  </sheetViews>
  <sheetFormatPr defaultRowHeight="17.25" customHeight="1"/>
  <cols>
    <col min="1" max="1" width="19.28515625" style="30" customWidth="1"/>
    <col min="2" max="2" width="11.42578125" style="687" customWidth="1"/>
    <col min="3" max="3" width="12.7109375" style="687" customWidth="1"/>
    <col min="4" max="4" width="15" style="687" customWidth="1"/>
    <col min="5" max="16384" width="9.140625" style="30"/>
  </cols>
  <sheetData>
    <row r="1" spans="1:4" ht="38.25" customHeight="1" thickBot="1">
      <c r="A1" s="1134" t="s">
        <v>544</v>
      </c>
      <c r="B1" s="1134"/>
      <c r="C1" s="1134"/>
      <c r="D1" s="1134"/>
    </row>
    <row r="2" spans="1:4" ht="25.5" customHeight="1">
      <c r="A2" s="1137" t="s">
        <v>495</v>
      </c>
      <c r="B2" s="1135" t="s">
        <v>289</v>
      </c>
      <c r="C2" s="1136" t="s">
        <v>341</v>
      </c>
      <c r="D2" s="1136"/>
    </row>
    <row r="3" spans="1:4" ht="15.75" customHeight="1">
      <c r="A3" s="1138"/>
      <c r="B3" s="1135"/>
      <c r="C3" s="804" t="s">
        <v>342</v>
      </c>
      <c r="D3" s="804" t="s">
        <v>343</v>
      </c>
    </row>
    <row r="4" spans="1:4" ht="17.25" customHeight="1">
      <c r="A4" s="805" t="s">
        <v>344</v>
      </c>
      <c r="B4" s="806">
        <v>422672.78799538844</v>
      </c>
      <c r="C4" s="806">
        <v>316637.48700577783</v>
      </c>
      <c r="D4" s="806">
        <v>106035.30098956586</v>
      </c>
    </row>
    <row r="5" spans="1:4" ht="17.25" customHeight="1">
      <c r="A5" s="807"/>
      <c r="B5" s="808"/>
      <c r="C5" s="808"/>
      <c r="D5" s="808"/>
    </row>
    <row r="6" spans="1:4" ht="17.25" customHeight="1">
      <c r="A6" s="809" t="s">
        <v>3</v>
      </c>
      <c r="B6" s="770"/>
      <c r="C6" s="806"/>
      <c r="D6" s="806"/>
    </row>
    <row r="7" spans="1:4" ht="17.25" customHeight="1">
      <c r="A7" s="810" t="s">
        <v>4</v>
      </c>
      <c r="B7" s="808">
        <v>371463.03677104594</v>
      </c>
      <c r="C7" s="808">
        <v>274117.70494145987</v>
      </c>
      <c r="D7" s="808">
        <v>97345.331829541319</v>
      </c>
    </row>
    <row r="8" spans="1:4" ht="17.25" customHeight="1">
      <c r="A8" s="810" t="s">
        <v>5</v>
      </c>
      <c r="B8" s="808">
        <v>51209.751224297761</v>
      </c>
      <c r="C8" s="808">
        <v>42519.782064273219</v>
      </c>
      <c r="D8" s="808">
        <v>8689.9691600164424</v>
      </c>
    </row>
    <row r="9" spans="1:4" s="288" customFormat="1" ht="17.25" customHeight="1">
      <c r="A9" s="811" t="s">
        <v>333</v>
      </c>
      <c r="B9" s="806"/>
      <c r="C9" s="806"/>
      <c r="D9" s="806"/>
    </row>
    <row r="10" spans="1:4" s="28" customFormat="1" ht="15" customHeight="1">
      <c r="A10" s="812" t="s">
        <v>148</v>
      </c>
      <c r="B10" s="813">
        <v>24589.412524329851</v>
      </c>
      <c r="C10" s="813">
        <v>20208.269958916258</v>
      </c>
      <c r="D10" s="813">
        <v>4381.142565417329</v>
      </c>
    </row>
    <row r="11" spans="1:4" ht="15" customHeight="1">
      <c r="A11" s="814" t="s">
        <v>148</v>
      </c>
      <c r="B11" s="808">
        <v>8362.5121834647161</v>
      </c>
      <c r="C11" s="808">
        <v>7068.8598166013926</v>
      </c>
      <c r="D11" s="808">
        <v>1293.652366863178</v>
      </c>
    </row>
    <row r="12" spans="1:4" ht="15" customHeight="1">
      <c r="A12" s="814" t="s">
        <v>149</v>
      </c>
      <c r="B12" s="808">
        <v>9511.5589395926836</v>
      </c>
      <c r="C12" s="808">
        <v>7866.3706034730221</v>
      </c>
      <c r="D12" s="808">
        <v>1645.1883361194762</v>
      </c>
    </row>
    <row r="13" spans="1:4" ht="15" customHeight="1">
      <c r="A13" s="814" t="s">
        <v>150</v>
      </c>
      <c r="B13" s="808">
        <v>2806.2614231489351</v>
      </c>
      <c r="C13" s="808">
        <v>2113.2333694721547</v>
      </c>
      <c r="D13" s="808">
        <v>693.02805367670294</v>
      </c>
    </row>
    <row r="14" spans="1:4" ht="15" customHeight="1">
      <c r="A14" s="814" t="s">
        <v>151</v>
      </c>
      <c r="B14" s="808">
        <v>3909.0799781302467</v>
      </c>
      <c r="C14" s="808">
        <v>3159.8061693724521</v>
      </c>
      <c r="D14" s="808">
        <v>749.27380875771064</v>
      </c>
    </row>
    <row r="15" spans="1:4" s="28" customFormat="1" ht="15" customHeight="1">
      <c r="A15" s="812" t="s">
        <v>152</v>
      </c>
      <c r="B15" s="813">
        <v>9451.2956305773114</v>
      </c>
      <c r="C15" s="813">
        <v>8169.6959255170623</v>
      </c>
      <c r="D15" s="813">
        <v>1281.599705060105</v>
      </c>
    </row>
    <row r="16" spans="1:4" ht="15" customHeight="1">
      <c r="A16" s="814" t="s">
        <v>153</v>
      </c>
      <c r="B16" s="808">
        <v>5968.0763694887974</v>
      </c>
      <c r="C16" s="808">
        <v>5052.0740724551397</v>
      </c>
      <c r="D16" s="808">
        <v>916.0022970335549</v>
      </c>
    </row>
    <row r="17" spans="1:4" ht="15" customHeight="1">
      <c r="A17" s="814" t="s">
        <v>154</v>
      </c>
      <c r="B17" s="808">
        <v>546.38733507264715</v>
      </c>
      <c r="C17" s="808">
        <v>522.28201146650099</v>
      </c>
      <c r="D17" s="808">
        <v>24.105323606146317</v>
      </c>
    </row>
    <row r="18" spans="1:4" ht="15" customHeight="1">
      <c r="A18" s="814" t="s">
        <v>155</v>
      </c>
      <c r="B18" s="808">
        <v>1361.9507837472588</v>
      </c>
      <c r="C18" s="808">
        <v>1261.5119353883165</v>
      </c>
      <c r="D18" s="808">
        <v>100.43884835894302</v>
      </c>
    </row>
    <row r="19" spans="1:4" ht="15" customHeight="1">
      <c r="A19" s="814" t="s">
        <v>156</v>
      </c>
      <c r="B19" s="808">
        <v>1574.8811422682165</v>
      </c>
      <c r="C19" s="808">
        <v>1333.827906206755</v>
      </c>
      <c r="D19" s="808">
        <v>241.05323606146246</v>
      </c>
    </row>
    <row r="20" spans="1:4" s="28" customFormat="1" ht="15" customHeight="1">
      <c r="A20" s="812" t="s">
        <v>157</v>
      </c>
      <c r="B20" s="813">
        <v>168090.43905971799</v>
      </c>
      <c r="C20" s="813">
        <v>126448.49253005809</v>
      </c>
      <c r="D20" s="813">
        <v>41641.946529615168</v>
      </c>
    </row>
    <row r="21" spans="1:4" ht="15" customHeight="1">
      <c r="A21" s="814" t="s">
        <v>157</v>
      </c>
      <c r="B21" s="808">
        <v>95670.011838912455</v>
      </c>
      <c r="C21" s="808">
        <v>68495.277026889336</v>
      </c>
      <c r="D21" s="808">
        <v>27174.73481198851</v>
      </c>
    </row>
    <row r="22" spans="1:4" ht="15" customHeight="1">
      <c r="A22" s="814" t="s">
        <v>158</v>
      </c>
      <c r="B22" s="808">
        <v>30806.603568644987</v>
      </c>
      <c r="C22" s="808">
        <v>24977.132809896593</v>
      </c>
      <c r="D22" s="808">
        <v>5829.4707587534413</v>
      </c>
    </row>
    <row r="23" spans="1:4" ht="15" customHeight="1">
      <c r="A23" s="814" t="s">
        <v>159</v>
      </c>
      <c r="B23" s="808">
        <v>41613.823652074636</v>
      </c>
      <c r="C23" s="808">
        <v>32976.082693196797</v>
      </c>
      <c r="D23" s="808">
        <v>8637.7409588697865</v>
      </c>
    </row>
    <row r="24" spans="1:4" s="28" customFormat="1" ht="15" customHeight="1">
      <c r="A24" s="812" t="s">
        <v>160</v>
      </c>
      <c r="B24" s="813">
        <v>166465.33849326865</v>
      </c>
      <c r="C24" s="813">
        <v>117852.93588749105</v>
      </c>
      <c r="D24" s="813">
        <v>48612.402605732867</v>
      </c>
    </row>
    <row r="25" spans="1:4" ht="15" customHeight="1">
      <c r="A25" s="814" t="s">
        <v>160</v>
      </c>
      <c r="B25" s="808">
        <v>166465.33849326865</v>
      </c>
      <c r="C25" s="808">
        <v>117852.93588749105</v>
      </c>
      <c r="D25" s="808">
        <v>48612.402605732867</v>
      </c>
    </row>
    <row r="26" spans="1:4" s="28" customFormat="1" ht="15" customHeight="1">
      <c r="A26" s="812" t="s">
        <v>161</v>
      </c>
      <c r="B26" s="813">
        <v>6502.411042758431</v>
      </c>
      <c r="C26" s="813">
        <v>5694.8827019524433</v>
      </c>
      <c r="D26" s="813">
        <v>807.52834080589719</v>
      </c>
    </row>
    <row r="27" spans="1:4" ht="15" customHeight="1">
      <c r="A27" s="814" t="s">
        <v>161</v>
      </c>
      <c r="B27" s="808">
        <v>6502.411042758431</v>
      </c>
      <c r="C27" s="808">
        <v>5694.8827019524433</v>
      </c>
      <c r="D27" s="808">
        <v>807.52834080589719</v>
      </c>
    </row>
    <row r="28" spans="1:4" s="28" customFormat="1" ht="15" customHeight="1">
      <c r="A28" s="812" t="s">
        <v>162</v>
      </c>
      <c r="B28" s="813">
        <v>11210.98425382618</v>
      </c>
      <c r="C28" s="813">
        <v>9465.3570693475649</v>
      </c>
      <c r="D28" s="813">
        <v>1745.6271844784185</v>
      </c>
    </row>
    <row r="29" spans="1:4" ht="15" customHeight="1">
      <c r="A29" s="814" t="s">
        <v>162</v>
      </c>
      <c r="B29" s="808">
        <v>11210.98425382618</v>
      </c>
      <c r="C29" s="808">
        <v>9465.3570693475649</v>
      </c>
      <c r="D29" s="808">
        <v>1745.6271844784185</v>
      </c>
    </row>
    <row r="30" spans="1:4" s="28" customFormat="1" ht="15" customHeight="1">
      <c r="A30" s="812" t="s">
        <v>163</v>
      </c>
      <c r="B30" s="813">
        <v>36362.880659863782</v>
      </c>
      <c r="C30" s="813">
        <v>28797.826601467732</v>
      </c>
      <c r="D30" s="813">
        <v>7565.0540583961611</v>
      </c>
    </row>
    <row r="31" spans="1:4" ht="15" customHeight="1">
      <c r="A31" s="814" t="s">
        <v>163</v>
      </c>
      <c r="B31" s="808">
        <v>36362.880659863782</v>
      </c>
      <c r="C31" s="808">
        <v>28797.826601467732</v>
      </c>
      <c r="D31" s="808">
        <v>7565.0540583961611</v>
      </c>
    </row>
    <row r="32" spans="1:4" ht="17.25" customHeight="1">
      <c r="A32" s="815"/>
      <c r="B32" s="816"/>
      <c r="C32" s="816"/>
      <c r="D32" s="816"/>
    </row>
  </sheetData>
  <mergeCells count="4">
    <mergeCell ref="A1:D1"/>
    <mergeCell ref="B2:B3"/>
    <mergeCell ref="C2:D2"/>
    <mergeCell ref="A2:A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ED1A-F08E-4A91-8F1C-6A87BDAF0601}">
  <dimension ref="A1:N31"/>
  <sheetViews>
    <sheetView zoomScale="98" zoomScaleNormal="98" workbookViewId="0">
      <selection activeCell="A9" sqref="A9"/>
    </sheetView>
  </sheetViews>
  <sheetFormatPr defaultRowHeight="14.25" customHeight="1"/>
  <cols>
    <col min="1" max="1" width="18.85546875" style="300" customWidth="1"/>
    <col min="2" max="2" width="16" style="330" customWidth="1"/>
    <col min="3" max="3" width="17.7109375" style="330" customWidth="1"/>
    <col min="4" max="4" width="18.140625" style="330" customWidth="1"/>
    <col min="5" max="5" width="16.140625" style="330" customWidth="1"/>
    <col min="6" max="7" width="9.140625" style="300"/>
    <col min="8" max="8" width="12.7109375" style="300" customWidth="1"/>
    <col min="9" max="9" width="15.85546875" style="300" customWidth="1"/>
    <col min="10" max="10" width="9.140625" style="300"/>
    <col min="11" max="11" width="14.42578125" style="300" customWidth="1"/>
    <col min="12" max="12" width="15.85546875" style="300" customWidth="1"/>
    <col min="13" max="13" width="13" style="300" customWidth="1"/>
    <col min="14" max="14" width="12.5703125" style="300" customWidth="1"/>
    <col min="15" max="16384" width="9.140625" style="300"/>
  </cols>
  <sheetData>
    <row r="1" spans="1:14" ht="21.75" customHeight="1" thickBot="1">
      <c r="A1" s="1139" t="s">
        <v>345</v>
      </c>
      <c r="B1" s="1139"/>
      <c r="C1" s="1139"/>
      <c r="D1" s="1139"/>
      <c r="E1" s="1139"/>
      <c r="F1" s="1139"/>
      <c r="G1" s="1139"/>
      <c r="H1" s="1139"/>
      <c r="I1" s="1139"/>
      <c r="J1" s="1139"/>
      <c r="K1" s="1139"/>
      <c r="L1" s="1139"/>
      <c r="M1" s="1139"/>
      <c r="N1" s="1139"/>
    </row>
    <row r="2" spans="1:14" ht="15.75" customHeight="1">
      <c r="A2" s="1142" t="s">
        <v>495</v>
      </c>
      <c r="B2" s="1140" t="s">
        <v>289</v>
      </c>
      <c r="C2" s="1141" t="s">
        <v>346</v>
      </c>
      <c r="D2" s="1141"/>
      <c r="E2" s="1141"/>
      <c r="F2" s="1141"/>
      <c r="G2" s="1141"/>
      <c r="H2" s="1141"/>
      <c r="I2" s="1141"/>
      <c r="J2" s="1141"/>
      <c r="K2" s="1141"/>
      <c r="L2" s="1141"/>
      <c r="M2" s="1141"/>
      <c r="N2" s="1141"/>
    </row>
    <row r="3" spans="1:14" s="302" customFormat="1" ht="41.25" customHeight="1">
      <c r="A3" s="1143"/>
      <c r="B3" s="1140"/>
      <c r="C3" s="820" t="s">
        <v>347</v>
      </c>
      <c r="D3" s="820" t="s">
        <v>348</v>
      </c>
      <c r="E3" s="820" t="s">
        <v>349</v>
      </c>
      <c r="F3" s="316" t="s">
        <v>350</v>
      </c>
      <c r="G3" s="316" t="s">
        <v>351</v>
      </c>
      <c r="H3" s="316" t="s">
        <v>352</v>
      </c>
      <c r="I3" s="316" t="s">
        <v>353</v>
      </c>
      <c r="J3" s="316" t="s">
        <v>354</v>
      </c>
      <c r="K3" s="316" t="s">
        <v>355</v>
      </c>
      <c r="L3" s="316" t="s">
        <v>356</v>
      </c>
      <c r="M3" s="316" t="s">
        <v>357</v>
      </c>
      <c r="N3" s="316" t="s">
        <v>358</v>
      </c>
    </row>
    <row r="4" spans="1:14" s="304" customFormat="1" ht="14.25" customHeight="1">
      <c r="A4" s="219" t="s">
        <v>146</v>
      </c>
      <c r="B4" s="817">
        <v>422672.78799538844</v>
      </c>
      <c r="C4" s="817">
        <v>128509.49769838569</v>
      </c>
      <c r="D4" s="817">
        <v>55385.998539066837</v>
      </c>
      <c r="E4" s="817">
        <v>149418.85714977159</v>
      </c>
      <c r="F4" s="220">
        <v>42863.282925661151</v>
      </c>
      <c r="G4" s="220">
        <v>1590.9513580056473</v>
      </c>
      <c r="H4" s="220">
        <v>4827.0910521310834</v>
      </c>
      <c r="I4" s="220">
        <v>4855.2139296715904</v>
      </c>
      <c r="J4" s="220">
        <v>895.91452736176643</v>
      </c>
      <c r="K4" s="220">
        <v>1440.2930854672338</v>
      </c>
      <c r="L4" s="220">
        <v>1136.967763423228</v>
      </c>
      <c r="M4" s="220">
        <v>16413.716598819956</v>
      </c>
      <c r="N4" s="220">
        <v>15335.003367444819</v>
      </c>
    </row>
    <row r="5" spans="1:14" ht="14.25" customHeight="1">
      <c r="A5" s="221"/>
      <c r="B5" s="818"/>
      <c r="C5" s="818"/>
      <c r="D5" s="818"/>
      <c r="E5" s="818"/>
      <c r="F5" s="222"/>
      <c r="G5" s="222"/>
      <c r="H5" s="222"/>
      <c r="I5" s="222"/>
      <c r="J5" s="222"/>
      <c r="K5" s="222"/>
      <c r="L5" s="222"/>
      <c r="M5" s="222"/>
      <c r="N5" s="222"/>
    </row>
    <row r="6" spans="1:14" s="304" customFormat="1" ht="14.25" customHeight="1">
      <c r="A6" s="219" t="s">
        <v>3</v>
      </c>
      <c r="B6" s="770"/>
      <c r="C6" s="817"/>
      <c r="D6" s="817"/>
      <c r="E6" s="817"/>
      <c r="F6" s="220"/>
      <c r="G6" s="220"/>
      <c r="H6" s="220"/>
      <c r="I6" s="220"/>
      <c r="J6" s="220"/>
      <c r="K6" s="220"/>
      <c r="L6" s="220"/>
      <c r="M6" s="220"/>
      <c r="N6" s="220"/>
    </row>
    <row r="7" spans="1:14" ht="14.25" customHeight="1">
      <c r="A7" s="223" t="s">
        <v>4</v>
      </c>
      <c r="B7" s="818">
        <v>371463.03677104594</v>
      </c>
      <c r="C7" s="818">
        <v>122418.88593389322</v>
      </c>
      <c r="D7" s="818">
        <v>50731.662306108708</v>
      </c>
      <c r="E7" s="818">
        <v>138011.0127531513</v>
      </c>
      <c r="F7" s="222">
        <v>35957.107712493242</v>
      </c>
      <c r="G7" s="222">
        <v>1392.0824382549415</v>
      </c>
      <c r="H7" s="222">
        <v>3694.1408426420858</v>
      </c>
      <c r="I7" s="222">
        <v>863.77409588690489</v>
      </c>
      <c r="J7" s="222">
        <v>500.18546482753368</v>
      </c>
      <c r="K7" s="222">
        <v>791.45812506846642</v>
      </c>
      <c r="L7" s="222">
        <v>423.85194007473751</v>
      </c>
      <c r="M7" s="222">
        <v>3119.6306300288707</v>
      </c>
      <c r="N7" s="222">
        <v>13559.244528458517</v>
      </c>
    </row>
    <row r="8" spans="1:14" ht="14.25" customHeight="1">
      <c r="A8" s="223" t="s">
        <v>5</v>
      </c>
      <c r="B8" s="818">
        <v>51209.751224297761</v>
      </c>
      <c r="C8" s="818">
        <v>6090.6117644867209</v>
      </c>
      <c r="D8" s="818">
        <v>4654.3362329536831</v>
      </c>
      <c r="E8" s="818">
        <v>11407.844396609729</v>
      </c>
      <c r="F8" s="222">
        <v>6906.1752131614248</v>
      </c>
      <c r="G8" s="222">
        <v>198.86891975070668</v>
      </c>
      <c r="H8" s="222">
        <v>1132.9502094888703</v>
      </c>
      <c r="I8" s="222">
        <v>3991.4398337845887</v>
      </c>
      <c r="J8" s="222">
        <v>395.72906253423366</v>
      </c>
      <c r="K8" s="222">
        <v>648.83496039876832</v>
      </c>
      <c r="L8" s="222">
        <v>713.1158233484914</v>
      </c>
      <c r="M8" s="222">
        <v>13294.08596879088</v>
      </c>
      <c r="N8" s="222">
        <v>1775.7588389861012</v>
      </c>
    </row>
    <row r="9" spans="1:14" s="304" customFormat="1" ht="14.25" customHeight="1">
      <c r="A9" s="224" t="s">
        <v>143</v>
      </c>
      <c r="B9" s="817"/>
      <c r="C9" s="817"/>
      <c r="D9" s="817"/>
      <c r="E9" s="817"/>
      <c r="F9" s="220"/>
      <c r="G9" s="220"/>
      <c r="H9" s="220"/>
      <c r="I9" s="220"/>
      <c r="J9" s="220"/>
      <c r="K9" s="220"/>
      <c r="L9" s="220"/>
      <c r="M9" s="220"/>
      <c r="N9" s="220"/>
    </row>
    <row r="10" spans="1:14" s="304" customFormat="1" ht="14.25" customHeight="1">
      <c r="A10" s="225" t="s">
        <v>148</v>
      </c>
      <c r="B10" s="819">
        <v>24589.412524329851</v>
      </c>
      <c r="C10" s="819">
        <v>3589.6844403487739</v>
      </c>
      <c r="D10" s="819">
        <v>3055.3497670791403</v>
      </c>
      <c r="E10" s="819">
        <v>5688.847594083727</v>
      </c>
      <c r="F10" s="226">
        <v>3752.3953746902789</v>
      </c>
      <c r="G10" s="226">
        <v>78.342301719975552</v>
      </c>
      <c r="H10" s="226">
        <v>978.27438301609914</v>
      </c>
      <c r="I10" s="226">
        <v>1974.627758736807</v>
      </c>
      <c r="J10" s="226">
        <v>339.48330745322596</v>
      </c>
      <c r="K10" s="226">
        <v>255.11467483171438</v>
      </c>
      <c r="L10" s="226">
        <v>325.42186868297404</v>
      </c>
      <c r="M10" s="226">
        <v>3342.5960964185688</v>
      </c>
      <c r="N10" s="226">
        <v>1207.2749572744876</v>
      </c>
    </row>
    <row r="11" spans="1:14" ht="14.25" customHeight="1">
      <c r="A11" s="315" t="s">
        <v>148</v>
      </c>
      <c r="B11" s="818">
        <v>8362.5121834647161</v>
      </c>
      <c r="C11" s="818">
        <v>1689.3814293974108</v>
      </c>
      <c r="D11" s="818">
        <v>1564.8372574323223</v>
      </c>
      <c r="E11" s="818">
        <v>944.1163976068799</v>
      </c>
      <c r="F11" s="222">
        <v>3465.1402683836714</v>
      </c>
      <c r="G11" s="222">
        <v>8.0351078687154374</v>
      </c>
      <c r="H11" s="222">
        <v>233.01812819274707</v>
      </c>
      <c r="I11" s="222">
        <v>28.122877540504039</v>
      </c>
      <c r="J11" s="222">
        <v>0</v>
      </c>
      <c r="K11" s="222">
        <v>2.0087769671788593</v>
      </c>
      <c r="L11" s="222">
        <v>52.228201146650363</v>
      </c>
      <c r="M11" s="222">
        <v>22.087769671788596</v>
      </c>
      <c r="N11" s="222">
        <v>351.53596925629904</v>
      </c>
    </row>
    <row r="12" spans="1:14" ht="14.25" customHeight="1">
      <c r="A12" s="315" t="s">
        <v>149</v>
      </c>
      <c r="B12" s="818">
        <v>9511.5589395926836</v>
      </c>
      <c r="C12" s="818">
        <v>727.17726211874333</v>
      </c>
      <c r="D12" s="818">
        <v>650.84373736594716</v>
      </c>
      <c r="E12" s="818">
        <v>3662.0004111672206</v>
      </c>
      <c r="F12" s="222">
        <v>50.219424179471503</v>
      </c>
      <c r="G12" s="222">
        <v>18.078992704609735</v>
      </c>
      <c r="H12" s="222">
        <v>508.22057269624906</v>
      </c>
      <c r="I12" s="222">
        <v>1548.7670416948915</v>
      </c>
      <c r="J12" s="222">
        <v>287.25510630657595</v>
      </c>
      <c r="K12" s="222">
        <v>172.75481917738168</v>
      </c>
      <c r="L12" s="222">
        <v>198.86891975070668</v>
      </c>
      <c r="M12" s="222">
        <v>1048.5815768673588</v>
      </c>
      <c r="N12" s="222">
        <v>638.79107556287408</v>
      </c>
    </row>
    <row r="13" spans="1:14" ht="14.25" customHeight="1">
      <c r="A13" s="315" t="s">
        <v>150</v>
      </c>
      <c r="B13" s="818">
        <v>2806.2614231489351</v>
      </c>
      <c r="C13" s="818">
        <v>281.22877540503941</v>
      </c>
      <c r="D13" s="818">
        <v>214.93913548813745</v>
      </c>
      <c r="E13" s="818">
        <v>743.2474778561741</v>
      </c>
      <c r="F13" s="222">
        <v>40.175539343577199</v>
      </c>
      <c r="G13" s="222">
        <v>0</v>
      </c>
      <c r="H13" s="222">
        <v>210.92158155377976</v>
      </c>
      <c r="I13" s="222">
        <v>124.54417196508935</v>
      </c>
      <c r="J13" s="222">
        <v>12.052661803073155</v>
      </c>
      <c r="K13" s="222">
        <v>28.122877540504039</v>
      </c>
      <c r="L13" s="222">
        <v>74.324747785617831</v>
      </c>
      <c r="M13" s="222">
        <v>1056.6166847360741</v>
      </c>
      <c r="N13" s="222">
        <v>20.087769671788596</v>
      </c>
    </row>
    <row r="14" spans="1:14" ht="14.25" customHeight="1">
      <c r="A14" s="315" t="s">
        <v>151</v>
      </c>
      <c r="B14" s="818">
        <v>3909.0799781302467</v>
      </c>
      <c r="C14" s="818">
        <v>891.89697342740874</v>
      </c>
      <c r="D14" s="818">
        <v>624.72963679262216</v>
      </c>
      <c r="E14" s="818">
        <v>339.48330745322596</v>
      </c>
      <c r="F14" s="222">
        <v>196.86014278352783</v>
      </c>
      <c r="G14" s="222">
        <v>52.228201146650363</v>
      </c>
      <c r="H14" s="222">
        <v>26.114100573325178</v>
      </c>
      <c r="I14" s="222">
        <v>273.19366753632403</v>
      </c>
      <c r="J14" s="222">
        <v>40.175539343577199</v>
      </c>
      <c r="K14" s="222">
        <v>52.228201146650363</v>
      </c>
      <c r="L14" s="222">
        <v>0</v>
      </c>
      <c r="M14" s="222">
        <v>1215.310065143203</v>
      </c>
      <c r="N14" s="222">
        <v>196.86014278352783</v>
      </c>
    </row>
    <row r="15" spans="1:14" s="304" customFormat="1" ht="14.25" customHeight="1">
      <c r="A15" s="225" t="s">
        <v>152</v>
      </c>
      <c r="B15" s="819">
        <v>9451.2956305773114</v>
      </c>
      <c r="C15" s="819">
        <v>1440.2930854672338</v>
      </c>
      <c r="D15" s="819">
        <v>881.85308859151451</v>
      </c>
      <c r="E15" s="819">
        <v>389.70273163269712</v>
      </c>
      <c r="F15" s="226">
        <v>198.86891975070668</v>
      </c>
      <c r="G15" s="226">
        <v>8.0351078687154374</v>
      </c>
      <c r="H15" s="226">
        <v>84.368632621512134</v>
      </c>
      <c r="I15" s="226">
        <v>859.7565419525472</v>
      </c>
      <c r="J15" s="226">
        <v>30.131654507682899</v>
      </c>
      <c r="K15" s="226">
        <v>289.2638832737548</v>
      </c>
      <c r="L15" s="226">
        <v>277.21122147068172</v>
      </c>
      <c r="M15" s="226">
        <v>4507.6955143496107</v>
      </c>
      <c r="N15" s="226">
        <v>484.11524909010291</v>
      </c>
    </row>
    <row r="16" spans="1:14" ht="14.25" customHeight="1">
      <c r="A16" s="315" t="s">
        <v>153</v>
      </c>
      <c r="B16" s="818">
        <v>5968.0763694887974</v>
      </c>
      <c r="C16" s="818">
        <v>1311.7313595677876</v>
      </c>
      <c r="D16" s="818">
        <v>731.19481605310102</v>
      </c>
      <c r="E16" s="818">
        <v>265.15855966760864</v>
      </c>
      <c r="F16" s="222">
        <v>198.86891975070668</v>
      </c>
      <c r="G16" s="222">
        <v>8.0351078687154374</v>
      </c>
      <c r="H16" s="222">
        <v>54.236978113829224</v>
      </c>
      <c r="I16" s="222">
        <v>315.3779838470798</v>
      </c>
      <c r="J16" s="222">
        <v>16.070215737430875</v>
      </c>
      <c r="K16" s="222">
        <v>144.63194163687783</v>
      </c>
      <c r="L16" s="222">
        <v>255.11467483171438</v>
      </c>
      <c r="M16" s="222">
        <v>2197.6020020936758</v>
      </c>
      <c r="N16" s="222">
        <v>470.05381031985098</v>
      </c>
    </row>
    <row r="17" spans="1:14" ht="14.25" customHeight="1">
      <c r="A17" s="315" t="s">
        <v>154</v>
      </c>
      <c r="B17" s="818">
        <v>546.38733507264715</v>
      </c>
      <c r="C17" s="818">
        <v>18.078992704609735</v>
      </c>
      <c r="D17" s="818">
        <v>32.140431474861757</v>
      </c>
      <c r="E17" s="818">
        <v>0</v>
      </c>
      <c r="F17" s="222">
        <v>0</v>
      </c>
      <c r="G17" s="222">
        <v>0</v>
      </c>
      <c r="H17" s="222">
        <v>20.087769671788596</v>
      </c>
      <c r="I17" s="222">
        <v>253.10589786453554</v>
      </c>
      <c r="J17" s="222">
        <v>6.0263309015365785</v>
      </c>
      <c r="K17" s="222">
        <v>12.052661803073155</v>
      </c>
      <c r="L17" s="222">
        <v>0</v>
      </c>
      <c r="M17" s="222">
        <v>202.88647368506437</v>
      </c>
      <c r="N17" s="222">
        <v>2.0087769671788593</v>
      </c>
    </row>
    <row r="18" spans="1:14" ht="14.25" customHeight="1">
      <c r="A18" s="315" t="s">
        <v>155</v>
      </c>
      <c r="B18" s="818">
        <v>1361.9507837472588</v>
      </c>
      <c r="C18" s="818">
        <v>30.131654507682899</v>
      </c>
      <c r="D18" s="818">
        <v>46.201870245113781</v>
      </c>
      <c r="E18" s="818">
        <v>0</v>
      </c>
      <c r="F18" s="222">
        <v>0</v>
      </c>
      <c r="G18" s="222">
        <v>0</v>
      </c>
      <c r="H18" s="222">
        <v>2.0087769671788593</v>
      </c>
      <c r="I18" s="222">
        <v>76.333524752796691</v>
      </c>
      <c r="J18" s="222">
        <v>8.0351078687154374</v>
      </c>
      <c r="K18" s="222">
        <v>130.5705028666259</v>
      </c>
      <c r="L18" s="222">
        <v>16.070215737430875</v>
      </c>
      <c r="M18" s="222">
        <v>1050.5903538345376</v>
      </c>
      <c r="N18" s="222">
        <v>2.0087769671788593</v>
      </c>
    </row>
    <row r="19" spans="1:14" ht="14.25" customHeight="1">
      <c r="A19" s="315" t="s">
        <v>156</v>
      </c>
      <c r="B19" s="818">
        <v>1574.8811422682165</v>
      </c>
      <c r="C19" s="818">
        <v>80.351078687154413</v>
      </c>
      <c r="D19" s="818">
        <v>72.31597081843897</v>
      </c>
      <c r="E19" s="818">
        <v>124.54417196508935</v>
      </c>
      <c r="F19" s="222">
        <v>0</v>
      </c>
      <c r="G19" s="222">
        <v>0</v>
      </c>
      <c r="H19" s="222">
        <v>8.0351078687154374</v>
      </c>
      <c r="I19" s="222">
        <v>214.93913548813745</v>
      </c>
      <c r="J19" s="222">
        <v>0</v>
      </c>
      <c r="K19" s="222">
        <v>2.0087769671788593</v>
      </c>
      <c r="L19" s="222">
        <v>6.0263309015365785</v>
      </c>
      <c r="M19" s="222">
        <v>1056.6166847360741</v>
      </c>
      <c r="N19" s="222">
        <v>10.043884835894296</v>
      </c>
    </row>
    <row r="20" spans="1:14" s="304" customFormat="1" ht="14.25" customHeight="1">
      <c r="A20" s="225" t="s">
        <v>157</v>
      </c>
      <c r="B20" s="819">
        <v>168090.43905971799</v>
      </c>
      <c r="C20" s="819">
        <v>49753.387923091614</v>
      </c>
      <c r="D20" s="819">
        <v>23546.883609266388</v>
      </c>
      <c r="E20" s="819">
        <v>52778.606035666038</v>
      </c>
      <c r="F20" s="226">
        <v>25850.950790618699</v>
      </c>
      <c r="G20" s="226">
        <v>1223.3451730119184</v>
      </c>
      <c r="H20" s="226">
        <v>2750.0156680679211</v>
      </c>
      <c r="I20" s="226">
        <v>648.83496039876832</v>
      </c>
      <c r="J20" s="226">
        <v>269.17611360196634</v>
      </c>
      <c r="K20" s="226">
        <v>616.69452892390677</v>
      </c>
      <c r="L20" s="226">
        <v>247.079566962999</v>
      </c>
      <c r="M20" s="226">
        <v>2304.0671813541667</v>
      </c>
      <c r="N20" s="226">
        <v>8103.4062856001528</v>
      </c>
    </row>
    <row r="21" spans="1:14" ht="14.25" customHeight="1">
      <c r="A21" s="315" t="s">
        <v>157</v>
      </c>
      <c r="B21" s="818">
        <v>95670.011838912455</v>
      </c>
      <c r="C21" s="818">
        <v>30061.347313822225</v>
      </c>
      <c r="D21" s="818">
        <v>11815.626120947081</v>
      </c>
      <c r="E21" s="818">
        <v>39635.178339401456</v>
      </c>
      <c r="F21" s="222">
        <v>5415.662703514552</v>
      </c>
      <c r="G21" s="222">
        <v>1092.7746701452934</v>
      </c>
      <c r="H21" s="222">
        <v>1382.0385534190473</v>
      </c>
      <c r="I21" s="222">
        <v>494.15913392599714</v>
      </c>
      <c r="J21" s="222">
        <v>88.386186555869855</v>
      </c>
      <c r="K21" s="222">
        <v>544.3785581054683</v>
      </c>
      <c r="L21" s="222">
        <v>150.65827253841437</v>
      </c>
      <c r="M21" s="222">
        <v>162.71093434148744</v>
      </c>
      <c r="N21" s="222">
        <v>4827.0910521310834</v>
      </c>
    </row>
    <row r="22" spans="1:14" ht="14.25" customHeight="1">
      <c r="A22" s="315" t="s">
        <v>158</v>
      </c>
      <c r="B22" s="818">
        <v>30806.603568644987</v>
      </c>
      <c r="C22" s="818">
        <v>4881.3280302449184</v>
      </c>
      <c r="D22" s="818">
        <v>3410.9032902698364</v>
      </c>
      <c r="E22" s="818">
        <v>7968.8182287991549</v>
      </c>
      <c r="F22" s="222">
        <v>9284.5671423014483</v>
      </c>
      <c r="G22" s="222">
        <v>54.236978113829224</v>
      </c>
      <c r="H22" s="222">
        <v>988.31826785199337</v>
      </c>
      <c r="I22" s="222">
        <v>110.48273319483732</v>
      </c>
      <c r="J22" s="222">
        <v>38.166762376398339</v>
      </c>
      <c r="K22" s="222">
        <v>52.228201146650363</v>
      </c>
      <c r="L22" s="222">
        <v>52.228201146650363</v>
      </c>
      <c r="M22" s="222">
        <v>2095.154376767543</v>
      </c>
      <c r="N22" s="222">
        <v>1870.171356443507</v>
      </c>
    </row>
    <row r="23" spans="1:14" ht="14.25" customHeight="1">
      <c r="A23" s="315" t="s">
        <v>159</v>
      </c>
      <c r="B23" s="818">
        <v>41613.823652074636</v>
      </c>
      <c r="C23" s="818">
        <v>14810.71257901108</v>
      </c>
      <c r="D23" s="818">
        <v>8320.3541980554928</v>
      </c>
      <c r="E23" s="818">
        <v>5174.6094674530632</v>
      </c>
      <c r="F23" s="222">
        <v>11150.720944810808</v>
      </c>
      <c r="G23" s="222">
        <v>76.333524752796691</v>
      </c>
      <c r="H23" s="222">
        <v>379.65884679680289</v>
      </c>
      <c r="I23" s="222">
        <v>44.193093277934921</v>
      </c>
      <c r="J23" s="222">
        <v>142.62316466969898</v>
      </c>
      <c r="K23" s="222">
        <v>20.087769671788596</v>
      </c>
      <c r="L23" s="222">
        <v>44.193093277934921</v>
      </c>
      <c r="M23" s="222">
        <v>46.201870245113781</v>
      </c>
      <c r="N23" s="222">
        <v>1404.1351000580146</v>
      </c>
    </row>
    <row r="24" spans="1:14" s="304" customFormat="1" ht="14.25" customHeight="1">
      <c r="A24" s="225" t="s">
        <v>160</v>
      </c>
      <c r="B24" s="819">
        <v>166465.33849326865</v>
      </c>
      <c r="C24" s="819">
        <v>63503.466263444825</v>
      </c>
      <c r="D24" s="819">
        <v>22347.643759861567</v>
      </c>
      <c r="E24" s="819">
        <v>72430.471105596705</v>
      </c>
      <c r="F24" s="226">
        <v>2436.6464611879856</v>
      </c>
      <c r="G24" s="226">
        <v>114.50028712919504</v>
      </c>
      <c r="H24" s="226">
        <v>455.99237154959906</v>
      </c>
      <c r="I24" s="226">
        <v>112.49151016201618</v>
      </c>
      <c r="J24" s="226">
        <v>136.59683376816244</v>
      </c>
      <c r="K24" s="226">
        <v>38.166762376398339</v>
      </c>
      <c r="L24" s="226">
        <v>58.254532048186945</v>
      </c>
      <c r="M24" s="226">
        <v>909.97596613201836</v>
      </c>
      <c r="N24" s="226">
        <v>3921.1326399333211</v>
      </c>
    </row>
    <row r="25" spans="1:14" ht="14.25" customHeight="1">
      <c r="A25" s="315" t="s">
        <v>160</v>
      </c>
      <c r="B25" s="818">
        <v>166465.33849326865</v>
      </c>
      <c r="C25" s="818">
        <v>63503.466263444825</v>
      </c>
      <c r="D25" s="818">
        <v>22347.643759861567</v>
      </c>
      <c r="E25" s="818">
        <v>72430.471105596705</v>
      </c>
      <c r="F25" s="222">
        <v>2436.6464611879856</v>
      </c>
      <c r="G25" s="222">
        <v>114.50028712919504</v>
      </c>
      <c r="H25" s="222">
        <v>455.99237154959906</v>
      </c>
      <c r="I25" s="222">
        <v>112.49151016201618</v>
      </c>
      <c r="J25" s="222">
        <v>136.59683376816244</v>
      </c>
      <c r="K25" s="222">
        <v>38.166762376398339</v>
      </c>
      <c r="L25" s="222">
        <v>58.254532048186945</v>
      </c>
      <c r="M25" s="222">
        <v>909.97596613201836</v>
      </c>
      <c r="N25" s="222">
        <v>3921.1326399333211</v>
      </c>
    </row>
    <row r="26" spans="1:14" s="304" customFormat="1" ht="14.25" customHeight="1">
      <c r="A26" s="225" t="s">
        <v>161</v>
      </c>
      <c r="B26" s="819">
        <v>6502.411042758431</v>
      </c>
      <c r="C26" s="819">
        <v>453.98359458242021</v>
      </c>
      <c r="D26" s="819">
        <v>435.90460187781059</v>
      </c>
      <c r="E26" s="819">
        <v>4349.0021339424638</v>
      </c>
      <c r="F26" s="226">
        <v>10.043884835894296</v>
      </c>
      <c r="G26" s="226">
        <v>20.087769671788596</v>
      </c>
      <c r="H26" s="226">
        <v>70.307193851260109</v>
      </c>
      <c r="I26" s="226">
        <v>526.29956540085868</v>
      </c>
      <c r="J26" s="226">
        <v>14.061438770252014</v>
      </c>
      <c r="K26" s="226">
        <v>84.368632621512134</v>
      </c>
      <c r="L26" s="226">
        <v>98.430071391764159</v>
      </c>
      <c r="M26" s="226">
        <v>283.23755237221826</v>
      </c>
      <c r="N26" s="226">
        <v>156.68460343995091</v>
      </c>
    </row>
    <row r="27" spans="1:14" ht="14.25" customHeight="1">
      <c r="A27" s="315" t="s">
        <v>161</v>
      </c>
      <c r="B27" s="818">
        <v>6502.411042758431</v>
      </c>
      <c r="C27" s="818">
        <v>453.98359458242021</v>
      </c>
      <c r="D27" s="818">
        <v>435.90460187781059</v>
      </c>
      <c r="E27" s="818">
        <v>4349.0021339424638</v>
      </c>
      <c r="F27" s="222">
        <v>10.043884835894296</v>
      </c>
      <c r="G27" s="222">
        <v>20.087769671788596</v>
      </c>
      <c r="H27" s="222">
        <v>70.307193851260109</v>
      </c>
      <c r="I27" s="222">
        <v>526.29956540085868</v>
      </c>
      <c r="J27" s="222">
        <v>14.061438770252014</v>
      </c>
      <c r="K27" s="222">
        <v>84.368632621512134</v>
      </c>
      <c r="L27" s="222">
        <v>98.430071391764159</v>
      </c>
      <c r="M27" s="222">
        <v>283.23755237221826</v>
      </c>
      <c r="N27" s="222">
        <v>156.68460343995091</v>
      </c>
    </row>
    <row r="28" spans="1:14" s="304" customFormat="1" ht="14.25" customHeight="1">
      <c r="A28" s="225" t="s">
        <v>162</v>
      </c>
      <c r="B28" s="819">
        <v>11210.98425382618</v>
      </c>
      <c r="C28" s="819">
        <v>2412.5411375818367</v>
      </c>
      <c r="D28" s="819">
        <v>1420.2053157954454</v>
      </c>
      <c r="E28" s="819">
        <v>2145.3738009470198</v>
      </c>
      <c r="F28" s="226">
        <v>3796.5884679682185</v>
      </c>
      <c r="G28" s="226">
        <v>20.087769671788596</v>
      </c>
      <c r="H28" s="226">
        <v>18.078992704609735</v>
      </c>
      <c r="I28" s="226">
        <v>4.0175539343577187</v>
      </c>
      <c r="J28" s="226">
        <v>0</v>
      </c>
      <c r="K28" s="226">
        <v>8.0351078687154374</v>
      </c>
      <c r="L28" s="226">
        <v>16.070215737430875</v>
      </c>
      <c r="M28" s="226">
        <v>737.22114695463756</v>
      </c>
      <c r="N28" s="226">
        <v>632.76474466133755</v>
      </c>
    </row>
    <row r="29" spans="1:14" ht="14.25" customHeight="1">
      <c r="A29" s="315" t="s">
        <v>162</v>
      </c>
      <c r="B29" s="818">
        <v>11210.98425382618</v>
      </c>
      <c r="C29" s="818">
        <v>2412.5411375818367</v>
      </c>
      <c r="D29" s="818">
        <v>1420.2053157954454</v>
      </c>
      <c r="E29" s="818">
        <v>2145.3738009470198</v>
      </c>
      <c r="F29" s="222">
        <v>3796.5884679682185</v>
      </c>
      <c r="G29" s="222">
        <v>20.087769671788596</v>
      </c>
      <c r="H29" s="222">
        <v>18.078992704609735</v>
      </c>
      <c r="I29" s="222">
        <v>4.0175539343577187</v>
      </c>
      <c r="J29" s="222">
        <v>0</v>
      </c>
      <c r="K29" s="222">
        <v>8.0351078687154374</v>
      </c>
      <c r="L29" s="222">
        <v>16.070215737430875</v>
      </c>
      <c r="M29" s="222">
        <v>737.22114695463756</v>
      </c>
      <c r="N29" s="222">
        <v>632.76474466133755</v>
      </c>
    </row>
    <row r="30" spans="1:14" s="304" customFormat="1" ht="14.25" customHeight="1">
      <c r="A30" s="225" t="s">
        <v>163</v>
      </c>
      <c r="B30" s="819">
        <v>36362.880659863782</v>
      </c>
      <c r="C30" s="819">
        <v>7356.1412538095374</v>
      </c>
      <c r="D30" s="819">
        <v>3698.1583965764439</v>
      </c>
      <c r="E30" s="819">
        <v>11636.844970868144</v>
      </c>
      <c r="F30" s="226">
        <v>6817.7890266055456</v>
      </c>
      <c r="G30" s="226">
        <v>126.55294893226821</v>
      </c>
      <c r="H30" s="226">
        <v>470.05381031985098</v>
      </c>
      <c r="I30" s="226">
        <v>729.18603908592218</v>
      </c>
      <c r="J30" s="226">
        <v>106.4651792604796</v>
      </c>
      <c r="K30" s="226">
        <v>148.64949557123552</v>
      </c>
      <c r="L30" s="226">
        <v>114.50028712919504</v>
      </c>
      <c r="M30" s="226">
        <v>4328.9143642706731</v>
      </c>
      <c r="N30" s="226">
        <v>829.6248874448645</v>
      </c>
    </row>
    <row r="31" spans="1:14" ht="14.25" customHeight="1">
      <c r="A31" s="315" t="s">
        <v>163</v>
      </c>
      <c r="B31" s="818">
        <v>36362.880659863782</v>
      </c>
      <c r="C31" s="818">
        <v>7356.1412538095374</v>
      </c>
      <c r="D31" s="818">
        <v>3698.1583965764439</v>
      </c>
      <c r="E31" s="818">
        <v>11636.844970868144</v>
      </c>
      <c r="F31" s="222">
        <v>6817.7890266055456</v>
      </c>
      <c r="G31" s="222">
        <v>126.55294893226821</v>
      </c>
      <c r="H31" s="222">
        <v>470.05381031985098</v>
      </c>
      <c r="I31" s="222">
        <v>729.18603908592218</v>
      </c>
      <c r="J31" s="222">
        <v>106.4651792604796</v>
      </c>
      <c r="K31" s="222">
        <v>148.64949557123552</v>
      </c>
      <c r="L31" s="222">
        <v>114.50028712919504</v>
      </c>
      <c r="M31" s="222">
        <v>4328.9143642706731</v>
      </c>
      <c r="N31" s="222">
        <v>829.6248874448645</v>
      </c>
    </row>
  </sheetData>
  <mergeCells count="4">
    <mergeCell ref="A1:N1"/>
    <mergeCell ref="B2:B3"/>
    <mergeCell ref="C2:N2"/>
    <mergeCell ref="A2:A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E8F9-52FD-4499-8E8D-64E0BC1954AC}">
  <dimension ref="A1:F31"/>
  <sheetViews>
    <sheetView zoomScale="106" zoomScaleNormal="106" workbookViewId="0">
      <selection activeCell="I8" sqref="I8"/>
    </sheetView>
  </sheetViews>
  <sheetFormatPr defaultRowHeight="15"/>
  <cols>
    <col min="1" max="1" width="21.28515625" style="318" customWidth="1"/>
    <col min="2" max="2" width="12.85546875" style="339" customWidth="1"/>
    <col min="3" max="3" width="9.140625" style="318"/>
    <col min="4" max="4" width="13.5703125" style="318" customWidth="1"/>
    <col min="5" max="5" width="13" style="339" customWidth="1"/>
    <col min="6" max="16384" width="9.140625" style="318"/>
  </cols>
  <sheetData>
    <row r="1" spans="1:6" ht="32.25" customHeight="1" thickBot="1">
      <c r="A1" s="1144" t="s">
        <v>545</v>
      </c>
      <c r="B1" s="1144"/>
      <c r="C1" s="1144"/>
      <c r="D1" s="1144"/>
      <c r="E1" s="1144"/>
      <c r="F1" s="317"/>
    </row>
    <row r="2" spans="1:6" ht="24.75" customHeight="1">
      <c r="A2" s="1147" t="s">
        <v>537</v>
      </c>
      <c r="B2" s="1145" t="s">
        <v>289</v>
      </c>
      <c r="C2" s="1146" t="s">
        <v>546</v>
      </c>
      <c r="D2" s="1146"/>
      <c r="E2" s="1146"/>
      <c r="F2" s="317"/>
    </row>
    <row r="3" spans="1:6">
      <c r="A3" s="1148"/>
      <c r="B3" s="1145"/>
      <c r="C3" s="214" t="s">
        <v>359</v>
      </c>
      <c r="D3" s="214" t="s">
        <v>360</v>
      </c>
      <c r="E3" s="826" t="s">
        <v>171</v>
      </c>
      <c r="F3" s="317"/>
    </row>
    <row r="4" spans="1:6" s="320" customFormat="1">
      <c r="A4" s="230" t="s">
        <v>146</v>
      </c>
      <c r="B4" s="824">
        <v>422672.78799538844</v>
      </c>
      <c r="C4" s="825">
        <v>70445.799462021983</v>
      </c>
      <c r="D4" s="825">
        <v>350493.4140106446</v>
      </c>
      <c r="E4" s="824">
        <v>1733.5745226753454</v>
      </c>
      <c r="F4" s="319"/>
    </row>
    <row r="5" spans="1:6">
      <c r="A5" s="228"/>
      <c r="B5" s="822"/>
      <c r="C5" s="229"/>
      <c r="D5" s="229"/>
      <c r="E5" s="822"/>
      <c r="F5" s="317"/>
    </row>
    <row r="6" spans="1:6">
      <c r="A6" s="230" t="s">
        <v>3</v>
      </c>
      <c r="B6" s="770"/>
      <c r="C6" s="231"/>
      <c r="D6" s="231"/>
      <c r="E6" s="827"/>
      <c r="F6" s="317"/>
    </row>
    <row r="7" spans="1:6" ht="15" customHeight="1">
      <c r="A7" s="232" t="s">
        <v>4</v>
      </c>
      <c r="B7" s="822">
        <v>371463.03677104594</v>
      </c>
      <c r="C7" s="229">
        <v>47264.513260754487</v>
      </c>
      <c r="D7" s="229">
        <v>322593.51071346918</v>
      </c>
      <c r="E7" s="822">
        <v>1605.0127967758992</v>
      </c>
      <c r="F7" s="317"/>
    </row>
    <row r="8" spans="1:6">
      <c r="A8" s="232" t="s">
        <v>5</v>
      </c>
      <c r="B8" s="822">
        <v>51209.751224297761</v>
      </c>
      <c r="C8" s="229">
        <v>23181.286201240127</v>
      </c>
      <c r="D8" s="229">
        <v>27899.903297139499</v>
      </c>
      <c r="E8" s="822">
        <v>128.56172589944705</v>
      </c>
      <c r="F8" s="317"/>
    </row>
    <row r="9" spans="1:6">
      <c r="A9" s="233" t="s">
        <v>333</v>
      </c>
      <c r="B9" s="821"/>
      <c r="C9" s="227"/>
      <c r="D9" s="227"/>
      <c r="E9" s="821"/>
      <c r="F9" s="317"/>
    </row>
    <row r="10" spans="1:6" s="320" customFormat="1">
      <c r="A10" s="234" t="s">
        <v>148</v>
      </c>
      <c r="B10" s="823">
        <v>24589.412524329851</v>
      </c>
      <c r="C10" s="235">
        <v>11608.713316360458</v>
      </c>
      <c r="D10" s="235">
        <v>12902.356906256602</v>
      </c>
      <c r="E10" s="823">
        <v>78.342301719975552</v>
      </c>
      <c r="F10" s="319"/>
    </row>
    <row r="11" spans="1:6">
      <c r="A11" s="321" t="s">
        <v>148</v>
      </c>
      <c r="B11" s="822">
        <v>8362.5121834647161</v>
      </c>
      <c r="C11" s="229">
        <v>2211.6546638967502</v>
      </c>
      <c r="D11" s="229">
        <v>6130.7697498959442</v>
      </c>
      <c r="E11" s="822">
        <v>20.087769671788596</v>
      </c>
      <c r="F11" s="317"/>
    </row>
    <row r="12" spans="1:6">
      <c r="A12" s="321" t="s">
        <v>149</v>
      </c>
      <c r="B12" s="822">
        <v>9511.5589395926836</v>
      </c>
      <c r="C12" s="229">
        <v>6317.6035617779562</v>
      </c>
      <c r="D12" s="229">
        <v>3157.7973924052731</v>
      </c>
      <c r="E12" s="822">
        <v>36.157985409219478</v>
      </c>
      <c r="F12" s="317"/>
    </row>
    <row r="13" spans="1:6">
      <c r="A13" s="321" t="s">
        <v>150</v>
      </c>
      <c r="B13" s="822">
        <v>2806.2614231489351</v>
      </c>
      <c r="C13" s="229">
        <v>1617.0654585789723</v>
      </c>
      <c r="D13" s="229">
        <v>1185.1784106355203</v>
      </c>
      <c r="E13" s="822">
        <v>4.0175539343577187</v>
      </c>
      <c r="F13" s="317"/>
    </row>
    <row r="14" spans="1:6">
      <c r="A14" s="321" t="s">
        <v>151</v>
      </c>
      <c r="B14" s="822">
        <v>3909.0799781302467</v>
      </c>
      <c r="C14" s="229">
        <v>1462.3896321062011</v>
      </c>
      <c r="D14" s="229">
        <v>2428.6113533192693</v>
      </c>
      <c r="E14" s="822">
        <v>18.078992704609735</v>
      </c>
      <c r="F14" s="317"/>
    </row>
    <row r="15" spans="1:6" s="320" customFormat="1">
      <c r="A15" s="234" t="s">
        <v>152</v>
      </c>
      <c r="B15" s="823">
        <v>9451.2956305773114</v>
      </c>
      <c r="C15" s="235">
        <v>5524.136659742222</v>
      </c>
      <c r="D15" s="235">
        <v>3919.123862966142</v>
      </c>
      <c r="E15" s="823">
        <v>8.0351078687154374</v>
      </c>
      <c r="F15" s="319"/>
    </row>
    <row r="16" spans="1:6">
      <c r="A16" s="321" t="s">
        <v>153</v>
      </c>
      <c r="B16" s="822">
        <v>5968.0763694887974</v>
      </c>
      <c r="C16" s="229">
        <v>3165.8325002739894</v>
      </c>
      <c r="D16" s="229">
        <v>2798.2263152802188</v>
      </c>
      <c r="E16" s="822">
        <v>4.0175539343577187</v>
      </c>
      <c r="F16" s="317"/>
    </row>
    <row r="17" spans="1:6">
      <c r="A17" s="321" t="s">
        <v>154</v>
      </c>
      <c r="B17" s="822">
        <v>546.38733507264715</v>
      </c>
      <c r="C17" s="229">
        <v>307.34287597836442</v>
      </c>
      <c r="D17" s="229">
        <v>237.03568212710476</v>
      </c>
      <c r="E17" s="822">
        <v>2.0087769671788593</v>
      </c>
      <c r="F17" s="317"/>
    </row>
    <row r="18" spans="1:6">
      <c r="A18" s="321" t="s">
        <v>155</v>
      </c>
      <c r="B18" s="822">
        <v>1361.9507837472588</v>
      </c>
      <c r="C18" s="229">
        <v>950.15150547559529</v>
      </c>
      <c r="D18" s="229">
        <v>409.79050130448559</v>
      </c>
      <c r="E18" s="822">
        <v>2.0087769671788593</v>
      </c>
      <c r="F18" s="317"/>
    </row>
    <row r="19" spans="1:6">
      <c r="A19" s="321" t="s">
        <v>156</v>
      </c>
      <c r="B19" s="822">
        <v>1574.8811422682165</v>
      </c>
      <c r="C19" s="229">
        <v>1100.8097780140088</v>
      </c>
      <c r="D19" s="229">
        <v>474.07136425420867</v>
      </c>
      <c r="E19" s="822">
        <v>0</v>
      </c>
      <c r="F19" s="317"/>
    </row>
    <row r="20" spans="1:6" s="320" customFormat="1">
      <c r="A20" s="234" t="s">
        <v>157</v>
      </c>
      <c r="B20" s="823">
        <v>168090.43905971799</v>
      </c>
      <c r="C20" s="235">
        <v>23378.146344023498</v>
      </c>
      <c r="D20" s="235">
        <v>143922.84336756467</v>
      </c>
      <c r="E20" s="823">
        <v>789.44934810128757</v>
      </c>
      <c r="F20" s="319"/>
    </row>
    <row r="21" spans="1:6">
      <c r="A21" s="321" t="s">
        <v>157</v>
      </c>
      <c r="B21" s="822">
        <v>95670.011838912455</v>
      </c>
      <c r="C21" s="229">
        <v>11484.177921362534</v>
      </c>
      <c r="D21" s="229">
        <v>84001.026436558648</v>
      </c>
      <c r="E21" s="822">
        <v>184.80748098045476</v>
      </c>
      <c r="F21" s="317"/>
    </row>
    <row r="22" spans="1:6">
      <c r="A22" s="321" t="s">
        <v>158</v>
      </c>
      <c r="B22" s="822">
        <v>30806.603568644987</v>
      </c>
      <c r="C22" s="229">
        <v>6524.5075893974008</v>
      </c>
      <c r="D22" s="229">
        <v>24199.736123598996</v>
      </c>
      <c r="E22" s="822">
        <v>82.359855654333273</v>
      </c>
      <c r="F22" s="317"/>
    </row>
    <row r="23" spans="1:6">
      <c r="A23" s="321" t="s">
        <v>159</v>
      </c>
      <c r="B23" s="822">
        <v>41613.823652074636</v>
      </c>
      <c r="C23" s="229">
        <v>5369.4608332694334</v>
      </c>
      <c r="D23" s="229">
        <v>35722.080807333077</v>
      </c>
      <c r="E23" s="822">
        <v>522.28201146650099</v>
      </c>
      <c r="F23" s="317"/>
    </row>
    <row r="24" spans="1:6" s="320" customFormat="1">
      <c r="A24" s="234" t="s">
        <v>160</v>
      </c>
      <c r="B24" s="823">
        <v>166465.33849326865</v>
      </c>
      <c r="C24" s="235">
        <v>17146.920191839654</v>
      </c>
      <c r="D24" s="235">
        <v>148553.07427691662</v>
      </c>
      <c r="E24" s="823">
        <v>765.34402449514141</v>
      </c>
      <c r="F24" s="319"/>
    </row>
    <row r="25" spans="1:6">
      <c r="A25" s="321" t="s">
        <v>160</v>
      </c>
      <c r="B25" s="822">
        <v>166465.33849326865</v>
      </c>
      <c r="C25" s="229">
        <v>17146.920191839654</v>
      </c>
      <c r="D25" s="229">
        <v>148553.07427691662</v>
      </c>
      <c r="E25" s="822">
        <v>765.34402449514141</v>
      </c>
      <c r="F25" s="317"/>
    </row>
    <row r="26" spans="1:6" s="320" customFormat="1" ht="15" customHeight="1">
      <c r="A26" s="234" t="s">
        <v>161</v>
      </c>
      <c r="B26" s="823">
        <v>6502.411042758431</v>
      </c>
      <c r="C26" s="235">
        <v>2050.9612834896034</v>
      </c>
      <c r="D26" s="235">
        <v>4447.4322053342385</v>
      </c>
      <c r="E26" s="823">
        <v>4.0175539343577187</v>
      </c>
      <c r="F26" s="319"/>
    </row>
    <row r="27" spans="1:6">
      <c r="A27" s="321" t="s">
        <v>161</v>
      </c>
      <c r="B27" s="822">
        <v>6502.411042758431</v>
      </c>
      <c r="C27" s="229">
        <v>2050.9612834896034</v>
      </c>
      <c r="D27" s="229">
        <v>4447.4322053342385</v>
      </c>
      <c r="E27" s="822">
        <v>4.0175539343577187</v>
      </c>
      <c r="F27" s="317"/>
    </row>
    <row r="28" spans="1:6" s="320" customFormat="1" ht="15" customHeight="1">
      <c r="A28" s="234" t="s">
        <v>162</v>
      </c>
      <c r="B28" s="823">
        <v>11210.98425382618</v>
      </c>
      <c r="C28" s="235">
        <v>2635.5153809387139</v>
      </c>
      <c r="D28" s="235">
        <v>8523.2406717405793</v>
      </c>
      <c r="E28" s="823">
        <v>52.228201146650363</v>
      </c>
      <c r="F28" s="319"/>
    </row>
    <row r="29" spans="1:6">
      <c r="A29" s="321" t="s">
        <v>162</v>
      </c>
      <c r="B29" s="822">
        <v>11210.98425382618</v>
      </c>
      <c r="C29" s="229">
        <v>2635.5153809387139</v>
      </c>
      <c r="D29" s="229">
        <v>8523.2406717405793</v>
      </c>
      <c r="E29" s="822">
        <v>52.228201146650363</v>
      </c>
      <c r="F29" s="317"/>
    </row>
    <row r="30" spans="1:6" s="320" customFormat="1">
      <c r="A30" s="234" t="s">
        <v>163</v>
      </c>
      <c r="B30" s="823">
        <v>36362.880659863782</v>
      </c>
      <c r="C30" s="235">
        <v>8101.3975086329738</v>
      </c>
      <c r="D30" s="235">
        <v>28225.325165822214</v>
      </c>
      <c r="E30" s="823">
        <v>36.157985409219478</v>
      </c>
      <c r="F30" s="319"/>
    </row>
    <row r="31" spans="1:6">
      <c r="A31" s="321" t="s">
        <v>163</v>
      </c>
      <c r="B31" s="822">
        <v>36362.880659863782</v>
      </c>
      <c r="C31" s="229">
        <v>8101.3975086329738</v>
      </c>
      <c r="D31" s="229">
        <v>28225.325165822214</v>
      </c>
      <c r="E31" s="822">
        <v>36.157985409219478</v>
      </c>
      <c r="F31" s="317"/>
    </row>
  </sheetData>
  <mergeCells count="4">
    <mergeCell ref="A1:E1"/>
    <mergeCell ref="B2:B3"/>
    <mergeCell ref="C2:E2"/>
    <mergeCell ref="A2:A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8D85-EC73-4F42-B218-067F82ACE483}">
  <dimension ref="A1:L31"/>
  <sheetViews>
    <sheetView zoomScale="98" zoomScaleNormal="98" workbookViewId="0">
      <selection activeCell="D15" sqref="D15"/>
    </sheetView>
  </sheetViews>
  <sheetFormatPr defaultRowHeight="18" customHeight="1"/>
  <cols>
    <col min="1" max="1" width="16.140625" style="30" customWidth="1"/>
    <col min="2" max="2" width="9.140625" style="30"/>
    <col min="3" max="3" width="15.7109375" style="687" customWidth="1"/>
    <col min="4" max="4" width="11.42578125" style="687" customWidth="1"/>
    <col min="5" max="5" width="14.140625" style="687" customWidth="1"/>
    <col min="6" max="6" width="25.7109375" style="687" customWidth="1"/>
    <col min="7" max="7" width="11.42578125" style="687" customWidth="1"/>
    <col min="8" max="8" width="10.85546875" style="687" customWidth="1"/>
    <col min="9" max="10" width="9.140625" style="687"/>
    <col min="11" max="11" width="13.28515625" style="30" customWidth="1"/>
    <col min="12" max="16384" width="9.140625" style="30"/>
  </cols>
  <sheetData>
    <row r="1" spans="1:12" ht="18" customHeight="1" thickBot="1">
      <c r="A1" s="1149" t="s">
        <v>547</v>
      </c>
      <c r="B1" s="1149"/>
      <c r="C1" s="1149"/>
      <c r="D1" s="1149"/>
      <c r="E1" s="1149"/>
      <c r="F1" s="1149"/>
      <c r="G1" s="1149"/>
      <c r="H1" s="1149"/>
      <c r="I1" s="1149"/>
      <c r="J1" s="1149"/>
      <c r="K1" s="1149"/>
      <c r="L1" s="1149"/>
    </row>
    <row r="2" spans="1:12" ht="15" customHeight="1">
      <c r="A2" s="1153" t="s">
        <v>495</v>
      </c>
      <c r="B2" s="1150" t="s">
        <v>289</v>
      </c>
      <c r="C2" s="1151" t="s">
        <v>361</v>
      </c>
      <c r="D2" s="1152" t="s">
        <v>362</v>
      </c>
      <c r="E2" s="1152"/>
      <c r="F2" s="1152"/>
      <c r="G2" s="1152"/>
      <c r="H2" s="1152"/>
      <c r="I2" s="1152"/>
      <c r="J2" s="1152"/>
      <c r="K2" s="1152"/>
      <c r="L2" s="1152"/>
    </row>
    <row r="3" spans="1:12" ht="44.25" customHeight="1">
      <c r="A3" s="1153"/>
      <c r="B3" s="1150"/>
      <c r="C3" s="1151"/>
      <c r="D3" s="828" t="s">
        <v>363</v>
      </c>
      <c r="E3" s="828" t="s">
        <v>364</v>
      </c>
      <c r="F3" s="828" t="s">
        <v>365</v>
      </c>
      <c r="G3" s="828" t="s">
        <v>366</v>
      </c>
      <c r="H3" s="828" t="s">
        <v>367</v>
      </c>
      <c r="I3" s="828" t="s">
        <v>368</v>
      </c>
      <c r="J3" s="828" t="s">
        <v>369</v>
      </c>
      <c r="K3" s="322" t="s">
        <v>370</v>
      </c>
      <c r="L3" s="322" t="s">
        <v>371</v>
      </c>
    </row>
    <row r="4" spans="1:12" ht="18" customHeight="1">
      <c r="A4" s="236"/>
      <c r="B4" s="237">
        <v>422672.78799538844</v>
      </c>
      <c r="C4" s="829">
        <v>70445.799462021983</v>
      </c>
      <c r="D4" s="829">
        <v>5301.1624163853448</v>
      </c>
      <c r="E4" s="829">
        <v>803.51078687153949</v>
      </c>
      <c r="F4" s="829">
        <v>5178.6270213874213</v>
      </c>
      <c r="G4" s="829">
        <v>3081.4638676524683</v>
      </c>
      <c r="H4" s="829">
        <v>3583.6581094472367</v>
      </c>
      <c r="I4" s="829">
        <v>6150.8750735020931</v>
      </c>
      <c r="J4" s="829">
        <v>6695.2536316076221</v>
      </c>
      <c r="K4" s="237">
        <v>990.32704481917222</v>
      </c>
      <c r="L4" s="237">
        <v>38660.921510318723</v>
      </c>
    </row>
    <row r="5" spans="1:12" ht="18" customHeight="1">
      <c r="A5" s="238"/>
      <c r="B5" s="239"/>
      <c r="C5" s="830"/>
      <c r="D5" s="830"/>
      <c r="E5" s="830"/>
      <c r="F5" s="830"/>
      <c r="G5" s="830"/>
      <c r="H5" s="830"/>
      <c r="I5" s="830"/>
      <c r="J5" s="830"/>
      <c r="K5" s="239"/>
      <c r="L5" s="239"/>
    </row>
    <row r="6" spans="1:12" ht="18" customHeight="1">
      <c r="A6" s="832" t="s">
        <v>3</v>
      </c>
      <c r="B6" s="198"/>
      <c r="C6" s="829"/>
      <c r="D6" s="829"/>
      <c r="E6" s="829"/>
      <c r="F6" s="829"/>
      <c r="G6" s="829"/>
      <c r="H6" s="829"/>
      <c r="I6" s="829"/>
      <c r="J6" s="829"/>
      <c r="K6" s="237"/>
      <c r="L6" s="237"/>
    </row>
    <row r="7" spans="1:12" ht="18" customHeight="1">
      <c r="A7" s="240" t="s">
        <v>4</v>
      </c>
      <c r="B7" s="239">
        <v>371463.03677104594</v>
      </c>
      <c r="C7" s="830">
        <v>47264.513260754487</v>
      </c>
      <c r="D7" s="830">
        <v>1685.3638754630531</v>
      </c>
      <c r="E7" s="830">
        <v>538.35222720393176</v>
      </c>
      <c r="F7" s="830">
        <v>2018.8208520147416</v>
      </c>
      <c r="G7" s="830">
        <v>1472.4335169420954</v>
      </c>
      <c r="H7" s="830">
        <v>1207.2749572744876</v>
      </c>
      <c r="I7" s="830">
        <v>2824.3404158535468</v>
      </c>
      <c r="J7" s="830">
        <v>2679.7084742166535</v>
      </c>
      <c r="K7" s="239">
        <v>482.10647212292406</v>
      </c>
      <c r="L7" s="239">
        <v>34356.11246965007</v>
      </c>
    </row>
    <row r="8" spans="1:12" ht="15.75" customHeight="1">
      <c r="A8" s="240" t="s">
        <v>5</v>
      </c>
      <c r="B8" s="239">
        <v>51209.751224297761</v>
      </c>
      <c r="C8" s="830">
        <v>23181.286201240127</v>
      </c>
      <c r="D8" s="830">
        <v>3615.7985409221019</v>
      </c>
      <c r="E8" s="830">
        <v>265.15855966760864</v>
      </c>
      <c r="F8" s="830">
        <v>3159.8061693724521</v>
      </c>
      <c r="G8" s="830">
        <v>1609.0303507102569</v>
      </c>
      <c r="H8" s="830">
        <v>2376.3831521726133</v>
      </c>
      <c r="I8" s="830">
        <v>3326.5346576483153</v>
      </c>
      <c r="J8" s="830">
        <v>4015.5451573907376</v>
      </c>
      <c r="K8" s="239">
        <v>508.22057269624906</v>
      </c>
      <c r="L8" s="239">
        <v>4304.8090406645242</v>
      </c>
    </row>
    <row r="9" spans="1:12" ht="18" customHeight="1">
      <c r="A9" s="832" t="s">
        <v>333</v>
      </c>
      <c r="B9" s="237"/>
      <c r="C9" s="829"/>
      <c r="D9" s="829"/>
      <c r="E9" s="829"/>
      <c r="F9" s="829"/>
      <c r="G9" s="829"/>
      <c r="H9" s="829"/>
      <c r="I9" s="829"/>
      <c r="J9" s="829"/>
      <c r="K9" s="237"/>
      <c r="L9" s="237"/>
    </row>
    <row r="10" spans="1:12" s="28" customFormat="1" ht="14.25" customHeight="1">
      <c r="A10" s="241" t="s">
        <v>148</v>
      </c>
      <c r="B10" s="242">
        <v>24589.412524329851</v>
      </c>
      <c r="C10" s="831">
        <v>11608.713316360458</v>
      </c>
      <c r="D10" s="831">
        <v>2000.741859310132</v>
      </c>
      <c r="E10" s="831">
        <v>283.23755237221826</v>
      </c>
      <c r="F10" s="831">
        <v>1213.3012881760242</v>
      </c>
      <c r="G10" s="831">
        <v>642.80862949723178</v>
      </c>
      <c r="H10" s="831">
        <v>588.57165138340292</v>
      </c>
      <c r="I10" s="831">
        <v>2721.892790527414</v>
      </c>
      <c r="J10" s="831">
        <v>1729.5569687409877</v>
      </c>
      <c r="K10" s="242">
        <v>277.20244450350287</v>
      </c>
      <c r="L10" s="242">
        <v>2151.4001318485571</v>
      </c>
    </row>
    <row r="11" spans="1:12" ht="14.25" customHeight="1">
      <c r="A11" s="323" t="s">
        <v>148</v>
      </c>
      <c r="B11" s="239">
        <v>8362.5121834647161</v>
      </c>
      <c r="C11" s="830">
        <v>2211.6546638967502</v>
      </c>
      <c r="D11" s="830">
        <v>160.7021573743086</v>
      </c>
      <c r="E11" s="830">
        <v>154.67582647277206</v>
      </c>
      <c r="F11" s="830">
        <v>218.95668942249515</v>
      </c>
      <c r="G11" s="830">
        <v>88.386186555869855</v>
      </c>
      <c r="H11" s="830">
        <v>82.359855654333273</v>
      </c>
      <c r="I11" s="830">
        <v>243.0620130286413</v>
      </c>
      <c r="J11" s="830">
        <v>369.61496196090866</v>
      </c>
      <c r="K11" s="239">
        <v>56.236978113829224</v>
      </c>
      <c r="L11" s="239">
        <v>837.65999531357988</v>
      </c>
    </row>
    <row r="12" spans="1:12" ht="14.25" customHeight="1">
      <c r="A12" s="323" t="s">
        <v>149</v>
      </c>
      <c r="B12" s="239">
        <v>9511.5589395926836</v>
      </c>
      <c r="C12" s="830">
        <v>6317.6035617779562</v>
      </c>
      <c r="D12" s="830">
        <v>1367.9771146487954</v>
      </c>
      <c r="E12" s="830">
        <v>78.342301719975552</v>
      </c>
      <c r="F12" s="830">
        <v>554.42244294136253</v>
      </c>
      <c r="G12" s="830">
        <v>355.55352319065673</v>
      </c>
      <c r="H12" s="830">
        <v>259.1322287660721</v>
      </c>
      <c r="I12" s="830">
        <v>2131.3123621767663</v>
      </c>
      <c r="J12" s="830">
        <v>699.05438457823948</v>
      </c>
      <c r="K12" s="239">
        <v>158.69338040712975</v>
      </c>
      <c r="L12" s="239">
        <v>713.1158233484914</v>
      </c>
    </row>
    <row r="13" spans="1:12" ht="14.25" customHeight="1">
      <c r="A13" s="323" t="s">
        <v>150</v>
      </c>
      <c r="B13" s="239">
        <v>2806.2614231489351</v>
      </c>
      <c r="C13" s="830">
        <v>1617.0654585789723</v>
      </c>
      <c r="D13" s="830">
        <v>391.71150859987597</v>
      </c>
      <c r="E13" s="830">
        <v>10.043884835894296</v>
      </c>
      <c r="F13" s="830">
        <v>192.84258884917014</v>
      </c>
      <c r="G13" s="830">
        <v>22.096546638967457</v>
      </c>
      <c r="H13" s="830">
        <v>190.83381188199129</v>
      </c>
      <c r="I13" s="830">
        <v>293.28143720811249</v>
      </c>
      <c r="J13" s="830">
        <v>305.33409901118557</v>
      </c>
      <c r="K13" s="239">
        <v>48.210647212292642</v>
      </c>
      <c r="L13" s="239">
        <v>162.71093434148744</v>
      </c>
    </row>
    <row r="14" spans="1:12" ht="14.25" customHeight="1">
      <c r="A14" s="323" t="s">
        <v>151</v>
      </c>
      <c r="B14" s="239">
        <v>3909.0799781302467</v>
      </c>
      <c r="C14" s="830">
        <v>1462.3896321062011</v>
      </c>
      <c r="D14" s="830">
        <v>80.351078687154413</v>
      </c>
      <c r="E14" s="830">
        <v>40.175539343577199</v>
      </c>
      <c r="F14" s="830">
        <v>247.079566962999</v>
      </c>
      <c r="G14" s="830">
        <v>176.77237311173937</v>
      </c>
      <c r="H14" s="830">
        <v>56.245755081008085</v>
      </c>
      <c r="I14" s="830">
        <v>54.236978113829224</v>
      </c>
      <c r="J14" s="830">
        <v>355.55352319065673</v>
      </c>
      <c r="K14" s="239">
        <v>14.061438770252014</v>
      </c>
      <c r="L14" s="239">
        <v>437.91337884498944</v>
      </c>
    </row>
    <row r="15" spans="1:12" s="28" customFormat="1" ht="14.25" customHeight="1">
      <c r="A15" s="241" t="s">
        <v>152</v>
      </c>
      <c r="B15" s="242">
        <v>9451.2956305773114</v>
      </c>
      <c r="C15" s="831">
        <v>5524.136659742222</v>
      </c>
      <c r="D15" s="831">
        <v>903.94963523048182</v>
      </c>
      <c r="E15" s="831">
        <v>26.114100573325178</v>
      </c>
      <c r="F15" s="831">
        <v>1498.5476175154204</v>
      </c>
      <c r="G15" s="831">
        <v>184.80748098045476</v>
      </c>
      <c r="H15" s="831">
        <v>934.08128973816451</v>
      </c>
      <c r="I15" s="831">
        <v>88.386186555869855</v>
      </c>
      <c r="J15" s="831">
        <v>1223.3451730119184</v>
      </c>
      <c r="K15" s="242">
        <v>66.289639916902388</v>
      </c>
      <c r="L15" s="242">
        <v>598.61553621929716</v>
      </c>
    </row>
    <row r="16" spans="1:12" ht="14.25" customHeight="1">
      <c r="A16" s="323" t="s">
        <v>153</v>
      </c>
      <c r="B16" s="239">
        <v>5968.0763694887974</v>
      </c>
      <c r="C16" s="830">
        <v>3165.8325002739894</v>
      </c>
      <c r="D16" s="830">
        <v>578.52776654750869</v>
      </c>
      <c r="E16" s="830">
        <v>22.096546638967457</v>
      </c>
      <c r="F16" s="830">
        <v>773.3791323638568</v>
      </c>
      <c r="G16" s="830">
        <v>182.79870401327591</v>
      </c>
      <c r="H16" s="830">
        <v>395.72906253423366</v>
      </c>
      <c r="I16" s="830">
        <v>76.333524752796691</v>
      </c>
      <c r="J16" s="830">
        <v>644.81740646441062</v>
      </c>
      <c r="K16" s="239">
        <v>54.236978113829224</v>
      </c>
      <c r="L16" s="239">
        <v>437.91337884498944</v>
      </c>
    </row>
    <row r="17" spans="1:12" ht="14.25" customHeight="1">
      <c r="A17" s="323" t="s">
        <v>154</v>
      </c>
      <c r="B17" s="239">
        <v>546.38733507264715</v>
      </c>
      <c r="C17" s="830">
        <v>307.34287597836442</v>
      </c>
      <c r="D17" s="830">
        <v>66.289639916902388</v>
      </c>
      <c r="E17" s="830">
        <v>0</v>
      </c>
      <c r="F17" s="830">
        <v>24.105323606146317</v>
      </c>
      <c r="G17" s="830">
        <v>0</v>
      </c>
      <c r="H17" s="830">
        <v>118.51784106355277</v>
      </c>
      <c r="I17" s="830">
        <v>0</v>
      </c>
      <c r="J17" s="830">
        <v>72.31597081843897</v>
      </c>
      <c r="K17" s="239">
        <v>2.0087769671788593</v>
      </c>
      <c r="L17" s="239">
        <v>24.105323606146317</v>
      </c>
    </row>
    <row r="18" spans="1:12" ht="14.25" customHeight="1">
      <c r="A18" s="323" t="s">
        <v>155</v>
      </c>
      <c r="B18" s="239">
        <v>1361.9507837472588</v>
      </c>
      <c r="C18" s="830">
        <v>950.15150547559529</v>
      </c>
      <c r="D18" s="830">
        <v>94.412517457406437</v>
      </c>
      <c r="E18" s="830">
        <v>0</v>
      </c>
      <c r="F18" s="830">
        <v>395.72906253423366</v>
      </c>
      <c r="G18" s="830">
        <v>0</v>
      </c>
      <c r="H18" s="830">
        <v>40.175539343577199</v>
      </c>
      <c r="I18" s="830">
        <v>8.0351078687154374</v>
      </c>
      <c r="J18" s="830">
        <v>361.57985409219327</v>
      </c>
      <c r="K18" s="239">
        <v>6.0263309015365785</v>
      </c>
      <c r="L18" s="239">
        <v>44.193093277934921</v>
      </c>
    </row>
    <row r="19" spans="1:12" ht="14.25" customHeight="1">
      <c r="A19" s="323" t="s">
        <v>156</v>
      </c>
      <c r="B19" s="239">
        <v>1574.8811422682165</v>
      </c>
      <c r="C19" s="830">
        <v>1100.8097780140088</v>
      </c>
      <c r="D19" s="830">
        <v>164.71971130866629</v>
      </c>
      <c r="E19" s="830">
        <v>4.0175539343577187</v>
      </c>
      <c r="F19" s="830">
        <v>305.33409901118557</v>
      </c>
      <c r="G19" s="830">
        <v>2.0087769671788593</v>
      </c>
      <c r="H19" s="830">
        <v>379.65884679680289</v>
      </c>
      <c r="I19" s="830">
        <v>4.0175539343577187</v>
      </c>
      <c r="J19" s="830">
        <v>144.63194163687783</v>
      </c>
      <c r="K19" s="239">
        <v>4.0175539343577187</v>
      </c>
      <c r="L19" s="239">
        <v>92.403740490227577</v>
      </c>
    </row>
    <row r="20" spans="1:12" s="28" customFormat="1" ht="14.25" customHeight="1">
      <c r="A20" s="241" t="s">
        <v>157</v>
      </c>
      <c r="B20" s="242">
        <v>168090.43905971799</v>
      </c>
      <c r="C20" s="831">
        <v>23378.146344023498</v>
      </c>
      <c r="D20" s="831">
        <v>705.08071547977602</v>
      </c>
      <c r="E20" s="831">
        <v>146.64071860405667</v>
      </c>
      <c r="F20" s="831">
        <v>791.45812506846642</v>
      </c>
      <c r="G20" s="831">
        <v>1134.9589864560492</v>
      </c>
      <c r="H20" s="831">
        <v>658.87884523466255</v>
      </c>
      <c r="I20" s="831">
        <v>1480.4686248108108</v>
      </c>
      <c r="J20" s="831">
        <v>1118.8887707186184</v>
      </c>
      <c r="K20" s="242">
        <v>325.42186868297404</v>
      </c>
      <c r="L20" s="242">
        <v>17016.349688973132</v>
      </c>
    </row>
    <row r="21" spans="1:12" ht="14.25" customHeight="1">
      <c r="A21" s="323" t="s">
        <v>157</v>
      </c>
      <c r="B21" s="239">
        <v>95670.011838912455</v>
      </c>
      <c r="C21" s="830">
        <v>11484.177921362534</v>
      </c>
      <c r="D21" s="830">
        <v>273.19366753632403</v>
      </c>
      <c r="E21" s="830">
        <v>70.307193851260109</v>
      </c>
      <c r="F21" s="830">
        <v>210.92158155377976</v>
      </c>
      <c r="G21" s="830">
        <v>122.53539499791049</v>
      </c>
      <c r="H21" s="830">
        <v>82.359855654333273</v>
      </c>
      <c r="I21" s="830">
        <v>413.80805523884328</v>
      </c>
      <c r="J21" s="830">
        <v>168.73726524302398</v>
      </c>
      <c r="K21" s="239">
        <v>66.289639916902388</v>
      </c>
      <c r="L21" s="239">
        <v>10076.025267370003</v>
      </c>
    </row>
    <row r="22" spans="1:12" ht="14.25" customHeight="1">
      <c r="A22" s="323" t="s">
        <v>158</v>
      </c>
      <c r="B22" s="239">
        <v>30806.603568644987</v>
      </c>
      <c r="C22" s="830">
        <v>6524.5075893974008</v>
      </c>
      <c r="D22" s="830">
        <v>327.43064565015288</v>
      </c>
      <c r="E22" s="830">
        <v>54.236978113829224</v>
      </c>
      <c r="F22" s="830">
        <v>443.93970974652598</v>
      </c>
      <c r="G22" s="830">
        <v>909.97596613201836</v>
      </c>
      <c r="H22" s="830">
        <v>500.18546482753368</v>
      </c>
      <c r="I22" s="830">
        <v>841.67754924793758</v>
      </c>
      <c r="J22" s="830">
        <v>759.31769359360487</v>
      </c>
      <c r="K22" s="239">
        <v>190.83381188199129</v>
      </c>
      <c r="L22" s="239">
        <v>2496.9097702033578</v>
      </c>
    </row>
    <row r="23" spans="1:12" ht="14.25" customHeight="1">
      <c r="A23" s="323" t="s">
        <v>159</v>
      </c>
      <c r="B23" s="239">
        <v>41613.823652074636</v>
      </c>
      <c r="C23" s="830">
        <v>5369.4608332694334</v>
      </c>
      <c r="D23" s="830">
        <v>104.45640229330074</v>
      </c>
      <c r="E23" s="830">
        <v>22.096546638967457</v>
      </c>
      <c r="F23" s="830">
        <v>136.59683376816244</v>
      </c>
      <c r="G23" s="830">
        <v>102.44762532612188</v>
      </c>
      <c r="H23" s="830">
        <v>76.333524752796691</v>
      </c>
      <c r="I23" s="830">
        <v>224.98302032403168</v>
      </c>
      <c r="J23" s="830">
        <v>190.83381188199129</v>
      </c>
      <c r="K23" s="239">
        <v>68.298416884081249</v>
      </c>
      <c r="L23" s="239">
        <v>4443.4146513998803</v>
      </c>
    </row>
    <row r="24" spans="1:12" s="28" customFormat="1" ht="14.25" customHeight="1">
      <c r="A24" s="241" t="s">
        <v>160</v>
      </c>
      <c r="B24" s="242">
        <v>166465.33849326865</v>
      </c>
      <c r="C24" s="831">
        <v>17146.920191839654</v>
      </c>
      <c r="D24" s="831">
        <v>427.86949400909521</v>
      </c>
      <c r="E24" s="831">
        <v>82.359855654333273</v>
      </c>
      <c r="F24" s="831">
        <v>321.40431474861634</v>
      </c>
      <c r="G24" s="831">
        <v>128.56172589944705</v>
      </c>
      <c r="H24" s="831">
        <v>138.60561073534129</v>
      </c>
      <c r="I24" s="831">
        <v>719.14215425002794</v>
      </c>
      <c r="J24" s="831">
        <v>482.10647212292406</v>
      </c>
      <c r="K24" s="242">
        <v>64.280862949723527</v>
      </c>
      <c r="L24" s="242">
        <v>14782.589701470573</v>
      </c>
    </row>
    <row r="25" spans="1:12" ht="14.25" customHeight="1">
      <c r="A25" s="323" t="s">
        <v>160</v>
      </c>
      <c r="B25" s="239">
        <v>166465.33849326865</v>
      </c>
      <c r="C25" s="830">
        <v>17146.920191839654</v>
      </c>
      <c r="D25" s="830">
        <v>427.86949400909521</v>
      </c>
      <c r="E25" s="830">
        <v>82.359855654333273</v>
      </c>
      <c r="F25" s="830">
        <v>321.40431474861634</v>
      </c>
      <c r="G25" s="830">
        <v>128.56172589944705</v>
      </c>
      <c r="H25" s="830">
        <v>138.60561073534129</v>
      </c>
      <c r="I25" s="830">
        <v>719.14215425002794</v>
      </c>
      <c r="J25" s="830">
        <v>482.10647212292406</v>
      </c>
      <c r="K25" s="239">
        <v>64.280862949723527</v>
      </c>
      <c r="L25" s="239">
        <v>14782.589701470573</v>
      </c>
    </row>
    <row r="26" spans="1:12" s="28" customFormat="1" ht="14.25" customHeight="1">
      <c r="A26" s="241" t="s">
        <v>161</v>
      </c>
      <c r="B26" s="242">
        <v>6502.411042758431</v>
      </c>
      <c r="C26" s="831">
        <v>2050.9612834896034</v>
      </c>
      <c r="D26" s="831">
        <v>313.36920687990096</v>
      </c>
      <c r="E26" s="831">
        <v>20.087769671788596</v>
      </c>
      <c r="F26" s="831">
        <v>443.93970974652598</v>
      </c>
      <c r="G26" s="831">
        <v>18.078992704609735</v>
      </c>
      <c r="H26" s="831">
        <v>407.78172433730674</v>
      </c>
      <c r="I26" s="831">
        <v>118.51784106355277</v>
      </c>
      <c r="J26" s="831">
        <v>144.63194163687783</v>
      </c>
      <c r="K26" s="242">
        <v>42.18431631075606</v>
      </c>
      <c r="L26" s="242">
        <v>542.36978113828945</v>
      </c>
    </row>
    <row r="27" spans="1:12" ht="14.25" customHeight="1">
      <c r="A27" s="323" t="s">
        <v>161</v>
      </c>
      <c r="B27" s="239">
        <v>6502.411042758431</v>
      </c>
      <c r="C27" s="830">
        <v>2050.9612834896034</v>
      </c>
      <c r="D27" s="830">
        <v>313.36920687990096</v>
      </c>
      <c r="E27" s="830">
        <v>20.087769671788596</v>
      </c>
      <c r="F27" s="830">
        <v>443.93970974652598</v>
      </c>
      <c r="G27" s="830">
        <v>18.078992704609735</v>
      </c>
      <c r="H27" s="830">
        <v>407.78172433730674</v>
      </c>
      <c r="I27" s="830">
        <v>118.51784106355277</v>
      </c>
      <c r="J27" s="830">
        <v>144.63194163687783</v>
      </c>
      <c r="K27" s="239">
        <v>42.18431631075606</v>
      </c>
      <c r="L27" s="239">
        <v>542.36978113828945</v>
      </c>
    </row>
    <row r="28" spans="1:12" s="28" customFormat="1" ht="14.25" customHeight="1">
      <c r="A28" s="241" t="s">
        <v>162</v>
      </c>
      <c r="B28" s="242">
        <v>11210.98425382618</v>
      </c>
      <c r="C28" s="831">
        <v>2635.5153809387139</v>
      </c>
      <c r="D28" s="831">
        <v>271.18489056914518</v>
      </c>
      <c r="E28" s="831">
        <v>94.412517457406437</v>
      </c>
      <c r="F28" s="831">
        <v>261.14100573325095</v>
      </c>
      <c r="G28" s="831">
        <v>443.93970974652598</v>
      </c>
      <c r="H28" s="831">
        <v>154.67582647277206</v>
      </c>
      <c r="I28" s="831">
        <v>333.45697655168942</v>
      </c>
      <c r="J28" s="831">
        <v>470.05381031985098</v>
      </c>
      <c r="K28" s="242">
        <v>78.342301719975552</v>
      </c>
      <c r="L28" s="242">
        <v>528.30834236803753</v>
      </c>
    </row>
    <row r="29" spans="1:12" ht="14.25" customHeight="1">
      <c r="A29" s="323" t="s">
        <v>162</v>
      </c>
      <c r="B29" s="239">
        <v>11210.98425382618</v>
      </c>
      <c r="C29" s="830">
        <v>2635.5153809387139</v>
      </c>
      <c r="D29" s="830">
        <v>271.18489056914518</v>
      </c>
      <c r="E29" s="830">
        <v>94.412517457406437</v>
      </c>
      <c r="F29" s="830">
        <v>261.14100573325095</v>
      </c>
      <c r="G29" s="830">
        <v>443.93970974652598</v>
      </c>
      <c r="H29" s="830">
        <v>154.67582647277206</v>
      </c>
      <c r="I29" s="830">
        <v>333.45697655168942</v>
      </c>
      <c r="J29" s="830">
        <v>470.05381031985098</v>
      </c>
      <c r="K29" s="239">
        <v>78.342301719975552</v>
      </c>
      <c r="L29" s="239">
        <v>528.30834236803753</v>
      </c>
    </row>
    <row r="30" spans="1:12" s="28" customFormat="1" ht="14.25" customHeight="1">
      <c r="A30" s="241" t="s">
        <v>163</v>
      </c>
      <c r="B30" s="242">
        <v>36362.880659863782</v>
      </c>
      <c r="C30" s="831">
        <v>8101.3975086329738</v>
      </c>
      <c r="D30" s="831">
        <v>678.96661490645101</v>
      </c>
      <c r="E30" s="831">
        <v>150.65827253841437</v>
      </c>
      <c r="F30" s="831">
        <v>648.83496039876832</v>
      </c>
      <c r="G30" s="831">
        <v>528.30834236803753</v>
      </c>
      <c r="H30" s="831">
        <v>701.06316154541832</v>
      </c>
      <c r="I30" s="831">
        <v>689.01049974234525</v>
      </c>
      <c r="J30" s="831">
        <v>1526.6704950559242</v>
      </c>
      <c r="K30" s="242">
        <v>136.59683376816244</v>
      </c>
      <c r="L30" s="242">
        <v>3041.2883283088868</v>
      </c>
    </row>
    <row r="31" spans="1:12" ht="14.25" customHeight="1">
      <c r="A31" s="323" t="s">
        <v>163</v>
      </c>
      <c r="B31" s="239">
        <v>36362.880659863782</v>
      </c>
      <c r="C31" s="830">
        <v>8101.3975086329738</v>
      </c>
      <c r="D31" s="830">
        <v>678.96661490645101</v>
      </c>
      <c r="E31" s="830">
        <v>150.65827253841437</v>
      </c>
      <c r="F31" s="830">
        <v>648.83496039876832</v>
      </c>
      <c r="G31" s="830">
        <v>528.30834236803753</v>
      </c>
      <c r="H31" s="830">
        <v>701.06316154541832</v>
      </c>
      <c r="I31" s="830">
        <v>689.01049974234525</v>
      </c>
      <c r="J31" s="830">
        <v>1526.6704950559242</v>
      </c>
      <c r="K31" s="239">
        <v>136.59683376816244</v>
      </c>
      <c r="L31" s="239">
        <v>3041.2883283088868</v>
      </c>
    </row>
  </sheetData>
  <mergeCells count="5">
    <mergeCell ref="A1:L1"/>
    <mergeCell ref="B2:B3"/>
    <mergeCell ref="C2:C3"/>
    <mergeCell ref="D2:L2"/>
    <mergeCell ref="A2:A3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884F-974D-4093-A5E0-E2CE2CCA299C}">
  <dimension ref="A1:D31"/>
  <sheetViews>
    <sheetView zoomScale="96" zoomScaleNormal="96" workbookViewId="0">
      <selection activeCell="G6" sqref="G6"/>
    </sheetView>
  </sheetViews>
  <sheetFormatPr defaultRowHeight="16.5" customHeight="1"/>
  <cols>
    <col min="1" max="1" width="19.140625" style="30" customWidth="1"/>
    <col min="2" max="2" width="19.140625" style="701" customWidth="1"/>
    <col min="3" max="4" width="19.140625" style="687" customWidth="1"/>
    <col min="5" max="16384" width="9.140625" style="30"/>
  </cols>
  <sheetData>
    <row r="1" spans="1:4" ht="38.25" customHeight="1" thickBot="1">
      <c r="A1" s="1154" t="s">
        <v>372</v>
      </c>
      <c r="B1" s="1154"/>
      <c r="C1" s="1154"/>
      <c r="D1" s="1154"/>
    </row>
    <row r="2" spans="1:4" ht="26.25" customHeight="1">
      <c r="A2" s="1157" t="s">
        <v>516</v>
      </c>
      <c r="B2" s="1155" t="s">
        <v>336</v>
      </c>
      <c r="C2" s="1156" t="s">
        <v>373</v>
      </c>
      <c r="D2" s="1156"/>
    </row>
    <row r="3" spans="1:4" s="32" customFormat="1" ht="16.5" customHeight="1">
      <c r="A3" s="1158"/>
      <c r="B3" s="1155"/>
      <c r="C3" s="836" t="s">
        <v>334</v>
      </c>
      <c r="D3" s="836" t="s">
        <v>335</v>
      </c>
    </row>
    <row r="4" spans="1:4" ht="16.5" customHeight="1">
      <c r="A4" s="243" t="s">
        <v>146</v>
      </c>
      <c r="B4" s="833">
        <v>422672.78799538844</v>
      </c>
      <c r="C4" s="833">
        <v>2908.7090484750679</v>
      </c>
      <c r="D4" s="833">
        <v>419764.07894691051</v>
      </c>
    </row>
    <row r="5" spans="1:4" ht="16.5" customHeight="1">
      <c r="A5" s="244"/>
      <c r="B5" s="834"/>
      <c r="C5" s="834"/>
      <c r="D5" s="834"/>
    </row>
    <row r="6" spans="1:4" ht="16.5" customHeight="1">
      <c r="A6" s="243" t="s">
        <v>3</v>
      </c>
      <c r="B6" s="770"/>
      <c r="C6" s="833"/>
      <c r="D6" s="833"/>
    </row>
    <row r="7" spans="1:4" ht="16.5" customHeight="1">
      <c r="A7" s="245" t="s">
        <v>4</v>
      </c>
      <c r="B7" s="834">
        <v>371463.03677104594</v>
      </c>
      <c r="C7" s="834">
        <v>1231.3802808806338</v>
      </c>
      <c r="D7" s="834">
        <v>370231.65649016405</v>
      </c>
    </row>
    <row r="8" spans="1:4" ht="16.5" customHeight="1">
      <c r="A8" s="245" t="s">
        <v>5</v>
      </c>
      <c r="B8" s="834">
        <v>51209.751224297761</v>
      </c>
      <c r="C8" s="834">
        <v>1677.3287675943377</v>
      </c>
      <c r="D8" s="834">
        <v>49532.422456701715</v>
      </c>
    </row>
    <row r="9" spans="1:4" ht="16.5" customHeight="1">
      <c r="A9" s="837" t="s">
        <v>333</v>
      </c>
      <c r="B9" s="833"/>
      <c r="C9" s="833"/>
      <c r="D9" s="833"/>
    </row>
    <row r="10" spans="1:4" s="28" customFormat="1" ht="13.5" customHeight="1">
      <c r="A10" s="246" t="s">
        <v>148</v>
      </c>
      <c r="B10" s="835">
        <v>24589.412524329851</v>
      </c>
      <c r="C10" s="835">
        <v>779.40546326539334</v>
      </c>
      <c r="D10" s="835">
        <v>23810.007061065076</v>
      </c>
    </row>
    <row r="11" spans="1:4" ht="13.5" customHeight="1">
      <c r="A11" s="324" t="s">
        <v>148</v>
      </c>
      <c r="B11" s="834">
        <v>8362.5121834647161</v>
      </c>
      <c r="C11" s="834">
        <v>82.359855654333273</v>
      </c>
      <c r="D11" s="834">
        <v>8280.1523278103741</v>
      </c>
    </row>
    <row r="12" spans="1:4" ht="13.5" customHeight="1">
      <c r="A12" s="324" t="s">
        <v>149</v>
      </c>
      <c r="B12" s="834">
        <v>9511.5589395926836</v>
      </c>
      <c r="C12" s="834">
        <v>437.91337884498944</v>
      </c>
      <c r="D12" s="834">
        <v>9073.6455607476455</v>
      </c>
    </row>
    <row r="13" spans="1:4" ht="13.5" customHeight="1">
      <c r="A13" s="324" t="s">
        <v>150</v>
      </c>
      <c r="B13" s="834">
        <v>2806.2614231489351</v>
      </c>
      <c r="C13" s="834">
        <v>174.76359614456052</v>
      </c>
      <c r="D13" s="834">
        <v>2631.4978270043557</v>
      </c>
    </row>
    <row r="14" spans="1:4" ht="13.5" customHeight="1">
      <c r="A14" s="324" t="s">
        <v>151</v>
      </c>
      <c r="B14" s="834">
        <v>3909.0799781302467</v>
      </c>
      <c r="C14" s="834">
        <v>84.368632621512134</v>
      </c>
      <c r="D14" s="834">
        <v>3824.7113455087256</v>
      </c>
    </row>
    <row r="15" spans="1:4" s="28" customFormat="1" ht="13.5" customHeight="1">
      <c r="A15" s="246" t="s">
        <v>152</v>
      </c>
      <c r="B15" s="835">
        <v>9451.2956305773114</v>
      </c>
      <c r="C15" s="835">
        <v>431.8870479434529</v>
      </c>
      <c r="D15" s="835">
        <v>9019.4085826338105</v>
      </c>
    </row>
    <row r="16" spans="1:4" ht="13.5" customHeight="1">
      <c r="A16" s="324" t="s">
        <v>153</v>
      </c>
      <c r="B16" s="834">
        <v>5968.0763694887974</v>
      </c>
      <c r="C16" s="834">
        <v>186.8162579476336</v>
      </c>
      <c r="D16" s="834">
        <v>5781.2601115411435</v>
      </c>
    </row>
    <row r="17" spans="1:4" ht="13.5" customHeight="1">
      <c r="A17" s="324" t="s">
        <v>154</v>
      </c>
      <c r="B17" s="834">
        <v>546.38733507264715</v>
      </c>
      <c r="C17" s="834">
        <v>6.0263309015365785</v>
      </c>
      <c r="D17" s="834">
        <v>540.36100417111061</v>
      </c>
    </row>
    <row r="18" spans="1:4" ht="13.5" customHeight="1">
      <c r="A18" s="324" t="s">
        <v>155</v>
      </c>
      <c r="B18" s="834">
        <v>1361.9507837472588</v>
      </c>
      <c r="C18" s="834">
        <v>128.56172589944705</v>
      </c>
      <c r="D18" s="834">
        <v>1233.3890578478126</v>
      </c>
    </row>
    <row r="19" spans="1:4" ht="13.5" customHeight="1">
      <c r="A19" s="324" t="s">
        <v>156</v>
      </c>
      <c r="B19" s="834">
        <v>1574.8811422682165</v>
      </c>
      <c r="C19" s="834">
        <v>110.48273319483732</v>
      </c>
      <c r="D19" s="834">
        <v>1464.39840907338</v>
      </c>
    </row>
    <row r="20" spans="1:4" s="28" customFormat="1" ht="13.5" customHeight="1">
      <c r="A20" s="246" t="s">
        <v>157</v>
      </c>
      <c r="B20" s="835">
        <v>168090.43905971799</v>
      </c>
      <c r="C20" s="835">
        <v>630.7559676941587</v>
      </c>
      <c r="D20" s="835">
        <v>167459.68309202319</v>
      </c>
    </row>
    <row r="21" spans="1:4" ht="13.5" customHeight="1">
      <c r="A21" s="324" t="s">
        <v>157</v>
      </c>
      <c r="B21" s="834">
        <v>95670.011838912455</v>
      </c>
      <c r="C21" s="834">
        <v>146.64071860405667</v>
      </c>
      <c r="D21" s="834">
        <v>95523.371120308249</v>
      </c>
    </row>
    <row r="22" spans="1:4" ht="13.5" customHeight="1">
      <c r="A22" s="324" t="s">
        <v>158</v>
      </c>
      <c r="B22" s="834">
        <v>30806.603568644987</v>
      </c>
      <c r="C22" s="834">
        <v>337.47453048604712</v>
      </c>
      <c r="D22" s="834">
        <v>30469.129038159208</v>
      </c>
    </row>
    <row r="23" spans="1:4" ht="13.5" customHeight="1">
      <c r="A23" s="324" t="s">
        <v>159</v>
      </c>
      <c r="B23" s="834">
        <v>41613.823652074636</v>
      </c>
      <c r="C23" s="834">
        <v>146.64071860405667</v>
      </c>
      <c r="D23" s="834">
        <v>41467.182933470431</v>
      </c>
    </row>
    <row r="24" spans="1:4" s="28" customFormat="1" ht="13.5" customHeight="1">
      <c r="A24" s="246" t="s">
        <v>160</v>
      </c>
      <c r="B24" s="835">
        <v>166465.33849326865</v>
      </c>
      <c r="C24" s="835">
        <v>311.36042991272211</v>
      </c>
      <c r="D24" s="835">
        <v>166153.97806335561</v>
      </c>
    </row>
    <row r="25" spans="1:4" ht="13.5" customHeight="1">
      <c r="A25" s="324" t="s">
        <v>160</v>
      </c>
      <c r="B25" s="834">
        <v>166465.33849326865</v>
      </c>
      <c r="C25" s="834">
        <v>311.36042991272211</v>
      </c>
      <c r="D25" s="834">
        <v>166153.97806335561</v>
      </c>
    </row>
    <row r="26" spans="1:4" s="28" customFormat="1" ht="13.5" customHeight="1">
      <c r="A26" s="246" t="s">
        <v>161</v>
      </c>
      <c r="B26" s="835">
        <v>6502.411042758431</v>
      </c>
      <c r="C26" s="835">
        <v>108.47395622765846</v>
      </c>
      <c r="D26" s="835">
        <v>6393.937086530761</v>
      </c>
    </row>
    <row r="27" spans="1:4" ht="13.5" customHeight="1">
      <c r="A27" s="324" t="s">
        <v>161</v>
      </c>
      <c r="B27" s="834">
        <v>6502.411042758431</v>
      </c>
      <c r="C27" s="834">
        <v>108.47395622765846</v>
      </c>
      <c r="D27" s="834">
        <v>6393.937086530761</v>
      </c>
    </row>
    <row r="28" spans="1:4" s="28" customFormat="1" ht="13.5" customHeight="1">
      <c r="A28" s="246" t="s">
        <v>162</v>
      </c>
      <c r="B28" s="835">
        <v>11210.98425382618</v>
      </c>
      <c r="C28" s="835">
        <v>303.32532204400673</v>
      </c>
      <c r="D28" s="835">
        <v>10907.65893178214</v>
      </c>
    </row>
    <row r="29" spans="1:4" ht="13.5" customHeight="1">
      <c r="A29" s="324" t="s">
        <v>162</v>
      </c>
      <c r="B29" s="834">
        <v>11210.98425382618</v>
      </c>
      <c r="C29" s="834">
        <v>303.32532204400673</v>
      </c>
      <c r="D29" s="834">
        <v>10907.65893178214</v>
      </c>
    </row>
    <row r="30" spans="1:4" s="28" customFormat="1" ht="13.5" customHeight="1">
      <c r="A30" s="246" t="s">
        <v>163</v>
      </c>
      <c r="B30" s="835">
        <v>36362.880659863782</v>
      </c>
      <c r="C30" s="835">
        <v>343.50086138758365</v>
      </c>
      <c r="D30" s="835">
        <v>36019.379798475849</v>
      </c>
    </row>
    <row r="31" spans="1:4" ht="13.5" customHeight="1">
      <c r="A31" s="324" t="s">
        <v>163</v>
      </c>
      <c r="B31" s="834">
        <v>36362.880659863782</v>
      </c>
      <c r="C31" s="834">
        <v>343.50086138758365</v>
      </c>
      <c r="D31" s="834">
        <v>36019.379798475849</v>
      </c>
    </row>
  </sheetData>
  <mergeCells count="4">
    <mergeCell ref="A1:D1"/>
    <mergeCell ref="B2:B3"/>
    <mergeCell ref="C2:D2"/>
    <mergeCell ref="A2:A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C0FB-418D-4DFB-A6DE-B635E8AD936A}">
  <dimension ref="A1:I31"/>
  <sheetViews>
    <sheetView zoomScale="98" zoomScaleNormal="98" workbookViewId="0">
      <selection activeCell="E7" sqref="E7"/>
    </sheetView>
  </sheetViews>
  <sheetFormatPr defaultRowHeight="17.25" customHeight="1"/>
  <cols>
    <col min="1" max="1" width="20" style="300" customWidth="1"/>
    <col min="2" max="2" width="11.140625" style="330" customWidth="1"/>
    <col min="3" max="3" width="22.42578125" style="330" customWidth="1"/>
    <col min="4" max="4" width="13.42578125" style="330" customWidth="1"/>
    <col min="5" max="5" width="13.28515625" style="330" customWidth="1"/>
    <col min="6" max="6" width="13.140625" style="330" customWidth="1"/>
    <col min="7" max="7" width="14.28515625" style="330" customWidth="1"/>
    <col min="8" max="8" width="13.7109375" style="330" customWidth="1"/>
    <col min="9" max="16384" width="9.140625" style="300"/>
  </cols>
  <sheetData>
    <row r="1" spans="1:9" ht="30" customHeight="1" thickBot="1">
      <c r="A1" s="1159" t="s">
        <v>548</v>
      </c>
      <c r="B1" s="1159"/>
      <c r="C1" s="1159"/>
      <c r="D1" s="1159"/>
      <c r="E1" s="1159"/>
      <c r="F1" s="1159"/>
      <c r="G1" s="1159"/>
      <c r="H1" s="1159"/>
      <c r="I1" s="325"/>
    </row>
    <row r="2" spans="1:9" ht="24" customHeight="1">
      <c r="A2" s="1162" t="s">
        <v>495</v>
      </c>
      <c r="B2" s="1160" t="s">
        <v>289</v>
      </c>
      <c r="C2" s="1160" t="s">
        <v>374</v>
      </c>
      <c r="D2" s="1161" t="s">
        <v>375</v>
      </c>
      <c r="E2" s="1161"/>
      <c r="F2" s="1161"/>
      <c r="G2" s="1161"/>
      <c r="H2" s="1161"/>
      <c r="I2" s="325"/>
    </row>
    <row r="3" spans="1:9" ht="27" customHeight="1">
      <c r="A3" s="1163"/>
      <c r="B3" s="1160"/>
      <c r="C3" s="1160"/>
      <c r="D3" s="841" t="s">
        <v>376</v>
      </c>
      <c r="E3" s="841" t="s">
        <v>377</v>
      </c>
      <c r="F3" s="841" t="s">
        <v>378</v>
      </c>
      <c r="G3" s="841" t="s">
        <v>379</v>
      </c>
      <c r="H3" s="841" t="s">
        <v>380</v>
      </c>
      <c r="I3" s="325"/>
    </row>
    <row r="4" spans="1:9" s="302" customFormat="1" ht="18.75" customHeight="1">
      <c r="A4" s="247" t="s">
        <v>146</v>
      </c>
      <c r="B4" s="838">
        <v>422672.78799538844</v>
      </c>
      <c r="C4" s="838">
        <v>2908.7090484750679</v>
      </c>
      <c r="D4" s="838">
        <v>472.06258728702983</v>
      </c>
      <c r="E4" s="838">
        <v>1687.3726524302319</v>
      </c>
      <c r="F4" s="838">
        <v>1904.3205648855474</v>
      </c>
      <c r="G4" s="838">
        <v>285.24632933939711</v>
      </c>
      <c r="H4" s="838">
        <v>164.71971130866629</v>
      </c>
      <c r="I4" s="326"/>
    </row>
    <row r="5" spans="1:9" ht="17.25" customHeight="1">
      <c r="A5" s="248"/>
      <c r="B5" s="839"/>
      <c r="C5" s="839"/>
      <c r="D5" s="839"/>
      <c r="E5" s="839"/>
      <c r="F5" s="839"/>
      <c r="G5" s="839"/>
      <c r="H5" s="839"/>
      <c r="I5" s="325"/>
    </row>
    <row r="6" spans="1:9" s="302" customFormat="1" ht="18.75" customHeight="1">
      <c r="A6" s="247" t="s">
        <v>3</v>
      </c>
      <c r="B6" s="770"/>
      <c r="C6" s="838"/>
      <c r="D6" s="838"/>
      <c r="E6" s="838"/>
      <c r="F6" s="838"/>
      <c r="G6" s="838"/>
      <c r="H6" s="838"/>
      <c r="I6" s="326"/>
    </row>
    <row r="7" spans="1:9" ht="17.25" customHeight="1">
      <c r="A7" s="249" t="s">
        <v>4</v>
      </c>
      <c r="B7" s="839">
        <v>371463.03677104594</v>
      </c>
      <c r="C7" s="839">
        <v>1231.3802808806338</v>
      </c>
      <c r="D7" s="839">
        <v>347.51841532194135</v>
      </c>
      <c r="E7" s="839">
        <v>745.25625482335295</v>
      </c>
      <c r="F7" s="839">
        <v>781.41424023257218</v>
      </c>
      <c r="G7" s="839">
        <v>176.77237311173937</v>
      </c>
      <c r="H7" s="839">
        <v>104.45640229330074</v>
      </c>
      <c r="I7" s="325"/>
    </row>
    <row r="8" spans="1:9" ht="17.25" customHeight="1">
      <c r="A8" s="249" t="s">
        <v>5</v>
      </c>
      <c r="B8" s="839">
        <v>51209.751224297761</v>
      </c>
      <c r="C8" s="839">
        <v>1677.3287675943377</v>
      </c>
      <c r="D8" s="839">
        <v>124.54417196508935</v>
      </c>
      <c r="E8" s="839">
        <v>942.1163976068799</v>
      </c>
      <c r="F8" s="839">
        <v>1122.9063246529761</v>
      </c>
      <c r="G8" s="839">
        <v>108.47395622765846</v>
      </c>
      <c r="H8" s="839">
        <v>60.263309015365806</v>
      </c>
      <c r="I8" s="325"/>
    </row>
    <row r="9" spans="1:9" s="302" customFormat="1" ht="18.75" customHeight="1">
      <c r="A9" s="250" t="s">
        <v>333</v>
      </c>
      <c r="B9" s="838"/>
      <c r="C9" s="838"/>
      <c r="D9" s="838"/>
      <c r="E9" s="838"/>
      <c r="F9" s="838"/>
      <c r="G9" s="838"/>
      <c r="H9" s="838"/>
      <c r="I9" s="326"/>
    </row>
    <row r="10" spans="1:9" s="304" customFormat="1" ht="17.25" customHeight="1">
      <c r="A10" s="251" t="s">
        <v>148</v>
      </c>
      <c r="B10" s="840">
        <v>24589.412524329851</v>
      </c>
      <c r="C10" s="840">
        <v>779.40546326539334</v>
      </c>
      <c r="D10" s="840">
        <v>40.175539343577199</v>
      </c>
      <c r="E10" s="840">
        <v>443.93970974652598</v>
      </c>
      <c r="F10" s="840">
        <v>564.46632777725677</v>
      </c>
      <c r="G10" s="840">
        <v>28.122877540504039</v>
      </c>
      <c r="H10" s="840">
        <v>38.166762376398339</v>
      </c>
      <c r="I10" s="327"/>
    </row>
    <row r="11" spans="1:9" ht="17.25" customHeight="1">
      <c r="A11" s="328" t="s">
        <v>148</v>
      </c>
      <c r="B11" s="839">
        <v>8362.5121834647161</v>
      </c>
      <c r="C11" s="839">
        <v>82.359855654333273</v>
      </c>
      <c r="D11" s="839">
        <v>6.0263309015365785</v>
      </c>
      <c r="E11" s="839">
        <v>26.114100573325178</v>
      </c>
      <c r="F11" s="839">
        <v>72.31597081843897</v>
      </c>
      <c r="G11" s="839">
        <v>0</v>
      </c>
      <c r="H11" s="839">
        <v>4.0175539343577187</v>
      </c>
      <c r="I11" s="325"/>
    </row>
    <row r="12" spans="1:9" ht="17.25" customHeight="1">
      <c r="A12" s="328" t="s">
        <v>149</v>
      </c>
      <c r="B12" s="839">
        <v>9511.5589395926836</v>
      </c>
      <c r="C12" s="839">
        <v>437.91337884498944</v>
      </c>
      <c r="D12" s="839">
        <v>20.087769671788596</v>
      </c>
      <c r="E12" s="839">
        <v>233.01812819274707</v>
      </c>
      <c r="F12" s="839">
        <v>327.43064565015288</v>
      </c>
      <c r="G12" s="839">
        <v>22.096546638967457</v>
      </c>
      <c r="H12" s="839">
        <v>22.096546638967457</v>
      </c>
      <c r="I12" s="325"/>
    </row>
    <row r="13" spans="1:9" ht="17.25" customHeight="1">
      <c r="A13" s="328" t="s">
        <v>150</v>
      </c>
      <c r="B13" s="839">
        <v>2806.2614231489351</v>
      </c>
      <c r="C13" s="839">
        <v>174.76359614456052</v>
      </c>
      <c r="D13" s="839">
        <v>2.0087769671788593</v>
      </c>
      <c r="E13" s="839">
        <v>120.52661803073163</v>
      </c>
      <c r="F13" s="839">
        <v>114.50028712919504</v>
      </c>
      <c r="G13" s="839">
        <v>2.0087769671788593</v>
      </c>
      <c r="H13" s="839">
        <v>8.0351078687154374</v>
      </c>
      <c r="I13" s="325"/>
    </row>
    <row r="14" spans="1:9" ht="17.25" customHeight="1">
      <c r="A14" s="328" t="s">
        <v>151</v>
      </c>
      <c r="B14" s="839">
        <v>3909.0799781302467</v>
      </c>
      <c r="C14" s="839">
        <v>84.368632621512134</v>
      </c>
      <c r="D14" s="839">
        <v>12.052661803073155</v>
      </c>
      <c r="E14" s="839">
        <v>64.280862949723527</v>
      </c>
      <c r="F14" s="839">
        <v>50.219424179471503</v>
      </c>
      <c r="G14" s="839">
        <v>4.0175539343577187</v>
      </c>
      <c r="H14" s="839">
        <v>4.0175539343577187</v>
      </c>
      <c r="I14" s="325"/>
    </row>
    <row r="15" spans="1:9" s="304" customFormat="1" ht="17.25" customHeight="1">
      <c r="A15" s="251" t="s">
        <v>152</v>
      </c>
      <c r="B15" s="840">
        <v>9451.2956305773114</v>
      </c>
      <c r="C15" s="840">
        <v>431.8870479434529</v>
      </c>
      <c r="D15" s="840">
        <v>8.0351078687154374</v>
      </c>
      <c r="E15" s="840">
        <v>279.21999843786057</v>
      </c>
      <c r="F15" s="840">
        <v>229.00057425838938</v>
      </c>
      <c r="G15" s="840">
        <v>32.140431474861757</v>
      </c>
      <c r="H15" s="840">
        <v>8.0351078687154374</v>
      </c>
      <c r="I15" s="327"/>
    </row>
    <row r="16" spans="1:9" ht="17.25" customHeight="1">
      <c r="A16" s="328" t="s">
        <v>153</v>
      </c>
      <c r="B16" s="839">
        <v>5968.0763694887974</v>
      </c>
      <c r="C16" s="839">
        <v>186.8162579476336</v>
      </c>
      <c r="D16" s="839">
        <v>6.0263309015365785</v>
      </c>
      <c r="E16" s="839">
        <v>126.55294893226821</v>
      </c>
      <c r="F16" s="839">
        <v>92.403740490227577</v>
      </c>
      <c r="G16" s="839">
        <v>4.0175539343577187</v>
      </c>
      <c r="H16" s="839">
        <v>0</v>
      </c>
      <c r="I16" s="325"/>
    </row>
    <row r="17" spans="1:9" ht="17.25" customHeight="1">
      <c r="A17" s="328" t="s">
        <v>154</v>
      </c>
      <c r="B17" s="839">
        <v>546.38733507264715</v>
      </c>
      <c r="C17" s="839">
        <v>6.0263309015365785</v>
      </c>
      <c r="D17" s="839">
        <v>0</v>
      </c>
      <c r="E17" s="839">
        <v>0</v>
      </c>
      <c r="F17" s="839">
        <v>4.0175539343577187</v>
      </c>
      <c r="G17" s="839">
        <v>0</v>
      </c>
      <c r="H17" s="839">
        <v>2.0087769671788593</v>
      </c>
      <c r="I17" s="325"/>
    </row>
    <row r="18" spans="1:9" ht="17.25" customHeight="1">
      <c r="A18" s="328" t="s">
        <v>155</v>
      </c>
      <c r="B18" s="839">
        <v>1361.9507837472588</v>
      </c>
      <c r="C18" s="839">
        <v>128.56172589944705</v>
      </c>
      <c r="D18" s="839">
        <v>2.0087769671788593</v>
      </c>
      <c r="E18" s="839">
        <v>102.44762532612188</v>
      </c>
      <c r="F18" s="839">
        <v>46.201870245113781</v>
      </c>
      <c r="G18" s="839">
        <v>24.105323606146317</v>
      </c>
      <c r="H18" s="839">
        <v>4.0175539343577187</v>
      </c>
      <c r="I18" s="325"/>
    </row>
    <row r="19" spans="1:9" ht="17.25" customHeight="1">
      <c r="A19" s="328" t="s">
        <v>156</v>
      </c>
      <c r="B19" s="839">
        <v>1574.8811422682165</v>
      </c>
      <c r="C19" s="839">
        <v>110.48273319483732</v>
      </c>
      <c r="D19" s="839">
        <v>0</v>
      </c>
      <c r="E19" s="839">
        <v>50.219424179471503</v>
      </c>
      <c r="F19" s="839">
        <v>86.377409588690995</v>
      </c>
      <c r="G19" s="839">
        <v>4.0175539343577187</v>
      </c>
      <c r="H19" s="839">
        <v>2.0087769671788593</v>
      </c>
      <c r="I19" s="325"/>
    </row>
    <row r="20" spans="1:9" s="304" customFormat="1" ht="17.25" customHeight="1">
      <c r="A20" s="251" t="s">
        <v>157</v>
      </c>
      <c r="B20" s="840">
        <v>168090.43905971799</v>
      </c>
      <c r="C20" s="840">
        <v>630.7559676941587</v>
      </c>
      <c r="D20" s="840">
        <v>138.60561073534129</v>
      </c>
      <c r="E20" s="840">
        <v>425.86071704191636</v>
      </c>
      <c r="F20" s="840">
        <v>391.71150859987597</v>
      </c>
      <c r="G20" s="840">
        <v>76.333524752796691</v>
      </c>
      <c r="H20" s="840">
        <v>42.18431631075606</v>
      </c>
      <c r="I20" s="327"/>
    </row>
    <row r="21" spans="1:9" ht="17.25" customHeight="1">
      <c r="A21" s="328" t="s">
        <v>157</v>
      </c>
      <c r="B21" s="839">
        <v>95670.011838912455</v>
      </c>
      <c r="C21" s="839">
        <v>146.64071860405667</v>
      </c>
      <c r="D21" s="839">
        <v>52.228201146650363</v>
      </c>
      <c r="E21" s="839">
        <v>110.48273319483732</v>
      </c>
      <c r="F21" s="839">
        <v>84.368632621512134</v>
      </c>
      <c r="G21" s="839">
        <v>30.131654507682899</v>
      </c>
      <c r="H21" s="839">
        <v>18.078992704609735</v>
      </c>
      <c r="I21" s="325"/>
    </row>
    <row r="22" spans="1:9" ht="17.25" customHeight="1">
      <c r="A22" s="328" t="s">
        <v>158</v>
      </c>
      <c r="B22" s="839">
        <v>30806.603568644987</v>
      </c>
      <c r="C22" s="839">
        <v>337.47453048604712</v>
      </c>
      <c r="D22" s="839">
        <v>40.175539343577199</v>
      </c>
      <c r="E22" s="839">
        <v>210.92158155377976</v>
      </c>
      <c r="F22" s="839">
        <v>239.04445909428361</v>
      </c>
      <c r="G22" s="839">
        <v>36.157985409219478</v>
      </c>
      <c r="H22" s="839">
        <v>22.096546638967457</v>
      </c>
      <c r="I22" s="325"/>
    </row>
    <row r="23" spans="1:9" ht="17.25" customHeight="1">
      <c r="A23" s="328" t="s">
        <v>159</v>
      </c>
      <c r="B23" s="839">
        <v>41613.823652074636</v>
      </c>
      <c r="C23" s="839">
        <v>146.64071860405667</v>
      </c>
      <c r="D23" s="839">
        <v>46.201870245113781</v>
      </c>
      <c r="E23" s="839">
        <v>104.45640229330074</v>
      </c>
      <c r="F23" s="839">
        <v>68.298416884081249</v>
      </c>
      <c r="G23" s="839">
        <v>10.043884835894296</v>
      </c>
      <c r="H23" s="839">
        <v>2.0087769671788593</v>
      </c>
      <c r="I23" s="325"/>
    </row>
    <row r="24" spans="1:9" s="304" customFormat="1" ht="17.25" customHeight="1">
      <c r="A24" s="251" t="s">
        <v>160</v>
      </c>
      <c r="B24" s="840">
        <v>166465.33849326865</v>
      </c>
      <c r="C24" s="840">
        <v>311.36042991272211</v>
      </c>
      <c r="D24" s="840">
        <v>158.69338040712975</v>
      </c>
      <c r="E24" s="840">
        <v>172.75481917738168</v>
      </c>
      <c r="F24" s="840">
        <v>172.75481917738168</v>
      </c>
      <c r="G24" s="840">
        <v>68.298416884081249</v>
      </c>
      <c r="H24" s="840">
        <v>38.166762376398339</v>
      </c>
      <c r="I24" s="327"/>
    </row>
    <row r="25" spans="1:9" ht="17.25" customHeight="1">
      <c r="A25" s="328" t="s">
        <v>160</v>
      </c>
      <c r="B25" s="839">
        <v>166465.33849326865</v>
      </c>
      <c r="C25" s="839">
        <v>311.36042991272211</v>
      </c>
      <c r="D25" s="839">
        <v>158.69338040712975</v>
      </c>
      <c r="E25" s="839">
        <v>172.75481917738168</v>
      </c>
      <c r="F25" s="839">
        <v>172.75481917738168</v>
      </c>
      <c r="G25" s="839">
        <v>68.298416884081249</v>
      </c>
      <c r="H25" s="839">
        <v>38.166762376398339</v>
      </c>
      <c r="I25" s="325"/>
    </row>
    <row r="26" spans="1:9" s="304" customFormat="1" ht="17.25" customHeight="1">
      <c r="A26" s="251" t="s">
        <v>161</v>
      </c>
      <c r="B26" s="840">
        <v>6502.411042758431</v>
      </c>
      <c r="C26" s="840">
        <v>108.47395622765846</v>
      </c>
      <c r="D26" s="840">
        <v>62.272085982544667</v>
      </c>
      <c r="E26" s="840">
        <v>48.210647212292642</v>
      </c>
      <c r="F26" s="840">
        <v>36.157985409219478</v>
      </c>
      <c r="G26" s="840">
        <v>10.043884835894296</v>
      </c>
      <c r="H26" s="840">
        <v>2.0087769671788593</v>
      </c>
      <c r="I26" s="327"/>
    </row>
    <row r="27" spans="1:9" ht="17.25" customHeight="1">
      <c r="A27" s="328" t="s">
        <v>161</v>
      </c>
      <c r="B27" s="839">
        <v>6502.411042758431</v>
      </c>
      <c r="C27" s="839">
        <v>108.47395622765846</v>
      </c>
      <c r="D27" s="839">
        <v>62.272085982544667</v>
      </c>
      <c r="E27" s="839">
        <v>48.210647212292642</v>
      </c>
      <c r="F27" s="839">
        <v>36.157985409219478</v>
      </c>
      <c r="G27" s="839">
        <v>10.043884835894296</v>
      </c>
      <c r="H27" s="839">
        <v>2.0087769671788593</v>
      </c>
      <c r="I27" s="325"/>
    </row>
    <row r="28" spans="1:9" s="304" customFormat="1" ht="17.25" customHeight="1">
      <c r="A28" s="251" t="s">
        <v>162</v>
      </c>
      <c r="B28" s="840">
        <v>11210.98425382618</v>
      </c>
      <c r="C28" s="840">
        <v>303.32532204400673</v>
      </c>
      <c r="D28" s="840">
        <v>26.114100573325178</v>
      </c>
      <c r="E28" s="840">
        <v>132.57927983380475</v>
      </c>
      <c r="F28" s="840">
        <v>231.00935122556822</v>
      </c>
      <c r="G28" s="840">
        <v>38.166762376398339</v>
      </c>
      <c r="H28" s="840">
        <v>14.061438770252014</v>
      </c>
      <c r="I28" s="327"/>
    </row>
    <row r="29" spans="1:9" ht="17.25" customHeight="1">
      <c r="A29" s="328" t="s">
        <v>162</v>
      </c>
      <c r="B29" s="839">
        <v>11210.98425382618</v>
      </c>
      <c r="C29" s="839">
        <v>303.32532204400673</v>
      </c>
      <c r="D29" s="839">
        <v>26.114100573325178</v>
      </c>
      <c r="E29" s="839">
        <v>132.57927983380475</v>
      </c>
      <c r="F29" s="839">
        <v>231.00935122556822</v>
      </c>
      <c r="G29" s="839">
        <v>38.166762376398339</v>
      </c>
      <c r="H29" s="839">
        <v>14.061438770252014</v>
      </c>
      <c r="I29" s="325"/>
    </row>
    <row r="30" spans="1:9" s="304" customFormat="1" ht="17.25" customHeight="1">
      <c r="A30" s="251" t="s">
        <v>163</v>
      </c>
      <c r="B30" s="840">
        <v>36362.880659863782</v>
      </c>
      <c r="C30" s="840">
        <v>343.50086138758365</v>
      </c>
      <c r="D30" s="840">
        <v>38.166762376398339</v>
      </c>
      <c r="E30" s="840">
        <v>184.80748098045476</v>
      </c>
      <c r="F30" s="840">
        <v>279.21999843786057</v>
      </c>
      <c r="G30" s="840">
        <v>32.140431474861757</v>
      </c>
      <c r="H30" s="840">
        <v>22.096546638967457</v>
      </c>
      <c r="I30" s="327"/>
    </row>
    <row r="31" spans="1:9" ht="17.25" customHeight="1">
      <c r="A31" s="328" t="s">
        <v>163</v>
      </c>
      <c r="B31" s="839">
        <v>36362.880659863782</v>
      </c>
      <c r="C31" s="839">
        <v>343.50086138758365</v>
      </c>
      <c r="D31" s="839">
        <v>38.166762376398339</v>
      </c>
      <c r="E31" s="839">
        <v>184.80748098045476</v>
      </c>
      <c r="F31" s="839">
        <v>279.21999843786057</v>
      </c>
      <c r="G31" s="839">
        <v>32.140431474861757</v>
      </c>
      <c r="H31" s="839">
        <v>22.096546638967457</v>
      </c>
      <c r="I31" s="325"/>
    </row>
  </sheetData>
  <mergeCells count="5">
    <mergeCell ref="A1:H1"/>
    <mergeCell ref="B2:B3"/>
    <mergeCell ref="C2:C3"/>
    <mergeCell ref="D2:H2"/>
    <mergeCell ref="A2:A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AA9E-9E65-481F-BAF2-054D613C6D5E}">
  <dimension ref="A1:F31"/>
  <sheetViews>
    <sheetView workbookViewId="0">
      <selection activeCell="H7" sqref="H7"/>
    </sheetView>
  </sheetViews>
  <sheetFormatPr defaultRowHeight="15.75" customHeight="1"/>
  <cols>
    <col min="1" max="1" width="18.85546875" style="300" customWidth="1"/>
    <col min="2" max="2" width="20.28515625" style="330" customWidth="1"/>
    <col min="3" max="3" width="21.42578125" style="330" customWidth="1"/>
    <col min="4" max="4" width="9.140625" style="330"/>
    <col min="5" max="5" width="14.28515625" style="330" customWidth="1"/>
    <col min="6" max="6" width="12.42578125" style="330" customWidth="1"/>
    <col min="7" max="16384" width="9.140625" style="300"/>
  </cols>
  <sheetData>
    <row r="1" spans="1:6" ht="27.75" customHeight="1" thickBot="1">
      <c r="A1" s="1166" t="s">
        <v>381</v>
      </c>
      <c r="B1" s="1166"/>
      <c r="C1" s="1166"/>
      <c r="D1" s="1166"/>
      <c r="E1" s="1166"/>
      <c r="F1" s="1166"/>
    </row>
    <row r="2" spans="1:6" ht="19.5" customHeight="1">
      <c r="A2" s="1168" t="s">
        <v>495</v>
      </c>
      <c r="B2" s="1164" t="s">
        <v>336</v>
      </c>
      <c r="C2" s="1165" t="s">
        <v>382</v>
      </c>
      <c r="D2" s="1167" t="s">
        <v>549</v>
      </c>
      <c r="E2" s="1167"/>
      <c r="F2" s="1167"/>
    </row>
    <row r="3" spans="1:6" ht="40.5" customHeight="1">
      <c r="A3" s="1169"/>
      <c r="B3" s="1164"/>
      <c r="C3" s="1165"/>
      <c r="D3" s="846" t="s">
        <v>383</v>
      </c>
      <c r="E3" s="846" t="s">
        <v>384</v>
      </c>
      <c r="F3" s="846" t="s">
        <v>385</v>
      </c>
    </row>
    <row r="4" spans="1:6" ht="15.75" customHeight="1">
      <c r="A4" s="252" t="s">
        <v>146</v>
      </c>
      <c r="B4" s="842">
        <v>422672.78799538844</v>
      </c>
      <c r="C4" s="842">
        <v>5550.25076031555</v>
      </c>
      <c r="D4" s="842">
        <v>2010.7857441460262</v>
      </c>
      <c r="E4" s="842">
        <v>2426.6025763520902</v>
      </c>
      <c r="F4" s="842">
        <v>2095.154376767543</v>
      </c>
    </row>
    <row r="5" spans="1:6" ht="15.75" customHeight="1">
      <c r="A5" s="253"/>
      <c r="B5" s="843"/>
      <c r="C5" s="843"/>
      <c r="D5" s="843"/>
      <c r="E5" s="843"/>
      <c r="F5" s="843"/>
    </row>
    <row r="6" spans="1:6" ht="15.75" customHeight="1">
      <c r="A6" s="252" t="s">
        <v>3</v>
      </c>
      <c r="B6" s="770"/>
      <c r="C6" s="844"/>
      <c r="D6" s="844"/>
      <c r="E6" s="844"/>
      <c r="F6" s="844"/>
    </row>
    <row r="7" spans="1:6" ht="15.75" customHeight="1">
      <c r="A7" s="254" t="s">
        <v>4</v>
      </c>
      <c r="B7" s="843">
        <v>371463.03677104594</v>
      </c>
      <c r="C7" s="843">
        <v>1751.653515379955</v>
      </c>
      <c r="D7" s="843">
        <v>725.16848515156448</v>
      </c>
      <c r="E7" s="843">
        <v>640.79985253005293</v>
      </c>
      <c r="F7" s="843">
        <v>622.72085982544331</v>
      </c>
    </row>
    <row r="8" spans="1:6" ht="15.75" customHeight="1">
      <c r="A8" s="254" t="s">
        <v>5</v>
      </c>
      <c r="B8" s="843">
        <v>51209.751224297761</v>
      </c>
      <c r="C8" s="843">
        <v>3798.5972449353976</v>
      </c>
      <c r="D8" s="843">
        <v>1285.6172589944626</v>
      </c>
      <c r="E8" s="843">
        <v>1785.8027238219954</v>
      </c>
      <c r="F8" s="843">
        <v>1472.4335169420954</v>
      </c>
    </row>
    <row r="9" spans="1:6" ht="15.75" customHeight="1">
      <c r="A9" s="847" t="s">
        <v>333</v>
      </c>
      <c r="B9" s="842"/>
      <c r="C9" s="842"/>
      <c r="D9" s="842"/>
      <c r="E9" s="842"/>
      <c r="F9" s="842"/>
    </row>
    <row r="10" spans="1:6" s="304" customFormat="1" ht="15.75" customHeight="1">
      <c r="A10" s="255" t="s">
        <v>148</v>
      </c>
      <c r="B10" s="845">
        <v>24589.412524329851</v>
      </c>
      <c r="C10" s="845">
        <v>819.58100260897027</v>
      </c>
      <c r="D10" s="845">
        <v>297.29899114247019</v>
      </c>
      <c r="E10" s="845">
        <v>375.6412928624452</v>
      </c>
      <c r="F10" s="845">
        <v>512.23812663060676</v>
      </c>
    </row>
    <row r="11" spans="1:6" ht="15.75" customHeight="1">
      <c r="A11" s="344" t="s">
        <v>148</v>
      </c>
      <c r="B11" s="843">
        <v>8362.5121834647161</v>
      </c>
      <c r="C11" s="843">
        <v>32.140431474861757</v>
      </c>
      <c r="D11" s="843">
        <v>18.078992704609735</v>
      </c>
      <c r="E11" s="843">
        <v>6.0263309015365785</v>
      </c>
      <c r="F11" s="843">
        <v>12.052661803073155</v>
      </c>
    </row>
    <row r="12" spans="1:6" ht="15.75" customHeight="1">
      <c r="A12" s="344" t="s">
        <v>149</v>
      </c>
      <c r="B12" s="843">
        <v>9511.5589395926836</v>
      </c>
      <c r="C12" s="843">
        <v>190.83381188199129</v>
      </c>
      <c r="D12" s="843">
        <v>58.254532048186945</v>
      </c>
      <c r="E12" s="843">
        <v>50.219424179471503</v>
      </c>
      <c r="F12" s="843">
        <v>96.421294424585298</v>
      </c>
    </row>
    <row r="13" spans="1:6" ht="15.75" customHeight="1">
      <c r="A13" s="344" t="s">
        <v>150</v>
      </c>
      <c r="B13" s="843">
        <v>2806.2614231489351</v>
      </c>
      <c r="C13" s="843">
        <v>359.57107712501443</v>
      </c>
      <c r="D13" s="843">
        <v>112.49151016201618</v>
      </c>
      <c r="E13" s="843">
        <v>154.67582647277206</v>
      </c>
      <c r="F13" s="843">
        <v>257.12345179889326</v>
      </c>
    </row>
    <row r="14" spans="1:6" ht="15.75" customHeight="1">
      <c r="A14" s="344" t="s">
        <v>151</v>
      </c>
      <c r="B14" s="843">
        <v>3909.0799781302467</v>
      </c>
      <c r="C14" s="843">
        <v>237.03568212710476</v>
      </c>
      <c r="D14" s="843">
        <v>108.47395622765846</v>
      </c>
      <c r="E14" s="843">
        <v>164.71971130866629</v>
      </c>
      <c r="F14" s="843">
        <v>146.64071860405667</v>
      </c>
    </row>
    <row r="15" spans="1:6" s="304" customFormat="1" ht="15.75" customHeight="1">
      <c r="A15" s="255" t="s">
        <v>152</v>
      </c>
      <c r="B15" s="845">
        <v>9451.2956305773114</v>
      </c>
      <c r="C15" s="845">
        <v>1506.5827253841358</v>
      </c>
      <c r="D15" s="845">
        <v>674.94906097209332</v>
      </c>
      <c r="E15" s="845">
        <v>365.59740802655097</v>
      </c>
      <c r="F15" s="845">
        <v>548.39611203982599</v>
      </c>
    </row>
    <row r="16" spans="1:6" ht="15.75" customHeight="1">
      <c r="A16" s="344" t="s">
        <v>153</v>
      </c>
      <c r="B16" s="843">
        <v>5968.0763694887974</v>
      </c>
      <c r="C16" s="843">
        <v>1044.5640229330011</v>
      </c>
      <c r="D16" s="843">
        <v>484.11524909010291</v>
      </c>
      <c r="E16" s="843">
        <v>120.52661803073163</v>
      </c>
      <c r="F16" s="843">
        <v>496.16791089317599</v>
      </c>
    </row>
    <row r="17" spans="1:6" ht="15.75" customHeight="1">
      <c r="A17" s="344" t="s">
        <v>154</v>
      </c>
      <c r="B17" s="843">
        <v>546.38733507264715</v>
      </c>
      <c r="C17" s="843">
        <v>44.193093277934921</v>
      </c>
      <c r="D17" s="843">
        <v>40.175539343577199</v>
      </c>
      <c r="E17" s="843">
        <v>0</v>
      </c>
      <c r="F17" s="843">
        <v>4.0175539343577187</v>
      </c>
    </row>
    <row r="18" spans="1:6" ht="15.75" customHeight="1">
      <c r="A18" s="344" t="s">
        <v>155</v>
      </c>
      <c r="B18" s="843">
        <v>1361.9507837472588</v>
      </c>
      <c r="C18" s="843">
        <v>273.19366753632403</v>
      </c>
      <c r="D18" s="843">
        <v>130.5705028666259</v>
      </c>
      <c r="E18" s="843">
        <v>136.59683376816244</v>
      </c>
      <c r="F18" s="843">
        <v>22.096546638967457</v>
      </c>
    </row>
    <row r="19" spans="1:6" ht="15.75" customHeight="1">
      <c r="A19" s="344" t="s">
        <v>156</v>
      </c>
      <c r="B19" s="843">
        <v>1574.8811422682165</v>
      </c>
      <c r="C19" s="843">
        <v>144.63194163687783</v>
      </c>
      <c r="D19" s="843">
        <v>20.087769671788596</v>
      </c>
      <c r="E19" s="843">
        <v>108.47395622765846</v>
      </c>
      <c r="F19" s="843">
        <v>26.114100573325178</v>
      </c>
    </row>
    <row r="20" spans="1:6" s="304" customFormat="1" ht="15.75" customHeight="1">
      <c r="A20" s="255" t="s">
        <v>157</v>
      </c>
      <c r="B20" s="845">
        <v>168090.43905971799</v>
      </c>
      <c r="C20" s="845">
        <v>1056.6166847360741</v>
      </c>
      <c r="D20" s="845">
        <v>421.84316310755867</v>
      </c>
      <c r="E20" s="845">
        <v>291.27266024093365</v>
      </c>
      <c r="F20" s="845">
        <v>472.06258728702983</v>
      </c>
    </row>
    <row r="21" spans="1:6" ht="15.75" customHeight="1">
      <c r="A21" s="344" t="s">
        <v>157</v>
      </c>
      <c r="B21" s="843">
        <v>95670.011838912455</v>
      </c>
      <c r="C21" s="843">
        <v>116.5090640963739</v>
      </c>
      <c r="D21" s="843">
        <v>52.228201146650363</v>
      </c>
      <c r="E21" s="843">
        <v>30.131654507682899</v>
      </c>
      <c r="F21" s="843">
        <v>52.228201146650363</v>
      </c>
    </row>
    <row r="22" spans="1:6" ht="15.75" customHeight="1">
      <c r="A22" s="344" t="s">
        <v>158</v>
      </c>
      <c r="B22" s="843">
        <v>30806.603568644987</v>
      </c>
      <c r="C22" s="843">
        <v>825.60733351050681</v>
      </c>
      <c r="D22" s="843">
        <v>325.42186868297404</v>
      </c>
      <c r="E22" s="843">
        <v>198.86891975070668</v>
      </c>
      <c r="F22" s="843">
        <v>383.67640073116058</v>
      </c>
    </row>
    <row r="23" spans="1:6" ht="15.75" customHeight="1">
      <c r="A23" s="344" t="s">
        <v>159</v>
      </c>
      <c r="B23" s="843">
        <v>41613.823652074636</v>
      </c>
      <c r="C23" s="843">
        <v>114.50028712919504</v>
      </c>
      <c r="D23" s="843">
        <v>44.193093277934921</v>
      </c>
      <c r="E23" s="843">
        <v>62.272085982544667</v>
      </c>
      <c r="F23" s="843">
        <v>36.157985409219478</v>
      </c>
    </row>
    <row r="24" spans="1:6" s="304" customFormat="1" ht="15.75" customHeight="1">
      <c r="A24" s="255" t="s">
        <v>160</v>
      </c>
      <c r="B24" s="845">
        <v>166465.33849326865</v>
      </c>
      <c r="C24" s="845">
        <v>299.30776810964903</v>
      </c>
      <c r="D24" s="845">
        <v>178.78115007891822</v>
      </c>
      <c r="E24" s="845">
        <v>108.47395622765846</v>
      </c>
      <c r="F24" s="845">
        <v>114.50028712919504</v>
      </c>
    </row>
    <row r="25" spans="1:6" ht="15.75" customHeight="1">
      <c r="A25" s="344" t="s">
        <v>160</v>
      </c>
      <c r="B25" s="843">
        <v>166465.33849326865</v>
      </c>
      <c r="C25" s="843">
        <v>299.30776810964903</v>
      </c>
      <c r="D25" s="843">
        <v>178.78115007891822</v>
      </c>
      <c r="E25" s="843">
        <v>108.47395622765846</v>
      </c>
      <c r="F25" s="843">
        <v>114.50028712919504</v>
      </c>
    </row>
    <row r="26" spans="1:6" s="304" customFormat="1" ht="15.75" customHeight="1">
      <c r="A26" s="255" t="s">
        <v>161</v>
      </c>
      <c r="B26" s="845">
        <v>6502.411042758431</v>
      </c>
      <c r="C26" s="845">
        <v>930.06373580380682</v>
      </c>
      <c r="D26" s="845">
        <v>56.245755081008085</v>
      </c>
      <c r="E26" s="845">
        <v>885.8706425258722</v>
      </c>
      <c r="F26" s="845">
        <v>166.72848827584514</v>
      </c>
    </row>
    <row r="27" spans="1:6" ht="15.75" customHeight="1">
      <c r="A27" s="344" t="s">
        <v>161</v>
      </c>
      <c r="B27" s="843">
        <v>6502.411042758431</v>
      </c>
      <c r="C27" s="843">
        <v>930.06373580380682</v>
      </c>
      <c r="D27" s="843">
        <v>56.245755081008085</v>
      </c>
      <c r="E27" s="843">
        <v>885.8706425258722</v>
      </c>
      <c r="F27" s="843">
        <v>166.72848827584514</v>
      </c>
    </row>
    <row r="28" spans="1:6" s="304" customFormat="1" ht="15.75" customHeight="1">
      <c r="A28" s="255" t="s">
        <v>162</v>
      </c>
      <c r="B28" s="845">
        <v>11210.98425382618</v>
      </c>
      <c r="C28" s="845">
        <v>594.59798228493946</v>
      </c>
      <c r="D28" s="845">
        <v>267.16733663478749</v>
      </c>
      <c r="E28" s="845">
        <v>263.1497827004298</v>
      </c>
      <c r="F28" s="845">
        <v>82.359855654333273</v>
      </c>
    </row>
    <row r="29" spans="1:6" ht="15.75" customHeight="1">
      <c r="A29" s="344" t="s">
        <v>162</v>
      </c>
      <c r="B29" s="843">
        <v>11210.98425382618</v>
      </c>
      <c r="C29" s="843">
        <v>594.59798228493946</v>
      </c>
      <c r="D29" s="843">
        <v>267.16733663478749</v>
      </c>
      <c r="E29" s="843">
        <v>263.1497827004298</v>
      </c>
      <c r="F29" s="843">
        <v>82.359855654333273</v>
      </c>
    </row>
    <row r="30" spans="1:6" s="304" customFormat="1" ht="15.75" customHeight="1">
      <c r="A30" s="255" t="s">
        <v>163</v>
      </c>
      <c r="B30" s="845">
        <v>36362.880659863782</v>
      </c>
      <c r="C30" s="845">
        <v>343.50086138758365</v>
      </c>
      <c r="D30" s="845">
        <v>114.50028712919504</v>
      </c>
      <c r="E30" s="845">
        <v>136.59683376816244</v>
      </c>
      <c r="F30" s="845">
        <v>198.86891975070668</v>
      </c>
    </row>
    <row r="31" spans="1:6" ht="15.75" customHeight="1">
      <c r="A31" s="344" t="s">
        <v>163</v>
      </c>
      <c r="B31" s="843">
        <v>36362.880659863782</v>
      </c>
      <c r="C31" s="843">
        <v>343.50086138758365</v>
      </c>
      <c r="D31" s="843">
        <v>114.50028712919504</v>
      </c>
      <c r="E31" s="843">
        <v>136.59683376816244</v>
      </c>
      <c r="F31" s="843">
        <v>198.86891975070668</v>
      </c>
    </row>
  </sheetData>
  <mergeCells count="5">
    <mergeCell ref="B2:B3"/>
    <mergeCell ref="C2:C3"/>
    <mergeCell ref="A1:F1"/>
    <mergeCell ref="D2:F2"/>
    <mergeCell ref="A2:A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191C-BC33-465A-921C-E3129CC87C45}">
  <dimension ref="A1:L31"/>
  <sheetViews>
    <sheetView zoomScaleNormal="100" workbookViewId="0">
      <selection activeCell="B14" sqref="B13:B14"/>
    </sheetView>
  </sheetViews>
  <sheetFormatPr defaultRowHeight="15"/>
  <cols>
    <col min="1" max="1" width="20.5703125" style="318" customWidth="1"/>
    <col min="2" max="2" width="16.140625" style="339" customWidth="1"/>
    <col min="3" max="4" width="9.42578125" style="318" bestFit="1" customWidth="1"/>
    <col min="5" max="5" width="12.5703125" style="318" customWidth="1"/>
    <col min="6" max="6" width="10" style="318" customWidth="1"/>
    <col min="7" max="7" width="10.5703125" style="318" customWidth="1"/>
    <col min="8" max="8" width="13.42578125" style="318" customWidth="1"/>
    <col min="9" max="9" width="12" style="318" customWidth="1"/>
    <col min="10" max="10" width="11.85546875" style="318" customWidth="1"/>
    <col min="11" max="11" width="10.140625" style="318" customWidth="1"/>
    <col min="12" max="12" width="10.85546875" style="318" customWidth="1"/>
    <col min="13" max="16384" width="9.140625" style="318"/>
  </cols>
  <sheetData>
    <row r="1" spans="1:12" ht="15.75" customHeight="1" thickBot="1">
      <c r="A1" s="1170" t="s">
        <v>550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</row>
    <row r="2" spans="1:12" ht="15.75" customHeight="1">
      <c r="A2" s="1108" t="s">
        <v>495</v>
      </c>
      <c r="B2" s="1172" t="s">
        <v>289</v>
      </c>
      <c r="C2" s="1171" t="s">
        <v>551</v>
      </c>
      <c r="D2" s="1171"/>
      <c r="E2" s="1171"/>
      <c r="F2" s="1171"/>
      <c r="G2" s="1171"/>
      <c r="H2" s="1171"/>
      <c r="I2" s="1171"/>
      <c r="J2" s="1171"/>
      <c r="K2" s="1171"/>
      <c r="L2" s="1171"/>
    </row>
    <row r="3" spans="1:12" ht="15" customHeight="1">
      <c r="A3" s="1108"/>
      <c r="B3" s="1173"/>
      <c r="C3" s="616"/>
      <c r="D3" s="616"/>
      <c r="E3" s="616"/>
      <c r="F3" s="616"/>
      <c r="G3" s="616"/>
      <c r="H3" s="616"/>
      <c r="I3" s="616"/>
      <c r="J3" s="616"/>
      <c r="K3" s="616"/>
      <c r="L3" s="616"/>
    </row>
    <row r="4" spans="1:12" s="856" customFormat="1" ht="18.75" customHeight="1">
      <c r="A4" s="853" t="s">
        <v>146</v>
      </c>
      <c r="B4" s="854">
        <v>422672.78799538844</v>
      </c>
      <c r="C4" s="855">
        <v>185635.09709107591</v>
      </c>
      <c r="D4" s="855">
        <v>270526.01172414044</v>
      </c>
      <c r="E4" s="855">
        <v>64300.950719415639</v>
      </c>
      <c r="F4" s="855">
        <v>59986.097793911082</v>
      </c>
      <c r="G4" s="855">
        <v>82076.618101999353</v>
      </c>
      <c r="H4" s="855">
        <v>70937.949818981302</v>
      </c>
      <c r="I4" s="855">
        <v>75875.523604311937</v>
      </c>
      <c r="J4" s="855">
        <v>53923.608906959147</v>
      </c>
      <c r="K4" s="855">
        <v>50349.994682344339</v>
      </c>
      <c r="L4" s="855">
        <v>176567.47786122136</v>
      </c>
    </row>
    <row r="5" spans="1:12" ht="18.75" customHeight="1">
      <c r="A5" s="257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</row>
    <row r="6" spans="1:12">
      <c r="A6" s="259" t="s">
        <v>3</v>
      </c>
      <c r="B6" s="770"/>
      <c r="C6" s="770"/>
      <c r="D6" s="770"/>
      <c r="E6" s="770"/>
      <c r="F6" s="770"/>
      <c r="G6" s="770"/>
      <c r="H6" s="770"/>
      <c r="I6" s="770"/>
      <c r="J6" s="770"/>
      <c r="K6" s="256"/>
      <c r="L6" s="256"/>
    </row>
    <row r="7" spans="1:12" ht="15" customHeight="1">
      <c r="A7" s="260" t="s">
        <v>4</v>
      </c>
      <c r="B7" s="848">
        <v>371463.03677104594</v>
      </c>
      <c r="C7" s="342">
        <v>166989.62928170286</v>
      </c>
      <c r="D7" s="342">
        <v>255323.58763651544</v>
      </c>
      <c r="E7" s="342">
        <v>58768.778951799461</v>
      </c>
      <c r="F7" s="342">
        <v>55488.446164393063</v>
      </c>
      <c r="G7" s="342">
        <v>77382.106329697606</v>
      </c>
      <c r="H7" s="342">
        <v>66247.455600613917</v>
      </c>
      <c r="I7" s="342">
        <v>71172.976724141467</v>
      </c>
      <c r="J7" s="342">
        <v>48198.594550493603</v>
      </c>
      <c r="K7" s="342">
        <v>45868.413268563767</v>
      </c>
      <c r="L7" s="342">
        <v>169735.62739583914</v>
      </c>
    </row>
    <row r="8" spans="1:12">
      <c r="A8" s="260" t="s">
        <v>5</v>
      </c>
      <c r="B8" s="848">
        <v>51209.751224297761</v>
      </c>
      <c r="C8" s="342">
        <v>18645.467809353886</v>
      </c>
      <c r="D8" s="342">
        <v>15202.424087611</v>
      </c>
      <c r="E8" s="342">
        <v>5532.1717676109383</v>
      </c>
      <c r="F8" s="342">
        <v>4497.6516295137153</v>
      </c>
      <c r="G8" s="342">
        <v>4694.5117722972645</v>
      </c>
      <c r="H8" s="342">
        <v>4690.4942183629064</v>
      </c>
      <c r="I8" s="342">
        <v>4702.5468801659808</v>
      </c>
      <c r="J8" s="342">
        <v>5725.0143564601294</v>
      </c>
      <c r="K8" s="342">
        <v>4481.5814137762827</v>
      </c>
      <c r="L8" s="342">
        <v>6831.8504653757991</v>
      </c>
    </row>
    <row r="9" spans="1:12">
      <c r="A9" s="259" t="s">
        <v>333</v>
      </c>
      <c r="B9" s="849"/>
      <c r="C9" s="343"/>
      <c r="D9" s="343"/>
      <c r="E9" s="343"/>
      <c r="F9" s="343"/>
      <c r="G9" s="343"/>
      <c r="H9" s="343"/>
      <c r="I9" s="343"/>
      <c r="J9" s="343"/>
      <c r="K9" s="343"/>
      <c r="L9" s="343"/>
    </row>
    <row r="10" spans="1:12" s="320" customFormat="1">
      <c r="A10" s="261" t="s">
        <v>148</v>
      </c>
      <c r="B10" s="850">
        <v>24589.412524329851</v>
      </c>
      <c r="C10" s="341">
        <v>7759.9054242125312</v>
      </c>
      <c r="D10" s="341">
        <v>7691.6070073284427</v>
      </c>
      <c r="E10" s="341">
        <v>3039.2795513417077</v>
      </c>
      <c r="F10" s="341">
        <v>2259.8740880762271</v>
      </c>
      <c r="G10" s="341">
        <v>2328.1725049603156</v>
      </c>
      <c r="H10" s="341">
        <v>2334.1988358618528</v>
      </c>
      <c r="I10" s="341">
        <v>2468.7868926628507</v>
      </c>
      <c r="J10" s="341">
        <v>2649.5768197089674</v>
      </c>
      <c r="K10" s="341">
        <v>2267.9091959449433</v>
      </c>
      <c r="L10" s="341">
        <v>3868.9044387866652</v>
      </c>
    </row>
    <row r="11" spans="1:12">
      <c r="A11" s="340" t="s">
        <v>148</v>
      </c>
      <c r="B11" s="848">
        <v>8362.5121834647161</v>
      </c>
      <c r="C11" s="342">
        <v>2991.0689041294099</v>
      </c>
      <c r="D11" s="342">
        <v>4453.4585362357757</v>
      </c>
      <c r="E11" s="342">
        <v>1406.1438770251934</v>
      </c>
      <c r="F11" s="342">
        <v>944.12517457405875</v>
      </c>
      <c r="G11" s="342">
        <v>1088.7571162109357</v>
      </c>
      <c r="H11" s="342">
        <v>998.3621526878876</v>
      </c>
      <c r="I11" s="342">
        <v>1038.5376920314645</v>
      </c>
      <c r="J11" s="342">
        <v>1114.8712167842607</v>
      </c>
      <c r="K11" s="342">
        <v>954.16905940995298</v>
      </c>
      <c r="L11" s="342">
        <v>2089.1280458660058</v>
      </c>
    </row>
    <row r="12" spans="1:12">
      <c r="A12" s="340" t="s">
        <v>149</v>
      </c>
      <c r="B12" s="848">
        <v>9511.5589395926836</v>
      </c>
      <c r="C12" s="342">
        <v>2615.4276112669231</v>
      </c>
      <c r="D12" s="342">
        <v>1392.0824382549415</v>
      </c>
      <c r="E12" s="342">
        <v>877.83553465715681</v>
      </c>
      <c r="F12" s="342">
        <v>687.0017227751664</v>
      </c>
      <c r="G12" s="342">
        <v>644.81740646441062</v>
      </c>
      <c r="H12" s="342">
        <v>680.97539187362986</v>
      </c>
      <c r="I12" s="342">
        <v>753.29136269206833</v>
      </c>
      <c r="J12" s="342">
        <v>807.52834080589719</v>
      </c>
      <c r="K12" s="342">
        <v>674.94906097209332</v>
      </c>
      <c r="L12" s="342">
        <v>855.7389880181895</v>
      </c>
    </row>
    <row r="13" spans="1:12">
      <c r="A13" s="340" t="s">
        <v>150</v>
      </c>
      <c r="B13" s="848">
        <v>2806.2614231489351</v>
      </c>
      <c r="C13" s="342">
        <v>821.58977957614911</v>
      </c>
      <c r="D13" s="342">
        <v>351.53596925629904</v>
      </c>
      <c r="E13" s="342">
        <v>243.0620130286413</v>
      </c>
      <c r="F13" s="342">
        <v>160.7021573743086</v>
      </c>
      <c r="G13" s="342">
        <v>148.64949557123552</v>
      </c>
      <c r="H13" s="342">
        <v>174.76359614456052</v>
      </c>
      <c r="I13" s="342">
        <v>172.75481917738168</v>
      </c>
      <c r="J13" s="342">
        <v>226.99179729121053</v>
      </c>
      <c r="K13" s="342">
        <v>188.82503491481245</v>
      </c>
      <c r="L13" s="342">
        <v>174.76359614456052</v>
      </c>
    </row>
    <row r="14" spans="1:12">
      <c r="A14" s="340" t="s">
        <v>151</v>
      </c>
      <c r="B14" s="848">
        <v>3909.0799781302467</v>
      </c>
      <c r="C14" s="342">
        <v>1331.8191292395761</v>
      </c>
      <c r="D14" s="342">
        <v>1494.5300635810627</v>
      </c>
      <c r="E14" s="342">
        <v>512.23812663060676</v>
      </c>
      <c r="F14" s="342">
        <v>468.04503335267214</v>
      </c>
      <c r="G14" s="342">
        <v>445.94848671370482</v>
      </c>
      <c r="H14" s="342">
        <v>480.09769515574521</v>
      </c>
      <c r="I14" s="342">
        <v>504.20301876189137</v>
      </c>
      <c r="J14" s="342">
        <v>500.18546482753368</v>
      </c>
      <c r="K14" s="342">
        <v>449.96604064806252</v>
      </c>
      <c r="L14" s="342">
        <v>749.27380875771064</v>
      </c>
    </row>
    <row r="15" spans="1:12" s="320" customFormat="1">
      <c r="A15" s="261" t="s">
        <v>152</v>
      </c>
      <c r="B15" s="850">
        <v>9451.2956305773114</v>
      </c>
      <c r="C15" s="341">
        <v>2693.769912986907</v>
      </c>
      <c r="D15" s="341">
        <v>1850.0835867717185</v>
      </c>
      <c r="E15" s="341">
        <v>771.37035539667795</v>
      </c>
      <c r="F15" s="341">
        <v>580.53654351468754</v>
      </c>
      <c r="G15" s="341">
        <v>672.94028400491447</v>
      </c>
      <c r="H15" s="341">
        <v>648.83496039876832</v>
      </c>
      <c r="I15" s="341">
        <v>626.73841375980101</v>
      </c>
      <c r="J15" s="341">
        <v>1205.2661803073088</v>
      </c>
      <c r="K15" s="341">
        <v>644.81740646441062</v>
      </c>
      <c r="L15" s="341">
        <v>998.3621526878876</v>
      </c>
    </row>
    <row r="16" spans="1:12">
      <c r="A16" s="340" t="s">
        <v>153</v>
      </c>
      <c r="B16" s="848">
        <v>5968.0763694887974</v>
      </c>
      <c r="C16" s="342">
        <v>1675.3199906271589</v>
      </c>
      <c r="D16" s="342">
        <v>1416.1877618610877</v>
      </c>
      <c r="E16" s="342">
        <v>604.64186712083369</v>
      </c>
      <c r="F16" s="342">
        <v>443.93970974652598</v>
      </c>
      <c r="G16" s="342">
        <v>516.25568056496445</v>
      </c>
      <c r="H16" s="342">
        <v>496.16791089317599</v>
      </c>
      <c r="I16" s="342">
        <v>484.11524909010291</v>
      </c>
      <c r="J16" s="342">
        <v>687.0017227751664</v>
      </c>
      <c r="K16" s="342">
        <v>476.08014122138752</v>
      </c>
      <c r="L16" s="342">
        <v>861.76531891972604</v>
      </c>
    </row>
    <row r="17" spans="1:12">
      <c r="A17" s="340" t="s">
        <v>154</v>
      </c>
      <c r="B17" s="848">
        <v>546.38733507264715</v>
      </c>
      <c r="C17" s="342">
        <v>237.03568212710476</v>
      </c>
      <c r="D17" s="342">
        <v>68.298416884081249</v>
      </c>
      <c r="E17" s="342">
        <v>34.149208442040617</v>
      </c>
      <c r="F17" s="342">
        <v>24.105323606146317</v>
      </c>
      <c r="G17" s="342">
        <v>24.105323606146317</v>
      </c>
      <c r="H17" s="342">
        <v>34.149208442040617</v>
      </c>
      <c r="I17" s="342">
        <v>18.078992704609735</v>
      </c>
      <c r="J17" s="342">
        <v>114.50028712919504</v>
      </c>
      <c r="K17" s="342">
        <v>34.149208442040617</v>
      </c>
      <c r="L17" s="342">
        <v>24.105323606146317</v>
      </c>
    </row>
    <row r="18" spans="1:12">
      <c r="A18" s="340" t="s">
        <v>155</v>
      </c>
      <c r="B18" s="848">
        <v>1361.9507837472588</v>
      </c>
      <c r="C18" s="342">
        <v>502.19424179471253</v>
      </c>
      <c r="D18" s="342">
        <v>120.52661803073163</v>
      </c>
      <c r="E18" s="342">
        <v>64.280862949723527</v>
      </c>
      <c r="F18" s="342">
        <v>30.131654507682899</v>
      </c>
      <c r="G18" s="342">
        <v>46.201870245113781</v>
      </c>
      <c r="H18" s="342">
        <v>42.18431631075606</v>
      </c>
      <c r="I18" s="342">
        <v>44.193093277934921</v>
      </c>
      <c r="J18" s="342">
        <v>194.85136581634899</v>
      </c>
      <c r="K18" s="342">
        <v>52.228201146650363</v>
      </c>
      <c r="L18" s="342">
        <v>34.149208442040617</v>
      </c>
    </row>
    <row r="19" spans="1:12">
      <c r="A19" s="340" t="s">
        <v>156</v>
      </c>
      <c r="B19" s="848">
        <v>1574.8811422682165</v>
      </c>
      <c r="C19" s="342">
        <v>279.21999843786057</v>
      </c>
      <c r="D19" s="342">
        <v>245.07078999582015</v>
      </c>
      <c r="E19" s="342">
        <v>68.298416884081249</v>
      </c>
      <c r="F19" s="342">
        <v>82.359855654333273</v>
      </c>
      <c r="G19" s="342">
        <v>86.377409588690995</v>
      </c>
      <c r="H19" s="342">
        <v>76.333524752796691</v>
      </c>
      <c r="I19" s="342">
        <v>80.351078687154413</v>
      </c>
      <c r="J19" s="342">
        <v>208.91280458660091</v>
      </c>
      <c r="K19" s="342">
        <v>82.359855654333273</v>
      </c>
      <c r="L19" s="342">
        <v>78.342301719975552</v>
      </c>
    </row>
    <row r="20" spans="1:12" s="320" customFormat="1">
      <c r="A20" s="261" t="s">
        <v>157</v>
      </c>
      <c r="B20" s="850">
        <v>168090.43905971799</v>
      </c>
      <c r="C20" s="341">
        <v>78442.740568369118</v>
      </c>
      <c r="D20" s="341">
        <v>107142.13709848253</v>
      </c>
      <c r="E20" s="341">
        <v>29635.486596780647</v>
      </c>
      <c r="F20" s="341">
        <v>24910.843169979744</v>
      </c>
      <c r="G20" s="341">
        <v>31859.202699445868</v>
      </c>
      <c r="H20" s="341">
        <v>30153.751054312379</v>
      </c>
      <c r="I20" s="341">
        <v>29928.768033988526</v>
      </c>
      <c r="J20" s="341">
        <v>23372.120013121967</v>
      </c>
      <c r="K20" s="341">
        <v>21994.09901363837</v>
      </c>
      <c r="L20" s="341">
        <v>61496.698073231113</v>
      </c>
    </row>
    <row r="21" spans="1:12">
      <c r="A21" s="340" t="s">
        <v>157</v>
      </c>
      <c r="B21" s="848">
        <v>95670.011838912455</v>
      </c>
      <c r="C21" s="342">
        <v>44783.673706286085</v>
      </c>
      <c r="D21" s="342">
        <v>61006.556493238975</v>
      </c>
      <c r="E21" s="342">
        <v>20499.568950058492</v>
      </c>
      <c r="F21" s="342">
        <v>17010.323358071601</v>
      </c>
      <c r="G21" s="342">
        <v>22100.564192898764</v>
      </c>
      <c r="H21" s="342">
        <v>21522.036426351715</v>
      </c>
      <c r="I21" s="342">
        <v>20624.113122023482</v>
      </c>
      <c r="J21" s="342">
        <v>13782.218771815395</v>
      </c>
      <c r="K21" s="342">
        <v>13963.008698861511</v>
      </c>
      <c r="L21" s="342">
        <v>39082.764673426711</v>
      </c>
    </row>
    <row r="22" spans="1:12">
      <c r="A22" s="340" t="s">
        <v>158</v>
      </c>
      <c r="B22" s="848">
        <v>30806.603568644987</v>
      </c>
      <c r="C22" s="342">
        <v>14601.799774424457</v>
      </c>
      <c r="D22" s="342">
        <v>17339.76278068867</v>
      </c>
      <c r="E22" s="342">
        <v>3666.0179651015787</v>
      </c>
      <c r="F22" s="342">
        <v>2663.6382584792209</v>
      </c>
      <c r="G22" s="342">
        <v>3222.0782553550034</v>
      </c>
      <c r="H22" s="342">
        <v>3121.6394069960497</v>
      </c>
      <c r="I22" s="342">
        <v>3414.9208442041945</v>
      </c>
      <c r="J22" s="342">
        <v>4025.589042226633</v>
      </c>
      <c r="K22" s="342">
        <v>2944.8670338842912</v>
      </c>
      <c r="L22" s="342">
        <v>7408.3694549561933</v>
      </c>
    </row>
    <row r="23" spans="1:12">
      <c r="A23" s="340" t="s">
        <v>159</v>
      </c>
      <c r="B23" s="848">
        <v>41613.823652074636</v>
      </c>
      <c r="C23" s="342">
        <v>19057.267087625223</v>
      </c>
      <c r="D23" s="342">
        <v>28795.817824500555</v>
      </c>
      <c r="E23" s="342">
        <v>5469.899681628387</v>
      </c>
      <c r="F23" s="342">
        <v>5236.8815534356145</v>
      </c>
      <c r="G23" s="342">
        <v>6536.5602512004752</v>
      </c>
      <c r="H23" s="342">
        <v>5510.0752209719685</v>
      </c>
      <c r="I23" s="342">
        <v>5889.7340677688135</v>
      </c>
      <c r="J23" s="342">
        <v>5564.3121990858035</v>
      </c>
      <c r="K23" s="342">
        <v>5086.2232808971839</v>
      </c>
      <c r="L23" s="342">
        <v>15005.563944827451</v>
      </c>
    </row>
    <row r="24" spans="1:12" s="320" customFormat="1">
      <c r="A24" s="261" t="s">
        <v>160</v>
      </c>
      <c r="B24" s="850">
        <v>166465.33849326865</v>
      </c>
      <c r="C24" s="341">
        <v>74802.83670383734</v>
      </c>
      <c r="D24" s="341">
        <v>130514.25711163222</v>
      </c>
      <c r="E24" s="341">
        <v>25109.712089730292</v>
      </c>
      <c r="F24" s="341">
        <v>27341.463300264222</v>
      </c>
      <c r="G24" s="341">
        <v>41505.349695846868</v>
      </c>
      <c r="H24" s="341">
        <v>32429.695358124209</v>
      </c>
      <c r="I24" s="341">
        <v>37453.646553043007</v>
      </c>
      <c r="J24" s="341">
        <v>21518.01887241736</v>
      </c>
      <c r="K24" s="341">
        <v>20853.113696281689</v>
      </c>
      <c r="L24" s="341">
        <v>99878.399585156425</v>
      </c>
    </row>
    <row r="25" spans="1:12">
      <c r="A25" s="340" t="s">
        <v>160</v>
      </c>
      <c r="B25" s="848">
        <v>166465.33849326865</v>
      </c>
      <c r="C25" s="342">
        <v>74802.83670383734</v>
      </c>
      <c r="D25" s="342">
        <v>130514.25711163222</v>
      </c>
      <c r="E25" s="342">
        <v>25109.712089730292</v>
      </c>
      <c r="F25" s="342">
        <v>27341.463300264222</v>
      </c>
      <c r="G25" s="342">
        <v>41505.349695846868</v>
      </c>
      <c r="H25" s="342">
        <v>32429.695358124209</v>
      </c>
      <c r="I25" s="342">
        <v>37453.646553043007</v>
      </c>
      <c r="J25" s="342">
        <v>21518.01887241736</v>
      </c>
      <c r="K25" s="342">
        <v>20853.113696281689</v>
      </c>
      <c r="L25" s="342">
        <v>99878.399585156425</v>
      </c>
    </row>
    <row r="26" spans="1:12" s="320" customFormat="1" ht="15" customHeight="1">
      <c r="A26" s="261" t="s">
        <v>161</v>
      </c>
      <c r="B26" s="850">
        <v>6502.411042758431</v>
      </c>
      <c r="C26" s="341">
        <v>2067.031499227036</v>
      </c>
      <c r="D26" s="341">
        <v>2380.4007061069715</v>
      </c>
      <c r="E26" s="341">
        <v>650.84373736594716</v>
      </c>
      <c r="F26" s="341">
        <v>484.11524909010291</v>
      </c>
      <c r="G26" s="341">
        <v>470.05381031985098</v>
      </c>
      <c r="H26" s="341">
        <v>474.07136425420867</v>
      </c>
      <c r="I26" s="341">
        <v>464.02747941831444</v>
      </c>
      <c r="J26" s="341">
        <v>656.8700682674837</v>
      </c>
      <c r="K26" s="341">
        <v>478.08891818856637</v>
      </c>
      <c r="L26" s="341">
        <v>811.54589474025488</v>
      </c>
    </row>
    <row r="27" spans="1:12">
      <c r="A27" s="340" t="s">
        <v>161</v>
      </c>
      <c r="B27" s="848">
        <v>6502.411042758431</v>
      </c>
      <c r="C27" s="342">
        <v>2067.031499227036</v>
      </c>
      <c r="D27" s="342">
        <v>2380.4007061069715</v>
      </c>
      <c r="E27" s="342">
        <v>650.84373736594716</v>
      </c>
      <c r="F27" s="342">
        <v>484.11524909010291</v>
      </c>
      <c r="G27" s="342">
        <v>470.05381031985098</v>
      </c>
      <c r="H27" s="342">
        <v>474.07136425420867</v>
      </c>
      <c r="I27" s="342">
        <v>464.02747941831444</v>
      </c>
      <c r="J27" s="342">
        <v>656.8700682674837</v>
      </c>
      <c r="K27" s="342">
        <v>478.08891818856637</v>
      </c>
      <c r="L27" s="342">
        <v>811.54589474025488</v>
      </c>
    </row>
    <row r="28" spans="1:12" s="320" customFormat="1" ht="15" customHeight="1">
      <c r="A28" s="261" t="s">
        <v>162</v>
      </c>
      <c r="B28" s="850">
        <v>11210.98425382618</v>
      </c>
      <c r="C28" s="341">
        <v>3649.9477493641461</v>
      </c>
      <c r="D28" s="341">
        <v>4696.5205492644436</v>
      </c>
      <c r="E28" s="341">
        <v>1281.599705060105</v>
      </c>
      <c r="F28" s="341">
        <v>610.66819802237023</v>
      </c>
      <c r="G28" s="341">
        <v>719.14215425002794</v>
      </c>
      <c r="H28" s="341">
        <v>620.71208285826447</v>
      </c>
      <c r="I28" s="341">
        <v>713.1158233484914</v>
      </c>
      <c r="J28" s="341">
        <v>769.3615784294991</v>
      </c>
      <c r="K28" s="341">
        <v>610.66819802237023</v>
      </c>
      <c r="L28" s="341">
        <v>1671.3024366928012</v>
      </c>
    </row>
    <row r="29" spans="1:12">
      <c r="A29" s="340" t="s">
        <v>162</v>
      </c>
      <c r="B29" s="848">
        <v>11210.98425382618</v>
      </c>
      <c r="C29" s="342">
        <v>3649.9477493641461</v>
      </c>
      <c r="D29" s="342">
        <v>4696.5205492644436</v>
      </c>
      <c r="E29" s="342">
        <v>1281.599705060105</v>
      </c>
      <c r="F29" s="342">
        <v>610.66819802237023</v>
      </c>
      <c r="G29" s="342">
        <v>719.14215425002794</v>
      </c>
      <c r="H29" s="342">
        <v>620.71208285826447</v>
      </c>
      <c r="I29" s="342">
        <v>713.1158233484914</v>
      </c>
      <c r="J29" s="342">
        <v>769.3615784294991</v>
      </c>
      <c r="K29" s="342">
        <v>610.66819802237023</v>
      </c>
      <c r="L29" s="342">
        <v>1671.3024366928012</v>
      </c>
    </row>
    <row r="30" spans="1:12" s="320" customFormat="1">
      <c r="A30" s="261" t="s">
        <v>163</v>
      </c>
      <c r="B30" s="850">
        <v>36362.880659863782</v>
      </c>
      <c r="C30" s="341">
        <v>16218.865233003611</v>
      </c>
      <c r="D30" s="341">
        <v>16251.005664478476</v>
      </c>
      <c r="E30" s="341">
        <v>3812.6586837056511</v>
      </c>
      <c r="F30" s="341">
        <v>3798.5972449353976</v>
      </c>
      <c r="G30" s="341">
        <v>4521.7569531198642</v>
      </c>
      <c r="H30" s="341">
        <v>4276.6861631240172</v>
      </c>
      <c r="I30" s="341">
        <v>4220.4404080430031</v>
      </c>
      <c r="J30" s="341">
        <v>3752.3953746902789</v>
      </c>
      <c r="K30" s="341">
        <v>3501.2982537928947</v>
      </c>
      <c r="L30" s="341">
        <v>7842.2652798668732</v>
      </c>
    </row>
    <row r="31" spans="1:12">
      <c r="A31" s="340" t="s">
        <v>163</v>
      </c>
      <c r="B31" s="848">
        <v>36362.880659863782</v>
      </c>
      <c r="C31" s="342">
        <v>16218.865233003611</v>
      </c>
      <c r="D31" s="342">
        <v>16251.005664478476</v>
      </c>
      <c r="E31" s="342">
        <v>3812.6586837056511</v>
      </c>
      <c r="F31" s="342">
        <v>3798.5972449353976</v>
      </c>
      <c r="G31" s="342">
        <v>4521.7569531198642</v>
      </c>
      <c r="H31" s="342">
        <v>4276.6861631240172</v>
      </c>
      <c r="I31" s="342">
        <v>4220.4404080430031</v>
      </c>
      <c r="J31" s="342">
        <v>3752.3953746902789</v>
      </c>
      <c r="K31" s="342">
        <v>3501.2982537928947</v>
      </c>
      <c r="L31" s="342">
        <v>7842.2652798668732</v>
      </c>
    </row>
  </sheetData>
  <mergeCells count="4">
    <mergeCell ref="A1:L1"/>
    <mergeCell ref="C2:L2"/>
    <mergeCell ref="A2:A3"/>
    <mergeCell ref="B2:B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B4D6-E54C-4AD8-9EC3-EC70708FD4B8}">
  <dimension ref="A1:H33"/>
  <sheetViews>
    <sheetView zoomScale="112" zoomScaleNormal="112" workbookViewId="0">
      <selection activeCell="B12" sqref="B12"/>
    </sheetView>
  </sheetViews>
  <sheetFormatPr defaultRowHeight="12"/>
  <cols>
    <col min="1" max="1" width="18.85546875" style="30" customWidth="1"/>
    <col min="2" max="2" width="16.42578125" style="30" customWidth="1"/>
    <col min="3" max="3" width="12.7109375" style="30" customWidth="1"/>
    <col min="4" max="4" width="17" style="30" customWidth="1"/>
    <col min="5" max="5" width="14" style="687" customWidth="1"/>
    <col min="6" max="16384" width="9.140625" style="30"/>
  </cols>
  <sheetData>
    <row r="1" spans="1:8" ht="38.25" customHeight="1" thickBot="1">
      <c r="A1" s="1174" t="s">
        <v>552</v>
      </c>
      <c r="B1" s="1174"/>
      <c r="C1" s="1174"/>
      <c r="D1" s="1174"/>
      <c r="E1" s="1174"/>
      <c r="F1" s="858"/>
      <c r="G1" s="858"/>
      <c r="H1" s="858"/>
    </row>
    <row r="2" spans="1:8" ht="18.75" customHeight="1">
      <c r="A2" s="1175" t="s">
        <v>495</v>
      </c>
      <c r="B2" s="1178" t="s">
        <v>289</v>
      </c>
      <c r="C2" s="1178" t="s">
        <v>386</v>
      </c>
      <c r="D2" s="1178"/>
      <c r="E2" s="1178" t="s">
        <v>171</v>
      </c>
      <c r="F2" s="858"/>
      <c r="G2" s="858"/>
      <c r="H2" s="858"/>
    </row>
    <row r="3" spans="1:8" ht="13.5" customHeight="1">
      <c r="A3" s="1176"/>
      <c r="B3" s="1180"/>
      <c r="C3" s="1179"/>
      <c r="D3" s="1179"/>
      <c r="E3" s="1180"/>
      <c r="F3" s="859"/>
    </row>
    <row r="4" spans="1:8" s="288" customFormat="1" ht="16.5" customHeight="1">
      <c r="A4" s="1177"/>
      <c r="B4" s="1180"/>
      <c r="C4" s="860" t="s">
        <v>387</v>
      </c>
      <c r="D4" s="860" t="s">
        <v>388</v>
      </c>
      <c r="E4" s="1180"/>
      <c r="F4" s="861"/>
    </row>
    <row r="5" spans="1:8" s="712" customFormat="1" ht="15" customHeight="1">
      <c r="A5" s="853" t="s">
        <v>146</v>
      </c>
      <c r="B5" s="853">
        <v>422672.78799538844</v>
      </c>
      <c r="C5" s="853">
        <v>53839.24027433755</v>
      </c>
      <c r="D5" s="853">
        <v>366862.93751620169</v>
      </c>
      <c r="E5" s="854">
        <v>1970.6102048024493</v>
      </c>
      <c r="F5" s="862"/>
    </row>
    <row r="6" spans="1:8" ht="12.75" customHeight="1">
      <c r="A6" s="257"/>
      <c r="B6" s="257"/>
      <c r="C6" s="257"/>
      <c r="D6" s="257"/>
      <c r="E6" s="258"/>
      <c r="F6" s="859"/>
    </row>
    <row r="7" spans="1:8" s="288" customFormat="1" ht="15" customHeight="1">
      <c r="A7" s="863" t="s">
        <v>3</v>
      </c>
      <c r="B7" s="198"/>
      <c r="C7" s="851"/>
      <c r="D7" s="851"/>
      <c r="E7" s="852"/>
      <c r="F7" s="861"/>
    </row>
    <row r="8" spans="1:8" ht="12.75" customHeight="1">
      <c r="A8" s="864" t="s">
        <v>4</v>
      </c>
      <c r="B8" s="865">
        <v>371463.03677104594</v>
      </c>
      <c r="C8" s="865">
        <v>39904.354453003696</v>
      </c>
      <c r="D8" s="865">
        <v>329732.70405483007</v>
      </c>
      <c r="E8" s="866">
        <v>1825.9782631655723</v>
      </c>
      <c r="F8" s="859"/>
    </row>
    <row r="9" spans="1:8" ht="12.75" customHeight="1">
      <c r="A9" s="864" t="s">
        <v>5</v>
      </c>
      <c r="B9" s="865">
        <v>51209.751224297761</v>
      </c>
      <c r="C9" s="865">
        <v>13934.885821321004</v>
      </c>
      <c r="D9" s="865">
        <v>37130.233461326883</v>
      </c>
      <c r="E9" s="866">
        <v>144.63194163687783</v>
      </c>
      <c r="F9" s="859"/>
    </row>
    <row r="10" spans="1:8" s="288" customFormat="1" ht="15" customHeight="1">
      <c r="A10" s="867" t="s">
        <v>142</v>
      </c>
      <c r="B10" s="868"/>
      <c r="C10" s="868"/>
      <c r="D10" s="868"/>
      <c r="E10" s="869"/>
      <c r="F10" s="861"/>
    </row>
    <row r="11" spans="1:8" s="28" customFormat="1" ht="12.75" customHeight="1">
      <c r="A11" s="870" t="s">
        <v>148</v>
      </c>
      <c r="B11" s="871">
        <v>24589.412524329851</v>
      </c>
      <c r="C11" s="871">
        <v>5431.7329192519846</v>
      </c>
      <c r="D11" s="871">
        <v>19059.249533690869</v>
      </c>
      <c r="E11" s="872">
        <v>98.430071391764159</v>
      </c>
      <c r="F11" s="873"/>
    </row>
    <row r="12" spans="1:8" ht="12.75" customHeight="1">
      <c r="A12" s="874" t="s">
        <v>148</v>
      </c>
      <c r="B12" s="865">
        <v>8362.5121834647161</v>
      </c>
      <c r="C12" s="865">
        <v>1520.6441641543877</v>
      </c>
      <c r="D12" s="865">
        <v>6813.7451417696502</v>
      </c>
      <c r="E12" s="866">
        <v>28.122877540504039</v>
      </c>
      <c r="F12" s="859"/>
    </row>
    <row r="13" spans="1:8" ht="12.75" customHeight="1">
      <c r="A13" s="874" t="s">
        <v>149</v>
      </c>
      <c r="B13" s="865">
        <v>9511.5589395926836</v>
      </c>
      <c r="C13" s="865">
        <v>2342.2339437305691</v>
      </c>
      <c r="D13" s="865">
        <v>7123.1231256167648</v>
      </c>
      <c r="E13" s="866">
        <v>46.201870245113781</v>
      </c>
      <c r="F13" s="859"/>
    </row>
    <row r="14" spans="1:8" ht="12.75" customHeight="1">
      <c r="A14" s="874" t="s">
        <v>150</v>
      </c>
      <c r="B14" s="865">
        <v>2806.2614231489351</v>
      </c>
      <c r="C14" s="865">
        <v>861.76531891972604</v>
      </c>
      <c r="D14" s="865">
        <v>1940.4785502947666</v>
      </c>
      <c r="E14" s="866">
        <v>4.0175539343577187</v>
      </c>
      <c r="F14" s="859"/>
    </row>
    <row r="15" spans="1:8" ht="12.75" customHeight="1">
      <c r="A15" s="874" t="s">
        <v>151</v>
      </c>
      <c r="B15" s="865">
        <v>3909.0799781302467</v>
      </c>
      <c r="C15" s="865">
        <v>707.08949244695486</v>
      </c>
      <c r="D15" s="865">
        <v>3181.9027160114219</v>
      </c>
      <c r="E15" s="866">
        <v>20.087769671788596</v>
      </c>
      <c r="F15" s="859"/>
    </row>
    <row r="16" spans="1:8" s="28" customFormat="1" ht="12.75" customHeight="1">
      <c r="A16" s="870" t="s">
        <v>152</v>
      </c>
      <c r="B16" s="871">
        <v>9451.2956305773114</v>
      </c>
      <c r="C16" s="871">
        <v>3376.7540818277921</v>
      </c>
      <c r="D16" s="871">
        <v>6068.515217847751</v>
      </c>
      <c r="E16" s="872">
        <v>6.0263309015365785</v>
      </c>
      <c r="F16" s="873"/>
    </row>
    <row r="17" spans="1:6" ht="12.75" customHeight="1">
      <c r="A17" s="874" t="s">
        <v>153</v>
      </c>
      <c r="B17" s="865">
        <v>5968.0763694887974</v>
      </c>
      <c r="C17" s="865">
        <v>1386.056107353405</v>
      </c>
      <c r="D17" s="865">
        <v>4578.0027082008783</v>
      </c>
      <c r="E17" s="866">
        <v>4.0175539343577187</v>
      </c>
      <c r="F17" s="859"/>
    </row>
    <row r="18" spans="1:6" ht="12.75" customHeight="1">
      <c r="A18" s="874" t="s">
        <v>154</v>
      </c>
      <c r="B18" s="865">
        <v>546.38733507264715</v>
      </c>
      <c r="C18" s="865">
        <v>405.77294737012789</v>
      </c>
      <c r="D18" s="865">
        <v>140.61438770252013</v>
      </c>
      <c r="E18" s="866">
        <v>0</v>
      </c>
      <c r="F18" s="859"/>
    </row>
    <row r="19" spans="1:6" ht="12.75" customHeight="1">
      <c r="A19" s="874" t="s">
        <v>155</v>
      </c>
      <c r="B19" s="865">
        <v>1361.9507837472588</v>
      </c>
      <c r="C19" s="865">
        <v>869.80042678844143</v>
      </c>
      <c r="D19" s="865">
        <v>490.14157999163945</v>
      </c>
      <c r="E19" s="866">
        <v>2.0087769671788593</v>
      </c>
      <c r="F19" s="859"/>
    </row>
    <row r="20" spans="1:6" ht="12.75" customHeight="1">
      <c r="A20" s="874" t="s">
        <v>156</v>
      </c>
      <c r="B20" s="865">
        <v>1574.8811422682165</v>
      </c>
      <c r="C20" s="865">
        <v>715.12460031567025</v>
      </c>
      <c r="D20" s="865">
        <v>859.7565419525472</v>
      </c>
      <c r="E20" s="866">
        <v>0</v>
      </c>
      <c r="F20" s="859"/>
    </row>
    <row r="21" spans="1:6" s="28" customFormat="1" ht="12.75" customHeight="1">
      <c r="A21" s="870" t="s">
        <v>157</v>
      </c>
      <c r="B21" s="871">
        <v>168090.43905971799</v>
      </c>
      <c r="C21" s="871">
        <v>18036.808388299178</v>
      </c>
      <c r="D21" s="871">
        <v>149083.39139625238</v>
      </c>
      <c r="E21" s="872">
        <v>970.23927514738375</v>
      </c>
      <c r="F21" s="873"/>
    </row>
    <row r="22" spans="1:6" ht="12.75" customHeight="1">
      <c r="A22" s="874" t="s">
        <v>157</v>
      </c>
      <c r="B22" s="865">
        <v>95670.011838912455</v>
      </c>
      <c r="C22" s="865">
        <v>10612.368717606816</v>
      </c>
      <c r="D22" s="865">
        <v>84824.624993102814</v>
      </c>
      <c r="E22" s="866">
        <v>233.01812819274707</v>
      </c>
      <c r="F22" s="859"/>
    </row>
    <row r="23" spans="1:6" ht="12.75" customHeight="1">
      <c r="A23" s="874" t="s">
        <v>158</v>
      </c>
      <c r="B23" s="865">
        <v>30806.603568644987</v>
      </c>
      <c r="C23" s="865">
        <v>2840.4106315909794</v>
      </c>
      <c r="D23" s="865">
        <v>27861.736534763131</v>
      </c>
      <c r="E23" s="866">
        <v>104.45640229330074</v>
      </c>
      <c r="F23" s="859"/>
    </row>
    <row r="24" spans="1:6" ht="12.75" customHeight="1">
      <c r="A24" s="874" t="s">
        <v>159</v>
      </c>
      <c r="B24" s="865">
        <v>41613.823652074636</v>
      </c>
      <c r="C24" s="865">
        <v>4584.0290391024155</v>
      </c>
      <c r="D24" s="865">
        <v>36397.029868305857</v>
      </c>
      <c r="E24" s="866">
        <v>632.76474466133755</v>
      </c>
      <c r="F24" s="859"/>
    </row>
    <row r="25" spans="1:6" s="28" customFormat="1" ht="12.75" customHeight="1">
      <c r="A25" s="870" t="s">
        <v>160</v>
      </c>
      <c r="B25" s="871">
        <v>166465.33849326865</v>
      </c>
      <c r="C25" s="871">
        <v>15326.968259576102</v>
      </c>
      <c r="D25" s="871">
        <v>150338.87700074044</v>
      </c>
      <c r="E25" s="872">
        <v>799.4932329371818</v>
      </c>
      <c r="F25" s="873"/>
    </row>
    <row r="26" spans="1:6" ht="12.75" customHeight="1">
      <c r="A26" s="874" t="s">
        <v>160</v>
      </c>
      <c r="B26" s="865">
        <v>166465.33849326865</v>
      </c>
      <c r="C26" s="865">
        <v>15326.968259576102</v>
      </c>
      <c r="D26" s="865">
        <v>150338.87700074044</v>
      </c>
      <c r="E26" s="866">
        <v>799.4932329371818</v>
      </c>
      <c r="F26" s="859"/>
    </row>
    <row r="27" spans="1:6" s="28" customFormat="1" ht="12.75" customHeight="1">
      <c r="A27" s="870" t="s">
        <v>161</v>
      </c>
      <c r="B27" s="871">
        <v>6502.411042758431</v>
      </c>
      <c r="C27" s="871">
        <v>1482.4774017779896</v>
      </c>
      <c r="D27" s="871">
        <v>5015.9160870459164</v>
      </c>
      <c r="E27" s="872">
        <v>4.0175539343577187</v>
      </c>
      <c r="F27" s="873"/>
    </row>
    <row r="28" spans="1:6" ht="12.75" customHeight="1">
      <c r="A28" s="874" t="s">
        <v>161</v>
      </c>
      <c r="B28" s="865">
        <v>6502.411042758431</v>
      </c>
      <c r="C28" s="865">
        <v>1482.4774017779896</v>
      </c>
      <c r="D28" s="865">
        <v>5015.9160870459164</v>
      </c>
      <c r="E28" s="866">
        <v>4.0175539343577187</v>
      </c>
      <c r="F28" s="859"/>
    </row>
    <row r="29" spans="1:6" s="28" customFormat="1" ht="12.75" customHeight="1">
      <c r="A29" s="870" t="s">
        <v>162</v>
      </c>
      <c r="B29" s="871">
        <v>11210.98425382618</v>
      </c>
      <c r="C29" s="871">
        <v>2735.9542292976676</v>
      </c>
      <c r="D29" s="871">
        <v>8422.8018233816256</v>
      </c>
      <c r="E29" s="872">
        <v>52.228201146650363</v>
      </c>
      <c r="F29" s="873"/>
    </row>
    <row r="30" spans="1:6" ht="12.75" customHeight="1">
      <c r="A30" s="874" t="s">
        <v>162</v>
      </c>
      <c r="B30" s="865">
        <v>11210.98425382618</v>
      </c>
      <c r="C30" s="865">
        <v>2735.9542292976676</v>
      </c>
      <c r="D30" s="865">
        <v>8422.8018233816256</v>
      </c>
      <c r="E30" s="866">
        <v>52.228201146650363</v>
      </c>
      <c r="F30" s="859"/>
    </row>
    <row r="31" spans="1:6" s="28" customFormat="1" ht="12.75" customHeight="1">
      <c r="A31" s="870" t="s">
        <v>163</v>
      </c>
      <c r="B31" s="871">
        <v>36362.880659863782</v>
      </c>
      <c r="C31" s="871">
        <v>7448.5449942997748</v>
      </c>
      <c r="D31" s="871">
        <v>28874.160126220468</v>
      </c>
      <c r="E31" s="872">
        <v>40.175539343577199</v>
      </c>
      <c r="F31" s="873"/>
    </row>
    <row r="32" spans="1:6" ht="12.75" customHeight="1">
      <c r="A32" s="874" t="s">
        <v>163</v>
      </c>
      <c r="B32" s="865">
        <v>36362.880659863782</v>
      </c>
      <c r="C32" s="865">
        <v>7448.5449942997748</v>
      </c>
      <c r="D32" s="865">
        <v>28874.160126220468</v>
      </c>
      <c r="E32" s="866">
        <v>40.175539343577199</v>
      </c>
      <c r="F32" s="859"/>
    </row>
    <row r="33" spans="1:6" ht="12.75" customHeight="1">
      <c r="A33" s="875"/>
      <c r="B33" s="875"/>
      <c r="C33" s="875"/>
      <c r="D33" s="875"/>
      <c r="E33" s="876"/>
      <c r="F33" s="859"/>
    </row>
  </sheetData>
  <mergeCells count="5">
    <mergeCell ref="A1:E1"/>
    <mergeCell ref="A2:A4"/>
    <mergeCell ref="C2:D3"/>
    <mergeCell ref="E2:E4"/>
    <mergeCell ref="B2:B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3BA4-FB39-4DF1-A245-41BE9B776B86}">
  <dimension ref="A1:F32"/>
  <sheetViews>
    <sheetView zoomScale="96" zoomScaleNormal="96" workbookViewId="0">
      <selection activeCell="H4" sqref="H4"/>
    </sheetView>
  </sheetViews>
  <sheetFormatPr defaultRowHeight="12"/>
  <cols>
    <col min="1" max="2" width="17.7109375" style="300" customWidth="1"/>
    <col min="3" max="4" width="17.7109375" style="330" customWidth="1"/>
    <col min="5" max="5" width="17.7109375" style="300" customWidth="1"/>
    <col min="6" max="6" width="17.7109375" style="330" customWidth="1"/>
    <col min="7" max="16384" width="9.140625" style="300"/>
  </cols>
  <sheetData>
    <row r="1" spans="1:6" ht="24.75" customHeight="1" thickBot="1">
      <c r="A1" s="1181" t="s">
        <v>389</v>
      </c>
      <c r="B1" s="1181"/>
      <c r="C1" s="1181"/>
      <c r="D1" s="1181"/>
      <c r="E1" s="1181"/>
      <c r="F1" s="1181"/>
    </row>
    <row r="2" spans="1:6" ht="12" customHeight="1">
      <c r="A2" s="1186" t="s">
        <v>495</v>
      </c>
      <c r="B2" s="1182" t="s">
        <v>289</v>
      </c>
      <c r="C2" s="1183" t="s">
        <v>390</v>
      </c>
      <c r="D2" s="1185" t="s">
        <v>391</v>
      </c>
      <c r="E2" s="1185"/>
      <c r="F2" s="1185"/>
    </row>
    <row r="3" spans="1:6" ht="73.5" customHeight="1">
      <c r="A3" s="1031"/>
      <c r="B3" s="1182"/>
      <c r="C3" s="1184"/>
      <c r="D3" s="882" t="s">
        <v>392</v>
      </c>
      <c r="E3" s="884" t="s">
        <v>393</v>
      </c>
      <c r="F3" s="265" t="s">
        <v>394</v>
      </c>
    </row>
    <row r="4" spans="1:6" s="304" customFormat="1" ht="15" customHeight="1">
      <c r="A4" s="266" t="s">
        <v>146</v>
      </c>
      <c r="B4" s="267">
        <v>422672.78799538844</v>
      </c>
      <c r="C4" s="877">
        <v>53839.24027433755</v>
      </c>
      <c r="D4" s="877">
        <v>13693.832585259515</v>
      </c>
      <c r="E4" s="267">
        <v>371.6237389280875</v>
      </c>
      <c r="F4" s="267">
        <v>39773.783950136938</v>
      </c>
    </row>
    <row r="5" spans="1:6" ht="15" customHeight="1">
      <c r="A5" s="263"/>
      <c r="B5" s="268"/>
      <c r="C5" s="268"/>
      <c r="D5" s="268"/>
      <c r="E5" s="268"/>
      <c r="F5" s="269"/>
    </row>
    <row r="6" spans="1:6" ht="15" customHeight="1">
      <c r="A6" s="270" t="s">
        <v>3</v>
      </c>
      <c r="B6" s="198"/>
      <c r="C6" s="770"/>
      <c r="D6" s="198"/>
      <c r="E6" s="198"/>
      <c r="F6" s="198"/>
    </row>
    <row r="7" spans="1:6" ht="15" customHeight="1">
      <c r="A7" s="337" t="s">
        <v>4</v>
      </c>
      <c r="B7" s="271">
        <v>371463.03677104594</v>
      </c>
      <c r="C7" s="878">
        <v>39904.354453003696</v>
      </c>
      <c r="D7" s="878">
        <v>4202.3614153383915</v>
      </c>
      <c r="E7" s="271">
        <v>289.2638832737548</v>
      </c>
      <c r="F7" s="271">
        <v>35412.72915438722</v>
      </c>
    </row>
    <row r="8" spans="1:6">
      <c r="A8" s="337" t="s">
        <v>5</v>
      </c>
      <c r="B8" s="271">
        <v>51209.751224297761</v>
      </c>
      <c r="C8" s="878">
        <v>13934.885821321004</v>
      </c>
      <c r="D8" s="878">
        <v>9491.4711699208929</v>
      </c>
      <c r="E8" s="271">
        <v>82.359855654333273</v>
      </c>
      <c r="F8" s="271">
        <v>4361.0547957455383</v>
      </c>
    </row>
    <row r="9" spans="1:6" ht="15" customHeight="1">
      <c r="A9" s="883" t="s">
        <v>513</v>
      </c>
      <c r="B9" s="272"/>
      <c r="C9" s="879"/>
      <c r="D9" s="879"/>
      <c r="E9" s="272"/>
      <c r="F9" s="272"/>
    </row>
    <row r="10" spans="1:6" s="304" customFormat="1" ht="14.25" customHeight="1">
      <c r="A10" s="273" t="s">
        <v>148</v>
      </c>
      <c r="B10" s="274">
        <v>24589.412524329851</v>
      </c>
      <c r="C10" s="880">
        <v>5431.7329192519846</v>
      </c>
      <c r="D10" s="880">
        <v>3236.1396941252569</v>
      </c>
      <c r="E10" s="274">
        <v>62.272085982544667</v>
      </c>
      <c r="F10" s="274">
        <v>2133.3211391439454</v>
      </c>
    </row>
    <row r="11" spans="1:6">
      <c r="A11" s="337" t="s">
        <v>148</v>
      </c>
      <c r="B11" s="271">
        <v>8362.5121834647161</v>
      </c>
      <c r="C11" s="878">
        <v>1520.6441641543877</v>
      </c>
      <c r="D11" s="878">
        <v>678.96661490645101</v>
      </c>
      <c r="E11" s="271">
        <v>10.043884835894296</v>
      </c>
      <c r="F11" s="271">
        <v>831.63366441204334</v>
      </c>
    </row>
    <row r="12" spans="1:6">
      <c r="A12" s="337" t="s">
        <v>149</v>
      </c>
      <c r="B12" s="271">
        <v>9511.5589395926836</v>
      </c>
      <c r="C12" s="878">
        <v>2342.2339437305691</v>
      </c>
      <c r="D12" s="878">
        <v>1611.0391276774358</v>
      </c>
      <c r="E12" s="271">
        <v>48.210647212292642</v>
      </c>
      <c r="F12" s="271">
        <v>682.98416884080871</v>
      </c>
    </row>
    <row r="13" spans="1:6">
      <c r="A13" s="337" t="s">
        <v>150</v>
      </c>
      <c r="B13" s="271">
        <v>2806.2614231489351</v>
      </c>
      <c r="C13" s="878">
        <v>861.76531891972604</v>
      </c>
      <c r="D13" s="878">
        <v>709.09826941413371</v>
      </c>
      <c r="E13" s="271">
        <v>2.0087769671788593</v>
      </c>
      <c r="F13" s="271">
        <v>150.65827253841437</v>
      </c>
    </row>
    <row r="14" spans="1:6">
      <c r="A14" s="337" t="s">
        <v>151</v>
      </c>
      <c r="B14" s="271">
        <v>3909.0799781302467</v>
      </c>
      <c r="C14" s="878">
        <v>707.08949244695486</v>
      </c>
      <c r="D14" s="878">
        <v>237.03568212710476</v>
      </c>
      <c r="E14" s="271">
        <v>2.0087769671788593</v>
      </c>
      <c r="F14" s="271">
        <v>468.04503335267214</v>
      </c>
    </row>
    <row r="15" spans="1:6" s="304" customFormat="1">
      <c r="A15" s="273" t="s">
        <v>152</v>
      </c>
      <c r="B15" s="274">
        <v>9451.2956305773114</v>
      </c>
      <c r="C15" s="880">
        <v>3376.7540818277921</v>
      </c>
      <c r="D15" s="880">
        <v>2697.7874669212651</v>
      </c>
      <c r="E15" s="274">
        <v>6.0263309015365785</v>
      </c>
      <c r="F15" s="274">
        <v>672.94028400491447</v>
      </c>
    </row>
    <row r="16" spans="1:6">
      <c r="A16" s="337" t="s">
        <v>153</v>
      </c>
      <c r="B16" s="271">
        <v>5968.0763694887974</v>
      </c>
      <c r="C16" s="878">
        <v>1386.056107353405</v>
      </c>
      <c r="D16" s="878">
        <v>861.76531891972604</v>
      </c>
      <c r="E16" s="271">
        <v>0</v>
      </c>
      <c r="F16" s="271">
        <v>524.29078843367984</v>
      </c>
    </row>
    <row r="17" spans="1:6">
      <c r="A17" s="337" t="s">
        <v>154</v>
      </c>
      <c r="B17" s="271">
        <v>546.38733507264715</v>
      </c>
      <c r="C17" s="878">
        <v>405.77294737012789</v>
      </c>
      <c r="D17" s="878">
        <v>379.65884679680289</v>
      </c>
      <c r="E17" s="271">
        <v>4.0175539343577187</v>
      </c>
      <c r="F17" s="271">
        <v>22.096546638967457</v>
      </c>
    </row>
    <row r="18" spans="1:6">
      <c r="A18" s="337" t="s">
        <v>155</v>
      </c>
      <c r="B18" s="271">
        <v>1361.9507837472588</v>
      </c>
      <c r="C18" s="878">
        <v>869.80042678844143</v>
      </c>
      <c r="D18" s="878">
        <v>831.63366441204334</v>
      </c>
      <c r="E18" s="271">
        <v>0</v>
      </c>
      <c r="F18" s="271">
        <v>38.166762376398339</v>
      </c>
    </row>
    <row r="19" spans="1:6">
      <c r="A19" s="337" t="s">
        <v>156</v>
      </c>
      <c r="B19" s="271">
        <v>1574.8811422682165</v>
      </c>
      <c r="C19" s="878">
        <v>715.12460031567025</v>
      </c>
      <c r="D19" s="878">
        <v>624.72963679262216</v>
      </c>
      <c r="E19" s="271">
        <v>2.0087769671788593</v>
      </c>
      <c r="F19" s="271">
        <v>88.386186555869855</v>
      </c>
    </row>
    <row r="20" spans="1:6" s="304" customFormat="1">
      <c r="A20" s="273" t="s">
        <v>157</v>
      </c>
      <c r="B20" s="274">
        <v>168090.43905971799</v>
      </c>
      <c r="C20" s="880">
        <v>18036.808388299178</v>
      </c>
      <c r="D20" s="880">
        <v>182.79870401327591</v>
      </c>
      <c r="E20" s="274">
        <v>150.65827253841437</v>
      </c>
      <c r="F20" s="274">
        <v>17703.351411747753</v>
      </c>
    </row>
    <row r="21" spans="1:6">
      <c r="A21" s="337" t="s">
        <v>157</v>
      </c>
      <c r="B21" s="271">
        <v>95670.011838912455</v>
      </c>
      <c r="C21" s="878">
        <v>10612.368717606816</v>
      </c>
      <c r="D21" s="878">
        <v>80.351078687154413</v>
      </c>
      <c r="E21" s="271">
        <v>70.307193851260109</v>
      </c>
      <c r="F21" s="271">
        <v>10461.710445068386</v>
      </c>
    </row>
    <row r="22" spans="1:6">
      <c r="A22" s="337" t="s">
        <v>158</v>
      </c>
      <c r="B22" s="271">
        <v>30806.603568644987</v>
      </c>
      <c r="C22" s="878">
        <v>2840.4106315909794</v>
      </c>
      <c r="D22" s="878">
        <v>50.219424179471503</v>
      </c>
      <c r="E22" s="271">
        <v>38.166762376398339</v>
      </c>
      <c r="F22" s="271">
        <v>2752.0244450351001</v>
      </c>
    </row>
    <row r="23" spans="1:6">
      <c r="A23" s="337" t="s">
        <v>159</v>
      </c>
      <c r="B23" s="271">
        <v>41613.823652074636</v>
      </c>
      <c r="C23" s="878">
        <v>4584.0290391024155</v>
      </c>
      <c r="D23" s="878">
        <v>52.228201146650363</v>
      </c>
      <c r="E23" s="271">
        <v>42.18431631075606</v>
      </c>
      <c r="F23" s="271">
        <v>4489.616521644999</v>
      </c>
    </row>
    <row r="24" spans="1:6" s="304" customFormat="1">
      <c r="A24" s="273" t="s">
        <v>160</v>
      </c>
      <c r="B24" s="274">
        <v>166465.33849326865</v>
      </c>
      <c r="C24" s="880">
        <v>15326.968259576102</v>
      </c>
      <c r="D24" s="880">
        <v>82.359855654333273</v>
      </c>
      <c r="E24" s="274">
        <v>118.51784106355277</v>
      </c>
      <c r="F24" s="274">
        <v>15126.090562858195</v>
      </c>
    </row>
    <row r="25" spans="1:6">
      <c r="A25" s="337" t="s">
        <v>160</v>
      </c>
      <c r="B25" s="271">
        <v>166465.33849326865</v>
      </c>
      <c r="C25" s="878">
        <v>15326.968259576102</v>
      </c>
      <c r="D25" s="878">
        <v>82.359855654333273</v>
      </c>
      <c r="E25" s="271">
        <v>118.51784106355277</v>
      </c>
      <c r="F25" s="271">
        <v>15126.090562858195</v>
      </c>
    </row>
    <row r="26" spans="1:6" s="304" customFormat="1">
      <c r="A26" s="273" t="s">
        <v>161</v>
      </c>
      <c r="B26" s="274">
        <v>6502.411042758431</v>
      </c>
      <c r="C26" s="880">
        <v>1482.4774017779896</v>
      </c>
      <c r="D26" s="880">
        <v>1030.5025841627491</v>
      </c>
      <c r="E26" s="274">
        <v>0</v>
      </c>
      <c r="F26" s="274">
        <v>451.97481761524136</v>
      </c>
    </row>
    <row r="27" spans="1:6">
      <c r="A27" s="337" t="s">
        <v>161</v>
      </c>
      <c r="B27" s="271">
        <v>6502.411042758431</v>
      </c>
      <c r="C27" s="878">
        <v>1482.4774017779896</v>
      </c>
      <c r="D27" s="878">
        <v>1030.5025841627491</v>
      </c>
      <c r="E27" s="271">
        <v>0</v>
      </c>
      <c r="F27" s="271">
        <v>451.97481761524136</v>
      </c>
    </row>
    <row r="28" spans="1:6" s="304" customFormat="1">
      <c r="A28" s="273" t="s">
        <v>162</v>
      </c>
      <c r="B28" s="274">
        <v>11210.98425382618</v>
      </c>
      <c r="C28" s="880">
        <v>2735.9542292976676</v>
      </c>
      <c r="D28" s="880">
        <v>2191.5756711921385</v>
      </c>
      <c r="E28" s="274">
        <v>2.0087769671788593</v>
      </c>
      <c r="F28" s="274">
        <v>542.36978113828945</v>
      </c>
    </row>
    <row r="29" spans="1:6">
      <c r="A29" s="337" t="s">
        <v>162</v>
      </c>
      <c r="B29" s="271">
        <v>11210.98425382618</v>
      </c>
      <c r="C29" s="878">
        <v>2735.9542292976676</v>
      </c>
      <c r="D29" s="878">
        <v>2191.5756711921385</v>
      </c>
      <c r="E29" s="271">
        <v>2.0087769671788593</v>
      </c>
      <c r="F29" s="271">
        <v>542.36978113828945</v>
      </c>
    </row>
    <row r="30" spans="1:6" s="304" customFormat="1">
      <c r="A30" s="273" t="s">
        <v>163</v>
      </c>
      <c r="B30" s="274">
        <v>36362.880659863782</v>
      </c>
      <c r="C30" s="880">
        <v>7448.5449942997748</v>
      </c>
      <c r="D30" s="880">
        <v>4272.668609189659</v>
      </c>
      <c r="E30" s="274">
        <v>32.140431474861757</v>
      </c>
      <c r="F30" s="274">
        <v>3143.7359536350195</v>
      </c>
    </row>
    <row r="31" spans="1:6">
      <c r="A31" s="337" t="s">
        <v>163</v>
      </c>
      <c r="B31" s="271">
        <v>36362.880659863782</v>
      </c>
      <c r="C31" s="878">
        <v>7448.5449942997748</v>
      </c>
      <c r="D31" s="878">
        <v>4272.668609189659</v>
      </c>
      <c r="E31" s="271">
        <v>32.140431474861757</v>
      </c>
      <c r="F31" s="271">
        <v>3143.7359536350195</v>
      </c>
    </row>
    <row r="32" spans="1:6">
      <c r="A32" s="336"/>
      <c r="B32" s="338"/>
      <c r="C32" s="881"/>
      <c r="D32" s="881"/>
      <c r="E32" s="338"/>
      <c r="F32" s="881"/>
    </row>
  </sheetData>
  <mergeCells count="5">
    <mergeCell ref="A1:F1"/>
    <mergeCell ref="B2:B3"/>
    <mergeCell ref="C2:C3"/>
    <mergeCell ref="D2:F2"/>
    <mergeCell ref="A2:A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8402-8A8B-4542-8E47-472C61F5AFC1}">
  <dimension ref="A1:D31"/>
  <sheetViews>
    <sheetView zoomScale="106" zoomScaleNormal="106" workbookViewId="0">
      <selection activeCell="C22" sqref="C22"/>
    </sheetView>
  </sheetViews>
  <sheetFormatPr defaultRowHeight="14.25"/>
  <cols>
    <col min="1" max="1" width="20.85546875" style="333" customWidth="1"/>
    <col min="2" max="2" width="20.85546875" style="889" customWidth="1"/>
    <col min="3" max="4" width="20.85546875" style="333" customWidth="1"/>
    <col min="5" max="16384" width="9.140625" style="333"/>
  </cols>
  <sheetData>
    <row r="1" spans="1:4" ht="16.5" customHeight="1" thickBot="1">
      <c r="A1" s="1187" t="s">
        <v>395</v>
      </c>
      <c r="B1" s="1187"/>
      <c r="C1" s="1187"/>
      <c r="D1" s="1187"/>
    </row>
    <row r="2" spans="1:4" ht="11.25" customHeight="1">
      <c r="A2" s="1189" t="s">
        <v>495</v>
      </c>
      <c r="B2" s="1190" t="s">
        <v>289</v>
      </c>
      <c r="C2" s="1188" t="s">
        <v>396</v>
      </c>
      <c r="D2" s="1188"/>
    </row>
    <row r="3" spans="1:4" ht="17.25" customHeight="1">
      <c r="A3" s="1108"/>
      <c r="B3" s="1191"/>
      <c r="C3" s="885" t="s">
        <v>1</v>
      </c>
      <c r="D3" s="885" t="s">
        <v>2</v>
      </c>
    </row>
    <row r="4" spans="1:4" ht="15.75" customHeight="1">
      <c r="A4" s="266" t="s">
        <v>146</v>
      </c>
      <c r="B4" s="877">
        <v>422672.78799538844</v>
      </c>
      <c r="C4" s="266">
        <v>265835.51750577305</v>
      </c>
      <c r="D4" s="266">
        <v>156837.27048957063</v>
      </c>
    </row>
    <row r="5" spans="1:4" ht="12.75" customHeight="1">
      <c r="A5" s="263"/>
      <c r="B5" s="268"/>
      <c r="C5" s="263"/>
      <c r="D5" s="263"/>
    </row>
    <row r="6" spans="1:4" ht="15.75" customHeight="1">
      <c r="A6" s="270" t="s">
        <v>3</v>
      </c>
      <c r="B6" s="770"/>
      <c r="C6" s="770"/>
      <c r="D6" s="770"/>
    </row>
    <row r="7" spans="1:4" ht="15" customHeight="1">
      <c r="A7" s="275" t="s">
        <v>4</v>
      </c>
      <c r="B7" s="886">
        <v>371463.03677104594</v>
      </c>
      <c r="C7" s="276">
        <v>235221.75652593625</v>
      </c>
      <c r="D7" s="276">
        <v>136241.28024506493</v>
      </c>
    </row>
    <row r="8" spans="1:4">
      <c r="A8" s="275" t="s">
        <v>5</v>
      </c>
      <c r="B8" s="886">
        <v>51209.751224297761</v>
      </c>
      <c r="C8" s="276">
        <v>30613.76097979597</v>
      </c>
      <c r="D8" s="276">
        <v>20595.990244483</v>
      </c>
    </row>
    <row r="9" spans="1:4" ht="15.75" customHeight="1">
      <c r="A9" s="250" t="s">
        <v>513</v>
      </c>
      <c r="B9" s="887"/>
      <c r="C9" s="277"/>
      <c r="D9" s="277"/>
    </row>
    <row r="10" spans="1:4" s="334" customFormat="1" ht="15">
      <c r="A10" s="278" t="s">
        <v>148</v>
      </c>
      <c r="B10" s="888">
        <v>24589.412524329851</v>
      </c>
      <c r="C10" s="279">
        <v>13508.998773377503</v>
      </c>
      <c r="D10" s="279">
        <v>11080.41375095954</v>
      </c>
    </row>
    <row r="11" spans="1:4">
      <c r="A11" s="335" t="s">
        <v>148</v>
      </c>
      <c r="B11" s="886">
        <v>8362.5121834647161</v>
      </c>
      <c r="C11" s="276">
        <v>4499.6340755793572</v>
      </c>
      <c r="D11" s="276">
        <v>3862.878107885128</v>
      </c>
    </row>
    <row r="12" spans="1:4">
      <c r="A12" s="335" t="s">
        <v>149</v>
      </c>
      <c r="B12" s="886">
        <v>9511.5589395926836</v>
      </c>
      <c r="C12" s="276">
        <v>5152.5129208140934</v>
      </c>
      <c r="D12" s="276">
        <v>4359.0460187783592</v>
      </c>
    </row>
    <row r="13" spans="1:4">
      <c r="A13" s="335" t="s">
        <v>150</v>
      </c>
      <c r="B13" s="886">
        <v>2806.2614231489351</v>
      </c>
      <c r="C13" s="276">
        <v>1645.1883361194762</v>
      </c>
      <c r="D13" s="276">
        <v>1161.0730870293742</v>
      </c>
    </row>
    <row r="14" spans="1:4">
      <c r="A14" s="335" t="s">
        <v>151</v>
      </c>
      <c r="B14" s="886">
        <v>3909.0799781302467</v>
      </c>
      <c r="C14" s="276">
        <v>2211.6634408639293</v>
      </c>
      <c r="D14" s="276">
        <v>1697.4165372661262</v>
      </c>
    </row>
    <row r="15" spans="1:4" s="334" customFormat="1" ht="15">
      <c r="A15" s="278" t="s">
        <v>152</v>
      </c>
      <c r="B15" s="888">
        <v>9451.2956305773114</v>
      </c>
      <c r="C15" s="279">
        <v>5819.4268739175459</v>
      </c>
      <c r="D15" s="279">
        <v>3631.8687566595345</v>
      </c>
    </row>
    <row r="16" spans="1:4">
      <c r="A16" s="335" t="s">
        <v>153</v>
      </c>
      <c r="B16" s="886">
        <v>5968.0763694887974</v>
      </c>
      <c r="C16" s="276">
        <v>3653.9653032985043</v>
      </c>
      <c r="D16" s="276">
        <v>2314.111066190062</v>
      </c>
    </row>
    <row r="17" spans="1:4">
      <c r="A17" s="335" t="s">
        <v>154</v>
      </c>
      <c r="B17" s="886">
        <v>546.38733507264715</v>
      </c>
      <c r="C17" s="276">
        <v>399.74661646859136</v>
      </c>
      <c r="D17" s="276">
        <v>146.64071860405667</v>
      </c>
    </row>
    <row r="18" spans="1:4">
      <c r="A18" s="335" t="s">
        <v>155</v>
      </c>
      <c r="B18" s="886">
        <v>1361.9507837472588</v>
      </c>
      <c r="C18" s="276">
        <v>787.44057113410872</v>
      </c>
      <c r="D18" s="276">
        <v>574.510212613151</v>
      </c>
    </row>
    <row r="19" spans="1:4">
      <c r="A19" s="335" t="s">
        <v>156</v>
      </c>
      <c r="B19" s="886">
        <v>1574.8811422682165</v>
      </c>
      <c r="C19" s="276">
        <v>978.27438301609914</v>
      </c>
      <c r="D19" s="276">
        <v>596.60675925211831</v>
      </c>
    </row>
    <row r="20" spans="1:4" s="334" customFormat="1" ht="15">
      <c r="A20" s="278" t="s">
        <v>157</v>
      </c>
      <c r="B20" s="888">
        <v>168090.43905971799</v>
      </c>
      <c r="C20" s="279">
        <v>108034.03407191085</v>
      </c>
      <c r="D20" s="279">
        <v>60056.404987762413</v>
      </c>
    </row>
    <row r="21" spans="1:4">
      <c r="A21" s="335" t="s">
        <v>157</v>
      </c>
      <c r="B21" s="886">
        <v>95670.011838912455</v>
      </c>
      <c r="C21" s="276">
        <v>62274.094759530119</v>
      </c>
      <c r="D21" s="276">
        <v>33395.917079337603</v>
      </c>
    </row>
    <row r="22" spans="1:4">
      <c r="A22" s="335" t="s">
        <v>158</v>
      </c>
      <c r="B22" s="886">
        <v>30806.603568644987</v>
      </c>
      <c r="C22" s="276">
        <v>19571.5139912226</v>
      </c>
      <c r="D22" s="276">
        <v>11235.089577432329</v>
      </c>
    </row>
    <row r="23" spans="1:4">
      <c r="A23" s="335" t="s">
        <v>159</v>
      </c>
      <c r="B23" s="886">
        <v>41613.823652074636</v>
      </c>
      <c r="C23" s="276">
        <v>26188.425321104478</v>
      </c>
      <c r="D23" s="276">
        <v>15425.398330967877</v>
      </c>
    </row>
    <row r="24" spans="1:4" s="334" customFormat="1" ht="15">
      <c r="A24" s="278" t="s">
        <v>160</v>
      </c>
      <c r="B24" s="888">
        <v>166465.33849326865</v>
      </c>
      <c r="C24" s="279">
        <v>106398.8896206256</v>
      </c>
      <c r="D24" s="279">
        <v>60066.448872598317</v>
      </c>
    </row>
    <row r="25" spans="1:4">
      <c r="A25" s="335" t="s">
        <v>160</v>
      </c>
      <c r="B25" s="886">
        <v>166465.33849326865</v>
      </c>
      <c r="C25" s="276">
        <v>106398.8896206256</v>
      </c>
      <c r="D25" s="276">
        <v>60066.448872598317</v>
      </c>
    </row>
    <row r="26" spans="1:4" s="334" customFormat="1" ht="15" customHeight="1">
      <c r="A26" s="278" t="s">
        <v>161</v>
      </c>
      <c r="B26" s="888">
        <v>6502.411042758431</v>
      </c>
      <c r="C26" s="279">
        <v>3945.23796353947</v>
      </c>
      <c r="D26" s="279">
        <v>2557.17307921873</v>
      </c>
    </row>
    <row r="27" spans="1:4">
      <c r="A27" s="335" t="s">
        <v>161</v>
      </c>
      <c r="B27" s="886">
        <v>6502.411042758431</v>
      </c>
      <c r="C27" s="276">
        <v>3945.23796353947</v>
      </c>
      <c r="D27" s="276">
        <v>2557.17307921873</v>
      </c>
    </row>
    <row r="28" spans="1:4" s="334" customFormat="1" ht="15" customHeight="1">
      <c r="A28" s="278" t="s">
        <v>162</v>
      </c>
      <c r="B28" s="888">
        <v>11210.98425382618</v>
      </c>
      <c r="C28" s="279">
        <v>6174.980397108242</v>
      </c>
      <c r="D28" s="279">
        <v>5036.0038567177071</v>
      </c>
    </row>
    <row r="29" spans="1:4">
      <c r="A29" s="335" t="s">
        <v>162</v>
      </c>
      <c r="B29" s="886">
        <v>11210.98425382618</v>
      </c>
      <c r="C29" s="276">
        <v>6174.980397108242</v>
      </c>
      <c r="D29" s="276">
        <v>5036.0038567177071</v>
      </c>
    </row>
    <row r="30" spans="1:4" s="334" customFormat="1" ht="15">
      <c r="A30" s="278" t="s">
        <v>163</v>
      </c>
      <c r="B30" s="888">
        <v>36362.880659863782</v>
      </c>
      <c r="C30" s="279">
        <v>21953.923474294825</v>
      </c>
      <c r="D30" s="279">
        <v>14408.957185575266</v>
      </c>
    </row>
    <row r="31" spans="1:4">
      <c r="A31" s="335" t="s">
        <v>163</v>
      </c>
      <c r="B31" s="886">
        <v>36362.880659863782</v>
      </c>
      <c r="C31" s="276">
        <v>21953.923474294825</v>
      </c>
      <c r="D31" s="276">
        <v>14408.957185575266</v>
      </c>
    </row>
  </sheetData>
  <mergeCells count="4">
    <mergeCell ref="A1:D1"/>
    <mergeCell ref="C2:D2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1B5E-146C-4B4F-8CE0-3E5636B59312}">
  <dimension ref="A1:J16"/>
  <sheetViews>
    <sheetView zoomScale="98" zoomScaleNormal="98" workbookViewId="0">
      <selection activeCell="D22" sqref="D22"/>
    </sheetView>
  </sheetViews>
  <sheetFormatPr defaultRowHeight="12"/>
  <cols>
    <col min="1" max="1" width="17.42578125" style="300" customWidth="1"/>
    <col min="2" max="2" width="16" style="330" customWidth="1"/>
    <col min="3" max="3" width="13" style="330" customWidth="1"/>
    <col min="4" max="4" width="17" style="330" customWidth="1"/>
    <col min="5" max="5" width="18.85546875" style="330" customWidth="1"/>
    <col min="6" max="6" width="16" style="330" customWidth="1"/>
    <col min="7" max="7" width="17.85546875" style="330" customWidth="1"/>
    <col min="8" max="8" width="17.5703125" style="330" customWidth="1"/>
    <col min="9" max="9" width="19.28515625" style="330" customWidth="1"/>
    <col min="10" max="10" width="9.140625" style="330"/>
    <col min="11" max="16384" width="9.140625" style="300"/>
  </cols>
  <sheetData>
    <row r="1" spans="1:10" ht="15.75" customHeight="1" thickBot="1">
      <c r="A1" s="1192" t="s">
        <v>553</v>
      </c>
      <c r="B1" s="1192"/>
      <c r="C1" s="1192"/>
      <c r="D1" s="1192"/>
      <c r="E1" s="1192"/>
      <c r="F1" s="1192"/>
      <c r="G1" s="1192"/>
      <c r="H1" s="1192"/>
      <c r="I1" s="1192"/>
      <c r="J1" s="1192"/>
    </row>
    <row r="2" spans="1:10" ht="12.75" customHeight="1">
      <c r="A2" s="1127" t="s">
        <v>495</v>
      </c>
      <c r="B2" s="1193" t="s">
        <v>289</v>
      </c>
      <c r="C2" s="1194" t="s">
        <v>397</v>
      </c>
      <c r="D2" s="1194"/>
      <c r="E2" s="1194"/>
      <c r="F2" s="1194"/>
      <c r="G2" s="1194"/>
      <c r="H2" s="1194"/>
      <c r="I2" s="1194"/>
      <c r="J2" s="1194"/>
    </row>
    <row r="3" spans="1:10" s="302" customFormat="1" ht="36">
      <c r="A3" s="1109"/>
      <c r="B3" s="1193"/>
      <c r="C3" s="893" t="s">
        <v>398</v>
      </c>
      <c r="D3" s="893" t="s">
        <v>399</v>
      </c>
      <c r="E3" s="893" t="s">
        <v>400</v>
      </c>
      <c r="F3" s="893" t="s">
        <v>401</v>
      </c>
      <c r="G3" s="893" t="s">
        <v>402</v>
      </c>
      <c r="H3" s="893" t="s">
        <v>403</v>
      </c>
      <c r="I3" s="893" t="s">
        <v>404</v>
      </c>
      <c r="J3" s="893" t="s">
        <v>250</v>
      </c>
    </row>
    <row r="4" spans="1:10" s="331" customFormat="1" ht="18" customHeight="1">
      <c r="A4" s="262" t="s">
        <v>405</v>
      </c>
      <c r="B4" s="857">
        <v>422672.78799538844</v>
      </c>
      <c r="C4" s="857">
        <v>34.772566333758185</v>
      </c>
      <c r="D4" s="857">
        <v>5.3680143337102093</v>
      </c>
      <c r="E4" s="857">
        <v>1.4623621164078868</v>
      </c>
      <c r="F4" s="857">
        <v>27.93411053495544</v>
      </c>
      <c r="G4" s="857">
        <v>9.1391691577946723</v>
      </c>
      <c r="H4" s="857">
        <v>9.9418762148682251</v>
      </c>
      <c r="I4" s="857">
        <v>6.0295704162717181</v>
      </c>
      <c r="J4" s="857">
        <v>5.3523308920977604</v>
      </c>
    </row>
    <row r="5" spans="1:10" s="331" customFormat="1" ht="18" customHeight="1">
      <c r="A5" s="332"/>
      <c r="B5" s="890"/>
      <c r="C5" s="890"/>
      <c r="D5" s="890"/>
      <c r="E5" s="890"/>
      <c r="F5" s="890"/>
      <c r="G5" s="890"/>
      <c r="H5" s="890"/>
      <c r="I5" s="890"/>
      <c r="J5" s="890"/>
    </row>
    <row r="6" spans="1:10" s="331" customFormat="1" ht="18" customHeight="1">
      <c r="A6" s="262" t="s">
        <v>422</v>
      </c>
      <c r="B6" s="770"/>
      <c r="C6" s="857"/>
      <c r="D6" s="857"/>
      <c r="E6" s="857"/>
      <c r="F6" s="857"/>
      <c r="G6" s="857"/>
      <c r="H6" s="857"/>
      <c r="I6" s="857"/>
      <c r="J6" s="857"/>
    </row>
    <row r="7" spans="1:10" ht="15" customHeight="1">
      <c r="A7" s="280" t="s">
        <v>4</v>
      </c>
      <c r="B7" s="891">
        <v>371463.03677104594</v>
      </c>
      <c r="C7" s="891">
        <v>33.255461821276427</v>
      </c>
      <c r="D7" s="891">
        <v>5.0021630975508122</v>
      </c>
      <c r="E7" s="891">
        <v>1.4146658014264819</v>
      </c>
      <c r="F7" s="891">
        <v>28.867618429559275</v>
      </c>
      <c r="G7" s="891">
        <v>9.744754488422366</v>
      </c>
      <c r="H7" s="891">
        <v>10.082738481500494</v>
      </c>
      <c r="I7" s="891">
        <v>6.3497728747511797</v>
      </c>
      <c r="J7" s="891">
        <v>5.2828250054025645</v>
      </c>
    </row>
    <row r="8" spans="1:10">
      <c r="A8" s="280" t="s">
        <v>5</v>
      </c>
      <c r="B8" s="891">
        <v>51209.751224297761</v>
      </c>
      <c r="C8" s="891">
        <v>45.777272192361288</v>
      </c>
      <c r="D8" s="891">
        <v>8.0218099086016554</v>
      </c>
      <c r="E8" s="891">
        <v>1.808339544188347</v>
      </c>
      <c r="F8" s="891">
        <v>21.16267210606452</v>
      </c>
      <c r="G8" s="891">
        <v>4.7464009728154011</v>
      </c>
      <c r="H8" s="891">
        <v>8.9200957125478411</v>
      </c>
      <c r="I8" s="891">
        <v>3.7068999333145074</v>
      </c>
      <c r="J8" s="891">
        <v>5.8565096300938198</v>
      </c>
    </row>
    <row r="9" spans="1:10" ht="15.75" customHeight="1">
      <c r="A9" s="281" t="s">
        <v>143</v>
      </c>
      <c r="B9" s="892"/>
      <c r="C9" s="892"/>
      <c r="D9" s="892"/>
      <c r="E9" s="892"/>
      <c r="F9" s="892"/>
      <c r="G9" s="892"/>
      <c r="H9" s="892"/>
      <c r="I9" s="892"/>
      <c r="J9" s="892"/>
    </row>
    <row r="10" spans="1:10">
      <c r="A10" s="282" t="s">
        <v>148</v>
      </c>
      <c r="B10" s="891">
        <v>24587.412524329851</v>
      </c>
      <c r="C10" s="891">
        <v>49.240071907181864</v>
      </c>
      <c r="D10" s="891">
        <v>8.228468704038276</v>
      </c>
      <c r="E10" s="891">
        <v>1.7486517404808257</v>
      </c>
      <c r="F10" s="891">
        <v>16.881843438474661</v>
      </c>
      <c r="G10" s="891">
        <v>4.3307730021254089</v>
      </c>
      <c r="H10" s="891">
        <v>8.1876123549616224</v>
      </c>
      <c r="I10" s="891">
        <v>3.897695701912868</v>
      </c>
      <c r="J10" s="891">
        <v>7.4848831508431592</v>
      </c>
    </row>
    <row r="11" spans="1:10">
      <c r="A11" s="282" t="s">
        <v>152</v>
      </c>
      <c r="B11" s="891">
        <v>9451.2956305773114</v>
      </c>
      <c r="C11" s="891">
        <v>41.402763018064384</v>
      </c>
      <c r="D11" s="891">
        <v>7.0563230605732645</v>
      </c>
      <c r="E11" s="891">
        <v>2.7417640807649137</v>
      </c>
      <c r="F11" s="891">
        <v>22.507970244418935</v>
      </c>
      <c r="G11" s="891">
        <v>6.3761955366625891</v>
      </c>
      <c r="H11" s="891">
        <v>8.7991498405943727</v>
      </c>
      <c r="I11" s="891">
        <v>4.8671625929857765</v>
      </c>
      <c r="J11" s="891">
        <v>6.2486716259293376</v>
      </c>
    </row>
    <row r="12" spans="1:10">
      <c r="A12" s="282" t="s">
        <v>157</v>
      </c>
      <c r="B12" s="891">
        <v>168092.44783668517</v>
      </c>
      <c r="C12" s="891">
        <v>35.379246883921112</v>
      </c>
      <c r="D12" s="891">
        <v>4.9403076040546337</v>
      </c>
      <c r="E12" s="891">
        <v>1.3002067424314181</v>
      </c>
      <c r="F12" s="891">
        <v>29.19011938478587</v>
      </c>
      <c r="G12" s="891">
        <v>8.9628222134512505</v>
      </c>
      <c r="H12" s="891">
        <v>9.6320462720555593</v>
      </c>
      <c r="I12" s="891">
        <v>5.2605791178152668</v>
      </c>
      <c r="J12" s="891">
        <v>5.3346717814464588</v>
      </c>
    </row>
    <row r="13" spans="1:10">
      <c r="A13" s="282" t="s">
        <v>160</v>
      </c>
      <c r="B13" s="891">
        <v>166465.33849326865</v>
      </c>
      <c r="C13" s="891">
        <v>29.371658883291712</v>
      </c>
      <c r="D13" s="891">
        <v>4.3357588482995677</v>
      </c>
      <c r="E13" s="891">
        <v>1.4468619145870067</v>
      </c>
      <c r="F13" s="891">
        <v>30.075178896807209</v>
      </c>
      <c r="G13" s="891">
        <v>11.300968999254524</v>
      </c>
      <c r="H13" s="891">
        <v>10.656578455143308</v>
      </c>
      <c r="I13" s="891">
        <v>7.8678396022574955</v>
      </c>
      <c r="J13" s="891">
        <v>4.9451544003148573</v>
      </c>
    </row>
    <row r="14" spans="1:10" ht="15" customHeight="1">
      <c r="A14" s="282" t="s">
        <v>161</v>
      </c>
      <c r="B14" s="891">
        <v>6502.411042758431</v>
      </c>
      <c r="C14" s="891">
        <v>32.40654927401679</v>
      </c>
      <c r="D14" s="891">
        <v>7.1053444547415276</v>
      </c>
      <c r="E14" s="891">
        <v>2.3478529502624186</v>
      </c>
      <c r="F14" s="891">
        <v>26.47513129440647</v>
      </c>
      <c r="G14" s="891">
        <v>9.700339820821041</v>
      </c>
      <c r="H14" s="891">
        <v>10.379981464318057</v>
      </c>
      <c r="I14" s="891">
        <v>5.2517763361133039</v>
      </c>
      <c r="J14" s="891">
        <v>6.3330244053131013</v>
      </c>
    </row>
    <row r="15" spans="1:10" ht="15" customHeight="1">
      <c r="A15" s="282" t="s">
        <v>162</v>
      </c>
      <c r="B15" s="891">
        <v>11210.98425382618</v>
      </c>
      <c r="C15" s="891">
        <v>40.888729618346908</v>
      </c>
      <c r="D15" s="891">
        <v>7.095502598100075</v>
      </c>
      <c r="E15" s="891">
        <v>1.9172191363553239</v>
      </c>
      <c r="F15" s="891">
        <v>21.591112703814623</v>
      </c>
      <c r="G15" s="891">
        <v>6.3250313563871883</v>
      </c>
      <c r="H15" s="891">
        <v>11.59290449740088</v>
      </c>
      <c r="I15" s="891">
        <v>4.5690736427159582</v>
      </c>
      <c r="J15" s="891">
        <v>6.0204264468727917</v>
      </c>
    </row>
    <row r="16" spans="1:10">
      <c r="A16" s="282" t="s">
        <v>163</v>
      </c>
      <c r="B16" s="891">
        <v>36362.880659863782</v>
      </c>
      <c r="C16" s="891">
        <v>43.724450336985598</v>
      </c>
      <c r="D16" s="891">
        <v>8.8553750966765552</v>
      </c>
      <c r="E16" s="891">
        <v>1.4584023864769482</v>
      </c>
      <c r="F16" s="891">
        <v>23.428350458517677</v>
      </c>
      <c r="G16" s="891">
        <v>4.7895260192254314</v>
      </c>
      <c r="H16" s="891">
        <v>8.9990056347386993</v>
      </c>
      <c r="I16" s="891">
        <v>3.5023754281302462</v>
      </c>
      <c r="J16" s="891">
        <v>5.2425146392675135</v>
      </c>
    </row>
  </sheetData>
  <mergeCells count="4">
    <mergeCell ref="A1:J1"/>
    <mergeCell ref="B2:B3"/>
    <mergeCell ref="C2:J2"/>
    <mergeCell ref="A2:A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3156-978D-43E8-A483-845BF4F3247D}">
  <dimension ref="A1:G27"/>
  <sheetViews>
    <sheetView workbookViewId="0">
      <selection activeCell="H14" sqref="H14"/>
    </sheetView>
  </sheetViews>
  <sheetFormatPr defaultRowHeight="12"/>
  <cols>
    <col min="1" max="1" width="15.7109375" style="300" customWidth="1"/>
    <col min="2" max="2" width="18.5703125" style="330" customWidth="1"/>
    <col min="3" max="6" width="9.140625" style="330"/>
    <col min="7" max="16384" width="9.140625" style="300"/>
  </cols>
  <sheetData>
    <row r="1" spans="1:7" ht="22.5" customHeight="1" thickBot="1">
      <c r="A1" s="1205" t="s">
        <v>554</v>
      </c>
      <c r="B1" s="1205"/>
      <c r="C1" s="1205"/>
      <c r="D1" s="1205"/>
      <c r="E1" s="1205"/>
      <c r="F1" s="1205"/>
      <c r="G1" s="1205"/>
    </row>
    <row r="2" spans="1:7" ht="12" customHeight="1">
      <c r="A2" s="1199" t="s">
        <v>408</v>
      </c>
      <c r="B2" s="1197" t="s">
        <v>289</v>
      </c>
      <c r="C2" s="1195" t="s">
        <v>1</v>
      </c>
      <c r="D2" s="1195"/>
      <c r="E2" s="896"/>
      <c r="F2" s="1196" t="s">
        <v>2</v>
      </c>
      <c r="G2" s="1196"/>
    </row>
    <row r="3" spans="1:7" s="329" customFormat="1" ht="14.25" customHeight="1">
      <c r="A3" s="1200"/>
      <c r="B3" s="1198"/>
      <c r="C3" s="905" t="s">
        <v>406</v>
      </c>
      <c r="D3" s="905" t="s">
        <v>407</v>
      </c>
      <c r="E3" s="681"/>
      <c r="F3" s="905" t="s">
        <v>406</v>
      </c>
      <c r="G3" s="679" t="s">
        <v>407</v>
      </c>
    </row>
    <row r="4" spans="1:7" s="302" customFormat="1" ht="16.5" customHeight="1">
      <c r="A4" s="264" t="s">
        <v>405</v>
      </c>
      <c r="B4" s="287">
        <v>422672.78799538844</v>
      </c>
      <c r="C4" s="287">
        <v>100</v>
      </c>
      <c r="D4" s="287">
        <v>265835.51750577305</v>
      </c>
      <c r="E4" s="287">
        <v>100</v>
      </c>
      <c r="F4" s="287">
        <v>156837.27048957063</v>
      </c>
      <c r="G4" s="264">
        <v>100</v>
      </c>
    </row>
    <row r="5" spans="1:7" s="302" customFormat="1" ht="12.75" customHeight="1">
      <c r="A5" s="283"/>
      <c r="B5" s="894"/>
      <c r="C5" s="894"/>
      <c r="D5" s="894"/>
      <c r="E5" s="894"/>
      <c r="F5" s="894"/>
      <c r="G5" s="283"/>
    </row>
    <row r="6" spans="1:7" s="302" customFormat="1" ht="15.75" customHeight="1">
      <c r="A6" s="284" t="s">
        <v>408</v>
      </c>
      <c r="B6" s="287"/>
      <c r="C6" s="287"/>
      <c r="D6" s="287"/>
      <c r="E6" s="287"/>
      <c r="F6" s="287"/>
      <c r="G6" s="264"/>
    </row>
    <row r="7" spans="1:7" ht="17.25" customHeight="1">
      <c r="A7" s="285" t="s">
        <v>409</v>
      </c>
      <c r="B7" s="895">
        <v>33950.33952227953</v>
      </c>
      <c r="C7" s="895">
        <f>B7/B4*100</f>
        <v>8.0322983845957783</v>
      </c>
      <c r="D7" s="895">
        <v>19607.671976631791</v>
      </c>
      <c r="E7" s="895">
        <v>7.3758661598730795</v>
      </c>
      <c r="F7" s="895">
        <v>14342.667545658356</v>
      </c>
      <c r="G7" s="286">
        <v>9.1449357036675263</v>
      </c>
    </row>
    <row r="8" spans="1:7" ht="17.25" customHeight="1">
      <c r="A8" s="285" t="s">
        <v>410</v>
      </c>
      <c r="B8" s="895">
        <v>107744.7701886368</v>
      </c>
      <c r="C8" s="895">
        <f>B8/B4*100</f>
        <v>25.491295689897203</v>
      </c>
      <c r="D8" s="895">
        <v>69367.086230645844</v>
      </c>
      <c r="E8" s="895">
        <v>26.093987320238135</v>
      </c>
      <c r="F8" s="895">
        <v>38377.683957946218</v>
      </c>
      <c r="G8" s="286">
        <v>24.469747425563785</v>
      </c>
    </row>
    <row r="9" spans="1:7" ht="17.25" customHeight="1">
      <c r="A9" s="285" t="s">
        <v>411</v>
      </c>
      <c r="B9" s="895">
        <v>113652.58324911581</v>
      </c>
      <c r="C9" s="895">
        <f>B9/B4*100</f>
        <v>26.889023016630965</v>
      </c>
      <c r="D9" s="895">
        <v>77735.651075921443</v>
      </c>
      <c r="E9" s="895">
        <v>29.24201092663748</v>
      </c>
      <c r="F9" s="895">
        <v>35916.932173149624</v>
      </c>
      <c r="G9" s="286">
        <v>22.900763358756635</v>
      </c>
    </row>
    <row r="10" spans="1:7" ht="17.25" customHeight="1">
      <c r="A10" s="285" t="s">
        <v>412</v>
      </c>
      <c r="B10" s="895">
        <v>75029.828501128781</v>
      </c>
      <c r="C10" s="895">
        <f>B10/B4*100</f>
        <v>17.751279626250128</v>
      </c>
      <c r="D10" s="895">
        <v>48700.788792288826</v>
      </c>
      <c r="E10" s="895">
        <v>18.319895418501108</v>
      </c>
      <c r="F10" s="895">
        <v>26329.039708806886</v>
      </c>
      <c r="G10" s="286">
        <v>16.787489113155484</v>
      </c>
    </row>
    <row r="11" spans="1:7" ht="17.25" customHeight="1">
      <c r="A11" s="285" t="s">
        <v>130</v>
      </c>
      <c r="B11" s="895">
        <v>46846.687651580862</v>
      </c>
      <c r="C11" s="895">
        <f>B11/B4*100</f>
        <v>11.083440661926875</v>
      </c>
      <c r="D11" s="895">
        <v>27234.998121003828</v>
      </c>
      <c r="E11" s="895">
        <v>10.245056182311069</v>
      </c>
      <c r="F11" s="895">
        <v>19611.689530566146</v>
      </c>
      <c r="G11" s="286">
        <v>12.504482811609684</v>
      </c>
    </row>
    <row r="12" spans="1:7" ht="17.25" customHeight="1">
      <c r="A12" s="285" t="s">
        <v>136</v>
      </c>
      <c r="B12" s="895">
        <v>45448.57888242296</v>
      </c>
      <c r="C12" s="895">
        <f>B12/B4*100</f>
        <v>10.75266262064612</v>
      </c>
      <c r="D12" s="895">
        <v>23189.321309108836</v>
      </c>
      <c r="E12" s="895">
        <v>8.7231839923742474</v>
      </c>
      <c r="F12" s="895">
        <v>22259.257573305767</v>
      </c>
      <c r="G12" s="286">
        <v>14.192581587159134</v>
      </c>
    </row>
    <row r="13" spans="1:7" ht="17.25" customHeight="1"/>
    <row r="14" spans="1:7" ht="17.25" customHeight="1"/>
    <row r="16" spans="1:7">
      <c r="A16" s="1201"/>
      <c r="B16" s="1201"/>
      <c r="C16" s="1201"/>
      <c r="D16" s="1201"/>
      <c r="E16" s="1201"/>
      <c r="F16" s="1201"/>
      <c r="G16" s="1201"/>
    </row>
    <row r="17" spans="1:7">
      <c r="A17" s="1202"/>
      <c r="B17" s="1203"/>
      <c r="C17" s="1203"/>
      <c r="D17" s="1204"/>
      <c r="E17" s="1204"/>
      <c r="F17" s="1204"/>
      <c r="G17" s="1204"/>
    </row>
    <row r="18" spans="1:7">
      <c r="A18" s="1202"/>
      <c r="B18" s="897"/>
      <c r="C18" s="897"/>
      <c r="D18" s="897"/>
      <c r="E18" s="897"/>
      <c r="F18" s="897"/>
      <c r="G18" s="898"/>
    </row>
    <row r="19" spans="1:7">
      <c r="A19" s="899"/>
      <c r="B19" s="900"/>
      <c r="C19" s="900"/>
      <c r="D19" s="900"/>
      <c r="E19" s="900"/>
      <c r="F19" s="900"/>
      <c r="G19" s="899"/>
    </row>
    <row r="20" spans="1:7">
      <c r="A20" s="899"/>
      <c r="B20" s="900"/>
      <c r="C20" s="900"/>
      <c r="D20" s="900"/>
      <c r="E20" s="900"/>
      <c r="F20" s="900"/>
      <c r="G20" s="899"/>
    </row>
    <row r="21" spans="1:7">
      <c r="A21" s="901"/>
      <c r="B21" s="900"/>
      <c r="C21" s="900"/>
      <c r="D21" s="900"/>
      <c r="E21" s="900"/>
      <c r="F21" s="900"/>
      <c r="G21" s="899"/>
    </row>
    <row r="22" spans="1:7">
      <c r="A22" s="902"/>
      <c r="B22" s="903"/>
      <c r="C22" s="903"/>
      <c r="D22" s="903"/>
      <c r="E22" s="903"/>
      <c r="F22" s="903"/>
      <c r="G22" s="904"/>
    </row>
    <row r="23" spans="1:7">
      <c r="A23" s="902"/>
      <c r="B23" s="903"/>
      <c r="C23" s="903"/>
      <c r="D23" s="903"/>
      <c r="E23" s="903"/>
      <c r="F23" s="903"/>
      <c r="G23" s="904"/>
    </row>
    <row r="24" spans="1:7">
      <c r="A24" s="902"/>
      <c r="B24" s="903"/>
      <c r="C24" s="903"/>
      <c r="D24" s="903"/>
      <c r="E24" s="903"/>
      <c r="F24" s="903"/>
      <c r="G24" s="904"/>
    </row>
    <row r="25" spans="1:7">
      <c r="A25" s="902"/>
      <c r="B25" s="903"/>
      <c r="C25" s="903"/>
      <c r="D25" s="903"/>
      <c r="E25" s="903"/>
      <c r="F25" s="903"/>
      <c r="G25" s="904"/>
    </row>
    <row r="26" spans="1:7">
      <c r="A26" s="902"/>
      <c r="B26" s="903"/>
      <c r="C26" s="903"/>
      <c r="D26" s="903"/>
      <c r="E26" s="903"/>
      <c r="F26" s="903"/>
      <c r="G26" s="904"/>
    </row>
    <row r="27" spans="1:7">
      <c r="A27" s="902"/>
      <c r="B27" s="903"/>
      <c r="C27" s="903"/>
      <c r="D27" s="903"/>
      <c r="E27" s="903"/>
      <c r="F27" s="903"/>
      <c r="G27" s="904"/>
    </row>
  </sheetData>
  <mergeCells count="10">
    <mergeCell ref="A17:A18"/>
    <mergeCell ref="B17:C17"/>
    <mergeCell ref="D17:E17"/>
    <mergeCell ref="F17:G17"/>
    <mergeCell ref="A1:G1"/>
    <mergeCell ref="C2:D2"/>
    <mergeCell ref="F2:G2"/>
    <mergeCell ref="B2:B3"/>
    <mergeCell ref="A2:A3"/>
    <mergeCell ref="A16:G1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2FB7-9794-4960-8E89-3E5923645914}">
  <dimension ref="A1:J16"/>
  <sheetViews>
    <sheetView workbookViewId="0">
      <selection activeCell="B23" sqref="B23"/>
    </sheetView>
  </sheetViews>
  <sheetFormatPr defaultRowHeight="15" customHeight="1"/>
  <cols>
    <col min="1" max="1" width="18.5703125" style="30" customWidth="1"/>
    <col min="2" max="2" width="10.42578125" style="687" bestFit="1" customWidth="1"/>
    <col min="3" max="3" width="12.42578125" style="30" customWidth="1"/>
    <col min="4" max="4" width="10.42578125" style="30" bestFit="1" customWidth="1"/>
    <col min="5" max="8" width="11.42578125" style="30" bestFit="1" customWidth="1"/>
    <col min="9" max="9" width="16.7109375" style="30" customWidth="1"/>
    <col min="10" max="10" width="12.28515625" style="30" customWidth="1"/>
    <col min="11" max="16384" width="9.140625" style="30"/>
  </cols>
  <sheetData>
    <row r="1" spans="1:10" ht="19.5" customHeight="1" thickBot="1">
      <c r="A1" s="1206" t="s">
        <v>555</v>
      </c>
      <c r="B1" s="1206"/>
      <c r="C1" s="1206"/>
      <c r="D1" s="1206"/>
      <c r="E1" s="1206"/>
      <c r="F1" s="1206"/>
      <c r="G1" s="1206"/>
      <c r="H1" s="1206"/>
      <c r="I1" s="1206"/>
      <c r="J1" s="1206"/>
    </row>
    <row r="2" spans="1:10" ht="15" customHeight="1">
      <c r="A2" s="1207" t="s">
        <v>537</v>
      </c>
      <c r="B2" s="1208" t="s">
        <v>289</v>
      </c>
      <c r="C2" s="1209" t="s">
        <v>413</v>
      </c>
      <c r="D2" s="1209"/>
      <c r="E2" s="1209"/>
      <c r="F2" s="1209"/>
      <c r="G2" s="1209"/>
      <c r="H2" s="1209"/>
      <c r="I2" s="1209"/>
      <c r="J2" s="1210" t="s">
        <v>414</v>
      </c>
    </row>
    <row r="3" spans="1:10" ht="21.75" customHeight="1">
      <c r="A3" s="1207"/>
      <c r="B3" s="1208"/>
      <c r="C3" s="906" t="s">
        <v>415</v>
      </c>
      <c r="D3" s="906" t="s">
        <v>416</v>
      </c>
      <c r="E3" s="906" t="s">
        <v>417</v>
      </c>
      <c r="F3" s="906" t="s">
        <v>418</v>
      </c>
      <c r="G3" s="906" t="s">
        <v>419</v>
      </c>
      <c r="H3" s="906" t="s">
        <v>420</v>
      </c>
      <c r="I3" s="906" t="s">
        <v>421</v>
      </c>
      <c r="J3" s="1210"/>
    </row>
    <row r="4" spans="1:10" s="288" customFormat="1" ht="15" customHeight="1">
      <c r="A4" s="851" t="s">
        <v>146</v>
      </c>
      <c r="B4" s="852">
        <v>422672.78799538844</v>
      </c>
      <c r="C4" s="907">
        <v>34.772566333822276</v>
      </c>
      <c r="D4" s="907">
        <v>10.902368199674049</v>
      </c>
      <c r="E4" s="907">
        <v>11.601469490944149</v>
      </c>
      <c r="F4" s="907">
        <v>11.42087228449776</v>
      </c>
      <c r="G4" s="907">
        <v>10.257921326144304</v>
      </c>
      <c r="H4" s="907">
        <v>8.1302010807219798</v>
      </c>
      <c r="I4" s="907">
        <v>12.914601284131972</v>
      </c>
      <c r="J4" s="908">
        <v>3.4369026628582762</v>
      </c>
    </row>
    <row r="5" spans="1:10" ht="15" customHeight="1">
      <c r="A5" s="257"/>
      <c r="B5" s="258"/>
      <c r="C5" s="909"/>
      <c r="D5" s="909"/>
      <c r="E5" s="909"/>
      <c r="F5" s="909"/>
      <c r="G5" s="909"/>
      <c r="H5" s="909"/>
      <c r="I5" s="909"/>
      <c r="J5" s="910"/>
    </row>
    <row r="6" spans="1:10" s="288" customFormat="1" ht="17.25" customHeight="1">
      <c r="A6" s="700" t="s">
        <v>3</v>
      </c>
      <c r="B6" s="770"/>
      <c r="C6" s="198"/>
      <c r="D6" s="198"/>
      <c r="E6" s="198"/>
      <c r="F6" s="198"/>
      <c r="G6" s="198"/>
      <c r="H6" s="198"/>
      <c r="I6" s="198"/>
      <c r="J6" s="198"/>
    </row>
    <row r="7" spans="1:10" ht="15" customHeight="1">
      <c r="A7" s="911" t="s">
        <v>4</v>
      </c>
      <c r="B7" s="912">
        <v>371463.03677104594</v>
      </c>
      <c r="C7" s="913">
        <v>33.255461821320104</v>
      </c>
      <c r="D7" s="913">
        <v>10.40504001729399</v>
      </c>
      <c r="E7" s="913">
        <v>11.707765520214329</v>
      </c>
      <c r="F7" s="913">
        <v>11.777525416385654</v>
      </c>
      <c r="G7" s="913">
        <v>10.752217174983844</v>
      </c>
      <c r="H7" s="913">
        <v>8.6031797533962671</v>
      </c>
      <c r="I7" s="913">
        <v>13.498810296333948</v>
      </c>
      <c r="J7" s="914">
        <v>3.5298561540125237</v>
      </c>
    </row>
    <row r="8" spans="1:10" ht="15" customHeight="1">
      <c r="A8" s="911" t="s">
        <v>5</v>
      </c>
      <c r="B8" s="912">
        <v>51209.751224297761</v>
      </c>
      <c r="C8" s="913">
        <v>45.777272192352143</v>
      </c>
      <c r="D8" s="913">
        <v>14.509865453260765</v>
      </c>
      <c r="E8" s="913">
        <v>10.830424037970412</v>
      </c>
      <c r="F8" s="913">
        <v>8.8337975130420627</v>
      </c>
      <c r="G8" s="913">
        <v>6.6724198799663856</v>
      </c>
      <c r="H8" s="913">
        <v>4.6993292276305132</v>
      </c>
      <c r="I8" s="913">
        <v>8.6768916957588935</v>
      </c>
      <c r="J8" s="914">
        <v>2.7626407249049172</v>
      </c>
    </row>
    <row r="9" spans="1:10" ht="15" customHeight="1">
      <c r="A9" s="915" t="s">
        <v>251</v>
      </c>
      <c r="B9" s="916"/>
      <c r="C9" s="917"/>
      <c r="D9" s="917"/>
      <c r="E9" s="917"/>
      <c r="F9" s="917"/>
      <c r="G9" s="917"/>
      <c r="H9" s="917"/>
      <c r="I9" s="917"/>
      <c r="J9" s="918"/>
    </row>
    <row r="10" spans="1:10" ht="15" customHeight="1">
      <c r="A10" s="919" t="s">
        <v>148</v>
      </c>
      <c r="B10" s="912">
        <v>24587.412524329851</v>
      </c>
      <c r="C10" s="913">
        <v>2.8639187114718654</v>
      </c>
      <c r="D10" s="913">
        <v>0.89681623108980812</v>
      </c>
      <c r="E10" s="913">
        <v>0.59312488415476716</v>
      </c>
      <c r="F10" s="913">
        <v>0.45720043153595691</v>
      </c>
      <c r="G10" s="913">
        <v>0.3426626934900468</v>
      </c>
      <c r="H10" s="913">
        <v>0.22622391414876883</v>
      </c>
      <c r="I10" s="913">
        <v>0.43628897728691107</v>
      </c>
      <c r="J10" s="914">
        <v>2.5641444680509053</v>
      </c>
    </row>
    <row r="11" spans="1:10" ht="15" customHeight="1">
      <c r="A11" s="919" t="s">
        <v>152</v>
      </c>
      <c r="B11" s="912">
        <v>9451.2956305773114</v>
      </c>
      <c r="C11" s="913">
        <v>0.92580711084417033</v>
      </c>
      <c r="D11" s="913">
        <v>0.29561192142969361</v>
      </c>
      <c r="E11" s="913">
        <v>0.24095698418786929</v>
      </c>
      <c r="F11" s="913">
        <v>0.21529292670040395</v>
      </c>
      <c r="G11" s="913">
        <v>0.17822262144073178</v>
      </c>
      <c r="H11" s="913">
        <v>0.13782549391416596</v>
      </c>
      <c r="I11" s="913">
        <v>0.24238276515939514</v>
      </c>
      <c r="J11" s="914">
        <v>3.0556854410199028</v>
      </c>
    </row>
    <row r="12" spans="1:10" ht="15" customHeight="1">
      <c r="A12" s="919" t="s">
        <v>157</v>
      </c>
      <c r="B12" s="912">
        <v>168092.44783668517</v>
      </c>
      <c r="C12" s="913">
        <v>14.070081887344703</v>
      </c>
      <c r="D12" s="913">
        <v>4.1010213344324002</v>
      </c>
      <c r="E12" s="913">
        <v>4.6257087319534982</v>
      </c>
      <c r="F12" s="913">
        <v>4.4612686599043139</v>
      </c>
      <c r="G12" s="913">
        <v>3.9399080846501064</v>
      </c>
      <c r="H12" s="913">
        <v>3.1870957316844284</v>
      </c>
      <c r="I12" s="913">
        <v>5.3842242088046506</v>
      </c>
      <c r="J12" s="914">
        <v>3.4530766381050206</v>
      </c>
    </row>
    <row r="13" spans="1:10" ht="15" customHeight="1">
      <c r="A13" s="919" t="s">
        <v>160</v>
      </c>
      <c r="B13" s="912">
        <v>166465.33849326865</v>
      </c>
      <c r="C13" s="913">
        <v>11.567836282314282</v>
      </c>
      <c r="D13" s="913">
        <v>3.7089315672629497</v>
      </c>
      <c r="E13" s="913">
        <v>4.6356891987541715</v>
      </c>
      <c r="F13" s="913">
        <v>5.0776812999268355</v>
      </c>
      <c r="G13" s="913">
        <v>4.8467047825398302</v>
      </c>
      <c r="H13" s="913">
        <v>3.8595890899208651</v>
      </c>
      <c r="I13" s="913">
        <v>5.6879155557394165</v>
      </c>
      <c r="J13" s="914">
        <v>3.7438607923348513</v>
      </c>
    </row>
    <row r="14" spans="1:10" ht="15" customHeight="1">
      <c r="A14" s="919" t="s">
        <v>161</v>
      </c>
      <c r="B14" s="912">
        <v>6502.411042758431</v>
      </c>
      <c r="C14" s="913">
        <v>0.4985480797102082</v>
      </c>
      <c r="D14" s="913">
        <v>0.20768876151893273</v>
      </c>
      <c r="E14" s="913">
        <v>0.20578772022356492</v>
      </c>
      <c r="F14" s="913">
        <v>0.17964840241225763</v>
      </c>
      <c r="G14" s="913">
        <v>0.14923174168637279</v>
      </c>
      <c r="H14" s="913">
        <v>0.1055077918929133</v>
      </c>
      <c r="I14" s="913">
        <v>0.19200517083214835</v>
      </c>
      <c r="J14" s="914">
        <v>3.3972814334257393</v>
      </c>
    </row>
    <row r="15" spans="1:10" ht="15" customHeight="1">
      <c r="A15" s="919" t="s">
        <v>162</v>
      </c>
      <c r="B15" s="912">
        <v>11210.98425382618</v>
      </c>
      <c r="C15" s="913">
        <v>1.0845440590074</v>
      </c>
      <c r="D15" s="913">
        <v>0.39399080846497747</v>
      </c>
      <c r="E15" s="913">
        <v>0.32460280118405266</v>
      </c>
      <c r="F15" s="913">
        <v>0.25093745098855025</v>
      </c>
      <c r="G15" s="913">
        <v>0.17156897690694448</v>
      </c>
      <c r="H15" s="913">
        <v>0.14780596071484692</v>
      </c>
      <c r="I15" s="913">
        <v>0.27897781009522538</v>
      </c>
      <c r="J15" s="914">
        <v>2.9879949829776513</v>
      </c>
    </row>
    <row r="16" spans="1:10" ht="15" customHeight="1">
      <c r="A16" s="919" t="s">
        <v>163</v>
      </c>
      <c r="B16" s="912">
        <v>36362.880659863782</v>
      </c>
      <c r="C16" s="913">
        <v>3.7616854632094121</v>
      </c>
      <c r="D16" s="913">
        <v>1.2984112047363021</v>
      </c>
      <c r="E16" s="913">
        <v>0.97570944484758082</v>
      </c>
      <c r="F16" s="913">
        <v>0.7789516707769909</v>
      </c>
      <c r="G16" s="913">
        <v>0.62971992909060148</v>
      </c>
      <c r="H16" s="913">
        <v>0.46623037768895398</v>
      </c>
      <c r="I16" s="913">
        <v>0.69245429183774609</v>
      </c>
      <c r="J16" s="914">
        <v>2.791459507237517</v>
      </c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CD26-0F02-4834-84EB-4CA035130D48}">
  <sheetPr>
    <tabColor rgb="FF2B3415"/>
  </sheetPr>
  <dimension ref="A1"/>
  <sheetViews>
    <sheetView workbookViewId="0">
      <selection activeCell="U11" sqref="U10:U11"/>
    </sheetView>
  </sheetViews>
  <sheetFormatPr defaultRowHeight="15"/>
  <cols>
    <col min="1" max="16384" width="9.140625" style="14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B646-EFCB-47E6-8169-8A15A878F57B}">
  <dimension ref="A1:F49"/>
  <sheetViews>
    <sheetView workbookViewId="0">
      <selection activeCell="H12" sqref="H12"/>
    </sheetView>
  </sheetViews>
  <sheetFormatPr defaultRowHeight="15"/>
  <cols>
    <col min="1" max="1" width="20.85546875" style="14" customWidth="1"/>
    <col min="2" max="2" width="13.5703125" style="17" bestFit="1" customWidth="1"/>
    <col min="3" max="3" width="12" style="14" bestFit="1" customWidth="1"/>
    <col min="4" max="4" width="12" style="14" customWidth="1"/>
    <col min="5" max="5" width="12.28515625" style="14" customWidth="1"/>
    <col min="6" max="6" width="15.28515625" style="17" customWidth="1"/>
    <col min="7" max="16384" width="9.140625" style="14"/>
  </cols>
  <sheetData>
    <row r="1" spans="1:6" ht="19.5" customHeight="1" thickBot="1">
      <c r="A1" s="1211" t="s">
        <v>556</v>
      </c>
      <c r="B1" s="1211"/>
      <c r="C1" s="1211"/>
      <c r="D1" s="1211"/>
      <c r="E1" s="1211"/>
      <c r="F1" s="1211"/>
    </row>
    <row r="2" spans="1:6" ht="12.75" customHeight="1">
      <c r="A2" s="1212" t="s">
        <v>495</v>
      </c>
      <c r="B2" s="1214" t="s">
        <v>239</v>
      </c>
      <c r="C2" s="1216" t="s">
        <v>133</v>
      </c>
      <c r="D2" s="1216"/>
      <c r="E2" s="1216"/>
      <c r="F2" s="1216"/>
    </row>
    <row r="3" spans="1:6" ht="25.5" customHeight="1">
      <c r="A3" s="1213"/>
      <c r="B3" s="1215"/>
      <c r="C3" s="105" t="s">
        <v>240</v>
      </c>
      <c r="D3" s="105" t="s">
        <v>241</v>
      </c>
      <c r="E3" s="105" t="s">
        <v>135</v>
      </c>
      <c r="F3" s="105" t="s">
        <v>136</v>
      </c>
    </row>
    <row r="4" spans="1:6" ht="15" customHeight="1">
      <c r="A4" s="106" t="s">
        <v>146</v>
      </c>
      <c r="B4" s="920">
        <v>1540457.8866911121</v>
      </c>
      <c r="C4" s="107">
        <v>169614.70559996966</v>
      </c>
      <c r="D4" s="107">
        <v>388249.68999948422</v>
      </c>
      <c r="E4" s="107">
        <v>901528.79169700865</v>
      </c>
      <c r="F4" s="920">
        <v>81064.699399981517</v>
      </c>
    </row>
    <row r="5" spans="1:6" ht="15" customHeight="1">
      <c r="A5" s="108"/>
      <c r="B5" s="921"/>
      <c r="C5" s="109"/>
      <c r="D5" s="109"/>
      <c r="E5" s="109"/>
      <c r="F5" s="921"/>
    </row>
    <row r="6" spans="1:6" ht="15.75" customHeight="1">
      <c r="A6" s="106" t="s">
        <v>3</v>
      </c>
      <c r="B6" s="920"/>
      <c r="C6" s="107"/>
      <c r="D6" s="107"/>
      <c r="E6" s="107"/>
      <c r="F6" s="920"/>
    </row>
    <row r="7" spans="1:6">
      <c r="A7" s="110" t="s">
        <v>4</v>
      </c>
      <c r="B7" s="921">
        <v>1390790.0176924816</v>
      </c>
      <c r="C7" s="109">
        <v>151909.91519989952</v>
      </c>
      <c r="D7" s="109">
        <v>354355.91999976733</v>
      </c>
      <c r="E7" s="109">
        <v>816678.2790975211</v>
      </c>
      <c r="F7" s="921">
        <v>67845.903400011055</v>
      </c>
    </row>
    <row r="8" spans="1:6">
      <c r="A8" s="110" t="s">
        <v>5</v>
      </c>
      <c r="B8" s="921">
        <v>149667.86900003566</v>
      </c>
      <c r="C8" s="109">
        <v>17704.790399997066</v>
      </c>
      <c r="D8" s="109">
        <v>33893.769999996031</v>
      </c>
      <c r="E8" s="109">
        <v>84850.512600016227</v>
      </c>
      <c r="F8" s="921">
        <v>13218.796000001237</v>
      </c>
    </row>
    <row r="9" spans="1:6" ht="14.25" customHeight="1">
      <c r="A9" s="924" t="s">
        <v>557</v>
      </c>
      <c r="B9" s="920"/>
      <c r="C9" s="107"/>
      <c r="D9" s="107"/>
      <c r="E9" s="107"/>
      <c r="F9" s="920"/>
    </row>
    <row r="10" spans="1:6">
      <c r="A10" s="111" t="s">
        <v>148</v>
      </c>
      <c r="B10" s="922">
        <f>SUM(B11:B14)</f>
        <v>67172.710099999895</v>
      </c>
      <c r="C10" s="112">
        <f t="shared" ref="C10:F10" si="0">SUM(C11:C14)</f>
        <v>7453.8864000000331</v>
      </c>
      <c r="D10" s="112">
        <f t="shared" si="0"/>
        <v>14129.279999999671</v>
      </c>
      <c r="E10" s="112">
        <f t="shared" si="0"/>
        <v>37952.658499999736</v>
      </c>
      <c r="F10" s="922">
        <f t="shared" si="0"/>
        <v>7636.8851999999033</v>
      </c>
    </row>
    <row r="11" spans="1:6">
      <c r="A11" s="113" t="s">
        <v>148</v>
      </c>
      <c r="B11" s="921">
        <v>23828.017499999733</v>
      </c>
      <c r="C11" s="109">
        <v>2598.4128000000119</v>
      </c>
      <c r="D11" s="109">
        <v>5483.5699999997587</v>
      </c>
      <c r="E11" s="109">
        <v>13777.646300000015</v>
      </c>
      <c r="F11" s="921">
        <v>1968.3883999999762</v>
      </c>
    </row>
    <row r="12" spans="1:6" ht="17.25" customHeight="1">
      <c r="A12" s="113" t="s">
        <v>149</v>
      </c>
      <c r="B12" s="921">
        <v>24592.758700000999</v>
      </c>
      <c r="C12" s="109">
        <v>2780.4672000000128</v>
      </c>
      <c r="D12" s="109">
        <v>4836.8699999998853</v>
      </c>
      <c r="E12" s="109">
        <v>13229.133900000201</v>
      </c>
      <c r="F12" s="921">
        <v>3746.2875999999251</v>
      </c>
    </row>
    <row r="13" spans="1:6">
      <c r="A13" s="113" t="s">
        <v>150</v>
      </c>
      <c r="B13" s="921">
        <v>7824.3026999995591</v>
      </c>
      <c r="C13" s="109">
        <v>815.10720000000322</v>
      </c>
      <c r="D13" s="109">
        <v>1552.0800000000099</v>
      </c>
      <c r="E13" s="109">
        <v>4646.0932999998704</v>
      </c>
      <c r="F13" s="921">
        <v>811.02220000000102</v>
      </c>
    </row>
    <row r="14" spans="1:6">
      <c r="A14" s="113" t="s">
        <v>151</v>
      </c>
      <c r="B14" s="921">
        <v>10927.6311999996</v>
      </c>
      <c r="C14" s="109">
        <v>1259.8992000000053</v>
      </c>
      <c r="D14" s="109">
        <v>2256.7600000000157</v>
      </c>
      <c r="E14" s="109">
        <v>6299.7849999996524</v>
      </c>
      <c r="F14" s="921">
        <v>1111.1870000000008</v>
      </c>
    </row>
    <row r="15" spans="1:6">
      <c r="A15" s="114" t="s">
        <v>152</v>
      </c>
      <c r="B15" s="922">
        <f>SUM(B16:B19)</f>
        <v>30475.572399998917</v>
      </c>
      <c r="C15" s="112">
        <f t="shared" ref="C15:F15" si="1">SUM(C16:C19)</f>
        <v>4315.5168000000176</v>
      </c>
      <c r="D15" s="112">
        <f t="shared" si="1"/>
        <v>7602.0700000000506</v>
      </c>
      <c r="E15" s="112">
        <f t="shared" si="1"/>
        <v>16300.97719999953</v>
      </c>
      <c r="F15" s="922">
        <f t="shared" si="1"/>
        <v>2257.0083999999897</v>
      </c>
    </row>
    <row r="16" spans="1:6">
      <c r="A16" s="113" t="s">
        <v>153</v>
      </c>
      <c r="B16" s="921">
        <v>17370.327199999287</v>
      </c>
      <c r="C16" s="109">
        <v>2083.2816000000093</v>
      </c>
      <c r="D16" s="109">
        <v>4054.1400000000303</v>
      </c>
      <c r="E16" s="109">
        <v>9798.464199999602</v>
      </c>
      <c r="F16" s="921">
        <v>1434.4413999999915</v>
      </c>
    </row>
    <row r="17" spans="1:6">
      <c r="A17" s="113" t="s">
        <v>154</v>
      </c>
      <c r="B17" s="921">
        <v>1980.7415000000001</v>
      </c>
      <c r="C17" s="109">
        <v>308.25120000000078</v>
      </c>
      <c r="D17" s="109">
        <v>517.36000000000161</v>
      </c>
      <c r="E17" s="109">
        <v>1019.4789000000043</v>
      </c>
      <c r="F17" s="921">
        <v>135.65140000000005</v>
      </c>
    </row>
    <row r="18" spans="1:6">
      <c r="A18" s="113" t="s">
        <v>155</v>
      </c>
      <c r="B18" s="921">
        <v>5029.6588999998758</v>
      </c>
      <c r="C18" s="109">
        <v>850.27680000000339</v>
      </c>
      <c r="D18" s="109">
        <v>1438.350000000009</v>
      </c>
      <c r="E18" s="109">
        <v>2507.2498999999671</v>
      </c>
      <c r="F18" s="921">
        <v>233.78220000000013</v>
      </c>
    </row>
    <row r="19" spans="1:6">
      <c r="A19" s="113" t="s">
        <v>156</v>
      </c>
      <c r="B19" s="921">
        <v>6094.8447999997561</v>
      </c>
      <c r="C19" s="109">
        <v>1073.7072000000044</v>
      </c>
      <c r="D19" s="109">
        <v>1592.2200000000103</v>
      </c>
      <c r="E19" s="109">
        <v>2975.7841999999559</v>
      </c>
      <c r="F19" s="921">
        <v>453.13339999999835</v>
      </c>
    </row>
    <row r="20" spans="1:6">
      <c r="A20" s="114" t="s">
        <v>157</v>
      </c>
      <c r="B20" s="922">
        <f>SUM(B21:B23)</f>
        <v>625623.73290010018</v>
      </c>
      <c r="C20" s="112">
        <f t="shared" ref="C20:F20" si="2">SUM(C21:C23)</f>
        <v>68235.23040000131</v>
      </c>
      <c r="D20" s="112">
        <f t="shared" si="2"/>
        <v>161498.82999999644</v>
      </c>
      <c r="E20" s="112">
        <f t="shared" si="2"/>
        <v>364857.25010023516</v>
      </c>
      <c r="F20" s="922">
        <f t="shared" si="2"/>
        <v>31032.422400002048</v>
      </c>
    </row>
    <row r="21" spans="1:6">
      <c r="A21" s="113" t="s">
        <v>157</v>
      </c>
      <c r="B21" s="921">
        <v>352282.74590001535</v>
      </c>
      <c r="C21" s="109">
        <v>38694.835200006397</v>
      </c>
      <c r="D21" s="109">
        <v>92464.71999999226</v>
      </c>
      <c r="E21" s="109">
        <v>204236.03450019745</v>
      </c>
      <c r="F21" s="921">
        <v>16887.156200002286</v>
      </c>
    </row>
    <row r="22" spans="1:6">
      <c r="A22" s="113" t="s">
        <v>158</v>
      </c>
      <c r="B22" s="921">
        <v>105553.13849999523</v>
      </c>
      <c r="C22" s="109">
        <v>12534.859199998151</v>
      </c>
      <c r="D22" s="109">
        <v>26436.649999995658</v>
      </c>
      <c r="E22" s="109">
        <v>60956.425500005971</v>
      </c>
      <c r="F22" s="921">
        <v>5625.2037999998711</v>
      </c>
    </row>
    <row r="23" spans="1:6">
      <c r="A23" s="113" t="s">
        <v>159</v>
      </c>
      <c r="B23" s="921">
        <v>167787.8485000896</v>
      </c>
      <c r="C23" s="109">
        <v>17005.535999996755</v>
      </c>
      <c r="D23" s="109">
        <v>42597.460000008527</v>
      </c>
      <c r="E23" s="109">
        <v>99664.79010003178</v>
      </c>
      <c r="F23" s="921">
        <v>8520.0623999998916</v>
      </c>
    </row>
    <row r="24" spans="1:6">
      <c r="A24" s="114" t="s">
        <v>160</v>
      </c>
      <c r="B24" s="922">
        <f>SUM(B25)</f>
        <v>652269.52909872704</v>
      </c>
      <c r="C24" s="112">
        <f t="shared" ref="C24:F24" si="3">SUM(C25)</f>
        <v>71011.560000001511</v>
      </c>
      <c r="D24" s="112">
        <f t="shared" si="3"/>
        <v>165729.14000008456</v>
      </c>
      <c r="E24" s="112">
        <f t="shared" si="3"/>
        <v>385936.62049991905</v>
      </c>
      <c r="F24" s="922">
        <f t="shared" si="3"/>
        <v>29592.208600005924</v>
      </c>
    </row>
    <row r="25" spans="1:6">
      <c r="A25" s="113" t="s">
        <v>160</v>
      </c>
      <c r="B25" s="921">
        <v>652269.52909872704</v>
      </c>
      <c r="C25" s="109">
        <v>71011.560000001511</v>
      </c>
      <c r="D25" s="109">
        <v>165729.14000008456</v>
      </c>
      <c r="E25" s="109">
        <v>385936.62049991905</v>
      </c>
      <c r="F25" s="921">
        <v>29592.208600005924</v>
      </c>
    </row>
    <row r="26" spans="1:6">
      <c r="A26" s="114" t="s">
        <v>161</v>
      </c>
      <c r="B26" s="922">
        <f>SUM(B27)</f>
        <v>23088.891099999786</v>
      </c>
      <c r="C26" s="112">
        <f t="shared" ref="C26:F26" si="4">SUM(C27)</f>
        <v>3411.4512000000159</v>
      </c>
      <c r="D26" s="112">
        <f t="shared" si="4"/>
        <v>5844.829999999688</v>
      </c>
      <c r="E26" s="112">
        <f t="shared" si="4"/>
        <v>12810.895099999898</v>
      </c>
      <c r="F26" s="922">
        <f t="shared" si="4"/>
        <v>1021.7148000000033</v>
      </c>
    </row>
    <row r="27" spans="1:6">
      <c r="A27" s="113" t="s">
        <v>161</v>
      </c>
      <c r="B27" s="921">
        <v>23088.891099999786</v>
      </c>
      <c r="C27" s="109">
        <v>3411.4512000000159</v>
      </c>
      <c r="D27" s="109">
        <v>5844.829999999688</v>
      </c>
      <c r="E27" s="109">
        <v>12810.895099999898</v>
      </c>
      <c r="F27" s="921">
        <v>1021.7148000000033</v>
      </c>
    </row>
    <row r="28" spans="1:6">
      <c r="A28" s="114" t="s">
        <v>162</v>
      </c>
      <c r="B28" s="922">
        <f>SUM(B29)</f>
        <v>35371.509800000895</v>
      </c>
      <c r="C28" s="112">
        <f t="shared" ref="C28:F28" si="5">SUM(C29)</f>
        <v>4245.17760000002</v>
      </c>
      <c r="D28" s="112">
        <f t="shared" si="5"/>
        <v>8810.7299999991083</v>
      </c>
      <c r="E28" s="112">
        <f t="shared" si="5"/>
        <v>19905.625200000457</v>
      </c>
      <c r="F28" s="922">
        <f t="shared" si="5"/>
        <v>2409.9769999999635</v>
      </c>
    </row>
    <row r="29" spans="1:6">
      <c r="A29" s="113" t="s">
        <v>162</v>
      </c>
      <c r="B29" s="921">
        <v>35371.509800000895</v>
      </c>
      <c r="C29" s="109">
        <v>4245.17760000002</v>
      </c>
      <c r="D29" s="109">
        <v>8810.7299999991083</v>
      </c>
      <c r="E29" s="109">
        <v>19905.625200000457</v>
      </c>
      <c r="F29" s="921">
        <v>2409.9769999999635</v>
      </c>
    </row>
    <row r="30" spans="1:6">
      <c r="A30" s="114" t="s">
        <v>163</v>
      </c>
      <c r="B30" s="922">
        <f>SUM(B31)</f>
        <v>106455.94129998244</v>
      </c>
      <c r="C30" s="112">
        <f t="shared" ref="C30:F30" si="6">SUM(C31)</f>
        <v>10941.883199998843</v>
      </c>
      <c r="D30" s="112">
        <f t="shared" si="6"/>
        <v>24634.80999999601</v>
      </c>
      <c r="E30" s="112">
        <f t="shared" si="6"/>
        <v>63764.765100003977</v>
      </c>
      <c r="F30" s="922">
        <f t="shared" si="6"/>
        <v>7114.4829999998283</v>
      </c>
    </row>
    <row r="31" spans="1:6">
      <c r="A31" s="113" t="s">
        <v>163</v>
      </c>
      <c r="B31" s="921">
        <v>106455.94129998244</v>
      </c>
      <c r="C31" s="109">
        <v>10941.883199998843</v>
      </c>
      <c r="D31" s="109">
        <v>24634.80999999601</v>
      </c>
      <c r="E31" s="109">
        <v>63764.765100003977</v>
      </c>
      <c r="F31" s="921">
        <v>7114.4829999998283</v>
      </c>
    </row>
    <row r="32" spans="1:6">
      <c r="B32" s="923"/>
      <c r="D32" s="115"/>
      <c r="E32" s="115"/>
      <c r="F32" s="923"/>
    </row>
    <row r="33" spans="3:3">
      <c r="C33" s="115"/>
    </row>
    <row r="49" ht="14.25" customHeight="1"/>
  </sheetData>
  <mergeCells count="4">
    <mergeCell ref="A1:F1"/>
    <mergeCell ref="A2:A3"/>
    <mergeCell ref="B2:B3"/>
    <mergeCell ref="C2:F2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23FF-3C8E-466D-9D0C-25F0A351555D}">
  <dimension ref="A1:H31"/>
  <sheetViews>
    <sheetView workbookViewId="0">
      <selection activeCell="K13" sqref="K13"/>
    </sheetView>
  </sheetViews>
  <sheetFormatPr defaultRowHeight="15"/>
  <cols>
    <col min="1" max="1" width="19" style="14" customWidth="1"/>
    <col min="2" max="2" width="13" style="17" customWidth="1"/>
    <col min="3" max="3" width="10" style="14" bestFit="1" customWidth="1"/>
    <col min="4" max="4" width="11" style="14" bestFit="1" customWidth="1"/>
    <col min="5" max="5" width="13.7109375" style="14" customWidth="1"/>
    <col min="6" max="6" width="10" style="14" bestFit="1" customWidth="1"/>
    <col min="7" max="7" width="17.42578125" style="14" customWidth="1"/>
    <col min="8" max="8" width="9.28515625" style="14" bestFit="1" customWidth="1"/>
    <col min="9" max="16384" width="9.140625" style="14"/>
  </cols>
  <sheetData>
    <row r="1" spans="1:8" ht="16.5" customHeight="1" thickBot="1">
      <c r="A1" s="1211" t="s">
        <v>558</v>
      </c>
      <c r="B1" s="1211"/>
      <c r="C1" s="1211"/>
      <c r="D1" s="1211"/>
      <c r="E1" s="1211"/>
      <c r="F1" s="1211"/>
      <c r="G1" s="1211"/>
      <c r="H1" s="1211"/>
    </row>
    <row r="2" spans="1:8" ht="15" customHeight="1">
      <c r="A2" s="1217" t="s">
        <v>495</v>
      </c>
      <c r="B2" s="1219" t="s">
        <v>559</v>
      </c>
      <c r="C2" s="1221" t="s">
        <v>244</v>
      </c>
      <c r="D2" s="1221"/>
      <c r="E2" s="1221"/>
      <c r="F2" s="1221"/>
      <c r="G2" s="1221"/>
      <c r="H2" s="1221"/>
    </row>
    <row r="3" spans="1:8" ht="35.25" customHeight="1">
      <c r="A3" s="1218"/>
      <c r="B3" s="1220"/>
      <c r="C3" s="116" t="s">
        <v>245</v>
      </c>
      <c r="D3" s="116" t="s">
        <v>246</v>
      </c>
      <c r="E3" s="116" t="s">
        <v>247</v>
      </c>
      <c r="F3" s="116" t="s">
        <v>248</v>
      </c>
      <c r="G3" s="116" t="s">
        <v>249</v>
      </c>
      <c r="H3" s="116" t="s">
        <v>250</v>
      </c>
    </row>
    <row r="4" spans="1:8">
      <c r="A4" s="117" t="s">
        <v>146</v>
      </c>
      <c r="B4" s="925">
        <v>421666.39073483081</v>
      </c>
      <c r="C4" s="118">
        <v>61998.892315026336</v>
      </c>
      <c r="D4" s="118">
        <v>263734.33679810184</v>
      </c>
      <c r="E4" s="118">
        <v>33130.758519669726</v>
      </c>
      <c r="F4" s="118">
        <v>21192.597003734645</v>
      </c>
      <c r="G4" s="118">
        <v>41527.446242485858</v>
      </c>
      <c r="H4" s="118">
        <v>82.359855654333273</v>
      </c>
    </row>
    <row r="5" spans="1:8" ht="15.75" customHeight="1">
      <c r="A5" s="119"/>
      <c r="B5" s="926"/>
      <c r="C5" s="120"/>
      <c r="D5" s="120"/>
      <c r="E5" s="120"/>
      <c r="F5" s="120"/>
      <c r="G5" s="120"/>
      <c r="H5" s="120"/>
    </row>
    <row r="6" spans="1:8" ht="12.75" customHeight="1">
      <c r="A6" s="121" t="s">
        <v>3</v>
      </c>
      <c r="B6" s="927"/>
      <c r="C6" s="122"/>
      <c r="D6" s="122"/>
      <c r="E6" s="122"/>
      <c r="F6" s="122"/>
      <c r="G6" s="122"/>
      <c r="H6" s="122"/>
    </row>
    <row r="7" spans="1:8" ht="15.75" customHeight="1">
      <c r="A7" s="123" t="s">
        <v>4</v>
      </c>
      <c r="B7" s="926">
        <v>370776.03504827007</v>
      </c>
      <c r="C7" s="120">
        <v>56510.913640688137</v>
      </c>
      <c r="D7" s="120">
        <v>242226.36181049602</v>
      </c>
      <c r="E7" s="120">
        <v>33012.240678606053</v>
      </c>
      <c r="F7" s="120">
        <v>12595.031584212562</v>
      </c>
      <c r="G7" s="120">
        <v>26365.197694216076</v>
      </c>
      <c r="H7" s="120">
        <v>66.289639916902388</v>
      </c>
    </row>
    <row r="8" spans="1:8" ht="18" customHeight="1">
      <c r="A8" s="123" t="s">
        <v>5</v>
      </c>
      <c r="B8" s="926">
        <v>50890.355686515999</v>
      </c>
      <c r="C8" s="120">
        <v>5487.9786743329987</v>
      </c>
      <c r="D8" s="120">
        <v>21507.974987581474</v>
      </c>
      <c r="E8" s="120">
        <v>118.51784106355277</v>
      </c>
      <c r="F8" s="120">
        <v>8597.565419526205</v>
      </c>
      <c r="G8" s="120">
        <v>15162.248548267418</v>
      </c>
      <c r="H8" s="120">
        <v>16.070215737430875</v>
      </c>
    </row>
    <row r="9" spans="1:8" ht="18" customHeight="1">
      <c r="A9" s="124" t="s">
        <v>251</v>
      </c>
      <c r="B9" s="928"/>
      <c r="C9" s="125"/>
      <c r="D9" s="125"/>
      <c r="E9" s="125"/>
      <c r="F9" s="125"/>
      <c r="G9" s="125"/>
      <c r="H9" s="125"/>
    </row>
    <row r="10" spans="1:8" ht="12.75" customHeight="1">
      <c r="A10" s="126" t="s">
        <v>148</v>
      </c>
      <c r="B10" s="929">
        <v>24561.289646796075</v>
      </c>
      <c r="C10" s="127">
        <v>2565.2081870873908</v>
      </c>
      <c r="D10" s="127">
        <v>11194.896484153889</v>
      </c>
      <c r="E10" s="128">
        <v>54.236978113829224</v>
      </c>
      <c r="F10" s="127">
        <v>3089.4901985538904</v>
      </c>
      <c r="G10" s="127">
        <v>7647.4139140501693</v>
      </c>
      <c r="H10" s="127">
        <v>10.043884835894296</v>
      </c>
    </row>
    <row r="11" spans="1:8" ht="12.75" customHeight="1">
      <c r="A11" s="123" t="s">
        <v>148</v>
      </c>
      <c r="B11" s="926">
        <v>8358.494629530358</v>
      </c>
      <c r="C11" s="120">
        <v>871.80920375562027</v>
      </c>
      <c r="D11" s="120">
        <v>5795.3039963770398</v>
      </c>
      <c r="E11" s="120">
        <v>54.236978113829224</v>
      </c>
      <c r="F11" s="120">
        <v>395.72028556705482</v>
      </c>
      <c r="G11" s="120">
        <v>1237.4066117821703</v>
      </c>
      <c r="H11" s="120">
        <v>4.0175539343577187</v>
      </c>
    </row>
    <row r="12" spans="1:8" ht="12.75" customHeight="1">
      <c r="A12" s="123" t="s">
        <v>149</v>
      </c>
      <c r="B12" s="926">
        <v>9499.5062777896092</v>
      </c>
      <c r="C12" s="120">
        <v>674.94906097209332</v>
      </c>
      <c r="D12" s="120">
        <v>2772.1122147068909</v>
      </c>
      <c r="E12" s="129">
        <v>0</v>
      </c>
      <c r="F12" s="120">
        <v>1374.0034455503319</v>
      </c>
      <c r="G12" s="120">
        <v>4676.4327795926529</v>
      </c>
      <c r="H12" s="120">
        <v>2.0087769671788593</v>
      </c>
    </row>
    <row r="13" spans="1:8" ht="12.75" customHeight="1">
      <c r="A13" s="123" t="s">
        <v>150</v>
      </c>
      <c r="B13" s="926">
        <v>2798.2263152802188</v>
      </c>
      <c r="C13" s="120">
        <v>445.94848671370482</v>
      </c>
      <c r="D13" s="120">
        <v>357.56230015783558</v>
      </c>
      <c r="E13" s="129">
        <v>0</v>
      </c>
      <c r="F13" s="120">
        <v>1197.2310724385934</v>
      </c>
      <c r="G13" s="120">
        <v>793.46690203564526</v>
      </c>
      <c r="H13" s="120">
        <v>4.0175539343577187</v>
      </c>
    </row>
    <row r="14" spans="1:8" ht="12.75" customHeight="1">
      <c r="A14" s="123" t="s">
        <v>151</v>
      </c>
      <c r="B14" s="926">
        <v>3905.0624241958885</v>
      </c>
      <c r="C14" s="120">
        <v>572.50143564597215</v>
      </c>
      <c r="D14" s="120">
        <v>2269.9179729121224</v>
      </c>
      <c r="E14" s="129">
        <v>0</v>
      </c>
      <c r="F14" s="120">
        <v>122.53539499791049</v>
      </c>
      <c r="G14" s="120">
        <v>940.10762063970105</v>
      </c>
      <c r="H14" s="129">
        <v>0</v>
      </c>
    </row>
    <row r="15" spans="1:8" ht="12.75" customHeight="1">
      <c r="A15" s="126" t="s">
        <v>152</v>
      </c>
      <c r="B15" s="929">
        <v>9256.4442647605701</v>
      </c>
      <c r="C15" s="127">
        <v>604.6418671208346</v>
      </c>
      <c r="D15" s="127">
        <v>3764.448036493186</v>
      </c>
      <c r="E15" s="127">
        <v>24.105323606146317</v>
      </c>
      <c r="F15" s="127">
        <v>3487.2368150224825</v>
      </c>
      <c r="G15" s="127">
        <v>1374.0034455503328</v>
      </c>
      <c r="H15" s="127">
        <v>2.0087769671788593</v>
      </c>
    </row>
    <row r="16" spans="1:8" ht="12.75" customHeight="1">
      <c r="A16" s="123" t="s">
        <v>153</v>
      </c>
      <c r="B16" s="926">
        <v>5956.0237076857229</v>
      </c>
      <c r="C16" s="120">
        <v>458.0011485167779</v>
      </c>
      <c r="D16" s="120">
        <v>2261.8828650434061</v>
      </c>
      <c r="E16" s="120">
        <v>24.105323606146317</v>
      </c>
      <c r="F16" s="120">
        <v>2061.0051683254987</v>
      </c>
      <c r="G16" s="120">
        <v>1151.0292021934799</v>
      </c>
      <c r="H16" s="129">
        <v>0</v>
      </c>
    </row>
    <row r="17" spans="1:8" ht="12.75" customHeight="1">
      <c r="A17" s="123" t="s">
        <v>154</v>
      </c>
      <c r="B17" s="926">
        <v>546.38733507264715</v>
      </c>
      <c r="C17" s="120">
        <v>28.122877540504039</v>
      </c>
      <c r="D17" s="120">
        <v>136.59683376816244</v>
      </c>
      <c r="E17" s="129">
        <v>0</v>
      </c>
      <c r="F17" s="120">
        <v>375.6412928624452</v>
      </c>
      <c r="G17" s="120">
        <v>6.0263309015365785</v>
      </c>
      <c r="H17" s="129">
        <v>0</v>
      </c>
    </row>
    <row r="18" spans="1:8" ht="12.75" customHeight="1">
      <c r="A18" s="123" t="s">
        <v>155</v>
      </c>
      <c r="B18" s="926">
        <v>1359.94200678008</v>
      </c>
      <c r="C18" s="120">
        <v>30.131654507682899</v>
      </c>
      <c r="D18" s="120">
        <v>500.18546482753368</v>
      </c>
      <c r="E18" s="129">
        <v>0</v>
      </c>
      <c r="F18" s="120">
        <v>612.67697498954908</v>
      </c>
      <c r="G18" s="120">
        <v>214.93913548813745</v>
      </c>
      <c r="H18" s="120">
        <v>2.0087769671788593</v>
      </c>
    </row>
    <row r="19" spans="1:8" ht="12.75" customHeight="1">
      <c r="A19" s="123" t="s">
        <v>156</v>
      </c>
      <c r="B19" s="926">
        <v>1394.0912152221204</v>
      </c>
      <c r="C19" s="120">
        <v>88.386186555869855</v>
      </c>
      <c r="D19" s="120">
        <v>865.78287285408373</v>
      </c>
      <c r="E19" s="129">
        <v>0</v>
      </c>
      <c r="F19" s="120">
        <v>437.91337884498944</v>
      </c>
      <c r="G19" s="120">
        <v>2.0087769671788593</v>
      </c>
      <c r="H19" s="129">
        <v>0</v>
      </c>
    </row>
    <row r="20" spans="1:8" ht="12.75" customHeight="1">
      <c r="A20" s="126" t="s">
        <v>157</v>
      </c>
      <c r="B20" s="930">
        <v>167947.81589496232</v>
      </c>
      <c r="C20" s="127">
        <v>23745.752529023139</v>
      </c>
      <c r="D20" s="130">
        <v>104882.26301034636</v>
      </c>
      <c r="E20" s="131">
        <v>15628.284804652942</v>
      </c>
      <c r="F20" s="127">
        <v>8330.3980828909316</v>
      </c>
      <c r="G20" s="127">
        <v>15328.977036542819</v>
      </c>
      <c r="H20" s="127">
        <v>32.140431474861749</v>
      </c>
    </row>
    <row r="21" spans="1:8" ht="12.75" customHeight="1">
      <c r="A21" s="123" t="s">
        <v>157</v>
      </c>
      <c r="B21" s="926">
        <v>95591.6695371924</v>
      </c>
      <c r="C21" s="120">
        <v>13725.973016734381</v>
      </c>
      <c r="D21" s="120">
        <v>56902.625149288411</v>
      </c>
      <c r="E21" s="120">
        <v>15423.389554000698</v>
      </c>
      <c r="F21" s="120">
        <v>4031.6153731281702</v>
      </c>
      <c r="G21" s="120">
        <v>5496.013782201715</v>
      </c>
      <c r="H21" s="120">
        <v>12.052661803073155</v>
      </c>
    </row>
    <row r="22" spans="1:8" ht="12.75" customHeight="1">
      <c r="A22" s="123" t="s">
        <v>158</v>
      </c>
      <c r="B22" s="926">
        <v>30768.436806268619</v>
      </c>
      <c r="C22" s="120">
        <v>3420.9471751057317</v>
      </c>
      <c r="D22" s="120">
        <v>19475.092696798092</v>
      </c>
      <c r="E22" s="120">
        <v>188.82503491481245</v>
      </c>
      <c r="F22" s="120">
        <v>1998.7330823429531</v>
      </c>
      <c r="G22" s="120">
        <v>5676.8037092478316</v>
      </c>
      <c r="H22" s="120">
        <v>8.0351078687154374</v>
      </c>
    </row>
    <row r="23" spans="1:8" ht="12.75" customHeight="1">
      <c r="A23" s="123" t="s">
        <v>159</v>
      </c>
      <c r="B23" s="926">
        <v>41587.709551501284</v>
      </c>
      <c r="C23" s="120">
        <v>6598.8323371830265</v>
      </c>
      <c r="D23" s="120">
        <v>28504.545164259853</v>
      </c>
      <c r="E23" s="120">
        <v>16.070215737430875</v>
      </c>
      <c r="F23" s="120">
        <v>2300.0496274198085</v>
      </c>
      <c r="G23" s="120">
        <v>4156.1595450932728</v>
      </c>
      <c r="H23" s="120">
        <v>12.052661803073155</v>
      </c>
    </row>
    <row r="24" spans="1:8" ht="12.75" customHeight="1">
      <c r="A24" s="126" t="s">
        <v>160</v>
      </c>
      <c r="B24" s="929">
        <v>166374.94352974551</v>
      </c>
      <c r="C24" s="127">
        <v>29810.250192925068</v>
      </c>
      <c r="D24" s="127">
        <v>111565.46398021486</v>
      </c>
      <c r="E24" s="127">
        <v>15045.739484171032</v>
      </c>
      <c r="F24" s="127">
        <v>2979.0162423263355</v>
      </c>
      <c r="G24" s="127">
        <v>6958.4034143080808</v>
      </c>
      <c r="H24" s="127">
        <v>16.070215737430875</v>
      </c>
    </row>
    <row r="25" spans="1:8" ht="12.75" customHeight="1">
      <c r="A25" s="123" t="s">
        <v>160</v>
      </c>
      <c r="B25" s="926">
        <v>166374.94352974551</v>
      </c>
      <c r="C25" s="120">
        <v>29810.250192925068</v>
      </c>
      <c r="D25" s="120">
        <v>111565.46398021486</v>
      </c>
      <c r="E25" s="120">
        <v>15045.739484171032</v>
      </c>
      <c r="F25" s="120">
        <v>2979.0162423263355</v>
      </c>
      <c r="G25" s="120">
        <v>6958.4034143080808</v>
      </c>
      <c r="H25" s="120">
        <v>16.070215737430875</v>
      </c>
    </row>
    <row r="26" spans="1:8" ht="12.75" customHeight="1">
      <c r="A26" s="126" t="s">
        <v>161</v>
      </c>
      <c r="B26" s="929">
        <v>6486.3408270209984</v>
      </c>
      <c r="C26" s="127">
        <v>474.07136425420867</v>
      </c>
      <c r="D26" s="127">
        <v>3800.6060219025767</v>
      </c>
      <c r="E26" s="127">
        <v>4.0175539343577187</v>
      </c>
      <c r="F26" s="127">
        <v>1418.1965388282665</v>
      </c>
      <c r="G26" s="127">
        <v>789.44934810128757</v>
      </c>
      <c r="H26" s="132">
        <v>0</v>
      </c>
    </row>
    <row r="27" spans="1:8" ht="12.75" customHeight="1">
      <c r="A27" s="123" t="s">
        <v>161</v>
      </c>
      <c r="B27" s="926">
        <v>6486.3408270209984</v>
      </c>
      <c r="C27" s="120">
        <v>474.07136425420867</v>
      </c>
      <c r="D27" s="120">
        <v>3800.6060219025767</v>
      </c>
      <c r="E27" s="120">
        <v>4.0175539343577187</v>
      </c>
      <c r="F27" s="120">
        <v>1418.1965388282665</v>
      </c>
      <c r="G27" s="120">
        <v>789.44934810128757</v>
      </c>
      <c r="H27" s="129">
        <v>0</v>
      </c>
    </row>
    <row r="28" spans="1:8" ht="12.75" customHeight="1">
      <c r="A28" s="126" t="s">
        <v>162</v>
      </c>
      <c r="B28" s="929">
        <v>11198.931592023106</v>
      </c>
      <c r="C28" s="127">
        <v>1068.6693465391472</v>
      </c>
      <c r="D28" s="127">
        <v>6964.429745209618</v>
      </c>
      <c r="E28" s="127">
        <v>32.140431474861757</v>
      </c>
      <c r="F28" s="127">
        <v>431.8870479434529</v>
      </c>
      <c r="G28" s="127">
        <v>2697.7874669212651</v>
      </c>
      <c r="H28" s="127">
        <v>4.0175539343577187</v>
      </c>
    </row>
    <row r="29" spans="1:8" ht="12.75" customHeight="1">
      <c r="A29" s="123" t="s">
        <v>162</v>
      </c>
      <c r="B29" s="926">
        <v>11198.931592023106</v>
      </c>
      <c r="C29" s="120">
        <v>1068.6693465391472</v>
      </c>
      <c r="D29" s="120">
        <v>6964.429745209618</v>
      </c>
      <c r="E29" s="120">
        <v>32.140431474861757</v>
      </c>
      <c r="F29" s="120">
        <v>431.8870479434529</v>
      </c>
      <c r="G29" s="120">
        <v>2697.7874669212651</v>
      </c>
      <c r="H29" s="120">
        <v>4.0175539343577187</v>
      </c>
    </row>
    <row r="30" spans="1:8" ht="12.75" customHeight="1">
      <c r="A30" s="126" t="s">
        <v>163</v>
      </c>
      <c r="B30" s="929">
        <v>35840.59864839675</v>
      </c>
      <c r="C30" s="127">
        <v>3730.2988280513091</v>
      </c>
      <c r="D30" s="127">
        <v>21562.21196569526</v>
      </c>
      <c r="E30" s="127">
        <v>2342.2339437305691</v>
      </c>
      <c r="F30" s="127">
        <v>1456.3633012046646</v>
      </c>
      <c r="G30" s="127">
        <v>6731.4116170168454</v>
      </c>
      <c r="H30" s="127">
        <v>18.078992704609735</v>
      </c>
    </row>
    <row r="31" spans="1:8" ht="12.75" customHeight="1">
      <c r="A31" s="123" t="s">
        <v>163</v>
      </c>
      <c r="B31" s="926">
        <v>35840.59864839675</v>
      </c>
      <c r="C31" s="120">
        <v>3730.2988280513091</v>
      </c>
      <c r="D31" s="120">
        <v>21562.21196569526</v>
      </c>
      <c r="E31" s="120">
        <v>2342.2339437305691</v>
      </c>
      <c r="F31" s="120">
        <v>1456.3633012046646</v>
      </c>
      <c r="G31" s="120">
        <v>6731.4116170168454</v>
      </c>
      <c r="H31" s="120">
        <v>18.078992704609735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51A2-9A56-45BD-954A-D7FD28E04E2D}">
  <dimension ref="A1:G49"/>
  <sheetViews>
    <sheetView zoomScale="120" zoomScaleNormal="120" workbookViewId="0">
      <selection activeCell="B7" sqref="B7:B8"/>
    </sheetView>
  </sheetViews>
  <sheetFormatPr defaultRowHeight="15"/>
  <cols>
    <col min="1" max="1" width="24" style="14" customWidth="1"/>
    <col min="2" max="2" width="13.140625" style="14" customWidth="1"/>
    <col min="3" max="3" width="15" style="14" customWidth="1"/>
    <col min="4" max="4" width="14" style="14" customWidth="1"/>
    <col min="5" max="5" width="11.5703125" style="14" customWidth="1"/>
    <col min="6" max="16384" width="9.140625" style="14"/>
  </cols>
  <sheetData>
    <row r="1" spans="1:7" ht="23.25" customHeight="1" thickBot="1">
      <c r="A1" s="1222" t="s">
        <v>560</v>
      </c>
      <c r="B1" s="1222"/>
      <c r="C1" s="1222"/>
      <c r="D1" s="1222"/>
      <c r="E1" s="1222"/>
    </row>
    <row r="2" spans="1:7" ht="15" customHeight="1">
      <c r="A2" s="1223" t="s">
        <v>561</v>
      </c>
      <c r="B2" s="1225" t="s">
        <v>562</v>
      </c>
      <c r="C2" s="1226" t="s">
        <v>252</v>
      </c>
      <c r="D2" s="1226"/>
      <c r="E2" s="1226"/>
    </row>
    <row r="3" spans="1:7" ht="36.75">
      <c r="A3" s="1224"/>
      <c r="B3" s="1220"/>
      <c r="C3" s="133" t="s">
        <v>253</v>
      </c>
      <c r="D3" s="133" t="s">
        <v>254</v>
      </c>
      <c r="E3" s="133" t="s">
        <v>255</v>
      </c>
    </row>
    <row r="4" spans="1:7" ht="15" customHeight="1">
      <c r="A4" s="134" t="s">
        <v>146</v>
      </c>
      <c r="B4" s="122">
        <v>421666.39073483081</v>
      </c>
      <c r="C4" s="122">
        <v>415360.83983484999</v>
      </c>
      <c r="D4" s="122">
        <v>6044.4098942416022</v>
      </c>
      <c r="E4" s="122">
        <v>261.14100573325095</v>
      </c>
    </row>
    <row r="5" spans="1:7" ht="9" customHeight="1">
      <c r="A5" s="135"/>
      <c r="B5" s="120"/>
      <c r="C5" s="120"/>
      <c r="D5" s="120"/>
      <c r="E5" s="120"/>
    </row>
    <row r="6" spans="1:7">
      <c r="A6" s="136" t="s">
        <v>3</v>
      </c>
      <c r="B6" s="118"/>
      <c r="C6" s="118"/>
      <c r="D6" s="118"/>
      <c r="E6" s="118"/>
    </row>
    <row r="7" spans="1:7" ht="9.75" customHeight="1">
      <c r="A7" s="137" t="s">
        <v>4</v>
      </c>
      <c r="B7" s="138">
        <v>370776.03504827007</v>
      </c>
      <c r="C7" s="138">
        <v>365452.77608524071</v>
      </c>
      <c r="D7" s="138">
        <v>5126.3988202407654</v>
      </c>
      <c r="E7" s="138">
        <v>196.86014278352783</v>
      </c>
    </row>
    <row r="8" spans="1:7" ht="12" customHeight="1">
      <c r="A8" s="137" t="s">
        <v>5</v>
      </c>
      <c r="B8" s="138">
        <v>50890.355686515999</v>
      </c>
      <c r="C8" s="138">
        <v>49908.063749564542</v>
      </c>
      <c r="D8" s="138">
        <v>918.01107400073374</v>
      </c>
      <c r="E8" s="138">
        <v>64.280862949723527</v>
      </c>
    </row>
    <row r="9" spans="1:7" ht="12" customHeight="1">
      <c r="A9" s="134" t="s">
        <v>142</v>
      </c>
      <c r="B9" s="139"/>
      <c r="C9" s="139"/>
      <c r="D9" s="139"/>
      <c r="E9" s="139"/>
    </row>
    <row r="10" spans="1:7" ht="12" customHeight="1">
      <c r="A10" s="140" t="s">
        <v>148</v>
      </c>
      <c r="B10" s="141">
        <v>24561.289646796075</v>
      </c>
      <c r="C10" s="141">
        <v>24157.525476393079</v>
      </c>
      <c r="D10" s="141">
        <v>373.63251589526715</v>
      </c>
      <c r="E10" s="141">
        <v>30.131654507682896</v>
      </c>
    </row>
    <row r="11" spans="1:7">
      <c r="A11" s="137" t="s">
        <v>148</v>
      </c>
      <c r="B11" s="138">
        <v>8358.494629530358</v>
      </c>
      <c r="C11" s="138">
        <v>8288.1874356790904</v>
      </c>
      <c r="D11" s="138">
        <v>64.280862949723527</v>
      </c>
      <c r="E11" s="138">
        <v>6.0263309015365785</v>
      </c>
      <c r="F11" s="18"/>
      <c r="G11" s="18"/>
    </row>
    <row r="12" spans="1:7">
      <c r="A12" s="137" t="s">
        <v>149</v>
      </c>
      <c r="B12" s="138">
        <v>9499.5062777896092</v>
      </c>
      <c r="C12" s="138">
        <v>9218.2775023845388</v>
      </c>
      <c r="D12" s="138">
        <v>259.1322287660721</v>
      </c>
      <c r="E12" s="138">
        <v>22.096546638967457</v>
      </c>
    </row>
    <row r="13" spans="1:7">
      <c r="A13" s="137" t="s">
        <v>150</v>
      </c>
      <c r="B13" s="138">
        <v>2798.2263152802188</v>
      </c>
      <c r="C13" s="138">
        <v>2776.129768641249</v>
      </c>
      <c r="D13" s="138">
        <v>20.087769671788596</v>
      </c>
      <c r="E13" s="138">
        <v>2.0087769671788593</v>
      </c>
    </row>
    <row r="14" spans="1:7">
      <c r="A14" s="137" t="s">
        <v>151</v>
      </c>
      <c r="B14" s="138">
        <v>3905.0624241958885</v>
      </c>
      <c r="C14" s="138">
        <v>3874.9307696882024</v>
      </c>
      <c r="D14" s="138">
        <v>30.131654507682899</v>
      </c>
      <c r="E14" s="138">
        <v>0</v>
      </c>
    </row>
    <row r="15" spans="1:7">
      <c r="A15" s="140" t="s">
        <v>152</v>
      </c>
      <c r="B15" s="141">
        <v>9256.4442647605701</v>
      </c>
      <c r="C15" s="141">
        <v>8914.9521803401367</v>
      </c>
      <c r="D15" s="141">
        <v>327.43064565015334</v>
      </c>
      <c r="E15" s="141">
        <v>14.061438770252014</v>
      </c>
    </row>
    <row r="16" spans="1:7">
      <c r="A16" s="137" t="s">
        <v>153</v>
      </c>
      <c r="B16" s="138">
        <v>5956.0237076857229</v>
      </c>
      <c r="C16" s="138">
        <v>5692.8739249852642</v>
      </c>
      <c r="D16" s="138">
        <v>261.14100573325095</v>
      </c>
      <c r="E16" s="138">
        <v>2.0087769671788593</v>
      </c>
    </row>
    <row r="17" spans="1:7">
      <c r="A17" s="137" t="s">
        <v>154</v>
      </c>
      <c r="B17" s="138">
        <v>546.38733507264715</v>
      </c>
      <c r="C17" s="138">
        <v>542.36978113828945</v>
      </c>
      <c r="D17" s="138">
        <v>4.0175539343577187</v>
      </c>
      <c r="E17" s="138">
        <v>0</v>
      </c>
    </row>
    <row r="18" spans="1:7">
      <c r="A18" s="137" t="s">
        <v>155</v>
      </c>
      <c r="B18" s="138">
        <v>1359.94200678008</v>
      </c>
      <c r="C18" s="138">
        <v>1337.8454601411127</v>
      </c>
      <c r="D18" s="138">
        <v>14.061438770252014</v>
      </c>
      <c r="E18" s="138">
        <v>8.0351078687154374</v>
      </c>
    </row>
    <row r="19" spans="1:7">
      <c r="A19" s="137" t="s">
        <v>156</v>
      </c>
      <c r="B19" s="138">
        <v>1394.0912152221204</v>
      </c>
      <c r="C19" s="138">
        <v>1341.8630140754703</v>
      </c>
      <c r="D19" s="138">
        <v>48.210647212292642</v>
      </c>
      <c r="E19" s="138">
        <v>4.0175539343577187</v>
      </c>
    </row>
    <row r="20" spans="1:7">
      <c r="A20" s="140" t="s">
        <v>157</v>
      </c>
      <c r="B20" s="141">
        <v>167947.81589496232</v>
      </c>
      <c r="C20" s="141">
        <v>165699.99446868739</v>
      </c>
      <c r="D20" s="141">
        <v>2157.4264627500838</v>
      </c>
      <c r="E20" s="141">
        <v>90.394963523048688</v>
      </c>
      <c r="F20" s="18"/>
      <c r="G20" s="18"/>
    </row>
    <row r="21" spans="1:7">
      <c r="A21" s="137" t="s">
        <v>157</v>
      </c>
      <c r="B21" s="138">
        <v>95591.6695371924</v>
      </c>
      <c r="C21" s="138">
        <v>93944.472424104068</v>
      </c>
      <c r="D21" s="138">
        <v>1598.9864658743627</v>
      </c>
      <c r="E21" s="138">
        <v>48.210647212292642</v>
      </c>
    </row>
    <row r="22" spans="1:7">
      <c r="A22" s="137" t="s">
        <v>158</v>
      </c>
      <c r="B22" s="138">
        <v>30768.436806268619</v>
      </c>
      <c r="C22" s="138">
        <v>30493.234361765335</v>
      </c>
      <c r="D22" s="138">
        <v>247.079566962999</v>
      </c>
      <c r="E22" s="138">
        <v>28.122877540504039</v>
      </c>
    </row>
    <row r="23" spans="1:7">
      <c r="A23" s="137" t="s">
        <v>159</v>
      </c>
      <c r="B23" s="138">
        <v>41587.709551501284</v>
      </c>
      <c r="C23" s="138">
        <v>41262.28768281798</v>
      </c>
      <c r="D23" s="138">
        <v>311.36042991272211</v>
      </c>
      <c r="E23" s="138">
        <v>14.061438770252014</v>
      </c>
    </row>
    <row r="24" spans="1:7">
      <c r="A24" s="140" t="s">
        <v>160</v>
      </c>
      <c r="B24" s="141">
        <v>166374.94352974551</v>
      </c>
      <c r="C24" s="141">
        <v>163508.41879757837</v>
      </c>
      <c r="D24" s="141">
        <v>2772.1122147068909</v>
      </c>
      <c r="E24" s="141">
        <v>94.412517457406437</v>
      </c>
    </row>
    <row r="25" spans="1:7">
      <c r="A25" s="137" t="s">
        <v>160</v>
      </c>
      <c r="B25" s="138">
        <v>166374.94352974551</v>
      </c>
      <c r="C25" s="138">
        <v>163508.41879757837</v>
      </c>
      <c r="D25" s="138">
        <v>2772.1122147068909</v>
      </c>
      <c r="E25" s="138">
        <v>94.412517457406437</v>
      </c>
    </row>
    <row r="26" spans="1:7">
      <c r="A26" s="140" t="s">
        <v>161</v>
      </c>
      <c r="B26" s="141">
        <v>6486.3408270209984</v>
      </c>
      <c r="C26" s="141">
        <v>6436.1214028415216</v>
      </c>
      <c r="D26" s="141">
        <v>30.131654507682899</v>
      </c>
      <c r="E26" s="141">
        <v>20.087769671788596</v>
      </c>
    </row>
    <row r="27" spans="1:7">
      <c r="A27" s="137" t="s">
        <v>161</v>
      </c>
      <c r="B27" s="138">
        <v>6486.3408270209984</v>
      </c>
      <c r="C27" s="138">
        <v>6436.1214028415216</v>
      </c>
      <c r="D27" s="138">
        <v>30.131654507682899</v>
      </c>
      <c r="E27" s="138">
        <v>20.087769671788596</v>
      </c>
    </row>
    <row r="28" spans="1:7">
      <c r="A28" s="140" t="s">
        <v>162</v>
      </c>
      <c r="B28" s="141">
        <v>11198.931592023106</v>
      </c>
      <c r="C28" s="141">
        <v>11062.334758254929</v>
      </c>
      <c r="D28" s="141">
        <v>134.58805680098359</v>
      </c>
      <c r="E28" s="141">
        <v>2.0087769671788593</v>
      </c>
    </row>
    <row r="29" spans="1:7">
      <c r="A29" s="137" t="s">
        <v>162</v>
      </c>
      <c r="B29" s="138">
        <v>11198.931592023106</v>
      </c>
      <c r="C29" s="138">
        <v>11062.334758254929</v>
      </c>
      <c r="D29" s="138">
        <v>134.58805680098359</v>
      </c>
      <c r="E29" s="138">
        <v>2.0087769671788593</v>
      </c>
    </row>
    <row r="30" spans="1:7">
      <c r="A30" s="140" t="s">
        <v>163</v>
      </c>
      <c r="B30" s="141">
        <v>35840.59864839675</v>
      </c>
      <c r="C30" s="141">
        <v>35581.466419630415</v>
      </c>
      <c r="D30" s="141">
        <v>249.08834393017784</v>
      </c>
      <c r="E30" s="141">
        <v>10.043884835894296</v>
      </c>
    </row>
    <row r="31" spans="1:7">
      <c r="A31" s="137" t="s">
        <v>163</v>
      </c>
      <c r="B31" s="138">
        <v>35840.59864839675</v>
      </c>
      <c r="C31" s="138">
        <v>35581.466419630415</v>
      </c>
      <c r="D31" s="138">
        <v>249.08834393017784</v>
      </c>
      <c r="E31" s="138">
        <v>10.043884835894296</v>
      </c>
    </row>
    <row r="32" spans="1:7">
      <c r="A32" s="142"/>
      <c r="B32" s="143"/>
      <c r="C32" s="143"/>
      <c r="D32" s="143"/>
      <c r="E32" s="143"/>
    </row>
    <row r="48" ht="14.25" customHeight="1"/>
    <row r="49" ht="15.75" customHeight="1"/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F53C-F1FC-4B69-9B1D-32F9CFC3D2E0}">
  <dimension ref="A1:J92"/>
  <sheetViews>
    <sheetView zoomScale="106" zoomScaleNormal="106" workbookViewId="0">
      <selection activeCell="K12" sqref="K12"/>
    </sheetView>
  </sheetViews>
  <sheetFormatPr defaultRowHeight="15"/>
  <cols>
    <col min="1" max="1" width="24.140625" style="14" customWidth="1"/>
    <col min="2" max="2" width="12.42578125" style="14" customWidth="1"/>
    <col min="3" max="16384" width="9.140625" style="14"/>
  </cols>
  <sheetData>
    <row r="1" spans="1:10" ht="27" customHeight="1">
      <c r="A1" s="1227" t="s">
        <v>563</v>
      </c>
      <c r="B1" s="1227"/>
      <c r="C1" s="1227"/>
      <c r="D1" s="1227"/>
      <c r="E1" s="1227"/>
      <c r="F1" s="1227"/>
      <c r="G1" s="1227"/>
      <c r="H1" s="1227"/>
      <c r="I1" s="1227"/>
      <c r="J1" s="1227"/>
    </row>
    <row r="2" spans="1:10" ht="15" customHeight="1">
      <c r="A2" s="1228" t="s">
        <v>495</v>
      </c>
      <c r="B2" s="1229" t="s">
        <v>562</v>
      </c>
      <c r="C2" s="1230" t="s">
        <v>256</v>
      </c>
      <c r="D2" s="1230"/>
      <c r="E2" s="1230"/>
      <c r="F2" s="1230"/>
      <c r="G2" s="1230"/>
      <c r="H2" s="1230"/>
      <c r="I2" s="1230"/>
      <c r="J2" s="1230"/>
    </row>
    <row r="3" spans="1:10" ht="24">
      <c r="A3" s="1213"/>
      <c r="B3" s="1230"/>
      <c r="C3" s="144" t="s">
        <v>257</v>
      </c>
      <c r="D3" s="144" t="s">
        <v>258</v>
      </c>
      <c r="E3" s="144" t="s">
        <v>259</v>
      </c>
      <c r="F3" s="144" t="s">
        <v>260</v>
      </c>
      <c r="G3" s="144" t="s">
        <v>261</v>
      </c>
      <c r="H3" s="144" t="s">
        <v>262</v>
      </c>
      <c r="I3" s="144" t="s">
        <v>263</v>
      </c>
      <c r="J3" s="144" t="s">
        <v>171</v>
      </c>
    </row>
    <row r="4" spans="1:10" ht="13.5" customHeight="1">
      <c r="A4" s="145" t="s">
        <v>146</v>
      </c>
      <c r="B4" s="146">
        <v>421666.39073483081</v>
      </c>
      <c r="C4" s="146">
        <v>6729.4028400496663</v>
      </c>
      <c r="D4" s="146">
        <v>319349.33591147204</v>
      </c>
      <c r="E4" s="146">
        <v>2245.8126493059735</v>
      </c>
      <c r="F4" s="146">
        <v>7249.6760745490465</v>
      </c>
      <c r="G4" s="146">
        <v>303.32532204400673</v>
      </c>
      <c r="H4" s="146">
        <v>51707.927912158622</v>
      </c>
      <c r="I4" s="146">
        <v>3320.508326746778</v>
      </c>
      <c r="J4" s="146">
        <v>30760.40169839991</v>
      </c>
    </row>
    <row r="5" spans="1:10" ht="9" customHeight="1">
      <c r="A5" s="147"/>
      <c r="B5" s="148"/>
      <c r="C5" s="148"/>
      <c r="D5" s="148"/>
      <c r="E5" s="148"/>
      <c r="F5" s="148"/>
      <c r="G5" s="148"/>
      <c r="H5" s="148"/>
      <c r="I5" s="148"/>
      <c r="J5" s="148"/>
    </row>
    <row r="6" spans="1:10">
      <c r="A6" s="145" t="s">
        <v>3</v>
      </c>
      <c r="B6" s="146"/>
      <c r="C6" s="146"/>
      <c r="D6" s="146"/>
      <c r="E6" s="146"/>
      <c r="F6" s="146"/>
      <c r="G6" s="146"/>
      <c r="H6" s="146"/>
      <c r="I6" s="146"/>
      <c r="J6" s="146"/>
    </row>
    <row r="7" spans="1:10" ht="13.5" customHeight="1">
      <c r="A7" s="149" t="s">
        <v>4</v>
      </c>
      <c r="B7" s="148">
        <v>370776.03504827002</v>
      </c>
      <c r="C7" s="148">
        <v>6191.0506128456746</v>
      </c>
      <c r="D7" s="148">
        <v>301670.089823313</v>
      </c>
      <c r="E7" s="148">
        <v>1956.5487660321974</v>
      </c>
      <c r="F7" s="148">
        <v>3230.1133632237197</v>
      </c>
      <c r="G7" s="148">
        <v>261.14100573325095</v>
      </c>
      <c r="H7" s="148">
        <v>35286.176205454824</v>
      </c>
      <c r="I7" s="148">
        <v>192.84258884917014</v>
      </c>
      <c r="J7" s="148">
        <v>21988.072682736838</v>
      </c>
    </row>
    <row r="8" spans="1:10" ht="14.25" customHeight="1">
      <c r="A8" s="149" t="s">
        <v>5</v>
      </c>
      <c r="B8" s="148">
        <v>50890.355686515999</v>
      </c>
      <c r="C8" s="148">
        <v>538.35222720393176</v>
      </c>
      <c r="D8" s="148">
        <v>17679.246088141626</v>
      </c>
      <c r="E8" s="148">
        <v>289.2638832737548</v>
      </c>
      <c r="F8" s="148">
        <v>4019.5627113250957</v>
      </c>
      <c r="G8" s="148">
        <v>42.18431631075606</v>
      </c>
      <c r="H8" s="148">
        <v>16421.751706688665</v>
      </c>
      <c r="I8" s="148">
        <v>3127.665737897587</v>
      </c>
      <c r="J8" s="148">
        <v>8772.3290156707844</v>
      </c>
    </row>
    <row r="9" spans="1:10" ht="14.25" customHeight="1">
      <c r="A9" s="145" t="s">
        <v>264</v>
      </c>
      <c r="B9" s="150"/>
      <c r="C9" s="150"/>
      <c r="D9" s="150"/>
      <c r="E9" s="150"/>
      <c r="F9" s="150"/>
      <c r="G9" s="150"/>
      <c r="H9" s="150"/>
      <c r="I9" s="150"/>
      <c r="J9" s="150"/>
    </row>
    <row r="10" spans="1:10" ht="14.25" customHeight="1">
      <c r="A10" s="151" t="s">
        <v>148</v>
      </c>
      <c r="B10" s="152">
        <v>24561.289646796075</v>
      </c>
      <c r="C10" s="152">
        <v>259.13222876607279</v>
      </c>
      <c r="D10" s="152">
        <v>10377.324258511992</v>
      </c>
      <c r="E10" s="152">
        <v>305.3340990111858</v>
      </c>
      <c r="F10" s="152">
        <v>1088.757116210938</v>
      </c>
      <c r="G10" s="152">
        <v>40.175539343577199</v>
      </c>
      <c r="H10" s="152">
        <v>8513.1967869043019</v>
      </c>
      <c r="I10" s="152">
        <v>641.72963679262307</v>
      </c>
      <c r="J10" s="152">
        <v>3336.5785424840674</v>
      </c>
    </row>
    <row r="11" spans="1:10" ht="15" customHeight="1">
      <c r="A11" s="149" t="s">
        <v>148</v>
      </c>
      <c r="B11" s="153">
        <v>8358.494629530358</v>
      </c>
      <c r="C11" s="153">
        <v>154.67582647277206</v>
      </c>
      <c r="D11" s="153">
        <v>5676.7861553134735</v>
      </c>
      <c r="E11" s="153">
        <v>267.16733663478749</v>
      </c>
      <c r="F11" s="153">
        <v>70.307193851260109</v>
      </c>
      <c r="G11" s="153">
        <v>26.114100573325178</v>
      </c>
      <c r="H11" s="153">
        <v>1430.2492006313396</v>
      </c>
      <c r="I11" s="153">
        <v>17</v>
      </c>
      <c r="J11" s="153">
        <v>717.1333772828491</v>
      </c>
    </row>
    <row r="12" spans="1:10">
      <c r="A12" s="149" t="s">
        <v>149</v>
      </c>
      <c r="B12" s="153">
        <v>9499.5062777896092</v>
      </c>
      <c r="C12" s="153">
        <v>56.245755081008085</v>
      </c>
      <c r="D12" s="153">
        <v>1930.4346654588724</v>
      </c>
      <c r="E12" s="153">
        <v>20.087769671788596</v>
      </c>
      <c r="F12" s="153">
        <v>445.94848671370482</v>
      </c>
      <c r="G12" s="153">
        <v>4.0175539343577187</v>
      </c>
      <c r="H12" s="153">
        <v>5122.3812663064073</v>
      </c>
      <c r="I12" s="153">
        <v>222.97424335685284</v>
      </c>
      <c r="J12" s="153">
        <v>1697.4165372661262</v>
      </c>
    </row>
    <row r="13" spans="1:10">
      <c r="A13" s="149" t="s">
        <v>150</v>
      </c>
      <c r="B13" s="153">
        <v>2798.2263152802188</v>
      </c>
      <c r="C13" s="153">
        <v>22.096546638967457</v>
      </c>
      <c r="D13" s="153">
        <v>600.624313186476</v>
      </c>
      <c r="E13" s="153">
        <v>2.0087769671788593</v>
      </c>
      <c r="F13" s="153">
        <v>243.0620130286413</v>
      </c>
      <c r="G13" s="153">
        <v>6.0263309015365785</v>
      </c>
      <c r="H13" s="153">
        <v>1106.8361089155453</v>
      </c>
      <c r="I13" s="153">
        <v>397.73783950141251</v>
      </c>
      <c r="J13" s="153">
        <v>419.83438614037982</v>
      </c>
    </row>
    <row r="14" spans="1:10">
      <c r="A14" s="149" t="s">
        <v>151</v>
      </c>
      <c r="B14" s="153">
        <v>3905.0624241958885</v>
      </c>
      <c r="C14" s="153">
        <v>26.114100573325178</v>
      </c>
      <c r="D14" s="153">
        <v>2169.4791245531687</v>
      </c>
      <c r="E14" s="153">
        <v>16.070215737430875</v>
      </c>
      <c r="F14" s="153">
        <v>329.43942261733173</v>
      </c>
      <c r="G14" s="153">
        <v>4.0175539343577187</v>
      </c>
      <c r="H14" s="153">
        <v>853.73021105101066</v>
      </c>
      <c r="I14" s="153">
        <v>4.0175539343577187</v>
      </c>
      <c r="J14" s="153">
        <v>502.19424179471253</v>
      </c>
    </row>
    <row r="15" spans="1:10">
      <c r="A15" s="151" t="s">
        <v>152</v>
      </c>
      <c r="B15" s="152">
        <v>9256.4442647605701</v>
      </c>
      <c r="C15" s="152">
        <v>0</v>
      </c>
      <c r="D15" s="152">
        <v>1301.6874747318952</v>
      </c>
      <c r="E15" s="152">
        <v>102.44762532612188</v>
      </c>
      <c r="F15" s="152">
        <v>1384.0473303862279</v>
      </c>
      <c r="G15" s="152">
        <v>0</v>
      </c>
      <c r="H15" s="152">
        <v>1235.3978348149917</v>
      </c>
      <c r="I15" s="152">
        <v>1829.9958170999321</v>
      </c>
      <c r="J15" s="152">
        <v>3402.8681824010196</v>
      </c>
    </row>
    <row r="16" spans="1:10">
      <c r="A16" s="149" t="s">
        <v>153</v>
      </c>
      <c r="B16" s="153">
        <v>5956.0237076857229</v>
      </c>
      <c r="C16" s="153">
        <v>0</v>
      </c>
      <c r="D16" s="153">
        <v>982.29193695045683</v>
      </c>
      <c r="E16" s="153">
        <v>2.0087769671788593</v>
      </c>
      <c r="F16" s="153">
        <v>208.91280458660091</v>
      </c>
      <c r="G16" s="153">
        <v>0</v>
      </c>
      <c r="H16" s="153">
        <v>1195.2222954714146</v>
      </c>
      <c r="I16" s="153">
        <v>1064.6517926047895</v>
      </c>
      <c r="J16" s="153">
        <v>2502.936101104895</v>
      </c>
    </row>
    <row r="17" spans="1:10">
      <c r="A17" s="149" t="s">
        <v>154</v>
      </c>
      <c r="B17" s="153">
        <v>546.38733507264715</v>
      </c>
      <c r="C17" s="153">
        <v>0</v>
      </c>
      <c r="D17" s="153">
        <v>54.236978113829224</v>
      </c>
      <c r="E17" s="153">
        <v>0</v>
      </c>
      <c r="F17" s="153">
        <v>114.50028712919504</v>
      </c>
      <c r="G17" s="153">
        <v>0</v>
      </c>
      <c r="H17" s="153">
        <v>12.052661803073155</v>
      </c>
      <c r="I17" s="153">
        <v>277.21122147068172</v>
      </c>
      <c r="J17" s="153">
        <v>88.386186555869855</v>
      </c>
    </row>
    <row r="18" spans="1:10">
      <c r="A18" s="149" t="s">
        <v>155</v>
      </c>
      <c r="B18" s="153">
        <v>1359.94200678008</v>
      </c>
      <c r="C18" s="153">
        <v>0</v>
      </c>
      <c r="D18" s="153">
        <v>78.342301719975552</v>
      </c>
      <c r="E18" s="153">
        <v>0</v>
      </c>
      <c r="F18" s="153">
        <v>26.114100573325178</v>
      </c>
      <c r="G18" s="153">
        <v>0</v>
      </c>
      <c r="H18" s="153">
        <v>20.087769671788596</v>
      </c>
      <c r="I18" s="153">
        <v>470.05381031985098</v>
      </c>
      <c r="J18" s="153">
        <v>765.34402449514141</v>
      </c>
    </row>
    <row r="19" spans="1:10">
      <c r="A19" s="149" t="s">
        <v>156</v>
      </c>
      <c r="B19" s="153">
        <v>1394.0912152221204</v>
      </c>
      <c r="C19" s="153">
        <v>0</v>
      </c>
      <c r="D19" s="153">
        <v>186.8162579476336</v>
      </c>
      <c r="E19" s="153">
        <v>100.43884835894302</v>
      </c>
      <c r="F19" s="153">
        <v>1034.5201380971068</v>
      </c>
      <c r="G19" s="153">
        <v>0</v>
      </c>
      <c r="H19" s="153">
        <v>8.0351078687154374</v>
      </c>
      <c r="I19" s="153">
        <v>18.078992704609735</v>
      </c>
      <c r="J19" s="153">
        <v>46.201870245113781</v>
      </c>
    </row>
    <row r="20" spans="1:10">
      <c r="A20" s="151" t="s">
        <v>157</v>
      </c>
      <c r="B20" s="152">
        <v>167947.81589496232</v>
      </c>
      <c r="C20" s="152">
        <v>1817.9431552968588</v>
      </c>
      <c r="D20" s="152">
        <v>129801.1412882219</v>
      </c>
      <c r="E20" s="152">
        <v>773.37913236385782</v>
      </c>
      <c r="F20" s="152">
        <v>3232.1221401908106</v>
      </c>
      <c r="G20" s="152">
        <v>130.5705028666259</v>
      </c>
      <c r="H20" s="152">
        <v>21397.492254390803</v>
      </c>
      <c r="I20" s="152">
        <v>44.193093277934906</v>
      </c>
      <c r="J20" s="152">
        <v>10750.97432834171</v>
      </c>
    </row>
    <row r="21" spans="1:10">
      <c r="A21" s="149" t="s">
        <v>157</v>
      </c>
      <c r="B21" s="153">
        <v>95591.6695371924</v>
      </c>
      <c r="C21" s="153">
        <v>1000.3709296550664</v>
      </c>
      <c r="D21" s="153">
        <v>79933.25307801734</v>
      </c>
      <c r="E21" s="153">
        <v>614.68575195672793</v>
      </c>
      <c r="F21" s="153">
        <v>741.23870088899525</v>
      </c>
      <c r="G21" s="153">
        <v>22.096546638967457</v>
      </c>
      <c r="H21" s="153">
        <v>8438.8720391190582</v>
      </c>
      <c r="I21" s="153">
        <v>14.061438770252014</v>
      </c>
      <c r="J21" s="153">
        <v>4827.0910521310834</v>
      </c>
    </row>
    <row r="22" spans="1:10">
      <c r="A22" s="149" t="s">
        <v>158</v>
      </c>
      <c r="B22" s="153">
        <v>30768.436806268619</v>
      </c>
      <c r="C22" s="153">
        <v>351.53596925629904</v>
      </c>
      <c r="D22" s="153">
        <v>17586.842347651473</v>
      </c>
      <c r="E22" s="153">
        <v>56.245755081008085</v>
      </c>
      <c r="F22" s="153">
        <v>2438.6552381551646</v>
      </c>
      <c r="G22" s="153">
        <v>64.280862949723527</v>
      </c>
      <c r="H22" s="153">
        <v>7072.903701437288</v>
      </c>
      <c r="I22" s="153">
        <v>6.0263309015365785</v>
      </c>
      <c r="J22" s="153">
        <v>3191.9466008473173</v>
      </c>
    </row>
    <row r="23" spans="1:10">
      <c r="A23" s="149" t="s">
        <v>159</v>
      </c>
      <c r="B23" s="153">
        <v>41587.709551501284</v>
      </c>
      <c r="C23" s="153">
        <v>466.03625638549329</v>
      </c>
      <c r="D23" s="153">
        <v>32281.045862553092</v>
      </c>
      <c r="E23" s="153">
        <v>102.44762532612188</v>
      </c>
      <c r="F23" s="153">
        <v>52.228201146650363</v>
      </c>
      <c r="G23" s="153">
        <v>44.193093277934921</v>
      </c>
      <c r="H23" s="153">
        <v>5885.7165138344553</v>
      </c>
      <c r="I23" s="153">
        <v>24.105323606146317</v>
      </c>
      <c r="J23" s="153">
        <v>2731.9366753633094</v>
      </c>
    </row>
    <row r="24" spans="1:10">
      <c r="A24" s="151" t="s">
        <v>160</v>
      </c>
      <c r="B24" s="152">
        <v>166374.94352974551</v>
      </c>
      <c r="C24" s="152">
        <v>3567.5878937098041</v>
      </c>
      <c r="D24" s="152">
        <v>145662.44422114332</v>
      </c>
      <c r="E24" s="152">
        <v>853.73021105101066</v>
      </c>
      <c r="F24" s="152">
        <v>104.45640229330074</v>
      </c>
      <c r="G24" s="152">
        <v>54.236978113829224</v>
      </c>
      <c r="H24" s="152">
        <v>9292.6022501701646</v>
      </c>
      <c r="I24" s="152">
        <v>18.078992704609735</v>
      </c>
      <c r="J24" s="152">
        <v>6821.8065805399037</v>
      </c>
    </row>
    <row r="25" spans="1:10">
      <c r="A25" s="149" t="s">
        <v>160</v>
      </c>
      <c r="B25" s="153">
        <v>166374.94352974551</v>
      </c>
      <c r="C25" s="153">
        <v>3567.5878937098041</v>
      </c>
      <c r="D25" s="153">
        <v>145662.44422114332</v>
      </c>
      <c r="E25" s="153">
        <v>853.73021105101066</v>
      </c>
      <c r="F25" s="153">
        <v>104.45640229330074</v>
      </c>
      <c r="G25" s="153">
        <v>54.236978113829224</v>
      </c>
      <c r="H25" s="153">
        <v>9292.6022501701646</v>
      </c>
      <c r="I25" s="153">
        <v>18.078992704609735</v>
      </c>
      <c r="J25" s="153">
        <v>6821.8065805399037</v>
      </c>
    </row>
    <row r="26" spans="1:10">
      <c r="A26" s="151" t="s">
        <v>161</v>
      </c>
      <c r="B26" s="152">
        <v>6486.3408270209984</v>
      </c>
      <c r="C26" s="152">
        <v>10.043884835894296</v>
      </c>
      <c r="D26" s="152">
        <v>3880.9571005897396</v>
      </c>
      <c r="E26" s="152">
        <v>2.0087769671788593</v>
      </c>
      <c r="F26" s="152">
        <v>76.333524752796691</v>
      </c>
      <c r="G26" s="152">
        <v>2.0087769671788593</v>
      </c>
      <c r="H26" s="152">
        <v>920.01985096791259</v>
      </c>
      <c r="I26" s="152">
        <v>727.17726211874333</v>
      </c>
      <c r="J26" s="152">
        <v>867.79164982126258</v>
      </c>
    </row>
    <row r="27" spans="1:10">
      <c r="A27" s="149" t="s">
        <v>161</v>
      </c>
      <c r="B27" s="153">
        <v>6486.3408270209984</v>
      </c>
      <c r="C27" s="153">
        <v>10.043884835894296</v>
      </c>
      <c r="D27" s="153">
        <v>3880.9571005897396</v>
      </c>
      <c r="E27" s="153">
        <v>2.0087769671788593</v>
      </c>
      <c r="F27" s="153">
        <v>76.333524752796691</v>
      </c>
      <c r="G27" s="153">
        <v>2.0087769671788593</v>
      </c>
      <c r="H27" s="153">
        <v>920.01985096791259</v>
      </c>
      <c r="I27" s="153">
        <v>727.17726211874333</v>
      </c>
      <c r="J27" s="153">
        <v>867.79164982126258</v>
      </c>
    </row>
    <row r="28" spans="1:10">
      <c r="A28" s="151" t="s">
        <v>162</v>
      </c>
      <c r="B28" s="152">
        <v>11198.931592023106</v>
      </c>
      <c r="C28" s="152">
        <v>247.079566962999</v>
      </c>
      <c r="D28" s="152">
        <v>6162.9277353051675</v>
      </c>
      <c r="E28" s="152">
        <v>52.228201146650363</v>
      </c>
      <c r="F28" s="152">
        <v>136.59683376816244</v>
      </c>
      <c r="G28" s="152">
        <v>44.193093277934921</v>
      </c>
      <c r="H28" s="152">
        <v>2928.7968181468586</v>
      </c>
      <c r="I28" s="152">
        <v>6.0263309015365785</v>
      </c>
      <c r="J28" s="152">
        <v>1621.08301251333</v>
      </c>
    </row>
    <row r="29" spans="1:10">
      <c r="A29" s="149" t="s">
        <v>162</v>
      </c>
      <c r="B29" s="153">
        <v>11198.931592023106</v>
      </c>
      <c r="C29" s="153">
        <v>247.079566962999</v>
      </c>
      <c r="D29" s="153">
        <v>6162.9277353051675</v>
      </c>
      <c r="E29" s="153">
        <v>52.228201146650363</v>
      </c>
      <c r="F29" s="153">
        <v>136.59683376816244</v>
      </c>
      <c r="G29" s="153">
        <v>44.193093277934921</v>
      </c>
      <c r="H29" s="153">
        <v>2928.7968181468586</v>
      </c>
      <c r="I29" s="153">
        <v>6.0263309015365785</v>
      </c>
      <c r="J29" s="153">
        <v>1621.08301251333</v>
      </c>
    </row>
    <row r="30" spans="1:10">
      <c r="A30" s="151" t="s">
        <v>163</v>
      </c>
      <c r="B30" s="152">
        <v>35840.59864839675</v>
      </c>
      <c r="C30" s="152">
        <v>827.61611047768565</v>
      </c>
      <c r="D30" s="152">
        <v>22162.836278881259</v>
      </c>
      <c r="E30" s="152">
        <v>156.68460343995091</v>
      </c>
      <c r="F30" s="152">
        <v>1227.3627269462761</v>
      </c>
      <c r="G30" s="152">
        <v>32.140431474861757</v>
      </c>
      <c r="H30" s="152">
        <v>7420.4221167592677</v>
      </c>
      <c r="I30" s="152">
        <v>54.236978113829224</v>
      </c>
      <c r="J30" s="152">
        <v>3959.2994023097235</v>
      </c>
    </row>
    <row r="31" spans="1:10">
      <c r="A31" s="149" t="s">
        <v>163</v>
      </c>
      <c r="B31" s="153">
        <v>35840.59864839675</v>
      </c>
      <c r="C31" s="153">
        <v>827.61611047768565</v>
      </c>
      <c r="D31" s="153">
        <v>22162.836278881259</v>
      </c>
      <c r="E31" s="153">
        <v>156.68460343995091</v>
      </c>
      <c r="F31" s="153">
        <v>1227.3627269462761</v>
      </c>
      <c r="G31" s="153">
        <v>32.140431474861757</v>
      </c>
      <c r="H31" s="153">
        <v>7420.4221167592677</v>
      </c>
      <c r="I31" s="153">
        <v>54.236978113829224</v>
      </c>
      <c r="J31" s="153">
        <v>3959.2994023097235</v>
      </c>
    </row>
    <row r="32" spans="1:10">
      <c r="A32" s="154"/>
      <c r="B32" s="155"/>
      <c r="C32" s="155"/>
      <c r="D32" s="155"/>
      <c r="E32" s="155"/>
      <c r="F32" s="155"/>
      <c r="G32" s="155"/>
      <c r="H32" s="155"/>
      <c r="I32" s="155"/>
      <c r="J32" s="155"/>
    </row>
    <row r="33" spans="1:10">
      <c r="A33" s="55"/>
      <c r="B33" s="156"/>
      <c r="C33" s="55"/>
      <c r="D33" s="55"/>
      <c r="E33" s="55"/>
      <c r="F33" s="55"/>
      <c r="G33" s="55"/>
      <c r="H33" s="55"/>
      <c r="I33" s="55"/>
      <c r="J33" s="55"/>
    </row>
    <row r="92" ht="15" customHeight="1"/>
  </sheetData>
  <mergeCells count="4">
    <mergeCell ref="A1:J1"/>
    <mergeCell ref="A2:A3"/>
    <mergeCell ref="B2:B3"/>
    <mergeCell ref="C2:J2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EC32-4F2F-4002-8A63-57513FFE1D54}">
  <dimension ref="A1:J49"/>
  <sheetViews>
    <sheetView zoomScale="93" zoomScaleNormal="93" workbookViewId="0">
      <selection activeCell="C34" sqref="C34"/>
    </sheetView>
  </sheetViews>
  <sheetFormatPr defaultRowHeight="12"/>
  <cols>
    <col min="1" max="1" width="15.5703125" style="938" customWidth="1"/>
    <col min="2" max="2" width="15.5703125" style="943" customWidth="1"/>
    <col min="3" max="8" width="15.5703125" style="938" customWidth="1"/>
    <col min="9" max="16384" width="9.140625" style="938"/>
  </cols>
  <sheetData>
    <row r="1" spans="1:10" ht="23.25" customHeight="1">
      <c r="A1" s="1231" t="s">
        <v>564</v>
      </c>
      <c r="B1" s="1231"/>
      <c r="C1" s="1231"/>
      <c r="D1" s="1231"/>
      <c r="E1" s="1231"/>
      <c r="F1" s="1231"/>
      <c r="G1" s="1231"/>
      <c r="H1" s="1231"/>
    </row>
    <row r="2" spans="1:10" ht="15" customHeight="1">
      <c r="A2" s="1232" t="s">
        <v>565</v>
      </c>
      <c r="B2" s="1234" t="s">
        <v>243</v>
      </c>
      <c r="C2" s="1236" t="s">
        <v>465</v>
      </c>
      <c r="D2" s="1236"/>
      <c r="E2" s="1236"/>
      <c r="F2" s="1236"/>
      <c r="G2" s="1236"/>
      <c r="H2" s="1236"/>
    </row>
    <row r="3" spans="1:10" ht="30" customHeight="1">
      <c r="A3" s="1233"/>
      <c r="B3" s="1235"/>
      <c r="C3" s="157" t="s">
        <v>265</v>
      </c>
      <c r="D3" s="157" t="s">
        <v>266</v>
      </c>
      <c r="E3" s="157" t="s">
        <v>267</v>
      </c>
      <c r="F3" s="157" t="s">
        <v>262</v>
      </c>
      <c r="G3" s="157" t="s">
        <v>268</v>
      </c>
      <c r="H3" s="157" t="s">
        <v>269</v>
      </c>
    </row>
    <row r="4" spans="1:10" s="939" customFormat="1" ht="15.75" customHeight="1">
      <c r="A4" s="935" t="s">
        <v>146</v>
      </c>
      <c r="B4" s="936">
        <v>421666.39073483081</v>
      </c>
      <c r="C4" s="937">
        <v>1974.627758736807</v>
      </c>
      <c r="D4" s="937">
        <v>27345.480854198577</v>
      </c>
      <c r="E4" s="937">
        <v>25507.449929231389</v>
      </c>
      <c r="F4" s="937">
        <v>305406.41498226946</v>
      </c>
      <c r="G4" s="937">
        <v>3613.7897639549228</v>
      </c>
      <c r="H4" s="937">
        <v>57818.627446322898</v>
      </c>
    </row>
    <row r="5" spans="1:10" ht="8.25" customHeight="1">
      <c r="A5" s="158"/>
      <c r="B5" s="931"/>
      <c r="C5" s="159"/>
      <c r="D5" s="159"/>
      <c r="E5" s="159"/>
      <c r="F5" s="159"/>
      <c r="G5" s="159"/>
      <c r="H5" s="159"/>
    </row>
    <row r="6" spans="1:10">
      <c r="A6" s="940" t="s">
        <v>3</v>
      </c>
      <c r="B6" s="932"/>
      <c r="C6" s="160"/>
      <c r="D6" s="160"/>
      <c r="E6" s="160"/>
      <c r="F6" s="160"/>
      <c r="G6" s="160"/>
      <c r="H6" s="160"/>
    </row>
    <row r="7" spans="1:10" ht="16.5" customHeight="1">
      <c r="A7" s="161" t="s">
        <v>4</v>
      </c>
      <c r="B7" s="931">
        <v>370776.03504827007</v>
      </c>
      <c r="C7" s="159">
        <v>1950.5224351306608</v>
      </c>
      <c r="D7" s="159">
        <v>24967.088925060707</v>
      </c>
      <c r="E7" s="159">
        <v>23201.3739709119</v>
      </c>
      <c r="F7" s="159">
        <v>266472.2998043694</v>
      </c>
      <c r="G7" s="159">
        <v>447.95726368088367</v>
      </c>
      <c r="H7" s="159">
        <v>53736.792649011324</v>
      </c>
    </row>
    <row r="8" spans="1:10">
      <c r="A8" s="161" t="s">
        <v>5</v>
      </c>
      <c r="B8" s="931">
        <v>50890.355686515999</v>
      </c>
      <c r="C8" s="159">
        <v>24.105323606146317</v>
      </c>
      <c r="D8" s="159">
        <v>2378.3919291397924</v>
      </c>
      <c r="E8" s="159">
        <v>2306.0759583213458</v>
      </c>
      <c r="F8" s="159">
        <v>38934.115177855325</v>
      </c>
      <c r="G8" s="159">
        <v>3165.8325002739894</v>
      </c>
      <c r="H8" s="159">
        <v>4081.834797307647</v>
      </c>
    </row>
    <row r="9" spans="1:10" ht="24">
      <c r="A9" s="947" t="s">
        <v>264</v>
      </c>
      <c r="B9" s="933"/>
      <c r="C9" s="162"/>
      <c r="D9" s="162"/>
      <c r="E9" s="162"/>
      <c r="F9" s="162"/>
      <c r="G9" s="162"/>
      <c r="H9" s="162"/>
    </row>
    <row r="10" spans="1:10" ht="13.5" customHeight="1">
      <c r="A10" s="163" t="s">
        <v>148</v>
      </c>
      <c r="B10" s="934">
        <v>24561.289646796075</v>
      </c>
      <c r="C10" s="164">
        <v>12.043884835894296</v>
      </c>
      <c r="D10" s="164">
        <v>1432.2579775985207</v>
      </c>
      <c r="E10" s="164">
        <v>1207.2749572744901</v>
      </c>
      <c r="F10" s="164">
        <v>19483.10147376739</v>
      </c>
      <c r="G10" s="164">
        <v>913.99352006637741</v>
      </c>
      <c r="H10" s="164">
        <v>1514.6178332528539</v>
      </c>
    </row>
    <row r="11" spans="1:10" ht="13.5" customHeight="1">
      <c r="A11" s="161" t="s">
        <v>148</v>
      </c>
      <c r="B11" s="931">
        <v>8358.494629530358</v>
      </c>
      <c r="C11" s="159">
        <v>2</v>
      </c>
      <c r="D11" s="159">
        <v>652.85251433312601</v>
      </c>
      <c r="E11" s="159">
        <v>534.33467326957407</v>
      </c>
      <c r="F11" s="159">
        <v>6606.8411141502056</v>
      </c>
      <c r="G11" s="159">
        <v>70.307193851260109</v>
      </c>
      <c r="H11" s="159">
        <v>494.15913392599714</v>
      </c>
      <c r="I11" s="941"/>
      <c r="J11" s="941"/>
    </row>
    <row r="12" spans="1:10" ht="13.5" customHeight="1">
      <c r="A12" s="161" t="s">
        <v>149</v>
      </c>
      <c r="B12" s="931">
        <v>9499.5062777896092</v>
      </c>
      <c r="C12" s="159">
        <v>8.0351078687154374</v>
      </c>
      <c r="D12" s="159">
        <v>377.65006982962404</v>
      </c>
      <c r="E12" s="159">
        <v>331.44819958451058</v>
      </c>
      <c r="F12" s="159">
        <v>7930.6514664227525</v>
      </c>
      <c r="G12" s="159">
        <v>265.15855966760864</v>
      </c>
      <c r="H12" s="159">
        <v>586.56287441622408</v>
      </c>
    </row>
    <row r="13" spans="1:10" ht="13.5" customHeight="1">
      <c r="A13" s="161" t="s">
        <v>150</v>
      </c>
      <c r="B13" s="931">
        <v>2798.2263152802188</v>
      </c>
      <c r="C13" s="159">
        <v>0</v>
      </c>
      <c r="D13" s="159">
        <v>70.307193851260109</v>
      </c>
      <c r="E13" s="159">
        <v>92.403740490227577</v>
      </c>
      <c r="F13" s="159">
        <v>1922.399557590157</v>
      </c>
      <c r="G13" s="159">
        <v>574.510212613151</v>
      </c>
      <c r="H13" s="159">
        <v>138.60561073534129</v>
      </c>
    </row>
    <row r="14" spans="1:10" s="942" customFormat="1" ht="13.5" customHeight="1">
      <c r="A14" s="161" t="s">
        <v>151</v>
      </c>
      <c r="B14" s="931">
        <v>3905.0624241958885</v>
      </c>
      <c r="C14" s="159">
        <v>2.0087769671788593</v>
      </c>
      <c r="D14" s="159">
        <v>331.44819958451058</v>
      </c>
      <c r="E14" s="159">
        <v>249.08834393017784</v>
      </c>
      <c r="F14" s="159">
        <v>3023.2093356042751</v>
      </c>
      <c r="G14" s="159">
        <v>4.0175539343577187</v>
      </c>
      <c r="H14" s="159">
        <v>295.29021417529134</v>
      </c>
    </row>
    <row r="15" spans="1:10" s="942" customFormat="1" ht="13.5" customHeight="1">
      <c r="A15" s="163" t="s">
        <v>152</v>
      </c>
      <c r="B15" s="934">
        <v>9256.4442647605701</v>
      </c>
      <c r="C15" s="164">
        <v>4.0175539343577187</v>
      </c>
      <c r="D15" s="164">
        <v>333.45697655168999</v>
      </c>
      <c r="E15" s="164">
        <v>283.23755237221872</v>
      </c>
      <c r="F15" s="164">
        <v>5606.4965153963822</v>
      </c>
      <c r="G15" s="164">
        <v>1639.1620052179421</v>
      </c>
      <c r="H15" s="164">
        <v>1390.0736612877649</v>
      </c>
    </row>
    <row r="16" spans="1:10" ht="13.5" customHeight="1">
      <c r="A16" s="161" t="s">
        <v>153</v>
      </c>
      <c r="B16" s="931">
        <v>5956.0237076857229</v>
      </c>
      <c r="C16" s="159">
        <v>4.0175539343577187</v>
      </c>
      <c r="D16" s="159">
        <v>241.05323606146246</v>
      </c>
      <c r="E16" s="159">
        <v>206.90402761942207</v>
      </c>
      <c r="F16" s="159">
        <v>3977.3783950143352</v>
      </c>
      <c r="G16" s="159">
        <v>767.35280146232026</v>
      </c>
      <c r="H16" s="159">
        <v>759.31769359360487</v>
      </c>
    </row>
    <row r="17" spans="1:10" ht="13.5" customHeight="1">
      <c r="A17" s="161" t="s">
        <v>154</v>
      </c>
      <c r="B17" s="931">
        <v>546.38733507264715</v>
      </c>
      <c r="C17" s="159">
        <v>0</v>
      </c>
      <c r="D17" s="159">
        <v>16.070215737430875</v>
      </c>
      <c r="E17" s="159">
        <v>10.043884835894296</v>
      </c>
      <c r="F17" s="159">
        <v>353.54474622347789</v>
      </c>
      <c r="G17" s="159">
        <v>102.44762532612188</v>
      </c>
      <c r="H17" s="159">
        <v>64.280862949723527</v>
      </c>
    </row>
    <row r="18" spans="1:10" s="942" customFormat="1" ht="13.5" customHeight="1">
      <c r="A18" s="161" t="s">
        <v>155</v>
      </c>
      <c r="B18" s="931">
        <v>1359.94200678008</v>
      </c>
      <c r="C18" s="159">
        <v>0</v>
      </c>
      <c r="D18" s="159">
        <v>22.096546638967457</v>
      </c>
      <c r="E18" s="159">
        <v>28.122877540504039</v>
      </c>
      <c r="F18" s="159">
        <v>220.96546638967399</v>
      </c>
      <c r="G18" s="159">
        <v>648.83496039876832</v>
      </c>
      <c r="H18" s="159">
        <v>439.92215581216828</v>
      </c>
    </row>
    <row r="19" spans="1:10" ht="13.5" customHeight="1">
      <c r="A19" s="161" t="s">
        <v>156</v>
      </c>
      <c r="B19" s="931">
        <v>1394.0912152221204</v>
      </c>
      <c r="C19" s="159">
        <v>0</v>
      </c>
      <c r="D19" s="159">
        <v>54.236978113829224</v>
      </c>
      <c r="E19" s="159">
        <v>38.166762376398339</v>
      </c>
      <c r="F19" s="159">
        <v>1054.6079077688953</v>
      </c>
      <c r="G19" s="159">
        <v>120.52661803073163</v>
      </c>
      <c r="H19" s="159">
        <v>126.55294893226821</v>
      </c>
    </row>
    <row r="20" spans="1:10" ht="13.5" customHeight="1">
      <c r="A20" s="163" t="s">
        <v>157</v>
      </c>
      <c r="B20" s="934">
        <v>167947.81589496232</v>
      </c>
      <c r="C20" s="164">
        <v>879.84431162433566</v>
      </c>
      <c r="D20" s="164">
        <v>10196.551885400353</v>
      </c>
      <c r="E20" s="164">
        <v>10891.588716044251</v>
      </c>
      <c r="F20" s="164">
        <v>120472.38105261973</v>
      </c>
      <c r="G20" s="164">
        <v>106.46517926047957</v>
      </c>
      <c r="H20" s="164">
        <v>25400.984749975283</v>
      </c>
      <c r="I20" s="941"/>
      <c r="J20" s="941"/>
    </row>
    <row r="21" spans="1:10" ht="13.5" customHeight="1">
      <c r="A21" s="161" t="s">
        <v>157</v>
      </c>
      <c r="B21" s="931">
        <v>95591.6695371924</v>
      </c>
      <c r="C21" s="159">
        <v>869.80042678844143</v>
      </c>
      <c r="D21" s="159">
        <v>5767.19867277089</v>
      </c>
      <c r="E21" s="159">
        <v>5881.6989599000972</v>
      </c>
      <c r="F21" s="159">
        <v>62814.455763701779</v>
      </c>
      <c r="G21" s="159">
        <v>50.219424179471503</v>
      </c>
      <c r="H21" s="159">
        <v>20208.29628981779</v>
      </c>
    </row>
    <row r="22" spans="1:10" ht="13.5" customHeight="1">
      <c r="A22" s="161" t="s">
        <v>158</v>
      </c>
      <c r="B22" s="931">
        <v>30768.436806268619</v>
      </c>
      <c r="C22" s="159">
        <v>8.0351078687154374</v>
      </c>
      <c r="D22" s="159">
        <v>1444.3106394015915</v>
      </c>
      <c r="E22" s="159">
        <v>1994.7155284085954</v>
      </c>
      <c r="F22" s="159">
        <v>25672.169640539923</v>
      </c>
      <c r="G22" s="159">
        <v>26.114100573325178</v>
      </c>
      <c r="H22" s="159">
        <v>1623.0917894805089</v>
      </c>
    </row>
    <row r="23" spans="1:10" ht="13.5" customHeight="1">
      <c r="A23" s="161" t="s">
        <v>159</v>
      </c>
      <c r="B23" s="931">
        <v>41587.709551501284</v>
      </c>
      <c r="C23" s="159">
        <v>2.0087769671788593</v>
      </c>
      <c r="D23" s="159">
        <v>2985.0425732278727</v>
      </c>
      <c r="E23" s="159">
        <v>3015.1742277355588</v>
      </c>
      <c r="F23" s="159">
        <v>31985.755648378035</v>
      </c>
      <c r="G23" s="159">
        <v>30.131654507682899</v>
      </c>
      <c r="H23" s="159">
        <v>3569.5966706769832</v>
      </c>
    </row>
    <row r="24" spans="1:10" ht="13.5" customHeight="1">
      <c r="A24" s="163" t="s">
        <v>160</v>
      </c>
      <c r="B24" s="934">
        <v>166374.94352974551</v>
      </c>
      <c r="C24" s="164">
        <v>1058.625461703253</v>
      </c>
      <c r="D24" s="164">
        <v>12832.067266339693</v>
      </c>
      <c r="E24" s="164">
        <v>10644.509149081681</v>
      </c>
      <c r="F24" s="164">
        <v>116235.87042891044</v>
      </c>
      <c r="G24" s="164">
        <v>30.131654507682899</v>
      </c>
      <c r="H24" s="164">
        <v>25573.739569148238</v>
      </c>
    </row>
    <row r="25" spans="1:10" ht="13.5" customHeight="1">
      <c r="A25" s="161" t="s">
        <v>160</v>
      </c>
      <c r="B25" s="931">
        <v>166374.94352974551</v>
      </c>
      <c r="C25" s="159">
        <v>1058.625461703253</v>
      </c>
      <c r="D25" s="159">
        <v>12832.067266339693</v>
      </c>
      <c r="E25" s="159">
        <v>10644.509149081681</v>
      </c>
      <c r="F25" s="159">
        <v>116235.87042891044</v>
      </c>
      <c r="G25" s="159">
        <v>30.131654507682899</v>
      </c>
      <c r="H25" s="159">
        <v>25573.739569148238</v>
      </c>
    </row>
    <row r="26" spans="1:10" ht="13.5" customHeight="1">
      <c r="A26" s="163" t="s">
        <v>161</v>
      </c>
      <c r="B26" s="934">
        <v>6486.3408270209984</v>
      </c>
      <c r="C26" s="164">
        <v>0</v>
      </c>
      <c r="D26" s="164">
        <v>321.40431474861634</v>
      </c>
      <c r="E26" s="164">
        <v>214.93913548813745</v>
      </c>
      <c r="F26" s="164">
        <v>4758.7926352469949</v>
      </c>
      <c r="G26" s="164">
        <v>775.38790933103564</v>
      </c>
      <c r="H26" s="164">
        <v>415.81683220602213</v>
      </c>
    </row>
    <row r="27" spans="1:10" ht="13.5" customHeight="1">
      <c r="A27" s="161" t="s">
        <v>161</v>
      </c>
      <c r="B27" s="931">
        <v>6486.3408270209984</v>
      </c>
      <c r="C27" s="159">
        <v>0</v>
      </c>
      <c r="D27" s="159">
        <v>321.40431474861634</v>
      </c>
      <c r="E27" s="159">
        <v>214.93913548813745</v>
      </c>
      <c r="F27" s="159">
        <v>4758.7926352469949</v>
      </c>
      <c r="G27" s="159">
        <v>775.38790933103564</v>
      </c>
      <c r="H27" s="159">
        <v>415.81683220602213</v>
      </c>
    </row>
    <row r="28" spans="1:10" ht="13.5" customHeight="1">
      <c r="A28" s="163" t="s">
        <v>162</v>
      </c>
      <c r="B28" s="934">
        <v>11198.931592023106</v>
      </c>
      <c r="C28" s="164">
        <v>2.0087769671788593</v>
      </c>
      <c r="D28" s="164">
        <v>349.52719228912019</v>
      </c>
      <c r="E28" s="164">
        <v>351.53596925629904</v>
      </c>
      <c r="F28" s="164">
        <v>9692.3488666388002</v>
      </c>
      <c r="G28" s="164">
        <v>8.0351078687154374</v>
      </c>
      <c r="H28" s="164">
        <v>795.47567900282411</v>
      </c>
    </row>
    <row r="29" spans="1:10" ht="13.5" customHeight="1">
      <c r="A29" s="161" t="s">
        <v>162</v>
      </c>
      <c r="B29" s="931">
        <v>11198.931592023106</v>
      </c>
      <c r="C29" s="159">
        <v>2.0087769671788593</v>
      </c>
      <c r="D29" s="159">
        <v>349.52719228912019</v>
      </c>
      <c r="E29" s="159">
        <v>351.53596925629904</v>
      </c>
      <c r="F29" s="159">
        <v>9692.3488666388002</v>
      </c>
      <c r="G29" s="159">
        <v>8.0351078687154374</v>
      </c>
      <c r="H29" s="159">
        <v>795.47567900282411</v>
      </c>
    </row>
    <row r="30" spans="1:10" ht="13.5" customHeight="1">
      <c r="A30" s="163" t="s">
        <v>163</v>
      </c>
      <c r="B30" s="934">
        <v>35840.59864839675</v>
      </c>
      <c r="C30" s="164">
        <v>20.087769671788596</v>
      </c>
      <c r="D30" s="164">
        <v>1880.2152412794012</v>
      </c>
      <c r="E30" s="164">
        <v>1914.3644497214416</v>
      </c>
      <c r="F30" s="164">
        <v>29157.397678592461</v>
      </c>
      <c r="G30" s="164">
        <v>140.61438770252013</v>
      </c>
      <c r="H30" s="164">
        <v>2727.9191214289513</v>
      </c>
    </row>
    <row r="31" spans="1:10" ht="13.5" customHeight="1">
      <c r="A31" s="161" t="s">
        <v>163</v>
      </c>
      <c r="B31" s="931">
        <v>35840.59864839675</v>
      </c>
      <c r="C31" s="159">
        <v>20.087769671788596</v>
      </c>
      <c r="D31" s="159">
        <v>1880.2152412794012</v>
      </c>
      <c r="E31" s="159">
        <v>1914.3644497214416</v>
      </c>
      <c r="F31" s="159">
        <v>29157.397678592461</v>
      </c>
      <c r="G31" s="159">
        <v>140.61438770252013</v>
      </c>
      <c r="H31" s="159">
        <v>2727.9191214289513</v>
      </c>
    </row>
    <row r="32" spans="1:10">
      <c r="A32" s="944"/>
      <c r="B32" s="945"/>
      <c r="C32" s="946"/>
      <c r="D32" s="946"/>
      <c r="E32" s="946"/>
      <c r="F32" s="946"/>
      <c r="G32" s="946"/>
      <c r="H32" s="946"/>
    </row>
    <row r="49" ht="15.75" customHeight="1"/>
  </sheetData>
  <mergeCells count="4">
    <mergeCell ref="A1:H1"/>
    <mergeCell ref="A2:A3"/>
    <mergeCell ref="B2:B3"/>
    <mergeCell ref="C2:H2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6620-B534-4144-AA42-49F747577871}">
  <dimension ref="A1:M59"/>
  <sheetViews>
    <sheetView zoomScale="112" zoomScaleNormal="112" workbookViewId="0">
      <selection activeCell="C13" sqref="C13"/>
    </sheetView>
  </sheetViews>
  <sheetFormatPr defaultRowHeight="15"/>
  <cols>
    <col min="1" max="1" width="27.7109375" style="14" customWidth="1"/>
    <col min="2" max="2" width="10.28515625" style="951" customWidth="1"/>
    <col min="3" max="16384" width="9.140625" style="14"/>
  </cols>
  <sheetData>
    <row r="1" spans="1:13" ht="29.25" customHeight="1">
      <c r="A1" s="1227" t="s">
        <v>566</v>
      </c>
      <c r="B1" s="1227"/>
      <c r="C1" s="1227"/>
      <c r="D1" s="1227"/>
      <c r="E1" s="1227"/>
      <c r="F1" s="1227"/>
      <c r="G1" s="1227"/>
      <c r="H1" s="1227"/>
      <c r="I1" s="1227"/>
      <c r="J1" s="1227"/>
    </row>
    <row r="2" spans="1:13" ht="15" customHeight="1">
      <c r="A2" s="1228" t="s">
        <v>495</v>
      </c>
      <c r="B2" s="1237" t="s">
        <v>562</v>
      </c>
      <c r="C2" s="1238" t="s">
        <v>466</v>
      </c>
      <c r="D2" s="1238"/>
      <c r="E2" s="1238"/>
      <c r="F2" s="1238"/>
      <c r="G2" s="1238"/>
      <c r="H2" s="1238"/>
      <c r="I2" s="1238"/>
      <c r="J2" s="1238"/>
    </row>
    <row r="3" spans="1:13" ht="25.5" customHeight="1">
      <c r="A3" s="1213"/>
      <c r="B3" s="1237"/>
      <c r="C3" s="165" t="s">
        <v>270</v>
      </c>
      <c r="D3" s="165" t="s">
        <v>271</v>
      </c>
      <c r="E3" s="165" t="s">
        <v>272</v>
      </c>
      <c r="F3" s="165" t="s">
        <v>273</v>
      </c>
      <c r="G3" s="165" t="s">
        <v>274</v>
      </c>
      <c r="H3" s="165" t="s">
        <v>275</v>
      </c>
      <c r="I3" s="165" t="s">
        <v>260</v>
      </c>
      <c r="J3" s="165" t="s">
        <v>269</v>
      </c>
    </row>
    <row r="4" spans="1:13" ht="16.5" customHeight="1">
      <c r="A4" s="166" t="s">
        <v>146</v>
      </c>
      <c r="B4" s="167">
        <v>421666.39073483081</v>
      </c>
      <c r="C4" s="167">
        <v>101991.63295463072</v>
      </c>
      <c r="D4" s="167">
        <v>208079.16214538802</v>
      </c>
      <c r="E4" s="167">
        <v>108023.99018707495</v>
      </c>
      <c r="F4" s="167">
        <v>261.14100573325095</v>
      </c>
      <c r="G4" s="167">
        <v>371.6237389280875</v>
      </c>
      <c r="H4" s="167">
        <v>132.57927983380475</v>
      </c>
      <c r="I4" s="167">
        <v>441.93093277934713</v>
      </c>
      <c r="J4" s="167">
        <v>2364.3304903695389</v>
      </c>
    </row>
    <row r="5" spans="1:13" ht="11.25" customHeight="1">
      <c r="A5" s="168"/>
      <c r="B5" s="169"/>
      <c r="C5" s="169"/>
      <c r="D5" s="169"/>
      <c r="E5" s="169"/>
      <c r="F5" s="169"/>
      <c r="G5" s="169"/>
      <c r="H5" s="169"/>
      <c r="I5" s="169"/>
      <c r="J5" s="169"/>
    </row>
    <row r="6" spans="1:13" ht="15" customHeight="1">
      <c r="A6" s="170" t="s">
        <v>3</v>
      </c>
      <c r="B6" s="167"/>
      <c r="C6" s="167"/>
      <c r="D6" s="167"/>
      <c r="E6" s="167"/>
      <c r="F6" s="167"/>
      <c r="G6" s="167"/>
      <c r="H6" s="167"/>
      <c r="I6" s="167"/>
      <c r="J6" s="167"/>
    </row>
    <row r="7" spans="1:13">
      <c r="A7" s="171" t="s">
        <v>4</v>
      </c>
      <c r="B7" s="169">
        <v>370776.03504827007</v>
      </c>
      <c r="C7" s="169">
        <v>69507.700618348506</v>
      </c>
      <c r="D7" s="169">
        <v>194246.72394938039</v>
      </c>
      <c r="E7" s="169">
        <v>103839.70776443715</v>
      </c>
      <c r="F7" s="169">
        <v>247.079566962999</v>
      </c>
      <c r="G7" s="169">
        <v>369.61496196090866</v>
      </c>
      <c r="H7" s="169">
        <v>120.52661803073163</v>
      </c>
      <c r="I7" s="169">
        <v>275.20244450350287</v>
      </c>
      <c r="J7" s="169">
        <v>2169.4791245531687</v>
      </c>
    </row>
    <row r="8" spans="1:13">
      <c r="A8" s="171" t="s">
        <v>5</v>
      </c>
      <c r="B8" s="169">
        <v>50890.355686515999</v>
      </c>
      <c r="C8" s="169">
        <v>32483.932336237995</v>
      </c>
      <c r="D8" s="169">
        <v>13832.438195994871</v>
      </c>
      <c r="E8" s="169">
        <v>4184.2824226337798</v>
      </c>
      <c r="F8" s="169">
        <v>14.061438770252014</v>
      </c>
      <c r="G8" s="169">
        <v>2.0087769671788593</v>
      </c>
      <c r="H8" s="169">
        <v>12.052661803073155</v>
      </c>
      <c r="I8" s="169">
        <v>166.72848827584514</v>
      </c>
      <c r="J8" s="169">
        <v>194.85136581634899</v>
      </c>
    </row>
    <row r="9" spans="1:13">
      <c r="A9" s="948" t="s">
        <v>264</v>
      </c>
      <c r="B9" s="172"/>
      <c r="C9" s="172"/>
      <c r="D9" s="172"/>
      <c r="E9" s="172"/>
      <c r="F9" s="172"/>
      <c r="G9" s="172"/>
      <c r="H9" s="172"/>
      <c r="I9" s="172"/>
      <c r="J9" s="172"/>
    </row>
    <row r="10" spans="1:13">
      <c r="A10" s="173" t="s">
        <v>148</v>
      </c>
      <c r="B10" s="174">
        <v>24561.289646796075</v>
      </c>
      <c r="C10" s="174">
        <v>14445.10639401665</v>
      </c>
      <c r="D10" s="174">
        <v>7749.8439854418948</v>
      </c>
      <c r="E10" s="174">
        <v>2283.9794116823523</v>
      </c>
      <c r="F10" s="174">
        <v>4.0175539343577187</v>
      </c>
      <c r="G10" s="174">
        <v>2.0087769671788593</v>
      </c>
      <c r="H10" s="174">
        <v>6.0263309015365785</v>
      </c>
      <c r="I10" s="174">
        <v>40.175539343577185</v>
      </c>
      <c r="J10" s="174">
        <v>30.131654507682889</v>
      </c>
    </row>
    <row r="11" spans="1:13">
      <c r="A11" s="171" t="s">
        <v>148</v>
      </c>
      <c r="B11" s="169">
        <v>8358.494629530358</v>
      </c>
      <c r="C11" s="169">
        <v>2970.9723574904401</v>
      </c>
      <c r="D11" s="169">
        <v>4338.9406951722103</v>
      </c>
      <c r="E11" s="169">
        <v>1040.5464689986434</v>
      </c>
      <c r="F11" s="169">
        <v>2.0087769671788593</v>
      </c>
      <c r="G11" s="169">
        <v>2.0087769671788593</v>
      </c>
      <c r="H11" s="169">
        <v>0</v>
      </c>
      <c r="I11" s="169">
        <v>0</v>
      </c>
      <c r="J11" s="169">
        <v>4.0175539343577187</v>
      </c>
      <c r="K11" s="18"/>
      <c r="L11" s="18"/>
      <c r="M11" s="18"/>
    </row>
    <row r="12" spans="1:13">
      <c r="A12" s="171" t="s">
        <v>149</v>
      </c>
      <c r="B12" s="169">
        <v>9499.5062777896092</v>
      </c>
      <c r="C12" s="169">
        <v>7512.8258572495051</v>
      </c>
      <c r="D12" s="169">
        <v>1462.3896321062011</v>
      </c>
      <c r="E12" s="169">
        <v>484.11524909010291</v>
      </c>
      <c r="F12" s="169">
        <v>2.0087769671788593</v>
      </c>
      <c r="G12" s="169">
        <v>0</v>
      </c>
      <c r="H12" s="169">
        <v>6.0263309015365785</v>
      </c>
      <c r="I12" s="169">
        <v>16.070215737430875</v>
      </c>
      <c r="J12" s="169">
        <v>16.070215737430875</v>
      </c>
    </row>
    <row r="13" spans="1:13">
      <c r="A13" s="171" t="s">
        <v>150</v>
      </c>
      <c r="B13" s="169">
        <v>2798.2263152802188</v>
      </c>
      <c r="C13" s="169">
        <v>2203.628332995213</v>
      </c>
      <c r="D13" s="169">
        <v>267.16733663478749</v>
      </c>
      <c r="E13" s="169">
        <v>305.33409901118557</v>
      </c>
      <c r="F13" s="169">
        <v>0</v>
      </c>
      <c r="G13" s="169">
        <v>0</v>
      </c>
      <c r="H13" s="169">
        <v>0</v>
      </c>
      <c r="I13" s="169">
        <v>18.078992704609735</v>
      </c>
      <c r="J13" s="169">
        <v>4.0175539343577187</v>
      </c>
    </row>
    <row r="14" spans="1:13" ht="15.75" customHeight="1">
      <c r="A14" s="171" t="s">
        <v>151</v>
      </c>
      <c r="B14" s="169">
        <v>3905.0624241958885</v>
      </c>
      <c r="C14" s="169">
        <v>1757.6798462814916</v>
      </c>
      <c r="D14" s="169">
        <v>1681.3463215286954</v>
      </c>
      <c r="E14" s="169">
        <v>453.98359458242021</v>
      </c>
      <c r="F14" s="169">
        <v>0</v>
      </c>
      <c r="G14" s="169">
        <v>0</v>
      </c>
      <c r="H14" s="169">
        <v>0</v>
      </c>
      <c r="I14" s="169">
        <v>6.0263309015365785</v>
      </c>
      <c r="J14" s="169">
        <v>6.0263309015365785</v>
      </c>
    </row>
    <row r="15" spans="1:13" ht="15.75" customHeight="1">
      <c r="A15" s="173" t="s">
        <v>152</v>
      </c>
      <c r="B15" s="174">
        <v>9256.4442647605701</v>
      </c>
      <c r="C15" s="174">
        <v>7354.13247684204</v>
      </c>
      <c r="D15" s="174">
        <v>1289.6348129288217</v>
      </c>
      <c r="E15" s="174">
        <v>470.05381031985172</v>
      </c>
      <c r="F15" s="174">
        <v>0</v>
      </c>
      <c r="G15" s="174">
        <v>0</v>
      </c>
      <c r="H15" s="174">
        <v>2.0087769671788593</v>
      </c>
      <c r="I15" s="174">
        <v>18.078992704609732</v>
      </c>
      <c r="J15" s="174">
        <v>122.53539499791049</v>
      </c>
    </row>
    <row r="16" spans="1:13">
      <c r="A16" s="171" t="s">
        <v>153</v>
      </c>
      <c r="B16" s="169">
        <v>5956.0237076857229</v>
      </c>
      <c r="C16" s="169">
        <v>4519.7481761526851</v>
      </c>
      <c r="D16" s="169">
        <v>946.13395154123759</v>
      </c>
      <c r="E16" s="169">
        <v>367.60618499372981</v>
      </c>
      <c r="F16" s="169">
        <v>0</v>
      </c>
      <c r="G16" s="169">
        <v>0</v>
      </c>
      <c r="H16" s="169">
        <v>2.0087769671788593</v>
      </c>
      <c r="I16" s="169">
        <v>2.0087769671788593</v>
      </c>
      <c r="J16" s="169">
        <v>118.51784106355277</v>
      </c>
    </row>
    <row r="17" spans="1:12">
      <c r="A17" s="171" t="s">
        <v>154</v>
      </c>
      <c r="B17" s="169">
        <v>546.38733507264715</v>
      </c>
      <c r="C17" s="169">
        <v>494.15913392599714</v>
      </c>
      <c r="D17" s="169">
        <v>32.140431474861757</v>
      </c>
      <c r="E17" s="169">
        <v>16.070215737430875</v>
      </c>
      <c r="F17" s="169">
        <v>0</v>
      </c>
      <c r="G17" s="169">
        <v>0</v>
      </c>
      <c r="H17" s="169">
        <v>0</v>
      </c>
      <c r="I17" s="169">
        <v>4.0175539343577187</v>
      </c>
      <c r="J17" s="169">
        <v>0</v>
      </c>
    </row>
    <row r="18" spans="1:12">
      <c r="A18" s="171" t="s">
        <v>155</v>
      </c>
      <c r="B18" s="169">
        <v>1359.94200678008</v>
      </c>
      <c r="C18" s="169">
        <v>1283.6084820272838</v>
      </c>
      <c r="D18" s="169">
        <v>40.175539343577199</v>
      </c>
      <c r="E18" s="169">
        <v>30.131654507682899</v>
      </c>
      <c r="F18" s="169">
        <v>0</v>
      </c>
      <c r="G18" s="169">
        <v>0</v>
      </c>
      <c r="H18" s="169">
        <v>0</v>
      </c>
      <c r="I18" s="169">
        <v>4.0175539343577187</v>
      </c>
      <c r="J18" s="169">
        <v>2.0087769671788593</v>
      </c>
    </row>
    <row r="19" spans="1:12">
      <c r="A19" s="171" t="s">
        <v>156</v>
      </c>
      <c r="B19" s="169">
        <v>1394.0912152221204</v>
      </c>
      <c r="C19" s="169">
        <v>1056.6166847360741</v>
      </c>
      <c r="D19" s="169">
        <v>271.18489056914518</v>
      </c>
      <c r="E19" s="169">
        <v>56.245755081008085</v>
      </c>
      <c r="F19" s="169">
        <v>0</v>
      </c>
      <c r="G19" s="169">
        <v>0</v>
      </c>
      <c r="H19" s="169">
        <v>0</v>
      </c>
      <c r="I19" s="169">
        <v>8.0351078687154374</v>
      </c>
      <c r="J19" s="169">
        <v>2.0087769671788593</v>
      </c>
    </row>
    <row r="20" spans="1:12">
      <c r="A20" s="173" t="s">
        <v>157</v>
      </c>
      <c r="B20" s="174">
        <v>167947.81589496232</v>
      </c>
      <c r="C20" s="174">
        <v>37853.393169520437</v>
      </c>
      <c r="D20" s="174">
        <v>93020.435019157012</v>
      </c>
      <c r="E20" s="174">
        <v>35740.159800042093</v>
      </c>
      <c r="F20" s="174">
        <v>60.263309015365792</v>
      </c>
      <c r="G20" s="174">
        <v>249.08834393017801</v>
      </c>
      <c r="H20" s="174">
        <v>72.315970818438942</v>
      </c>
      <c r="I20" s="174">
        <v>220.96546638967465</v>
      </c>
      <c r="J20" s="174">
        <v>731.1948160531025</v>
      </c>
      <c r="K20" s="18"/>
      <c r="L20" s="18"/>
    </row>
    <row r="21" spans="1:12">
      <c r="A21" s="171" t="s">
        <v>148</v>
      </c>
      <c r="B21" s="169">
        <v>2.0087769671788593</v>
      </c>
      <c r="C21" s="169">
        <v>0</v>
      </c>
      <c r="D21" s="169">
        <v>2.0087769671788593</v>
      </c>
      <c r="E21" s="169">
        <v>0</v>
      </c>
      <c r="F21" s="169">
        <v>0</v>
      </c>
      <c r="G21" s="169">
        <v>0</v>
      </c>
      <c r="H21" s="169">
        <v>0</v>
      </c>
      <c r="I21" s="169">
        <v>0</v>
      </c>
      <c r="J21" s="169">
        <v>0</v>
      </c>
    </row>
    <row r="22" spans="1:12">
      <c r="A22" s="171" t="s">
        <v>157</v>
      </c>
      <c r="B22" s="169">
        <v>95591.6695371924</v>
      </c>
      <c r="C22" s="169">
        <v>17864.053569121934</v>
      </c>
      <c r="D22" s="169">
        <v>52672.140856405451</v>
      </c>
      <c r="E22" s="169">
        <v>24440.789359660266</v>
      </c>
      <c r="F22" s="169">
        <v>30.131654507682899</v>
      </c>
      <c r="G22" s="169">
        <v>220.96546638967399</v>
      </c>
      <c r="H22" s="169">
        <v>32.140431474861757</v>
      </c>
      <c r="I22" s="169">
        <v>34.149208442040617</v>
      </c>
      <c r="J22" s="169">
        <v>297.29899114247019</v>
      </c>
    </row>
    <row r="23" spans="1:12">
      <c r="A23" s="171" t="s">
        <v>158</v>
      </c>
      <c r="B23" s="169">
        <v>30768.436806268619</v>
      </c>
      <c r="C23" s="169">
        <v>10425.552459659162</v>
      </c>
      <c r="D23" s="169">
        <v>16425.769260623019</v>
      </c>
      <c r="E23" s="169">
        <v>3674.053072970295</v>
      </c>
      <c r="F23" s="169">
        <v>12.052661803073155</v>
      </c>
      <c r="G23" s="169">
        <v>10.043884835894296</v>
      </c>
      <c r="H23" s="169">
        <v>24.105323606146317</v>
      </c>
      <c r="I23" s="169">
        <v>112.49151016201618</v>
      </c>
      <c r="J23" s="169">
        <v>84.368632621512134</v>
      </c>
    </row>
    <row r="24" spans="1:12">
      <c r="A24" s="171" t="s">
        <v>159</v>
      </c>
      <c r="B24" s="169">
        <v>41587.709551501284</v>
      </c>
      <c r="C24" s="169">
        <v>9563.7871407393395</v>
      </c>
      <c r="D24" s="169">
        <v>23922.524902128534</v>
      </c>
      <c r="E24" s="169">
        <v>7625.3173674115333</v>
      </c>
      <c r="F24" s="169">
        <v>18.078992704609735</v>
      </c>
      <c r="G24" s="169">
        <v>18.078992704609735</v>
      </c>
      <c r="H24" s="169">
        <v>16.070215737430875</v>
      </c>
      <c r="I24" s="169">
        <v>74.324747785617831</v>
      </c>
      <c r="J24" s="169">
        <v>349.52719228912019</v>
      </c>
    </row>
    <row r="25" spans="1:12">
      <c r="A25" s="173" t="s">
        <v>160</v>
      </c>
      <c r="B25" s="174">
        <v>166374.94352974551</v>
      </c>
      <c r="C25" s="174">
        <v>20276.594706701817</v>
      </c>
      <c r="D25" s="174">
        <v>79573.68200089196</v>
      </c>
      <c r="E25" s="174">
        <v>64827.250284817033</v>
      </c>
      <c r="F25" s="174">
        <v>182.79870401327591</v>
      </c>
      <c r="G25" s="174">
        <v>110.48273319483732</v>
      </c>
      <c r="H25" s="174">
        <v>40.175539343577199</v>
      </c>
      <c r="I25" s="174">
        <v>38.166762376398339</v>
      </c>
      <c r="J25" s="174">
        <v>1325.7927983380396</v>
      </c>
    </row>
    <row r="26" spans="1:12">
      <c r="A26" s="171" t="s">
        <v>160</v>
      </c>
      <c r="B26" s="169">
        <v>166374.94352974551</v>
      </c>
      <c r="C26" s="169">
        <v>20276.594706701817</v>
      </c>
      <c r="D26" s="169">
        <v>79573.68200089196</v>
      </c>
      <c r="E26" s="169">
        <v>64827.250284817033</v>
      </c>
      <c r="F26" s="169">
        <v>182.79870401327591</v>
      </c>
      <c r="G26" s="169">
        <v>110.48273319483732</v>
      </c>
      <c r="H26" s="169">
        <v>40.175539343577199</v>
      </c>
      <c r="I26" s="169">
        <v>38.166762376398339</v>
      </c>
      <c r="J26" s="169">
        <v>1325.7927983380396</v>
      </c>
    </row>
    <row r="27" spans="1:12">
      <c r="A27" s="173" t="s">
        <v>161</v>
      </c>
      <c r="B27" s="174">
        <v>6486.3408270209984</v>
      </c>
      <c r="C27" s="174">
        <v>2589.3135106935952</v>
      </c>
      <c r="D27" s="174">
        <v>3362.6926430575386</v>
      </c>
      <c r="E27" s="174">
        <v>474.07136425420867</v>
      </c>
      <c r="F27" s="174">
        <v>0</v>
      </c>
      <c r="G27" s="174">
        <v>0</v>
      </c>
      <c r="H27" s="174">
        <v>4.0175539343577187</v>
      </c>
      <c r="I27" s="174">
        <v>34.149208442040617</v>
      </c>
      <c r="J27" s="174">
        <v>22.096546638967457</v>
      </c>
    </row>
    <row r="28" spans="1:12">
      <c r="A28" s="171" t="s">
        <v>161</v>
      </c>
      <c r="B28" s="169">
        <v>6486.3408270209984</v>
      </c>
      <c r="C28" s="169">
        <v>2589.3135106935952</v>
      </c>
      <c r="D28" s="169">
        <v>3362.6926430575386</v>
      </c>
      <c r="E28" s="169">
        <v>474.07136425420867</v>
      </c>
      <c r="F28" s="169">
        <v>0</v>
      </c>
      <c r="G28" s="169">
        <v>0</v>
      </c>
      <c r="H28" s="169">
        <v>4.0175539343577187</v>
      </c>
      <c r="I28" s="169">
        <v>34.149208442040617</v>
      </c>
      <c r="J28" s="169">
        <v>22.096546638967457</v>
      </c>
    </row>
    <row r="29" spans="1:12">
      <c r="A29" s="173" t="s">
        <v>162</v>
      </c>
      <c r="B29" s="174">
        <v>11198.931592023106</v>
      </c>
      <c r="C29" s="174">
        <v>5168.583136551526</v>
      </c>
      <c r="D29" s="174">
        <v>5285.0922006479123</v>
      </c>
      <c r="E29" s="174">
        <v>672.94028400491447</v>
      </c>
      <c r="F29" s="174">
        <v>0</v>
      </c>
      <c r="G29" s="174">
        <v>4.0175539343577187</v>
      </c>
      <c r="H29" s="174">
        <v>0</v>
      </c>
      <c r="I29" s="174">
        <v>6.0263309015365785</v>
      </c>
      <c r="J29" s="174">
        <v>62.272085982544667</v>
      </c>
    </row>
    <row r="30" spans="1:12">
      <c r="A30" s="171" t="s">
        <v>162</v>
      </c>
      <c r="B30" s="169">
        <v>11198.931592023106</v>
      </c>
      <c r="C30" s="169">
        <v>5168.583136551526</v>
      </c>
      <c r="D30" s="169">
        <v>5285.0922006479123</v>
      </c>
      <c r="E30" s="169">
        <v>672.94028400491447</v>
      </c>
      <c r="F30" s="169">
        <v>0</v>
      </c>
      <c r="G30" s="169">
        <v>4.0175539343577187</v>
      </c>
      <c r="H30" s="169">
        <v>0</v>
      </c>
      <c r="I30" s="169">
        <v>6.0263309015365785</v>
      </c>
      <c r="J30" s="169">
        <v>62.272085982544667</v>
      </c>
    </row>
    <row r="31" spans="1:12">
      <c r="A31" s="173" t="s">
        <v>163</v>
      </c>
      <c r="B31" s="174">
        <v>35840.59864839675</v>
      </c>
      <c r="C31" s="174">
        <v>14304.500783281954</v>
      </c>
      <c r="D31" s="174">
        <v>17797.763929205084</v>
      </c>
      <c r="E31" s="174">
        <v>3555.5352319067297</v>
      </c>
      <c r="F31" s="174">
        <v>14.061438770252014</v>
      </c>
      <c r="G31" s="174">
        <v>6.0263309015365785</v>
      </c>
      <c r="H31" s="174">
        <v>8.0351078687154374</v>
      </c>
      <c r="I31" s="174">
        <v>84.368632621512134</v>
      </c>
      <c r="J31" s="174">
        <v>70.307193851260109</v>
      </c>
    </row>
    <row r="32" spans="1:12">
      <c r="A32" s="171" t="s">
        <v>163</v>
      </c>
      <c r="B32" s="169">
        <v>35840.59864839675</v>
      </c>
      <c r="C32" s="169">
        <v>14304.500783281954</v>
      </c>
      <c r="D32" s="169">
        <v>17797.763929205084</v>
      </c>
      <c r="E32" s="169">
        <v>3555.5352319067297</v>
      </c>
      <c r="F32" s="169">
        <v>14.061438770252014</v>
      </c>
      <c r="G32" s="169">
        <v>6.0263309015365785</v>
      </c>
      <c r="H32" s="169">
        <v>8.0351078687154374</v>
      </c>
      <c r="I32" s="169">
        <v>84.368632621512134</v>
      </c>
      <c r="J32" s="169">
        <v>70.307193851260109</v>
      </c>
    </row>
    <row r="33" spans="1:10">
      <c r="A33" s="175"/>
      <c r="B33" s="949"/>
      <c r="C33" s="176"/>
      <c r="D33" s="176"/>
      <c r="E33" s="176"/>
      <c r="F33" s="176"/>
      <c r="G33" s="176"/>
      <c r="H33" s="176"/>
      <c r="I33" s="176"/>
      <c r="J33" s="176"/>
    </row>
    <row r="34" spans="1:10">
      <c r="A34" s="55"/>
      <c r="B34" s="950"/>
      <c r="C34" s="55"/>
      <c r="D34" s="55"/>
      <c r="E34" s="55"/>
      <c r="F34" s="55"/>
      <c r="G34" s="55"/>
      <c r="H34" s="55"/>
      <c r="I34" s="55"/>
      <c r="J34" s="55"/>
    </row>
    <row r="48" spans="1:10" ht="15" customHeight="1"/>
    <row r="58" ht="17.25" customHeight="1"/>
    <row r="59" ht="12.75" customHeight="1"/>
  </sheetData>
  <mergeCells count="4">
    <mergeCell ref="A1:J1"/>
    <mergeCell ref="A2:A3"/>
    <mergeCell ref="B2:B3"/>
    <mergeCell ref="C2:J2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E4C0-A508-47A1-B69D-D3CFB628CC92}">
  <dimension ref="A1:G35"/>
  <sheetViews>
    <sheetView workbookViewId="0">
      <selection activeCell="A31" sqref="A31"/>
    </sheetView>
  </sheetViews>
  <sheetFormatPr defaultRowHeight="15"/>
  <cols>
    <col min="1" max="1" width="25.28515625" style="14" customWidth="1"/>
    <col min="2" max="2" width="13.7109375" style="17" customWidth="1"/>
    <col min="3" max="3" width="12.42578125" style="14" customWidth="1"/>
    <col min="4" max="4" width="11" style="14" customWidth="1"/>
    <col min="5" max="5" width="3.140625" style="14" customWidth="1"/>
    <col min="6" max="6" width="13.85546875" style="14" customWidth="1"/>
    <col min="7" max="7" width="13.5703125" style="14" customWidth="1"/>
    <col min="8" max="16384" width="9.140625" style="14"/>
  </cols>
  <sheetData>
    <row r="1" spans="1:7" ht="34.5" customHeight="1" thickBot="1">
      <c r="A1" s="1222" t="s">
        <v>567</v>
      </c>
      <c r="B1" s="1222"/>
      <c r="C1" s="1222"/>
      <c r="D1" s="1222"/>
      <c r="E1" s="1222"/>
      <c r="F1" s="1222"/>
      <c r="G1" s="1222"/>
    </row>
    <row r="2" spans="1:7" ht="15.75" customHeight="1">
      <c r="A2" s="1239" t="s">
        <v>495</v>
      </c>
      <c r="B2" s="1241" t="s">
        <v>243</v>
      </c>
      <c r="C2" s="1243" t="s">
        <v>276</v>
      </c>
      <c r="D2" s="1243"/>
      <c r="E2" s="952"/>
      <c r="F2" s="1243" t="s">
        <v>277</v>
      </c>
      <c r="G2" s="1243"/>
    </row>
    <row r="3" spans="1:7" ht="51.75" customHeight="1" thickBot="1">
      <c r="A3" s="1240"/>
      <c r="B3" s="1242"/>
      <c r="C3" s="177" t="s">
        <v>278</v>
      </c>
      <c r="D3" s="177" t="s">
        <v>279</v>
      </c>
      <c r="E3" s="178"/>
      <c r="F3" s="177" t="s">
        <v>280</v>
      </c>
      <c r="G3" s="177" t="s">
        <v>281</v>
      </c>
    </row>
    <row r="4" spans="1:7" ht="13.5" customHeight="1">
      <c r="A4" s="179" t="s">
        <v>146</v>
      </c>
      <c r="B4" s="955">
        <v>421666.39073483081</v>
      </c>
      <c r="C4" s="180">
        <v>3.2599803727276662</v>
      </c>
      <c r="D4" s="180">
        <v>1.0544783131596809</v>
      </c>
      <c r="E4" s="180"/>
      <c r="F4" s="180">
        <v>1.9201760737833293</v>
      </c>
      <c r="G4" s="180">
        <v>1.7902413488542559</v>
      </c>
    </row>
    <row r="5" spans="1:7" ht="9" customHeight="1">
      <c r="A5" s="181"/>
      <c r="B5" s="956"/>
      <c r="C5" s="182"/>
      <c r="D5" s="182"/>
      <c r="E5" s="182"/>
      <c r="F5" s="182"/>
      <c r="G5" s="182"/>
    </row>
    <row r="6" spans="1:7" ht="13.5" customHeight="1">
      <c r="A6" s="179" t="s">
        <v>3</v>
      </c>
      <c r="B6" s="955"/>
      <c r="C6" s="953"/>
      <c r="D6" s="953"/>
      <c r="E6" s="953"/>
      <c r="F6" s="953"/>
      <c r="G6" s="953"/>
    </row>
    <row r="7" spans="1:7" ht="11.25" customHeight="1">
      <c r="A7" s="183" t="s">
        <v>180</v>
      </c>
      <c r="B7" s="957">
        <v>370776.03504827007</v>
      </c>
      <c r="C7" s="184">
        <v>3.3921648300448068</v>
      </c>
      <c r="D7" s="184">
        <v>1.0407686078844194</v>
      </c>
      <c r="E7" s="184"/>
      <c r="F7" s="184">
        <v>2.0000054177637892</v>
      </c>
      <c r="G7" s="184">
        <v>1.7652245521552818</v>
      </c>
    </row>
    <row r="8" spans="1:7">
      <c r="A8" s="183" t="s">
        <v>5</v>
      </c>
      <c r="B8" s="957">
        <v>50890.355686515999</v>
      </c>
      <c r="C8" s="184">
        <v>2.2969132391252525</v>
      </c>
      <c r="D8" s="184">
        <v>1.2019934696683667</v>
      </c>
      <c r="E8" s="184"/>
      <c r="F8" s="184">
        <v>1.338556880081988</v>
      </c>
      <c r="G8" s="184">
        <v>2.0625755654509526</v>
      </c>
    </row>
    <row r="9" spans="1:7" ht="14.25" customHeight="1">
      <c r="A9" s="185" t="s">
        <v>142</v>
      </c>
      <c r="B9" s="958"/>
      <c r="C9" s="186"/>
      <c r="D9" s="186"/>
      <c r="E9" s="186"/>
      <c r="F9" s="186"/>
      <c r="G9" s="186"/>
    </row>
    <row r="10" spans="1:7" ht="16.5" customHeight="1">
      <c r="A10" s="183" t="s">
        <v>148</v>
      </c>
      <c r="B10" s="957">
        <v>24559.28964678937</v>
      </c>
      <c r="C10" s="184">
        <v>2.3665739528800009</v>
      </c>
      <c r="D10" s="184">
        <v>1.0831000034567868</v>
      </c>
      <c r="E10" s="184"/>
      <c r="F10" s="184">
        <v>1.3943880890053519</v>
      </c>
      <c r="G10" s="184">
        <v>1.8382516867118996</v>
      </c>
    </row>
    <row r="11" spans="1:7">
      <c r="A11" s="183" t="s">
        <v>152</v>
      </c>
      <c r="B11" s="957">
        <v>9256.4442647609412</v>
      </c>
      <c r="C11" s="184">
        <v>2.1805555555553826</v>
      </c>
      <c r="D11" s="184">
        <v>1.3974920382165423</v>
      </c>
      <c r="E11" s="184"/>
      <c r="F11" s="184">
        <v>1.2970920138888717</v>
      </c>
      <c r="G11" s="184">
        <v>2.3493391333443014</v>
      </c>
    </row>
    <row r="12" spans="1:7">
      <c r="A12" s="183" t="s">
        <v>157</v>
      </c>
      <c r="B12" s="957">
        <v>167949.82467201533</v>
      </c>
      <c r="C12" s="184">
        <v>3.3221940484165069</v>
      </c>
      <c r="D12" s="184">
        <v>1.0393250336618485</v>
      </c>
      <c r="E12" s="184"/>
      <c r="F12" s="184">
        <v>1.8807171562530041</v>
      </c>
      <c r="G12" s="184">
        <v>1.8359163841950854</v>
      </c>
    </row>
    <row r="13" spans="1:7">
      <c r="A13" s="183" t="s">
        <v>160</v>
      </c>
      <c r="B13" s="957">
        <v>166374.94352974551</v>
      </c>
      <c r="C13" s="184">
        <v>3.6298778131944132</v>
      </c>
      <c r="D13" s="184">
        <v>1.0313496828442639</v>
      </c>
      <c r="E13" s="184"/>
      <c r="F13" s="184">
        <v>2.2209383753502472</v>
      </c>
      <c r="G13" s="184">
        <v>1.6856268381652426</v>
      </c>
    </row>
    <row r="14" spans="1:7" ht="15" customHeight="1">
      <c r="A14" s="183" t="s">
        <v>161</v>
      </c>
      <c r="B14" s="957">
        <v>6486.3408270209984</v>
      </c>
      <c r="C14" s="184">
        <v>2.2350572932795894</v>
      </c>
      <c r="D14" s="184">
        <v>1.5183594291255975</v>
      </c>
      <c r="E14" s="184"/>
      <c r="F14" s="184">
        <v>1.409104986063771</v>
      </c>
      <c r="G14" s="184">
        <v>2.4083516483515002</v>
      </c>
    </row>
    <row r="15" spans="1:7" ht="15.75" customHeight="1">
      <c r="A15" s="183" t="s">
        <v>162</v>
      </c>
      <c r="B15" s="957">
        <v>11198.931592023106</v>
      </c>
      <c r="C15" s="184">
        <v>2.1747085201791809</v>
      </c>
      <c r="D15" s="184">
        <v>1.3740514681623008</v>
      </c>
      <c r="E15" s="184"/>
      <c r="F15" s="184">
        <v>1.319999999999989</v>
      </c>
      <c r="G15" s="184">
        <v>2.2637586628615858</v>
      </c>
    </row>
    <row r="16" spans="1:7">
      <c r="A16" s="183" t="s">
        <v>163</v>
      </c>
      <c r="B16" s="957">
        <v>35840.59864839675</v>
      </c>
      <c r="C16" s="184">
        <v>2.6669095392898354</v>
      </c>
      <c r="D16" s="184">
        <v>1.0473908748923833</v>
      </c>
      <c r="E16" s="184"/>
      <c r="F16" s="184">
        <v>1.5101446026232384</v>
      </c>
      <c r="G16" s="184">
        <v>1.8496882422805407</v>
      </c>
    </row>
    <row r="17" spans="2:4" ht="15" customHeight="1">
      <c r="B17" s="954"/>
    </row>
    <row r="18" spans="2:4">
      <c r="B18" s="954"/>
    </row>
    <row r="19" spans="2:4" ht="15" customHeight="1">
      <c r="D19" s="187"/>
    </row>
    <row r="20" spans="2:4" ht="15" customHeight="1"/>
    <row r="22" spans="2:4" ht="15" customHeight="1"/>
    <row r="23" spans="2:4" ht="15" customHeight="1"/>
    <row r="28" spans="2:4" ht="15" customHeight="1"/>
    <row r="29" spans="2:4" ht="15" customHeight="1"/>
    <row r="30" spans="2:4" ht="15" customHeight="1"/>
    <row r="32" spans="2:4" ht="15" customHeight="1"/>
    <row r="34" ht="15" customHeight="1"/>
    <row r="35" ht="15" customHeight="1"/>
  </sheetData>
  <mergeCells count="5">
    <mergeCell ref="A1:G1"/>
    <mergeCell ref="A2:A3"/>
    <mergeCell ref="B2:B3"/>
    <mergeCell ref="C2:D2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73</vt:i4>
      </vt:variant>
    </vt:vector>
  </HeadingPairs>
  <TitlesOfParts>
    <vt:vector size="73" baseType="lpstr">
      <vt:lpstr>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Deficiência e Albinismo</vt:lpstr>
      <vt:lpstr>Q 4.1</vt:lpstr>
      <vt:lpstr>Quadro 4.2</vt:lpstr>
      <vt:lpstr>Quadro 4.3</vt:lpstr>
      <vt:lpstr>Orfandade</vt:lpstr>
      <vt:lpstr>Q5.1</vt:lpstr>
      <vt:lpstr>Q5.2</vt:lpstr>
      <vt:lpstr>6. Língua Materna</vt:lpstr>
      <vt:lpstr>Q 6.1</vt:lpstr>
      <vt:lpstr>Q 6.2</vt:lpstr>
      <vt:lpstr>7.Religião</vt:lpstr>
      <vt:lpstr>Q7.1</vt:lpstr>
      <vt:lpstr>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Q8.16</vt:lpstr>
      <vt:lpstr>Agregado Familiar</vt:lpstr>
      <vt:lpstr>Q9.1</vt:lpstr>
      <vt:lpstr>Q9.2</vt:lpstr>
      <vt:lpstr>Q9.3</vt:lpstr>
      <vt:lpstr>Q9.4</vt:lpstr>
      <vt:lpstr>Q9.5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Habitação</vt:lpstr>
      <vt:lpstr>Q.10.1</vt:lpstr>
      <vt:lpstr>Q.10.2</vt:lpstr>
      <vt:lpstr>Q.10.3 </vt:lpstr>
      <vt:lpstr>Q.10.4</vt:lpstr>
      <vt:lpstr>Q.10.5 </vt:lpstr>
      <vt:lpstr>Q.10.6</vt:lpstr>
      <vt:lpstr>Quadro 10.7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Pinto</dc:creator>
  <cp:lastModifiedBy>Juersia Joao</cp:lastModifiedBy>
  <dcterms:created xsi:type="dcterms:W3CDTF">2025-12-01T09:31:40Z</dcterms:created>
  <dcterms:modified xsi:type="dcterms:W3CDTF">2026-04-06T12:05:37Z</dcterms:modified>
</cp:coreProperties>
</file>