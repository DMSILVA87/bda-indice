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liana.Chitamba\Desktop\26 CUNENE_FEITO\"/>
    </mc:Choice>
  </mc:AlternateContent>
  <xr:revisionPtr revIDLastSave="0" documentId="13_ncr:1_{45A49DDA-3529-482D-A383-B0F433099C40}" xr6:coauthVersionLast="47" xr6:coauthVersionMax="47" xr10:uidLastSave="{00000000-0000-0000-0000-000000000000}"/>
  <bookViews>
    <workbookView xWindow="-120" yWindow="-120" windowWidth="29040" windowHeight="15840" tabRatio="911" firstSheet="46" activeTab="63" xr2:uid="{00000000-000D-0000-FFFF-FFFF00000000}"/>
  </bookViews>
  <sheets>
    <sheet name="1. População" sheetId="1" r:id="rId1"/>
    <sheet name="Q1.1" sheetId="2" r:id="rId2"/>
    <sheet name="Q1.2" sheetId="3" r:id="rId3"/>
    <sheet name="Q1.3" sheetId="4" r:id="rId4"/>
    <sheet name="Q1.4" sheetId="5" r:id="rId5"/>
    <sheet name="Q1.5" sheetId="6" r:id="rId6"/>
    <sheet name="Q1.6" sheetId="7" r:id="rId7"/>
    <sheet name="Q1.7" sheetId="8" r:id="rId8"/>
    <sheet name="2. Estado Civil" sheetId="10" r:id="rId9"/>
    <sheet name="Q2.1" sheetId="11" r:id="rId10"/>
    <sheet name="3. Registo Civil" sheetId="12" r:id="rId11"/>
    <sheet name="Q3.1" sheetId="15" r:id="rId12"/>
    <sheet name="Q3.2" sheetId="16" r:id="rId13"/>
    <sheet name="Q3.3" sheetId="17" r:id="rId14"/>
    <sheet name="Q3.4" sheetId="18" r:id="rId15"/>
    <sheet name="4. Deficiência e Albinismo" sheetId="13" r:id="rId16"/>
    <sheet name="Q4.1" sheetId="19" r:id="rId17"/>
    <sheet name="Q4.2" sheetId="21" r:id="rId18"/>
    <sheet name="Q4.3" sheetId="20" r:id="rId19"/>
    <sheet name="5. Orfandade" sheetId="14" r:id="rId20"/>
    <sheet name="Q5.1" sheetId="22" r:id="rId21"/>
    <sheet name="Q5.2" sheetId="23" r:id="rId22"/>
    <sheet name="6. Língua Materna" sheetId="24" r:id="rId23"/>
    <sheet name="Q 6.1" sheetId="26" r:id="rId24"/>
    <sheet name="Q 6.2" sheetId="27" r:id="rId25"/>
    <sheet name="7. Religião" sheetId="28" r:id="rId26"/>
    <sheet name="Q 7.1" sheetId="29" r:id="rId27"/>
    <sheet name="8. Educação" sheetId="30" r:id="rId28"/>
    <sheet name="Q8.1" sheetId="31" r:id="rId29"/>
    <sheet name="Q8.2" sheetId="33" r:id="rId30"/>
    <sheet name="Q8.3" sheetId="34" r:id="rId31"/>
    <sheet name="Q8.4" sheetId="32" r:id="rId32"/>
    <sheet name="Q8.5" sheetId="25" r:id="rId33"/>
    <sheet name="Q8.6" sheetId="35" r:id="rId34"/>
    <sheet name="Q8.7" sheetId="36" r:id="rId35"/>
    <sheet name="Q8.8" sheetId="37" r:id="rId36"/>
    <sheet name="Q8.9" sheetId="38" r:id="rId37"/>
    <sheet name="Q8.10" sheetId="39" r:id="rId38"/>
    <sheet name="Q8.11" sheetId="40" r:id="rId39"/>
    <sheet name="Q8.12" sheetId="41" r:id="rId40"/>
    <sheet name="Q8.13" sheetId="42" r:id="rId41"/>
    <sheet name="Q8.14" sheetId="43" r:id="rId42"/>
    <sheet name="Q8.15" sheetId="44" r:id="rId43"/>
    <sheet name="9. Agregado Familiar" sheetId="45" r:id="rId44"/>
    <sheet name="Q9.1" sheetId="46" r:id="rId45"/>
    <sheet name="Q9.2" sheetId="47" r:id="rId46"/>
    <sheet name="Q9.3" sheetId="48" r:id="rId47"/>
    <sheet name="Q9.5.1" sheetId="49" r:id="rId48"/>
    <sheet name="Q9.6.1" sheetId="50" r:id="rId49"/>
    <sheet name="Q9.6" sheetId="51" r:id="rId50"/>
    <sheet name="Q9.7" sheetId="52" r:id="rId51"/>
    <sheet name="Q9.8" sheetId="53" r:id="rId52"/>
    <sheet name="Q9.9" sheetId="54" r:id="rId53"/>
    <sheet name="Q9.10" sheetId="55" r:id="rId54"/>
    <sheet name="Q9.11" sheetId="56" r:id="rId55"/>
    <sheet name="Q9.12" sheetId="57" r:id="rId56"/>
    <sheet name="Q9.13" sheetId="58" r:id="rId57"/>
    <sheet name="Q9.14" sheetId="59" r:id="rId58"/>
    <sheet name="Q9.15" sheetId="60" r:id="rId59"/>
    <sheet name="Q9.16" sheetId="61" r:id="rId60"/>
    <sheet name="Q9.17" sheetId="62" r:id="rId61"/>
    <sheet name="Q9.18" sheetId="63" r:id="rId62"/>
    <sheet name="Q9.19" sheetId="64" r:id="rId63"/>
    <sheet name="Q9.20" sheetId="65" r:id="rId64"/>
    <sheet name="10. Habitação" sheetId="66" r:id="rId65"/>
    <sheet name="Q10.1" sheetId="67" r:id="rId66"/>
    <sheet name="Q10.2" sheetId="68" r:id="rId67"/>
    <sheet name="Q10.3" sheetId="69" r:id="rId68"/>
    <sheet name="Q10.4" sheetId="70" r:id="rId69"/>
    <sheet name="Q10.5" sheetId="71" r:id="rId70"/>
    <sheet name="Q10.6" sheetId="72" r:id="rId71"/>
    <sheet name="Q10.7" sheetId="73" r:id="rId7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" i="72" l="1"/>
  <c r="A2" i="71"/>
  <c r="A2" i="70"/>
  <c r="A2" i="69"/>
  <c r="A2" i="68"/>
  <c r="A2" i="67"/>
  <c r="A2" i="62"/>
  <c r="A2" i="61"/>
  <c r="A2" i="60"/>
  <c r="A2" i="59"/>
  <c r="A2" i="58"/>
  <c r="A2" i="57"/>
  <c r="A2" i="56"/>
  <c r="A2" i="55"/>
  <c r="A2" i="54"/>
  <c r="A2" i="53"/>
  <c r="A3" i="52"/>
  <c r="A2" i="51"/>
  <c r="A2" i="50"/>
  <c r="A2" i="49"/>
  <c r="A3" i="48"/>
  <c r="A2" i="47"/>
  <c r="A3" i="46"/>
  <c r="A2" i="44"/>
  <c r="A2" i="43"/>
  <c r="A2" i="42"/>
  <c r="A2" i="41"/>
  <c r="A2" i="40"/>
  <c r="A2" i="39"/>
  <c r="A2" i="38"/>
  <c r="A2" i="36"/>
  <c r="A3" i="35"/>
  <c r="A2" i="25"/>
  <c r="A2" i="32"/>
  <c r="A2" i="34"/>
  <c r="A2" i="31"/>
  <c r="A2" i="27"/>
  <c r="A2" i="26"/>
  <c r="A2" i="22"/>
  <c r="M42" i="44" l="1"/>
  <c r="M41" i="44"/>
  <c r="M40" i="44"/>
  <c r="M39" i="44"/>
  <c r="M38" i="44"/>
  <c r="M37" i="44"/>
  <c r="M36" i="44"/>
  <c r="M35" i="44"/>
  <c r="M34" i="44"/>
  <c r="M33" i="44"/>
  <c r="M32" i="44"/>
  <c r="M31" i="44"/>
  <c r="M30" i="44"/>
  <c r="M29" i="44"/>
  <c r="M28" i="44"/>
  <c r="M27" i="44"/>
  <c r="M26" i="44"/>
  <c r="M25" i="44"/>
  <c r="M24" i="44"/>
  <c r="M23" i="44"/>
  <c r="M22" i="44"/>
  <c r="M21" i="44"/>
  <c r="M20" i="44"/>
  <c r="M19" i="44"/>
  <c r="M18" i="44"/>
  <c r="M17" i="44"/>
  <c r="M16" i="44"/>
  <c r="M15" i="44"/>
  <c r="M14" i="44"/>
  <c r="M13" i="44"/>
  <c r="M12" i="44"/>
  <c r="M11" i="44"/>
  <c r="M10" i="44"/>
  <c r="M8" i="44"/>
  <c r="M7" i="44"/>
  <c r="M4" i="44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4" i="33"/>
  <c r="Q9" i="48" l="1"/>
  <c r="Q10" i="48"/>
  <c r="Q11" i="48"/>
  <c r="Q12" i="48"/>
  <c r="Q13" i="48"/>
  <c r="Q14" i="48"/>
  <c r="Q15" i="48"/>
  <c r="Q16" i="48"/>
  <c r="Q17" i="48"/>
  <c r="Q18" i="48"/>
  <c r="Q19" i="48"/>
  <c r="Q20" i="48"/>
  <c r="Q21" i="48"/>
  <c r="Q22" i="48"/>
  <c r="Q23" i="48"/>
  <c r="Q24" i="48"/>
  <c r="Q25" i="48"/>
  <c r="Q26" i="48"/>
  <c r="Q27" i="48"/>
  <c r="Q28" i="48"/>
  <c r="Q29" i="48"/>
  <c r="Q30" i="48"/>
  <c r="Q31" i="48"/>
  <c r="Q32" i="48"/>
  <c r="Q33" i="48"/>
  <c r="Q34" i="48"/>
  <c r="Q35" i="48"/>
  <c r="Q36" i="48"/>
  <c r="Q37" i="48"/>
  <c r="Q38" i="48"/>
  <c r="Q39" i="48"/>
  <c r="Q40" i="48"/>
  <c r="Q41" i="48"/>
  <c r="Q42" i="48"/>
  <c r="Q43" i="48"/>
  <c r="Q44" i="48"/>
  <c r="Q6" i="48"/>
  <c r="I6" i="48"/>
  <c r="L14" i="23"/>
  <c r="H14" i="23"/>
  <c r="D14" i="23"/>
  <c r="C14" i="23" s="1"/>
  <c r="L13" i="23"/>
  <c r="H13" i="23"/>
  <c r="D13" i="23"/>
  <c r="C13" i="23" s="1"/>
  <c r="L12" i="23"/>
  <c r="H12" i="23"/>
  <c r="D12" i="23"/>
  <c r="C12" i="23" s="1"/>
  <c r="L11" i="23"/>
  <c r="H11" i="23"/>
  <c r="D11" i="23"/>
  <c r="L10" i="23"/>
  <c r="H10" i="23"/>
  <c r="D10" i="23"/>
  <c r="L9" i="23"/>
  <c r="H9" i="23"/>
  <c r="D9" i="23"/>
  <c r="C9" i="23"/>
  <c r="L8" i="23"/>
  <c r="H8" i="23"/>
  <c r="D8" i="23"/>
  <c r="C8" i="23"/>
  <c r="L7" i="23"/>
  <c r="H7" i="23"/>
  <c r="D7" i="23"/>
  <c r="L6" i="23"/>
  <c r="H6" i="23"/>
  <c r="D6" i="23"/>
  <c r="L5" i="23"/>
  <c r="H5" i="23"/>
  <c r="D5" i="23"/>
  <c r="C5" i="23" s="1"/>
  <c r="C11" i="23" l="1"/>
  <c r="C7" i="21"/>
  <c r="C6" i="21"/>
  <c r="Q40" i="27"/>
  <c r="P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Q37" i="27"/>
  <c r="P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Q35" i="27"/>
  <c r="P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Q33" i="27"/>
  <c r="P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Q30" i="27"/>
  <c r="P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Q27" i="27"/>
  <c r="P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Q25" i="27"/>
  <c r="P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Q23" i="27"/>
  <c r="P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Q20" i="27"/>
  <c r="P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Q18" i="27"/>
  <c r="P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Q16" i="27"/>
  <c r="P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Q13" i="27"/>
  <c r="P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Q10" i="27"/>
  <c r="P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B13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B10" i="26"/>
  <c r="H42" i="51" l="1"/>
  <c r="H41" i="51"/>
  <c r="H40" i="51"/>
  <c r="H39" i="51"/>
  <c r="H38" i="51"/>
  <c r="H37" i="51"/>
  <c r="H36" i="51"/>
  <c r="H35" i="51"/>
  <c r="H34" i="51"/>
  <c r="H33" i="51"/>
  <c r="H32" i="51"/>
  <c r="H31" i="51"/>
  <c r="H30" i="51"/>
  <c r="H29" i="51"/>
  <c r="H28" i="51"/>
  <c r="H27" i="51"/>
  <c r="H26" i="51"/>
  <c r="H25" i="51"/>
  <c r="H24" i="51"/>
  <c r="H23" i="51"/>
  <c r="H22" i="51"/>
  <c r="H21" i="51"/>
  <c r="H20" i="51"/>
  <c r="H19" i="51"/>
  <c r="H18" i="51"/>
  <c r="H17" i="51"/>
  <c r="H16" i="51"/>
  <c r="H15" i="51"/>
  <c r="H14" i="51"/>
  <c r="H13" i="51"/>
  <c r="H12" i="51"/>
  <c r="H11" i="51"/>
  <c r="H10" i="51"/>
  <c r="H9" i="51"/>
  <c r="H8" i="51"/>
  <c r="H7" i="51"/>
  <c r="H4" i="51"/>
  <c r="I44" i="48"/>
  <c r="I43" i="48"/>
  <c r="I42" i="48"/>
  <c r="I41" i="48"/>
  <c r="I40" i="48"/>
  <c r="I39" i="48"/>
  <c r="I38" i="48"/>
  <c r="I37" i="48"/>
  <c r="I36" i="48"/>
  <c r="I35" i="48"/>
  <c r="I34" i="48"/>
  <c r="I33" i="48"/>
  <c r="I32" i="48"/>
  <c r="I31" i="48"/>
  <c r="I30" i="48"/>
  <c r="I29" i="48"/>
  <c r="I28" i="48"/>
  <c r="I27" i="48"/>
  <c r="I26" i="48"/>
  <c r="I25" i="48"/>
  <c r="I24" i="48"/>
  <c r="I23" i="48"/>
  <c r="I22" i="48"/>
  <c r="I21" i="48"/>
  <c r="I20" i="48"/>
  <c r="I19" i="48"/>
  <c r="I18" i="48"/>
  <c r="I17" i="48"/>
  <c r="I16" i="48"/>
  <c r="I15" i="48"/>
  <c r="I14" i="48"/>
  <c r="I13" i="48"/>
  <c r="I12" i="48"/>
  <c r="I11" i="48"/>
  <c r="I10" i="48"/>
  <c r="I9" i="48"/>
  <c r="I8" i="48"/>
</calcChain>
</file>

<file path=xl/sharedStrings.xml><?xml version="1.0" encoding="utf-8"?>
<sst xmlns="http://schemas.openxmlformats.org/spreadsheetml/2006/main" count="2944" uniqueCount="592">
  <si>
    <t>Quadro 1.2 - População por idade simples segundo o sexo, RGPH - 2024</t>
  </si>
  <si>
    <t>Idades Simples</t>
  </si>
  <si>
    <t>Total</t>
  </si>
  <si>
    <t>Homens</t>
  </si>
  <si>
    <t>Mulheres</t>
  </si>
  <si>
    <t>Idade</t>
  </si>
  <si>
    <t>Quadro 1.1- População por área de residencia e município, segundo o sexo, RGPH - 2024</t>
  </si>
  <si>
    <t>Area de residencia</t>
  </si>
  <si>
    <t>Urbana</t>
  </si>
  <si>
    <t>Rural</t>
  </si>
  <si>
    <t>Municipios</t>
  </si>
  <si>
    <t>Ombadja</t>
  </si>
  <si>
    <t>Xangongo</t>
  </si>
  <si>
    <t>Ombala yo Mungu</t>
  </si>
  <si>
    <t>CuanhamCuanhama</t>
  </si>
  <si>
    <t>Ondjiva</t>
  </si>
  <si>
    <t>Môngua</t>
  </si>
  <si>
    <t>Curoca</t>
  </si>
  <si>
    <t>Chitado</t>
  </si>
  <si>
    <t>Cahama</t>
  </si>
  <si>
    <t>Otchinjau</t>
  </si>
  <si>
    <t>Cuvelai</t>
  </si>
  <si>
    <t>Namacunde</t>
  </si>
  <si>
    <t>Nehone</t>
  </si>
  <si>
    <t>Evale</t>
  </si>
  <si>
    <t>Cafima</t>
  </si>
  <si>
    <t>Chissuata</t>
  </si>
  <si>
    <t>Mupa</t>
  </si>
  <si>
    <t>Chiéde</t>
  </si>
  <si>
    <t>Humbe</t>
  </si>
  <si>
    <t>Mucope</t>
  </si>
  <si>
    <t>Naulila</t>
  </si>
  <si>
    <t>Cunene</t>
  </si>
  <si>
    <t>Quadro 10.1 - População recenseada por município e tipo de habitação, segundo grupos étários,2024</t>
  </si>
  <si>
    <t>Província</t>
  </si>
  <si>
    <t>Total da população</t>
  </si>
  <si>
    <t>Grupos etários</t>
  </si>
  <si>
    <t>0-4 anos</t>
  </si>
  <si>
    <t>5-14 anos</t>
  </si>
  <si>
    <t>15-64 anos</t>
  </si>
  <si>
    <t>65 ou mais</t>
  </si>
  <si>
    <t>Aréa de residência</t>
  </si>
  <si>
    <t>Urbano</t>
  </si>
  <si>
    <t>Município/Comuna</t>
  </si>
  <si>
    <t>Cuanhama</t>
  </si>
  <si>
    <t>Quadro 10.2 - Habitações familiares por município e área de residência, segundo o tipo de habitação, 2024</t>
  </si>
  <si>
    <t>Total de Habitaçãoes</t>
  </si>
  <si>
    <t>Habitação Familiar</t>
  </si>
  <si>
    <t>Vivenda</t>
  </si>
  <si>
    <t>Casa convencional</t>
  </si>
  <si>
    <t>Apartamento</t>
  </si>
  <si>
    <t>Cubata</t>
  </si>
  <si>
    <t>Barraca/Casa de chapa</t>
  </si>
  <si>
    <t>Outro</t>
  </si>
  <si>
    <t>Total de  Habitações</t>
  </si>
  <si>
    <t>Estado de ocupação da habitação</t>
  </si>
  <si>
    <t>Residência de uso habitual ocupado</t>
  </si>
  <si>
    <t>Residência de uso  oacasional ocupado</t>
  </si>
  <si>
    <t>Residência fechada</t>
  </si>
  <si>
    <t>Tipo de material usado principamente nas paredes exteriores</t>
  </si>
  <si>
    <t>Pedra</t>
  </si>
  <si>
    <t>Cimento / Bloco</t>
  </si>
  <si>
    <t>Tijolo</t>
  </si>
  <si>
    <t>Adobe</t>
  </si>
  <si>
    <t>Madeira</t>
  </si>
  <si>
    <t>Zinco</t>
  </si>
  <si>
    <t>Pau-a-pique</t>
  </si>
  <si>
    <t>Tipo de material usado principalmente no tecto</t>
  </si>
  <si>
    <t>Placa de betão</t>
  </si>
  <si>
    <t>Telha</t>
  </si>
  <si>
    <t>Lusalite / Fibrocimento</t>
  </si>
  <si>
    <t>Capim</t>
  </si>
  <si>
    <t>Tipo de material usado principalmente no chão</t>
  </si>
  <si>
    <t>Terra batida</t>
  </si>
  <si>
    <t>Cimento</t>
  </si>
  <si>
    <t>Mosaicos de cerâmica</t>
  </si>
  <si>
    <t>Divisões da habitação</t>
  </si>
  <si>
    <t>Quartos só para dormir</t>
  </si>
  <si>
    <t>Média de divisões por habitação</t>
  </si>
  <si>
    <t>Média de pessoas por divisões</t>
  </si>
  <si>
    <t xml:space="preserve">Média de quartos só para dormir por habitação </t>
  </si>
  <si>
    <t>Média de pessoas por quarto só para  dormir</t>
  </si>
  <si>
    <t>Município</t>
  </si>
  <si>
    <t>Quadro 9.1 - Agregados familiares por área de residência, município e comuna, segundo o principal tipo de iluminação, 2024</t>
  </si>
  <si>
    <t>Total de agregados familiares</t>
  </si>
  <si>
    <t>Principal tipo de Iluminação</t>
  </si>
  <si>
    <t>Electricida da rede pública</t>
  </si>
  <si>
    <t>Gerador</t>
  </si>
  <si>
    <t>Painel solar</t>
  </si>
  <si>
    <t>Eólica (vento)</t>
  </si>
  <si>
    <t>Lanterna</t>
  </si>
  <si>
    <t>Candeeiro (gás, petróleo, pilhs etc.)</t>
  </si>
  <si>
    <t>Vela</t>
  </si>
  <si>
    <t>Lenha</t>
  </si>
  <si>
    <t>Nenhum</t>
  </si>
  <si>
    <t>Outra fonte</t>
  </si>
  <si>
    <t>Municipio</t>
  </si>
  <si>
    <t>Quadro 9.2 - Agregados familiares por área de residência, município e comuna, segundo a principal fonte de energia/combustível utilizado para cozinhar</t>
  </si>
  <si>
    <t>Principal fonte de energia/combustível utilizado para cozinhar</t>
  </si>
  <si>
    <t xml:space="preserve"> Não cozinha</t>
  </si>
  <si>
    <t xml:space="preserve"> Electricidade</t>
  </si>
  <si>
    <t xml:space="preserve"> Gás</t>
  </si>
  <si>
    <t xml:space="preserve"> Petróleo</t>
  </si>
  <si>
    <t xml:space="preserve"> Carvão</t>
  </si>
  <si>
    <t xml:space="preserve"> Lenha</t>
  </si>
  <si>
    <t xml:space="preserve"> Carvão/papelão</t>
  </si>
  <si>
    <t>Quadro 9.3 - Agregados familiares por área de residência, município e comuna, segundo o tipo de sanitário (casa de banho, retrete) que o agregado familiar utiliza normalmente dentro ou fora de casa</t>
  </si>
  <si>
    <t>Tipo de sanitario</t>
  </si>
  <si>
    <t>Dentro de Casa</t>
  </si>
  <si>
    <t>Fora de Casa</t>
  </si>
  <si>
    <t xml:space="preserve">  Sanita ligada à rede púlica de esgotos</t>
  </si>
  <si>
    <t xml:space="preserve"> Sanita ligada à fossa séptica</t>
  </si>
  <si>
    <t>Sanita ligada à fossa aberta( vala ou rio)</t>
  </si>
  <si>
    <t xml:space="preserve"> Retrete/ Latrina ligada a rede pública de esgotos</t>
  </si>
  <si>
    <t xml:space="preserve"> Retrete/ Latrina ligada a fossa séptica</t>
  </si>
  <si>
    <t xml:space="preserve">  Retrete/ Latrina ligada a fossa aberta ( vala ou rio)</t>
  </si>
  <si>
    <t>Total de AF com sanitário dentro de casa</t>
  </si>
  <si>
    <t xml:space="preserve">  Sanita ligada à fossa séptica</t>
  </si>
  <si>
    <t xml:space="preserve">  Sanita ligada à fossa aberta( vala ou rio)</t>
  </si>
  <si>
    <t xml:space="preserve">  Retrete/ Latrina ligada a rede pública de esgotos</t>
  </si>
  <si>
    <t xml:space="preserve"> Retrete/ Latrina ligada a fossa aberta ( vala ou rio)</t>
  </si>
  <si>
    <t xml:space="preserve"> Nenhum sanitário / espaço livre / Ar livre</t>
  </si>
  <si>
    <t>Quadro 9.4 -Agregados familiares por área de residência, município e comuna, segundo o modo de tratamento habitual que se da a água para beber, 2024</t>
  </si>
  <si>
    <t>Principal modo de tratamento habitual que se da a água para beber</t>
  </si>
  <si>
    <t xml:space="preserve"> Ferve</t>
  </si>
  <si>
    <t xml:space="preserve"> Desinfeta com lixívia (outro desinfetante)</t>
  </si>
  <si>
    <t xml:space="preserve"> Filtra com pano</t>
  </si>
  <si>
    <t xml:space="preserve"> Filtra com filtro de água</t>
  </si>
  <si>
    <t xml:space="preserve"> Filtra e ferve</t>
  </si>
  <si>
    <t xml:space="preserve"> Aquece ao sol</t>
  </si>
  <si>
    <t xml:space="preserve"> Nenhum tratamento</t>
  </si>
  <si>
    <t>Deixa reposar</t>
  </si>
  <si>
    <t>Outro modo</t>
  </si>
  <si>
    <t>Angola</t>
  </si>
  <si>
    <t>Quadro 9.5 -Agregados familiares por área de residência, município e comuna, segundo a situação de partilha da casa de banho</t>
  </si>
  <si>
    <t>Agregados que partilham a casa de banho</t>
  </si>
  <si>
    <t xml:space="preserve"> Sim </t>
  </si>
  <si>
    <t xml:space="preserve"> Não</t>
  </si>
  <si>
    <t>Área de residencia</t>
  </si>
  <si>
    <t>Quadro 9.6 -Agregados familiares por área de residência, município e comuna, segundo o acesso a água da rede pública, 2024</t>
  </si>
  <si>
    <t>Total de Agregados familiares</t>
  </si>
  <si>
    <t>Acesso a Água da rede pública</t>
  </si>
  <si>
    <t xml:space="preserve"> Sim, dentro da casa</t>
  </si>
  <si>
    <t xml:space="preserve"> Sim, dentro do quintal da casa</t>
  </si>
  <si>
    <t>Não tem acesso</t>
  </si>
  <si>
    <t>Quadro 9.7 - Agregados familiares por área de residência, município e comuna, segundo situação se a água utilizada para beber provém da mesma fonte, 2024</t>
  </si>
  <si>
    <t>Situação se a água utilizada para beber provém da mesma fonte</t>
  </si>
  <si>
    <t xml:space="preserve"> Sim</t>
  </si>
  <si>
    <t>Quadro 9.8 - Agregados familiares por área de residência, município e comuna, segundo a principal fonte utilizada para abastecimento de água, 2024</t>
  </si>
  <si>
    <t>Principal fonte utilizado para abastecimento de água</t>
  </si>
  <si>
    <t xml:space="preserve"> Torneira do Agregado familiar ligada a rede pública</t>
  </si>
  <si>
    <t>Torneira do edifício vizinho ligada a rede pública</t>
  </si>
  <si>
    <t>Camião cisterna / mota de 3 rodas / cupapata</t>
  </si>
  <si>
    <t>Chafariz público</t>
  </si>
  <si>
    <t>Furo com bomba</t>
  </si>
  <si>
    <t>Cacimba / poço protegido</t>
  </si>
  <si>
    <t>Cacimba / poço desprotegido</t>
  </si>
  <si>
    <t>Nascente protegida</t>
  </si>
  <si>
    <t>Nascente desprotegida</t>
  </si>
  <si>
    <t>Água da chuva / chimpacas</t>
  </si>
  <si>
    <t>Charco / rio / Riacho/ Canal</t>
  </si>
  <si>
    <t>Sim</t>
  </si>
  <si>
    <t>Não</t>
  </si>
  <si>
    <t>Não declarado</t>
  </si>
  <si>
    <t xml:space="preserve"> 0 - 14 anos</t>
  </si>
  <si>
    <t xml:space="preserve"> 15-64 anos</t>
  </si>
  <si>
    <t xml:space="preserve"> 65 ou mais anos</t>
  </si>
  <si>
    <t>Área de residência</t>
  </si>
  <si>
    <t xml:space="preserve">Sexo </t>
  </si>
  <si>
    <t xml:space="preserve">Homens </t>
  </si>
  <si>
    <t xml:space="preserve">Quadro 1.7 - Idade média e mediana da população por área de residência e sexo, 2024   
</t>
  </si>
  <si>
    <t>Média</t>
  </si>
  <si>
    <t>Mediana</t>
  </si>
  <si>
    <t>População com 12 ou mais anos</t>
  </si>
  <si>
    <t>Estado Civil</t>
  </si>
  <si>
    <t>Solteiro(a)</t>
  </si>
  <si>
    <t>Casado(a) ou em União de facto</t>
  </si>
  <si>
    <t>Separado(a)</t>
  </si>
  <si>
    <t>Divorciado(a)</t>
  </si>
  <si>
    <t>Viúvo(a)</t>
  </si>
  <si>
    <t>População com registo de nascimento</t>
  </si>
  <si>
    <t>Quadro 3.2 - População  residente com registo de nascimento por  grupos etários segundo sexo, RGPH - 2024</t>
  </si>
  <si>
    <t>Masculino</t>
  </si>
  <si>
    <t>Feminino</t>
  </si>
  <si>
    <t>Grupo Etário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</si>
  <si>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</si>
  <si>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</si>
  <si>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</si>
  <si>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</si>
  <si>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</si>
  <si>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</si>
  <si>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</si>
  <si>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</si>
  <si>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</si>
  <si>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</si>
  <si>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</si>
  <si>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</si>
  <si>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 ou mais anos</t>
  </si>
  <si>
    <t>Quadro 3.3 - População  residente com Bilhete de identidade por área de residência, segundo os grupos etários e sexo, RGPH 2024</t>
  </si>
  <si>
    <t>Quadro 6.1 - População de 2 ou mais anos por  residência, município e comuna,  segundo grupos étinicos tribos, 2024</t>
  </si>
  <si>
    <t>Número de pessoas com 2 ou mais anos</t>
  </si>
  <si>
    <t xml:space="preserve"> Grupo_Étnico da população com 2 ou mais anos</t>
  </si>
  <si>
    <t>Quicongo (Kikongu ou Congolês conguês</t>
  </si>
  <si>
    <t>Quimbundo (Kimbundu ou Tymbundu)</t>
  </si>
  <si>
    <t>Lunda-Quioco (Lunda-kioko ou Lunda-Tchokwe Tshokwe)</t>
  </si>
  <si>
    <t>Umbundo (ou Ovimbundo)</t>
  </si>
  <si>
    <t>Nhaneca-Humbe (Nyaneka-Lumkumbi)</t>
  </si>
  <si>
    <t>Ambó (Vahambo tanbé designado Xikwanyama)</t>
  </si>
  <si>
    <t>Helelo, Herero (Tchielelo, Tjiherero)</t>
  </si>
  <si>
    <t>Cuangar</t>
  </si>
  <si>
    <t>Khoisan</t>
  </si>
  <si>
    <t>Vátua</t>
  </si>
  <si>
    <t>Kwoi</t>
  </si>
  <si>
    <t>Xindonga (Oshindonga)</t>
  </si>
  <si>
    <t>Não sabe</t>
  </si>
  <si>
    <t>Outra Etnia</t>
  </si>
  <si>
    <t>Língua materna agrupada</t>
  </si>
  <si>
    <t>Português</t>
  </si>
  <si>
    <t>Kimbundu</t>
  </si>
  <si>
    <t>Umbundu</t>
  </si>
  <si>
    <t>Cokue (Chokwe/Kioko)</t>
  </si>
  <si>
    <t>Kikongo</t>
  </si>
  <si>
    <t>Olunyaneka (Nhaneka)</t>
  </si>
  <si>
    <t>Nganguela</t>
  </si>
  <si>
    <t>Oxikwanhama (Kwanhama)</t>
  </si>
  <si>
    <t>Ifyoti (Fiote)</t>
  </si>
  <si>
    <t>Muhumbi</t>
  </si>
  <si>
    <t>Luvale</t>
  </si>
  <si>
    <t>Outras línguas</t>
  </si>
  <si>
    <t>Quadro 4.1- Resumo síntese dos indicadores da dificiência</t>
  </si>
  <si>
    <t>Domínio Funcional</t>
  </si>
  <si>
    <t>Grau de dificuldade</t>
  </si>
  <si>
    <t>N</t>
  </si>
  <si>
    <t>%</t>
  </si>
  <si>
    <t>Dificulade em ver, mesmo quando usa os seus óculos/lentes de contacto</t>
  </si>
  <si>
    <t>Não tem dificuldade</t>
  </si>
  <si>
    <t>Tem alguma dificuldade</t>
  </si>
  <si>
    <t>Tem muita dificuldade</t>
  </si>
  <si>
    <t>Não consegue ver de modo algum</t>
  </si>
  <si>
    <t>Total dos 5 ou mais anos</t>
  </si>
  <si>
    <t>Dificuldade em ouvir, mesmo quando usa aparelho(S) auditivo</t>
  </si>
  <si>
    <t>Não consegue ouvir de modo algum</t>
  </si>
  <si>
    <t>Dificuldade em andar ou subir escadas</t>
  </si>
  <si>
    <t>Não consegue andar de modo algum</t>
  </si>
  <si>
    <t>Dificuldade de se comunicar (por exemplo, compreender, interpretar ou ser compreendido pelos outros)</t>
  </si>
  <si>
    <t>Não consegue entender os outros ou fazer-se entender de modo algum</t>
  </si>
  <si>
    <t>Dificuldade em lembrar das coisas ou concentrar-se</t>
  </si>
  <si>
    <t>Não consegue se concentrar ou lembrar de modo algum</t>
  </si>
  <si>
    <t>Dificuldades em usar as mãos e os dedos(por exemplo, apanhar pequenos objectos, como um botão, lápis,  abrir ou fechar recipientes)</t>
  </si>
  <si>
    <t>Não consegue usar os dedos de modo algum</t>
  </si>
  <si>
    <t>Dificuldades em cuidar de si próprio (por exemplo  tomar banho da cabeça aos pés ou vestir-se sozinho)</t>
  </si>
  <si>
    <t>Não consegue cuidar da si de modo algum</t>
  </si>
  <si>
    <t xml:space="preserve">Nota-A : O denominador usado para o cálculo das percentagens é o total da população com 5 ou mais anos, </t>
  </si>
  <si>
    <r>
      <t xml:space="preserve">Nota-B: Inseriu-se a linha do total respodente,visto que para o nosso caso a população será a mesma uma vez que os missings foram recodificados em todas as variáveis para a opção de resposta </t>
    </r>
    <r>
      <rPr>
        <b/>
        <sz val="9"/>
        <color theme="1"/>
        <rFont val="Calibri"/>
        <family val="2"/>
      </rPr>
      <t>não tem dificuldad</t>
    </r>
    <r>
      <rPr>
        <sz val="9"/>
        <color theme="1"/>
        <rFont val="Calibri"/>
        <family val="2"/>
      </rPr>
      <t>e</t>
    </r>
  </si>
  <si>
    <t>Quadro 8.1 - Pessoas que têm albinismo por área de residência e município segundo o sexo</t>
  </si>
  <si>
    <t>Mãe vive noutro agregado</t>
  </si>
  <si>
    <t xml:space="preserve"> Pai vive noutro agregado</t>
  </si>
  <si>
    <t>Ambos vivem noutro agregado</t>
  </si>
  <si>
    <t xml:space="preserve">Urbana </t>
  </si>
  <si>
    <t>Quadro 5.2 - Crianças com 0-17 anos por área de residência, segundo a situação de viver junto com os pais biológicos e taxa de orfandade, RGPH 2024</t>
  </si>
  <si>
    <t>Total de crianças orfãos</t>
  </si>
  <si>
    <t>Crianças orfãos de mãe</t>
  </si>
  <si>
    <t>Crianças orfãos de pai</t>
  </si>
  <si>
    <t>Crianças orfãos  de ambos</t>
  </si>
  <si>
    <t>Taxa de orfandade</t>
  </si>
  <si>
    <t>Grupo etário</t>
  </si>
  <si>
    <t>15-17 anos</t>
  </si>
  <si>
    <t>Quadro 8.1-População com 15 ou mais anos que sabe ler e escrever por área de residência, município e comuna, segundo o sexo</t>
  </si>
  <si>
    <t>Total da população com 15 ou mais anos</t>
  </si>
  <si>
    <t>População com 15 ou mais anos que sabe ler e escrever</t>
  </si>
  <si>
    <t>Taxa de alfabetização</t>
  </si>
  <si>
    <t>Índice de paridade no género</t>
  </si>
  <si>
    <t>Quadro 8.2-População com 15 ou mais anos que sabe ler e escrever por grupo etário e área de residência, segundo o sexo</t>
  </si>
  <si>
    <t>Grupo etário e área de 
residência</t>
  </si>
  <si>
    <t>Grupo etario</t>
  </si>
  <si>
    <t>65-69 anos</t>
  </si>
  <si>
    <t>70-74 anos</t>
  </si>
  <si>
    <t>75-79 anos</t>
  </si>
  <si>
    <t>80-84 anos</t>
  </si>
  <si>
    <t>85-89 anos</t>
  </si>
  <si>
    <t>90-94 anos</t>
  </si>
  <si>
    <t>95 ou mais anos</t>
  </si>
  <si>
    <t>Quadro 8.3-População com 15-24 anos que sabe ler e escrever por área de residência, município e comuna, segundo o sexo</t>
  </si>
  <si>
    <t>Quadro 8.4 - População com 5 ou mais anos por área de residência, município e comuna, segundo a  situação de frequência escolar</t>
  </si>
  <si>
    <t>Freqência escolar</t>
  </si>
  <si>
    <t xml:space="preserve"> População com 5 ou mais anos</t>
  </si>
  <si>
    <t>A frequentar</t>
  </si>
  <si>
    <t>Alguma vez frequentou</t>
  </si>
  <si>
    <t>Nunca frequentou</t>
  </si>
  <si>
    <t>Quadro 8.5 - População com 5-11 anos fora do sistema de ensino por área de residência, município e comuna, segundo o sexo</t>
  </si>
  <si>
    <t>População com 5-11 anos fora do sistema de ensino</t>
  </si>
  <si>
    <t>Quadro 8.6-População com 12-14 anos fora do sistema de ensino por área de residência, município e comuna, segundo o sexo</t>
  </si>
  <si>
    <t xml:space="preserve"> População com 12-14 anos</t>
  </si>
  <si>
    <t xml:space="preserve"> População com 12-14 anos fora do sistema do ensino</t>
  </si>
  <si>
    <t>Quadro 8.7 - População com 15-18 anos fora do sistema de ensino por área de residência, município e comuna, segundo o sexo</t>
  </si>
  <si>
    <t xml:space="preserve"> População com 15-18 anos</t>
  </si>
  <si>
    <t xml:space="preserve"> População com 15-18 anos fora do sistema do ensino</t>
  </si>
  <si>
    <t>Quadro 8.8- População com 5 ou mais anos por área de residência e grupos etários, segundo a situação de frequência escolar e sexo</t>
  </si>
  <si>
    <t>Grupos etarios</t>
  </si>
  <si>
    <t>Quadro 8.9 - População com 5-18 anos fora do sistema de ensino por área de residência , segundo o sexo</t>
  </si>
  <si>
    <t xml:space="preserve">População com 5-18 anos </t>
  </si>
  <si>
    <t>População com 5-18 anos fora do sistema de ensino</t>
  </si>
  <si>
    <t>Quadro 8.10 - População com 5-18 anos  por área de residência, município e comuna, segundo a situação de frequência escolar no ensino primário</t>
  </si>
  <si>
    <t>População com 5 ou mais anos</t>
  </si>
  <si>
    <t>Quadro 8.11 - População com 5-11 anos  por área de residência, município e comuna, segundo a situação de frequência escolar no ensino primário</t>
  </si>
  <si>
    <t xml:space="preserve"> População com 5-11 anos</t>
  </si>
  <si>
    <t xml:space="preserve"> População com 5 ou mais anos a frequentar a escola</t>
  </si>
  <si>
    <t>Nível de ensino a frequentar</t>
  </si>
  <si>
    <t>Iniciação ou alfabetização</t>
  </si>
  <si>
    <t>Ensino Primário</t>
  </si>
  <si>
    <t>I Ciclo do ensino secundário</t>
  </si>
  <si>
    <t>II Ciclo do ensino secundário</t>
  </si>
  <si>
    <t>Ensino Superior</t>
  </si>
  <si>
    <t>Quadro 8.13 - População com 12-14 anos  por área de residência, município e comuna, segundo a situação de frequência escolar no ensino primário</t>
  </si>
  <si>
    <t>Quadro 8.14- População com 18 ou mais anos por área de residência, município e comuna, segundo o nível  de ensino concluído</t>
  </si>
  <si>
    <t>População com 18 ou mais anos</t>
  </si>
  <si>
    <t>População com 18 ou mais anos que frequenta ou alguma vez frequentou a escola</t>
  </si>
  <si>
    <t>Nível de ensino concluído</t>
  </si>
  <si>
    <t>Ensino primário</t>
  </si>
  <si>
    <t>Ensino superior</t>
  </si>
  <si>
    <t>Nenhum nível</t>
  </si>
  <si>
    <t>Quadro 8.15-Taxa líquida de frequência do ensino primário e secundário por área de residência, município e comuna, segundo o sexo</t>
  </si>
  <si>
    <t>População com 6-11 anos</t>
  </si>
  <si>
    <t>Frequência líquida no ensino primário</t>
  </si>
  <si>
    <t>Taxa líquida de frequência no ensino primário</t>
  </si>
  <si>
    <t>População com 12-18 anos</t>
  </si>
  <si>
    <t>Frequência líquida no ensino secundário</t>
  </si>
  <si>
    <t>Taxa líquida de frêquencia no ensino secundário</t>
  </si>
  <si>
    <t>Católica</t>
  </si>
  <si>
    <t>Bom Deus</t>
  </si>
  <si>
    <t>Islâmica/ Muçulmana</t>
  </si>
  <si>
    <t>Animista</t>
  </si>
  <si>
    <t>Judaica</t>
  </si>
  <si>
    <t>Protestante</t>
  </si>
  <si>
    <t>Universal do reino de Deus</t>
  </si>
  <si>
    <t>Nova apostólica</t>
  </si>
  <si>
    <t>Tocoísta</t>
  </si>
  <si>
    <t>Kimbanguista</t>
  </si>
  <si>
    <t>Josafat</t>
  </si>
  <si>
    <t>Assembleia de Deus Pentecostal</t>
  </si>
  <si>
    <t>Testemunha de Jeová</t>
  </si>
  <si>
    <t>Metodista</t>
  </si>
  <si>
    <t>Evangélica</t>
  </si>
  <si>
    <t>Adventista</t>
  </si>
  <si>
    <t>Baptista</t>
  </si>
  <si>
    <t>Mensagem dos últimos Tempos</t>
  </si>
  <si>
    <t>Sem religião</t>
  </si>
  <si>
    <t>Outra religião</t>
  </si>
  <si>
    <t>Não sabe/ Não respondeu</t>
  </si>
  <si>
    <t>Quadro 1.3 - População por grupos etários quinquenais, 2024</t>
  </si>
  <si>
    <t xml:space="preserve"> Grupos etários</t>
  </si>
  <si>
    <t>0-19 anos</t>
  </si>
  <si>
    <t>20-29 anos</t>
  </si>
  <si>
    <t>30-54 anos</t>
  </si>
  <si>
    <t>55-64 anos</t>
  </si>
  <si>
    <t>65-74 anos</t>
  </si>
  <si>
    <t>75 ou mais anos</t>
  </si>
  <si>
    <t>0 - 14 anos</t>
  </si>
  <si>
    <t>15 - 64 anos</t>
  </si>
  <si>
    <t>Municipios / Comuna</t>
  </si>
  <si>
    <t>Municípios / Comunas</t>
  </si>
  <si>
    <t>Municipios / Comunas</t>
  </si>
  <si>
    <t>Áreas de residência</t>
  </si>
  <si>
    <t>Area de residência</t>
  </si>
  <si>
    <t xml:space="preserve">Área de residência </t>
  </si>
  <si>
    <t>Município / Comunas</t>
  </si>
  <si>
    <t>Área de resdência</t>
  </si>
  <si>
    <t>Municipio / Comunas</t>
  </si>
  <si>
    <t>MunicÍpios / Comunas</t>
  </si>
  <si>
    <t>Granito</t>
  </si>
  <si>
    <t>Mármore</t>
  </si>
  <si>
    <t>Tacos de madeira</t>
  </si>
  <si>
    <t>Tamanho do agregado</t>
  </si>
  <si>
    <t>Média de pessoas por agregado</t>
  </si>
  <si>
    <t>1 pessoa</t>
  </si>
  <si>
    <t>2 pessoas</t>
  </si>
  <si>
    <t>3 pessoas</t>
  </si>
  <si>
    <t>4 pessoas</t>
  </si>
  <si>
    <t>5 pessoas</t>
  </si>
  <si>
    <t>6 pessoas</t>
  </si>
  <si>
    <t>7 ou mais pessoas</t>
  </si>
  <si>
    <t>Quadro 9.19- Agregados familiares por grupo étário, segundo o sexo do chefe, 2024</t>
  </si>
  <si>
    <t>Nº</t>
  </si>
  <si>
    <t>Menor de 24 anos</t>
  </si>
  <si>
    <t>25-34 anos</t>
  </si>
  <si>
    <t>35-44 anos</t>
  </si>
  <si>
    <t>45-54 anos</t>
  </si>
  <si>
    <t>Tipo de núcleo</t>
  </si>
  <si>
    <t xml:space="preserve"> Só 1 pessoa</t>
  </si>
  <si>
    <t>Casal sem filhos, sem outras pessoas</t>
  </si>
  <si>
    <t>Casal sem filhos, com outras pessoas</t>
  </si>
  <si>
    <t>Casal com filhos, sem outras pessoas</t>
  </si>
  <si>
    <t>Casal com filhos, com outras pessoas</t>
  </si>
  <si>
    <t>Pai ou mãe com filhos, sem outras pessoas</t>
  </si>
  <si>
    <t>Pai ou mãe com filhos, com outras pessoas</t>
  </si>
  <si>
    <t>Outros</t>
  </si>
  <si>
    <t>Quadro 9.17 - Agregados familiares por área de residência, município e comuna, segundo o sexo do chefe, 2024</t>
  </si>
  <si>
    <t xml:space="preserve"> Sexo do Chefe</t>
  </si>
  <si>
    <t>Quadro 9.16 - Agregados familiares por área de residência, município e comuna, segundo a entidade que prestou o apoio social, 2024</t>
  </si>
  <si>
    <t>Total de Agregados familiares que receberam algum apoio</t>
  </si>
  <si>
    <t>Entidade que prestou apoio social</t>
  </si>
  <si>
    <t>Projecto Kwenda</t>
  </si>
  <si>
    <t>ONG´s</t>
  </si>
  <si>
    <t>Doações de diversas entidades ( igreja, grupos sociais, administrações, empresas públicas/ privadas, etc.)</t>
  </si>
  <si>
    <t>Quadro 9.15 - Agregados familiares por área de residência, município e comuna, segundo a situação se recebe algum tipo de apoio social</t>
  </si>
  <si>
    <t>Situação se o agregado recebe algum tipo de apoio social</t>
  </si>
  <si>
    <t>Recebe</t>
  </si>
  <si>
    <t>Não recebe</t>
  </si>
  <si>
    <t>Quadro 9.14 - Agregados familiares por área de residência, município e comuna, segundo a posse de bens que funcionam em casa</t>
  </si>
  <si>
    <t xml:space="preserve"> Rádio</t>
  </si>
  <si>
    <t xml:space="preserve"> Televisão</t>
  </si>
  <si>
    <t xml:space="preserve"> Telefone Fixo</t>
  </si>
  <si>
    <t xml:space="preserve"> Tablet</t>
  </si>
  <si>
    <t>Computador</t>
  </si>
  <si>
    <t>Serviços de internet</t>
  </si>
  <si>
    <t xml:space="preserve"> Carro/Carrinha/Camião</t>
  </si>
  <si>
    <t>Motorizada</t>
  </si>
  <si>
    <t>Bicicleta</t>
  </si>
  <si>
    <t>Geleira/Arca</t>
  </si>
  <si>
    <t>Quadro 9.13 - Agregados familiares por área de residência, município e comuna, segundo o tipo de actividade piscatória praticada</t>
  </si>
  <si>
    <t>Aquicultura</t>
  </si>
  <si>
    <t>Quadro 9.12 - Agregados familiares criadores de animais  por área de residência, município e comuna, segundo o tipo de animais criados nos últimos 12 meses</t>
  </si>
  <si>
    <t xml:space="preserve"> Bois/Vacas</t>
  </si>
  <si>
    <t>Cabrito/cabra</t>
  </si>
  <si>
    <t>Porco/leitão</t>
  </si>
  <si>
    <t>Carneiro/ovelha</t>
  </si>
  <si>
    <t>Equino/cavalo</t>
  </si>
  <si>
    <t>Quadro 9.11 - Agregados familiares por área de residência, município e comuna, segundo a situação de criação de animais por algum membro nos últimos 12 meses, 2024</t>
  </si>
  <si>
    <t>Situação de criação de animais por conta própria</t>
  </si>
  <si>
    <t>Município e área de residência</t>
  </si>
  <si>
    <t>Quadro 9.10 - Agregados familiares por área de residência, município e comuna, segundo o regime de ocupação da lavra/exploração (parcela), 2024</t>
  </si>
  <si>
    <t>Total de agregados familiares que praticam actividade agrícola</t>
  </si>
  <si>
    <t>Regime de ocupação da lavra/parcela</t>
  </si>
  <si>
    <t>Cedida, autoridade tradicional</t>
  </si>
  <si>
    <t>Cedida, governo</t>
  </si>
  <si>
    <t>Cedida por Terceiros (familiares, amigos, compadre, vizinhos, igreja, etc.)</t>
  </si>
  <si>
    <t>Arrendada / Alugada</t>
  </si>
  <si>
    <t>Ocupada de facto</t>
  </si>
  <si>
    <t>Comprada</t>
  </si>
  <si>
    <t>Herdada</t>
  </si>
  <si>
    <t>Emprestada</t>
  </si>
  <si>
    <t>Outro regime</t>
  </si>
  <si>
    <t>0 ano</t>
  </si>
  <si>
    <t xml:space="preserve">1 ano </t>
  </si>
  <si>
    <t xml:space="preserve">2 anos </t>
  </si>
  <si>
    <t xml:space="preserve">3 anos </t>
  </si>
  <si>
    <t xml:space="preserve">4 anos </t>
  </si>
  <si>
    <t xml:space="preserve">5 anos </t>
  </si>
  <si>
    <t xml:space="preserve">6 anos </t>
  </si>
  <si>
    <t xml:space="preserve">7 anos </t>
  </si>
  <si>
    <t xml:space="preserve">8 anos </t>
  </si>
  <si>
    <t xml:space="preserve">9 anos </t>
  </si>
  <si>
    <t xml:space="preserve">10 anos </t>
  </si>
  <si>
    <t xml:space="preserve">11 anos </t>
  </si>
  <si>
    <t xml:space="preserve">12 anos </t>
  </si>
  <si>
    <t xml:space="preserve">13 anos </t>
  </si>
  <si>
    <t xml:space="preserve">14 anos </t>
  </si>
  <si>
    <t xml:space="preserve">15 anos </t>
  </si>
  <si>
    <t xml:space="preserve">16 anos </t>
  </si>
  <si>
    <t xml:space="preserve">17 anos </t>
  </si>
  <si>
    <t xml:space="preserve">18 anos </t>
  </si>
  <si>
    <t xml:space="preserve">19 anos </t>
  </si>
  <si>
    <t xml:space="preserve">20 anos </t>
  </si>
  <si>
    <t xml:space="preserve">21 anos </t>
  </si>
  <si>
    <t xml:space="preserve">22 anos </t>
  </si>
  <si>
    <t xml:space="preserve">23 anos </t>
  </si>
  <si>
    <t xml:space="preserve">24 anos </t>
  </si>
  <si>
    <t xml:space="preserve">25 anos </t>
  </si>
  <si>
    <t xml:space="preserve">26 anos </t>
  </si>
  <si>
    <t xml:space="preserve">27 anos </t>
  </si>
  <si>
    <t xml:space="preserve">28 anos </t>
  </si>
  <si>
    <t xml:space="preserve">29 anos </t>
  </si>
  <si>
    <t xml:space="preserve">30 anos </t>
  </si>
  <si>
    <t xml:space="preserve">31 anos </t>
  </si>
  <si>
    <t xml:space="preserve">32 anos  </t>
  </si>
  <si>
    <t xml:space="preserve">33 anos </t>
  </si>
  <si>
    <t xml:space="preserve">34 anos </t>
  </si>
  <si>
    <t xml:space="preserve">35 anos </t>
  </si>
  <si>
    <t xml:space="preserve">36 anos </t>
  </si>
  <si>
    <t xml:space="preserve">37 anos </t>
  </si>
  <si>
    <t xml:space="preserve">38 anos </t>
  </si>
  <si>
    <t xml:space="preserve">39 anos </t>
  </si>
  <si>
    <t xml:space="preserve">40 anos </t>
  </si>
  <si>
    <t xml:space="preserve">41 anos </t>
  </si>
  <si>
    <t xml:space="preserve">42 anos </t>
  </si>
  <si>
    <t xml:space="preserve">43 anos </t>
  </si>
  <si>
    <t xml:space="preserve">44 anos </t>
  </si>
  <si>
    <t xml:space="preserve">45 anos </t>
  </si>
  <si>
    <t xml:space="preserve">46 anos </t>
  </si>
  <si>
    <t xml:space="preserve">47 anos </t>
  </si>
  <si>
    <t xml:space="preserve">48 anos </t>
  </si>
  <si>
    <t xml:space="preserve">49 anos </t>
  </si>
  <si>
    <t xml:space="preserve">50 anos </t>
  </si>
  <si>
    <t xml:space="preserve">51 anos </t>
  </si>
  <si>
    <t xml:space="preserve">52 anos </t>
  </si>
  <si>
    <t xml:space="preserve">53 anos </t>
  </si>
  <si>
    <t xml:space="preserve">54 anos </t>
  </si>
  <si>
    <t xml:space="preserve">55 anos </t>
  </si>
  <si>
    <t xml:space="preserve">56 anos </t>
  </si>
  <si>
    <t xml:space="preserve">57 anos </t>
  </si>
  <si>
    <t xml:space="preserve">58 anos </t>
  </si>
  <si>
    <t xml:space="preserve">59 anos </t>
  </si>
  <si>
    <t xml:space="preserve">60 anos </t>
  </si>
  <si>
    <t xml:space="preserve">61 anos </t>
  </si>
  <si>
    <t xml:space="preserve">62 anos </t>
  </si>
  <si>
    <t xml:space="preserve">63 anos </t>
  </si>
  <si>
    <t xml:space="preserve">64 anos </t>
  </si>
  <si>
    <t xml:space="preserve">65 anos </t>
  </si>
  <si>
    <t xml:space="preserve">66 anos </t>
  </si>
  <si>
    <t xml:space="preserve">67 anos </t>
  </si>
  <si>
    <t xml:space="preserve">68 anos </t>
  </si>
  <si>
    <t xml:space="preserve">69 anos </t>
  </si>
  <si>
    <t xml:space="preserve">70 anos </t>
  </si>
  <si>
    <t xml:space="preserve">71 anos </t>
  </si>
  <si>
    <t xml:space="preserve">72 anos </t>
  </si>
  <si>
    <t xml:space="preserve">73 anos </t>
  </si>
  <si>
    <t xml:space="preserve">74 anos </t>
  </si>
  <si>
    <t xml:space="preserve">75 anos </t>
  </si>
  <si>
    <t xml:space="preserve">76 anos </t>
  </si>
  <si>
    <t xml:space="preserve">77 anos </t>
  </si>
  <si>
    <t xml:space="preserve">78 anos </t>
  </si>
  <si>
    <t xml:space="preserve">79 anos </t>
  </si>
  <si>
    <t xml:space="preserve">80 anos </t>
  </si>
  <si>
    <t xml:space="preserve">81 anos </t>
  </si>
  <si>
    <t xml:space="preserve">82 anos </t>
  </si>
  <si>
    <t xml:space="preserve">83 anos </t>
  </si>
  <si>
    <t xml:space="preserve">84 anos </t>
  </si>
  <si>
    <t xml:space="preserve">85 anos </t>
  </si>
  <si>
    <t xml:space="preserve">86 anos </t>
  </si>
  <si>
    <t xml:space="preserve">87 anos </t>
  </si>
  <si>
    <t xml:space="preserve">88 anos </t>
  </si>
  <si>
    <t xml:space="preserve">89 anos </t>
  </si>
  <si>
    <t xml:space="preserve">90 anos </t>
  </si>
  <si>
    <t xml:space="preserve">91 anos </t>
  </si>
  <si>
    <t xml:space="preserve">92 anos </t>
  </si>
  <si>
    <t xml:space="preserve">93 anos </t>
  </si>
  <si>
    <t xml:space="preserve">94 anos </t>
  </si>
  <si>
    <t xml:space="preserve">95 ou mais </t>
  </si>
  <si>
    <t xml:space="preserve">Total da população </t>
  </si>
  <si>
    <t>População com Bilhete de Identidade</t>
  </si>
  <si>
    <t>População com  5 ou mais anos</t>
  </si>
  <si>
    <t xml:space="preserve">  </t>
  </si>
  <si>
    <t>População com bilhete de identidade</t>
  </si>
  <si>
    <t>Quadro 4.2 - População com  albinismo por área de residência, municipio e comuna, segundo grupo etário</t>
  </si>
  <si>
    <t>Total da população com albinismo</t>
  </si>
  <si>
    <t xml:space="preserve">População  com 0 -17 anos </t>
  </si>
  <si>
    <t>Popualação com 0 - 17 anos que não vivem com pelo menos um dos pais</t>
  </si>
  <si>
    <t>População com 0 - 17 anos</t>
  </si>
  <si>
    <t>População com 2 ou mais anos</t>
  </si>
  <si>
    <t>Total da população com 15-24 anos</t>
  </si>
  <si>
    <t>População ccom 15-24 anos que sabe ler e escrever</t>
  </si>
  <si>
    <t xml:space="preserve">População com 5-11 anos  </t>
  </si>
  <si>
    <t>Quadro 8.12- População com 5 ou mais anos por província e área de residência, segundo o nivél de ensino a frequentar, 2024</t>
  </si>
  <si>
    <t xml:space="preserve"> Outro </t>
  </si>
  <si>
    <t>Total de agregados familiares com acesso a água da rede pública</t>
  </si>
  <si>
    <t>Tipo de animais</t>
  </si>
  <si>
    <t>Agregados familiares que praticaram actividade pecuária nos últimos 12 meses</t>
  </si>
  <si>
    <t>Agregados familiares que praticaram actividade piscatória nos últimos 12 meses</t>
  </si>
  <si>
    <t>Tipo de actividade piscatória</t>
  </si>
  <si>
    <t>Pesca continental/Fluvial</t>
  </si>
  <si>
    <t>Bens que funcionam</t>
  </si>
  <si>
    <t>Total de habitações familiares</t>
  </si>
  <si>
    <t>Pesca marítima artesanal/Aquicultura marítima</t>
  </si>
  <si>
    <t>Línguas estrangeiras</t>
  </si>
  <si>
    <t>Quadro 9.9 - Agregados familiares por área de residência, município e comuna, segundo a posse de parcela/lavra ou a prática da actividade agrícola,  2024</t>
  </si>
  <si>
    <t>Quadro 5.1 - Crianças com 0-17 anos que não vivem com os pais por município, comuna e área de residência, 2024</t>
  </si>
  <si>
    <t xml:space="preserve">Quadro 2.2 - População com 12 ou mais por estado civil segundo o sexo, 2024 </t>
  </si>
  <si>
    <t>Quadro 1.6 - População por município, comuna e área de residência, 2024</t>
  </si>
  <si>
    <t>Quadro 1.5 - População por município e comuna, segundo outros grupos etários, 2024</t>
  </si>
  <si>
    <t>Quadro 1.4 - População por município, comuna e área de residência, 2024</t>
  </si>
  <si>
    <t>Quadro 3.1 - População  residente com registo de nascimento por município e  área de residência,  segundo sexo, RGPH 2024</t>
  </si>
  <si>
    <t>Quadro 3.4 - População com 5 anos ou mais, residente com Bilhete de identidade por município, área de residencia segundo  sexo, RGPH 2024</t>
  </si>
  <si>
    <t>Quadro 7.1 - População com 2 ou mais anos por município, comuna e área de residência,  segundo a  religião ou espiritualidade, 2024</t>
  </si>
  <si>
    <t>Quadro 6.2 - População por município, comuna e área de residência, segundo a língua materna, 2024</t>
  </si>
  <si>
    <t>Quadro 9.18 - Agregados familiares por  município, comuna e área de residência, segundo o tipo  de núcleo, 2024</t>
  </si>
  <si>
    <t>Quadro 9.20 - Agregados familiares por município, comuna e área de residência, segundo o tamanho e média de pessoas por agregado, 2024</t>
  </si>
  <si>
    <t>Quadro 10.3 - Habitações familiares por município, comuna e área de residência, segundo o estado de ocupação da habitação, 2024</t>
  </si>
  <si>
    <t>Quadro 10.4 - Habitações familiares por município, comuna e área de residência, segundo o tipo de material usado principalmente nas paredes exteriores, 2024</t>
  </si>
  <si>
    <t>Quadro 10.5 - Habitações familiares por município, comuna e área de residência, segundo o tipo de material usado principamente no tecto, 2024</t>
  </si>
  <si>
    <t>Quadro10.6 - Habitações familiares por município, comuna e área de residência, segundo o tipo de material usado principamente no chão, 2024</t>
  </si>
  <si>
    <t>Quadro 10.7 - Habitações familiares por município, comuna e área de residência, segundo a média de divisões da habitação e a média de quartos para dormir, 2024</t>
  </si>
  <si>
    <t>Situação de posse de parcela/lavra ou prática de actividade agrícola</t>
  </si>
  <si>
    <t>Município/comuna</t>
  </si>
  <si>
    <t>Área de residêNcia</t>
  </si>
  <si>
    <t>Municipio/COMUNA</t>
  </si>
  <si>
    <t>Área de residência, município e comuna</t>
  </si>
  <si>
    <t>Área de residência,município e comuna</t>
  </si>
  <si>
    <t>Área de residência e grupos quinquenais</t>
  </si>
  <si>
    <t>Área de residência e grupo etário</t>
  </si>
  <si>
    <t xml:space="preserve">Área de residência e grupo etário </t>
  </si>
  <si>
    <t xml:space="preserve">Área de residência e município </t>
  </si>
  <si>
    <t>Área de Residência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</si>
</sst>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\ _K_z_-;\-* #,##0.00\ _K_z_-;_-* &quot;-&quot;??\ _K_z_-;_-@_-"/>
    <numFmt numFmtId="165" formatCode="#,###,###"/>
    <numFmt numFmtId="166" formatCode="###0"/>
    <numFmt numFmtId="167" formatCode="##,###,###"/>
    <numFmt numFmtId="168" formatCode="#,##0.0"/>
    <numFmt numFmtId="169" formatCode="_-* #,##0_-;\-* #,##0_-;_-* &quot;-&quot;??_-;_-@_-"/>
    <numFmt numFmtId="170" formatCode="###\ ###\ ###"/>
    <numFmt numFmtId="171" formatCode="###0.00"/>
    <numFmt numFmtId="172" formatCode="0.0"/>
    <numFmt numFmtId="173" formatCode="###0.0"/>
    <numFmt numFmtId="174" formatCode="_-* #,##0\ _K_z_-;\-* #,##0\ _K_z_-;_-* &quot;-&quot;??\ _K_z_-;_-@_-"/>
    <numFmt numFmtId="175" formatCode="_-* #,##0.0_-;\-* #,##0.0_-;_-* &quot;-&quot;??_-;_-@_-"/>
    <numFmt numFmtId="176" formatCode="###\.\ ###"/>
    <numFmt numFmtId="177" formatCode="_-* #,##0.0\ _K_z_-;\-* #,##0.0\ _K_z_-;_-* &quot;-&quot;??\ _K_z_-;_-@_-"/>
    <numFmt numFmtId="178" formatCode="#,###,###.0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indexed="8"/>
      <name val="MS Sans Serif"/>
      <family val="2"/>
    </font>
    <font>
      <sz val="6"/>
      <name val="Arial"/>
      <family val="2"/>
    </font>
    <font>
      <b/>
      <sz val="11"/>
      <color theme="1"/>
      <name val="Calibri"/>
      <family val="2"/>
      <scheme val="minor"/>
    </font>
    <font>
      <sz val="9"/>
      <color rgb="FFFF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charset val="1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BD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56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0" fontId="5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</cellStyleXfs>
  <cellXfs count="1002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4" borderId="0" xfId="2" applyFont="1" applyFill="1" applyBorder="1" applyAlignment="1">
      <alignment horizontal="left" vertical="top" wrapText="1"/>
    </xf>
    <xf numFmtId="0" fontId="7" fillId="3" borderId="1" xfId="3" applyFont="1" applyFill="1" applyBorder="1" applyAlignment="1">
      <alignment horizontal="center" wrapText="1"/>
    </xf>
    <xf numFmtId="0" fontId="6" fillId="4" borderId="0" xfId="3" applyFont="1" applyFill="1" applyBorder="1" applyAlignment="1">
      <alignment vertical="top" wrapText="1"/>
    </xf>
    <xf numFmtId="0" fontId="6" fillId="3" borderId="0" xfId="3" applyFont="1" applyFill="1" applyBorder="1" applyAlignment="1">
      <alignment vertical="center"/>
    </xf>
    <xf numFmtId="0" fontId="8" fillId="5" borderId="0" xfId="4" applyFont="1" applyFill="1" applyAlignment="1">
      <alignment vertical="top" wrapText="1"/>
    </xf>
    <xf numFmtId="0" fontId="6" fillId="3" borderId="0" xfId="6" applyFont="1" applyFill="1" applyAlignment="1">
      <alignment vertical="top" wrapText="1"/>
    </xf>
    <xf numFmtId="167" fontId="7" fillId="3" borderId="0" xfId="5" applyNumberFormat="1" applyFont="1" applyFill="1" applyAlignment="1">
      <alignment horizontal="right" vertical="center"/>
    </xf>
    <xf numFmtId="0" fontId="8" fillId="5" borderId="0" xfId="4" applyFont="1" applyFill="1" applyAlignment="1">
      <alignment horizontal="left" vertical="top" wrapText="1"/>
    </xf>
    <xf numFmtId="167" fontId="7" fillId="5" borderId="0" xfId="5" applyNumberFormat="1" applyFont="1" applyFill="1" applyAlignment="1">
      <alignment horizontal="right" vertical="center"/>
    </xf>
    <xf numFmtId="0" fontId="8" fillId="3" borderId="0" xfId="4" applyFont="1" applyFill="1" applyAlignment="1">
      <alignment horizontal="left" vertical="top" wrapText="1" indent="1"/>
    </xf>
    <xf numFmtId="0" fontId="10" fillId="5" borderId="0" xfId="4" applyFont="1" applyFill="1" applyAlignment="1">
      <alignment horizontal="left" vertical="top" wrapText="1"/>
    </xf>
    <xf numFmtId="0" fontId="10" fillId="3" borderId="0" xfId="4" applyFont="1" applyFill="1" applyAlignment="1">
      <alignment horizontal="left" vertical="top" wrapText="1"/>
    </xf>
    <xf numFmtId="0" fontId="10" fillId="3" borderId="0" xfId="8" applyFont="1" applyFill="1" applyAlignment="1">
      <alignment horizontal="left" vertical="center" wrapText="1"/>
    </xf>
    <xf numFmtId="0" fontId="10" fillId="3" borderId="0" xfId="7" applyFont="1" applyFill="1" applyAlignment="1">
      <alignment horizontal="left" vertical="center" wrapText="1"/>
    </xf>
    <xf numFmtId="0" fontId="9" fillId="3" borderId="1" xfId="4" applyFont="1" applyFill="1" applyBorder="1" applyAlignment="1">
      <alignment horizontal="right" vertical="center" wrapText="1"/>
    </xf>
    <xf numFmtId="3" fontId="8" fillId="5" borderId="0" xfId="4" applyNumberFormat="1" applyFont="1" applyFill="1" applyAlignment="1">
      <alignment horizontal="right" vertical="top" wrapText="1"/>
    </xf>
    <xf numFmtId="3" fontId="10" fillId="5" borderId="0" xfId="0" applyNumberFormat="1" applyFont="1" applyFill="1" applyAlignment="1">
      <alignment horizontal="right"/>
    </xf>
    <xf numFmtId="3" fontId="10" fillId="3" borderId="0" xfId="4" applyNumberFormat="1" applyFont="1" applyFill="1" applyAlignment="1">
      <alignment horizontal="right" vertical="top" wrapText="1"/>
    </xf>
    <xf numFmtId="3" fontId="11" fillId="3" borderId="0" xfId="0" applyNumberFormat="1" applyFont="1" applyFill="1" applyAlignment="1">
      <alignment horizontal="right"/>
    </xf>
    <xf numFmtId="3" fontId="11" fillId="5" borderId="0" xfId="4" applyNumberFormat="1" applyFont="1" applyFill="1" applyAlignment="1">
      <alignment horizontal="right" vertical="top" wrapText="1"/>
    </xf>
    <xf numFmtId="3" fontId="11" fillId="5" borderId="0" xfId="0" applyNumberFormat="1" applyFont="1" applyFill="1" applyAlignment="1">
      <alignment horizontal="right"/>
    </xf>
    <xf numFmtId="3" fontId="11" fillId="3" borderId="0" xfId="4" applyNumberFormat="1" applyFont="1" applyFill="1" applyAlignment="1">
      <alignment horizontal="right" vertical="top" wrapText="1"/>
    </xf>
    <xf numFmtId="3" fontId="10" fillId="3" borderId="0" xfId="0" applyNumberFormat="1" applyFont="1" applyFill="1" applyAlignment="1">
      <alignment horizontal="right"/>
    </xf>
    <xf numFmtId="3" fontId="11" fillId="3" borderId="0" xfId="7" applyNumberFormat="1" applyFont="1" applyFill="1" applyAlignment="1">
      <alignment horizontal="right" vertical="center" wrapText="1"/>
    </xf>
    <xf numFmtId="3" fontId="10" fillId="3" borderId="0" xfId="8" applyNumberFormat="1" applyFont="1" applyFill="1" applyAlignment="1">
      <alignment horizontal="right" vertical="center" wrapText="1"/>
    </xf>
    <xf numFmtId="3" fontId="10" fillId="3" borderId="0" xfId="7" applyNumberFormat="1" applyFont="1" applyFill="1" applyAlignment="1">
      <alignment horizontal="right" vertical="center" wrapText="1"/>
    </xf>
    <xf numFmtId="3" fontId="11" fillId="3" borderId="4" xfId="4" applyNumberFormat="1" applyFont="1" applyFill="1" applyBorder="1" applyAlignment="1">
      <alignment horizontal="right" wrapText="1"/>
    </xf>
    <xf numFmtId="3" fontId="11" fillId="3" borderId="4" xfId="0" applyNumberFormat="1" applyFont="1" applyFill="1" applyBorder="1" applyAlignment="1">
      <alignment horizontal="right"/>
    </xf>
    <xf numFmtId="0" fontId="9" fillId="3" borderId="2" xfId="9" applyFont="1" applyFill="1" applyBorder="1" applyAlignment="1">
      <alignment horizontal="right" vertical="center" wrapText="1"/>
    </xf>
    <xf numFmtId="0" fontId="8" fillId="3" borderId="0" xfId="4" applyFont="1" applyFill="1" applyAlignment="1">
      <alignment horizontal="left" vertical="top" wrapText="1"/>
    </xf>
    <xf numFmtId="0" fontId="10" fillId="5" borderId="0" xfId="4" applyFont="1" applyFill="1" applyAlignment="1">
      <alignment vertical="top" wrapText="1"/>
    </xf>
    <xf numFmtId="0" fontId="6" fillId="3" borderId="0" xfId="6" applyFont="1" applyFill="1" applyAlignment="1">
      <alignment horizontal="left" vertical="top" wrapText="1"/>
    </xf>
    <xf numFmtId="0" fontId="8" fillId="3" borderId="0" xfId="4" applyFont="1" applyFill="1" applyAlignment="1">
      <alignment horizontal="left" vertical="center" wrapText="1"/>
    </xf>
    <xf numFmtId="0" fontId="8" fillId="3" borderId="0" xfId="4" applyFont="1" applyFill="1" applyAlignment="1">
      <alignment horizontal="left" vertical="center"/>
    </xf>
    <xf numFmtId="0" fontId="11" fillId="3" borderId="7" xfId="8" applyFont="1" applyFill="1" applyBorder="1" applyAlignment="1">
      <alignment horizontal="center" vertical="center" wrapText="1"/>
    </xf>
    <xf numFmtId="168" fontId="9" fillId="5" borderId="0" xfId="4" applyNumberFormat="1" applyFont="1" applyFill="1" applyAlignment="1">
      <alignment horizontal="right" vertical="center" wrapText="1"/>
    </xf>
    <xf numFmtId="168" fontId="9" fillId="5" borderId="0" xfId="4" applyNumberFormat="1" applyFont="1" applyFill="1" applyAlignment="1">
      <alignment horizontal="right"/>
    </xf>
    <xf numFmtId="168" fontId="8" fillId="5" borderId="0" xfId="4" applyNumberFormat="1" applyFont="1" applyFill="1" applyAlignment="1">
      <alignment horizontal="center" vertical="center"/>
    </xf>
    <xf numFmtId="168" fontId="8" fillId="5" borderId="0" xfId="4" applyNumberFormat="1" applyFont="1" applyFill="1" applyAlignment="1">
      <alignment horizontal="center"/>
    </xf>
    <xf numFmtId="169" fontId="6" fillId="4" borderId="0" xfId="1" applyNumberFormat="1" applyFont="1" applyFill="1" applyBorder="1" applyAlignment="1">
      <alignment horizontal="right" vertical="center"/>
    </xf>
    <xf numFmtId="169" fontId="6" fillId="3" borderId="0" xfId="1" applyNumberFormat="1" applyFont="1" applyFill="1" applyBorder="1" applyAlignment="1">
      <alignment horizontal="right" vertical="center"/>
    </xf>
    <xf numFmtId="1" fontId="6" fillId="3" borderId="0" xfId="1" applyNumberFormat="1" applyFont="1" applyFill="1" applyBorder="1" applyAlignment="1">
      <alignment horizontal="right" vertical="center"/>
    </xf>
    <xf numFmtId="169" fontId="7" fillId="3" borderId="0" xfId="1" applyNumberFormat="1" applyFont="1" applyFill="1" applyBorder="1" applyAlignment="1">
      <alignment horizontal="right" vertical="center"/>
    </xf>
    <xf numFmtId="1" fontId="7" fillId="3" borderId="0" xfId="1" applyNumberFormat="1" applyFont="1" applyFill="1" applyBorder="1" applyAlignment="1">
      <alignment horizontal="right" vertical="center"/>
    </xf>
    <xf numFmtId="169" fontId="7" fillId="4" borderId="0" xfId="1" applyNumberFormat="1" applyFont="1" applyFill="1" applyBorder="1" applyAlignment="1">
      <alignment horizontal="right" vertical="center"/>
    </xf>
    <xf numFmtId="0" fontId="11" fillId="3" borderId="0" xfId="0" applyFont="1" applyFill="1" applyBorder="1"/>
    <xf numFmtId="0" fontId="9" fillId="3" borderId="0" xfId="12" applyFont="1" applyFill="1" applyBorder="1"/>
    <xf numFmtId="0" fontId="9" fillId="3" borderId="1" xfId="12" applyFont="1" applyFill="1" applyBorder="1"/>
    <xf numFmtId="0" fontId="6" fillId="4" borderId="0" xfId="12" applyFont="1" applyFill="1" applyBorder="1" applyAlignment="1">
      <alignment horizontal="left" vertical="top" wrapText="1"/>
    </xf>
    <xf numFmtId="0" fontId="7" fillId="3" borderId="0" xfId="12" applyFont="1" applyFill="1" applyBorder="1" applyAlignment="1">
      <alignment horizontal="left" vertical="top" wrapText="1" indent="1"/>
    </xf>
    <xf numFmtId="0" fontId="6" fillId="4" borderId="0" xfId="13" applyFont="1" applyFill="1" applyBorder="1" applyAlignment="1">
      <alignment horizontal="left" vertical="top" wrapText="1"/>
    </xf>
    <xf numFmtId="0" fontId="6" fillId="3" borderId="0" xfId="13" applyFont="1" applyFill="1" applyBorder="1" applyAlignment="1">
      <alignment horizontal="left" vertical="top" wrapText="1"/>
    </xf>
    <xf numFmtId="0" fontId="7" fillId="3" borderId="0" xfId="13" applyFont="1" applyFill="1" applyBorder="1" applyAlignment="1">
      <alignment horizontal="left" vertical="top" wrapText="1" indent="1"/>
    </xf>
    <xf numFmtId="0" fontId="7" fillId="3" borderId="1" xfId="14" applyFont="1" applyFill="1" applyBorder="1" applyAlignment="1">
      <alignment horizontal="center" wrapText="1"/>
    </xf>
    <xf numFmtId="0" fontId="6" fillId="4" borderId="0" xfId="14" applyFont="1" applyFill="1" applyBorder="1" applyAlignment="1">
      <alignment vertical="top" wrapText="1"/>
    </xf>
    <xf numFmtId="0" fontId="7" fillId="3" borderId="0" xfId="14" applyFont="1" applyFill="1" applyBorder="1" applyAlignment="1">
      <alignment horizontal="left" vertical="top" wrapText="1" indent="1"/>
    </xf>
    <xf numFmtId="0" fontId="6" fillId="4" borderId="0" xfId="14" applyFont="1" applyFill="1" applyBorder="1" applyAlignment="1">
      <alignment horizontal="left" vertical="top" wrapText="1"/>
    </xf>
    <xf numFmtId="0" fontId="6" fillId="4" borderId="0" xfId="15" applyFont="1" applyFill="1" applyBorder="1" applyAlignment="1">
      <alignment vertical="top" wrapText="1"/>
    </xf>
    <xf numFmtId="0" fontId="7" fillId="3" borderId="0" xfId="15" applyFont="1" applyFill="1" applyBorder="1" applyAlignment="1">
      <alignment horizontal="left" vertical="top" wrapText="1" indent="1"/>
    </xf>
    <xf numFmtId="0" fontId="6" fillId="4" borderId="0" xfId="15" applyFont="1" applyFill="1" applyBorder="1" applyAlignment="1">
      <alignment horizontal="left" vertical="top" wrapText="1"/>
    </xf>
    <xf numFmtId="0" fontId="6" fillId="3" borderId="0" xfId="15" applyFont="1" applyFill="1" applyBorder="1" applyAlignment="1">
      <alignment horizontal="left" vertical="top" wrapText="1" indent="1"/>
    </xf>
    <xf numFmtId="0" fontId="6" fillId="4" borderId="0" xfId="17" applyFont="1" applyFill="1" applyBorder="1" applyAlignment="1">
      <alignment horizontal="left" vertical="top" wrapText="1"/>
    </xf>
    <xf numFmtId="0" fontId="6" fillId="3" borderId="0" xfId="17" applyFont="1" applyFill="1" applyBorder="1" applyAlignment="1">
      <alignment horizontal="left" vertical="top" wrapText="1"/>
    </xf>
    <xf numFmtId="0" fontId="7" fillId="3" borderId="0" xfId="17" applyFont="1" applyFill="1" applyBorder="1" applyAlignment="1">
      <alignment horizontal="left" vertical="top" wrapText="1" indent="1"/>
    </xf>
    <xf numFmtId="2" fontId="6" fillId="3" borderId="0" xfId="1" applyNumberFormat="1" applyFont="1" applyFill="1" applyBorder="1" applyAlignment="1">
      <alignment horizontal="right" vertical="center"/>
    </xf>
    <xf numFmtId="2" fontId="7" fillId="3" borderId="0" xfId="1" applyNumberFormat="1" applyFont="1" applyFill="1" applyBorder="1" applyAlignment="1">
      <alignment horizontal="right" vertical="center"/>
    </xf>
    <xf numFmtId="0" fontId="7" fillId="3" borderId="1" xfId="18" applyFont="1" applyFill="1" applyBorder="1" applyAlignment="1">
      <alignment horizontal="center" wrapText="1"/>
    </xf>
    <xf numFmtId="0" fontId="6" fillId="4" borderId="0" xfId="18" applyFont="1" applyFill="1" applyBorder="1" applyAlignment="1">
      <alignment vertical="top" wrapText="1"/>
    </xf>
    <xf numFmtId="0" fontId="6" fillId="3" borderId="0" xfId="18" applyFont="1" applyFill="1" applyBorder="1" applyAlignment="1">
      <alignment vertical="top" wrapText="1"/>
    </xf>
    <xf numFmtId="0" fontId="6" fillId="4" borderId="0" xfId="18" applyFont="1" applyFill="1" applyBorder="1" applyAlignment="1">
      <alignment horizontal="left" vertical="top" wrapText="1"/>
    </xf>
    <xf numFmtId="0" fontId="7" fillId="3" borderId="0" xfId="18" applyFont="1" applyFill="1" applyBorder="1" applyAlignment="1">
      <alignment horizontal="left" vertical="top" wrapText="1" indent="1"/>
    </xf>
    <xf numFmtId="0" fontId="6" fillId="5" borderId="0" xfId="19" applyFont="1" applyFill="1" applyAlignment="1">
      <alignment vertical="top" wrapText="1"/>
    </xf>
    <xf numFmtId="170" fontId="6" fillId="5" borderId="0" xfId="6" applyNumberFormat="1" applyFont="1" applyFill="1" applyAlignment="1">
      <alignment horizontal="right" vertical="center"/>
    </xf>
    <xf numFmtId="170" fontId="7" fillId="3" borderId="0" xfId="6" applyNumberFormat="1" applyFont="1" applyFill="1" applyAlignment="1">
      <alignment horizontal="right" vertical="center"/>
    </xf>
    <xf numFmtId="0" fontId="7" fillId="3" borderId="0" xfId="20" applyFont="1" applyFill="1" applyAlignment="1">
      <alignment vertical="top" wrapText="1"/>
    </xf>
    <xf numFmtId="0" fontId="6" fillId="5" borderId="0" xfId="20" applyFont="1" applyFill="1" applyAlignment="1">
      <alignment horizontal="left" vertical="top" wrapText="1"/>
    </xf>
    <xf numFmtId="171" fontId="6" fillId="5" borderId="0" xfId="20" applyNumberFormat="1" applyFont="1" applyFill="1" applyAlignment="1">
      <alignment horizontal="center"/>
    </xf>
    <xf numFmtId="170" fontId="7" fillId="3" borderId="0" xfId="6" applyNumberFormat="1" applyFont="1" applyFill="1" applyAlignment="1">
      <alignment horizontal="left" vertical="center"/>
    </xf>
    <xf numFmtId="0" fontId="6" fillId="5" borderId="0" xfId="6" applyFont="1" applyFill="1" applyAlignment="1">
      <alignment vertical="top" wrapText="1"/>
    </xf>
    <xf numFmtId="170" fontId="7" fillId="5" borderId="0" xfId="6" applyNumberFormat="1" applyFont="1" applyFill="1" applyAlignment="1">
      <alignment horizontal="right" vertical="center"/>
    </xf>
    <xf numFmtId="0" fontId="6" fillId="3" borderId="0" xfId="19" applyFont="1" applyFill="1" applyAlignment="1">
      <alignment vertical="top" wrapText="1"/>
    </xf>
    <xf numFmtId="0" fontId="6" fillId="3" borderId="0" xfId="19" applyFont="1" applyFill="1" applyAlignment="1">
      <alignment wrapText="1"/>
    </xf>
    <xf numFmtId="0" fontId="6" fillId="3" borderId="0" xfId="21" applyFont="1" applyFill="1" applyAlignment="1">
      <alignment vertical="top" wrapText="1"/>
    </xf>
    <xf numFmtId="0" fontId="7" fillId="3" borderId="0" xfId="21" applyFont="1" applyFill="1" applyAlignment="1">
      <alignment vertical="top" wrapText="1"/>
    </xf>
    <xf numFmtId="170" fontId="7" fillId="3" borderId="2" xfId="6" applyNumberFormat="1" applyFont="1" applyFill="1" applyBorder="1" applyAlignment="1">
      <alignment horizontal="right" vertical="center"/>
    </xf>
    <xf numFmtId="0" fontId="6" fillId="3" borderId="0" xfId="20" applyFont="1" applyFill="1" applyAlignment="1">
      <alignment horizontal="left" vertical="top" wrapText="1"/>
    </xf>
    <xf numFmtId="0" fontId="6" fillId="5" borderId="0" xfId="21" applyFont="1" applyFill="1" applyAlignment="1">
      <alignment vertical="top" wrapText="1"/>
    </xf>
    <xf numFmtId="0" fontId="7" fillId="3" borderId="0" xfId="21" applyFont="1" applyFill="1" applyAlignment="1">
      <alignment horizontal="left" vertical="top" wrapText="1" indent="1"/>
    </xf>
    <xf numFmtId="0" fontId="14" fillId="2" borderId="0" xfId="0" applyFont="1" applyFill="1"/>
    <xf numFmtId="0" fontId="10" fillId="3" borderId="0" xfId="22" applyFont="1" applyFill="1" applyAlignment="1">
      <alignment horizontal="left" vertical="center" wrapText="1"/>
    </xf>
    <xf numFmtId="0" fontId="11" fillId="3" borderId="0" xfId="22" applyFont="1" applyFill="1" applyAlignment="1">
      <alignment horizontal="left" vertical="center" wrapText="1" indent="1"/>
    </xf>
    <xf numFmtId="0" fontId="7" fillId="3" borderId="0" xfId="23" applyFont="1" applyFill="1" applyAlignment="1">
      <alignment horizontal="left" vertical="top" wrapText="1"/>
    </xf>
    <xf numFmtId="0" fontId="10" fillId="5" borderId="0" xfId="22" applyFont="1" applyFill="1" applyAlignment="1">
      <alignment horizontal="left" vertical="center" wrapText="1"/>
    </xf>
    <xf numFmtId="0" fontId="6" fillId="5" borderId="0" xfId="23" applyFont="1" applyFill="1" applyAlignment="1">
      <alignment horizontal="left" vertical="top" wrapText="1"/>
    </xf>
    <xf numFmtId="0" fontId="6" fillId="5" borderId="0" xfId="23" applyFont="1" applyFill="1" applyAlignment="1">
      <alignment horizontal="left" vertical="center" wrapText="1"/>
    </xf>
    <xf numFmtId="0" fontId="6" fillId="5" borderId="0" xfId="19" applyFont="1" applyFill="1" applyAlignment="1">
      <alignment vertical="center"/>
    </xf>
    <xf numFmtId="0" fontId="10" fillId="5" borderId="0" xfId="22" applyFont="1" applyFill="1" applyAlignment="1">
      <alignment horizontal="left" vertical="center" wrapText="1" indent="1"/>
    </xf>
    <xf numFmtId="0" fontId="6" fillId="5" borderId="0" xfId="6" applyFont="1" applyFill="1" applyAlignment="1">
      <alignment horizontal="left" vertical="top" wrapText="1"/>
    </xf>
    <xf numFmtId="0" fontId="7" fillId="3" borderId="8" xfId="21" applyFont="1" applyFill="1" applyBorder="1" applyAlignment="1">
      <alignment horizontal="center" wrapText="1"/>
    </xf>
    <xf numFmtId="0" fontId="6" fillId="4" borderId="0" xfId="21" applyFont="1" applyFill="1" applyAlignment="1">
      <alignment vertical="top" wrapText="1"/>
    </xf>
    <xf numFmtId="0" fontId="7" fillId="3" borderId="2" xfId="2" applyFont="1" applyFill="1" applyBorder="1" applyAlignment="1">
      <alignment horizontal="right" wrapText="1"/>
    </xf>
    <xf numFmtId="0" fontId="6" fillId="4" borderId="0" xfId="2" applyFont="1" applyFill="1" applyAlignment="1">
      <alignment vertical="top" wrapText="1"/>
    </xf>
    <xf numFmtId="0" fontId="6" fillId="3" borderId="0" xfId="2" applyFont="1" applyFill="1" applyAlignment="1">
      <alignment vertical="top" wrapText="1"/>
    </xf>
    <xf numFmtId="0" fontId="6" fillId="4" borderId="0" xfId="2" applyFont="1" applyFill="1" applyAlignment="1">
      <alignment vertical="center" wrapText="1"/>
    </xf>
    <xf numFmtId="0" fontId="6" fillId="4" borderId="0" xfId="2" applyFont="1" applyFill="1" applyAlignment="1">
      <alignment horizontal="left" vertical="top" wrapText="1"/>
    </xf>
    <xf numFmtId="0" fontId="10" fillId="3" borderId="12" xfId="0" applyFont="1" applyFill="1" applyBorder="1" applyAlignment="1">
      <alignment horizontal="center"/>
    </xf>
    <xf numFmtId="0" fontId="11" fillId="3" borderId="12" xfId="0" applyFont="1" applyFill="1" applyBorder="1"/>
    <xf numFmtId="165" fontId="11" fillId="3" borderId="12" xfId="0" applyNumberFormat="1" applyFont="1" applyFill="1" applyBorder="1"/>
    <xf numFmtId="172" fontId="11" fillId="3" borderId="12" xfId="0" applyNumberFormat="1" applyFont="1" applyFill="1" applyBorder="1"/>
    <xf numFmtId="0" fontId="10" fillId="3" borderId="12" xfId="0" applyFont="1" applyFill="1" applyBorder="1"/>
    <xf numFmtId="165" fontId="10" fillId="3" borderId="12" xfId="0" applyNumberFormat="1" applyFont="1" applyFill="1" applyBorder="1"/>
    <xf numFmtId="172" fontId="10" fillId="3" borderId="12" xfId="0" applyNumberFormat="1" applyFont="1" applyFill="1" applyBorder="1"/>
    <xf numFmtId="0" fontId="11" fillId="5" borderId="12" xfId="0" applyFont="1" applyFill="1" applyBorder="1"/>
    <xf numFmtId="165" fontId="11" fillId="5" borderId="12" xfId="0" applyNumberFormat="1" applyFont="1" applyFill="1" applyBorder="1"/>
    <xf numFmtId="172" fontId="11" fillId="5" borderId="12" xfId="0" applyNumberFormat="1" applyFont="1" applyFill="1" applyBorder="1"/>
    <xf numFmtId="0" fontId="6" fillId="5" borderId="0" xfId="28" applyFont="1" applyFill="1" applyAlignment="1">
      <alignment horizontal="left" vertical="top" wrapText="1"/>
    </xf>
    <xf numFmtId="0" fontId="7" fillId="3" borderId="0" xfId="28" applyFont="1" applyFill="1" applyAlignment="1">
      <alignment horizontal="center" vertical="top" wrapText="1"/>
    </xf>
    <xf numFmtId="0" fontId="6" fillId="3" borderId="0" xfId="28" applyFont="1" applyFill="1" applyAlignment="1">
      <alignment vertical="top" wrapText="1"/>
    </xf>
    <xf numFmtId="0" fontId="6" fillId="5" borderId="0" xfId="29" applyFont="1" applyFill="1" applyAlignment="1">
      <alignment vertical="top" wrapText="1"/>
    </xf>
    <xf numFmtId="0" fontId="7" fillId="3" borderId="0" xfId="29" applyFont="1" applyFill="1" applyAlignment="1">
      <alignment horizontal="left" vertical="top" wrapText="1"/>
    </xf>
    <xf numFmtId="0" fontId="6" fillId="5" borderId="0" xfId="29" applyFont="1" applyFill="1" applyAlignment="1">
      <alignment horizontal="left" vertical="top" wrapText="1"/>
    </xf>
    <xf numFmtId="0" fontId="6" fillId="3" borderId="0" xfId="29" applyFont="1" applyFill="1" applyAlignment="1">
      <alignment vertical="top" wrapText="1"/>
    </xf>
    <xf numFmtId="0" fontId="10" fillId="3" borderId="0" xfId="29" applyFont="1" applyFill="1" applyAlignment="1">
      <alignment vertical="top" wrapText="1"/>
    </xf>
    <xf numFmtId="0" fontId="7" fillId="3" borderId="1" xfId="26" applyFont="1" applyFill="1" applyBorder="1" applyAlignment="1">
      <alignment horizontal="center" wrapText="1"/>
    </xf>
    <xf numFmtId="0" fontId="6" fillId="5" borderId="0" xfId="26" applyFont="1" applyFill="1" applyAlignment="1">
      <alignment vertical="top"/>
    </xf>
    <xf numFmtId="0" fontId="6" fillId="3" borderId="0" xfId="26" applyFont="1" applyFill="1" applyAlignment="1">
      <alignment vertical="top"/>
    </xf>
    <xf numFmtId="0" fontId="6" fillId="5" borderId="0" xfId="5" applyFont="1" applyFill="1" applyAlignment="1">
      <alignment vertical="top" wrapText="1"/>
    </xf>
    <xf numFmtId="165" fontId="6" fillId="5" borderId="0" xfId="5" applyNumberFormat="1" applyFont="1" applyFill="1" applyAlignment="1">
      <alignment horizontal="right" vertical="center"/>
    </xf>
    <xf numFmtId="0" fontId="6" fillId="3" borderId="0" xfId="5" applyFont="1" applyFill="1" applyAlignment="1">
      <alignment vertical="top" wrapText="1"/>
    </xf>
    <xf numFmtId="165" fontId="6" fillId="3" borderId="0" xfId="5" applyNumberFormat="1" applyFont="1" applyFill="1" applyAlignment="1">
      <alignment horizontal="right" vertical="center"/>
    </xf>
    <xf numFmtId="165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vertical="top" wrapText="1"/>
    </xf>
    <xf numFmtId="165" fontId="7" fillId="5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horizontal="left" vertical="top" wrapText="1" indent="1"/>
    </xf>
    <xf numFmtId="173" fontId="7" fillId="3" borderId="0" xfId="5" applyNumberFormat="1" applyFont="1" applyFill="1" applyAlignment="1">
      <alignment horizontal="right" vertical="center"/>
    </xf>
    <xf numFmtId="0" fontId="16" fillId="3" borderId="0" xfId="0" applyFont="1" applyFill="1" applyAlignment="1">
      <alignment horizontal="left"/>
    </xf>
    <xf numFmtId="174" fontId="16" fillId="5" borderId="0" xfId="1" applyNumberFormat="1" applyFont="1" applyFill="1" applyAlignment="1">
      <alignment horizontal="right"/>
    </xf>
    <xf numFmtId="174" fontId="16" fillId="3" borderId="0" xfId="1" applyNumberFormat="1" applyFont="1" applyFill="1" applyAlignment="1">
      <alignment horizontal="right"/>
    </xf>
    <xf numFmtId="0" fontId="6" fillId="3" borderId="0" xfId="12" applyFont="1" applyFill="1" applyBorder="1" applyAlignment="1">
      <alignment vertical="top" wrapText="1"/>
    </xf>
    <xf numFmtId="0" fontId="16" fillId="3" borderId="0" xfId="0" applyFont="1" applyFill="1"/>
    <xf numFmtId="0" fontId="7" fillId="3" borderId="1" xfId="5" applyFont="1" applyFill="1" applyBorder="1" applyAlignment="1">
      <alignment wrapText="1"/>
    </xf>
    <xf numFmtId="0" fontId="7" fillId="3" borderId="2" xfId="5" applyFont="1" applyFill="1" applyBorder="1" applyAlignment="1">
      <alignment wrapText="1"/>
    </xf>
    <xf numFmtId="0" fontId="6" fillId="5" borderId="0" xfId="26" applyFont="1" applyFill="1" applyAlignment="1">
      <alignment vertical="top" wrapText="1"/>
    </xf>
    <xf numFmtId="169" fontId="6" fillId="5" borderId="0" xfId="1" applyNumberFormat="1" applyFont="1" applyFill="1" applyBorder="1" applyAlignment="1">
      <alignment horizontal="right" vertical="center"/>
    </xf>
    <xf numFmtId="0" fontId="6" fillId="3" borderId="0" xfId="26" applyFont="1" applyFill="1" applyAlignment="1">
      <alignment vertical="top" wrapText="1"/>
    </xf>
    <xf numFmtId="166" fontId="6" fillId="5" borderId="0" xfId="5" applyNumberFormat="1" applyFont="1" applyFill="1" applyAlignment="1">
      <alignment horizontal="right" vertical="center"/>
    </xf>
    <xf numFmtId="173" fontId="6" fillId="5" borderId="0" xfId="5" applyNumberFormat="1" applyFont="1" applyFill="1" applyAlignment="1">
      <alignment horizontal="right" vertical="center"/>
    </xf>
    <xf numFmtId="171" fontId="6" fillId="5" borderId="0" xfId="5" applyNumberFormat="1" applyFont="1" applyFill="1" applyAlignment="1">
      <alignment horizontal="right" vertical="center"/>
    </xf>
    <xf numFmtId="166" fontId="6" fillId="3" borderId="0" xfId="5" applyNumberFormat="1" applyFont="1" applyFill="1" applyAlignment="1">
      <alignment horizontal="right" vertical="center"/>
    </xf>
    <xf numFmtId="173" fontId="6" fillId="3" borderId="0" xfId="5" applyNumberFormat="1" applyFont="1" applyFill="1" applyAlignment="1">
      <alignment horizontal="right" vertical="center"/>
    </xf>
    <xf numFmtId="171" fontId="6" fillId="3" borderId="0" xfId="5" applyNumberFormat="1" applyFont="1" applyFill="1" applyAlignment="1">
      <alignment horizontal="right" vertical="center"/>
    </xf>
    <xf numFmtId="166" fontId="7" fillId="3" borderId="0" xfId="5" applyNumberFormat="1" applyFont="1" applyFill="1" applyAlignment="1">
      <alignment horizontal="right" vertical="center"/>
    </xf>
    <xf numFmtId="171" fontId="7" fillId="3" borderId="0" xfId="5" applyNumberFormat="1" applyFont="1" applyFill="1" applyAlignment="1">
      <alignment horizontal="right" vertical="center"/>
    </xf>
    <xf numFmtId="0" fontId="7" fillId="3" borderId="0" xfId="5" applyFont="1" applyFill="1" applyAlignment="1">
      <alignment horizontal="left" vertical="top" indent="1"/>
    </xf>
    <xf numFmtId="169" fontId="7" fillId="3" borderId="0" xfId="1" applyNumberFormat="1" applyFont="1" applyFill="1" applyBorder="1" applyAlignment="1">
      <alignment vertical="center"/>
    </xf>
    <xf numFmtId="166" fontId="7" fillId="3" borderId="0" xfId="5" applyNumberFormat="1" applyFont="1" applyFill="1" applyAlignment="1">
      <alignment vertical="center"/>
    </xf>
    <xf numFmtId="173" fontId="7" fillId="3" borderId="0" xfId="5" applyNumberFormat="1" applyFont="1" applyFill="1" applyAlignment="1">
      <alignment vertical="center"/>
    </xf>
    <xf numFmtId="171" fontId="7" fillId="3" borderId="0" xfId="5" applyNumberFormat="1" applyFont="1" applyFill="1" applyAlignment="1">
      <alignment vertical="center"/>
    </xf>
    <xf numFmtId="169" fontId="7" fillId="5" borderId="0" xfId="1" applyNumberFormat="1" applyFont="1" applyFill="1" applyBorder="1" applyAlignment="1">
      <alignment horizontal="right" vertical="center"/>
    </xf>
    <xf numFmtId="0" fontId="7" fillId="3" borderId="1" xfId="5" applyFont="1" applyFill="1" applyBorder="1" applyAlignment="1">
      <alignment horizontal="center" wrapText="1"/>
    </xf>
    <xf numFmtId="0" fontId="6" fillId="3" borderId="0" xfId="5" applyFont="1" applyFill="1" applyAlignment="1">
      <alignment horizontal="left" vertical="top" wrapText="1"/>
    </xf>
    <xf numFmtId="0" fontId="6" fillId="5" borderId="0" xfId="33" applyFont="1" applyFill="1" applyAlignment="1">
      <alignment vertical="top" wrapText="1"/>
    </xf>
    <xf numFmtId="0" fontId="6" fillId="5" borderId="0" xfId="33" applyFont="1" applyFill="1" applyAlignment="1">
      <alignment horizontal="left" vertical="top" wrapText="1"/>
    </xf>
    <xf numFmtId="0" fontId="6" fillId="3" borderId="0" xfId="33" applyFont="1" applyFill="1" applyAlignment="1">
      <alignment vertical="top" wrapText="1"/>
    </xf>
    <xf numFmtId="0" fontId="6" fillId="3" borderId="0" xfId="33" applyFont="1" applyFill="1" applyAlignment="1">
      <alignment horizontal="left" vertical="top" wrapText="1"/>
    </xf>
    <xf numFmtId="0" fontId="7" fillId="3" borderId="0" xfId="33" applyFont="1" applyFill="1" applyAlignment="1">
      <alignment horizontal="left" vertical="top" wrapText="1"/>
    </xf>
    <xf numFmtId="0" fontId="6" fillId="5" borderId="0" xfId="36" applyFont="1" applyFill="1" applyAlignment="1">
      <alignment vertical="top" wrapText="1"/>
    </xf>
    <xf numFmtId="0" fontId="6" fillId="3" borderId="0" xfId="36" applyFont="1" applyFill="1" applyAlignment="1">
      <alignment vertical="top" wrapText="1"/>
    </xf>
    <xf numFmtId="0" fontId="6" fillId="3" borderId="0" xfId="36" applyFont="1" applyFill="1" applyAlignment="1">
      <alignment horizontal="left" vertical="top" wrapText="1"/>
    </xf>
    <xf numFmtId="0" fontId="7" fillId="3" borderId="0" xfId="36" applyFont="1" applyFill="1" applyAlignment="1">
      <alignment horizontal="left" vertical="top" wrapText="1"/>
    </xf>
    <xf numFmtId="0" fontId="7" fillId="3" borderId="1" xfId="38" applyFont="1" applyFill="1" applyBorder="1" applyAlignment="1">
      <alignment wrapText="1"/>
    </xf>
    <xf numFmtId="0" fontId="7" fillId="3" borderId="1" xfId="38" applyFont="1" applyFill="1" applyBorder="1" applyAlignment="1">
      <alignment horizontal="center" wrapText="1"/>
    </xf>
    <xf numFmtId="0" fontId="6" fillId="5" borderId="0" xfId="38" applyFont="1" applyFill="1" applyAlignment="1">
      <alignment vertical="top" wrapText="1"/>
    </xf>
    <xf numFmtId="0" fontId="6" fillId="3" borderId="0" xfId="38" applyFont="1" applyFill="1" applyAlignment="1">
      <alignment vertical="top" wrapText="1"/>
    </xf>
    <xf numFmtId="0" fontId="7" fillId="3" borderId="0" xfId="38" applyFont="1" applyFill="1" applyAlignment="1">
      <alignment horizontal="left" vertical="top" wrapText="1"/>
    </xf>
    <xf numFmtId="0" fontId="20" fillId="3" borderId="1" xfId="31" applyFont="1" applyFill="1" applyBorder="1" applyAlignment="1">
      <alignment horizontal="center" vertical="center"/>
    </xf>
    <xf numFmtId="0" fontId="19" fillId="3" borderId="1" xfId="39" applyFont="1" applyFill="1" applyBorder="1" applyAlignment="1">
      <alignment horizontal="center" wrapText="1"/>
    </xf>
    <xf numFmtId="0" fontId="18" fillId="5" borderId="0" xfId="39" applyFont="1" applyFill="1" applyAlignment="1">
      <alignment vertical="top" wrapText="1"/>
    </xf>
    <xf numFmtId="0" fontId="18" fillId="3" borderId="0" xfId="39" applyFont="1" applyFill="1" applyAlignment="1">
      <alignment vertical="top" wrapText="1"/>
    </xf>
    <xf numFmtId="0" fontId="19" fillId="3" borderId="0" xfId="39" applyFont="1" applyFill="1" applyAlignment="1">
      <alignment horizontal="left" vertical="top" wrapText="1" indent="1"/>
    </xf>
    <xf numFmtId="0" fontId="6" fillId="3" borderId="0" xfId="18" applyFont="1" applyFill="1" applyBorder="1" applyAlignment="1">
      <alignment horizontal="left" vertical="top" wrapText="1"/>
    </xf>
    <xf numFmtId="0" fontId="19" fillId="0" borderId="2" xfId="6" applyFont="1" applyBorder="1" applyAlignment="1">
      <alignment horizontal="center" vertical="center" wrapText="1"/>
    </xf>
    <xf numFmtId="0" fontId="19" fillId="3" borderId="2" xfId="6" applyFont="1" applyFill="1" applyBorder="1" applyAlignment="1">
      <alignment horizontal="center" vertical="center" wrapText="1"/>
    </xf>
    <xf numFmtId="0" fontId="18" fillId="5" borderId="0" xfId="4" applyFont="1" applyFill="1" applyAlignment="1">
      <alignment horizontal="left" vertical="top" wrapText="1"/>
    </xf>
    <xf numFmtId="0" fontId="19" fillId="3" borderId="0" xfId="26" applyFont="1" applyFill="1" applyAlignment="1">
      <alignment horizontal="left" vertical="top" wrapText="1" indent="1"/>
    </xf>
    <xf numFmtId="0" fontId="17" fillId="5" borderId="0" xfId="4" applyFont="1" applyFill="1" applyAlignment="1">
      <alignment horizontal="left" vertical="center" wrapText="1"/>
    </xf>
    <xf numFmtId="0" fontId="6" fillId="3" borderId="0" xfId="2" applyFont="1" applyFill="1" applyAlignment="1">
      <alignment horizontal="left" vertical="top" wrapText="1"/>
    </xf>
    <xf numFmtId="0" fontId="7" fillId="3" borderId="0" xfId="2" applyFont="1" applyFill="1" applyAlignment="1">
      <alignment horizontal="left" vertical="top" wrapText="1"/>
    </xf>
    <xf numFmtId="0" fontId="6" fillId="3" borderId="0" xfId="23" applyFont="1" applyFill="1" applyAlignment="1">
      <alignment horizontal="left" vertical="top" wrapText="1"/>
    </xf>
    <xf numFmtId="0" fontId="11" fillId="3" borderId="0" xfId="22" applyFont="1" applyFill="1" applyAlignment="1">
      <alignment horizontal="left" vertical="center" wrapText="1"/>
    </xf>
    <xf numFmtId="0" fontId="6" fillId="3" borderId="0" xfId="26" applyFont="1" applyFill="1" applyAlignment="1">
      <alignment horizontal="left" vertical="top" wrapText="1"/>
    </xf>
    <xf numFmtId="0" fontId="7" fillId="3" borderId="0" xfId="26" applyFont="1" applyFill="1" applyAlignment="1">
      <alignment horizontal="left" vertical="center"/>
    </xf>
    <xf numFmtId="0" fontId="6" fillId="5" borderId="0" xfId="41" applyFont="1" applyFill="1" applyAlignment="1">
      <alignment vertical="top" wrapText="1"/>
    </xf>
    <xf numFmtId="0" fontId="7" fillId="3" borderId="0" xfId="41" applyFont="1" applyFill="1" applyAlignment="1">
      <alignment horizontal="left" vertical="top" wrapText="1"/>
    </xf>
    <xf numFmtId="176" fontId="7" fillId="3" borderId="0" xfId="41" applyNumberFormat="1" applyFont="1" applyFill="1" applyAlignment="1">
      <alignment horizontal="left" vertical="center"/>
    </xf>
    <xf numFmtId="0" fontId="6" fillId="3" borderId="0" xfId="3" applyFont="1" applyFill="1" applyBorder="1" applyAlignment="1">
      <alignment horizontal="left" vertical="top" wrapText="1"/>
    </xf>
    <xf numFmtId="0" fontId="7" fillId="3" borderId="0" xfId="3" applyFont="1" applyFill="1" applyBorder="1" applyAlignment="1">
      <alignment horizontal="left" vertical="top" wrapText="1"/>
    </xf>
    <xf numFmtId="0" fontId="6" fillId="3" borderId="0" xfId="21" applyFont="1" applyFill="1" applyAlignment="1">
      <alignment horizontal="left" vertical="top" wrapText="1"/>
    </xf>
    <xf numFmtId="0" fontId="7" fillId="3" borderId="0" xfId="19" applyFont="1" applyFill="1" applyAlignment="1">
      <alignment horizontal="left" vertical="top" wrapText="1"/>
    </xf>
    <xf numFmtId="0" fontId="7" fillId="3" borderId="4" xfId="19" applyFont="1" applyFill="1" applyBorder="1" applyAlignment="1">
      <alignment horizontal="left" vertical="top" wrapText="1"/>
    </xf>
    <xf numFmtId="0" fontId="11" fillId="3" borderId="4" xfId="22" applyFont="1" applyFill="1" applyBorder="1" applyAlignment="1">
      <alignment horizontal="left" vertical="center" wrapText="1"/>
    </xf>
    <xf numFmtId="0" fontId="7" fillId="3" borderId="0" xfId="28" applyFont="1" applyFill="1" applyAlignment="1">
      <alignment horizontal="left" vertical="top" wrapText="1"/>
    </xf>
    <xf numFmtId="0" fontId="7" fillId="3" borderId="7" xfId="8" applyFont="1" applyFill="1" applyBorder="1" applyAlignment="1">
      <alignment horizontal="center" vertical="center" wrapText="1"/>
    </xf>
    <xf numFmtId="174" fontId="6" fillId="4" borderId="0" xfId="1" applyNumberFormat="1" applyFont="1" applyFill="1" applyAlignment="1">
      <alignment horizontal="right" vertical="center"/>
    </xf>
    <xf numFmtId="174" fontId="7" fillId="3" borderId="0" xfId="1" applyNumberFormat="1" applyFont="1" applyFill="1" applyAlignment="1">
      <alignment horizontal="right" vertical="center"/>
    </xf>
    <xf numFmtId="174" fontId="6" fillId="3" borderId="0" xfId="1" applyNumberFormat="1" applyFont="1" applyFill="1" applyAlignment="1">
      <alignment horizontal="right" vertical="center"/>
    </xf>
    <xf numFmtId="174" fontId="6" fillId="4" borderId="0" xfId="1" applyNumberFormat="1" applyFont="1" applyFill="1" applyBorder="1" applyAlignment="1">
      <alignment horizontal="right" vertical="center"/>
    </xf>
    <xf numFmtId="174" fontId="7" fillId="3" borderId="0" xfId="1" applyNumberFormat="1" applyFont="1" applyFill="1" applyBorder="1" applyAlignment="1">
      <alignment horizontal="right" vertical="center"/>
    </xf>
    <xf numFmtId="174" fontId="6" fillId="3" borderId="0" xfId="1" applyNumberFormat="1" applyFont="1" applyFill="1" applyBorder="1" applyAlignment="1">
      <alignment horizontal="right" vertical="center"/>
    </xf>
    <xf numFmtId="174" fontId="6" fillId="5" borderId="0" xfId="1" applyNumberFormat="1" applyFont="1" applyFill="1" applyAlignment="1">
      <alignment horizontal="right" vertical="center"/>
    </xf>
    <xf numFmtId="174" fontId="7" fillId="3" borderId="4" xfId="1" applyNumberFormat="1" applyFont="1" applyFill="1" applyBorder="1" applyAlignment="1">
      <alignment horizontal="right" vertical="center"/>
    </xf>
    <xf numFmtId="174" fontId="11" fillId="3" borderId="0" xfId="1" applyNumberFormat="1" applyFont="1" applyFill="1"/>
    <xf numFmtId="174" fontId="7" fillId="5" borderId="0" xfId="1" applyNumberFormat="1" applyFont="1" applyFill="1" applyAlignment="1">
      <alignment horizontal="right" vertical="center"/>
    </xf>
    <xf numFmtId="174" fontId="11" fillId="3" borderId="0" xfId="1" applyNumberFormat="1" applyFont="1" applyFill="1" applyAlignment="1">
      <alignment horizontal="right" vertical="center"/>
    </xf>
    <xf numFmtId="174" fontId="11" fillId="5" borderId="0" xfId="1" applyNumberFormat="1" applyFont="1" applyFill="1" applyAlignment="1">
      <alignment horizontal="right" vertical="center"/>
    </xf>
    <xf numFmtId="174" fontId="6" fillId="5" borderId="0" xfId="1" applyNumberFormat="1" applyFont="1" applyFill="1" applyAlignment="1">
      <alignment vertical="top" wrapText="1"/>
    </xf>
    <xf numFmtId="174" fontId="11" fillId="5" borderId="0" xfId="1" applyNumberFormat="1" applyFont="1" applyFill="1" applyAlignment="1">
      <alignment horizontal="right"/>
    </xf>
    <xf numFmtId="174" fontId="7" fillId="3" borderId="2" xfId="1" applyNumberFormat="1" applyFont="1" applyFill="1" applyBorder="1" applyAlignment="1">
      <alignment horizontal="right" vertical="center"/>
    </xf>
    <xf numFmtId="174" fontId="6" fillId="5" borderId="0" xfId="1" applyNumberFormat="1" applyFont="1" applyFill="1" applyAlignment="1">
      <alignment vertical="center"/>
    </xf>
    <xf numFmtId="174" fontId="7" fillId="5" borderId="0" xfId="1" applyNumberFormat="1" applyFont="1" applyFill="1" applyAlignment="1">
      <alignment vertical="center"/>
    </xf>
    <xf numFmtId="174" fontId="6" fillId="5" borderId="3" xfId="1" applyNumberFormat="1" applyFont="1" applyFill="1" applyBorder="1" applyAlignment="1">
      <alignment horizontal="right" vertical="center"/>
    </xf>
    <xf numFmtId="0" fontId="7" fillId="3" borderId="2" xfId="5" applyFont="1" applyFill="1" applyBorder="1" applyAlignment="1">
      <alignment horizontal="left" vertical="top" wrapText="1" indent="1"/>
    </xf>
    <xf numFmtId="165" fontId="7" fillId="3" borderId="2" xfId="5" applyNumberFormat="1" applyFont="1" applyFill="1" applyBorder="1" applyAlignment="1">
      <alignment horizontal="right" vertical="center"/>
    </xf>
    <xf numFmtId="0" fontId="6" fillId="5" borderId="0" xfId="26" applyFont="1" applyFill="1" applyAlignment="1">
      <alignment horizontal="left" wrapText="1"/>
    </xf>
    <xf numFmtId="174" fontId="6" fillId="5" borderId="0" xfId="1" applyNumberFormat="1" applyFont="1" applyFill="1" applyBorder="1" applyAlignment="1">
      <alignment horizontal="right" vertical="center"/>
    </xf>
    <xf numFmtId="0" fontId="7" fillId="3" borderId="0" xfId="26" applyFont="1" applyFill="1" applyAlignment="1">
      <alignment vertical="top" wrapText="1"/>
    </xf>
    <xf numFmtId="0" fontId="7" fillId="3" borderId="0" xfId="27" applyFont="1" applyFill="1" applyAlignment="1">
      <alignment horizontal="left" vertical="top" wrapText="1"/>
    </xf>
    <xf numFmtId="0" fontId="6" fillId="3" borderId="0" xfId="27" applyFont="1" applyFill="1" applyAlignment="1">
      <alignment horizontal="left" vertical="top" wrapText="1"/>
    </xf>
    <xf numFmtId="0" fontId="6" fillId="5" borderId="0" xfId="38" applyFont="1" applyFill="1" applyAlignment="1">
      <alignment horizontal="left" vertical="top" wrapText="1"/>
    </xf>
    <xf numFmtId="0" fontId="6" fillId="3" borderId="0" xfId="14" applyFont="1" applyFill="1" applyBorder="1" applyAlignment="1">
      <alignment horizontal="left" vertical="top" wrapText="1"/>
    </xf>
    <xf numFmtId="0" fontId="7" fillId="3" borderId="0" xfId="14" applyFont="1" applyFill="1" applyBorder="1" applyAlignment="1">
      <alignment horizontal="left" vertical="top" wrapText="1"/>
    </xf>
    <xf numFmtId="0" fontId="17" fillId="3" borderId="0" xfId="0" applyFont="1" applyFill="1" applyAlignment="1">
      <alignment horizontal="left"/>
    </xf>
    <xf numFmtId="0" fontId="21" fillId="3" borderId="0" xfId="4" applyFont="1" applyFill="1" applyAlignment="1">
      <alignment horizontal="left" vertical="center" wrapText="1"/>
    </xf>
    <xf numFmtId="0" fontId="21" fillId="3" borderId="0" xfId="4" applyFont="1" applyFill="1" applyAlignment="1">
      <alignment horizontal="left" vertical="center"/>
    </xf>
    <xf numFmtId="3" fontId="20" fillId="3" borderId="1" xfId="4" applyNumberFormat="1" applyFont="1" applyFill="1" applyBorder="1" applyAlignment="1">
      <alignment horizontal="right" vertical="center"/>
    </xf>
    <xf numFmtId="0" fontId="21" fillId="5" borderId="0" xfId="4" applyFont="1" applyFill="1" applyAlignment="1">
      <alignment vertical="center" wrapText="1"/>
    </xf>
    <xf numFmtId="0" fontId="18" fillId="3" borderId="0" xfId="6" applyFont="1" applyFill="1" applyAlignment="1">
      <alignment vertical="top" wrapText="1"/>
    </xf>
    <xf numFmtId="0" fontId="17" fillId="5" borderId="0" xfId="0" applyFont="1" applyFill="1"/>
    <xf numFmtId="0" fontId="17" fillId="3" borderId="0" xfId="0" applyFont="1" applyFill="1"/>
    <xf numFmtId="0" fontId="17" fillId="5" borderId="0" xfId="0" applyFont="1" applyFill="1" applyAlignment="1">
      <alignment horizontal="left"/>
    </xf>
    <xf numFmtId="174" fontId="17" fillId="5" borderId="0" xfId="1" applyNumberFormat="1" applyFont="1" applyFill="1" applyAlignment="1">
      <alignment horizontal="right"/>
    </xf>
    <xf numFmtId="174" fontId="17" fillId="3" borderId="0" xfId="1" applyNumberFormat="1" applyFont="1" applyFill="1" applyAlignment="1">
      <alignment horizontal="right"/>
    </xf>
    <xf numFmtId="174" fontId="17" fillId="5" borderId="0" xfId="1" applyNumberFormat="1" applyFont="1" applyFill="1" applyAlignment="1">
      <alignment horizontal="center"/>
    </xf>
    <xf numFmtId="174" fontId="17" fillId="3" borderId="4" xfId="1" applyNumberFormat="1" applyFont="1" applyFill="1" applyBorder="1" applyAlignment="1">
      <alignment horizontal="right"/>
    </xf>
    <xf numFmtId="0" fontId="8" fillId="3" borderId="0" xfId="4" applyFont="1" applyFill="1" applyAlignment="1">
      <alignment vertical="center" wrapText="1"/>
    </xf>
    <xf numFmtId="0" fontId="8" fillId="3" borderId="0" xfId="4" applyFont="1" applyFill="1" applyAlignment="1">
      <alignment vertical="center"/>
    </xf>
    <xf numFmtId="174" fontId="9" fillId="3" borderId="0" xfId="1" applyNumberFormat="1" applyFont="1" applyFill="1" applyAlignment="1">
      <alignment horizontal="right" vertical="center"/>
    </xf>
    <xf numFmtId="174" fontId="8" fillId="3" borderId="0" xfId="1" applyNumberFormat="1" applyFont="1" applyFill="1" applyAlignment="1">
      <alignment horizontal="right" vertical="center" wrapText="1"/>
    </xf>
    <xf numFmtId="174" fontId="9" fillId="5" borderId="0" xfId="1" applyNumberFormat="1" applyFont="1" applyFill="1" applyAlignment="1">
      <alignment horizontal="right" vertical="center"/>
    </xf>
    <xf numFmtId="174" fontId="8" fillId="3" borderId="0" xfId="1" applyNumberFormat="1" applyFont="1" applyFill="1" applyAlignment="1">
      <alignment horizontal="right" vertical="center"/>
    </xf>
    <xf numFmtId="174" fontId="9" fillId="3" borderId="0" xfId="1" applyNumberFormat="1" applyFont="1" applyFill="1"/>
    <xf numFmtId="174" fontId="9" fillId="5" borderId="0" xfId="1" applyNumberFormat="1" applyFont="1" applyFill="1"/>
    <xf numFmtId="174" fontId="9" fillId="5" borderId="0" xfId="1" applyNumberFormat="1" applyFont="1" applyFill="1" applyAlignment="1">
      <alignment vertical="center"/>
    </xf>
    <xf numFmtId="174" fontId="9" fillId="3" borderId="0" xfId="1" applyNumberFormat="1" applyFont="1" applyFill="1" applyAlignment="1">
      <alignment vertical="center"/>
    </xf>
    <xf numFmtId="174" fontId="8" fillId="3" borderId="0" xfId="1" applyNumberFormat="1" applyFont="1" applyFill="1"/>
    <xf numFmtId="174" fontId="8" fillId="3" borderId="0" xfId="1" applyNumberFormat="1" applyFont="1" applyFill="1" applyAlignment="1">
      <alignment vertical="center"/>
    </xf>
    <xf numFmtId="174" fontId="21" fillId="5" borderId="0" xfId="1" applyNumberFormat="1" applyFont="1" applyFill="1" applyAlignment="1">
      <alignment horizontal="center"/>
    </xf>
    <xf numFmtId="174" fontId="21" fillId="5" borderId="0" xfId="1" applyNumberFormat="1" applyFont="1" applyFill="1" applyAlignment="1">
      <alignment horizontal="right" vertical="center" wrapText="1"/>
    </xf>
    <xf numFmtId="174" fontId="8" fillId="5" borderId="0" xfId="1" applyNumberFormat="1" applyFont="1" applyFill="1"/>
    <xf numFmtId="174" fontId="8" fillId="5" borderId="0" xfId="1" applyNumberFormat="1" applyFont="1" applyFill="1" applyAlignment="1">
      <alignment vertical="center" wrapText="1"/>
    </xf>
    <xf numFmtId="174" fontId="8" fillId="3" borderId="0" xfId="1" applyNumberFormat="1" applyFont="1" applyFill="1" applyAlignment="1">
      <alignment vertical="center" wrapText="1"/>
    </xf>
    <xf numFmtId="0" fontId="6" fillId="4" borderId="0" xfId="11" applyFont="1" applyFill="1" applyAlignment="1">
      <alignment vertical="top" wrapText="1"/>
    </xf>
    <xf numFmtId="0" fontId="6" fillId="3" borderId="0" xfId="11" applyFont="1" applyFill="1" applyAlignment="1">
      <alignment vertical="top" wrapText="1"/>
    </xf>
    <xf numFmtId="0" fontId="7" fillId="3" borderId="0" xfId="11" applyFont="1" applyFill="1" applyAlignment="1">
      <alignment horizontal="left" vertical="top" wrapText="1" indent="1"/>
    </xf>
    <xf numFmtId="0" fontId="6" fillId="4" borderId="0" xfId="11" applyFont="1" applyFill="1" applyAlignment="1">
      <alignment horizontal="left" vertical="top" wrapText="1"/>
    </xf>
    <xf numFmtId="0" fontId="6" fillId="3" borderId="0" xfId="11" applyFont="1" applyFill="1" applyAlignment="1">
      <alignment horizontal="left" vertical="top" wrapText="1" indent="1"/>
    </xf>
    <xf numFmtId="169" fontId="6" fillId="4" borderId="0" xfId="1" applyNumberFormat="1" applyFont="1" applyFill="1" applyBorder="1" applyAlignment="1">
      <alignment vertical="top" wrapText="1"/>
    </xf>
    <xf numFmtId="172" fontId="6" fillId="4" borderId="0" xfId="1" applyNumberFormat="1" applyFont="1" applyFill="1" applyBorder="1" applyAlignment="1">
      <alignment horizontal="center" vertical="center"/>
    </xf>
    <xf numFmtId="169" fontId="6" fillId="3" borderId="0" xfId="1" applyNumberFormat="1" applyFont="1" applyFill="1" applyBorder="1" applyAlignment="1">
      <alignment vertical="top" wrapText="1"/>
    </xf>
    <xf numFmtId="172" fontId="6" fillId="3" borderId="0" xfId="1" applyNumberFormat="1" applyFont="1" applyFill="1" applyBorder="1" applyAlignment="1">
      <alignment horizontal="center" vertical="center"/>
    </xf>
    <xf numFmtId="0" fontId="7" fillId="3" borderId="0" xfId="44" applyFont="1" applyFill="1" applyAlignment="1">
      <alignment horizontal="left" vertical="top" wrapText="1" indent="1"/>
    </xf>
    <xf numFmtId="172" fontId="7" fillId="3" borderId="0" xfId="44" applyNumberFormat="1" applyFont="1" applyFill="1" applyAlignment="1">
      <alignment horizontal="right" vertical="center"/>
    </xf>
    <xf numFmtId="172" fontId="7" fillId="3" borderId="0" xfId="44" applyNumberFormat="1" applyFont="1" applyFill="1" applyAlignment="1">
      <alignment horizontal="center" vertical="center"/>
    </xf>
    <xf numFmtId="0" fontId="7" fillId="4" borderId="0" xfId="44" applyFont="1" applyFill="1" applyAlignment="1">
      <alignment horizontal="left" vertical="top" wrapText="1"/>
    </xf>
    <xf numFmtId="172" fontId="7" fillId="4" borderId="0" xfId="44" applyNumberFormat="1" applyFont="1" applyFill="1" applyAlignment="1">
      <alignment horizontal="right" vertical="center"/>
    </xf>
    <xf numFmtId="172" fontId="7" fillId="4" borderId="0" xfId="44" applyNumberFormat="1" applyFont="1" applyFill="1" applyAlignment="1">
      <alignment horizontal="center" vertical="center"/>
    </xf>
    <xf numFmtId="0" fontId="7" fillId="3" borderId="1" xfId="45" applyFont="1" applyFill="1" applyBorder="1" applyAlignment="1">
      <alignment horizontal="right" wrapText="1"/>
    </xf>
    <xf numFmtId="0" fontId="6" fillId="4" borderId="0" xfId="45" applyFont="1" applyFill="1" applyAlignment="1">
      <alignment horizontal="left" vertical="top"/>
    </xf>
    <xf numFmtId="0" fontId="6" fillId="3" borderId="0" xfId="45" applyFont="1" applyFill="1" applyAlignment="1">
      <alignment horizontal="left" vertical="top"/>
    </xf>
    <xf numFmtId="0" fontId="7" fillId="3" borderId="0" xfId="45" applyFont="1" applyFill="1" applyAlignment="1">
      <alignment horizontal="left" vertical="top"/>
    </xf>
    <xf numFmtId="0" fontId="7" fillId="3" borderId="1" xfId="47" applyFont="1" applyFill="1" applyBorder="1" applyAlignment="1">
      <alignment horizontal="center" vertical="center" wrapText="1"/>
    </xf>
    <xf numFmtId="0" fontId="7" fillId="3" borderId="1" xfId="47" applyFont="1" applyFill="1" applyBorder="1" applyAlignment="1">
      <alignment horizontal="center" wrapText="1"/>
    </xf>
    <xf numFmtId="0" fontId="6" fillId="4" borderId="0" xfId="47" applyFont="1" applyFill="1" applyAlignment="1">
      <alignment vertical="top" wrapText="1"/>
    </xf>
    <xf numFmtId="165" fontId="6" fillId="4" borderId="0" xfId="1" applyNumberFormat="1" applyFont="1" applyFill="1" applyBorder="1" applyAlignment="1">
      <alignment horizontal="right" vertical="center"/>
    </xf>
    <xf numFmtId="0" fontId="6" fillId="3" borderId="0" xfId="47" applyFont="1" applyFill="1" applyAlignment="1">
      <alignment vertical="top" wrapText="1"/>
    </xf>
    <xf numFmtId="165" fontId="6" fillId="3" borderId="0" xfId="1" applyNumberFormat="1" applyFont="1" applyFill="1" applyBorder="1" applyAlignment="1">
      <alignment horizontal="right" vertical="center"/>
    </xf>
    <xf numFmtId="0" fontId="7" fillId="3" borderId="0" xfId="47" applyFont="1" applyFill="1" applyAlignment="1">
      <alignment horizontal="left" vertical="top" wrapText="1" indent="1"/>
    </xf>
    <xf numFmtId="165" fontId="7" fillId="3" borderId="0" xfId="1" applyNumberFormat="1" applyFont="1" applyFill="1" applyBorder="1" applyAlignment="1">
      <alignment horizontal="right" vertical="center"/>
    </xf>
    <xf numFmtId="0" fontId="6" fillId="4" borderId="0" xfId="47" applyFont="1" applyFill="1" applyAlignment="1">
      <alignment horizontal="left" vertical="top" wrapText="1"/>
    </xf>
    <xf numFmtId="0" fontId="7" fillId="3" borderId="1" xfId="48" applyFont="1" applyFill="1" applyBorder="1" applyAlignment="1">
      <alignment horizontal="center" wrapText="1"/>
    </xf>
    <xf numFmtId="0" fontId="6" fillId="4" borderId="0" xfId="48" applyFont="1" applyFill="1" applyAlignment="1">
      <alignment vertical="top" wrapText="1"/>
    </xf>
    <xf numFmtId="0" fontId="6" fillId="3" borderId="0" xfId="48" applyFont="1" applyFill="1" applyAlignment="1">
      <alignment vertical="top" wrapText="1"/>
    </xf>
    <xf numFmtId="0" fontId="7" fillId="3" borderId="0" xfId="48" applyFont="1" applyFill="1" applyAlignment="1">
      <alignment horizontal="left" vertical="top" wrapText="1" indent="1"/>
    </xf>
    <xf numFmtId="0" fontId="6" fillId="4" borderId="0" xfId="48" applyFont="1" applyFill="1" applyAlignment="1">
      <alignment horizontal="left" vertical="top" wrapText="1"/>
    </xf>
    <xf numFmtId="0" fontId="6" fillId="3" borderId="0" xfId="48" applyFont="1" applyFill="1" applyAlignment="1">
      <alignment horizontal="left" vertical="top" wrapText="1" indent="1"/>
    </xf>
    <xf numFmtId="0" fontId="7" fillId="3" borderId="2" xfId="49" applyFont="1" applyFill="1" applyBorder="1" applyAlignment="1">
      <alignment horizontal="center" vertical="center" wrapText="1"/>
    </xf>
    <xf numFmtId="0" fontId="6" fillId="4" borderId="0" xfId="49" applyFont="1" applyFill="1" applyAlignment="1">
      <alignment horizontal="left" vertical="top" wrapText="1"/>
    </xf>
    <xf numFmtId="0" fontId="6" fillId="3" borderId="0" xfId="49" applyFont="1" applyFill="1" applyAlignment="1">
      <alignment horizontal="left" vertical="top" wrapText="1"/>
    </xf>
    <xf numFmtId="0" fontId="7" fillId="3" borderId="0" xfId="49" applyFont="1" applyFill="1" applyAlignment="1">
      <alignment horizontal="left" vertical="top" wrapText="1" indent="1"/>
    </xf>
    <xf numFmtId="0" fontId="7" fillId="3" borderId="1" xfId="50" applyFont="1" applyFill="1" applyBorder="1" applyAlignment="1">
      <alignment horizontal="center" wrapText="1"/>
    </xf>
    <xf numFmtId="0" fontId="6" fillId="4" borderId="0" xfId="50" applyFont="1" applyFill="1" applyAlignment="1">
      <alignment horizontal="left" vertical="top" wrapText="1"/>
    </xf>
    <xf numFmtId="0" fontId="6" fillId="3" borderId="0" xfId="50" applyFont="1" applyFill="1" applyAlignment="1">
      <alignment horizontal="left" vertical="top" wrapText="1"/>
    </xf>
    <xf numFmtId="0" fontId="7" fillId="3" borderId="0" xfId="50" applyFont="1" applyFill="1" applyAlignment="1">
      <alignment horizontal="left" vertical="top" wrapText="1" indent="1"/>
    </xf>
    <xf numFmtId="0" fontId="7" fillId="3" borderId="1" xfId="51" applyFont="1" applyFill="1" applyBorder="1" applyAlignment="1">
      <alignment vertical="center" wrapText="1"/>
    </xf>
    <xf numFmtId="0" fontId="6" fillId="4" borderId="0" xfId="51" applyFont="1" applyFill="1" applyAlignment="1">
      <alignment vertical="top" wrapText="1"/>
    </xf>
    <xf numFmtId="0" fontId="6" fillId="3" borderId="0" xfId="51" applyFont="1" applyFill="1" applyAlignment="1">
      <alignment horizontal="left" vertical="top" wrapText="1"/>
    </xf>
    <xf numFmtId="0" fontId="6" fillId="4" borderId="0" xfId="51" applyFont="1" applyFill="1" applyAlignment="1">
      <alignment horizontal="left" vertical="top" wrapText="1"/>
    </xf>
    <xf numFmtId="0" fontId="7" fillId="3" borderId="0" xfId="51" applyFont="1" applyFill="1" applyAlignment="1">
      <alignment horizontal="left" vertical="top" wrapText="1" indent="1"/>
    </xf>
    <xf numFmtId="0" fontId="6" fillId="3" borderId="0" xfId="51" applyFont="1" applyFill="1" applyAlignment="1">
      <alignment horizontal="left" vertical="top" wrapText="1" indent="1"/>
    </xf>
    <xf numFmtId="0" fontId="6" fillId="4" borderId="0" xfId="52" applyFont="1" applyFill="1" applyBorder="1" applyAlignment="1">
      <alignment vertical="top" wrapText="1"/>
    </xf>
    <xf numFmtId="0" fontId="6" fillId="4" borderId="0" xfId="52" applyFont="1" applyFill="1" applyBorder="1" applyAlignment="1">
      <alignment horizontal="left" vertical="top" wrapText="1"/>
    </xf>
    <xf numFmtId="0" fontId="7" fillId="3" borderId="0" xfId="52" applyFont="1" applyFill="1" applyBorder="1" applyAlignment="1">
      <alignment horizontal="left" vertical="top" wrapText="1" indent="1"/>
    </xf>
    <xf numFmtId="0" fontId="6" fillId="4" borderId="0" xfId="53" applyFont="1" applyFill="1" applyBorder="1" applyAlignment="1">
      <alignment horizontal="left" vertical="top" wrapText="1"/>
    </xf>
    <xf numFmtId="0" fontId="6" fillId="3" borderId="0" xfId="53" applyFont="1" applyFill="1" applyBorder="1" applyAlignment="1">
      <alignment horizontal="left" vertical="top" wrapText="1"/>
    </xf>
    <xf numFmtId="0" fontId="7" fillId="3" borderId="0" xfId="53" applyFont="1" applyFill="1" applyBorder="1" applyAlignment="1">
      <alignment horizontal="left" vertical="top" wrapText="1" indent="1"/>
    </xf>
    <xf numFmtId="0" fontId="6" fillId="3" borderId="0" xfId="53" applyFont="1" applyFill="1" applyBorder="1" applyAlignment="1">
      <alignment horizontal="left" vertical="top" wrapText="1" indent="1"/>
    </xf>
    <xf numFmtId="0" fontId="7" fillId="3" borderId="1" xfId="54" applyFont="1" applyFill="1" applyBorder="1" applyAlignment="1">
      <alignment horizontal="center" wrapText="1"/>
    </xf>
    <xf numFmtId="0" fontId="6" fillId="4" borderId="0" xfId="54" applyFont="1" applyFill="1" applyBorder="1" applyAlignment="1">
      <alignment vertical="top" wrapText="1"/>
    </xf>
    <xf numFmtId="0" fontId="6" fillId="4" borderId="0" xfId="54" applyFont="1" applyFill="1" applyBorder="1" applyAlignment="1">
      <alignment horizontal="left" vertical="top" wrapText="1"/>
    </xf>
    <xf numFmtId="0" fontId="7" fillId="3" borderId="0" xfId="54" applyFont="1" applyFill="1" applyBorder="1" applyAlignment="1">
      <alignment horizontal="left" vertical="top" wrapText="1" indent="1"/>
    </xf>
    <xf numFmtId="0" fontId="6" fillId="3" borderId="0" xfId="54" applyFont="1" applyFill="1" applyBorder="1" applyAlignment="1">
      <alignment horizontal="left" vertical="top" wrapText="1" indent="1"/>
    </xf>
    <xf numFmtId="0" fontId="7" fillId="3" borderId="2" xfId="29" applyFont="1" applyFill="1" applyBorder="1" applyAlignment="1">
      <alignment horizontal="center" wrapText="1"/>
    </xf>
    <xf numFmtId="0" fontId="11" fillId="3" borderId="2" xfId="5" applyFont="1" applyFill="1" applyBorder="1" applyAlignment="1">
      <alignment horizontal="center" vertical="center" wrapText="1"/>
    </xf>
    <xf numFmtId="169" fontId="7" fillId="3" borderId="0" xfId="1" applyNumberFormat="1" applyFont="1" applyFill="1" applyBorder="1" applyAlignment="1">
      <alignment horizontal="center" vertical="center"/>
    </xf>
    <xf numFmtId="0" fontId="7" fillId="3" borderId="0" xfId="53" applyFont="1" applyFill="1" applyBorder="1" applyAlignment="1">
      <alignment horizontal="left" vertical="top" indent="1"/>
    </xf>
    <xf numFmtId="0" fontId="11" fillId="2" borderId="0" xfId="0" applyFont="1" applyFill="1" applyBorder="1"/>
    <xf numFmtId="0" fontId="7" fillId="3" borderId="0" xfId="53" applyFont="1" applyFill="1" applyBorder="1" applyAlignment="1">
      <alignment horizontal="left" vertical="top" wrapText="1" indent="2"/>
    </xf>
    <xf numFmtId="0" fontId="16" fillId="3" borderId="0" xfId="0" applyFont="1" applyFill="1" applyBorder="1"/>
    <xf numFmtId="0" fontId="7" fillId="3" borderId="0" xfId="54" applyFont="1" applyFill="1" applyBorder="1" applyAlignment="1">
      <alignment horizontal="left" vertical="top" wrapText="1" indent="2"/>
    </xf>
    <xf numFmtId="0" fontId="7" fillId="3" borderId="0" xfId="54" applyFont="1" applyFill="1" applyBorder="1" applyAlignment="1">
      <alignment horizontal="left" vertical="top" indent="2"/>
    </xf>
    <xf numFmtId="0" fontId="11" fillId="2" borderId="0" xfId="0" applyFont="1" applyFill="1" applyBorder="1" applyAlignment="1">
      <alignment horizontal="center"/>
    </xf>
    <xf numFmtId="0" fontId="7" fillId="3" borderId="0" xfId="48" applyFont="1" applyFill="1" applyAlignment="1">
      <alignment horizontal="left" vertical="top" indent="1"/>
    </xf>
    <xf numFmtId="0" fontId="7" fillId="3" borderId="0" xfId="50" applyFont="1" applyFill="1" applyAlignment="1">
      <alignment horizontal="left" vertical="top" indent="1"/>
    </xf>
    <xf numFmtId="0" fontId="7" fillId="3" borderId="1" xfId="51" applyFont="1" applyFill="1" applyBorder="1" applyAlignment="1">
      <alignment horizontal="center" vertical="center" wrapText="1"/>
    </xf>
    <xf numFmtId="0" fontId="7" fillId="3" borderId="0" xfId="51" applyFont="1" applyFill="1" applyAlignment="1">
      <alignment horizontal="left" vertical="top" wrapText="1" indent="2"/>
    </xf>
    <xf numFmtId="0" fontId="7" fillId="3" borderId="0" xfId="52" applyFont="1" applyFill="1" applyBorder="1" applyAlignment="1">
      <alignment horizontal="left" vertical="top" wrapText="1" indent="2"/>
    </xf>
    <xf numFmtId="0" fontId="7" fillId="3" borderId="0" xfId="52" applyFont="1" applyFill="1" applyBorder="1" applyAlignment="1">
      <alignment horizontal="left" vertical="top" indent="2"/>
    </xf>
    <xf numFmtId="0" fontId="7" fillId="3" borderId="0" xfId="17" applyFont="1" applyFill="1" applyBorder="1" applyAlignment="1">
      <alignment horizontal="left" vertical="top" wrapText="1" indent="2"/>
    </xf>
    <xf numFmtId="0" fontId="7" fillId="3" borderId="0" xfId="15" applyFont="1" applyFill="1" applyBorder="1" applyAlignment="1">
      <alignment horizontal="left" vertical="top" wrapText="1" indent="2"/>
    </xf>
    <xf numFmtId="0" fontId="7" fillId="3" borderId="2" xfId="13" applyFont="1" applyFill="1" applyBorder="1" applyAlignment="1">
      <alignment horizontal="center" vertical="center" wrapText="1"/>
    </xf>
    <xf numFmtId="0" fontId="9" fillId="2" borderId="3" xfId="12" applyFont="1" applyFill="1" applyBorder="1"/>
    <xf numFmtId="0" fontId="7" fillId="3" borderId="1" xfId="12" applyFont="1" applyFill="1" applyBorder="1" applyAlignment="1">
      <alignment horizontal="center" vertical="center" wrapText="1"/>
    </xf>
    <xf numFmtId="0" fontId="7" fillId="3" borderId="2" xfId="12" applyFont="1" applyFill="1" applyBorder="1" applyAlignment="1">
      <alignment horizontal="center" vertical="center" wrapText="1"/>
    </xf>
    <xf numFmtId="0" fontId="9" fillId="3" borderId="1" xfId="12" applyFont="1" applyFill="1" applyBorder="1" applyAlignment="1">
      <alignment vertical="center" wrapText="1"/>
    </xf>
    <xf numFmtId="0" fontId="7" fillId="3" borderId="0" xfId="11" applyFont="1" applyFill="1" applyAlignment="1">
      <alignment horizontal="left" vertical="top" wrapText="1" indent="2"/>
    </xf>
    <xf numFmtId="0" fontId="19" fillId="3" borderId="0" xfId="39" applyFont="1" applyFill="1" applyAlignment="1">
      <alignment horizontal="left" vertical="top" wrapText="1" indent="2"/>
    </xf>
    <xf numFmtId="0" fontId="19" fillId="3" borderId="0" xfId="39" applyFont="1" applyFill="1" applyAlignment="1">
      <alignment horizontal="left" vertical="top" indent="2"/>
    </xf>
    <xf numFmtId="0" fontId="16" fillId="2" borderId="0" xfId="0" applyFont="1" applyFill="1" applyBorder="1"/>
    <xf numFmtId="0" fontId="16" fillId="2" borderId="0" xfId="0" applyFont="1" applyFill="1" applyBorder="1" applyAlignment="1">
      <alignment horizontal="center"/>
    </xf>
    <xf numFmtId="0" fontId="6" fillId="4" borderId="0" xfId="55" applyFont="1" applyFill="1" applyAlignment="1">
      <alignment vertical="top" wrapText="1"/>
    </xf>
    <xf numFmtId="0" fontId="6" fillId="3" borderId="0" xfId="55" applyFont="1" applyFill="1" applyAlignment="1">
      <alignment horizontal="left" vertical="top" wrapText="1"/>
    </xf>
    <xf numFmtId="0" fontId="6" fillId="4" borderId="0" xfId="55" applyFont="1" applyFill="1" applyAlignment="1">
      <alignment horizontal="left" vertical="top" wrapText="1"/>
    </xf>
    <xf numFmtId="0" fontId="7" fillId="3" borderId="0" xfId="55" applyFont="1" applyFill="1" applyAlignment="1">
      <alignment horizontal="left" vertical="top" wrapText="1" indent="1"/>
    </xf>
    <xf numFmtId="0" fontId="6" fillId="3" borderId="0" xfId="55" applyFont="1" applyFill="1" applyAlignment="1">
      <alignment horizontal="left" vertical="top" wrapText="1" indent="1"/>
    </xf>
    <xf numFmtId="0" fontId="7" fillId="3" borderId="0" xfId="55" applyFont="1" applyFill="1" applyAlignment="1">
      <alignment horizontal="left" vertical="top" wrapText="1" indent="2"/>
    </xf>
    <xf numFmtId="0" fontId="7" fillId="3" borderId="0" xfId="55" applyFont="1" applyFill="1" applyAlignment="1">
      <alignment horizontal="left" vertical="center" indent="2"/>
    </xf>
    <xf numFmtId="0" fontId="6" fillId="3" borderId="0" xfId="3" applyFont="1" applyFill="1" applyBorder="1" applyAlignment="1">
      <alignment vertical="top" wrapText="1"/>
    </xf>
    <xf numFmtId="0" fontId="7" fillId="3" borderId="0" xfId="3" applyFont="1" applyFill="1" applyBorder="1" applyAlignment="1">
      <alignment horizontal="left" vertical="top" wrapText="1" indent="1"/>
    </xf>
    <xf numFmtId="0" fontId="7" fillId="3" borderId="1" xfId="2" applyFont="1" applyFill="1" applyBorder="1" applyAlignment="1">
      <alignment horizontal="left" wrapText="1"/>
    </xf>
    <xf numFmtId="0" fontId="6" fillId="3" borderId="0" xfId="2" applyFont="1" applyFill="1" applyBorder="1" applyAlignment="1">
      <alignment horizontal="left" vertical="top" wrapText="1"/>
    </xf>
    <xf numFmtId="0" fontId="11" fillId="3" borderId="0" xfId="0" applyFont="1" applyFill="1" applyAlignment="1">
      <alignment horizontal="left"/>
    </xf>
    <xf numFmtId="0" fontId="11" fillId="3" borderId="0" xfId="0" applyFont="1" applyFill="1" applyBorder="1" applyAlignment="1">
      <alignment horizontal="left"/>
    </xf>
    <xf numFmtId="0" fontId="7" fillId="3" borderId="0" xfId="41" applyFont="1" applyFill="1" applyBorder="1" applyAlignment="1">
      <alignment horizontal="left" vertical="top" wrapText="1"/>
    </xf>
    <xf numFmtId="0" fontId="7" fillId="3" borderId="0" xfId="23" applyFont="1" applyFill="1" applyAlignment="1">
      <alignment horizontal="left" vertical="top" wrapText="1" indent="1"/>
    </xf>
    <xf numFmtId="0" fontId="7" fillId="3" borderId="0" xfId="20" applyFont="1" applyFill="1" applyAlignment="1">
      <alignment horizontal="left" vertical="top" wrapText="1" indent="1"/>
    </xf>
    <xf numFmtId="0" fontId="7" fillId="3" borderId="0" xfId="19" applyFont="1" applyFill="1" applyAlignment="1">
      <alignment horizontal="left" vertical="top" wrapText="1" indent="1"/>
    </xf>
    <xf numFmtId="0" fontId="7" fillId="3" borderId="0" xfId="21" applyFont="1" applyFill="1" applyBorder="1" applyAlignment="1">
      <alignment horizontal="left" vertical="top" wrapText="1" indent="1"/>
    </xf>
    <xf numFmtId="0" fontId="7" fillId="3" borderId="1" xfId="41" applyFont="1" applyFill="1" applyBorder="1" applyAlignment="1">
      <alignment horizontal="center" wrapText="1"/>
    </xf>
    <xf numFmtId="0" fontId="7" fillId="3" borderId="1" xfId="19" applyFont="1" applyFill="1" applyBorder="1" applyAlignment="1">
      <alignment horizontal="center" wrapText="1"/>
    </xf>
    <xf numFmtId="0" fontId="7" fillId="3" borderId="1" xfId="42" applyFont="1" applyFill="1" applyBorder="1" applyAlignment="1">
      <alignment horizontal="center" wrapText="1"/>
    </xf>
    <xf numFmtId="0" fontId="6" fillId="3" borderId="3" xfId="23" applyFont="1" applyFill="1" applyBorder="1" applyAlignment="1">
      <alignment vertical="center" wrapText="1"/>
    </xf>
    <xf numFmtId="0" fontId="7" fillId="3" borderId="0" xfId="23" applyFont="1" applyFill="1" applyBorder="1" applyAlignment="1">
      <alignment horizontal="center" wrapText="1"/>
    </xf>
    <xf numFmtId="0" fontId="7" fillId="3" borderId="2" xfId="41" applyFont="1" applyFill="1" applyBorder="1" applyAlignment="1">
      <alignment horizontal="center" wrapText="1"/>
    </xf>
    <xf numFmtId="0" fontId="7" fillId="3" borderId="1" xfId="20" applyFont="1" applyFill="1" applyBorder="1" applyAlignment="1">
      <alignment horizontal="left" wrapText="1"/>
    </xf>
    <xf numFmtId="0" fontId="7" fillId="3" borderId="1" xfId="20" applyFont="1" applyFill="1" applyBorder="1" applyAlignment="1">
      <alignment horizontal="center" wrapText="1"/>
    </xf>
    <xf numFmtId="0" fontId="7" fillId="3" borderId="0" xfId="21" applyFont="1" applyFill="1" applyAlignment="1">
      <alignment horizontal="center" wrapText="1"/>
    </xf>
    <xf numFmtId="0" fontId="7" fillId="3" borderId="1" xfId="6" applyFont="1" applyFill="1" applyBorder="1" applyAlignment="1">
      <alignment horizontal="center" wrapText="1"/>
    </xf>
    <xf numFmtId="0" fontId="7" fillId="3" borderId="1" xfId="6" applyFont="1" applyFill="1" applyBorder="1" applyAlignment="1">
      <alignment horizontal="right" wrapText="1" indent="3"/>
    </xf>
    <xf numFmtId="0" fontId="7" fillId="3" borderId="0" xfId="6" applyFont="1" applyFill="1" applyAlignment="1">
      <alignment wrapText="1"/>
    </xf>
    <xf numFmtId="0" fontId="7" fillId="3" borderId="1" xfId="28" applyFont="1" applyFill="1" applyBorder="1" applyAlignment="1">
      <alignment horizontal="center" wrapText="1"/>
    </xf>
    <xf numFmtId="0" fontId="10" fillId="3" borderId="0" xfId="5" applyFont="1" applyFill="1" applyBorder="1" applyAlignment="1">
      <alignment horizontal="center" vertical="center" wrapText="1"/>
    </xf>
    <xf numFmtId="173" fontId="7" fillId="3" borderId="0" xfId="5" applyNumberFormat="1" applyFont="1" applyFill="1" applyAlignment="1">
      <alignment horizontal="center" vertical="center"/>
    </xf>
    <xf numFmtId="173" fontId="7" fillId="3" borderId="2" xfId="5" applyNumberFormat="1" applyFont="1" applyFill="1" applyBorder="1" applyAlignment="1">
      <alignment horizontal="center" vertical="center"/>
    </xf>
    <xf numFmtId="2" fontId="6" fillId="3" borderId="0" xfId="1" applyNumberFormat="1" applyFont="1" applyFill="1" applyAlignment="1">
      <alignment horizontal="right" vertical="center"/>
    </xf>
    <xf numFmtId="2" fontId="7" fillId="3" borderId="0" xfId="1" applyNumberFormat="1" applyFont="1" applyFill="1" applyAlignment="1">
      <alignment horizontal="right" vertical="center"/>
    </xf>
    <xf numFmtId="1" fontId="6" fillId="3" borderId="0" xfId="1" applyNumberFormat="1" applyFont="1" applyFill="1" applyAlignment="1">
      <alignment horizontal="right" vertical="center"/>
    </xf>
    <xf numFmtId="1" fontId="7" fillId="3" borderId="0" xfId="1" applyNumberFormat="1" applyFont="1" applyFill="1" applyAlignment="1">
      <alignment horizontal="right" vertical="center"/>
    </xf>
    <xf numFmtId="174" fontId="6" fillId="4" borderId="0" xfId="1" applyNumberFormat="1" applyFont="1" applyFill="1" applyAlignment="1">
      <alignment horizontal="center" vertical="center"/>
    </xf>
    <xf numFmtId="174" fontId="7" fillId="3" borderId="0" xfId="1" applyNumberFormat="1" applyFont="1" applyFill="1" applyAlignment="1">
      <alignment horizontal="center" vertical="center"/>
    </xf>
    <xf numFmtId="1" fontId="6" fillId="3" borderId="0" xfId="1" applyNumberFormat="1" applyFont="1" applyFill="1" applyAlignment="1">
      <alignment horizontal="center" vertical="center"/>
    </xf>
    <xf numFmtId="1" fontId="7" fillId="3" borderId="0" xfId="1" applyNumberFormat="1" applyFont="1" applyFill="1" applyAlignment="1">
      <alignment horizontal="center" vertical="center"/>
    </xf>
    <xf numFmtId="174" fontId="6" fillId="3" borderId="0" xfId="1" applyNumberFormat="1" applyFont="1" applyFill="1" applyAlignment="1">
      <alignment horizontal="center" vertical="center"/>
    </xf>
    <xf numFmtId="1" fontId="6" fillId="4" borderId="0" xfId="1" applyNumberFormat="1" applyFont="1" applyFill="1" applyAlignment="1">
      <alignment horizontal="center" vertical="center"/>
    </xf>
    <xf numFmtId="0" fontId="19" fillId="3" borderId="2" xfId="6" applyFont="1" applyFill="1" applyBorder="1" applyAlignment="1">
      <alignment horizontal="center" vertical="center"/>
    </xf>
    <xf numFmtId="2" fontId="6" fillId="5" borderId="0" xfId="1" applyNumberFormat="1" applyFont="1" applyFill="1" applyAlignment="1">
      <alignment horizontal="right" vertical="center"/>
    </xf>
    <xf numFmtId="0" fontId="6" fillId="5" borderId="0" xfId="27" applyFont="1" applyFill="1" applyAlignment="1">
      <alignment horizontal="left" vertical="top" wrapText="1"/>
    </xf>
    <xf numFmtId="0" fontId="6" fillId="5" borderId="0" xfId="30" applyFont="1" applyFill="1" applyAlignment="1">
      <alignment vertical="top"/>
    </xf>
    <xf numFmtId="0" fontId="6" fillId="3" borderId="0" xfId="30" applyFont="1" applyFill="1" applyAlignment="1">
      <alignment vertical="top"/>
    </xf>
    <xf numFmtId="0" fontId="7" fillId="3" borderId="0" xfId="30" applyFont="1" applyFill="1" applyAlignment="1">
      <alignment horizontal="left" vertical="top"/>
    </xf>
    <xf numFmtId="169" fontId="18" fillId="5" borderId="0" xfId="1" applyNumberFormat="1" applyFont="1" applyFill="1" applyBorder="1" applyAlignment="1">
      <alignment horizontal="center" vertical="center"/>
    </xf>
    <xf numFmtId="0" fontId="18" fillId="5" borderId="0" xfId="39" applyFont="1" applyFill="1" applyAlignment="1">
      <alignment horizontal="center" vertical="top" wrapText="1"/>
    </xf>
    <xf numFmtId="175" fontId="18" fillId="5" borderId="0" xfId="1" applyNumberFormat="1" applyFont="1" applyFill="1" applyBorder="1" applyAlignment="1">
      <alignment horizontal="center" vertical="center"/>
    </xf>
    <xf numFmtId="43" fontId="18" fillId="5" borderId="0" xfId="1" applyNumberFormat="1" applyFont="1" applyFill="1" applyBorder="1" applyAlignment="1">
      <alignment horizontal="center" vertical="center"/>
    </xf>
    <xf numFmtId="173" fontId="18" fillId="5" borderId="0" xfId="39" applyNumberFormat="1" applyFont="1" applyFill="1" applyAlignment="1">
      <alignment horizontal="center" vertical="center"/>
    </xf>
    <xf numFmtId="171" fontId="18" fillId="5" borderId="0" xfId="39" applyNumberFormat="1" applyFont="1" applyFill="1" applyAlignment="1">
      <alignment horizontal="center" vertical="center"/>
    </xf>
    <xf numFmtId="169" fontId="18" fillId="3" borderId="0" xfId="1" applyNumberFormat="1" applyFont="1" applyFill="1" applyBorder="1" applyAlignment="1">
      <alignment horizontal="center" vertical="center"/>
    </xf>
    <xf numFmtId="0" fontId="18" fillId="3" borderId="0" xfId="39" applyFont="1" applyFill="1" applyAlignment="1">
      <alignment horizontal="center" vertical="top" wrapText="1"/>
    </xf>
    <xf numFmtId="175" fontId="18" fillId="3" borderId="0" xfId="1" applyNumberFormat="1" applyFont="1" applyFill="1" applyBorder="1" applyAlignment="1">
      <alignment horizontal="center" vertical="center"/>
    </xf>
    <xf numFmtId="43" fontId="18" fillId="3" borderId="0" xfId="1" applyNumberFormat="1" applyFont="1" applyFill="1" applyBorder="1" applyAlignment="1">
      <alignment horizontal="center" vertical="center"/>
    </xf>
    <xf numFmtId="173" fontId="18" fillId="3" borderId="0" xfId="39" applyNumberFormat="1" applyFont="1" applyFill="1" applyAlignment="1">
      <alignment horizontal="center" vertical="center"/>
    </xf>
    <xf numFmtId="171" fontId="18" fillId="3" borderId="0" xfId="39" applyNumberFormat="1" applyFont="1" applyFill="1" applyAlignment="1">
      <alignment horizontal="center" vertical="center"/>
    </xf>
    <xf numFmtId="169" fontId="19" fillId="3" borderId="0" xfId="1" applyNumberFormat="1" applyFont="1" applyFill="1" applyBorder="1" applyAlignment="1">
      <alignment horizontal="center" vertical="center"/>
    </xf>
    <xf numFmtId="0" fontId="19" fillId="3" borderId="0" xfId="39" applyFont="1" applyFill="1" applyAlignment="1">
      <alignment horizontal="center" vertical="top" wrapText="1"/>
    </xf>
    <xf numFmtId="175" fontId="19" fillId="3" borderId="0" xfId="1" applyNumberFormat="1" applyFont="1" applyFill="1" applyBorder="1" applyAlignment="1">
      <alignment horizontal="center" vertical="center"/>
    </xf>
    <xf numFmtId="43" fontId="19" fillId="3" borderId="0" xfId="1" applyNumberFormat="1" applyFont="1" applyFill="1" applyBorder="1" applyAlignment="1">
      <alignment horizontal="center" vertical="center"/>
    </xf>
    <xf numFmtId="173" fontId="19" fillId="3" borderId="0" xfId="39" applyNumberFormat="1" applyFont="1" applyFill="1" applyAlignment="1">
      <alignment horizontal="center" vertical="center"/>
    </xf>
    <xf numFmtId="171" fontId="19" fillId="3" borderId="0" xfId="39" applyNumberFormat="1" applyFont="1" applyFill="1" applyAlignment="1">
      <alignment horizontal="center" vertical="center"/>
    </xf>
    <xf numFmtId="0" fontId="7" fillId="0" borderId="2" xfId="11" applyFont="1" applyFill="1" applyBorder="1" applyAlignment="1">
      <alignment horizontal="center" wrapText="1"/>
    </xf>
    <xf numFmtId="0" fontId="9" fillId="2" borderId="0" xfId="15" applyFont="1" applyFill="1" applyBorder="1" applyAlignment="1">
      <alignment horizontal="center"/>
    </xf>
    <xf numFmtId="0" fontId="6" fillId="0" borderId="0" xfId="12" applyFont="1" applyFill="1" applyBorder="1" applyAlignment="1">
      <alignment horizontal="left" vertical="top" wrapText="1"/>
    </xf>
    <xf numFmtId="169" fontId="6" fillId="0" borderId="0" xfId="1" applyNumberFormat="1" applyFont="1" applyFill="1" applyBorder="1" applyAlignment="1">
      <alignment horizontal="right" vertical="center"/>
    </xf>
    <xf numFmtId="0" fontId="6" fillId="0" borderId="0" xfId="14" applyFont="1" applyFill="1" applyBorder="1" applyAlignment="1">
      <alignment vertical="top" wrapText="1"/>
    </xf>
    <xf numFmtId="174" fontId="6" fillId="0" borderId="0" xfId="1" applyNumberFormat="1" applyFont="1" applyFill="1" applyBorder="1" applyAlignment="1">
      <alignment horizontal="right" vertical="center"/>
    </xf>
    <xf numFmtId="0" fontId="6" fillId="0" borderId="0" xfId="15" applyFont="1" applyFill="1" applyBorder="1" applyAlignment="1">
      <alignment vertical="top" wrapText="1"/>
    </xf>
    <xf numFmtId="0" fontId="6" fillId="0" borderId="0" xfId="54" applyFont="1" applyFill="1" applyBorder="1" applyAlignment="1">
      <alignment vertical="top" wrapText="1"/>
    </xf>
    <xf numFmtId="169" fontId="6" fillId="4" borderId="0" xfId="1" applyNumberFormat="1" applyFont="1" applyFill="1" applyBorder="1" applyAlignment="1">
      <alignment horizontal="center" vertical="center"/>
    </xf>
    <xf numFmtId="169" fontId="6" fillId="3" borderId="0" xfId="1" applyNumberFormat="1" applyFont="1" applyFill="1" applyBorder="1" applyAlignment="1">
      <alignment horizontal="center" vertical="center"/>
    </xf>
    <xf numFmtId="0" fontId="6" fillId="0" borderId="0" xfId="52" applyFont="1" applyFill="1" applyBorder="1" applyAlignment="1">
      <alignment vertical="top" wrapText="1"/>
    </xf>
    <xf numFmtId="178" fontId="6" fillId="4" borderId="0" xfId="47" applyNumberFormat="1" applyFont="1" applyFill="1" applyAlignment="1">
      <alignment horizontal="right" vertical="center"/>
    </xf>
    <xf numFmtId="178" fontId="6" fillId="3" borderId="0" xfId="47" applyNumberFormat="1" applyFont="1" applyFill="1" applyAlignment="1">
      <alignment horizontal="right" vertical="center"/>
    </xf>
    <xf numFmtId="178" fontId="7" fillId="3" borderId="0" xfId="47" applyNumberFormat="1" applyFont="1" applyFill="1" applyAlignment="1">
      <alignment horizontal="right" vertical="center"/>
    </xf>
    <xf numFmtId="0" fontId="6" fillId="0" borderId="0" xfId="45" applyFont="1" applyFill="1" applyAlignment="1">
      <alignment horizontal="left" vertical="top"/>
    </xf>
    <xf numFmtId="174" fontId="6" fillId="0" borderId="0" xfId="1" applyNumberFormat="1" applyFont="1" applyFill="1" applyAlignment="1">
      <alignment horizontal="right" vertical="center"/>
    </xf>
    <xf numFmtId="175" fontId="6" fillId="4" borderId="0" xfId="1" applyNumberFormat="1" applyFont="1" applyFill="1" applyBorder="1" applyAlignment="1">
      <alignment horizontal="right" vertical="center"/>
    </xf>
    <xf numFmtId="168" fontId="8" fillId="5" borderId="0" xfId="4" applyNumberFormat="1" applyFont="1" applyFill="1" applyAlignment="1">
      <alignment horizontal="right" vertical="center" wrapText="1"/>
    </xf>
    <xf numFmtId="168" fontId="8" fillId="5" borderId="0" xfId="4" applyNumberFormat="1" applyFont="1" applyFill="1" applyAlignment="1">
      <alignment horizontal="right"/>
    </xf>
    <xf numFmtId="168" fontId="8" fillId="3" borderId="0" xfId="4" applyNumberFormat="1" applyFont="1" applyFill="1" applyAlignment="1">
      <alignment horizontal="right" vertical="center" wrapText="1"/>
    </xf>
    <xf numFmtId="168" fontId="9" fillId="3" borderId="0" xfId="4" applyNumberFormat="1" applyFont="1" applyFill="1" applyAlignment="1">
      <alignment horizontal="right"/>
    </xf>
    <xf numFmtId="168" fontId="17" fillId="3" borderId="0" xfId="0" applyNumberFormat="1" applyFont="1" applyFill="1" applyAlignment="1">
      <alignment horizontal="right"/>
    </xf>
    <xf numFmtId="168" fontId="17" fillId="5" borderId="0" xfId="0" applyNumberFormat="1" applyFont="1" applyFill="1" applyAlignment="1">
      <alignment horizontal="center"/>
    </xf>
    <xf numFmtId="168" fontId="9" fillId="3" borderId="0" xfId="4" applyNumberFormat="1" applyFont="1" applyFill="1" applyAlignment="1">
      <alignment horizontal="right" vertical="center"/>
    </xf>
    <xf numFmtId="168" fontId="16" fillId="3" borderId="0" xfId="0" applyNumberFormat="1" applyFont="1" applyFill="1" applyAlignment="1">
      <alignment horizontal="right"/>
    </xf>
    <xf numFmtId="168" fontId="11" fillId="3" borderId="0" xfId="0" applyNumberFormat="1" applyFont="1" applyFill="1" applyAlignment="1">
      <alignment horizontal="right"/>
    </xf>
    <xf numFmtId="168" fontId="11" fillId="3" borderId="4" xfId="0" applyNumberFormat="1" applyFont="1" applyFill="1" applyBorder="1" applyAlignment="1">
      <alignment horizontal="right"/>
    </xf>
    <xf numFmtId="168" fontId="17" fillId="3" borderId="4" xfId="0" applyNumberFormat="1" applyFont="1" applyFill="1" applyBorder="1" applyAlignment="1">
      <alignment horizontal="right"/>
    </xf>
    <xf numFmtId="174" fontId="9" fillId="3" borderId="0" xfId="1" applyNumberFormat="1" applyFont="1" applyFill="1" applyAlignment="1">
      <alignment horizontal="center" vertical="center" wrapText="1"/>
    </xf>
    <xf numFmtId="174" fontId="9" fillId="3" borderId="0" xfId="1" applyNumberFormat="1" applyFont="1" applyFill="1" applyAlignment="1">
      <alignment horizontal="center" vertical="center"/>
    </xf>
    <xf numFmtId="174" fontId="9" fillId="5" borderId="0" xfId="1" applyNumberFormat="1" applyFont="1" applyFill="1" applyAlignment="1">
      <alignment horizontal="center" vertical="center"/>
    </xf>
    <xf numFmtId="174" fontId="8" fillId="3" borderId="0" xfId="1" applyNumberFormat="1" applyFont="1" applyFill="1" applyAlignment="1">
      <alignment horizontal="center" vertical="center"/>
    </xf>
    <xf numFmtId="174" fontId="9" fillId="3" borderId="0" xfId="1" applyNumberFormat="1" applyFont="1" applyFill="1" applyAlignment="1">
      <alignment horizontal="center"/>
    </xf>
    <xf numFmtId="174" fontId="8" fillId="3" borderId="0" xfId="1" applyNumberFormat="1" applyFont="1" applyFill="1" applyAlignment="1">
      <alignment horizontal="center"/>
    </xf>
    <xf numFmtId="174" fontId="9" fillId="3" borderId="4" xfId="1" applyNumberFormat="1" applyFont="1" applyFill="1" applyBorder="1" applyAlignment="1">
      <alignment horizontal="center" vertical="center"/>
    </xf>
    <xf numFmtId="1" fontId="9" fillId="3" borderId="0" xfId="1" applyNumberFormat="1" applyFont="1" applyFill="1" applyAlignment="1">
      <alignment horizontal="center" vertical="center" wrapText="1"/>
    </xf>
    <xf numFmtId="1" fontId="9" fillId="3" borderId="0" xfId="1" applyNumberFormat="1" applyFont="1" applyFill="1" applyAlignment="1">
      <alignment horizontal="center" vertical="center"/>
    </xf>
    <xf numFmtId="1" fontId="9" fillId="5" borderId="0" xfId="1" applyNumberFormat="1" applyFont="1" applyFill="1" applyAlignment="1">
      <alignment horizontal="center" vertical="center"/>
    </xf>
    <xf numFmtId="1" fontId="8" fillId="3" borderId="0" xfId="1" applyNumberFormat="1" applyFont="1" applyFill="1" applyAlignment="1">
      <alignment horizontal="center" vertical="center"/>
    </xf>
    <xf numFmtId="1" fontId="9" fillId="3" borderId="0" xfId="1" applyNumberFormat="1" applyFont="1" applyFill="1" applyAlignment="1">
      <alignment horizontal="center"/>
    </xf>
    <xf numFmtId="1" fontId="8" fillId="3" borderId="0" xfId="1" applyNumberFormat="1" applyFont="1" applyFill="1" applyAlignment="1">
      <alignment horizontal="center"/>
    </xf>
    <xf numFmtId="1" fontId="9" fillId="3" borderId="4" xfId="1" applyNumberFormat="1" applyFont="1" applyFill="1" applyBorder="1" applyAlignment="1">
      <alignment horizontal="center" vertical="center"/>
    </xf>
    <xf numFmtId="0" fontId="9" fillId="3" borderId="3" xfId="4" applyFont="1" applyFill="1" applyBorder="1" applyAlignment="1">
      <alignment horizontal="center" vertical="center" wrapText="1"/>
    </xf>
    <xf numFmtId="174" fontId="10" fillId="5" borderId="0" xfId="1" applyNumberFormat="1" applyFont="1" applyFill="1" applyAlignment="1">
      <alignment horizontal="center" vertical="center"/>
    </xf>
    <xf numFmtId="174" fontId="10" fillId="5" borderId="0" xfId="1" applyNumberFormat="1" applyFont="1" applyFill="1" applyAlignment="1">
      <alignment horizontal="center" vertical="center" wrapText="1"/>
    </xf>
    <xf numFmtId="174" fontId="8" fillId="3" borderId="0" xfId="1" applyNumberFormat="1" applyFont="1" applyFill="1" applyAlignment="1">
      <alignment horizontal="center" vertical="center" wrapText="1"/>
    </xf>
    <xf numFmtId="174" fontId="9" fillId="5" borderId="0" xfId="1" applyNumberFormat="1" applyFont="1" applyFill="1" applyAlignment="1">
      <alignment horizontal="center"/>
    </xf>
    <xf numFmtId="0" fontId="7" fillId="2" borderId="0" xfId="3" applyFont="1" applyFill="1" applyBorder="1" applyAlignment="1">
      <alignment horizontal="left" vertical="top" wrapText="1"/>
    </xf>
    <xf numFmtId="0" fontId="7" fillId="3" borderId="2" xfId="23" applyFont="1" applyFill="1" applyBorder="1" applyAlignment="1">
      <alignment horizontal="center" wrapText="1"/>
    </xf>
    <xf numFmtId="0" fontId="7" fillId="3" borderId="0" xfId="6" applyFont="1" applyFill="1" applyAlignment="1">
      <alignment horizontal="center" wrapText="1"/>
    </xf>
    <xf numFmtId="0" fontId="7" fillId="3" borderId="3" xfId="26" applyFont="1" applyFill="1" applyBorder="1" applyAlignment="1">
      <alignment horizontal="center" wrapText="1"/>
    </xf>
    <xf numFmtId="0" fontId="7" fillId="3" borderId="0" xfId="26" applyFont="1" applyFill="1" applyAlignment="1">
      <alignment horizontal="center" wrapText="1"/>
    </xf>
    <xf numFmtId="0" fontId="7" fillId="3" borderId="2" xfId="26" applyFont="1" applyFill="1" applyBorder="1" applyAlignment="1">
      <alignment horizontal="center" wrapText="1"/>
    </xf>
    <xf numFmtId="0" fontId="11" fillId="3" borderId="0" xfId="5" applyFont="1" applyFill="1" applyBorder="1" applyAlignment="1">
      <alignment horizontal="center" wrapText="1"/>
    </xf>
    <xf numFmtId="0" fontId="7" fillId="3" borderId="2" xfId="2" applyFont="1" applyFill="1" applyBorder="1" applyAlignment="1">
      <alignment horizontal="center" wrapText="1"/>
    </xf>
    <xf numFmtId="0" fontId="7" fillId="3" borderId="1" xfId="2" applyFont="1" applyFill="1" applyBorder="1" applyAlignment="1">
      <alignment horizontal="center" wrapText="1"/>
    </xf>
    <xf numFmtId="0" fontId="7" fillId="3" borderId="2" xfId="5" applyFont="1" applyFill="1" applyBorder="1" applyAlignment="1">
      <alignment horizontal="center" wrapText="1"/>
    </xf>
    <xf numFmtId="0" fontId="7" fillId="3" borderId="3" xfId="5" applyFont="1" applyFill="1" applyBorder="1" applyAlignment="1">
      <alignment horizontal="left" wrapText="1"/>
    </xf>
    <xf numFmtId="0" fontId="7" fillId="3" borderId="2" xfId="5" applyFont="1" applyFill="1" applyBorder="1" applyAlignment="1">
      <alignment horizontal="left" wrapText="1"/>
    </xf>
    <xf numFmtId="0" fontId="7" fillId="3" borderId="0" xfId="30" applyFont="1" applyFill="1" applyAlignment="1">
      <alignment horizontal="center" wrapText="1"/>
    </xf>
    <xf numFmtId="0" fontId="7" fillId="3" borderId="2" xfId="30" applyFont="1" applyFill="1" applyBorder="1" applyAlignment="1">
      <alignment horizontal="center" wrapText="1"/>
    </xf>
    <xf numFmtId="0" fontId="7" fillId="3" borderId="1" xfId="30" applyFont="1" applyFill="1" applyBorder="1" applyAlignment="1">
      <alignment horizontal="center" wrapText="1"/>
    </xf>
    <xf numFmtId="0" fontId="7" fillId="3" borderId="3" xfId="33" applyFont="1" applyFill="1" applyBorder="1" applyAlignment="1">
      <alignment horizontal="left" wrapText="1"/>
    </xf>
    <xf numFmtId="0" fontId="7" fillId="3" borderId="2" xfId="33" applyFont="1" applyFill="1" applyBorder="1" applyAlignment="1">
      <alignment horizontal="left" wrapText="1"/>
    </xf>
    <xf numFmtId="0" fontId="7" fillId="3" borderId="0" xfId="36" applyFont="1" applyFill="1" applyAlignment="1">
      <alignment horizontal="center" wrapText="1"/>
    </xf>
    <xf numFmtId="0" fontId="7" fillId="3" borderId="2" xfId="36" applyFont="1" applyFill="1" applyBorder="1" applyAlignment="1">
      <alignment horizontal="center" wrapText="1"/>
    </xf>
    <xf numFmtId="0" fontId="7" fillId="3" borderId="1" xfId="36" applyFont="1" applyFill="1" applyBorder="1" applyAlignment="1">
      <alignment horizontal="center" wrapText="1"/>
    </xf>
    <xf numFmtId="0" fontId="7" fillId="3" borderId="3" xfId="38" applyFont="1" applyFill="1" applyBorder="1" applyAlignment="1">
      <alignment horizontal="center" wrapText="1"/>
    </xf>
    <xf numFmtId="0" fontId="7" fillId="3" borderId="2" xfId="38" applyFont="1" applyFill="1" applyBorder="1" applyAlignment="1">
      <alignment horizontal="center" wrapText="1"/>
    </xf>
    <xf numFmtId="0" fontId="19" fillId="3" borderId="3" xfId="39" applyFont="1" applyFill="1" applyBorder="1" applyAlignment="1">
      <alignment horizontal="center" wrapText="1"/>
    </xf>
    <xf numFmtId="0" fontId="19" fillId="3" borderId="2" xfId="39" applyFont="1" applyFill="1" applyBorder="1" applyAlignment="1">
      <alignment horizontal="center" wrapText="1"/>
    </xf>
    <xf numFmtId="0" fontId="7" fillId="3" borderId="2" xfId="11" applyFont="1" applyFill="1" applyBorder="1" applyAlignment="1">
      <alignment horizontal="center" wrapText="1"/>
    </xf>
    <xf numFmtId="0" fontId="7" fillId="3" borderId="3" xfId="12" applyFont="1" applyFill="1" applyBorder="1" applyAlignment="1">
      <alignment horizontal="center" wrapText="1"/>
    </xf>
    <xf numFmtId="0" fontId="7" fillId="3" borderId="2" xfId="15" applyFont="1" applyFill="1" applyBorder="1" applyAlignment="1">
      <alignment horizontal="center" wrapText="1"/>
    </xf>
    <xf numFmtId="0" fontId="7" fillId="3" borderId="2" xfId="17" applyFont="1" applyFill="1" applyBorder="1" applyAlignment="1">
      <alignment horizontal="center" wrapText="1"/>
    </xf>
    <xf numFmtId="0" fontId="7" fillId="3" borderId="2" xfId="55" applyFont="1" applyFill="1" applyBorder="1" applyAlignment="1">
      <alignment horizontal="center" wrapText="1"/>
    </xf>
    <xf numFmtId="0" fontId="7" fillId="3" borderId="2" xfId="53" applyFont="1" applyFill="1" applyBorder="1" applyAlignment="1">
      <alignment horizontal="center" wrapText="1"/>
    </xf>
    <xf numFmtId="0" fontId="7" fillId="3" borderId="2" xfId="52" applyFont="1" applyFill="1" applyBorder="1" applyAlignment="1">
      <alignment horizontal="center" wrapText="1"/>
    </xf>
    <xf numFmtId="0" fontId="7" fillId="3" borderId="3" xfId="49" applyFont="1" applyFill="1" applyBorder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7" fillId="3" borderId="3" xfId="45" applyFont="1" applyFill="1" applyBorder="1" applyAlignment="1">
      <alignment horizontal="center" wrapText="1"/>
    </xf>
    <xf numFmtId="0" fontId="7" fillId="3" borderId="2" xfId="45" applyFont="1" applyFill="1" applyBorder="1" applyAlignment="1">
      <alignment horizontal="center" wrapText="1"/>
    </xf>
    <xf numFmtId="0" fontId="7" fillId="3" borderId="2" xfId="44" applyFont="1" applyFill="1" applyBorder="1" applyAlignment="1">
      <alignment horizontal="center" wrapText="1"/>
    </xf>
    <xf numFmtId="0" fontId="7" fillId="3" borderId="2" xfId="21" applyFont="1" applyFill="1" applyBorder="1" applyAlignment="1">
      <alignment horizontal="left" vertical="top" wrapText="1" indent="1"/>
    </xf>
    <xf numFmtId="0" fontId="7" fillId="3" borderId="0" xfId="23" applyFont="1" applyFill="1" applyBorder="1" applyAlignment="1">
      <alignment horizontal="left" vertical="top" wrapText="1" indent="1"/>
    </xf>
    <xf numFmtId="0" fontId="11" fillId="3" borderId="0" xfId="0" applyFont="1" applyFill="1" applyAlignment="1">
      <alignment horizontal="center"/>
    </xf>
    <xf numFmtId="177" fontId="7" fillId="3" borderId="0" xfId="1" applyNumberFormat="1" applyFont="1" applyFill="1" applyAlignment="1">
      <alignment horizontal="right" vertical="center"/>
    </xf>
    <xf numFmtId="174" fontId="18" fillId="5" borderId="0" xfId="1" applyNumberFormat="1" applyFont="1" applyFill="1" applyAlignment="1">
      <alignment horizontal="right" vertical="center"/>
    </xf>
    <xf numFmtId="174" fontId="19" fillId="3" borderId="0" xfId="1" applyNumberFormat="1" applyFont="1" applyFill="1" applyAlignment="1">
      <alignment horizontal="center" vertical="center"/>
    </xf>
    <xf numFmtId="174" fontId="20" fillId="5" borderId="0" xfId="1" applyNumberFormat="1" applyFont="1" applyFill="1" applyAlignment="1">
      <alignment horizontal="center"/>
    </xf>
    <xf numFmtId="174" fontId="19" fillId="5" borderId="0" xfId="1" applyNumberFormat="1" applyFont="1" applyFill="1" applyAlignment="1">
      <alignment horizontal="center" vertical="center"/>
    </xf>
    <xf numFmtId="174" fontId="7" fillId="3" borderId="0" xfId="1" applyNumberFormat="1" applyFont="1" applyFill="1" applyAlignment="1">
      <alignment horizontal="right" vertical="top" wrapText="1"/>
    </xf>
    <xf numFmtId="174" fontId="11" fillId="3" borderId="0" xfId="1" applyNumberFormat="1" applyFont="1" applyFill="1" applyAlignment="1">
      <alignment horizontal="right"/>
    </xf>
    <xf numFmtId="172" fontId="7" fillId="3" borderId="0" xfId="1" applyNumberFormat="1" applyFont="1" applyFill="1" applyAlignment="1">
      <alignment horizontal="right" vertical="center"/>
    </xf>
    <xf numFmtId="172" fontId="6" fillId="5" borderId="0" xfId="1" applyNumberFormat="1" applyFont="1" applyFill="1" applyAlignment="1">
      <alignment horizontal="right" vertical="center"/>
    </xf>
    <xf numFmtId="172" fontId="6" fillId="3" borderId="0" xfId="1" applyNumberFormat="1" applyFont="1" applyFill="1" applyAlignment="1">
      <alignment horizontal="right" vertical="center"/>
    </xf>
    <xf numFmtId="177" fontId="6" fillId="5" borderId="0" xfId="1" applyNumberFormat="1" applyFont="1" applyFill="1" applyAlignment="1">
      <alignment horizontal="right" vertical="center"/>
    </xf>
    <xf numFmtId="164" fontId="6" fillId="5" borderId="0" xfId="1" applyNumberFormat="1" applyFont="1" applyFill="1" applyAlignment="1">
      <alignment horizontal="right" vertical="center"/>
    </xf>
    <xf numFmtId="177" fontId="6" fillId="3" borderId="0" xfId="1" applyNumberFormat="1" applyFont="1" applyFill="1" applyAlignment="1">
      <alignment horizontal="right" vertical="center"/>
    </xf>
    <xf numFmtId="164" fontId="6" fillId="3" borderId="0" xfId="1" applyNumberFormat="1" applyFont="1" applyFill="1" applyAlignment="1">
      <alignment horizontal="right" vertical="center"/>
    </xf>
    <xf numFmtId="164" fontId="7" fillId="3" borderId="0" xfId="1" applyNumberFormat="1" applyFont="1" applyFill="1" applyAlignment="1">
      <alignment horizontal="right" vertical="center"/>
    </xf>
    <xf numFmtId="174" fontId="6" fillId="5" borderId="0" xfId="1" applyNumberFormat="1" applyFont="1" applyFill="1" applyAlignment="1">
      <alignment horizontal="right" vertical="top" wrapText="1"/>
    </xf>
    <xf numFmtId="174" fontId="6" fillId="3" borderId="0" xfId="1" applyNumberFormat="1" applyFont="1" applyFill="1" applyAlignment="1">
      <alignment horizontal="right" vertical="top" wrapText="1"/>
    </xf>
    <xf numFmtId="174" fontId="18" fillId="5" borderId="0" xfId="1" applyNumberFormat="1" applyFont="1" applyFill="1" applyBorder="1" applyAlignment="1">
      <alignment horizontal="right" vertical="center"/>
    </xf>
    <xf numFmtId="174" fontId="18" fillId="5" borderId="0" xfId="1" applyNumberFormat="1" applyFont="1" applyFill="1" applyBorder="1" applyAlignment="1">
      <alignment horizontal="left" vertical="top" wrapText="1"/>
    </xf>
    <xf numFmtId="174" fontId="18" fillId="3" borderId="0" xfId="1" applyNumberFormat="1" applyFont="1" applyFill="1" applyBorder="1" applyAlignment="1">
      <alignment horizontal="right" vertical="center"/>
    </xf>
    <xf numFmtId="174" fontId="18" fillId="3" borderId="0" xfId="1" applyNumberFormat="1" applyFont="1" applyFill="1" applyBorder="1" applyAlignment="1">
      <alignment horizontal="left" vertical="top" wrapText="1"/>
    </xf>
    <xf numFmtId="174" fontId="19" fillId="3" borderId="0" xfId="1" applyNumberFormat="1" applyFont="1" applyFill="1" applyBorder="1" applyAlignment="1">
      <alignment horizontal="right" vertical="center"/>
    </xf>
    <xf numFmtId="174" fontId="19" fillId="3" borderId="0" xfId="1" applyNumberFormat="1" applyFont="1" applyFill="1" applyBorder="1" applyAlignment="1">
      <alignment horizontal="left" vertical="top" wrapText="1"/>
    </xf>
    <xf numFmtId="174" fontId="18" fillId="5" borderId="0" xfId="1" applyNumberFormat="1" applyFont="1" applyFill="1" applyBorder="1" applyAlignment="1">
      <alignment horizontal="right" vertical="top" wrapText="1"/>
    </xf>
    <xf numFmtId="174" fontId="18" fillId="3" borderId="0" xfId="1" applyNumberFormat="1" applyFont="1" applyFill="1" applyBorder="1" applyAlignment="1">
      <alignment horizontal="right" vertical="top" wrapText="1"/>
    </xf>
    <xf numFmtId="174" fontId="19" fillId="3" borderId="0" xfId="1" applyNumberFormat="1" applyFont="1" applyFill="1" applyBorder="1" applyAlignment="1">
      <alignment horizontal="right" vertical="top" wrapText="1"/>
    </xf>
    <xf numFmtId="169" fontId="18" fillId="5" borderId="0" xfId="1" applyNumberFormat="1" applyFont="1" applyFill="1" applyBorder="1" applyAlignment="1">
      <alignment horizontal="right" vertical="center"/>
    </xf>
    <xf numFmtId="169" fontId="18" fillId="3" borderId="0" xfId="1" applyNumberFormat="1" applyFont="1" applyFill="1" applyBorder="1" applyAlignment="1">
      <alignment horizontal="right" vertical="center"/>
    </xf>
    <xf numFmtId="169" fontId="19" fillId="3" borderId="0" xfId="1" applyNumberFormat="1" applyFont="1" applyFill="1" applyBorder="1" applyAlignment="1">
      <alignment horizontal="right" vertical="center"/>
    </xf>
    <xf numFmtId="0" fontId="19" fillId="3" borderId="0" xfId="37" applyFont="1" applyFill="1" applyAlignment="1">
      <alignment horizontal="center" wrapText="1"/>
    </xf>
    <xf numFmtId="0" fontId="19" fillId="3" borderId="1" xfId="37" applyFont="1" applyFill="1" applyBorder="1" applyAlignment="1">
      <alignment wrapText="1"/>
    </xf>
    <xf numFmtId="0" fontId="19" fillId="3" borderId="1" xfId="37" applyFont="1" applyFill="1" applyBorder="1" applyAlignment="1">
      <alignment horizontal="center" wrapText="1"/>
    </xf>
    <xf numFmtId="0" fontId="19" fillId="3" borderId="2" xfId="37" applyFont="1" applyFill="1" applyBorder="1" applyAlignment="1">
      <alignment horizontal="center" wrapText="1"/>
    </xf>
    <xf numFmtId="0" fontId="18" fillId="5" borderId="0" xfId="37" applyFont="1" applyFill="1" applyAlignment="1">
      <alignment vertical="top" wrapText="1"/>
    </xf>
    <xf numFmtId="0" fontId="18" fillId="3" borderId="0" xfId="37" applyFont="1" applyFill="1" applyAlignment="1">
      <alignment vertical="top" wrapText="1"/>
    </xf>
    <xf numFmtId="0" fontId="19" fillId="3" borderId="0" xfId="37" applyFont="1" applyFill="1" applyAlignment="1">
      <alignment horizontal="left" vertical="top" wrapText="1"/>
    </xf>
    <xf numFmtId="0" fontId="18" fillId="3" borderId="0" xfId="37" applyFont="1" applyFill="1" applyAlignment="1">
      <alignment horizontal="left" vertical="top" wrapText="1"/>
    </xf>
    <xf numFmtId="0" fontId="19" fillId="3" borderId="3" xfId="26" applyFont="1" applyFill="1" applyBorder="1" applyAlignment="1">
      <alignment wrapText="1"/>
    </xf>
    <xf numFmtId="0" fontId="19" fillId="3" borderId="0" xfId="26" applyFont="1" applyFill="1" applyAlignment="1">
      <alignment wrapText="1"/>
    </xf>
    <xf numFmtId="0" fontId="19" fillId="3" borderId="0" xfId="26" applyFont="1" applyFill="1" applyAlignment="1">
      <alignment horizontal="center" wrapText="1"/>
    </xf>
    <xf numFmtId="0" fontId="19" fillId="3" borderId="2" xfId="26" applyFont="1" applyFill="1" applyBorder="1" applyAlignment="1">
      <alignment wrapText="1"/>
    </xf>
    <xf numFmtId="0" fontId="19" fillId="3" borderId="1" xfId="30" applyFont="1" applyFill="1" applyBorder="1" applyAlignment="1">
      <alignment horizontal="center" wrapText="1"/>
    </xf>
    <xf numFmtId="0" fontId="19" fillId="3" borderId="2" xfId="30" applyFont="1" applyFill="1" applyBorder="1" applyAlignment="1">
      <alignment horizontal="center" wrapText="1"/>
    </xf>
    <xf numFmtId="0" fontId="18" fillId="5" borderId="0" xfId="26" applyFont="1" applyFill="1" applyAlignment="1">
      <alignment vertical="top" wrapText="1"/>
    </xf>
    <xf numFmtId="0" fontId="18" fillId="3" borderId="0" xfId="26" applyFont="1" applyFill="1" applyAlignment="1">
      <alignment vertical="top" wrapText="1"/>
    </xf>
    <xf numFmtId="174" fontId="19" fillId="5" borderId="0" xfId="1" applyNumberFormat="1" applyFont="1" applyFill="1" applyBorder="1" applyAlignment="1">
      <alignment horizontal="right" vertical="center"/>
    </xf>
    <xf numFmtId="0" fontId="18" fillId="3" borderId="0" xfId="26" applyFont="1" applyFill="1" applyAlignment="1">
      <alignment horizontal="left" vertical="top" wrapText="1"/>
    </xf>
    <xf numFmtId="0" fontId="19" fillId="3" borderId="3" xfId="27" applyFont="1" applyFill="1" applyBorder="1" applyAlignment="1">
      <alignment horizontal="left" wrapText="1"/>
    </xf>
    <xf numFmtId="0" fontId="19" fillId="3" borderId="2" xfId="27" applyFont="1" applyFill="1" applyBorder="1" applyAlignment="1">
      <alignment horizontal="left" wrapText="1"/>
    </xf>
    <xf numFmtId="0" fontId="18" fillId="5" borderId="0" xfId="27" applyFont="1" applyFill="1" applyAlignment="1">
      <alignment vertical="top" wrapText="1"/>
    </xf>
    <xf numFmtId="0" fontId="18" fillId="3" borderId="0" xfId="27" applyFont="1" applyFill="1" applyAlignment="1">
      <alignment vertical="top" wrapText="1"/>
    </xf>
    <xf numFmtId="0" fontId="19" fillId="3" borderId="0" xfId="27" applyFont="1" applyFill="1" applyAlignment="1">
      <alignment horizontal="left" vertical="top" wrapText="1" indent="1"/>
    </xf>
    <xf numFmtId="0" fontId="18" fillId="3" borderId="0" xfId="27" applyFont="1" applyFill="1" applyAlignment="1">
      <alignment horizontal="left" vertical="top" wrapText="1"/>
    </xf>
    <xf numFmtId="0" fontId="16" fillId="2" borderId="0" xfId="0" applyFont="1" applyFill="1"/>
    <xf numFmtId="0" fontId="19" fillId="3" borderId="3" xfId="32" applyFont="1" applyFill="1" applyBorder="1" applyAlignment="1">
      <alignment horizontal="left" wrapText="1"/>
    </xf>
    <xf numFmtId="0" fontId="19" fillId="3" borderId="2" xfId="32" applyFont="1" applyFill="1" applyBorder="1" applyAlignment="1">
      <alignment horizontal="left" wrapText="1"/>
    </xf>
    <xf numFmtId="0" fontId="18" fillId="5" borderId="0" xfId="32" applyFont="1" applyFill="1" applyAlignment="1">
      <alignment vertical="top" wrapText="1"/>
    </xf>
    <xf numFmtId="0" fontId="18" fillId="3" borderId="0" xfId="32" applyFont="1" applyFill="1" applyAlignment="1">
      <alignment vertical="top" wrapText="1"/>
    </xf>
    <xf numFmtId="0" fontId="19" fillId="3" borderId="0" xfId="32" applyFont="1" applyFill="1" applyAlignment="1">
      <alignment horizontal="left" vertical="top" wrapText="1"/>
    </xf>
    <xf numFmtId="0" fontId="18" fillId="3" borderId="0" xfId="32" applyFont="1" applyFill="1" applyAlignment="1">
      <alignment horizontal="left" vertical="top" wrapText="1"/>
    </xf>
    <xf numFmtId="0" fontId="19" fillId="3" borderId="3" xfId="34" applyFont="1" applyFill="1" applyBorder="1" applyAlignment="1">
      <alignment horizontal="center" vertical="center" wrapText="1"/>
    </xf>
    <xf numFmtId="0" fontId="19" fillId="3" borderId="0" xfId="34" applyFont="1" applyFill="1" applyAlignment="1">
      <alignment horizontal="center" vertical="center" wrapText="1"/>
    </xf>
    <xf numFmtId="0" fontId="19" fillId="3" borderId="0" xfId="34" applyFont="1" applyFill="1" applyAlignment="1">
      <alignment horizontal="center" wrapText="1"/>
    </xf>
    <xf numFmtId="0" fontId="19" fillId="3" borderId="2" xfId="34" applyFont="1" applyFill="1" applyBorder="1" applyAlignment="1">
      <alignment horizontal="center" vertical="center" wrapText="1"/>
    </xf>
    <xf numFmtId="0" fontId="19" fillId="3" borderId="2" xfId="34" applyFont="1" applyFill="1" applyBorder="1" applyAlignment="1">
      <alignment horizontal="center" wrapText="1"/>
    </xf>
    <xf numFmtId="0" fontId="18" fillId="5" borderId="0" xfId="34" applyFont="1" applyFill="1" applyAlignment="1">
      <alignment vertical="top" wrapText="1"/>
    </xf>
    <xf numFmtId="0" fontId="19" fillId="3" borderId="0" xfId="34" applyFont="1" applyFill="1" applyAlignment="1">
      <alignment horizontal="left" vertical="top" wrapText="1"/>
    </xf>
    <xf numFmtId="0" fontId="18" fillId="5" borderId="0" xfId="34" applyFont="1" applyFill="1" applyAlignment="1">
      <alignment horizontal="left" vertical="top" wrapText="1"/>
    </xf>
    <xf numFmtId="0" fontId="18" fillId="3" borderId="0" xfId="34" applyFont="1" applyFill="1" applyAlignment="1">
      <alignment horizontal="left" vertical="top" wrapText="1"/>
    </xf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/>
    <xf numFmtId="0" fontId="19" fillId="3" borderId="0" xfId="35" applyFont="1" applyFill="1" applyAlignment="1">
      <alignment horizontal="center" wrapText="1"/>
    </xf>
    <xf numFmtId="0" fontId="19" fillId="3" borderId="1" xfId="35" applyFont="1" applyFill="1" applyBorder="1" applyAlignment="1">
      <alignment horizontal="center" wrapText="1"/>
    </xf>
    <xf numFmtId="0" fontId="19" fillId="3" borderId="2" xfId="35" applyFont="1" applyFill="1" applyBorder="1" applyAlignment="1">
      <alignment horizontal="center" wrapText="1"/>
    </xf>
    <xf numFmtId="0" fontId="18" fillId="5" borderId="0" xfId="35" applyFont="1" applyFill="1" applyAlignment="1">
      <alignment vertical="top" wrapText="1"/>
    </xf>
    <xf numFmtId="0" fontId="18" fillId="3" borderId="0" xfId="35" applyFont="1" applyFill="1" applyAlignment="1">
      <alignment vertical="top" wrapText="1"/>
    </xf>
    <xf numFmtId="0" fontId="19" fillId="3" borderId="0" xfId="35" applyFont="1" applyFill="1" applyAlignment="1">
      <alignment horizontal="left" vertical="top" wrapText="1" indent="1"/>
    </xf>
    <xf numFmtId="0" fontId="18" fillId="3" borderId="0" xfId="35" applyFont="1" applyFill="1" applyAlignment="1">
      <alignment horizontal="left" vertical="top" wrapText="1"/>
    </xf>
    <xf numFmtId="0" fontId="19" fillId="3" borderId="1" xfId="10" applyFont="1" applyFill="1" applyBorder="1" applyAlignment="1">
      <alignment horizontal="center" wrapText="1"/>
    </xf>
    <xf numFmtId="0" fontId="19" fillId="3" borderId="1" xfId="10" applyFont="1" applyFill="1" applyBorder="1" applyAlignment="1">
      <alignment horizontal="center" vertical="center" wrapText="1"/>
    </xf>
    <xf numFmtId="0" fontId="18" fillId="4" borderId="0" xfId="10" applyFont="1" applyFill="1" applyAlignment="1">
      <alignment vertical="top" wrapText="1"/>
    </xf>
    <xf numFmtId="169" fontId="18" fillId="4" borderId="0" xfId="1" applyNumberFormat="1" applyFont="1" applyFill="1" applyBorder="1" applyAlignment="1">
      <alignment horizontal="right" vertical="center"/>
    </xf>
    <xf numFmtId="1" fontId="18" fillId="4" borderId="0" xfId="1" applyNumberFormat="1" applyFont="1" applyFill="1" applyBorder="1" applyAlignment="1">
      <alignment horizontal="right" vertical="center"/>
    </xf>
    <xf numFmtId="1" fontId="18" fillId="3" borderId="0" xfId="1" applyNumberFormat="1" applyFont="1" applyFill="1" applyBorder="1" applyAlignment="1">
      <alignment horizontal="right" vertical="center"/>
    </xf>
    <xf numFmtId="0" fontId="19" fillId="3" borderId="0" xfId="10" applyFont="1" applyFill="1" applyAlignment="1">
      <alignment horizontal="left" vertical="top" wrapText="1" indent="1"/>
    </xf>
    <xf numFmtId="1" fontId="19" fillId="3" borderId="0" xfId="1" applyNumberFormat="1" applyFont="1" applyFill="1" applyBorder="1" applyAlignment="1">
      <alignment horizontal="right" vertical="center"/>
    </xf>
    <xf numFmtId="0" fontId="18" fillId="4" borderId="0" xfId="10" applyFont="1" applyFill="1" applyAlignment="1">
      <alignment horizontal="left" vertical="top" wrapText="1"/>
    </xf>
    <xf numFmtId="0" fontId="19" fillId="3" borderId="0" xfId="10" applyFont="1" applyFill="1" applyAlignment="1">
      <alignment horizontal="left" vertical="top" wrapText="1" indent="2"/>
    </xf>
    <xf numFmtId="0" fontId="19" fillId="3" borderId="0" xfId="10" applyFont="1" applyFill="1" applyAlignment="1">
      <alignment horizontal="left" vertical="top" indent="2"/>
    </xf>
    <xf numFmtId="9" fontId="19" fillId="3" borderId="0" xfId="43" applyFont="1" applyFill="1" applyBorder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9" fillId="3" borderId="0" xfId="15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169" fontId="8" fillId="4" borderId="0" xfId="15" applyNumberFormat="1" applyFont="1" applyFill="1" applyBorder="1" applyAlignment="1">
      <alignment horizontal="right"/>
    </xf>
    <xf numFmtId="169" fontId="8" fillId="0" borderId="0" xfId="15" applyNumberFormat="1" applyFont="1" applyFill="1" applyBorder="1" applyAlignment="1">
      <alignment horizontal="right"/>
    </xf>
    <xf numFmtId="169" fontId="9" fillId="3" borderId="0" xfId="15" applyNumberFormat="1" applyFont="1" applyFill="1" applyBorder="1" applyAlignment="1">
      <alignment horizontal="right"/>
    </xf>
    <xf numFmtId="169" fontId="10" fillId="3" borderId="0" xfId="15" applyNumberFormat="1" applyFont="1" applyFill="1" applyBorder="1" applyAlignment="1">
      <alignment horizontal="right"/>
    </xf>
    <xf numFmtId="169" fontId="11" fillId="3" borderId="0" xfId="15" applyNumberFormat="1" applyFont="1" applyFill="1" applyBorder="1" applyAlignment="1">
      <alignment horizontal="right"/>
    </xf>
    <xf numFmtId="0" fontId="19" fillId="3" borderId="1" xfId="16" applyFont="1" applyFill="1" applyBorder="1" applyAlignment="1">
      <alignment horizontal="center" wrapText="1"/>
    </xf>
    <xf numFmtId="0" fontId="18" fillId="4" borderId="0" xfId="16" applyFont="1" applyFill="1" applyBorder="1" applyAlignment="1">
      <alignment horizontal="left" vertical="top" wrapText="1"/>
    </xf>
    <xf numFmtId="0" fontId="18" fillId="3" borderId="0" xfId="16" applyFont="1" applyFill="1" applyBorder="1" applyAlignment="1">
      <alignment horizontal="left" vertical="top" wrapText="1"/>
    </xf>
    <xf numFmtId="0" fontId="19" fillId="3" borderId="0" xfId="16" applyFont="1" applyFill="1" applyBorder="1" applyAlignment="1">
      <alignment horizontal="left" vertical="top" wrapText="1" indent="1"/>
    </xf>
    <xf numFmtId="169" fontId="11" fillId="2" borderId="0" xfId="0" applyNumberFormat="1" applyFont="1" applyFill="1"/>
    <xf numFmtId="174" fontId="11" fillId="3" borderId="4" xfId="1" applyNumberFormat="1" applyFont="1" applyFill="1" applyBorder="1"/>
    <xf numFmtId="174" fontId="11" fillId="3" borderId="0" xfId="1" applyNumberFormat="1" applyFont="1" applyFill="1" applyBorder="1" applyAlignment="1">
      <alignment horizontal="right"/>
    </xf>
    <xf numFmtId="174" fontId="11" fillId="3" borderId="4" xfId="1" applyNumberFormat="1" applyFont="1" applyFill="1" applyBorder="1" applyAlignment="1">
      <alignment horizontal="right"/>
    </xf>
    <xf numFmtId="167" fontId="8" fillId="5" borderId="0" xfId="4" applyNumberFormat="1" applyFont="1" applyFill="1" applyAlignment="1">
      <alignment horizontal="right" vertical="center" wrapText="1"/>
    </xf>
    <xf numFmtId="174" fontId="8" fillId="3" borderId="0" xfId="1" applyNumberFormat="1" applyFont="1" applyFill="1" applyBorder="1" applyAlignment="1">
      <alignment horizontal="left" vertical="center" wrapText="1"/>
    </xf>
    <xf numFmtId="174" fontId="10" fillId="3" borderId="0" xfId="1" applyNumberFormat="1" applyFont="1" applyFill="1" applyBorder="1" applyAlignment="1">
      <alignment horizontal="right"/>
    </xf>
    <xf numFmtId="174" fontId="10" fillId="3" borderId="0" xfId="1" applyNumberFormat="1" applyFont="1" applyFill="1" applyAlignment="1">
      <alignment horizontal="right"/>
    </xf>
    <xf numFmtId="0" fontId="10" fillId="3" borderId="0" xfId="0" applyFont="1" applyFill="1" applyAlignment="1">
      <alignment horizontal="left"/>
    </xf>
    <xf numFmtId="174" fontId="10" fillId="3" borderId="0" xfId="1" applyNumberFormat="1" applyFont="1" applyFill="1"/>
    <xf numFmtId="1" fontId="16" fillId="3" borderId="0" xfId="1" applyNumberFormat="1" applyFont="1" applyFill="1" applyAlignment="1">
      <alignment horizontal="center"/>
    </xf>
    <xf numFmtId="0" fontId="8" fillId="5" borderId="0" xfId="4" applyFont="1" applyFill="1" applyAlignment="1">
      <alignment horizontal="left" vertical="center" wrapText="1"/>
    </xf>
    <xf numFmtId="0" fontId="10" fillId="5" borderId="0" xfId="0" applyFont="1" applyFill="1" applyAlignment="1">
      <alignment horizontal="left"/>
    </xf>
    <xf numFmtId="0" fontId="10" fillId="5" borderId="0" xfId="4" applyFont="1" applyFill="1" applyAlignment="1">
      <alignment horizontal="left" vertical="center" wrapText="1"/>
    </xf>
    <xf numFmtId="0" fontId="10" fillId="3" borderId="0" xfId="0" applyFont="1" applyFill="1" applyAlignment="1"/>
    <xf numFmtId="0" fontId="16" fillId="3" borderId="0" xfId="0" applyFont="1" applyFill="1" applyAlignment="1">
      <alignment horizontal="left" indent="1"/>
    </xf>
    <xf numFmtId="0" fontId="19" fillId="3" borderId="0" xfId="21" applyFont="1" applyFill="1" applyAlignment="1">
      <alignment horizontal="left" vertical="top" wrapText="1"/>
    </xf>
    <xf numFmtId="174" fontId="19" fillId="3" borderId="0" xfId="1" applyNumberFormat="1" applyFont="1" applyFill="1" applyAlignment="1">
      <alignment horizontal="right" vertical="center"/>
    </xf>
    <xf numFmtId="174" fontId="19" fillId="3" borderId="0" xfId="1" applyNumberFormat="1" applyFont="1" applyFill="1" applyAlignment="1">
      <alignment horizontal="right" vertical="top" wrapText="1"/>
    </xf>
    <xf numFmtId="0" fontId="18" fillId="5" borderId="0" xfId="21" applyFont="1" applyFill="1" applyAlignment="1">
      <alignment vertical="top" wrapText="1"/>
    </xf>
    <xf numFmtId="174" fontId="18" fillId="5" borderId="0" xfId="1" applyNumberFormat="1" applyFont="1" applyFill="1" applyAlignment="1">
      <alignment horizontal="center" vertical="center"/>
    </xf>
    <xf numFmtId="174" fontId="18" fillId="5" borderId="0" xfId="1" applyNumberFormat="1" applyFont="1" applyFill="1" applyAlignment="1">
      <alignment horizontal="center" vertical="top" wrapText="1"/>
    </xf>
    <xf numFmtId="1" fontId="19" fillId="3" borderId="0" xfId="1" applyNumberFormat="1" applyFont="1" applyFill="1" applyAlignment="1">
      <alignment horizontal="center" vertical="center"/>
    </xf>
    <xf numFmtId="172" fontId="10" fillId="5" borderId="0" xfId="0" applyNumberFormat="1" applyFont="1" applyFill="1" applyAlignment="1">
      <alignment horizontal="center"/>
    </xf>
    <xf numFmtId="172" fontId="10" fillId="3" borderId="0" xfId="0" applyNumberFormat="1" applyFont="1" applyFill="1" applyAlignment="1">
      <alignment horizontal="center"/>
    </xf>
    <xf numFmtId="172" fontId="11" fillId="3" borderId="0" xfId="0" applyNumberFormat="1" applyFont="1" applyFill="1" applyAlignment="1">
      <alignment horizontal="center"/>
    </xf>
    <xf numFmtId="165" fontId="11" fillId="2" borderId="0" xfId="0" applyNumberFormat="1" applyFont="1" applyFill="1"/>
    <xf numFmtId="0" fontId="11" fillId="2" borderId="0" xfId="0" applyFont="1" applyFill="1" applyBorder="1" applyAlignment="1">
      <alignment horizontal="left"/>
    </xf>
    <xf numFmtId="0" fontId="7" fillId="3" borderId="1" xfId="3" applyFont="1" applyFill="1" applyBorder="1" applyAlignment="1">
      <alignment horizontal="right" wrapText="1"/>
    </xf>
    <xf numFmtId="173" fontId="6" fillId="5" borderId="0" xfId="20" applyNumberFormat="1" applyFont="1" applyFill="1" applyAlignment="1">
      <alignment horizontal="center"/>
    </xf>
    <xf numFmtId="173" fontId="6" fillId="3" borderId="0" xfId="20" applyNumberFormat="1" applyFont="1" applyFill="1" applyAlignment="1">
      <alignment horizontal="center"/>
    </xf>
    <xf numFmtId="173" fontId="7" fillId="5" borderId="0" xfId="20" applyNumberFormat="1" applyFont="1" applyFill="1" applyAlignment="1">
      <alignment horizontal="center"/>
    </xf>
    <xf numFmtId="173" fontId="7" fillId="3" borderId="0" xfId="20" applyNumberFormat="1" applyFont="1" applyFill="1" applyAlignment="1">
      <alignment horizontal="center"/>
    </xf>
    <xf numFmtId="173" fontId="7" fillId="3" borderId="0" xfId="20" applyNumberFormat="1" applyFont="1" applyFill="1" applyBorder="1" applyAlignment="1">
      <alignment horizontal="center"/>
    </xf>
    <xf numFmtId="1" fontId="11" fillId="3" borderId="0" xfId="1" applyNumberFormat="1" applyFont="1" applyFill="1" applyAlignment="1">
      <alignment horizontal="center" vertical="center"/>
    </xf>
    <xf numFmtId="1" fontId="10" fillId="3" borderId="0" xfId="1" applyNumberFormat="1" applyFont="1" applyFill="1" applyAlignment="1">
      <alignment horizontal="center" vertical="center"/>
    </xf>
    <xf numFmtId="174" fontId="21" fillId="5" borderId="0" xfId="1" applyNumberFormat="1" applyFont="1" applyFill="1" applyAlignment="1">
      <alignment horizontal="right" vertical="center"/>
    </xf>
    <xf numFmtId="174" fontId="17" fillId="3" borderId="0" xfId="1" applyNumberFormat="1" applyFont="1" applyFill="1" applyAlignment="1">
      <alignment horizontal="right" vertical="center"/>
    </xf>
    <xf numFmtId="174" fontId="16" fillId="3" borderId="0" xfId="1" applyNumberFormat="1" applyFont="1" applyFill="1" applyAlignment="1">
      <alignment horizontal="right" vertical="center"/>
    </xf>
    <xf numFmtId="174" fontId="17" fillId="5" borderId="0" xfId="1" applyNumberFormat="1" applyFont="1" applyFill="1" applyAlignment="1">
      <alignment horizontal="right" vertical="center"/>
    </xf>
    <xf numFmtId="174" fontId="16" fillId="5" borderId="0" xfId="1" applyNumberFormat="1" applyFont="1" applyFill="1" applyAlignment="1">
      <alignment horizontal="right" vertical="center"/>
    </xf>
    <xf numFmtId="174" fontId="16" fillId="3" borderId="4" xfId="1" applyNumberFormat="1" applyFont="1" applyFill="1" applyBorder="1" applyAlignment="1">
      <alignment horizontal="right" vertical="center"/>
    </xf>
    <xf numFmtId="172" fontId="11" fillId="2" borderId="0" xfId="0" applyNumberFormat="1" applyFont="1" applyFill="1"/>
    <xf numFmtId="0" fontId="16" fillId="2" borderId="0" xfId="0" applyFont="1" applyFill="1" applyAlignment="1"/>
    <xf numFmtId="0" fontId="18" fillId="3" borderId="0" xfId="10" applyFont="1" applyFill="1" applyAlignment="1">
      <alignment vertical="top" wrapText="1"/>
    </xf>
    <xf numFmtId="0" fontId="18" fillId="3" borderId="0" xfId="16" applyFont="1" applyFill="1" applyBorder="1" applyAlignment="1">
      <alignment vertical="top" wrapText="1"/>
    </xf>
    <xf numFmtId="0" fontId="6" fillId="3" borderId="0" xfId="17" applyFont="1" applyFill="1" applyBorder="1" applyAlignment="1">
      <alignment vertical="top" wrapText="1"/>
    </xf>
    <xf numFmtId="0" fontId="7" fillId="2" borderId="0" xfId="3" applyFont="1" applyFill="1" applyBorder="1" applyAlignment="1">
      <alignment horizontal="left" vertical="top" wrapText="1"/>
    </xf>
    <xf numFmtId="0" fontId="6" fillId="3" borderId="0" xfId="2" applyFont="1" applyFill="1" applyBorder="1" applyAlignment="1">
      <alignment horizontal="center" vertical="center" wrapText="1"/>
    </xf>
    <xf numFmtId="0" fontId="6" fillId="3" borderId="2" xfId="41" applyFont="1" applyFill="1" applyBorder="1" applyAlignment="1">
      <alignment horizontal="center" vertical="center" wrapText="1"/>
    </xf>
    <xf numFmtId="170" fontId="6" fillId="5" borderId="0" xfId="6" applyNumberFormat="1" applyFont="1" applyFill="1" applyAlignment="1">
      <alignment horizontal="left" vertical="center"/>
    </xf>
    <xf numFmtId="0" fontId="6" fillId="3" borderId="2" xfId="19" applyFont="1" applyFill="1" applyBorder="1" applyAlignment="1">
      <alignment horizontal="center" vertical="center" wrapText="1"/>
    </xf>
    <xf numFmtId="0" fontId="7" fillId="3" borderId="3" xfId="19" applyFont="1" applyFill="1" applyBorder="1" applyAlignment="1">
      <alignment horizontal="center" vertical="center" wrapText="1"/>
    </xf>
    <xf numFmtId="0" fontId="7" fillId="3" borderId="2" xfId="19" applyFont="1" applyFill="1" applyBorder="1" applyAlignment="1">
      <alignment horizontal="center" vertical="center" wrapText="1"/>
    </xf>
    <xf numFmtId="0" fontId="6" fillId="3" borderId="2" xfId="23" applyFont="1" applyFill="1" applyBorder="1" applyAlignment="1">
      <alignment horizontal="center" vertical="center" wrapText="1"/>
    </xf>
    <xf numFmtId="0" fontId="6" fillId="3" borderId="1" xfId="23" applyFont="1" applyFill="1" applyBorder="1" applyAlignment="1">
      <alignment horizontal="center" vertical="center" wrapText="1"/>
    </xf>
    <xf numFmtId="0" fontId="7" fillId="3" borderId="2" xfId="23" applyFont="1" applyFill="1" applyBorder="1" applyAlignment="1">
      <alignment horizontal="center" wrapText="1"/>
    </xf>
    <xf numFmtId="0" fontId="10" fillId="3" borderId="2" xfId="0" applyFont="1" applyFill="1" applyBorder="1" applyAlignment="1">
      <alignment horizontal="center" vertical="top" wrapText="1"/>
    </xf>
    <xf numFmtId="0" fontId="6" fillId="3" borderId="2" xfId="21" applyFont="1" applyFill="1" applyBorder="1" applyAlignment="1">
      <alignment horizontal="center" vertical="center" wrapText="1"/>
    </xf>
    <xf numFmtId="0" fontId="7" fillId="3" borderId="0" xfId="19" applyFont="1" applyFill="1" applyAlignment="1">
      <alignment horizontal="center" vertical="center" wrapText="1"/>
    </xf>
    <xf numFmtId="0" fontId="7" fillId="3" borderId="0" xfId="21" applyFont="1" applyFill="1" applyAlignment="1">
      <alignment horizontal="center" vertical="center" wrapText="1"/>
    </xf>
    <xf numFmtId="0" fontId="7" fillId="3" borderId="1" xfId="21" applyFont="1" applyFill="1" applyBorder="1" applyAlignment="1">
      <alignment horizontal="center" vertical="center" wrapText="1"/>
    </xf>
    <xf numFmtId="0" fontId="6" fillId="3" borderId="2" xfId="6" applyFont="1" applyFill="1" applyBorder="1" applyAlignment="1">
      <alignment horizontal="center" vertical="center" wrapText="1"/>
    </xf>
    <xf numFmtId="0" fontId="7" fillId="3" borderId="3" xfId="6" applyFont="1" applyFill="1" applyBorder="1" applyAlignment="1">
      <alignment horizontal="center" wrapText="1"/>
    </xf>
    <xf numFmtId="0" fontId="7" fillId="3" borderId="2" xfId="6" applyFont="1" applyFill="1" applyBorder="1" applyAlignment="1">
      <alignment horizontal="center" wrapText="1"/>
    </xf>
    <xf numFmtId="0" fontId="7" fillId="3" borderId="1" xfId="6" applyFont="1" applyFill="1" applyBorder="1" applyAlignment="1">
      <alignment horizontal="center" vertical="center" wrapText="1"/>
    </xf>
    <xf numFmtId="0" fontId="6" fillId="3" borderId="2" xfId="24" applyFont="1" applyFill="1" applyBorder="1" applyAlignment="1">
      <alignment horizontal="center" vertical="center" wrapText="1"/>
    </xf>
    <xf numFmtId="0" fontId="6" fillId="3" borderId="2" xfId="25" applyFont="1" applyFill="1" applyBorder="1" applyAlignment="1">
      <alignment horizontal="center" vertical="center" wrapText="1"/>
    </xf>
    <xf numFmtId="0" fontId="7" fillId="3" borderId="0" xfId="6" applyFont="1" applyFill="1" applyAlignment="1">
      <alignment horizontal="center" vertical="center" wrapText="1"/>
    </xf>
    <xf numFmtId="0" fontId="7" fillId="3" borderId="0" xfId="6" applyFont="1" applyFill="1" applyAlignment="1">
      <alignment horizont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left"/>
    </xf>
    <xf numFmtId="0" fontId="10" fillId="3" borderId="0" xfId="0" applyFont="1" applyFill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6" fillId="3" borderId="2" xfId="29" applyFont="1" applyFill="1" applyBorder="1" applyAlignment="1">
      <alignment horizontal="center" vertical="center" wrapText="1"/>
    </xf>
    <xf numFmtId="0" fontId="6" fillId="3" borderId="4" xfId="28" applyFont="1" applyFill="1" applyBorder="1" applyAlignment="1">
      <alignment horizontal="center" vertical="center" wrapText="1"/>
    </xf>
    <xf numFmtId="0" fontId="7" fillId="3" borderId="0" xfId="28" applyFont="1" applyFill="1" applyBorder="1" applyAlignment="1">
      <alignment horizontal="center" wrapText="1"/>
    </xf>
    <xf numFmtId="0" fontId="7" fillId="3" borderId="2" xfId="28" applyFont="1" applyFill="1" applyBorder="1" applyAlignment="1">
      <alignment horizontal="center" wrapText="1"/>
    </xf>
    <xf numFmtId="0" fontId="7" fillId="3" borderId="5" xfId="28" applyFont="1" applyFill="1" applyBorder="1" applyAlignment="1">
      <alignment horizontal="center" vertical="center" wrapText="1"/>
    </xf>
    <xf numFmtId="0" fontId="7" fillId="3" borderId="2" xfId="28" applyFont="1" applyFill="1" applyBorder="1" applyAlignment="1">
      <alignment horizontal="center" vertical="center" wrapText="1"/>
    </xf>
    <xf numFmtId="0" fontId="6" fillId="3" borderId="2" xfId="26" applyFont="1" applyFill="1" applyBorder="1" applyAlignment="1">
      <alignment horizontal="center" vertical="center" wrapText="1"/>
    </xf>
    <xf numFmtId="0" fontId="7" fillId="3" borderId="3" xfId="26" applyFont="1" applyFill="1" applyBorder="1" applyAlignment="1">
      <alignment horizontal="center" vertical="center" wrapText="1"/>
    </xf>
    <xf numFmtId="0" fontId="7" fillId="3" borderId="0" xfId="26" applyFont="1" applyFill="1" applyAlignment="1">
      <alignment horizontal="center" vertical="center" wrapText="1"/>
    </xf>
    <xf numFmtId="0" fontId="7" fillId="3" borderId="2" xfId="26" applyFont="1" applyFill="1" applyBorder="1" applyAlignment="1">
      <alignment horizontal="center" vertical="center" wrapText="1"/>
    </xf>
    <xf numFmtId="0" fontId="7" fillId="3" borderId="3" xfId="26" applyFont="1" applyFill="1" applyBorder="1" applyAlignment="1">
      <alignment horizontal="center" wrapText="1"/>
    </xf>
    <xf numFmtId="0" fontId="7" fillId="3" borderId="2" xfId="26" applyFont="1" applyFill="1" applyBorder="1" applyAlignment="1">
      <alignment horizontal="center" wrapText="1"/>
    </xf>
    <xf numFmtId="0" fontId="11" fillId="3" borderId="16" xfId="0" applyFont="1" applyFill="1" applyBorder="1" applyAlignment="1">
      <alignment horizontal="center" wrapText="1"/>
    </xf>
    <xf numFmtId="0" fontId="11" fillId="3" borderId="0" xfId="0" applyFont="1" applyFill="1" applyBorder="1" applyAlignment="1">
      <alignment horizontal="center" wrapText="1"/>
    </xf>
    <xf numFmtId="0" fontId="11" fillId="3" borderId="2" xfId="0" applyFont="1" applyFill="1" applyBorder="1" applyAlignment="1">
      <alignment horizontal="center" wrapText="1"/>
    </xf>
    <xf numFmtId="0" fontId="6" fillId="3" borderId="2" xfId="5" applyFont="1" applyFill="1" applyBorder="1" applyAlignment="1">
      <alignment horizontal="center" vertical="center" wrapText="1"/>
    </xf>
    <xf numFmtId="0" fontId="11" fillId="3" borderId="14" xfId="5" applyFont="1" applyFill="1" applyBorder="1" applyAlignment="1">
      <alignment horizontal="center" vertical="center" wrapText="1"/>
    </xf>
    <xf numFmtId="0" fontId="11" fillId="3" borderId="15" xfId="5" applyFont="1" applyFill="1" applyBorder="1" applyAlignment="1">
      <alignment horizontal="center" wrapText="1"/>
    </xf>
    <xf numFmtId="0" fontId="11" fillId="3" borderId="17" xfId="5" applyFont="1" applyFill="1" applyBorder="1" applyAlignment="1">
      <alignment horizontal="center" wrapText="1"/>
    </xf>
    <xf numFmtId="0" fontId="11" fillId="3" borderId="0" xfId="5" applyFont="1" applyFill="1" applyBorder="1" applyAlignment="1">
      <alignment horizontal="center" wrapText="1"/>
    </xf>
    <xf numFmtId="0" fontId="11" fillId="3" borderId="2" xfId="5" applyFont="1" applyFill="1" applyBorder="1" applyAlignment="1">
      <alignment horizontal="center" wrapText="1"/>
    </xf>
    <xf numFmtId="0" fontId="11" fillId="3" borderId="3" xfId="5" applyFont="1" applyFill="1" applyBorder="1" applyAlignment="1">
      <alignment horizontal="center" wrapText="1"/>
    </xf>
    <xf numFmtId="0" fontId="6" fillId="3" borderId="0" xfId="21" applyFont="1" applyFill="1" applyAlignment="1">
      <alignment horizontal="center" vertical="center" wrapText="1"/>
    </xf>
    <xf numFmtId="0" fontId="7" fillId="3" borderId="3" xfId="21" applyFont="1" applyFill="1" applyBorder="1" applyAlignment="1">
      <alignment horizontal="center" wrapText="1"/>
    </xf>
    <xf numFmtId="0" fontId="7" fillId="3" borderId="4" xfId="21" applyFont="1" applyFill="1" applyBorder="1" applyAlignment="1">
      <alignment horizontal="center" wrapText="1"/>
    </xf>
    <xf numFmtId="0" fontId="6" fillId="3" borderId="0" xfId="2" applyFont="1" applyFill="1" applyAlignment="1">
      <alignment horizontal="center" vertical="center" wrapText="1"/>
    </xf>
    <xf numFmtId="0" fontId="7" fillId="3" borderId="3" xfId="2" applyFont="1" applyFill="1" applyBorder="1" applyAlignment="1">
      <alignment horizontal="center" wrapText="1"/>
    </xf>
    <xf numFmtId="0" fontId="7" fillId="3" borderId="2" xfId="2" applyFont="1" applyFill="1" applyBorder="1" applyAlignment="1">
      <alignment horizontal="center" wrapText="1"/>
    </xf>
    <xf numFmtId="0" fontId="7" fillId="3" borderId="1" xfId="2" applyFont="1" applyFill="1" applyBorder="1" applyAlignment="1">
      <alignment horizontal="center" wrapText="1"/>
    </xf>
    <xf numFmtId="0" fontId="21" fillId="3" borderId="4" xfId="40" applyFont="1" applyFill="1" applyBorder="1" applyAlignment="1">
      <alignment horizontal="center" vertical="center"/>
    </xf>
    <xf numFmtId="0" fontId="6" fillId="3" borderId="0" xfId="26" applyFont="1" applyFill="1" applyAlignment="1">
      <alignment horizontal="center" vertical="center" wrapText="1"/>
    </xf>
    <xf numFmtId="0" fontId="7" fillId="3" borderId="3" xfId="5" applyFont="1" applyFill="1" applyBorder="1" applyAlignment="1">
      <alignment horizontal="center" vertical="center" wrapText="1"/>
    </xf>
    <xf numFmtId="0" fontId="7" fillId="3" borderId="3" xfId="5" applyFont="1" applyFill="1" applyBorder="1" applyAlignment="1">
      <alignment horizontal="center" wrapText="1"/>
    </xf>
    <xf numFmtId="0" fontId="7" fillId="3" borderId="2" xfId="5" applyFont="1" applyFill="1" applyBorder="1" applyAlignment="1">
      <alignment horizontal="center" wrapText="1"/>
    </xf>
    <xf numFmtId="0" fontId="6" fillId="3" borderId="0" xfId="27" applyFont="1" applyFill="1" applyAlignment="1">
      <alignment horizontal="center" vertical="center" wrapText="1"/>
    </xf>
    <xf numFmtId="0" fontId="18" fillId="3" borderId="0" xfId="26" applyFont="1" applyFill="1" applyAlignment="1">
      <alignment horizontal="center" vertical="center" wrapText="1"/>
    </xf>
    <xf numFmtId="0" fontId="19" fillId="3" borderId="1" xfId="26" applyFont="1" applyFill="1" applyBorder="1" applyAlignment="1">
      <alignment horizontal="center" wrapText="1"/>
    </xf>
    <xf numFmtId="0" fontId="19" fillId="3" borderId="0" xfId="26" applyFont="1" applyFill="1" applyAlignment="1">
      <alignment horizontal="center" wrapText="1"/>
    </xf>
    <xf numFmtId="0" fontId="19" fillId="3" borderId="3" xfId="26" applyFont="1" applyFill="1" applyBorder="1" applyAlignment="1">
      <alignment horizontal="center" wrapText="1"/>
    </xf>
    <xf numFmtId="0" fontId="19" fillId="3" borderId="0" xfId="26" applyFont="1" applyFill="1" applyBorder="1" applyAlignment="1">
      <alignment horizontal="center" wrapText="1"/>
    </xf>
    <xf numFmtId="0" fontId="19" fillId="3" borderId="2" xfId="26" applyFont="1" applyFill="1" applyBorder="1" applyAlignment="1">
      <alignment horizontal="center" wrapText="1"/>
    </xf>
    <xf numFmtId="0" fontId="6" fillId="3" borderId="0" xfId="5" applyFont="1" applyFill="1" applyAlignment="1">
      <alignment horizontal="center" vertical="center" wrapText="1"/>
    </xf>
    <xf numFmtId="0" fontId="7" fillId="3" borderId="3" xfId="5" applyFont="1" applyFill="1" applyBorder="1" applyAlignment="1">
      <alignment horizontal="left" wrapText="1"/>
    </xf>
    <xf numFmtId="0" fontId="7" fillId="3" borderId="2" xfId="5" applyFont="1" applyFill="1" applyBorder="1" applyAlignment="1">
      <alignment horizontal="left" wrapText="1"/>
    </xf>
    <xf numFmtId="0" fontId="9" fillId="3" borderId="3" xfId="31" applyFont="1" applyFill="1" applyBorder="1" applyAlignment="1">
      <alignment horizontal="center" vertical="center" wrapText="1"/>
    </xf>
    <xf numFmtId="0" fontId="18" fillId="3" borderId="0" xfId="27" applyFont="1" applyFill="1" applyAlignment="1">
      <alignment horizontal="center" vertical="center" wrapText="1"/>
    </xf>
    <xf numFmtId="0" fontId="19" fillId="3" borderId="3" xfId="27" applyFont="1" applyFill="1" applyBorder="1" applyAlignment="1">
      <alignment horizontal="left" wrapText="1"/>
    </xf>
    <xf numFmtId="0" fontId="19" fillId="3" borderId="2" xfId="27" applyFont="1" applyFill="1" applyBorder="1" applyAlignment="1">
      <alignment horizontal="left" wrapText="1"/>
    </xf>
    <xf numFmtId="0" fontId="19" fillId="3" borderId="3" xfId="27" applyFont="1" applyFill="1" applyBorder="1" applyAlignment="1">
      <alignment horizontal="center" wrapText="1"/>
    </xf>
    <xf numFmtId="0" fontId="20" fillId="3" borderId="3" xfId="31" applyFont="1" applyFill="1" applyBorder="1" applyAlignment="1">
      <alignment horizontal="center" vertical="center" wrapText="1"/>
    </xf>
    <xf numFmtId="0" fontId="18" fillId="3" borderId="0" xfId="32" applyFont="1" applyFill="1" applyAlignment="1">
      <alignment horizontal="center" vertical="center" wrapText="1"/>
    </xf>
    <xf numFmtId="0" fontId="19" fillId="3" borderId="3" xfId="32" applyFont="1" applyFill="1" applyBorder="1" applyAlignment="1">
      <alignment horizontal="left" wrapText="1"/>
    </xf>
    <xf numFmtId="0" fontId="19" fillId="3" borderId="2" xfId="32" applyFont="1" applyFill="1" applyBorder="1" applyAlignment="1">
      <alignment horizontal="left" wrapText="1"/>
    </xf>
    <xf numFmtId="0" fontId="19" fillId="3" borderId="3" xfId="32" applyFont="1" applyFill="1" applyBorder="1" applyAlignment="1">
      <alignment horizontal="center" wrapText="1"/>
    </xf>
    <xf numFmtId="0" fontId="6" fillId="3" borderId="0" xfId="30" applyFont="1" applyFill="1" applyAlignment="1">
      <alignment horizontal="center" vertical="center" wrapText="1"/>
    </xf>
    <xf numFmtId="0" fontId="7" fillId="3" borderId="3" xfId="30" applyFont="1" applyFill="1" applyBorder="1" applyAlignment="1">
      <alignment horizontal="left" wrapText="1"/>
    </xf>
    <xf numFmtId="0" fontId="7" fillId="3" borderId="0" xfId="30" applyFont="1" applyFill="1" applyAlignment="1">
      <alignment horizontal="left" wrapText="1"/>
    </xf>
    <xf numFmtId="0" fontId="7" fillId="3" borderId="2" xfId="30" applyFont="1" applyFill="1" applyBorder="1" applyAlignment="1">
      <alignment horizontal="left" wrapText="1"/>
    </xf>
    <xf numFmtId="0" fontId="7" fillId="3" borderId="3" xfId="30" applyFont="1" applyFill="1" applyBorder="1" applyAlignment="1">
      <alignment horizontal="center" wrapText="1"/>
    </xf>
    <xf numFmtId="0" fontId="7" fillId="3" borderId="0" xfId="30" applyFont="1" applyFill="1" applyAlignment="1">
      <alignment horizontal="center" wrapText="1"/>
    </xf>
    <xf numFmtId="0" fontId="7" fillId="3" borderId="2" xfId="30" applyFont="1" applyFill="1" applyBorder="1" applyAlignment="1">
      <alignment horizontal="center" wrapText="1"/>
    </xf>
    <xf numFmtId="0" fontId="7" fillId="3" borderId="1" xfId="30" applyFont="1" applyFill="1" applyBorder="1" applyAlignment="1">
      <alignment horizontal="center" wrapText="1"/>
    </xf>
    <xf numFmtId="0" fontId="6" fillId="3" borderId="0" xfId="33" applyFont="1" applyFill="1" applyAlignment="1">
      <alignment horizontal="center" vertical="center" wrapText="1"/>
    </xf>
    <xf numFmtId="0" fontId="7" fillId="3" borderId="3" xfId="33" applyFont="1" applyFill="1" applyBorder="1" applyAlignment="1">
      <alignment horizontal="left" wrapText="1"/>
    </xf>
    <xf numFmtId="0" fontId="7" fillId="3" borderId="2" xfId="33" applyFont="1" applyFill="1" applyBorder="1" applyAlignment="1">
      <alignment horizontal="left" wrapText="1"/>
    </xf>
    <xf numFmtId="0" fontId="9" fillId="3" borderId="3" xfId="31" applyFont="1" applyFill="1" applyBorder="1" applyAlignment="1">
      <alignment horizontal="center" wrapText="1"/>
    </xf>
    <xf numFmtId="0" fontId="7" fillId="3" borderId="3" xfId="33" applyFont="1" applyFill="1" applyBorder="1" applyAlignment="1">
      <alignment horizontal="center" wrapText="1"/>
    </xf>
    <xf numFmtId="0" fontId="18" fillId="3" borderId="0" xfId="34" applyFont="1" applyFill="1" applyAlignment="1">
      <alignment horizontal="center" vertical="center" wrapText="1"/>
    </xf>
    <xf numFmtId="0" fontId="19" fillId="3" borderId="3" xfId="34" applyFont="1" applyFill="1" applyBorder="1" applyAlignment="1">
      <alignment horizontal="left" wrapText="1"/>
    </xf>
    <xf numFmtId="0" fontId="19" fillId="3" borderId="0" xfId="34" applyFont="1" applyFill="1" applyAlignment="1">
      <alignment horizontal="left" wrapText="1"/>
    </xf>
    <xf numFmtId="0" fontId="19" fillId="3" borderId="2" xfId="34" applyFont="1" applyFill="1" applyBorder="1" applyAlignment="1">
      <alignment horizontal="left" wrapText="1"/>
    </xf>
    <xf numFmtId="0" fontId="19" fillId="3" borderId="3" xfId="34" applyFont="1" applyFill="1" applyBorder="1" applyAlignment="1">
      <alignment horizontal="center" vertical="center" wrapText="1"/>
    </xf>
    <xf numFmtId="0" fontId="19" fillId="3" borderId="0" xfId="34" applyFont="1" applyFill="1" applyAlignment="1">
      <alignment horizontal="center" vertical="center" wrapText="1"/>
    </xf>
    <xf numFmtId="0" fontId="19" fillId="3" borderId="2" xfId="34" applyFont="1" applyFill="1" applyBorder="1" applyAlignment="1">
      <alignment horizontal="center" vertical="center" wrapText="1"/>
    </xf>
    <xf numFmtId="0" fontId="19" fillId="3" borderId="1" xfId="30" applyFont="1" applyFill="1" applyBorder="1" applyAlignment="1">
      <alignment horizontal="center" wrapText="1"/>
    </xf>
    <xf numFmtId="0" fontId="19" fillId="3" borderId="0" xfId="34" applyFont="1" applyFill="1" applyAlignment="1">
      <alignment horizontal="center" wrapText="1"/>
    </xf>
    <xf numFmtId="0" fontId="19" fillId="3" borderId="2" xfId="34" applyFont="1" applyFill="1" applyBorder="1" applyAlignment="1">
      <alignment horizontal="center" wrapText="1"/>
    </xf>
    <xf numFmtId="0" fontId="18" fillId="3" borderId="0" xfId="35" applyFont="1" applyFill="1" applyAlignment="1">
      <alignment horizontal="center" vertical="center" wrapText="1"/>
    </xf>
    <xf numFmtId="0" fontId="19" fillId="3" borderId="3" xfId="35" applyFont="1" applyFill="1" applyBorder="1" applyAlignment="1">
      <alignment horizontal="left" wrapText="1"/>
    </xf>
    <xf numFmtId="0" fontId="19" fillId="3" borderId="2" xfId="35" applyFont="1" applyFill="1" applyBorder="1" applyAlignment="1">
      <alignment horizontal="left" wrapText="1"/>
    </xf>
    <xf numFmtId="0" fontId="19" fillId="3" borderId="3" xfId="35" applyFont="1" applyFill="1" applyBorder="1" applyAlignment="1">
      <alignment horizontal="center" vertical="center" wrapText="1"/>
    </xf>
    <xf numFmtId="0" fontId="19" fillId="3" borderId="0" xfId="35" applyFont="1" applyFill="1" applyAlignment="1">
      <alignment horizontal="center" vertical="center" wrapText="1"/>
    </xf>
    <xf numFmtId="0" fontId="19" fillId="3" borderId="2" xfId="35" applyFont="1" applyFill="1" applyBorder="1" applyAlignment="1">
      <alignment horizontal="center" vertical="center" wrapText="1"/>
    </xf>
    <xf numFmtId="0" fontId="19" fillId="3" borderId="0" xfId="35" applyFont="1" applyFill="1" applyAlignment="1">
      <alignment horizontal="center" wrapText="1"/>
    </xf>
    <xf numFmtId="0" fontId="6" fillId="0" borderId="0" xfId="35" applyFont="1" applyAlignment="1">
      <alignment horizontal="center" vertical="center" wrapText="1"/>
    </xf>
    <xf numFmtId="0" fontId="7" fillId="3" borderId="3" xfId="35" applyFont="1" applyFill="1" applyBorder="1" applyAlignment="1">
      <alignment horizontal="left" wrapText="1"/>
    </xf>
    <xf numFmtId="0" fontId="7" fillId="3" borderId="2" xfId="35" applyFont="1" applyFill="1" applyBorder="1" applyAlignment="1">
      <alignment horizontal="left" wrapText="1"/>
    </xf>
    <xf numFmtId="0" fontId="7" fillId="3" borderId="3" xfId="36" applyFont="1" applyFill="1" applyBorder="1" applyAlignment="1">
      <alignment horizontal="center" wrapText="1"/>
    </xf>
    <xf numFmtId="0" fontId="7" fillId="3" borderId="0" xfId="36" applyFont="1" applyFill="1" applyAlignment="1">
      <alignment horizontal="center" wrapText="1"/>
    </xf>
    <xf numFmtId="0" fontId="7" fillId="3" borderId="2" xfId="36" applyFont="1" applyFill="1" applyBorder="1" applyAlignment="1">
      <alignment horizontal="center" wrapText="1"/>
    </xf>
    <xf numFmtId="0" fontId="7" fillId="3" borderId="1" xfId="36" applyFont="1" applyFill="1" applyBorder="1" applyAlignment="1">
      <alignment horizontal="center" wrapText="1"/>
    </xf>
    <xf numFmtId="0" fontId="18" fillId="3" borderId="0" xfId="37" applyFont="1" applyFill="1" applyAlignment="1">
      <alignment horizontal="center" wrapText="1"/>
    </xf>
    <xf numFmtId="0" fontId="19" fillId="3" borderId="3" xfId="37" applyFont="1" applyFill="1" applyBorder="1" applyAlignment="1">
      <alignment horizontal="left" wrapText="1"/>
    </xf>
    <xf numFmtId="0" fontId="19" fillId="3" borderId="0" xfId="37" applyFont="1" applyFill="1" applyAlignment="1">
      <alignment horizontal="left" wrapText="1"/>
    </xf>
    <xf numFmtId="0" fontId="19" fillId="3" borderId="2" xfId="37" applyFont="1" applyFill="1" applyBorder="1" applyAlignment="1">
      <alignment horizontal="left" wrapText="1"/>
    </xf>
    <xf numFmtId="0" fontId="19" fillId="3" borderId="3" xfId="37" applyFont="1" applyFill="1" applyBorder="1" applyAlignment="1">
      <alignment horizontal="center" wrapText="1"/>
    </xf>
    <xf numFmtId="0" fontId="19" fillId="3" borderId="0" xfId="37" applyFont="1" applyFill="1" applyAlignment="1">
      <alignment horizontal="center" wrapText="1"/>
    </xf>
    <xf numFmtId="0" fontId="19" fillId="3" borderId="2" xfId="37" applyFont="1" applyFill="1" applyBorder="1" applyAlignment="1">
      <alignment horizontal="center" wrapText="1"/>
    </xf>
    <xf numFmtId="0" fontId="19" fillId="3" borderId="1" xfId="37" applyFont="1" applyFill="1" applyBorder="1" applyAlignment="1">
      <alignment horizontal="center" wrapText="1"/>
    </xf>
    <xf numFmtId="0" fontId="7" fillId="3" borderId="3" xfId="38" applyFont="1" applyFill="1" applyBorder="1" applyAlignment="1">
      <alignment horizontal="center" wrapText="1"/>
    </xf>
    <xf numFmtId="0" fontId="6" fillId="3" borderId="0" xfId="38" applyFont="1" applyFill="1" applyAlignment="1">
      <alignment horizontal="center" vertical="center" wrapText="1"/>
    </xf>
    <xf numFmtId="0" fontId="7" fillId="3" borderId="0" xfId="38" applyFont="1" applyFill="1" applyAlignment="1">
      <alignment horizontal="center" wrapText="1"/>
    </xf>
    <xf numFmtId="0" fontId="7" fillId="3" borderId="2" xfId="38" applyFont="1" applyFill="1" applyBorder="1" applyAlignment="1">
      <alignment horizontal="center" wrapText="1"/>
    </xf>
    <xf numFmtId="0" fontId="7" fillId="3" borderId="9" xfId="38" applyFont="1" applyFill="1" applyBorder="1" applyAlignment="1">
      <alignment horizontal="center" wrapText="1"/>
    </xf>
    <xf numFmtId="0" fontId="7" fillId="3" borderId="13" xfId="38" applyFont="1" applyFill="1" applyBorder="1" applyAlignment="1">
      <alignment horizontal="center" wrapText="1"/>
    </xf>
    <xf numFmtId="0" fontId="7" fillId="3" borderId="11" xfId="38" applyFont="1" applyFill="1" applyBorder="1" applyAlignment="1">
      <alignment horizontal="center" wrapText="1"/>
    </xf>
    <xf numFmtId="0" fontId="19" fillId="3" borderId="3" xfId="39" applyFont="1" applyFill="1" applyBorder="1" applyAlignment="1">
      <alignment horizontal="center" wrapText="1"/>
    </xf>
    <xf numFmtId="0" fontId="19" fillId="3" borderId="2" xfId="39" applyFont="1" applyFill="1" applyBorder="1" applyAlignment="1">
      <alignment horizontal="center" wrapText="1"/>
    </xf>
    <xf numFmtId="0" fontId="18" fillId="3" borderId="0" xfId="39" applyFont="1" applyFill="1" applyAlignment="1">
      <alignment horizontal="center" vertical="center" wrapText="1"/>
    </xf>
    <xf numFmtId="0" fontId="19" fillId="3" borderId="3" xfId="39" applyFont="1" applyFill="1" applyBorder="1" applyAlignment="1">
      <alignment horizontal="center"/>
    </xf>
    <xf numFmtId="0" fontId="18" fillId="3" borderId="0" xfId="10" applyFont="1" applyFill="1" applyAlignment="1">
      <alignment horizontal="center" vertical="center" wrapText="1"/>
    </xf>
    <xf numFmtId="0" fontId="19" fillId="3" borderId="3" xfId="10" applyFont="1" applyFill="1" applyBorder="1" applyAlignment="1">
      <alignment horizontal="center" wrapText="1"/>
    </xf>
    <xf numFmtId="0" fontId="19" fillId="3" borderId="2" xfId="10" applyFont="1" applyFill="1" applyBorder="1" applyAlignment="1">
      <alignment horizontal="center" wrapText="1"/>
    </xf>
    <xf numFmtId="0" fontId="19" fillId="3" borderId="1" xfId="10" applyFont="1" applyFill="1" applyBorder="1" applyAlignment="1">
      <alignment horizontal="center" vertical="center" wrapText="1"/>
    </xf>
    <xf numFmtId="0" fontId="6" fillId="3" borderId="0" xfId="11" applyFont="1" applyFill="1" applyAlignment="1">
      <alignment horizontal="center" vertical="center" wrapText="1"/>
    </xf>
    <xf numFmtId="0" fontId="7" fillId="3" borderId="3" xfId="16" applyFont="1" applyFill="1" applyBorder="1" applyAlignment="1">
      <alignment horizontal="left" wrapText="1"/>
    </xf>
    <xf numFmtId="0" fontId="7" fillId="3" borderId="2" xfId="16" applyFont="1" applyFill="1" applyBorder="1" applyAlignment="1">
      <alignment horizontal="left" wrapText="1"/>
    </xf>
    <xf numFmtId="0" fontId="6" fillId="3" borderId="1" xfId="11" applyFont="1" applyFill="1" applyBorder="1" applyAlignment="1">
      <alignment horizontal="center" wrapText="1"/>
    </xf>
    <xf numFmtId="0" fontId="15" fillId="2" borderId="0" xfId="11" applyFont="1" applyFill="1" applyBorder="1" applyAlignment="1">
      <alignment horizontal="left" vertical="top" wrapText="1"/>
    </xf>
    <xf numFmtId="0" fontId="7" fillId="3" borderId="3" xfId="11" applyFont="1" applyFill="1" applyBorder="1" applyAlignment="1">
      <alignment horizontal="center" wrapText="1"/>
    </xf>
    <xf numFmtId="0" fontId="7" fillId="3" borderId="2" xfId="11" applyFont="1" applyFill="1" applyBorder="1" applyAlignment="1">
      <alignment horizontal="center" wrapText="1"/>
    </xf>
    <xf numFmtId="0" fontId="7" fillId="2" borderId="3" xfId="12" applyFont="1" applyFill="1" applyBorder="1" applyAlignment="1">
      <alignment horizontal="left" vertical="top" wrapText="1"/>
    </xf>
    <xf numFmtId="0" fontId="6" fillId="3" borderId="0" xfId="12" applyFont="1" applyFill="1" applyBorder="1" applyAlignment="1">
      <alignment horizontal="center" vertical="center" wrapText="1"/>
    </xf>
    <xf numFmtId="0" fontId="7" fillId="3" borderId="3" xfId="12" applyFont="1" applyFill="1" applyBorder="1" applyAlignment="1">
      <alignment horizontal="center" wrapText="1"/>
    </xf>
    <xf numFmtId="0" fontId="7" fillId="3" borderId="0" xfId="12" applyFont="1" applyFill="1" applyBorder="1" applyAlignment="1">
      <alignment horizontal="center" wrapText="1"/>
    </xf>
    <xf numFmtId="0" fontId="7" fillId="3" borderId="2" xfId="12" applyFont="1" applyFill="1" applyBorder="1" applyAlignment="1">
      <alignment horizontal="center" wrapText="1"/>
    </xf>
    <xf numFmtId="0" fontId="6" fillId="3" borderId="0" xfId="13" applyFont="1" applyFill="1" applyBorder="1" applyAlignment="1">
      <alignment horizontal="center" vertical="center" wrapText="1"/>
    </xf>
    <xf numFmtId="0" fontId="7" fillId="3" borderId="3" xfId="13" applyFont="1" applyFill="1" applyBorder="1" applyAlignment="1">
      <alignment horizontal="center" wrapText="1"/>
    </xf>
    <xf numFmtId="0" fontId="7" fillId="3" borderId="2" xfId="13" applyFont="1" applyFill="1" applyBorder="1" applyAlignment="1">
      <alignment horizontal="center" wrapText="1"/>
    </xf>
    <xf numFmtId="0" fontId="7" fillId="3" borderId="1" xfId="13" applyFont="1" applyFill="1" applyBorder="1" applyAlignment="1">
      <alignment horizontal="center" vertical="center" wrapText="1"/>
    </xf>
    <xf numFmtId="0" fontId="7" fillId="2" borderId="0" xfId="13" applyFont="1" applyFill="1" applyBorder="1" applyAlignment="1">
      <alignment horizontal="left" vertical="top" wrapText="1"/>
    </xf>
    <xf numFmtId="0" fontId="6" fillId="3" borderId="0" xfId="14" applyFont="1" applyFill="1" applyBorder="1" applyAlignment="1">
      <alignment horizontal="center" vertical="center" wrapText="1"/>
    </xf>
    <xf numFmtId="0" fontId="7" fillId="3" borderId="3" xfId="14" applyFont="1" applyFill="1" applyBorder="1" applyAlignment="1">
      <alignment horizontal="center" wrapText="1"/>
    </xf>
    <xf numFmtId="0" fontId="7" fillId="3" borderId="2" xfId="14" applyFont="1" applyFill="1" applyBorder="1" applyAlignment="1">
      <alignment horizontal="center" wrapText="1"/>
    </xf>
    <xf numFmtId="0" fontId="7" fillId="2" borderId="0" xfId="14" applyFont="1" applyFill="1" applyBorder="1" applyAlignment="1">
      <alignment horizontal="left" vertical="top" wrapText="1"/>
    </xf>
    <xf numFmtId="0" fontId="9" fillId="3" borderId="3" xfId="15" applyFont="1" applyFill="1" applyBorder="1" applyAlignment="1">
      <alignment horizontal="center" wrapText="1"/>
    </xf>
    <xf numFmtId="0" fontId="9" fillId="3" borderId="2" xfId="15" applyFont="1" applyFill="1" applyBorder="1" applyAlignment="1">
      <alignment horizontal="center" wrapText="1"/>
    </xf>
    <xf numFmtId="0" fontId="7" fillId="2" borderId="0" xfId="15" applyFont="1" applyFill="1" applyBorder="1" applyAlignment="1">
      <alignment horizontal="left" vertical="top" wrapText="1"/>
    </xf>
    <xf numFmtId="0" fontId="6" fillId="3" borderId="4" xfId="15" applyFont="1" applyFill="1" applyBorder="1" applyAlignment="1">
      <alignment horizontal="center" vertical="center" wrapText="1"/>
    </xf>
    <xf numFmtId="0" fontId="7" fillId="3" borderId="0" xfId="15" applyFont="1" applyFill="1" applyBorder="1" applyAlignment="1">
      <alignment horizontal="center" wrapText="1"/>
    </xf>
    <xf numFmtId="0" fontId="7" fillId="3" borderId="2" xfId="15" applyFont="1" applyFill="1" applyBorder="1" applyAlignment="1">
      <alignment horizontal="center" wrapText="1"/>
    </xf>
    <xf numFmtId="0" fontId="7" fillId="3" borderId="2" xfId="15" applyFont="1" applyFill="1" applyBorder="1" applyAlignment="1">
      <alignment horizontal="center" vertical="center" wrapText="1"/>
    </xf>
    <xf numFmtId="0" fontId="18" fillId="3" borderId="0" xfId="16" applyFont="1" applyFill="1" applyBorder="1" applyAlignment="1">
      <alignment horizontal="center" vertical="center" wrapText="1"/>
    </xf>
    <xf numFmtId="0" fontId="19" fillId="3" borderId="3" xfId="16" applyFont="1" applyFill="1" applyBorder="1" applyAlignment="1">
      <alignment horizontal="center" wrapText="1"/>
    </xf>
    <xf numFmtId="0" fontId="19" fillId="3" borderId="2" xfId="16" applyFont="1" applyFill="1" applyBorder="1" applyAlignment="1">
      <alignment horizontal="center" wrapText="1"/>
    </xf>
    <xf numFmtId="0" fontId="19" fillId="2" borderId="0" xfId="16" applyFont="1" applyFill="1" applyBorder="1" applyAlignment="1">
      <alignment horizontal="left" vertical="top" wrapText="1"/>
    </xf>
    <xf numFmtId="0" fontId="6" fillId="3" borderId="0" xfId="17" applyFont="1" applyFill="1" applyBorder="1" applyAlignment="1">
      <alignment horizontal="center" vertical="center" wrapText="1"/>
    </xf>
    <xf numFmtId="0" fontId="7" fillId="3" borderId="3" xfId="17" applyFont="1" applyFill="1" applyBorder="1" applyAlignment="1">
      <alignment horizontal="center" wrapText="1"/>
    </xf>
    <xf numFmtId="0" fontId="7" fillId="3" borderId="2" xfId="17" applyFont="1" applyFill="1" applyBorder="1" applyAlignment="1">
      <alignment horizontal="center" wrapText="1"/>
    </xf>
    <xf numFmtId="0" fontId="7" fillId="3" borderId="1" xfId="17" applyFont="1" applyFill="1" applyBorder="1" applyAlignment="1">
      <alignment horizontal="center" wrapText="1"/>
    </xf>
    <xf numFmtId="0" fontId="7" fillId="2" borderId="0" xfId="17" applyFont="1" applyFill="1" applyBorder="1" applyAlignment="1">
      <alignment horizontal="left" vertical="top" wrapText="1"/>
    </xf>
    <xf numFmtId="0" fontId="6" fillId="3" borderId="0" xfId="18" applyFont="1" applyFill="1" applyBorder="1" applyAlignment="1">
      <alignment horizontal="center" vertical="center" wrapText="1"/>
    </xf>
    <xf numFmtId="0" fontId="7" fillId="3" borderId="3" xfId="18" applyFont="1" applyFill="1" applyBorder="1" applyAlignment="1">
      <alignment horizontal="center" wrapText="1"/>
    </xf>
    <xf numFmtId="0" fontId="7" fillId="3" borderId="2" xfId="18" applyFont="1" applyFill="1" applyBorder="1" applyAlignment="1">
      <alignment horizontal="center" wrapText="1"/>
    </xf>
    <xf numFmtId="0" fontId="6" fillId="3" borderId="0" xfId="55" applyFont="1" applyFill="1" applyAlignment="1">
      <alignment horizontal="center" vertical="center" wrapText="1"/>
    </xf>
    <xf numFmtId="0" fontId="7" fillId="3" borderId="3" xfId="55" applyFont="1" applyFill="1" applyBorder="1" applyAlignment="1">
      <alignment horizontal="center" wrapText="1"/>
    </xf>
    <xf numFmtId="0" fontId="7" fillId="3" borderId="2" xfId="55" applyFont="1" applyFill="1" applyBorder="1" applyAlignment="1">
      <alignment horizontal="center" wrapText="1"/>
    </xf>
    <xf numFmtId="0" fontId="7" fillId="3" borderId="1" xfId="55" applyFont="1" applyFill="1" applyBorder="1" applyAlignment="1">
      <alignment horizontal="center" wrapText="1"/>
    </xf>
    <xf numFmtId="0" fontId="6" fillId="3" borderId="0" xfId="54" applyFont="1" applyFill="1" applyBorder="1" applyAlignment="1">
      <alignment horizontal="center" vertical="center" wrapText="1"/>
    </xf>
    <xf numFmtId="0" fontId="7" fillId="3" borderId="3" xfId="54" applyFont="1" applyFill="1" applyBorder="1" applyAlignment="1">
      <alignment horizontal="center" wrapText="1"/>
    </xf>
    <xf numFmtId="0" fontId="7" fillId="3" borderId="2" xfId="54" applyFont="1" applyFill="1" applyBorder="1" applyAlignment="1">
      <alignment horizontal="center" wrapText="1"/>
    </xf>
    <xf numFmtId="0" fontId="6" fillId="3" borderId="0" xfId="53" applyFont="1" applyFill="1" applyBorder="1" applyAlignment="1">
      <alignment horizontal="center" vertical="center" wrapText="1"/>
    </xf>
    <xf numFmtId="0" fontId="7" fillId="3" borderId="3" xfId="53" applyFont="1" applyFill="1" applyBorder="1" applyAlignment="1">
      <alignment horizontal="center" wrapText="1"/>
    </xf>
    <xf numFmtId="0" fontId="7" fillId="3" borderId="2" xfId="53" applyFont="1" applyFill="1" applyBorder="1" applyAlignment="1">
      <alignment horizontal="center" wrapText="1"/>
    </xf>
    <xf numFmtId="0" fontId="11" fillId="0" borderId="1" xfId="53" applyFont="1" applyFill="1" applyBorder="1" applyAlignment="1">
      <alignment horizontal="center" wrapText="1"/>
    </xf>
    <xf numFmtId="0" fontId="6" fillId="3" borderId="0" xfId="52" applyFont="1" applyFill="1" applyBorder="1" applyAlignment="1">
      <alignment horizontal="center" vertical="center" wrapText="1"/>
    </xf>
    <xf numFmtId="0" fontId="7" fillId="3" borderId="3" xfId="52" applyFont="1" applyFill="1" applyBorder="1" applyAlignment="1">
      <alignment horizontal="center" wrapText="1"/>
    </xf>
    <xf numFmtId="0" fontId="7" fillId="3" borderId="2" xfId="52" applyFont="1" applyFill="1" applyBorder="1" applyAlignment="1">
      <alignment horizontal="center" wrapText="1"/>
    </xf>
    <xf numFmtId="0" fontId="7" fillId="3" borderId="1" xfId="52" applyFont="1" applyFill="1" applyBorder="1" applyAlignment="1">
      <alignment horizontal="center" wrapText="1"/>
    </xf>
    <xf numFmtId="0" fontId="6" fillId="3" borderId="0" xfId="51" applyFont="1" applyFill="1" applyAlignment="1">
      <alignment horizontal="center" vertical="center" wrapText="1"/>
    </xf>
    <xf numFmtId="0" fontId="7" fillId="3" borderId="3" xfId="51" applyFont="1" applyFill="1" applyBorder="1" applyAlignment="1">
      <alignment horizontal="center" wrapText="1"/>
    </xf>
    <xf numFmtId="0" fontId="7" fillId="3" borderId="2" xfId="51" applyFont="1" applyFill="1" applyBorder="1" applyAlignment="1">
      <alignment horizontal="center" wrapText="1"/>
    </xf>
    <xf numFmtId="0" fontId="7" fillId="2" borderId="0" xfId="50" applyFont="1" applyFill="1" applyBorder="1" applyAlignment="1">
      <alignment horizontal="left" vertical="top" wrapText="1"/>
    </xf>
    <xf numFmtId="0" fontId="6" fillId="3" borderId="0" xfId="50" applyFont="1" applyFill="1" applyAlignment="1">
      <alignment horizontal="center" vertical="center" wrapText="1"/>
    </xf>
    <xf numFmtId="0" fontId="7" fillId="3" borderId="3" xfId="50" applyFont="1" applyFill="1" applyBorder="1" applyAlignment="1">
      <alignment horizontal="center" vertical="center" wrapText="1"/>
    </xf>
    <xf numFmtId="0" fontId="7" fillId="3" borderId="2" xfId="50" applyFont="1" applyFill="1" applyBorder="1" applyAlignment="1">
      <alignment horizontal="center" vertical="center" wrapText="1"/>
    </xf>
    <xf numFmtId="0" fontId="7" fillId="3" borderId="3" xfId="50" applyFont="1" applyFill="1" applyBorder="1" applyAlignment="1">
      <alignment horizontal="center" wrapText="1"/>
    </xf>
    <xf numFmtId="0" fontId="7" fillId="3" borderId="2" xfId="50" applyFont="1" applyFill="1" applyBorder="1" applyAlignment="1">
      <alignment horizontal="center" wrapText="1"/>
    </xf>
    <xf numFmtId="0" fontId="7" fillId="2" borderId="0" xfId="49" applyFont="1" applyFill="1" applyBorder="1" applyAlignment="1">
      <alignment horizontal="left" vertical="top" wrapText="1"/>
    </xf>
    <xf numFmtId="0" fontId="6" fillId="3" borderId="0" xfId="49" applyFont="1" applyFill="1" applyAlignment="1">
      <alignment horizontal="center" vertical="center" wrapText="1"/>
    </xf>
    <xf numFmtId="0" fontId="7" fillId="3" borderId="3" xfId="49" applyFont="1" applyFill="1" applyBorder="1" applyAlignment="1">
      <alignment horizontal="center" wrapText="1"/>
    </xf>
    <xf numFmtId="0" fontId="7" fillId="3" borderId="2" xfId="49" applyFont="1" applyFill="1" applyBorder="1" applyAlignment="1">
      <alignment horizontal="center" wrapText="1"/>
    </xf>
    <xf numFmtId="0" fontId="7" fillId="3" borderId="1" xfId="49" applyFont="1" applyFill="1" applyBorder="1" applyAlignment="1">
      <alignment horizontal="center" wrapText="1"/>
    </xf>
    <xf numFmtId="0" fontId="6" fillId="3" borderId="0" xfId="48" applyFont="1" applyFill="1" applyAlignment="1">
      <alignment horizontal="center" vertical="center" wrapText="1"/>
    </xf>
    <xf numFmtId="0" fontId="7" fillId="3" borderId="3" xfId="48" applyFont="1" applyFill="1" applyBorder="1" applyAlignment="1">
      <alignment horizontal="center" wrapText="1"/>
    </xf>
    <xf numFmtId="0" fontId="7" fillId="3" borderId="2" xfId="48" applyFont="1" applyFill="1" applyBorder="1" applyAlignment="1">
      <alignment horizontal="center" wrapText="1"/>
    </xf>
    <xf numFmtId="0" fontId="7" fillId="3" borderId="3" xfId="47" applyFont="1" applyFill="1" applyBorder="1" applyAlignment="1">
      <alignment horizontal="center" wrapText="1"/>
    </xf>
    <xf numFmtId="0" fontId="7" fillId="3" borderId="2" xfId="47" applyFont="1" applyFill="1" applyBorder="1" applyAlignment="1">
      <alignment horizontal="center" wrapText="1"/>
    </xf>
    <xf numFmtId="0" fontId="6" fillId="3" borderId="0" xfId="46" applyFont="1" applyFill="1" applyAlignment="1">
      <alignment horizontal="center" wrapText="1"/>
    </xf>
    <xf numFmtId="0" fontId="6" fillId="3" borderId="0" xfId="45" applyFont="1" applyFill="1" applyAlignment="1">
      <alignment horizontal="center" vertical="center" wrapText="1"/>
    </xf>
    <xf numFmtId="0" fontId="7" fillId="3" borderId="3" xfId="45" applyFont="1" applyFill="1" applyBorder="1" applyAlignment="1">
      <alignment horizontal="left" wrapText="1"/>
    </xf>
    <xf numFmtId="0" fontId="7" fillId="3" borderId="2" xfId="45" applyFont="1" applyFill="1" applyBorder="1" applyAlignment="1">
      <alignment horizontal="left" wrapText="1"/>
    </xf>
    <xf numFmtId="0" fontId="7" fillId="3" borderId="3" xfId="45" applyFont="1" applyFill="1" applyBorder="1" applyAlignment="1">
      <alignment horizontal="center" wrapText="1"/>
    </xf>
    <xf numFmtId="0" fontId="7" fillId="3" borderId="2" xfId="45" applyFont="1" applyFill="1" applyBorder="1" applyAlignment="1">
      <alignment horizontal="center" wrapText="1"/>
    </xf>
    <xf numFmtId="0" fontId="8" fillId="3" borderId="0" xfId="0" applyFont="1" applyFill="1" applyAlignment="1">
      <alignment horizontal="center" vertical="center" wrapText="1"/>
    </xf>
    <xf numFmtId="0" fontId="7" fillId="3" borderId="3" xfId="44" applyFont="1" applyFill="1" applyBorder="1" applyAlignment="1">
      <alignment horizontal="center" wrapText="1"/>
    </xf>
    <xf numFmtId="0" fontId="7" fillId="3" borderId="2" xfId="44" applyFont="1" applyFill="1" applyBorder="1" applyAlignment="1">
      <alignment horizontal="center" wrapText="1"/>
    </xf>
    <xf numFmtId="0" fontId="7" fillId="3" borderId="1" xfId="44" applyFont="1" applyFill="1" applyBorder="1" applyAlignment="1">
      <alignment horizontal="center" wrapText="1"/>
    </xf>
    <xf numFmtId="0" fontId="8" fillId="3" borderId="4" xfId="4" applyFont="1" applyFill="1" applyBorder="1" applyAlignment="1">
      <alignment horizontal="left" vertical="center"/>
    </xf>
    <xf numFmtId="0" fontId="9" fillId="3" borderId="5" xfId="4" applyFont="1" applyFill="1" applyBorder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0" fontId="9" fillId="3" borderId="6" xfId="4" applyFont="1" applyFill="1" applyBorder="1" applyAlignment="1">
      <alignment horizontal="center" vertical="center" wrapText="1"/>
    </xf>
    <xf numFmtId="0" fontId="8" fillId="3" borderId="4" xfId="4" applyFont="1" applyFill="1" applyBorder="1" applyAlignment="1">
      <alignment horizontal="center" vertical="center"/>
    </xf>
    <xf numFmtId="0" fontId="9" fillId="3" borderId="5" xfId="4" applyFont="1" applyFill="1" applyBorder="1" applyAlignment="1">
      <alignment horizontal="left" wrapText="1"/>
    </xf>
    <xf numFmtId="0" fontId="8" fillId="3" borderId="4" xfId="4" applyFont="1" applyFill="1" applyBorder="1" applyAlignment="1">
      <alignment horizontal="center" vertical="center" wrapText="1"/>
    </xf>
    <xf numFmtId="0" fontId="9" fillId="3" borderId="5" xfId="4" applyFont="1" applyFill="1" applyBorder="1" applyAlignment="1">
      <alignment horizontal="right" vertical="center" wrapText="1"/>
    </xf>
    <xf numFmtId="0" fontId="9" fillId="3" borderId="2" xfId="4" applyFont="1" applyFill="1" applyBorder="1" applyAlignment="1">
      <alignment horizontal="right" vertical="center" wrapText="1"/>
    </xf>
    <xf numFmtId="0" fontId="21" fillId="3" borderId="4" xfId="4" applyFont="1" applyFill="1" applyBorder="1" applyAlignment="1">
      <alignment horizontal="center" vertical="center" wrapText="1"/>
    </xf>
    <xf numFmtId="3" fontId="20" fillId="3" borderId="5" xfId="4" applyNumberFormat="1" applyFont="1" applyFill="1" applyBorder="1" applyAlignment="1">
      <alignment horizontal="center" vertical="center" wrapText="1"/>
    </xf>
    <xf numFmtId="3" fontId="20" fillId="3" borderId="2" xfId="4" applyNumberFormat="1" applyFont="1" applyFill="1" applyBorder="1" applyAlignment="1">
      <alignment horizontal="center" vertical="center" wrapText="1"/>
    </xf>
    <xf numFmtId="3" fontId="20" fillId="3" borderId="6" xfId="4" applyNumberFormat="1" applyFont="1" applyFill="1" applyBorder="1" applyAlignment="1">
      <alignment horizontal="center" vertical="center" wrapText="1"/>
    </xf>
    <xf numFmtId="0" fontId="8" fillId="3" borderId="2" xfId="4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right" vertical="center" wrapText="1"/>
    </xf>
    <xf numFmtId="0" fontId="9" fillId="3" borderId="1" xfId="4" applyFont="1" applyFill="1" applyBorder="1" applyAlignment="1">
      <alignment horizontal="center" vertical="center" wrapText="1"/>
    </xf>
    <xf numFmtId="0" fontId="9" fillId="3" borderId="0" xfId="4" applyFont="1" applyFill="1" applyAlignment="1">
      <alignment horizontal="left" wrapText="1"/>
    </xf>
    <xf numFmtId="0" fontId="9" fillId="3" borderId="5" xfId="4" applyFont="1" applyFill="1" applyBorder="1" applyAlignment="1">
      <alignment horizontal="center" wrapText="1"/>
    </xf>
    <xf numFmtId="0" fontId="9" fillId="3" borderId="0" xfId="4" applyFont="1" applyFill="1" applyAlignment="1">
      <alignment horizontal="center" wrapText="1"/>
    </xf>
    <xf numFmtId="0" fontId="8" fillId="3" borderId="4" xfId="4" applyFont="1" applyFill="1" applyBorder="1" applyAlignment="1">
      <alignment horizontal="left" vertical="center" wrapText="1"/>
    </xf>
    <xf numFmtId="0" fontId="7" fillId="3" borderId="5" xfId="8" applyFont="1" applyFill="1" applyBorder="1" applyAlignment="1">
      <alignment horizontal="center" wrapText="1"/>
    </xf>
    <xf numFmtId="0" fontId="7" fillId="3" borderId="4" xfId="8" applyFont="1" applyFill="1" applyBorder="1" applyAlignment="1">
      <alignment horizontal="center" wrapText="1"/>
    </xf>
    <xf numFmtId="0" fontId="7" fillId="3" borderId="7" xfId="8" applyFont="1" applyFill="1" applyBorder="1" applyAlignment="1">
      <alignment horizontal="center" vertical="center" wrapText="1"/>
    </xf>
    <xf numFmtId="0" fontId="7" fillId="3" borderId="1" xfId="41" applyFont="1" applyFill="1" applyBorder="1" applyAlignment="1">
      <alignment horizontal="center" vertical="center" wrapText="1"/>
    </xf>
    <xf numFmtId="0" fontId="7" fillId="3" borderId="3" xfId="23" applyFont="1" applyFill="1" applyBorder="1" applyAlignment="1">
      <alignment horizontal="center" vertical="center" wrapText="1"/>
    </xf>
    <xf numFmtId="0" fontId="7" fillId="3" borderId="0" xfId="23" applyFont="1" applyFill="1" applyBorder="1" applyAlignment="1">
      <alignment horizontal="center" vertical="center" wrapText="1"/>
    </xf>
    <xf numFmtId="0" fontId="7" fillId="3" borderId="2" xfId="23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indent="1"/>
    </xf>
    <xf numFmtId="0" fontId="7" fillId="3" borderId="0" xfId="29" applyFont="1" applyFill="1" applyAlignment="1">
      <alignment horizontal="left" vertical="top" wrapText="1" indent="1"/>
    </xf>
    <xf numFmtId="0" fontId="7" fillId="3" borderId="1" xfId="19" applyFont="1" applyFill="1" applyBorder="1" applyAlignment="1">
      <alignment horizontal="center" vertical="center" wrapText="1"/>
    </xf>
    <xf numFmtId="0" fontId="7" fillId="3" borderId="0" xfId="28" applyFont="1" applyFill="1" applyAlignment="1">
      <alignment horizontal="left" vertical="top" wrapText="1" indent="1"/>
    </xf>
    <xf numFmtId="0" fontId="6" fillId="3" borderId="0" xfId="28" applyFont="1" applyFill="1" applyAlignment="1">
      <alignment horizontal="left" vertical="top" wrapText="1" indent="1"/>
    </xf>
    <xf numFmtId="0" fontId="7" fillId="3" borderId="0" xfId="26" applyFont="1" applyFill="1" applyBorder="1" applyAlignment="1">
      <alignment horizontal="center" wrapText="1"/>
    </xf>
    <xf numFmtId="0" fontId="7" fillId="3" borderId="0" xfId="26" applyFont="1" applyFill="1" applyBorder="1" applyAlignment="1">
      <alignment horizontal="center" vertical="center" wrapText="1"/>
    </xf>
    <xf numFmtId="0" fontId="7" fillId="3" borderId="0" xfId="26" applyFont="1" applyFill="1" applyAlignment="1">
      <alignment horizontal="left" vertical="top" wrapText="1" indent="1"/>
    </xf>
    <xf numFmtId="0" fontId="7" fillId="3" borderId="2" xfId="26" applyFont="1" applyFill="1" applyBorder="1" applyAlignment="1">
      <alignment horizontal="left" vertical="top" wrapText="1" indent="1"/>
    </xf>
    <xf numFmtId="0" fontId="10" fillId="2" borderId="0" xfId="0" applyFont="1" applyFill="1"/>
    <xf numFmtId="0" fontId="7" fillId="3" borderId="0" xfId="2" applyFont="1" applyFill="1" applyAlignment="1">
      <alignment horizontal="left" vertical="top" wrapText="1" indent="1"/>
    </xf>
    <xf numFmtId="0" fontId="19" fillId="3" borderId="2" xfId="8" applyFont="1" applyFill="1" applyBorder="1" applyAlignment="1">
      <alignment horizontal="center" wrapText="1"/>
    </xf>
    <xf numFmtId="1" fontId="16" fillId="2" borderId="0" xfId="0" applyNumberFormat="1" applyFont="1" applyFill="1"/>
    <xf numFmtId="1" fontId="19" fillId="3" borderId="0" xfId="1" applyNumberFormat="1" applyFont="1" applyFill="1" applyAlignment="1">
      <alignment horizontal="right" vertical="center"/>
    </xf>
    <xf numFmtId="0" fontId="7" fillId="3" borderId="0" xfId="27" applyFont="1" applyFill="1" applyAlignment="1">
      <alignment horizontal="left" vertical="top" wrapText="1" indent="1"/>
    </xf>
    <xf numFmtId="0" fontId="17" fillId="2" borderId="0" xfId="0" applyFont="1" applyFill="1"/>
    <xf numFmtId="0" fontId="6" fillId="3" borderId="0" xfId="5" applyFont="1" applyFill="1" applyAlignment="1">
      <alignment horizontal="left" vertical="top" wrapText="1" indent="1"/>
    </xf>
    <xf numFmtId="0" fontId="19" fillId="3" borderId="0" xfId="34" applyFont="1" applyFill="1" applyAlignment="1">
      <alignment horizontal="left" vertical="top" wrapText="1" indent="1"/>
    </xf>
    <xf numFmtId="0" fontId="18" fillId="3" borderId="0" xfId="34" applyFont="1" applyFill="1" applyAlignment="1">
      <alignment vertical="top" wrapText="1"/>
    </xf>
    <xf numFmtId="0" fontId="19" fillId="3" borderId="0" xfId="35" applyFont="1" applyFill="1" applyBorder="1" applyAlignment="1">
      <alignment horizontal="left" wrapText="1"/>
    </xf>
    <xf numFmtId="0" fontId="16" fillId="2" borderId="0" xfId="0" applyFont="1" applyFill="1" applyAlignment="1">
      <alignment horizontal="left" indent="1"/>
    </xf>
    <xf numFmtId="0" fontId="7" fillId="3" borderId="0" xfId="36" applyFont="1" applyFill="1" applyAlignment="1">
      <alignment horizontal="left" vertical="top" wrapText="1" indent="1"/>
    </xf>
    <xf numFmtId="0" fontId="7" fillId="3" borderId="0" xfId="35" applyFont="1" applyFill="1" applyBorder="1" applyAlignment="1">
      <alignment horizontal="left" wrapText="1"/>
    </xf>
    <xf numFmtId="0" fontId="19" fillId="3" borderId="0" xfId="37" applyFont="1" applyFill="1" applyAlignment="1">
      <alignment horizontal="left" vertical="top" wrapText="1" indent="1"/>
    </xf>
    <xf numFmtId="0" fontId="7" fillId="3" borderId="0" xfId="38" applyFont="1" applyFill="1" applyAlignment="1">
      <alignment horizontal="left" vertical="top" wrapText="1" indent="1"/>
    </xf>
    <xf numFmtId="0" fontId="7" fillId="3" borderId="3" xfId="16" applyFont="1" applyFill="1" applyBorder="1" applyAlignment="1">
      <alignment horizontal="center" wrapText="1"/>
    </xf>
    <xf numFmtId="0" fontId="7" fillId="3" borderId="2" xfId="16" applyFont="1" applyFill="1" applyBorder="1" applyAlignment="1">
      <alignment horizontal="center" wrapText="1"/>
    </xf>
    <xf numFmtId="0" fontId="7" fillId="3" borderId="5" xfId="16" applyFont="1" applyFill="1" applyBorder="1" applyAlignment="1">
      <alignment horizontal="center" wrapText="1"/>
    </xf>
    <xf numFmtId="0" fontId="7" fillId="3" borderId="0" xfId="47" applyFont="1" applyFill="1" applyAlignment="1">
      <alignment vertical="top" wrapText="1"/>
    </xf>
    <xf numFmtId="0" fontId="7" fillId="3" borderId="0" xfId="44" applyFont="1" applyFill="1" applyAlignment="1">
      <alignment vertical="top" wrapText="1"/>
    </xf>
    <xf numFmtId="0" fontId="9" fillId="3" borderId="2" xfId="4" applyFont="1" applyFill="1" applyBorder="1" applyAlignment="1">
      <alignment horizontal="center" wrapText="1"/>
    </xf>
    <xf numFmtId="0" fontId="8" fillId="5" borderId="0" xfId="4" applyFont="1" applyFill="1" applyAlignment="1">
      <alignment wrapText="1"/>
    </xf>
    <xf numFmtId="0" fontId="6" fillId="3" borderId="0" xfId="6" applyFont="1" applyFill="1" applyAlignment="1">
      <alignment wrapText="1"/>
    </xf>
    <xf numFmtId="0" fontId="8" fillId="5" borderId="0" xfId="4" applyFont="1" applyFill="1" applyAlignment="1">
      <alignment horizontal="left" wrapText="1"/>
    </xf>
    <xf numFmtId="0" fontId="8" fillId="3" borderId="0" xfId="4" applyFont="1" applyFill="1" applyAlignment="1">
      <alignment horizontal="left" wrapText="1"/>
    </xf>
    <xf numFmtId="0" fontId="10" fillId="5" borderId="0" xfId="4" applyFont="1" applyFill="1" applyAlignment="1">
      <alignment horizontal="left" wrapText="1"/>
    </xf>
    <xf numFmtId="0" fontId="10" fillId="3" borderId="0" xfId="4" applyFont="1" applyFill="1" applyAlignment="1">
      <alignment horizontal="left" wrapText="1"/>
    </xf>
    <xf numFmtId="0" fontId="10" fillId="3" borderId="0" xfId="8" applyFont="1" applyFill="1" applyAlignment="1">
      <alignment horizontal="left" wrapText="1"/>
    </xf>
    <xf numFmtId="0" fontId="10" fillId="3" borderId="0" xfId="7" applyFont="1" applyFill="1" applyAlignment="1">
      <alignment horizontal="left" wrapText="1"/>
    </xf>
    <xf numFmtId="0" fontId="9" fillId="3" borderId="6" xfId="4" applyFont="1" applyFill="1" applyBorder="1" applyAlignment="1">
      <alignment horizontal="center" wrapText="1"/>
    </xf>
    <xf numFmtId="0" fontId="7" fillId="3" borderId="2" xfId="5" applyFont="1" applyFill="1" applyBorder="1" applyAlignment="1">
      <alignment horizontal="right" wrapText="1"/>
    </xf>
    <xf numFmtId="0" fontId="1" fillId="2" borderId="0" xfId="0" applyFont="1" applyFill="1"/>
    <xf numFmtId="0" fontId="16" fillId="3" borderId="4" xfId="0" applyFont="1" applyFill="1" applyBorder="1" applyAlignment="1">
      <alignment horizontal="left"/>
    </xf>
    <xf numFmtId="0" fontId="11" fillId="3" borderId="0" xfId="4" applyFont="1" applyFill="1" applyAlignment="1">
      <alignment horizontal="left" wrapText="1" indent="1"/>
    </xf>
    <xf numFmtId="0" fontId="11" fillId="3" borderId="0" xfId="7" applyFont="1" applyFill="1" applyAlignment="1">
      <alignment horizontal="left" wrapText="1" indent="1"/>
    </xf>
    <xf numFmtId="0" fontId="11" fillId="3" borderId="4" xfId="0" applyFont="1" applyFill="1" applyBorder="1" applyAlignment="1">
      <alignment horizontal="left" indent="1"/>
    </xf>
    <xf numFmtId="0" fontId="11" fillId="3" borderId="0" xfId="4" applyFont="1" applyFill="1" applyAlignment="1">
      <alignment horizontal="left" vertical="top" wrapText="1" indent="1"/>
    </xf>
    <xf numFmtId="0" fontId="11" fillId="3" borderId="0" xfId="7" applyFont="1" applyFill="1" applyAlignment="1">
      <alignment horizontal="left" vertical="center" wrapText="1" indent="1"/>
    </xf>
    <xf numFmtId="0" fontId="11" fillId="3" borderId="0" xfId="0" applyFont="1" applyFill="1" applyAlignment="1">
      <alignment horizontal="left" indent="1"/>
    </xf>
    <xf numFmtId="0" fontId="9" fillId="3" borderId="0" xfId="4" applyFont="1" applyFill="1" applyAlignment="1">
      <alignment horizontal="left" vertical="center" wrapText="1" indent="1"/>
    </xf>
    <xf numFmtId="0" fontId="9" fillId="3" borderId="0" xfId="4" applyFont="1" applyFill="1" applyAlignment="1">
      <alignment horizontal="left" vertical="center" indent="1"/>
    </xf>
    <xf numFmtId="0" fontId="9" fillId="3" borderId="4" xfId="4" applyFont="1" applyFill="1" applyBorder="1" applyAlignment="1">
      <alignment horizontal="left" vertical="center" indent="1"/>
    </xf>
    <xf numFmtId="0" fontId="20" fillId="3" borderId="0" xfId="4" applyFont="1" applyFill="1" applyAlignment="1">
      <alignment horizontal="left" vertical="center" wrapText="1" indent="1"/>
    </xf>
    <xf numFmtId="0" fontId="20" fillId="3" borderId="0" xfId="4" applyFont="1" applyFill="1" applyAlignment="1">
      <alignment horizontal="left" vertical="center" indent="1"/>
    </xf>
    <xf numFmtId="0" fontId="20" fillId="3" borderId="4" xfId="4" applyFont="1" applyFill="1" applyBorder="1" applyAlignment="1">
      <alignment horizontal="left" vertical="center" indent="1"/>
    </xf>
    <xf numFmtId="3" fontId="17" fillId="3" borderId="0" xfId="1" applyNumberFormat="1" applyFont="1" applyFill="1" applyAlignment="1">
      <alignment horizontal="right" vertical="center"/>
    </xf>
    <xf numFmtId="3" fontId="16" fillId="3" borderId="0" xfId="1" applyNumberFormat="1" applyFont="1" applyFill="1" applyAlignment="1">
      <alignment horizontal="right" vertical="center"/>
    </xf>
    <xf numFmtId="3" fontId="16" fillId="3" borderId="4" xfId="1" applyNumberFormat="1" applyFont="1" applyFill="1" applyBorder="1" applyAlignment="1">
      <alignment horizontal="right" vertical="center"/>
    </xf>
    <xf numFmtId="3" fontId="8" fillId="5" borderId="0" xfId="1" applyNumberFormat="1" applyFont="1" applyFill="1" applyAlignment="1">
      <alignment horizontal="right"/>
    </xf>
    <xf numFmtId="3" fontId="8" fillId="5" borderId="0" xfId="1" applyNumberFormat="1" applyFont="1" applyFill="1" applyAlignment="1">
      <alignment horizontal="right" vertical="center" wrapText="1"/>
    </xf>
    <xf numFmtId="3" fontId="9" fillId="3" borderId="0" xfId="1" applyNumberFormat="1" applyFont="1" applyFill="1" applyAlignment="1">
      <alignment horizontal="right"/>
    </xf>
    <xf numFmtId="3" fontId="9" fillId="3" borderId="0" xfId="1" applyNumberFormat="1" applyFont="1" applyFill="1" applyAlignment="1">
      <alignment horizontal="right" vertical="center" wrapText="1"/>
    </xf>
    <xf numFmtId="3" fontId="8" fillId="3" borderId="0" xfId="1" applyNumberFormat="1" applyFont="1" applyFill="1" applyAlignment="1">
      <alignment horizontal="right" vertical="center" wrapText="1"/>
    </xf>
    <xf numFmtId="3" fontId="9" fillId="5" borderId="0" xfId="1" applyNumberFormat="1" applyFont="1" applyFill="1" applyAlignment="1">
      <alignment horizontal="right"/>
    </xf>
    <xf numFmtId="3" fontId="9" fillId="5" borderId="0" xfId="1" applyNumberFormat="1" applyFont="1" applyFill="1" applyAlignment="1">
      <alignment horizontal="right" vertical="center"/>
    </xf>
    <xf numFmtId="3" fontId="9" fillId="5" borderId="0" xfId="1" applyNumberFormat="1" applyFont="1" applyFill="1" applyAlignment="1">
      <alignment horizontal="right" vertical="center" indent="1"/>
    </xf>
    <xf numFmtId="3" fontId="9" fillId="3" borderId="0" xfId="1" applyNumberFormat="1" applyFont="1" applyFill="1" applyAlignment="1">
      <alignment horizontal="right" vertical="center"/>
    </xf>
    <xf numFmtId="3" fontId="8" fillId="3" borderId="0" xfId="1" applyNumberFormat="1" applyFont="1" applyFill="1" applyAlignment="1">
      <alignment horizontal="right"/>
    </xf>
    <xf numFmtId="3" fontId="8" fillId="3" borderId="0" xfId="1" applyNumberFormat="1" applyFont="1" applyFill="1" applyAlignment="1">
      <alignment horizontal="right" vertical="center"/>
    </xf>
    <xf numFmtId="3" fontId="9" fillId="3" borderId="0" xfId="1" applyNumberFormat="1" applyFont="1" applyFill="1" applyAlignment="1">
      <alignment horizontal="right" vertical="center" indent="1"/>
    </xf>
    <xf numFmtId="3" fontId="8" fillId="3" borderId="0" xfId="1" applyNumberFormat="1" applyFont="1" applyFill="1" applyAlignment="1">
      <alignment horizontal="right" vertical="center" indent="1"/>
    </xf>
    <xf numFmtId="3" fontId="9" fillId="3" borderId="4" xfId="1" applyNumberFormat="1" applyFont="1" applyFill="1" applyBorder="1" applyAlignment="1">
      <alignment horizontal="right"/>
    </xf>
    <xf numFmtId="3" fontId="9" fillId="3" borderId="4" xfId="1" applyNumberFormat="1" applyFont="1" applyFill="1" applyBorder="1" applyAlignment="1">
      <alignment horizontal="right" vertical="center"/>
    </xf>
    <xf numFmtId="3" fontId="9" fillId="3" borderId="4" xfId="1" applyNumberFormat="1" applyFont="1" applyFill="1" applyBorder="1" applyAlignment="1">
      <alignment horizontal="right" vertical="center" indent="1"/>
    </xf>
    <xf numFmtId="168" fontId="9" fillId="3" borderId="0" xfId="4" applyNumberFormat="1" applyFont="1" applyFill="1" applyAlignment="1">
      <alignment horizontal="right" vertical="center" wrapText="1"/>
    </xf>
    <xf numFmtId="0" fontId="6" fillId="3" borderId="0" xfId="52" applyFont="1" applyFill="1" applyBorder="1" applyAlignment="1">
      <alignment vertical="top" wrapText="1"/>
    </xf>
    <xf numFmtId="0" fontId="7" fillId="3" borderId="0" xfId="52" applyFont="1" applyFill="1" applyBorder="1" applyAlignment="1">
      <alignment vertical="top" wrapText="1"/>
    </xf>
    <xf numFmtId="0" fontId="6" fillId="3" borderId="0" xfId="50" applyFont="1" applyFill="1" applyAlignment="1">
      <alignment vertical="top" wrapText="1"/>
    </xf>
    <xf numFmtId="0" fontId="7" fillId="3" borderId="0" xfId="50" applyFont="1" applyFill="1" applyAlignment="1">
      <alignment horizontal="left" vertical="top" wrapText="1" indent="2"/>
    </xf>
    <xf numFmtId="0" fontId="6" fillId="3" borderId="0" xfId="49" applyFont="1" applyFill="1" applyAlignment="1">
      <alignment vertical="top" wrapText="1"/>
    </xf>
    <xf numFmtId="3" fontId="7" fillId="3" borderId="0" xfId="1" applyNumberFormat="1" applyFont="1" applyFill="1" applyBorder="1" applyAlignment="1">
      <alignment horizontal="right" vertical="center"/>
    </xf>
    <xf numFmtId="3" fontId="6" fillId="4" borderId="0" xfId="1" applyNumberFormat="1" applyFont="1" applyFill="1" applyBorder="1" applyAlignment="1">
      <alignment horizontal="right" vertical="center"/>
    </xf>
    <xf numFmtId="3" fontId="6" fillId="3" borderId="0" xfId="1" applyNumberFormat="1" applyFont="1" applyFill="1" applyBorder="1" applyAlignment="1">
      <alignment horizontal="right" vertical="center"/>
    </xf>
    <xf numFmtId="0" fontId="7" fillId="3" borderId="0" xfId="49" applyFont="1" applyFill="1" applyAlignment="1">
      <alignment horizontal="left" vertical="top" indent="1"/>
    </xf>
    <xf numFmtId="175" fontId="6" fillId="3" borderId="0" xfId="1" applyNumberFormat="1" applyFont="1" applyFill="1" applyBorder="1" applyAlignment="1">
      <alignment horizontal="right" vertical="center"/>
    </xf>
  </cellXfs>
  <cellStyles count="56">
    <cellStyle name="Normal" xfId="0" builtinId="0"/>
    <cellStyle name="Normal 14" xfId="4" xr:uid="{00000000-0005-0000-0000-000001000000}"/>
    <cellStyle name="Normal 2 2" xfId="9" xr:uid="{00000000-0005-0000-0000-000002000000}"/>
    <cellStyle name="Normal 2 3" xfId="46" xr:uid="{00000000-0005-0000-0000-000003000000}"/>
    <cellStyle name="Normal 2 4" xfId="31" xr:uid="{00000000-0005-0000-0000-000004000000}"/>
    <cellStyle name="Normal_BaseCC" xfId="7" xr:uid="{00000000-0005-0000-0000-000005000000}"/>
    <cellStyle name="Normal_Folha1 2" xfId="6" xr:uid="{00000000-0005-0000-0000-000006000000}"/>
    <cellStyle name="Normal_Folha2" xfId="2" xr:uid="{00000000-0005-0000-0000-000007000000}"/>
    <cellStyle name="Normal_Folha2 2" xfId="19" xr:uid="{00000000-0005-0000-0000-000008000000}"/>
    <cellStyle name="Normal_Folha3" xfId="21" xr:uid="{00000000-0005-0000-0000-000009000000}"/>
    <cellStyle name="Normal_Folha4" xfId="28" xr:uid="{00000000-0005-0000-0000-00000A000000}"/>
    <cellStyle name="Normal_Folha6" xfId="29" xr:uid="{00000000-0005-0000-0000-00000B000000}"/>
    <cellStyle name="Normal_GAZA1" xfId="40" xr:uid="{00000000-0005-0000-0000-00000C000000}"/>
    <cellStyle name="Normal_gp_idade2" xfId="42" xr:uid="{00000000-0005-0000-0000-00000D000000}"/>
    <cellStyle name="Normal_Pop_Bilhete _Identidade 2" xfId="22" xr:uid="{00000000-0005-0000-0000-00000E000000}"/>
    <cellStyle name="Normal_Pop_Bilhete _Identidade1" xfId="25" xr:uid="{00000000-0005-0000-0000-00000F000000}"/>
    <cellStyle name="Normal_Pop_Bilhete_grupo etario 2" xfId="24" xr:uid="{00000000-0005-0000-0000-000010000000}"/>
    <cellStyle name="Normal_Q1.1" xfId="3" xr:uid="{00000000-0005-0000-0000-000011000000}"/>
    <cellStyle name="Normal_Q1.7" xfId="23" xr:uid="{00000000-0005-0000-0000-000012000000}"/>
    <cellStyle name="Normal_Q1.9" xfId="20" xr:uid="{00000000-0005-0000-0000-000013000000}"/>
    <cellStyle name="Normal_Q8.10" xfId="34" xr:uid="{00000000-0005-0000-0000-000014000000}"/>
    <cellStyle name="Normal_Q8.12" xfId="36" xr:uid="{00000000-0005-0000-0000-000015000000}"/>
    <cellStyle name="Normal_Q8.14" xfId="38" xr:uid="{00000000-0005-0000-0000-000016000000}"/>
    <cellStyle name="Normal_Q8.15" xfId="39" xr:uid="{00000000-0005-0000-0000-000017000000}"/>
    <cellStyle name="Normal_Q8.7" xfId="32" xr:uid="{00000000-0005-0000-0000-000018000000}"/>
    <cellStyle name="Normal_Q8.8" xfId="30" xr:uid="{00000000-0005-0000-0000-000019000000}"/>
    <cellStyle name="Normal_Q8.9" xfId="33" xr:uid="{00000000-0005-0000-0000-00001A000000}"/>
    <cellStyle name="Normal_Q9.1" xfId="10" xr:uid="{00000000-0005-0000-0000-00001B000000}"/>
    <cellStyle name="Normal_Q9.10" xfId="55" xr:uid="{00000000-0005-0000-0000-00001C000000}"/>
    <cellStyle name="Normal_Q9.11" xfId="54" xr:uid="{00000000-0005-0000-0000-00001D000000}"/>
    <cellStyle name="Normal_Q9.12" xfId="53" xr:uid="{00000000-0005-0000-0000-00001E000000}"/>
    <cellStyle name="Normal_Q9.13" xfId="52" xr:uid="{00000000-0005-0000-0000-00001F000000}"/>
    <cellStyle name="Normal_Q9.14" xfId="51" xr:uid="{00000000-0005-0000-0000-000020000000}"/>
    <cellStyle name="Normal_Q9.15" xfId="50" xr:uid="{00000000-0005-0000-0000-000021000000}"/>
    <cellStyle name="Normal_Q9.16" xfId="49" xr:uid="{00000000-0005-0000-0000-000022000000}"/>
    <cellStyle name="Normal_Q9.17" xfId="48" xr:uid="{00000000-0005-0000-0000-000023000000}"/>
    <cellStyle name="Normal_Q9.18" xfId="47" xr:uid="{00000000-0005-0000-0000-000024000000}"/>
    <cellStyle name="Normal_Q9.2" xfId="11" xr:uid="{00000000-0005-0000-0000-000025000000}"/>
    <cellStyle name="Normal_Q9.20" xfId="44" xr:uid="{00000000-0005-0000-0000-000026000000}"/>
    <cellStyle name="Normal_Q9.3" xfId="12" xr:uid="{00000000-0005-0000-0000-000027000000}"/>
    <cellStyle name="Normal_Q9.4" xfId="13" xr:uid="{00000000-0005-0000-0000-000028000000}"/>
    <cellStyle name="Normal_Q9.5" xfId="14" xr:uid="{00000000-0005-0000-0000-000029000000}"/>
    <cellStyle name="Normal_Q9.6" xfId="15" xr:uid="{00000000-0005-0000-0000-00002A000000}"/>
    <cellStyle name="Normal_Q9.7" xfId="16" xr:uid="{00000000-0005-0000-0000-00002B000000}"/>
    <cellStyle name="Normal_Q9.8" xfId="17" xr:uid="{00000000-0005-0000-0000-00002C000000}"/>
    <cellStyle name="Normal_Q9.9" xfId="18" xr:uid="{00000000-0005-0000-0000-00002D000000}"/>
    <cellStyle name="Normal_Q91.9" xfId="45" xr:uid="{00000000-0005-0000-0000-00002E000000}"/>
    <cellStyle name="Normal_Quadro 3" xfId="41" xr:uid="{00000000-0005-0000-0000-00002F000000}"/>
    <cellStyle name="Normal_QuadrosCD" xfId="8" xr:uid="{00000000-0005-0000-0000-000030000000}"/>
    <cellStyle name="Normal_Sheet1" xfId="26" xr:uid="{00000000-0005-0000-0000-000031000000}"/>
    <cellStyle name="Normal_Sheet2" xfId="5" xr:uid="{00000000-0005-0000-0000-000032000000}"/>
    <cellStyle name="Normal_Sheet3" xfId="27" xr:uid="{00000000-0005-0000-0000-000033000000}"/>
    <cellStyle name="Normal_Sheet5" xfId="35" xr:uid="{00000000-0005-0000-0000-000034000000}"/>
    <cellStyle name="Normal_Sheet7" xfId="37" xr:uid="{00000000-0005-0000-0000-000035000000}"/>
    <cellStyle name="Percentagem" xfId="43" builtinId="5"/>
    <cellStyle name="Vírgula" xfId="1" builtinId="3"/>
  </cellStyles>
  <dxfs count="0"/>
  <tableStyles count="0" defaultTableStyle="TableStyleMedium2" defaultPivotStyle="PivotStyleLight16"/>
  <colors>
    <mruColors>
      <color rgb="FFEAB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50468</xdr:colOff>
      <xdr:row>45</xdr:row>
      <xdr:rowOff>73025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8E17BD-4F88-4914-B811-B52A212DB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46468" cy="86455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9</xdr:col>
      <xdr:colOff>561975</xdr:colOff>
      <xdr:row>33</xdr:row>
      <xdr:rowOff>134937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A11A5E2-6EB3-4AD6-AC5D-0B133E78ABD9}"/>
            </a:ext>
          </a:extLst>
        </xdr:cNvPr>
        <xdr:cNvSpPr/>
      </xdr:nvSpPr>
      <xdr:spPr>
        <a:xfrm>
          <a:off x="0" y="4762500"/>
          <a:ext cx="6048375" cy="16589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1. População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156011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2EF279-4EA8-40A7-BB7A-3BD5C69A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0011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76200</xdr:rowOff>
    </xdr:from>
    <xdr:to>
      <xdr:col>10</xdr:col>
      <xdr:colOff>523875</xdr:colOff>
      <xdr:row>37</xdr:row>
      <xdr:rowOff>64861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760AB50F-159A-4E1A-A09C-4D4F57A54DE3}"/>
            </a:ext>
          </a:extLst>
        </xdr:cNvPr>
        <xdr:cNvSpPr/>
      </xdr:nvSpPr>
      <xdr:spPr>
        <a:xfrm>
          <a:off x="19050" y="5029200"/>
          <a:ext cx="6600825" cy="208416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2. Estado Civil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519133</xdr:colOff>
      <xdr:row>48</xdr:row>
      <xdr:rowOff>156011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4549BD5-AE53-4F7D-ADEE-3919DDC58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15133" cy="9300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28576</xdr:rowOff>
    </xdr:from>
    <xdr:to>
      <xdr:col>10</xdr:col>
      <xdr:colOff>468313</xdr:colOff>
      <xdr:row>36</xdr:row>
      <xdr:rowOff>171450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3D6665A0-A1EA-40B1-BF6C-495B70B52432}"/>
            </a:ext>
          </a:extLst>
        </xdr:cNvPr>
        <xdr:cNvSpPr/>
      </xdr:nvSpPr>
      <xdr:spPr>
        <a:xfrm>
          <a:off x="0" y="5362576"/>
          <a:ext cx="6564313" cy="16668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3. Registo Civil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A34FF6B-1EFB-4D16-B5B8-FE8186684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104775</xdr:rowOff>
    </xdr:from>
    <xdr:to>
      <xdr:col>10</xdr:col>
      <xdr:colOff>444954</xdr:colOff>
      <xdr:row>35</xdr:row>
      <xdr:rowOff>186418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6A6AC19F-98DB-4A73-9F4C-0DC753DF5272}"/>
            </a:ext>
          </a:extLst>
        </xdr:cNvPr>
        <xdr:cNvSpPr/>
      </xdr:nvSpPr>
      <xdr:spPr>
        <a:xfrm>
          <a:off x="9525" y="5057775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4.  Deficiência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FCE6D4D-4978-4EB5-A64B-18AB58C1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485775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B924B9-BA82-488A-8215-7FA240A03C81}"/>
            </a:ext>
          </a:extLst>
        </xdr:cNvPr>
        <xdr:cNvSpPr/>
      </xdr:nvSpPr>
      <xdr:spPr>
        <a:xfrm>
          <a:off x="0" y="5019675"/>
          <a:ext cx="6581775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5. Orfandade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471962</xdr:colOff>
      <xdr:row>48</xdr:row>
      <xdr:rowOff>87975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F428D8E-8663-4C28-B549-0F5A7011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76200</xdr:rowOff>
    </xdr:from>
    <xdr:to>
      <xdr:col>10</xdr:col>
      <xdr:colOff>435429</xdr:colOff>
      <xdr:row>35</xdr:row>
      <xdr:rowOff>157843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949FE767-CC65-40DA-970A-C0DE8FCD3F47}"/>
            </a:ext>
          </a:extLst>
        </xdr:cNvPr>
        <xdr:cNvSpPr/>
      </xdr:nvSpPr>
      <xdr:spPr>
        <a:xfrm>
          <a:off x="0" y="5029200"/>
          <a:ext cx="6531429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6. Língua e etnia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471962</xdr:colOff>
      <xdr:row>48</xdr:row>
      <xdr:rowOff>116550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BD52509-D0ED-48EF-A4F5-6F8F62CA2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567962" cy="92319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66675</xdr:rowOff>
    </xdr:from>
    <xdr:to>
      <xdr:col>10</xdr:col>
      <xdr:colOff>457200</xdr:colOff>
      <xdr:row>35</xdr:row>
      <xdr:rowOff>148318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F50978A-7EBD-44B9-B758-A065FE410A62}"/>
            </a:ext>
          </a:extLst>
        </xdr:cNvPr>
        <xdr:cNvSpPr/>
      </xdr:nvSpPr>
      <xdr:spPr>
        <a:xfrm>
          <a:off x="0" y="5019675"/>
          <a:ext cx="6553200" cy="17961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7. Religião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512783</xdr:colOff>
      <xdr:row>48</xdr:row>
      <xdr:rowOff>161681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2DBFD95-5011-4A03-902C-7E40D6CB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8783" cy="930568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26</xdr:row>
      <xdr:rowOff>180975</xdr:rowOff>
    </xdr:from>
    <xdr:to>
      <xdr:col>10</xdr:col>
      <xdr:colOff>485775</xdr:colOff>
      <xdr:row>36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099BC78-3906-4976-BC2D-B3C3103E326C}"/>
            </a:ext>
          </a:extLst>
        </xdr:cNvPr>
        <xdr:cNvSpPr/>
      </xdr:nvSpPr>
      <xdr:spPr>
        <a:xfrm>
          <a:off x="9525" y="5133975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8. Educação e FP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10</xdr:col>
      <xdr:colOff>515958</xdr:colOff>
      <xdr:row>48</xdr:row>
      <xdr:rowOff>190256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95ACAFE-1BB3-45C3-8346-0882AD488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6611958" cy="930568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10</xdr:col>
      <xdr:colOff>476250</xdr:colOff>
      <xdr:row>36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B6F3DE73-D995-4C63-85BC-2E6B1F8B7A03}"/>
            </a:ext>
          </a:extLst>
        </xdr:cNvPr>
        <xdr:cNvSpPr/>
      </xdr:nvSpPr>
      <xdr:spPr>
        <a:xfrm>
          <a:off x="0" y="5143500"/>
          <a:ext cx="6572250" cy="1809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9.Agregado Familiar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479165</xdr:colOff>
      <xdr:row>50</xdr:row>
      <xdr:rowOff>141603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BF8E-2B96-460E-801D-C3FAC1A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75165" cy="966660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123825</xdr:rowOff>
    </xdr:from>
    <xdr:to>
      <xdr:col>10</xdr:col>
      <xdr:colOff>442632</xdr:colOff>
      <xdr:row>37</xdr:row>
      <xdr:rowOff>101414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3BDC726-0D56-4B71-95BE-0A31B2381ACE}"/>
            </a:ext>
          </a:extLst>
        </xdr:cNvPr>
        <xdr:cNvSpPr/>
      </xdr:nvSpPr>
      <xdr:spPr>
        <a:xfrm>
          <a:off x="0" y="5267325"/>
          <a:ext cx="6538632" cy="18825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Quadros Anexos - </a:t>
          </a:r>
        </a:p>
        <a:p>
          <a:pPr algn="ctr"/>
          <a:r>
            <a:rPr lang="pt-PT" sz="5000" b="1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11. Habitação</a:t>
          </a:r>
          <a:endParaRPr lang="x-none" sz="5000" b="1">
            <a:solidFill>
              <a:schemeClr val="accent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BD00"/>
  </sheetPr>
  <dimension ref="G23"/>
  <sheetViews>
    <sheetView topLeftCell="A25" zoomScaleNormal="100" workbookViewId="0">
      <selection activeCell="Q36" sqref="Q36"/>
    </sheetView>
  </sheetViews>
  <sheetFormatPr defaultRowHeight="15" x14ac:dyDescent="0.25"/>
  <cols>
    <col min="1" max="16384" width="9.140625" style="1"/>
  </cols>
  <sheetData>
    <row r="23" spans="7:7" x14ac:dyDescent="0.25">
      <c r="G23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>
      <selection activeCell="G10" sqref="G10"/>
    </sheetView>
  </sheetViews>
  <sheetFormatPr defaultRowHeight="12" x14ac:dyDescent="0.2"/>
  <cols>
    <col min="1" max="1" width="17.7109375" style="575" customWidth="1"/>
    <col min="2" max="2" width="11.42578125" style="575" customWidth="1"/>
    <col min="3" max="3" width="16" style="575" customWidth="1"/>
    <col min="4" max="4" width="21.42578125" style="575" customWidth="1"/>
    <col min="5" max="16384" width="9.140625" style="575"/>
  </cols>
  <sheetData>
    <row r="1" spans="1:4" x14ac:dyDescent="0.2">
      <c r="A1" s="6" t="s">
        <v>6</v>
      </c>
      <c r="B1" s="6"/>
      <c r="C1" s="6"/>
      <c r="D1" s="6"/>
    </row>
    <row r="2" spans="1:4" ht="41.25" customHeight="1" x14ac:dyDescent="0.2">
      <c r="A2" s="4" t="s">
        <v>586</v>
      </c>
      <c r="B2" s="637" t="s">
        <v>2</v>
      </c>
      <c r="C2" s="637" t="s">
        <v>3</v>
      </c>
      <c r="D2" s="637" t="s">
        <v>4</v>
      </c>
    </row>
    <row r="3" spans="1:4" x14ac:dyDescent="0.2">
      <c r="A3" s="5" t="s">
        <v>32</v>
      </c>
      <c r="B3" s="209">
        <v>1806416.5354220376</v>
      </c>
      <c r="C3" s="209">
        <v>867639.37130620424</v>
      </c>
      <c r="D3" s="209">
        <v>938777.16410826461</v>
      </c>
    </row>
    <row r="4" spans="1:4" x14ac:dyDescent="0.2">
      <c r="A4" s="359"/>
      <c r="B4" s="211"/>
      <c r="C4" s="211"/>
      <c r="D4" s="211"/>
    </row>
    <row r="5" spans="1:4" x14ac:dyDescent="0.2">
      <c r="A5" s="5" t="s">
        <v>167</v>
      </c>
      <c r="B5" s="5"/>
      <c r="C5" s="5"/>
      <c r="D5" s="5"/>
    </row>
    <row r="6" spans="1:4" x14ac:dyDescent="0.2">
      <c r="A6" s="199" t="s">
        <v>8</v>
      </c>
      <c r="B6" s="210">
        <v>460652.75562326168</v>
      </c>
      <c r="C6" s="210">
        <v>216545.59743466324</v>
      </c>
      <c r="D6" s="210">
        <v>244107.15818944818</v>
      </c>
    </row>
    <row r="7" spans="1:4" x14ac:dyDescent="0.2">
      <c r="A7" s="199" t="s">
        <v>9</v>
      </c>
      <c r="B7" s="210">
        <v>1345763.7797914867</v>
      </c>
      <c r="C7" s="210">
        <v>651093.77386797138</v>
      </c>
      <c r="D7" s="210">
        <v>694670.00591455016</v>
      </c>
    </row>
    <row r="8" spans="1:4" x14ac:dyDescent="0.2">
      <c r="A8" s="5" t="s">
        <v>360</v>
      </c>
      <c r="B8" s="209"/>
      <c r="C8" s="209"/>
      <c r="D8" s="209"/>
    </row>
    <row r="9" spans="1:4" x14ac:dyDescent="0.2">
      <c r="A9" s="198" t="s">
        <v>11</v>
      </c>
      <c r="B9" s="211">
        <v>247337.52183324989</v>
      </c>
      <c r="C9" s="211">
        <v>117195.40262956949</v>
      </c>
      <c r="D9" s="211">
        <v>130142.11920400316</v>
      </c>
    </row>
    <row r="10" spans="1:4" x14ac:dyDescent="0.2">
      <c r="A10" s="360" t="s">
        <v>12</v>
      </c>
      <c r="B10" s="210">
        <v>155253.79728266655</v>
      </c>
      <c r="C10" s="210">
        <v>73739.430705833467</v>
      </c>
      <c r="D10" s="210">
        <v>81514.366576810207</v>
      </c>
    </row>
    <row r="11" spans="1:4" ht="12.75" customHeight="1" x14ac:dyDescent="0.2">
      <c r="A11" s="360" t="s">
        <v>13</v>
      </c>
      <c r="B11" s="210">
        <v>92083.724550804647</v>
      </c>
      <c r="C11" s="210">
        <v>43455.971923654237</v>
      </c>
      <c r="D11" s="210">
        <v>48627.752627103073</v>
      </c>
    </row>
    <row r="12" spans="1:4" x14ac:dyDescent="0.2">
      <c r="A12" s="198" t="s">
        <v>14</v>
      </c>
      <c r="B12" s="211">
        <v>500288.17298782634</v>
      </c>
      <c r="C12" s="211">
        <v>238406.12058649675</v>
      </c>
      <c r="D12" s="211">
        <v>261882.05240230879</v>
      </c>
    </row>
    <row r="13" spans="1:4" x14ac:dyDescent="0.2">
      <c r="A13" s="360" t="s">
        <v>15</v>
      </c>
      <c r="B13" s="210">
        <v>401981.02633520123</v>
      </c>
      <c r="C13" s="210">
        <v>190714.07554447526</v>
      </c>
      <c r="D13" s="210">
        <v>211266.95079144699</v>
      </c>
    </row>
    <row r="14" spans="1:4" x14ac:dyDescent="0.2">
      <c r="A14" s="360" t="s">
        <v>16</v>
      </c>
      <c r="B14" s="210">
        <v>98307.146653144824</v>
      </c>
      <c r="C14" s="210">
        <v>47692.045042117708</v>
      </c>
      <c r="D14" s="210">
        <v>50615.101610967344</v>
      </c>
    </row>
    <row r="15" spans="1:4" x14ac:dyDescent="0.2">
      <c r="A15" s="198" t="s">
        <v>17</v>
      </c>
      <c r="B15" s="211">
        <v>35716.783750647031</v>
      </c>
      <c r="C15" s="211">
        <v>17314.788913175697</v>
      </c>
      <c r="D15" s="211">
        <v>18401.994837473954</v>
      </c>
    </row>
    <row r="16" spans="1:4" x14ac:dyDescent="0.2">
      <c r="A16" s="360" t="s">
        <v>17</v>
      </c>
      <c r="B16" s="210">
        <v>35716.783750647031</v>
      </c>
      <c r="C16" s="210">
        <v>17314.788913175697</v>
      </c>
      <c r="D16" s="210">
        <v>18401.994837473954</v>
      </c>
    </row>
    <row r="17" spans="1:4" x14ac:dyDescent="0.2">
      <c r="A17" s="198" t="s">
        <v>18</v>
      </c>
      <c r="B17" s="211">
        <v>35425.088734112593</v>
      </c>
      <c r="C17" s="211">
        <v>17601.939896459531</v>
      </c>
      <c r="D17" s="211">
        <v>17823.148837654957</v>
      </c>
    </row>
    <row r="18" spans="1:4" x14ac:dyDescent="0.2">
      <c r="A18" s="360" t="s">
        <v>18</v>
      </c>
      <c r="B18" s="210">
        <v>35425.088734112593</v>
      </c>
      <c r="C18" s="210">
        <v>17601.939896459531</v>
      </c>
      <c r="D18" s="210">
        <v>17823.148837654957</v>
      </c>
    </row>
    <row r="19" spans="1:4" x14ac:dyDescent="0.2">
      <c r="A19" s="198" t="s">
        <v>19</v>
      </c>
      <c r="B19" s="211">
        <v>140924.9346394499</v>
      </c>
      <c r="C19" s="211">
        <v>67445.311238759547</v>
      </c>
      <c r="D19" s="211">
        <v>73479.623400592012</v>
      </c>
    </row>
    <row r="20" spans="1:4" x14ac:dyDescent="0.2">
      <c r="A20" s="360" t="s">
        <v>19</v>
      </c>
      <c r="B20" s="210">
        <v>81990.080576216307</v>
      </c>
      <c r="C20" s="210">
        <v>39045.000559700442</v>
      </c>
      <c r="D20" s="210">
        <v>42945.080016483589</v>
      </c>
    </row>
    <row r="21" spans="1:4" x14ac:dyDescent="0.2">
      <c r="A21" s="360" t="s">
        <v>20</v>
      </c>
      <c r="B21" s="210">
        <v>58934.854063148581</v>
      </c>
      <c r="C21" s="210">
        <v>28400.310679057613</v>
      </c>
      <c r="D21" s="210">
        <v>30534.543384093326</v>
      </c>
    </row>
    <row r="22" spans="1:4" x14ac:dyDescent="0.2">
      <c r="A22" s="198" t="s">
        <v>21</v>
      </c>
      <c r="B22" s="211">
        <v>76581.61095662821</v>
      </c>
      <c r="C22" s="211">
        <v>37280.345995510317</v>
      </c>
      <c r="D22" s="211">
        <v>39301.264961097309</v>
      </c>
    </row>
    <row r="23" spans="1:4" x14ac:dyDescent="0.2">
      <c r="A23" s="360" t="s">
        <v>21</v>
      </c>
      <c r="B23" s="210">
        <v>76581.61095662821</v>
      </c>
      <c r="C23" s="210">
        <v>37280.345995510317</v>
      </c>
      <c r="D23" s="210">
        <v>39301.264961097309</v>
      </c>
    </row>
    <row r="24" spans="1:4" x14ac:dyDescent="0.2">
      <c r="A24" s="198" t="s">
        <v>22</v>
      </c>
      <c r="B24" s="211">
        <v>138858.55921422734</v>
      </c>
      <c r="C24" s="211">
        <v>67066.799578229329</v>
      </c>
      <c r="D24" s="211">
        <v>71791.759635912313</v>
      </c>
    </row>
    <row r="25" spans="1:4" x14ac:dyDescent="0.2">
      <c r="A25" s="360" t="s">
        <v>22</v>
      </c>
      <c r="B25" s="210">
        <v>138858.55921422734</v>
      </c>
      <c r="C25" s="210">
        <v>67066.799578229329</v>
      </c>
      <c r="D25" s="210">
        <v>71791.759635912313</v>
      </c>
    </row>
    <row r="26" spans="1:4" x14ac:dyDescent="0.2">
      <c r="A26" s="198" t="s">
        <v>23</v>
      </c>
      <c r="B26" s="211">
        <v>181968.51821302634</v>
      </c>
      <c r="C26" s="211">
        <v>86455.386858134079</v>
      </c>
      <c r="D26" s="211">
        <v>95513.131354963247</v>
      </c>
    </row>
    <row r="27" spans="1:4" x14ac:dyDescent="0.2">
      <c r="A27" s="360" t="s">
        <v>23</v>
      </c>
      <c r="B27" s="210">
        <v>94966.722711778624</v>
      </c>
      <c r="C27" s="210">
        <v>44680.672612564063</v>
      </c>
      <c r="D27" s="210">
        <v>50286.050099160253</v>
      </c>
    </row>
    <row r="28" spans="1:4" x14ac:dyDescent="0.2">
      <c r="A28" s="360" t="s">
        <v>24</v>
      </c>
      <c r="B28" s="210">
        <v>87001.79550131713</v>
      </c>
      <c r="C28" s="210">
        <v>41774.714245527917</v>
      </c>
      <c r="D28" s="210">
        <v>45227.081255745761</v>
      </c>
    </row>
    <row r="29" spans="1:4" x14ac:dyDescent="0.2">
      <c r="A29" s="198" t="s">
        <v>25</v>
      </c>
      <c r="B29" s="211">
        <v>19163.095179749624</v>
      </c>
      <c r="C29" s="211">
        <v>9682.8521423638413</v>
      </c>
      <c r="D29" s="211">
        <v>9480.2430373862862</v>
      </c>
    </row>
    <row r="30" spans="1:4" x14ac:dyDescent="0.2">
      <c r="A30" s="360" t="s">
        <v>25</v>
      </c>
      <c r="B30" s="210">
        <v>19163.095179749624</v>
      </c>
      <c r="C30" s="210">
        <v>9682.8521423638413</v>
      </c>
      <c r="D30" s="210">
        <v>9480.2430373862862</v>
      </c>
    </row>
    <row r="31" spans="1:4" x14ac:dyDescent="0.2">
      <c r="A31" s="198" t="s">
        <v>26</v>
      </c>
      <c r="B31" s="211">
        <v>7995.6423310799501</v>
      </c>
      <c r="C31" s="211">
        <v>4131.4574276652565</v>
      </c>
      <c r="D31" s="211">
        <v>3864.1849034146253</v>
      </c>
    </row>
    <row r="32" spans="1:4" x14ac:dyDescent="0.2">
      <c r="A32" s="360" t="s">
        <v>26</v>
      </c>
      <c r="B32" s="210">
        <v>7995.6423310799501</v>
      </c>
      <c r="C32" s="210">
        <v>4131.4574276652565</v>
      </c>
      <c r="D32" s="210">
        <v>3864.1849034146253</v>
      </c>
    </row>
    <row r="33" spans="1:4" x14ac:dyDescent="0.2">
      <c r="A33" s="198" t="s">
        <v>27</v>
      </c>
      <c r="B33" s="211">
        <v>40256.755679907015</v>
      </c>
      <c r="C33" s="211">
        <v>19217.775021709149</v>
      </c>
      <c r="D33" s="211">
        <v>21038.980658200639</v>
      </c>
    </row>
    <row r="34" spans="1:4" x14ac:dyDescent="0.2">
      <c r="A34" s="360" t="s">
        <v>27</v>
      </c>
      <c r="B34" s="210">
        <v>40256.755679907015</v>
      </c>
      <c r="C34" s="210">
        <v>19217.775021709149</v>
      </c>
      <c r="D34" s="210">
        <v>21038.980658200639</v>
      </c>
    </row>
    <row r="35" spans="1:4" x14ac:dyDescent="0.2">
      <c r="A35" s="198" t="s">
        <v>28</v>
      </c>
      <c r="B35" s="211">
        <v>99995.993903428112</v>
      </c>
      <c r="C35" s="211">
        <v>50264.372833116962</v>
      </c>
      <c r="D35" s="211">
        <v>49731.621070250447</v>
      </c>
    </row>
    <row r="36" spans="1:4" x14ac:dyDescent="0.2">
      <c r="A36" s="360" t="s">
        <v>28</v>
      </c>
      <c r="B36" s="210">
        <v>99995.993903428112</v>
      </c>
      <c r="C36" s="210">
        <v>50264.372833116962</v>
      </c>
      <c r="D36" s="210">
        <v>49731.621070250447</v>
      </c>
    </row>
    <row r="37" spans="1:4" x14ac:dyDescent="0.2">
      <c r="A37" s="198" t="s">
        <v>29</v>
      </c>
      <c r="B37" s="211">
        <v>198400.29871786357</v>
      </c>
      <c r="C37" s="211">
        <v>95951.868415762365</v>
      </c>
      <c r="D37" s="211">
        <v>102448.43030223185</v>
      </c>
    </row>
    <row r="38" spans="1:4" x14ac:dyDescent="0.2">
      <c r="A38" s="360" t="s">
        <v>30</v>
      </c>
      <c r="B38" s="210">
        <v>121590.06075350314</v>
      </c>
      <c r="C38" s="210">
        <v>58786.913623500055</v>
      </c>
      <c r="D38" s="210">
        <v>62803.147129894511</v>
      </c>
    </row>
    <row r="39" spans="1:4" x14ac:dyDescent="0.2">
      <c r="A39" s="360" t="s">
        <v>29</v>
      </c>
      <c r="B39" s="210">
        <v>76810.237964488639</v>
      </c>
      <c r="C39" s="210">
        <v>37164.954792201548</v>
      </c>
      <c r="D39" s="210">
        <v>39645.283172267831</v>
      </c>
    </row>
    <row r="40" spans="1:4" x14ac:dyDescent="0.2">
      <c r="A40" s="198" t="s">
        <v>31</v>
      </c>
      <c r="B40" s="211">
        <v>83503.559262492534</v>
      </c>
      <c r="C40" s="211">
        <v>39624.949765135912</v>
      </c>
      <c r="D40" s="211">
        <v>43878.609497327576</v>
      </c>
    </row>
    <row r="41" spans="1:4" x14ac:dyDescent="0.2">
      <c r="A41" s="360" t="s">
        <v>31</v>
      </c>
      <c r="B41" s="210">
        <v>83503.559262492534</v>
      </c>
      <c r="C41" s="210">
        <v>39624.949765135912</v>
      </c>
      <c r="D41" s="210">
        <v>43878.609497327576</v>
      </c>
    </row>
    <row r="42" spans="1:4" x14ac:dyDescent="0.2">
      <c r="A42" s="656"/>
      <c r="B42" s="656"/>
      <c r="C42" s="656"/>
      <c r="D42" s="656"/>
    </row>
  </sheetData>
  <mergeCells count="1">
    <mergeCell ref="A42:D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2"/>
  <sheetViews>
    <sheetView workbookViewId="0">
      <selection activeCell="G19" sqref="G19"/>
    </sheetView>
  </sheetViews>
  <sheetFormatPr defaultRowHeight="12" x14ac:dyDescent="0.2"/>
  <cols>
    <col min="1" max="1" width="13.28515625" style="576" customWidth="1"/>
    <col min="2" max="2" width="13.42578125" style="575" bestFit="1" customWidth="1"/>
    <col min="3" max="4" width="12" style="575" bestFit="1" customWidth="1"/>
    <col min="5" max="16384" width="9.140625" style="575"/>
  </cols>
  <sheetData>
    <row r="1" spans="1:7" ht="25.5" customHeight="1" x14ac:dyDescent="0.2">
      <c r="A1" s="657" t="s">
        <v>0</v>
      </c>
      <c r="B1" s="657"/>
      <c r="C1" s="657"/>
      <c r="D1" s="657"/>
    </row>
    <row r="2" spans="1:7" x14ac:dyDescent="0.2">
      <c r="A2" s="361" t="s">
        <v>1</v>
      </c>
      <c r="B2" s="475" t="s">
        <v>2</v>
      </c>
      <c r="C2" s="475" t="s">
        <v>3</v>
      </c>
      <c r="D2" s="475" t="s">
        <v>4</v>
      </c>
    </row>
    <row r="3" spans="1:7" x14ac:dyDescent="0.2">
      <c r="A3" s="3" t="s">
        <v>32</v>
      </c>
      <c r="B3" s="209">
        <v>1806416.5354377932</v>
      </c>
      <c r="C3" s="209">
        <v>867639.3713040452</v>
      </c>
      <c r="D3" s="209">
        <v>938777.16410626483</v>
      </c>
    </row>
    <row r="4" spans="1:7" x14ac:dyDescent="0.2">
      <c r="A4" s="362"/>
      <c r="B4" s="211"/>
      <c r="C4" s="211"/>
      <c r="D4" s="211"/>
    </row>
    <row r="5" spans="1:7" x14ac:dyDescent="0.2">
      <c r="A5" s="3" t="s">
        <v>5</v>
      </c>
      <c r="B5" s="209"/>
      <c r="C5" s="209"/>
      <c r="D5" s="209"/>
      <c r="G5" s="635"/>
    </row>
    <row r="6" spans="1:7" x14ac:dyDescent="0.2">
      <c r="A6" s="363" t="s">
        <v>442</v>
      </c>
      <c r="B6" s="210">
        <v>55928.179815914737</v>
      </c>
      <c r="C6" s="210">
        <v>27878.850861296254</v>
      </c>
      <c r="D6" s="210">
        <v>28049.32895461849</v>
      </c>
    </row>
    <row r="7" spans="1:7" x14ac:dyDescent="0.2">
      <c r="A7" s="363" t="s">
        <v>443</v>
      </c>
      <c r="B7" s="210">
        <v>61811.568236568775</v>
      </c>
      <c r="C7" s="210">
        <v>31006.176773240819</v>
      </c>
      <c r="D7" s="210">
        <v>30805.391463327964</v>
      </c>
    </row>
    <row r="8" spans="1:7" x14ac:dyDescent="0.2">
      <c r="A8" s="363" t="s">
        <v>444</v>
      </c>
      <c r="B8" s="210">
        <v>61883.547875971497</v>
      </c>
      <c r="C8" s="210">
        <v>31085.733216791195</v>
      </c>
      <c r="D8" s="210">
        <v>30797.814659180309</v>
      </c>
    </row>
    <row r="9" spans="1:7" x14ac:dyDescent="0.2">
      <c r="A9" s="363" t="s">
        <v>445</v>
      </c>
      <c r="B9" s="210">
        <v>66607.685262038445</v>
      </c>
      <c r="C9" s="210">
        <v>33226.180388503708</v>
      </c>
      <c r="D9" s="210">
        <v>33381.504873530634</v>
      </c>
    </row>
    <row r="10" spans="1:7" x14ac:dyDescent="0.2">
      <c r="A10" s="363" t="s">
        <v>446</v>
      </c>
      <c r="B10" s="210">
        <v>66988.419670459567</v>
      </c>
      <c r="C10" s="210">
        <v>33328.467244497049</v>
      </c>
      <c r="D10" s="210">
        <v>33659.952425956952</v>
      </c>
    </row>
    <row r="11" spans="1:7" x14ac:dyDescent="0.2">
      <c r="A11" s="363" t="s">
        <v>447</v>
      </c>
      <c r="B11" s="210">
        <v>67113.703344092748</v>
      </c>
      <c r="C11" s="210">
        <v>33855.684667653994</v>
      </c>
      <c r="D11" s="210">
        <v>33258.018676444706</v>
      </c>
    </row>
    <row r="12" spans="1:7" x14ac:dyDescent="0.2">
      <c r="A12" s="363" t="s">
        <v>448</v>
      </c>
      <c r="B12" s="210">
        <v>63232.681190979281</v>
      </c>
      <c r="C12" s="210">
        <v>32041.749350385042</v>
      </c>
      <c r="D12" s="210">
        <v>31190.931840606216</v>
      </c>
    </row>
    <row r="13" spans="1:7" x14ac:dyDescent="0.2">
      <c r="A13" s="363" t="s">
        <v>449</v>
      </c>
      <c r="B13" s="210">
        <v>57393.065709991723</v>
      </c>
      <c r="C13" s="210">
        <v>28954.442860762545</v>
      </c>
      <c r="D13" s="210">
        <v>28438.622849241154</v>
      </c>
    </row>
    <row r="14" spans="1:7" x14ac:dyDescent="0.2">
      <c r="A14" s="363" t="s">
        <v>450</v>
      </c>
      <c r="B14" s="210">
        <v>54220.106450928404</v>
      </c>
      <c r="C14" s="210">
        <v>27532.606888044909</v>
      </c>
      <c r="D14" s="210">
        <v>26687.499562895471</v>
      </c>
    </row>
    <row r="15" spans="1:7" x14ac:dyDescent="0.2">
      <c r="A15" s="363" t="s">
        <v>451</v>
      </c>
      <c r="B15" s="210">
        <v>54433.286677092226</v>
      </c>
      <c r="C15" s="210">
        <v>26929.230712206234</v>
      </c>
      <c r="D15" s="210">
        <v>27504.055964897969</v>
      </c>
    </row>
    <row r="16" spans="1:7" x14ac:dyDescent="0.2">
      <c r="A16" s="363" t="s">
        <v>452</v>
      </c>
      <c r="B16" s="210">
        <v>54450.417230980391</v>
      </c>
      <c r="C16" s="210">
        <v>27150.024517875907</v>
      </c>
      <c r="D16" s="210">
        <v>27300.39271311646</v>
      </c>
    </row>
    <row r="17" spans="1:4" x14ac:dyDescent="0.2">
      <c r="A17" s="363" t="s">
        <v>453</v>
      </c>
      <c r="B17" s="210">
        <v>48420.462262346562</v>
      </c>
      <c r="C17" s="210">
        <v>24017.036551218305</v>
      </c>
      <c r="D17" s="210">
        <v>24403.425711140233</v>
      </c>
    </row>
    <row r="18" spans="1:4" x14ac:dyDescent="0.2">
      <c r="A18" s="363" t="s">
        <v>454</v>
      </c>
      <c r="B18" s="210">
        <v>50093.546358757274</v>
      </c>
      <c r="C18" s="210">
        <v>25191.43118999579</v>
      </c>
      <c r="D18" s="210">
        <v>24902.11516877346</v>
      </c>
    </row>
    <row r="19" spans="1:4" x14ac:dyDescent="0.2">
      <c r="A19" s="363" t="s">
        <v>455</v>
      </c>
      <c r="B19" s="210">
        <v>46555.135283413118</v>
      </c>
      <c r="C19" s="210">
        <v>23154.798672180703</v>
      </c>
      <c r="D19" s="210">
        <v>23400.336611244391</v>
      </c>
    </row>
    <row r="20" spans="1:4" x14ac:dyDescent="0.2">
      <c r="A20" s="363" t="s">
        <v>456</v>
      </c>
      <c r="B20" s="210">
        <v>48435.689421358264</v>
      </c>
      <c r="C20" s="210">
        <v>24586.151619280652</v>
      </c>
      <c r="D20" s="210">
        <v>23849.537802089588</v>
      </c>
    </row>
    <row r="21" spans="1:4" x14ac:dyDescent="0.2">
      <c r="A21" s="363" t="s">
        <v>457</v>
      </c>
      <c r="B21" s="210">
        <v>49845.369156641151</v>
      </c>
      <c r="C21" s="210">
        <v>24679.111313807727</v>
      </c>
      <c r="D21" s="210">
        <v>25166.25784282013</v>
      </c>
    </row>
    <row r="22" spans="1:4" x14ac:dyDescent="0.2">
      <c r="A22" s="363" t="s">
        <v>458</v>
      </c>
      <c r="B22" s="210">
        <v>47183.940183917424</v>
      </c>
      <c r="C22" s="210">
        <v>23255.660217565062</v>
      </c>
      <c r="D22" s="210">
        <v>23928.279966339069</v>
      </c>
    </row>
    <row r="23" spans="1:4" x14ac:dyDescent="0.2">
      <c r="A23" s="363" t="s">
        <v>459</v>
      </c>
      <c r="B23" s="210">
        <v>44149.33015456493</v>
      </c>
      <c r="C23" s="210">
        <v>21548.412748916089</v>
      </c>
      <c r="D23" s="210">
        <v>22600.917405635548</v>
      </c>
    </row>
    <row r="24" spans="1:4" x14ac:dyDescent="0.2">
      <c r="A24" s="363" t="s">
        <v>460</v>
      </c>
      <c r="B24" s="210">
        <v>42846.548382022585</v>
      </c>
      <c r="C24" s="210">
        <v>20661.26975800818</v>
      </c>
      <c r="D24" s="210">
        <v>22185.278624001112</v>
      </c>
    </row>
    <row r="25" spans="1:4" x14ac:dyDescent="0.2">
      <c r="A25" s="363" t="s">
        <v>461</v>
      </c>
      <c r="B25" s="210">
        <v>38922.560744656621</v>
      </c>
      <c r="C25" s="210">
        <v>18370.78722480766</v>
      </c>
      <c r="D25" s="210">
        <v>20551.773519835668</v>
      </c>
    </row>
    <row r="26" spans="1:4" x14ac:dyDescent="0.2">
      <c r="A26" s="363" t="s">
        <v>462</v>
      </c>
      <c r="B26" s="210">
        <v>38948.001186101312</v>
      </c>
      <c r="C26" s="210">
        <v>18185.430358915441</v>
      </c>
      <c r="D26" s="210">
        <v>20762.570827176034</v>
      </c>
    </row>
    <row r="27" spans="1:4" x14ac:dyDescent="0.2">
      <c r="A27" s="363" t="s">
        <v>463</v>
      </c>
      <c r="B27" s="210">
        <v>34243.697156736736</v>
      </c>
      <c r="C27" s="210">
        <v>15885.548389004271</v>
      </c>
      <c r="D27" s="210">
        <v>18358.148767723029</v>
      </c>
    </row>
    <row r="28" spans="1:4" x14ac:dyDescent="0.2">
      <c r="A28" s="363" t="s">
        <v>464</v>
      </c>
      <c r="B28" s="210">
        <v>31421.114739117995</v>
      </c>
      <c r="C28" s="210">
        <v>14446.985852489588</v>
      </c>
      <c r="D28" s="210">
        <v>16974.128886620118</v>
      </c>
    </row>
    <row r="29" spans="1:4" x14ac:dyDescent="0.2">
      <c r="A29" s="363" t="s">
        <v>465</v>
      </c>
      <c r="B29" s="210">
        <v>31080.223142787228</v>
      </c>
      <c r="C29" s="210">
        <v>14478.802401480434</v>
      </c>
      <c r="D29" s="210">
        <v>16601.42074129848</v>
      </c>
    </row>
    <row r="30" spans="1:4" x14ac:dyDescent="0.2">
      <c r="A30" s="363" t="s">
        <v>466</v>
      </c>
      <c r="B30" s="210">
        <v>42945.523305740098</v>
      </c>
      <c r="C30" s="210">
        <v>19628.538116715685</v>
      </c>
      <c r="D30" s="210">
        <v>23316.985189014576</v>
      </c>
    </row>
    <row r="31" spans="1:4" x14ac:dyDescent="0.2">
      <c r="A31" s="363" t="s">
        <v>467</v>
      </c>
      <c r="B31" s="210">
        <v>34864.119862058731</v>
      </c>
      <c r="C31" s="210">
        <v>15844.641397444611</v>
      </c>
      <c r="D31" s="210">
        <v>19019.478464604716</v>
      </c>
    </row>
    <row r="32" spans="1:4" x14ac:dyDescent="0.2">
      <c r="A32" s="363" t="s">
        <v>468</v>
      </c>
      <c r="B32" s="210">
        <v>28362.180814709918</v>
      </c>
      <c r="C32" s="210">
        <v>12678.894772855429</v>
      </c>
      <c r="D32" s="210">
        <v>15683.286041848178</v>
      </c>
    </row>
    <row r="33" spans="1:4" x14ac:dyDescent="0.2">
      <c r="A33" s="363" t="s">
        <v>469</v>
      </c>
      <c r="B33" s="210">
        <v>27146.334121130185</v>
      </c>
      <c r="C33" s="210">
        <v>12512.994195974588</v>
      </c>
      <c r="D33" s="210">
        <v>14633.339925150258</v>
      </c>
    </row>
    <row r="34" spans="1:4" x14ac:dyDescent="0.2">
      <c r="A34" s="363" t="s">
        <v>470</v>
      </c>
      <c r="B34" s="210">
        <v>26919.073056909674</v>
      </c>
      <c r="C34" s="210">
        <v>12251.64397212121</v>
      </c>
      <c r="D34" s="210">
        <v>14667.429084783307</v>
      </c>
    </row>
    <row r="35" spans="1:4" x14ac:dyDescent="0.2">
      <c r="A35" s="363" t="s">
        <v>471</v>
      </c>
      <c r="B35" s="210">
        <v>26132.749774706706</v>
      </c>
      <c r="C35" s="210">
        <v>12256.189193405617</v>
      </c>
      <c r="D35" s="210">
        <v>13876.560581296562</v>
      </c>
    </row>
    <row r="36" spans="1:4" x14ac:dyDescent="0.2">
      <c r="A36" s="363" t="s">
        <v>472</v>
      </c>
      <c r="B36" s="210">
        <v>24123.926830138804</v>
      </c>
      <c r="C36" s="210">
        <v>10967.298927060576</v>
      </c>
      <c r="D36" s="210">
        <v>13156.627903084147</v>
      </c>
    </row>
    <row r="37" spans="1:4" x14ac:dyDescent="0.2">
      <c r="A37" s="363" t="s">
        <v>473</v>
      </c>
      <c r="B37" s="210">
        <v>21872.63571328636</v>
      </c>
      <c r="C37" s="210">
        <v>9920.138747019113</v>
      </c>
      <c r="D37" s="210">
        <v>11952.496966271183</v>
      </c>
    </row>
    <row r="38" spans="1:4" x14ac:dyDescent="0.2">
      <c r="A38" s="363" t="s">
        <v>474</v>
      </c>
      <c r="B38" s="210">
        <v>23398.96978241843</v>
      </c>
      <c r="C38" s="210">
        <v>10781.412504568008</v>
      </c>
      <c r="D38" s="210">
        <v>12617.557277855702</v>
      </c>
    </row>
    <row r="39" spans="1:4" x14ac:dyDescent="0.2">
      <c r="A39" s="363" t="s">
        <v>475</v>
      </c>
      <c r="B39" s="210">
        <v>17989.674887889483</v>
      </c>
      <c r="C39" s="210">
        <v>8536.3176017966671</v>
      </c>
      <c r="D39" s="210">
        <v>9453.3572860933327</v>
      </c>
    </row>
    <row r="40" spans="1:4" x14ac:dyDescent="0.2">
      <c r="A40" s="363" t="s">
        <v>476</v>
      </c>
      <c r="B40" s="210">
        <v>21604.133103019554</v>
      </c>
      <c r="C40" s="210">
        <v>9924.2695564078367</v>
      </c>
      <c r="D40" s="210">
        <v>11679.863546615417</v>
      </c>
    </row>
    <row r="41" spans="1:4" x14ac:dyDescent="0.2">
      <c r="A41" s="363" t="s">
        <v>477</v>
      </c>
      <c r="B41" s="210">
        <v>18846.8178360489</v>
      </c>
      <c r="C41" s="210">
        <v>8371.0852262477183</v>
      </c>
      <c r="D41" s="210">
        <v>10475.732609802453</v>
      </c>
    </row>
    <row r="42" spans="1:4" x14ac:dyDescent="0.2">
      <c r="A42" s="363" t="s">
        <v>478</v>
      </c>
      <c r="B42" s="210">
        <v>19251.637156143468</v>
      </c>
      <c r="C42" s="210">
        <v>8848.1937106453079</v>
      </c>
      <c r="D42" s="210">
        <v>10403.443445499788</v>
      </c>
    </row>
    <row r="43" spans="1:4" x14ac:dyDescent="0.2">
      <c r="A43" s="363" t="s">
        <v>479</v>
      </c>
      <c r="B43" s="210">
        <v>16079.175545606178</v>
      </c>
      <c r="C43" s="210">
        <v>7365.2331400934927</v>
      </c>
      <c r="D43" s="210">
        <v>8713.942405511787</v>
      </c>
    </row>
    <row r="44" spans="1:4" x14ac:dyDescent="0.2">
      <c r="A44" s="363" t="s">
        <v>480</v>
      </c>
      <c r="B44" s="210">
        <v>15862.308052698183</v>
      </c>
      <c r="C44" s="210">
        <v>7439.5877090905196</v>
      </c>
      <c r="D44" s="210">
        <v>8422.7203436067648</v>
      </c>
    </row>
    <row r="45" spans="1:4" x14ac:dyDescent="0.2">
      <c r="A45" s="363" t="s">
        <v>481</v>
      </c>
      <c r="B45" s="210">
        <v>15569.020586098799</v>
      </c>
      <c r="C45" s="210">
        <v>7059.5532453279375</v>
      </c>
      <c r="D45" s="210">
        <v>8509.4673407699629</v>
      </c>
    </row>
    <row r="46" spans="1:4" x14ac:dyDescent="0.2">
      <c r="A46" s="363" t="s">
        <v>482</v>
      </c>
      <c r="B46" s="210">
        <v>14577.626332805106</v>
      </c>
      <c r="C46" s="210">
        <v>6609.2950219570521</v>
      </c>
      <c r="D46" s="210">
        <v>7968.3313108471557</v>
      </c>
    </row>
    <row r="47" spans="1:4" x14ac:dyDescent="0.2">
      <c r="A47" s="363" t="s">
        <v>483</v>
      </c>
      <c r="B47" s="210">
        <v>12150.775816929921</v>
      </c>
      <c r="C47" s="210">
        <v>5555.9386278325037</v>
      </c>
      <c r="D47" s="210">
        <v>6594.8371890965191</v>
      </c>
    </row>
    <row r="48" spans="1:4" x14ac:dyDescent="0.2">
      <c r="A48" s="363" t="s">
        <v>484</v>
      </c>
      <c r="B48" s="210">
        <v>12636.145920104958</v>
      </c>
      <c r="C48" s="210">
        <v>5745.9558597137948</v>
      </c>
      <c r="D48" s="210">
        <v>6890.190060390265</v>
      </c>
    </row>
    <row r="49" spans="1:4" x14ac:dyDescent="0.2">
      <c r="A49" s="363" t="s">
        <v>485</v>
      </c>
      <c r="B49" s="210">
        <v>11960.75858504863</v>
      </c>
      <c r="C49" s="210">
        <v>5407.2294898384498</v>
      </c>
      <c r="D49" s="210">
        <v>6553.5290952092819</v>
      </c>
    </row>
    <row r="50" spans="1:4" x14ac:dyDescent="0.2">
      <c r="A50" s="363" t="s">
        <v>486</v>
      </c>
      <c r="B50" s="210">
        <v>13629.605578093013</v>
      </c>
      <c r="C50" s="210">
        <v>6210.6719159452132</v>
      </c>
      <c r="D50" s="210">
        <v>7418.933662146901</v>
      </c>
    </row>
    <row r="51" spans="1:4" x14ac:dyDescent="0.2">
      <c r="A51" s="363" t="s">
        <v>487</v>
      </c>
      <c r="B51" s="210">
        <v>7430.8268778848205</v>
      </c>
      <c r="C51" s="210">
        <v>3311.4044647589744</v>
      </c>
      <c r="D51" s="210">
        <v>4119.4224131251185</v>
      </c>
    </row>
    <row r="52" spans="1:4" x14ac:dyDescent="0.2">
      <c r="A52" s="363" t="s">
        <v>488</v>
      </c>
      <c r="B52" s="210">
        <v>7148.7551577278273</v>
      </c>
      <c r="C52" s="210">
        <v>3113.0727865236499</v>
      </c>
      <c r="D52" s="210">
        <v>4035.6823712035298</v>
      </c>
    </row>
    <row r="53" spans="1:4" x14ac:dyDescent="0.2">
      <c r="A53" s="363" t="s">
        <v>489</v>
      </c>
      <c r="B53" s="210">
        <v>7317.7043651135264</v>
      </c>
      <c r="C53" s="210">
        <v>3149.8008750857471</v>
      </c>
      <c r="D53" s="210">
        <v>4167.9034900271017</v>
      </c>
    </row>
    <row r="54" spans="1:4" x14ac:dyDescent="0.2">
      <c r="A54" s="363" t="s">
        <v>490</v>
      </c>
      <c r="B54" s="210">
        <v>7025.3487801591427</v>
      </c>
      <c r="C54" s="210">
        <v>3079.2829450465206</v>
      </c>
      <c r="D54" s="210">
        <v>3946.0658351120128</v>
      </c>
    </row>
    <row r="55" spans="1:4" x14ac:dyDescent="0.2">
      <c r="A55" s="363" t="s">
        <v>491</v>
      </c>
      <c r="B55" s="210">
        <v>8163.9195255845061</v>
      </c>
      <c r="C55" s="210">
        <v>3647.8337559877841</v>
      </c>
      <c r="D55" s="210">
        <v>4516.0857695958903</v>
      </c>
    </row>
    <row r="56" spans="1:4" x14ac:dyDescent="0.2">
      <c r="A56" s="363" t="s">
        <v>492</v>
      </c>
      <c r="B56" s="210">
        <v>6581.6734703288721</v>
      </c>
      <c r="C56" s="210">
        <v>2963.2221851902937</v>
      </c>
      <c r="D56" s="210">
        <v>3618.4512851381064</v>
      </c>
    </row>
    <row r="57" spans="1:4" x14ac:dyDescent="0.2">
      <c r="A57" s="363" t="s">
        <v>493</v>
      </c>
      <c r="B57" s="210">
        <v>5656.125638563738</v>
      </c>
      <c r="C57" s="210">
        <v>2425.5229686411917</v>
      </c>
      <c r="D57" s="210">
        <v>3230.6026699223607</v>
      </c>
    </row>
    <row r="58" spans="1:4" x14ac:dyDescent="0.2">
      <c r="A58" s="363" t="s">
        <v>494</v>
      </c>
      <c r="B58" s="210">
        <v>6029.2830183547603</v>
      </c>
      <c r="C58" s="210">
        <v>2456.3745630333533</v>
      </c>
      <c r="D58" s="210">
        <v>3572.908455321106</v>
      </c>
    </row>
    <row r="59" spans="1:4" x14ac:dyDescent="0.2">
      <c r="A59" s="363" t="s">
        <v>495</v>
      </c>
      <c r="B59" s="210">
        <v>5027.3407623804405</v>
      </c>
      <c r="C59" s="210">
        <v>2268.326749595416</v>
      </c>
      <c r="D59" s="210">
        <v>2759.0140127850336</v>
      </c>
    </row>
    <row r="60" spans="1:4" x14ac:dyDescent="0.2">
      <c r="A60" s="363" t="s">
        <v>496</v>
      </c>
      <c r="B60" s="210">
        <v>6537.5997640543419</v>
      </c>
      <c r="C60" s="210">
        <v>2845.6923017915828</v>
      </c>
      <c r="D60" s="210">
        <v>3691.9074622623007</v>
      </c>
    </row>
    <row r="61" spans="1:4" x14ac:dyDescent="0.2">
      <c r="A61" s="363" t="s">
        <v>497</v>
      </c>
      <c r="B61" s="210">
        <v>4806.9722310077896</v>
      </c>
      <c r="C61" s="210">
        <v>2156.6733603666407</v>
      </c>
      <c r="D61" s="210">
        <v>2650.2988706412261</v>
      </c>
    </row>
    <row r="62" spans="1:4" x14ac:dyDescent="0.2">
      <c r="A62" s="363" t="s">
        <v>498</v>
      </c>
      <c r="B62" s="210">
        <v>4455.8517043540323</v>
      </c>
      <c r="C62" s="210">
        <v>1992.131523608437</v>
      </c>
      <c r="D62" s="210">
        <v>2463.7201807457727</v>
      </c>
    </row>
    <row r="63" spans="1:4" x14ac:dyDescent="0.2">
      <c r="A63" s="363" t="s">
        <v>499</v>
      </c>
      <c r="B63" s="210">
        <v>4228.1375552689597</v>
      </c>
      <c r="C63" s="210">
        <v>1783.515980575693</v>
      </c>
      <c r="D63" s="210">
        <v>2444.6215746934822</v>
      </c>
    </row>
    <row r="64" spans="1:4" x14ac:dyDescent="0.2">
      <c r="A64" s="363" t="s">
        <v>500</v>
      </c>
      <c r="B64" s="210">
        <v>4539.5917462756397</v>
      </c>
      <c r="C64" s="210">
        <v>2008.2918825757622</v>
      </c>
      <c r="D64" s="210">
        <v>2531.2998637000314</v>
      </c>
    </row>
    <row r="65" spans="1:4" x14ac:dyDescent="0.2">
      <c r="A65" s="363" t="s">
        <v>501</v>
      </c>
      <c r="B65" s="210">
        <v>4187.0020960793981</v>
      </c>
      <c r="C65" s="210">
        <v>1883.4163814646126</v>
      </c>
      <c r="D65" s="210">
        <v>2303.5857146150292</v>
      </c>
    </row>
    <row r="66" spans="1:4" x14ac:dyDescent="0.2">
      <c r="A66" s="363" t="s">
        <v>502</v>
      </c>
      <c r="B66" s="210">
        <v>4485.2341752037191</v>
      </c>
      <c r="C66" s="210">
        <v>1899.5767404319379</v>
      </c>
      <c r="D66" s="210">
        <v>2585.6574347719352</v>
      </c>
    </row>
    <row r="67" spans="1:4" x14ac:dyDescent="0.2">
      <c r="A67" s="363" t="s">
        <v>503</v>
      </c>
      <c r="B67" s="210">
        <v>3784.4622454387854</v>
      </c>
      <c r="C67" s="210">
        <v>1649.8257382096388</v>
      </c>
      <c r="D67" s="210">
        <v>2134.6365072293825</v>
      </c>
    </row>
    <row r="68" spans="1:4" x14ac:dyDescent="0.2">
      <c r="A68" s="363" t="s">
        <v>504</v>
      </c>
      <c r="B68" s="210">
        <v>4013.6455180662715</v>
      </c>
      <c r="C68" s="210">
        <v>1771.7629922358201</v>
      </c>
      <c r="D68" s="210">
        <v>2241.8825258307061</v>
      </c>
    </row>
    <row r="69" spans="1:4" x14ac:dyDescent="0.2">
      <c r="A69" s="363" t="s">
        <v>505</v>
      </c>
      <c r="B69" s="210">
        <v>3857.9184225629797</v>
      </c>
      <c r="C69" s="210">
        <v>1630.7271321573453</v>
      </c>
      <c r="D69" s="210">
        <v>2227.1912904058672</v>
      </c>
    </row>
    <row r="70" spans="1:4" x14ac:dyDescent="0.2">
      <c r="A70" s="363" t="s">
        <v>506</v>
      </c>
      <c r="B70" s="210">
        <v>4382.3955272298153</v>
      </c>
      <c r="C70" s="210">
        <v>2042.0817240528968</v>
      </c>
      <c r="D70" s="210">
        <v>2340.3138031771264</v>
      </c>
    </row>
    <row r="71" spans="1:4" x14ac:dyDescent="0.2">
      <c r="A71" s="363" t="s">
        <v>507</v>
      </c>
      <c r="B71" s="210">
        <v>2084.1047211144896</v>
      </c>
      <c r="C71" s="210">
        <v>965.40688176822846</v>
      </c>
      <c r="D71" s="210">
        <v>1118.6978393462875</v>
      </c>
    </row>
    <row r="72" spans="1:4" x14ac:dyDescent="0.2">
      <c r="A72" s="363" t="s">
        <v>508</v>
      </c>
      <c r="B72" s="210">
        <v>2025.3975458718285</v>
      </c>
      <c r="C72" s="210">
        <v>869.73592952092918</v>
      </c>
      <c r="D72" s="210">
        <v>1155.6616163509259</v>
      </c>
    </row>
    <row r="73" spans="1:4" x14ac:dyDescent="0.2">
      <c r="A73" s="363" t="s">
        <v>509</v>
      </c>
      <c r="B73" s="210">
        <v>1806.8763935797017</v>
      </c>
      <c r="C73" s="210">
        <v>769.71629762602538</v>
      </c>
      <c r="D73" s="210">
        <v>1037.1600959537029</v>
      </c>
    </row>
    <row r="74" spans="1:4" x14ac:dyDescent="0.2">
      <c r="A74" s="363" t="s">
        <v>510</v>
      </c>
      <c r="B74" s="210">
        <v>1806.8763935797017</v>
      </c>
      <c r="C74" s="210">
        <v>777.32648700933328</v>
      </c>
      <c r="D74" s="210">
        <v>1029.549906570395</v>
      </c>
    </row>
    <row r="75" spans="1:4" x14ac:dyDescent="0.2">
      <c r="A75" s="363" t="s">
        <v>511</v>
      </c>
      <c r="B75" s="210">
        <v>1957.9930113339585</v>
      </c>
      <c r="C75" s="210">
        <v>834.94649234009307</v>
      </c>
      <c r="D75" s="210">
        <v>1123.0465189938921</v>
      </c>
    </row>
    <row r="76" spans="1:4" x14ac:dyDescent="0.2">
      <c r="A76" s="363" t="s">
        <v>512</v>
      </c>
      <c r="B76" s="210">
        <v>1894.9371564436931</v>
      </c>
      <c r="C76" s="210">
        <v>796.89554542355359</v>
      </c>
      <c r="D76" s="210">
        <v>1098.0416110201661</v>
      </c>
    </row>
    <row r="77" spans="1:4" x14ac:dyDescent="0.2">
      <c r="A77" s="363" t="s">
        <v>513</v>
      </c>
      <c r="B77" s="210">
        <v>1562.2631634019478</v>
      </c>
      <c r="C77" s="210">
        <v>620.77401969557081</v>
      </c>
      <c r="D77" s="210">
        <v>941.48914370640364</v>
      </c>
    </row>
    <row r="78" spans="1:4" x14ac:dyDescent="0.2">
      <c r="A78" s="363" t="s">
        <v>514</v>
      </c>
      <c r="B78" s="210">
        <v>1676.4160041515663</v>
      </c>
      <c r="C78" s="210">
        <v>742.53704982849717</v>
      </c>
      <c r="D78" s="210">
        <v>933.87895432309574</v>
      </c>
    </row>
    <row r="79" spans="1:4" x14ac:dyDescent="0.2">
      <c r="A79" s="363" t="s">
        <v>515</v>
      </c>
      <c r="B79" s="210">
        <v>1663.3699652087528</v>
      </c>
      <c r="C79" s="210">
        <v>674.0453453787261</v>
      </c>
      <c r="D79" s="210">
        <v>989.32461983005328</v>
      </c>
    </row>
    <row r="80" spans="1:4" x14ac:dyDescent="0.2">
      <c r="A80" s="363" t="s">
        <v>516</v>
      </c>
      <c r="B80" s="210">
        <v>2033.0077352551364</v>
      </c>
      <c r="C80" s="210">
        <v>829.51064278058743</v>
      </c>
      <c r="D80" s="210">
        <v>1203.4970924745755</v>
      </c>
    </row>
    <row r="81" spans="1:4" x14ac:dyDescent="0.2">
      <c r="A81" s="363" t="s">
        <v>517</v>
      </c>
      <c r="B81" s="210">
        <v>1393.751827057273</v>
      </c>
      <c r="C81" s="210">
        <v>583.81024269093245</v>
      </c>
      <c r="D81" s="210">
        <v>809.94158436636712</v>
      </c>
    </row>
    <row r="82" spans="1:4" x14ac:dyDescent="0.2">
      <c r="A82" s="363" t="s">
        <v>518</v>
      </c>
      <c r="B82" s="210">
        <v>1217.6303013292902</v>
      </c>
      <c r="C82" s="210">
        <v>538.14910639108507</v>
      </c>
      <c r="D82" s="210">
        <v>679.48119493823174</v>
      </c>
    </row>
    <row r="83" spans="1:4" x14ac:dyDescent="0.2">
      <c r="A83" s="363" t="s">
        <v>519</v>
      </c>
      <c r="B83" s="210">
        <v>1136.0925579367056</v>
      </c>
      <c r="C83" s="210">
        <v>472.91891167701539</v>
      </c>
      <c r="D83" s="210">
        <v>663.17364625971481</v>
      </c>
    </row>
    <row r="84" spans="1:4" x14ac:dyDescent="0.2">
      <c r="A84" s="363" t="s">
        <v>520</v>
      </c>
      <c r="B84" s="210">
        <v>1087.1699119011548</v>
      </c>
      <c r="C84" s="210">
        <v>439.21664440807865</v>
      </c>
      <c r="D84" s="210">
        <v>647.95326749309902</v>
      </c>
    </row>
    <row r="85" spans="1:4" x14ac:dyDescent="0.2">
      <c r="A85" s="363" t="s">
        <v>521</v>
      </c>
      <c r="B85" s="210">
        <v>1274.1631367481489</v>
      </c>
      <c r="C85" s="210">
        <v>527.27740727207379</v>
      </c>
      <c r="D85" s="210">
        <v>746.88572947610169</v>
      </c>
    </row>
    <row r="86" spans="1:4" x14ac:dyDescent="0.2">
      <c r="A86" s="363" t="s">
        <v>522</v>
      </c>
      <c r="B86" s="210">
        <v>1121.9593490819909</v>
      </c>
      <c r="C86" s="210">
        <v>457.6985329103988</v>
      </c>
      <c r="D86" s="210">
        <v>664.26081617161594</v>
      </c>
    </row>
    <row r="87" spans="1:4" x14ac:dyDescent="0.2">
      <c r="A87" s="363" t="s">
        <v>523</v>
      </c>
      <c r="B87" s="210">
        <v>1093.6929313725616</v>
      </c>
      <c r="C87" s="210">
        <v>459.87287273420117</v>
      </c>
      <c r="D87" s="210">
        <v>633.82005863838435</v>
      </c>
    </row>
    <row r="88" spans="1:4" x14ac:dyDescent="0.2">
      <c r="A88" s="363" t="s">
        <v>524</v>
      </c>
      <c r="B88" s="210">
        <v>1201.3227526507733</v>
      </c>
      <c r="C88" s="210">
        <v>501.1853293864462</v>
      </c>
      <c r="D88" s="210">
        <v>700.13742326435317</v>
      </c>
    </row>
    <row r="89" spans="1:4" x14ac:dyDescent="0.2">
      <c r="A89" s="363" t="s">
        <v>525</v>
      </c>
      <c r="B89" s="210">
        <v>1104.5646304915729</v>
      </c>
      <c r="C89" s="210">
        <v>440.30381431997984</v>
      </c>
      <c r="D89" s="210">
        <v>664.26081617161594</v>
      </c>
    </row>
    <row r="90" spans="1:4" x14ac:dyDescent="0.2">
      <c r="A90" s="363" t="s">
        <v>526</v>
      </c>
      <c r="B90" s="210">
        <v>1224.153320800697</v>
      </c>
      <c r="C90" s="210">
        <v>515.31853824116138</v>
      </c>
      <c r="D90" s="210">
        <v>708.8347825595622</v>
      </c>
    </row>
    <row r="91" spans="1:4" x14ac:dyDescent="0.2">
      <c r="A91" s="363" t="s">
        <v>527</v>
      </c>
      <c r="B91" s="210">
        <v>537.06193647918394</v>
      </c>
      <c r="C91" s="210">
        <v>173.9471859041895</v>
      </c>
      <c r="D91" s="210">
        <v>363.1147505749957</v>
      </c>
    </row>
    <row r="92" spans="1:4" x14ac:dyDescent="0.2">
      <c r="A92" s="363" t="s">
        <v>528</v>
      </c>
      <c r="B92" s="210">
        <v>407.68871696294428</v>
      </c>
      <c r="C92" s="210">
        <v>122.8502000448338</v>
      </c>
      <c r="D92" s="210">
        <v>284.83851691811037</v>
      </c>
    </row>
    <row r="93" spans="1:4" x14ac:dyDescent="0.2">
      <c r="A93" s="363" t="s">
        <v>529</v>
      </c>
      <c r="B93" s="210">
        <v>358.76607092739096</v>
      </c>
      <c r="C93" s="210">
        <v>133.72189916384565</v>
      </c>
      <c r="D93" s="210">
        <v>225.04417176354519</v>
      </c>
    </row>
    <row r="94" spans="1:4" x14ac:dyDescent="0.2">
      <c r="A94" s="363" t="s">
        <v>530</v>
      </c>
      <c r="B94" s="210">
        <v>352.24305145598385</v>
      </c>
      <c r="C94" s="210">
        <v>120.67586022103143</v>
      </c>
      <c r="D94" s="210">
        <v>231.5671912349523</v>
      </c>
    </row>
    <row r="95" spans="1:4" x14ac:dyDescent="0.2">
      <c r="A95" s="363" t="s">
        <v>531</v>
      </c>
      <c r="B95" s="210">
        <v>326.1509735703554</v>
      </c>
      <c r="C95" s="210">
        <v>107.62982127821721</v>
      </c>
      <c r="D95" s="210">
        <v>218.52115229213808</v>
      </c>
    </row>
    <row r="96" spans="1:4" x14ac:dyDescent="0.2">
      <c r="A96" s="363" t="s">
        <v>532</v>
      </c>
      <c r="B96" s="210">
        <v>289.18719656571511</v>
      </c>
      <c r="C96" s="210">
        <v>91.322272599699431</v>
      </c>
      <c r="D96" s="210">
        <v>197.86492396601557</v>
      </c>
    </row>
    <row r="97" spans="1:4" x14ac:dyDescent="0.2">
      <c r="A97" s="363" t="s">
        <v>533</v>
      </c>
      <c r="B97" s="210">
        <v>204.38794343742268</v>
      </c>
      <c r="C97" s="210">
        <v>76.101893833082841</v>
      </c>
      <c r="D97" s="210">
        <v>128.28604960433972</v>
      </c>
    </row>
    <row r="98" spans="1:4" x14ac:dyDescent="0.2">
      <c r="A98" s="363" t="s">
        <v>534</v>
      </c>
      <c r="B98" s="210">
        <v>298.97172577282578</v>
      </c>
      <c r="C98" s="210">
        <v>108.71699119011839</v>
      </c>
      <c r="D98" s="210">
        <v>190.25473458270727</v>
      </c>
    </row>
    <row r="99" spans="1:4" x14ac:dyDescent="0.2">
      <c r="A99" s="363" t="s">
        <v>535</v>
      </c>
      <c r="B99" s="210">
        <v>226.13134167544638</v>
      </c>
      <c r="C99" s="210">
        <v>67.40453453787336</v>
      </c>
      <c r="D99" s="210">
        <v>158.72680713757291</v>
      </c>
    </row>
    <row r="100" spans="1:4" x14ac:dyDescent="0.2">
      <c r="A100" s="363" t="s">
        <v>536</v>
      </c>
      <c r="B100" s="210">
        <v>265.26945850388904</v>
      </c>
      <c r="C100" s="210">
        <v>84.799253128292321</v>
      </c>
      <c r="D100" s="210">
        <v>180.47020537559661</v>
      </c>
    </row>
    <row r="101" spans="1:4" x14ac:dyDescent="0.2">
      <c r="A101" s="364" t="s">
        <v>537</v>
      </c>
      <c r="B101" s="210">
        <v>994</v>
      </c>
      <c r="C101" s="210">
        <v>291</v>
      </c>
      <c r="D101" s="210">
        <v>702</v>
      </c>
    </row>
    <row r="102" spans="1:4" ht="15" customHeight="1" x14ac:dyDescent="0.2">
      <c r="A102" s="636"/>
      <c r="B102" s="328"/>
      <c r="C102" s="328"/>
      <c r="D102" s="328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"/>
  <sheetViews>
    <sheetView workbookViewId="0">
      <selection activeCell="L16" sqref="L16"/>
    </sheetView>
  </sheetViews>
  <sheetFormatPr defaultRowHeight="12" x14ac:dyDescent="0.2"/>
  <cols>
    <col min="1" max="1" width="18.28515625" style="575" customWidth="1"/>
    <col min="2" max="2" width="13.42578125" style="575" bestFit="1" customWidth="1"/>
    <col min="3" max="3" width="12" style="575" bestFit="1" customWidth="1"/>
    <col min="4" max="4" width="12.42578125" style="575" customWidth="1"/>
    <col min="5" max="5" width="0.42578125" style="575" hidden="1" customWidth="1"/>
    <col min="6" max="16384" width="9.140625" style="575"/>
  </cols>
  <sheetData>
    <row r="1" spans="1:4" ht="25.5" customHeight="1" x14ac:dyDescent="0.2">
      <c r="A1" s="658" t="s">
        <v>349</v>
      </c>
      <c r="B1" s="658"/>
      <c r="C1" s="658"/>
      <c r="D1" s="658"/>
    </row>
    <row r="2" spans="1:4" ht="30.75" customHeight="1" x14ac:dyDescent="0.2">
      <c r="A2" s="913" t="s">
        <v>587</v>
      </c>
      <c r="B2" s="370" t="s">
        <v>2</v>
      </c>
      <c r="C2" s="370" t="s">
        <v>3</v>
      </c>
      <c r="D2" s="370" t="s">
        <v>4</v>
      </c>
    </row>
    <row r="3" spans="1:4" x14ac:dyDescent="0.2">
      <c r="A3" s="81" t="s">
        <v>32</v>
      </c>
      <c r="B3" s="212">
        <v>1806416.5354220376</v>
      </c>
      <c r="C3" s="212">
        <v>867639.37130620424</v>
      </c>
      <c r="D3" s="212">
        <v>938777.16410826461</v>
      </c>
    </row>
    <row r="4" spans="1:4" x14ac:dyDescent="0.2">
      <c r="A4" s="92"/>
      <c r="B4" s="208"/>
      <c r="C4" s="208"/>
      <c r="D4" s="208"/>
    </row>
    <row r="5" spans="1:4" x14ac:dyDescent="0.2">
      <c r="A5" s="95" t="s">
        <v>167</v>
      </c>
      <c r="B5" s="212"/>
      <c r="C5" s="212"/>
      <c r="D5" s="212"/>
    </row>
    <row r="6" spans="1:4" x14ac:dyDescent="0.2">
      <c r="A6" s="93" t="s">
        <v>8</v>
      </c>
      <c r="B6" s="207">
        <v>460652.75562326168</v>
      </c>
      <c r="C6" s="207">
        <v>216545.59743466324</v>
      </c>
      <c r="D6" s="207">
        <v>244107.15818944818</v>
      </c>
    </row>
    <row r="7" spans="1:4" x14ac:dyDescent="0.2">
      <c r="A7" s="93" t="s">
        <v>9</v>
      </c>
      <c r="B7" s="207">
        <v>1345763.7797914867</v>
      </c>
      <c r="C7" s="207">
        <v>651093.77386797138</v>
      </c>
      <c r="D7" s="207">
        <v>694670.00591455016</v>
      </c>
    </row>
    <row r="8" spans="1:4" x14ac:dyDescent="0.2">
      <c r="A8" s="195" t="s">
        <v>350</v>
      </c>
      <c r="B8" s="212"/>
      <c r="C8" s="212"/>
      <c r="D8" s="212"/>
    </row>
    <row r="9" spans="1:4" x14ac:dyDescent="0.2">
      <c r="A9" s="196" t="s">
        <v>37</v>
      </c>
      <c r="B9" s="207">
        <v>313219.4008611099</v>
      </c>
      <c r="C9" s="207">
        <v>156525.40848467848</v>
      </c>
      <c r="D9" s="207">
        <v>156693.99237696445</v>
      </c>
    </row>
    <row r="10" spans="1:4" x14ac:dyDescent="0.2">
      <c r="A10" s="196" t="s">
        <v>185</v>
      </c>
      <c r="B10" s="207">
        <v>296392.84337264905</v>
      </c>
      <c r="C10" s="207">
        <v>149313.71447918561</v>
      </c>
      <c r="D10" s="207">
        <v>147079.12889422695</v>
      </c>
    </row>
    <row r="11" spans="1:4" x14ac:dyDescent="0.2">
      <c r="A11" s="196" t="s">
        <v>186</v>
      </c>
      <c r="B11" s="207">
        <v>247955.25055661143</v>
      </c>
      <c r="C11" s="207">
        <v>124099.44255072731</v>
      </c>
      <c r="D11" s="207">
        <v>123855.80800653916</v>
      </c>
    </row>
    <row r="12" spans="1:4" x14ac:dyDescent="0.2">
      <c r="A12" s="196" t="s">
        <v>187</v>
      </c>
      <c r="B12" s="207">
        <v>222947.74862194163</v>
      </c>
      <c r="C12" s="207">
        <v>108515.24126301795</v>
      </c>
      <c r="D12" s="207">
        <v>114432.50735852549</v>
      </c>
    </row>
    <row r="13" spans="1:4" x14ac:dyDescent="0.2">
      <c r="A13" s="196" t="s">
        <v>188</v>
      </c>
      <c r="B13" s="207">
        <v>178638.55953021816</v>
      </c>
      <c r="C13" s="207">
        <v>82625.305118641292</v>
      </c>
      <c r="D13" s="207">
        <v>96013.254411871589</v>
      </c>
    </row>
    <row r="14" spans="1:4" x14ac:dyDescent="0.2">
      <c r="A14" s="196" t="s">
        <v>189</v>
      </c>
      <c r="B14" s="207">
        <v>143424.45762947548</v>
      </c>
      <c r="C14" s="207">
        <v>65544.363531827694</v>
      </c>
      <c r="D14" s="207">
        <v>77880.094097717025</v>
      </c>
    </row>
    <row r="15" spans="1:4" x14ac:dyDescent="0.2">
      <c r="A15" s="196" t="s">
        <v>190</v>
      </c>
      <c r="B15" s="207">
        <v>108989.34031685159</v>
      </c>
      <c r="C15" s="207">
        <v>50129.437336826079</v>
      </c>
      <c r="D15" s="207">
        <v>58859.90297988597</v>
      </c>
    </row>
    <row r="16" spans="1:4" x14ac:dyDescent="0.2">
      <c r="A16" s="196" t="s">
        <v>191</v>
      </c>
      <c r="B16" s="207">
        <v>85608.959176613571</v>
      </c>
      <c r="C16" s="207">
        <v>39083.653031388581</v>
      </c>
      <c r="D16" s="207">
        <v>46525.306145167808</v>
      </c>
    </row>
    <row r="17" spans="1:5" x14ac:dyDescent="0.2">
      <c r="A17" s="196" t="s">
        <v>192</v>
      </c>
      <c r="B17" s="207">
        <v>64954.91223294245</v>
      </c>
      <c r="C17" s="207">
        <v>29529.09091527903</v>
      </c>
      <c r="D17" s="207">
        <v>35425.82131767695</v>
      </c>
    </row>
    <row r="18" spans="1:5" x14ac:dyDescent="0.2">
      <c r="A18" s="196" t="s">
        <v>193</v>
      </c>
      <c r="B18" s="207">
        <v>37086.55470645582</v>
      </c>
      <c r="C18" s="207">
        <v>16301.394827400245</v>
      </c>
      <c r="D18" s="207">
        <v>20785.159879059676</v>
      </c>
    </row>
    <row r="19" spans="1:5" x14ac:dyDescent="0.2">
      <c r="A19" s="196" t="s">
        <v>194</v>
      </c>
      <c r="B19" s="207">
        <v>29832.02265367264</v>
      </c>
      <c r="C19" s="207">
        <v>12959.138768250441</v>
      </c>
      <c r="D19" s="207">
        <v>16872.883885426301</v>
      </c>
    </row>
    <row r="20" spans="1:5" x14ac:dyDescent="0.2">
      <c r="A20" s="197" t="s">
        <v>195</v>
      </c>
      <c r="B20" s="207">
        <v>22217.555332981021</v>
      </c>
      <c r="C20" s="207">
        <v>9824.0291285908006</v>
      </c>
      <c r="D20" s="207">
        <v>12393.52620439432</v>
      </c>
    </row>
    <row r="21" spans="1:5" x14ac:dyDescent="0.2">
      <c r="A21" s="197" t="s">
        <v>196</v>
      </c>
      <c r="B21" s="207">
        <v>20523.655888497626</v>
      </c>
      <c r="C21" s="207">
        <v>8993.9743270876625</v>
      </c>
      <c r="D21" s="207">
        <v>11529.681561414063</v>
      </c>
    </row>
    <row r="22" spans="1:5" x14ac:dyDescent="0.2">
      <c r="A22" s="196" t="s">
        <v>275</v>
      </c>
      <c r="B22" s="207">
        <v>9681.2480654819101</v>
      </c>
      <c r="C22" s="207">
        <v>4217.1320882645541</v>
      </c>
      <c r="D22" s="207">
        <v>5464.1159772156698</v>
      </c>
    </row>
    <row r="23" spans="1:5" x14ac:dyDescent="0.2">
      <c r="A23" s="196" t="s">
        <v>276</v>
      </c>
      <c r="B23" s="207">
        <v>8829.9940244629706</v>
      </c>
      <c r="C23" s="207">
        <v>3663.7626031068289</v>
      </c>
      <c r="D23" s="207">
        <v>5166.231421354636</v>
      </c>
    </row>
    <row r="24" spans="1:5" x14ac:dyDescent="0.2">
      <c r="A24" s="196" t="s">
        <v>277</v>
      </c>
      <c r="B24" s="207">
        <v>6108.8077349733085</v>
      </c>
      <c r="C24" s="207">
        <v>2561.3723124390849</v>
      </c>
      <c r="D24" s="207">
        <v>3547.4354225334082</v>
      </c>
    </row>
    <row r="25" spans="1:5" x14ac:dyDescent="0.2">
      <c r="A25" s="196" t="s">
        <v>278</v>
      </c>
      <c r="B25" s="207">
        <v>5745.6929843981798</v>
      </c>
      <c r="C25" s="207">
        <v>2374.3790875920909</v>
      </c>
      <c r="D25" s="207">
        <v>3371.3138968054254</v>
      </c>
    </row>
    <row r="26" spans="1:5" x14ac:dyDescent="0.2">
      <c r="A26" s="196" t="s">
        <v>279</v>
      </c>
      <c r="B26" s="207">
        <v>1981.9107493957833</v>
      </c>
      <c r="C26" s="207">
        <v>658.8249666121103</v>
      </c>
      <c r="D26" s="207">
        <v>1323.0857827836996</v>
      </c>
    </row>
    <row r="27" spans="1:5" x14ac:dyDescent="0.2">
      <c r="A27" s="196" t="s">
        <v>280</v>
      </c>
      <c r="B27" s="207">
        <v>1283.947665955259</v>
      </c>
      <c r="C27" s="207">
        <v>428.3449452890668</v>
      </c>
      <c r="D27" s="207">
        <v>855.60272066621451</v>
      </c>
    </row>
    <row r="28" spans="1:5" x14ac:dyDescent="0.2">
      <c r="A28" s="365" t="s">
        <v>281</v>
      </c>
      <c r="B28" s="210">
        <v>993.67329947765779</v>
      </c>
      <c r="C28" s="210">
        <v>291.36153638951748</v>
      </c>
      <c r="D28" s="210">
        <v>702.31176308815543</v>
      </c>
    </row>
    <row r="29" spans="1:5" x14ac:dyDescent="0.2">
      <c r="A29" s="656"/>
      <c r="B29" s="656"/>
      <c r="C29" s="656"/>
      <c r="D29" s="656"/>
      <c r="E29" s="656"/>
    </row>
  </sheetData>
  <mergeCells count="2">
    <mergeCell ref="A1:D1"/>
    <mergeCell ref="A29:E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>
      <selection activeCell="A2" sqref="A2:A3"/>
    </sheetView>
  </sheetViews>
  <sheetFormatPr defaultRowHeight="12" x14ac:dyDescent="0.2"/>
  <cols>
    <col min="1" max="1" width="20.42578125" style="575" customWidth="1"/>
    <col min="2" max="16384" width="9.140625" style="575"/>
  </cols>
  <sheetData>
    <row r="1" spans="1:5" ht="24" customHeight="1" x14ac:dyDescent="0.2">
      <c r="A1" s="660" t="s">
        <v>569</v>
      </c>
      <c r="B1" s="660"/>
      <c r="C1" s="660"/>
      <c r="D1" s="660"/>
      <c r="E1" s="660"/>
    </row>
    <row r="2" spans="1:5" ht="12" customHeight="1" x14ac:dyDescent="0.2">
      <c r="A2" s="661" t="s">
        <v>586</v>
      </c>
      <c r="B2" s="661" t="s">
        <v>2</v>
      </c>
      <c r="C2" s="661" t="s">
        <v>164</v>
      </c>
      <c r="D2" s="661" t="s">
        <v>165</v>
      </c>
      <c r="E2" s="661" t="s">
        <v>166</v>
      </c>
    </row>
    <row r="3" spans="1:5" ht="24.75" customHeight="1" x14ac:dyDescent="0.2">
      <c r="A3" s="662"/>
      <c r="B3" s="662"/>
      <c r="C3" s="662"/>
      <c r="D3" s="662"/>
      <c r="E3" s="662"/>
    </row>
    <row r="4" spans="1:5" x14ac:dyDescent="0.2">
      <c r="A4" s="74" t="s">
        <v>32</v>
      </c>
      <c r="B4" s="75">
        <v>1806416.5354220376</v>
      </c>
      <c r="C4" s="75">
        <v>857567.49479336606</v>
      </c>
      <c r="D4" s="75">
        <v>914223.76609624736</v>
      </c>
      <c r="E4" s="75">
        <v>34625.274524151828</v>
      </c>
    </row>
    <row r="5" spans="1:5" x14ac:dyDescent="0.2">
      <c r="A5" s="76"/>
      <c r="B5" s="76"/>
      <c r="C5" s="76"/>
      <c r="D5" s="76"/>
      <c r="E5" s="76"/>
    </row>
    <row r="6" spans="1:5" x14ac:dyDescent="0.2">
      <c r="A6" s="659" t="s">
        <v>167</v>
      </c>
      <c r="B6" s="659"/>
      <c r="C6" s="659"/>
      <c r="D6" s="659"/>
      <c r="E6" s="659"/>
    </row>
    <row r="7" spans="1:5" x14ac:dyDescent="0.2">
      <c r="A7" s="77" t="s">
        <v>8</v>
      </c>
      <c r="B7" s="76">
        <v>460652.75562326168</v>
      </c>
      <c r="C7" s="76">
        <v>195887.58837418634</v>
      </c>
      <c r="D7" s="76">
        <v>260058.80870135076</v>
      </c>
      <c r="E7" s="76">
        <v>4706.3585486202664</v>
      </c>
    </row>
    <row r="8" spans="1:5" x14ac:dyDescent="0.2">
      <c r="A8" s="77" t="s">
        <v>9</v>
      </c>
      <c r="B8" s="76">
        <v>1345763.7797914867</v>
      </c>
      <c r="C8" s="76">
        <v>661679.90641681023</v>
      </c>
      <c r="D8" s="76">
        <v>654164.95738968905</v>
      </c>
      <c r="E8" s="76">
        <v>29918.915975529875</v>
      </c>
    </row>
    <row r="9" spans="1:5" x14ac:dyDescent="0.2">
      <c r="A9" s="78" t="s">
        <v>168</v>
      </c>
      <c r="B9" s="79"/>
      <c r="C9" s="79"/>
      <c r="D9" s="79"/>
      <c r="E9" s="79"/>
    </row>
    <row r="10" spans="1:5" x14ac:dyDescent="0.2">
      <c r="A10" s="80" t="s">
        <v>169</v>
      </c>
      <c r="B10" s="76">
        <v>867639.37130620424</v>
      </c>
      <c r="C10" s="76">
        <v>429938.56551282509</v>
      </c>
      <c r="D10" s="76">
        <v>423505.6282477206</v>
      </c>
      <c r="E10" s="76">
        <v>14195.177539697283</v>
      </c>
    </row>
    <row r="11" spans="1:5" x14ac:dyDescent="0.2">
      <c r="A11" s="80" t="s">
        <v>4</v>
      </c>
      <c r="B11" s="76">
        <v>938777.16410826461</v>
      </c>
      <c r="C11" s="76">
        <v>427628.92927595106</v>
      </c>
      <c r="D11" s="76">
        <v>490718.1378403884</v>
      </c>
      <c r="E11" s="76">
        <v>20430.096984452859</v>
      </c>
    </row>
    <row r="12" spans="1:5" x14ac:dyDescent="0.2">
      <c r="A12" s="81" t="s">
        <v>360</v>
      </c>
      <c r="B12" s="75"/>
      <c r="C12" s="75"/>
      <c r="D12" s="75"/>
      <c r="E12" s="82"/>
    </row>
    <row r="13" spans="1:5" x14ac:dyDescent="0.2">
      <c r="A13" s="83" t="s">
        <v>11</v>
      </c>
      <c r="B13" s="76">
        <v>247337.52183324989</v>
      </c>
      <c r="C13" s="76">
        <v>119423.55736244161</v>
      </c>
      <c r="D13" s="76">
        <v>122092.16959288836</v>
      </c>
      <c r="E13" s="76">
        <v>5821.7948782312906</v>
      </c>
    </row>
    <row r="14" spans="1:5" x14ac:dyDescent="0.2">
      <c r="A14" s="367" t="s">
        <v>12</v>
      </c>
      <c r="B14" s="76">
        <v>155253.79728266655</v>
      </c>
      <c r="C14" s="76">
        <v>77360.285006055128</v>
      </c>
      <c r="D14" s="76">
        <v>75157.105608330952</v>
      </c>
      <c r="E14" s="76">
        <v>2736.4066682551666</v>
      </c>
    </row>
    <row r="15" spans="1:5" x14ac:dyDescent="0.2">
      <c r="A15" s="367" t="s">
        <v>13</v>
      </c>
      <c r="B15" s="76">
        <v>92083.724550804647</v>
      </c>
      <c r="C15" s="76">
        <v>42063.272356232723</v>
      </c>
      <c r="D15" s="76">
        <v>46935.06398454876</v>
      </c>
      <c r="E15" s="76">
        <v>3085.3882099754287</v>
      </c>
    </row>
    <row r="16" spans="1:5" x14ac:dyDescent="0.2">
      <c r="A16" s="83" t="s">
        <v>44</v>
      </c>
      <c r="B16" s="76">
        <v>500288.17298782634</v>
      </c>
      <c r="C16" s="76">
        <v>219401.63111951126</v>
      </c>
      <c r="D16" s="76">
        <v>272447.92901321413</v>
      </c>
      <c r="E16" s="76">
        <v>8438.6128561784008</v>
      </c>
    </row>
    <row r="17" spans="1:5" x14ac:dyDescent="0.2">
      <c r="A17" s="368" t="s">
        <v>15</v>
      </c>
      <c r="B17" s="76">
        <v>401981.02633520123</v>
      </c>
      <c r="C17" s="76">
        <v>172574.02293977721</v>
      </c>
      <c r="D17" s="76">
        <v>223184.04282049066</v>
      </c>
      <c r="E17" s="76">
        <v>6222.9605757229747</v>
      </c>
    </row>
    <row r="18" spans="1:5" x14ac:dyDescent="0.2">
      <c r="A18" s="368" t="s">
        <v>16</v>
      </c>
      <c r="B18" s="76">
        <v>98307.146653144824</v>
      </c>
      <c r="C18" s="76">
        <v>46827.608179792071</v>
      </c>
      <c r="D18" s="76">
        <v>49263.886192838952</v>
      </c>
      <c r="E18" s="76">
        <v>2215.6522804545261</v>
      </c>
    </row>
    <row r="19" spans="1:5" x14ac:dyDescent="0.2">
      <c r="A19" s="83" t="s">
        <v>17</v>
      </c>
      <c r="B19" s="76">
        <v>35716.783750647031</v>
      </c>
      <c r="C19" s="76">
        <v>18145.104454122265</v>
      </c>
      <c r="D19" s="76">
        <v>17134.636991942811</v>
      </c>
      <c r="E19" s="76">
        <v>437.04230458427628</v>
      </c>
    </row>
    <row r="20" spans="1:5" x14ac:dyDescent="0.2">
      <c r="A20" s="368" t="s">
        <v>17</v>
      </c>
      <c r="B20" s="76">
        <v>35716.783750647031</v>
      </c>
      <c r="C20" s="76">
        <v>18145.104454122265</v>
      </c>
      <c r="D20" s="76">
        <v>17134.636991942811</v>
      </c>
      <c r="E20" s="76">
        <v>437.04230458427628</v>
      </c>
    </row>
    <row r="21" spans="1:5" x14ac:dyDescent="0.2">
      <c r="A21" s="83" t="s">
        <v>18</v>
      </c>
      <c r="B21" s="76">
        <v>35425.088734112593</v>
      </c>
      <c r="C21" s="76">
        <v>17242.867971249532</v>
      </c>
      <c r="D21" s="76">
        <v>17691.907132597695</v>
      </c>
      <c r="E21" s="76">
        <v>490.31363026743435</v>
      </c>
    </row>
    <row r="22" spans="1:5" x14ac:dyDescent="0.2">
      <c r="A22" s="368" t="s">
        <v>18</v>
      </c>
      <c r="B22" s="76">
        <v>35425.088734112593</v>
      </c>
      <c r="C22" s="76">
        <v>17242.867971249532</v>
      </c>
      <c r="D22" s="76">
        <v>17691.907132597695</v>
      </c>
      <c r="E22" s="76">
        <v>490.31363026743435</v>
      </c>
    </row>
    <row r="23" spans="1:5" x14ac:dyDescent="0.2">
      <c r="A23" s="84" t="s">
        <v>19</v>
      </c>
      <c r="B23" s="76">
        <v>140924.9346394499</v>
      </c>
      <c r="C23" s="76">
        <v>75427.465791681374</v>
      </c>
      <c r="D23" s="76">
        <v>63240.504110578557</v>
      </c>
      <c r="E23" s="76">
        <v>2256.964737106769</v>
      </c>
    </row>
    <row r="24" spans="1:5" x14ac:dyDescent="0.2">
      <c r="A24" s="368" t="s">
        <v>19</v>
      </c>
      <c r="B24" s="76">
        <v>81990.080576216307</v>
      </c>
      <c r="C24" s="76">
        <v>42379.851352795929</v>
      </c>
      <c r="D24" s="76">
        <v>38287.143440604043</v>
      </c>
      <c r="E24" s="76">
        <v>1323.0857827836996</v>
      </c>
    </row>
    <row r="25" spans="1:5" x14ac:dyDescent="0.2">
      <c r="A25" s="368" t="s">
        <v>20</v>
      </c>
      <c r="B25" s="76">
        <v>58934.854063148581</v>
      </c>
      <c r="C25" s="76">
        <v>33047.614438855337</v>
      </c>
      <c r="D25" s="76">
        <v>24953.3606699712</v>
      </c>
      <c r="E25" s="76">
        <v>933.87895432309574</v>
      </c>
    </row>
    <row r="26" spans="1:5" x14ac:dyDescent="0.2">
      <c r="A26" s="83" t="s">
        <v>21</v>
      </c>
      <c r="B26" s="76">
        <v>76581.61095662821</v>
      </c>
      <c r="C26" s="76">
        <v>38081.736947895559</v>
      </c>
      <c r="D26" s="76">
        <v>37460.539572934293</v>
      </c>
      <c r="E26" s="76">
        <v>1039.3344357775052</v>
      </c>
    </row>
    <row r="27" spans="1:5" x14ac:dyDescent="0.2">
      <c r="A27" s="368" t="s">
        <v>21</v>
      </c>
      <c r="B27" s="76">
        <v>76581.61095662821</v>
      </c>
      <c r="C27" s="76">
        <v>38081.736947895559</v>
      </c>
      <c r="D27" s="76">
        <v>37460.539572934293</v>
      </c>
      <c r="E27" s="76">
        <v>1039.3344357775052</v>
      </c>
    </row>
    <row r="28" spans="1:5" x14ac:dyDescent="0.2">
      <c r="A28" s="83" t="s">
        <v>22</v>
      </c>
      <c r="B28" s="76">
        <v>138858.55921422734</v>
      </c>
      <c r="C28" s="76">
        <v>59122.135665367714</v>
      </c>
      <c r="D28" s="76">
        <v>77069.595754870359</v>
      </c>
      <c r="E28" s="76">
        <v>2666.8277938934943</v>
      </c>
    </row>
    <row r="29" spans="1:5" x14ac:dyDescent="0.2">
      <c r="A29" s="368" t="s">
        <v>22</v>
      </c>
      <c r="B29" s="76">
        <v>138858.55921422734</v>
      </c>
      <c r="C29" s="76">
        <v>59122.135665367714</v>
      </c>
      <c r="D29" s="76">
        <v>77069.595754870359</v>
      </c>
      <c r="E29" s="76">
        <v>2666.8277938934943</v>
      </c>
    </row>
    <row r="30" spans="1:5" x14ac:dyDescent="0.2">
      <c r="A30" s="85" t="s">
        <v>23</v>
      </c>
      <c r="B30" s="76">
        <v>181968.51821302634</v>
      </c>
      <c r="C30" s="76">
        <v>89555.138576745288</v>
      </c>
      <c r="D30" s="76">
        <v>88020.126022350116</v>
      </c>
      <c r="E30" s="76">
        <v>4393.2536139926106</v>
      </c>
    </row>
    <row r="31" spans="1:5" x14ac:dyDescent="0.2">
      <c r="A31" s="90" t="s">
        <v>23</v>
      </c>
      <c r="B31" s="76">
        <v>94966.722711778624</v>
      </c>
      <c r="C31" s="76">
        <v>45729.386381520766</v>
      </c>
      <c r="D31" s="76">
        <v>46672.70250802808</v>
      </c>
      <c r="E31" s="76">
        <v>2564.6338221747883</v>
      </c>
    </row>
    <row r="32" spans="1:5" x14ac:dyDescent="0.2">
      <c r="A32" s="90" t="s">
        <v>24</v>
      </c>
      <c r="B32" s="76">
        <v>87001.79550131713</v>
      </c>
      <c r="C32" s="76">
        <v>43825.752195139998</v>
      </c>
      <c r="D32" s="76">
        <v>41347.423514315422</v>
      </c>
      <c r="E32" s="76">
        <v>1828.6197918177243</v>
      </c>
    </row>
    <row r="33" spans="1:5" x14ac:dyDescent="0.2">
      <c r="A33" s="85" t="s">
        <v>25</v>
      </c>
      <c r="B33" s="76">
        <v>19163.095179749624</v>
      </c>
      <c r="C33" s="76">
        <v>9512.5172607642817</v>
      </c>
      <c r="D33" s="76">
        <v>9358.1292126840544</v>
      </c>
      <c r="E33" s="76">
        <v>292.44870630141867</v>
      </c>
    </row>
    <row r="34" spans="1:5" x14ac:dyDescent="0.2">
      <c r="A34" s="90" t="s">
        <v>25</v>
      </c>
      <c r="B34" s="76">
        <v>19163.095179749624</v>
      </c>
      <c r="C34" s="76">
        <v>9512.5172607642817</v>
      </c>
      <c r="D34" s="76">
        <v>9358.1292126840544</v>
      </c>
      <c r="E34" s="76">
        <v>292.44870630141867</v>
      </c>
    </row>
    <row r="35" spans="1:5" x14ac:dyDescent="0.2">
      <c r="A35" s="85" t="s">
        <v>26</v>
      </c>
      <c r="B35" s="76">
        <v>7995.6423310799501</v>
      </c>
      <c r="C35" s="76">
        <v>3928.8379513683285</v>
      </c>
      <c r="D35" s="76">
        <v>3954.8258787857362</v>
      </c>
      <c r="E35" s="76">
        <v>111.97850092582195</v>
      </c>
    </row>
    <row r="36" spans="1:5" x14ac:dyDescent="0.2">
      <c r="A36" s="90" t="s">
        <v>26</v>
      </c>
      <c r="B36" s="76">
        <v>7995.6423310799501</v>
      </c>
      <c r="C36" s="76">
        <v>3928.8379513683285</v>
      </c>
      <c r="D36" s="76">
        <v>3954.8258787857362</v>
      </c>
      <c r="E36" s="76">
        <v>111.97850092582195</v>
      </c>
    </row>
    <row r="37" spans="1:5" x14ac:dyDescent="0.2">
      <c r="A37" s="85" t="s">
        <v>27</v>
      </c>
      <c r="B37" s="76">
        <v>40256.755679907015</v>
      </c>
      <c r="C37" s="76">
        <v>20551.19892279998</v>
      </c>
      <c r="D37" s="76">
        <v>18882.569133800051</v>
      </c>
      <c r="E37" s="76">
        <v>822.98762330918066</v>
      </c>
    </row>
    <row r="38" spans="1:5" x14ac:dyDescent="0.2">
      <c r="A38" s="90" t="s">
        <v>27</v>
      </c>
      <c r="B38" s="76">
        <v>40256.755679907015</v>
      </c>
      <c r="C38" s="76">
        <v>20551.19892279998</v>
      </c>
      <c r="D38" s="76">
        <v>18882.569133800051</v>
      </c>
      <c r="E38" s="76">
        <v>822.98762330918066</v>
      </c>
    </row>
    <row r="39" spans="1:5" x14ac:dyDescent="0.2">
      <c r="A39" s="85" t="s">
        <v>28</v>
      </c>
      <c r="B39" s="76">
        <v>99995.993903428112</v>
      </c>
      <c r="C39" s="76">
        <v>44940.755451486017</v>
      </c>
      <c r="D39" s="76">
        <v>52788.489185567116</v>
      </c>
      <c r="E39" s="76">
        <v>2266.7492663138792</v>
      </c>
    </row>
    <row r="40" spans="1:5" x14ac:dyDescent="0.2">
      <c r="A40" s="90" t="s">
        <v>28</v>
      </c>
      <c r="B40" s="76">
        <v>99995.993903428112</v>
      </c>
      <c r="C40" s="76">
        <v>44940.755451486017</v>
      </c>
      <c r="D40" s="76">
        <v>52788.489185567116</v>
      </c>
      <c r="E40" s="76">
        <v>2266.7492663138792</v>
      </c>
    </row>
    <row r="41" spans="1:5" x14ac:dyDescent="0.2">
      <c r="A41" s="85" t="s">
        <v>29</v>
      </c>
      <c r="B41" s="76">
        <v>198400.29871786357</v>
      </c>
      <c r="C41" s="76">
        <v>102120.02141545374</v>
      </c>
      <c r="D41" s="76">
        <v>92615.427529526714</v>
      </c>
      <c r="E41" s="76">
        <v>3664.84977301873</v>
      </c>
    </row>
    <row r="42" spans="1:5" x14ac:dyDescent="0.2">
      <c r="A42" s="90" t="s">
        <v>30</v>
      </c>
      <c r="B42" s="76">
        <v>121590.06075350314</v>
      </c>
      <c r="C42" s="76">
        <v>62442.365876102776</v>
      </c>
      <c r="D42" s="76">
        <v>57117.948651770894</v>
      </c>
      <c r="E42" s="76">
        <v>2029.746225519433</v>
      </c>
    </row>
    <row r="43" spans="1:5" x14ac:dyDescent="0.2">
      <c r="A43" s="90" t="s">
        <v>29</v>
      </c>
      <c r="B43" s="76">
        <v>76810.237964488639</v>
      </c>
      <c r="C43" s="76">
        <v>39677.655539218227</v>
      </c>
      <c r="D43" s="76">
        <v>35497.47887775112</v>
      </c>
      <c r="E43" s="76">
        <v>1635.1035474993234</v>
      </c>
    </row>
    <row r="44" spans="1:5" x14ac:dyDescent="0.2">
      <c r="A44" s="85" t="s">
        <v>31</v>
      </c>
      <c r="B44" s="76">
        <v>83503.559262492534</v>
      </c>
      <c r="C44" s="76">
        <v>40114.525900599649</v>
      </c>
      <c r="D44" s="76">
        <v>41466.916957621965</v>
      </c>
      <c r="E44" s="76">
        <v>1922.1164042412213</v>
      </c>
    </row>
    <row r="45" spans="1:5" x14ac:dyDescent="0.2">
      <c r="A45" s="503" t="s">
        <v>31</v>
      </c>
      <c r="B45" s="87">
        <v>83503.559262492534</v>
      </c>
      <c r="C45" s="87">
        <v>40114.525900599649</v>
      </c>
      <c r="D45" s="87">
        <v>41466.916957621965</v>
      </c>
      <c r="E45" s="87">
        <v>1922.1164042412213</v>
      </c>
    </row>
  </sheetData>
  <mergeCells count="7">
    <mergeCell ref="A6:E6"/>
    <mergeCell ref="A1:E1"/>
    <mergeCell ref="B2:B3"/>
    <mergeCell ref="C2:C3"/>
    <mergeCell ref="D2:D3"/>
    <mergeCell ref="E2:E3"/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"/>
  <sheetViews>
    <sheetView workbookViewId="0">
      <selection activeCell="A2" sqref="A2"/>
    </sheetView>
  </sheetViews>
  <sheetFormatPr defaultRowHeight="12" x14ac:dyDescent="0.2"/>
  <cols>
    <col min="1" max="1" width="17.140625" style="575" customWidth="1"/>
    <col min="2" max="3" width="13.42578125" style="575" bestFit="1" customWidth="1"/>
    <col min="4" max="5" width="12" style="575" bestFit="1" customWidth="1"/>
    <col min="6" max="8" width="11.140625" style="575" bestFit="1" customWidth="1"/>
    <col min="9" max="16384" width="9.140625" style="575"/>
  </cols>
  <sheetData>
    <row r="1" spans="1:8" x14ac:dyDescent="0.2">
      <c r="A1" s="660" t="s">
        <v>568</v>
      </c>
      <c r="B1" s="660"/>
      <c r="C1" s="660"/>
      <c r="D1" s="660"/>
      <c r="E1" s="660"/>
      <c r="F1" s="660"/>
      <c r="G1" s="660"/>
      <c r="H1" s="660"/>
    </row>
    <row r="2" spans="1:8" ht="52.5" customHeight="1" x14ac:dyDescent="0.2">
      <c r="A2" s="371" t="s">
        <v>586</v>
      </c>
      <c r="B2" s="371" t="s">
        <v>2</v>
      </c>
      <c r="C2" s="372" t="s">
        <v>351</v>
      </c>
      <c r="D2" s="372" t="s">
        <v>352</v>
      </c>
      <c r="E2" s="372" t="s">
        <v>353</v>
      </c>
      <c r="F2" s="372" t="s">
        <v>354</v>
      </c>
      <c r="G2" s="372" t="s">
        <v>355</v>
      </c>
      <c r="H2" s="372" t="s">
        <v>356</v>
      </c>
    </row>
    <row r="3" spans="1:8" x14ac:dyDescent="0.2">
      <c r="A3" s="81" t="s">
        <v>32</v>
      </c>
      <c r="B3" s="212">
        <v>1806416.5354220376</v>
      </c>
      <c r="C3" s="212">
        <v>1080515.243417846</v>
      </c>
      <c r="D3" s="212">
        <v>322063.01715886424</v>
      </c>
      <c r="E3" s="212">
        <v>326471.78908591327</v>
      </c>
      <c r="F3" s="212">
        <v>42741.211221474543</v>
      </c>
      <c r="G3" s="212">
        <v>18511.242089946565</v>
      </c>
      <c r="H3" s="212">
        <v>16114.032434203576</v>
      </c>
    </row>
    <row r="4" spans="1:8" x14ac:dyDescent="0.2">
      <c r="A4" s="92" t="s">
        <v>167</v>
      </c>
      <c r="B4" s="207"/>
      <c r="C4" s="207"/>
      <c r="D4" s="207"/>
      <c r="E4" s="214"/>
      <c r="F4" s="214"/>
      <c r="G4" s="214"/>
      <c r="H4" s="214"/>
    </row>
    <row r="5" spans="1:8" x14ac:dyDescent="0.2">
      <c r="A5" s="192" t="s">
        <v>8</v>
      </c>
      <c r="B5" s="207">
        <v>460652.75562326168</v>
      </c>
      <c r="C5" s="207">
        <v>261238.96562626291</v>
      </c>
      <c r="D5" s="207">
        <v>93761.097265446326</v>
      </c>
      <c r="E5" s="216">
        <v>92285.850901214522</v>
      </c>
      <c r="F5" s="216">
        <v>8660.4832829439238</v>
      </c>
      <c r="G5" s="216">
        <v>2780.9806346431128</v>
      </c>
      <c r="H5" s="216">
        <v>1925.3779139769247</v>
      </c>
    </row>
    <row r="6" spans="1:8" x14ac:dyDescent="0.2">
      <c r="A6" s="192" t="s">
        <v>9</v>
      </c>
      <c r="B6" s="207">
        <v>1345763.7797914867</v>
      </c>
      <c r="C6" s="207">
        <v>819276.27778852754</v>
      </c>
      <c r="D6" s="207">
        <v>228301.9198940084</v>
      </c>
      <c r="E6" s="216">
        <v>234185.93818504072</v>
      </c>
      <c r="F6" s="216">
        <v>34080.727938534721</v>
      </c>
      <c r="G6" s="216">
        <v>15730.261455302318</v>
      </c>
      <c r="H6" s="216">
        <v>14188.654520225873</v>
      </c>
    </row>
    <row r="7" spans="1:8" x14ac:dyDescent="0.2">
      <c r="A7" s="96" t="s">
        <v>361</v>
      </c>
      <c r="B7" s="212"/>
      <c r="C7" s="212"/>
      <c r="D7" s="212"/>
      <c r="E7" s="217"/>
      <c r="F7" s="217"/>
      <c r="G7" s="217"/>
      <c r="H7" s="217"/>
    </row>
    <row r="8" spans="1:8" x14ac:dyDescent="0.2">
      <c r="A8" s="191" t="s">
        <v>11</v>
      </c>
      <c r="B8" s="208">
        <v>247337.52183324989</v>
      </c>
      <c r="C8" s="208">
        <v>149485.86128349882</v>
      </c>
      <c r="D8" s="208">
        <v>40825.177576562732</v>
      </c>
      <c r="E8" s="208">
        <v>44339.473781177054</v>
      </c>
      <c r="F8" s="208">
        <v>6865.2143140283497</v>
      </c>
      <c r="G8" s="208">
        <v>3127.7878365395727</v>
      </c>
      <c r="H8" s="208">
        <v>2694.0070416910226</v>
      </c>
    </row>
    <row r="9" spans="1:8" x14ac:dyDescent="0.2">
      <c r="A9" s="366" t="s">
        <v>12</v>
      </c>
      <c r="B9" s="207">
        <v>155253.79728266655</v>
      </c>
      <c r="C9" s="207">
        <v>96712.069140241496</v>
      </c>
      <c r="D9" s="207">
        <v>25455.511803329584</v>
      </c>
      <c r="E9" s="207">
        <v>26566.816548946743</v>
      </c>
      <c r="F9" s="207">
        <v>3782.9931218963015</v>
      </c>
      <c r="G9" s="207">
        <v>1574.2220324328603</v>
      </c>
      <c r="H9" s="207">
        <v>1162.1846358223327</v>
      </c>
    </row>
    <row r="10" spans="1:8" ht="15" customHeight="1" x14ac:dyDescent="0.2">
      <c r="A10" s="366" t="s">
        <v>13</v>
      </c>
      <c r="B10" s="207">
        <v>92083.724550804647</v>
      </c>
      <c r="C10" s="207">
        <v>52773.79214318467</v>
      </c>
      <c r="D10" s="207">
        <v>15369.665773224124</v>
      </c>
      <c r="E10" s="207">
        <v>17772.657232241898</v>
      </c>
      <c r="F10" s="207">
        <v>3082.2211921314884</v>
      </c>
      <c r="G10" s="207">
        <v>1553.5658041067388</v>
      </c>
      <c r="H10" s="207">
        <v>1531.8224058687163</v>
      </c>
    </row>
    <row r="11" spans="1:8" ht="14.25" customHeight="1" x14ac:dyDescent="0.2">
      <c r="A11" s="191" t="s">
        <v>44</v>
      </c>
      <c r="B11" s="208">
        <v>500288.17298782634</v>
      </c>
      <c r="C11" s="208">
        <v>286207.74410720926</v>
      </c>
      <c r="D11" s="208">
        <v>95233.748961595236</v>
      </c>
      <c r="E11" s="208">
        <v>99247.135511932633</v>
      </c>
      <c r="F11" s="208">
        <v>11160.931552250722</v>
      </c>
      <c r="G11" s="208">
        <v>4582.421178663486</v>
      </c>
      <c r="H11" s="208">
        <v>3856.1916775133286</v>
      </c>
    </row>
    <row r="12" spans="1:8" x14ac:dyDescent="0.2">
      <c r="A12" s="366" t="s">
        <v>15</v>
      </c>
      <c r="B12" s="207">
        <v>401981.02633520123</v>
      </c>
      <c r="C12" s="207">
        <v>227051.75335615853</v>
      </c>
      <c r="D12" s="207">
        <v>78402.7945454242</v>
      </c>
      <c r="E12" s="207">
        <v>81509.344333536705</v>
      </c>
      <c r="F12" s="207">
        <v>8794.1735253099159</v>
      </c>
      <c r="G12" s="207">
        <v>3372.4010667173266</v>
      </c>
      <c r="H12" s="207">
        <v>2850.559509004785</v>
      </c>
    </row>
    <row r="13" spans="1:8" x14ac:dyDescent="0.2">
      <c r="A13" s="366" t="s">
        <v>16</v>
      </c>
      <c r="B13" s="207">
        <v>98307.146653144824</v>
      </c>
      <c r="C13" s="207">
        <v>59155.990751169855</v>
      </c>
      <c r="D13" s="207">
        <v>16830.954416161196</v>
      </c>
      <c r="E13" s="207">
        <v>17737.791178357791</v>
      </c>
      <c r="F13" s="207">
        <v>2366.7580269418363</v>
      </c>
      <c r="G13" s="207">
        <v>1210.0201119459823</v>
      </c>
      <c r="H13" s="207">
        <v>1005.6321685085702</v>
      </c>
    </row>
    <row r="14" spans="1:8" x14ac:dyDescent="0.2">
      <c r="A14" s="191" t="s">
        <v>17</v>
      </c>
      <c r="B14" s="208">
        <v>35716.783750647031</v>
      </c>
      <c r="C14" s="208">
        <v>22133.895987545355</v>
      </c>
      <c r="D14" s="208">
        <v>6883.7376352365163</v>
      </c>
      <c r="E14" s="208">
        <v>5623.0390823026592</v>
      </c>
      <c r="F14" s="208">
        <v>639.06874098056937</v>
      </c>
      <c r="G14" s="208">
        <v>252.22341956107482</v>
      </c>
      <c r="H14" s="208">
        <v>184.81888502320135</v>
      </c>
    </row>
    <row r="15" spans="1:8" x14ac:dyDescent="0.2">
      <c r="A15" s="366" t="s">
        <v>17</v>
      </c>
      <c r="B15" s="207">
        <v>35716.783750647031</v>
      </c>
      <c r="C15" s="207">
        <v>22133.895987545355</v>
      </c>
      <c r="D15" s="207">
        <v>6883.7376352365163</v>
      </c>
      <c r="E15" s="207">
        <v>5623.0390823026592</v>
      </c>
      <c r="F15" s="207">
        <v>639.06874098056937</v>
      </c>
      <c r="G15" s="207">
        <v>252.22341956107482</v>
      </c>
      <c r="H15" s="207">
        <v>184.81888502320135</v>
      </c>
    </row>
    <row r="16" spans="1:8" x14ac:dyDescent="0.2">
      <c r="A16" s="191" t="s">
        <v>18</v>
      </c>
      <c r="B16" s="208">
        <v>35425.088734112593</v>
      </c>
      <c r="C16" s="208">
        <v>21345.624977056432</v>
      </c>
      <c r="D16" s="208">
        <v>7142.8152484477951</v>
      </c>
      <c r="E16" s="208">
        <v>5785.2292842255856</v>
      </c>
      <c r="F16" s="208">
        <v>661.10559411783106</v>
      </c>
      <c r="G16" s="208">
        <v>280.48983727050563</v>
      </c>
      <c r="H16" s="208">
        <v>209.8237929969286</v>
      </c>
    </row>
    <row r="17" spans="1:8" x14ac:dyDescent="0.2">
      <c r="A17" s="366" t="s">
        <v>18</v>
      </c>
      <c r="B17" s="207">
        <v>35425.088734112593</v>
      </c>
      <c r="C17" s="207">
        <v>21345.624977056432</v>
      </c>
      <c r="D17" s="207">
        <v>7142.8152484477951</v>
      </c>
      <c r="E17" s="207">
        <v>5785.2292842255856</v>
      </c>
      <c r="F17" s="207">
        <v>661.10559411783106</v>
      </c>
      <c r="G17" s="207">
        <v>280.48983727050563</v>
      </c>
      <c r="H17" s="207">
        <v>209.8237929969286</v>
      </c>
    </row>
    <row r="18" spans="1:8" x14ac:dyDescent="0.2">
      <c r="A18" s="191" t="s">
        <v>19</v>
      </c>
      <c r="B18" s="208">
        <v>140924.9346394499</v>
      </c>
      <c r="C18" s="208">
        <v>93152.448673026389</v>
      </c>
      <c r="D18" s="208">
        <v>21551.166720021207</v>
      </c>
      <c r="E18" s="208">
        <v>21071.650254098346</v>
      </c>
      <c r="F18" s="208">
        <v>2892.7042551510672</v>
      </c>
      <c r="G18" s="208">
        <v>1187.1895437960586</v>
      </c>
      <c r="H18" s="208">
        <v>1069.7751933107368</v>
      </c>
    </row>
    <row r="19" spans="1:8" x14ac:dyDescent="0.2">
      <c r="A19" s="366" t="s">
        <v>19</v>
      </c>
      <c r="B19" s="207">
        <v>81990.080576216307</v>
      </c>
      <c r="C19" s="207">
        <v>53269.140508192897</v>
      </c>
      <c r="D19" s="207">
        <v>12483.450257625946</v>
      </c>
      <c r="E19" s="207">
        <v>13035.39501674597</v>
      </c>
      <c r="F19" s="207">
        <v>1879.0090108371603</v>
      </c>
      <c r="G19" s="207">
        <v>727.31667106188138</v>
      </c>
      <c r="H19" s="207">
        <v>595.76911172184487</v>
      </c>
    </row>
    <row r="20" spans="1:8" x14ac:dyDescent="0.2">
      <c r="A20" s="366" t="s">
        <v>20</v>
      </c>
      <c r="B20" s="207">
        <v>58934.854063148581</v>
      </c>
      <c r="C20" s="207">
        <v>39883.308164764087</v>
      </c>
      <c r="D20" s="207">
        <v>9067.7164623944009</v>
      </c>
      <c r="E20" s="207">
        <v>8036.2552373557473</v>
      </c>
      <c r="F20" s="207">
        <v>1013.6952443140181</v>
      </c>
      <c r="G20" s="207">
        <v>459.87287273420117</v>
      </c>
      <c r="H20" s="207">
        <v>474.00608158891657</v>
      </c>
    </row>
    <row r="21" spans="1:8" x14ac:dyDescent="0.2">
      <c r="A21" s="191" t="s">
        <v>21</v>
      </c>
      <c r="B21" s="208">
        <v>76581.61095662821</v>
      </c>
      <c r="C21" s="208">
        <v>47525.228835994065</v>
      </c>
      <c r="D21" s="208">
        <v>13417.493231571498</v>
      </c>
      <c r="E21" s="208">
        <v>12952.666962140462</v>
      </c>
      <c r="F21" s="208">
        <v>1646.8874911246705</v>
      </c>
      <c r="G21" s="208">
        <v>656.65062678830805</v>
      </c>
      <c r="H21" s="208">
        <v>382.68380898921703</v>
      </c>
    </row>
    <row r="22" spans="1:8" x14ac:dyDescent="0.2">
      <c r="A22" s="366" t="s">
        <v>21</v>
      </c>
      <c r="B22" s="207">
        <v>76581.61095662821</v>
      </c>
      <c r="C22" s="207">
        <v>47525.228835994065</v>
      </c>
      <c r="D22" s="207">
        <v>13417.493231571498</v>
      </c>
      <c r="E22" s="207">
        <v>12952.666962140462</v>
      </c>
      <c r="F22" s="207">
        <v>1646.8874911246705</v>
      </c>
      <c r="G22" s="207">
        <v>656.65062678830805</v>
      </c>
      <c r="H22" s="207">
        <v>382.68380898921703</v>
      </c>
    </row>
    <row r="23" spans="1:8" x14ac:dyDescent="0.2">
      <c r="A23" s="191" t="s">
        <v>22</v>
      </c>
      <c r="B23" s="208">
        <v>138858.55921422734</v>
      </c>
      <c r="C23" s="208">
        <v>76927.564762504597</v>
      </c>
      <c r="D23" s="208">
        <v>27798.573375443051</v>
      </c>
      <c r="E23" s="208">
        <v>28236.459735933837</v>
      </c>
      <c r="F23" s="208">
        <v>3229.1335463798769</v>
      </c>
      <c r="G23" s="208">
        <v>1368.746919083547</v>
      </c>
      <c r="H23" s="208">
        <v>1298.0808748099737</v>
      </c>
    </row>
    <row r="24" spans="1:8" x14ac:dyDescent="0.2">
      <c r="A24" s="366" t="s">
        <v>22</v>
      </c>
      <c r="B24" s="207">
        <v>138858.55921422734</v>
      </c>
      <c r="C24" s="207">
        <v>76927.564762504597</v>
      </c>
      <c r="D24" s="207">
        <v>27798.573375443051</v>
      </c>
      <c r="E24" s="207">
        <v>28236.459735933837</v>
      </c>
      <c r="F24" s="207">
        <v>3229.1335463798769</v>
      </c>
      <c r="G24" s="207">
        <v>1368.746919083547</v>
      </c>
      <c r="H24" s="207">
        <v>1298.0808748099737</v>
      </c>
    </row>
    <row r="25" spans="1:8" x14ac:dyDescent="0.2">
      <c r="A25" s="191" t="s">
        <v>23</v>
      </c>
      <c r="B25" s="208">
        <v>181968.51821302634</v>
      </c>
      <c r="C25" s="208">
        <v>111179.52830728191</v>
      </c>
      <c r="D25" s="208">
        <v>30525.706146089182</v>
      </c>
      <c r="E25" s="208">
        <v>30988.132614070069</v>
      </c>
      <c r="F25" s="208">
        <v>4881.8975316744909</v>
      </c>
      <c r="G25" s="208">
        <v>2362.4202185611784</v>
      </c>
      <c r="H25" s="208">
        <v>2030.8333954313341</v>
      </c>
    </row>
    <row r="26" spans="1:8" x14ac:dyDescent="0.2">
      <c r="A26" s="366" t="s">
        <v>23</v>
      </c>
      <c r="B26" s="207">
        <v>94966.722711778624</v>
      </c>
      <c r="C26" s="207">
        <v>57159.452876463583</v>
      </c>
      <c r="D26" s="207">
        <v>16428.702332490891</v>
      </c>
      <c r="E26" s="207">
        <v>16140.128833274377</v>
      </c>
      <c r="F26" s="207">
        <v>2673.8048473209683</v>
      </c>
      <c r="G26" s="207">
        <v>1343.7420111098211</v>
      </c>
      <c r="H26" s="207">
        <v>1220.8918110649936</v>
      </c>
    </row>
    <row r="27" spans="1:8" x14ac:dyDescent="0.2">
      <c r="A27" s="366" t="s">
        <v>24</v>
      </c>
      <c r="B27" s="207">
        <v>87001.79550131713</v>
      </c>
      <c r="C27" s="207">
        <v>54020.075430707417</v>
      </c>
      <c r="D27" s="207">
        <v>14097.003813590281</v>
      </c>
      <c r="E27" s="207">
        <v>14848.003780805888</v>
      </c>
      <c r="F27" s="207">
        <v>2208.0926843535767</v>
      </c>
      <c r="G27" s="207">
        <v>1018.6782074513837</v>
      </c>
      <c r="H27" s="207">
        <v>809.94158436636712</v>
      </c>
    </row>
    <row r="28" spans="1:8" x14ac:dyDescent="0.2">
      <c r="A28" s="191" t="s">
        <v>25</v>
      </c>
      <c r="B28" s="208">
        <v>19163.095179749624</v>
      </c>
      <c r="C28" s="208">
        <v>12104.673103214038</v>
      </c>
      <c r="D28" s="208">
        <v>3015.7543222049694</v>
      </c>
      <c r="E28" s="208">
        <v>3312.4202323693521</v>
      </c>
      <c r="F28" s="208">
        <v>437.79881566024886</v>
      </c>
      <c r="G28" s="208">
        <v>160.90114696137528</v>
      </c>
      <c r="H28" s="208">
        <v>131.54755934004328</v>
      </c>
    </row>
    <row r="29" spans="1:8" x14ac:dyDescent="0.2">
      <c r="A29" s="366" t="s">
        <v>25</v>
      </c>
      <c r="B29" s="207">
        <v>19163.095179749624</v>
      </c>
      <c r="C29" s="207">
        <v>12104.673103214038</v>
      </c>
      <c r="D29" s="207">
        <v>3015.7543222049694</v>
      </c>
      <c r="E29" s="207">
        <v>3312.4202323693521</v>
      </c>
      <c r="F29" s="207">
        <v>437.79881566024886</v>
      </c>
      <c r="G29" s="207">
        <v>160.90114696137528</v>
      </c>
      <c r="H29" s="207">
        <v>131.54755934004328</v>
      </c>
    </row>
    <row r="30" spans="1:8" x14ac:dyDescent="0.2">
      <c r="A30" s="191" t="s">
        <v>26</v>
      </c>
      <c r="B30" s="208">
        <v>7995.6423310799501</v>
      </c>
      <c r="C30" s="208">
        <v>5019.3310988814283</v>
      </c>
      <c r="D30" s="208">
        <v>1445.3803684418676</v>
      </c>
      <c r="E30" s="208">
        <v>1232.3736729352852</v>
      </c>
      <c r="F30" s="208">
        <v>186.57868989547532</v>
      </c>
      <c r="G30" s="208">
        <v>75.014723921181655</v>
      </c>
      <c r="H30" s="208">
        <v>36.963777004640178</v>
      </c>
    </row>
    <row r="31" spans="1:8" x14ac:dyDescent="0.2">
      <c r="A31" s="366" t="s">
        <v>26</v>
      </c>
      <c r="B31" s="207">
        <v>7995.6423310799501</v>
      </c>
      <c r="C31" s="207">
        <v>5019.3310988814283</v>
      </c>
      <c r="D31" s="207">
        <v>1445.3803684418676</v>
      </c>
      <c r="E31" s="207">
        <v>1232.3736729352852</v>
      </c>
      <c r="F31" s="207">
        <v>186.57868989547532</v>
      </c>
      <c r="G31" s="207">
        <v>75.014723921181655</v>
      </c>
      <c r="H31" s="207">
        <v>36.963777004640178</v>
      </c>
    </row>
    <row r="32" spans="1:8" x14ac:dyDescent="0.2">
      <c r="A32" s="191" t="s">
        <v>27</v>
      </c>
      <c r="B32" s="208">
        <v>40256.755679907015</v>
      </c>
      <c r="C32" s="208">
        <v>24901.998427324477</v>
      </c>
      <c r="D32" s="208">
        <v>6597.3886943187872</v>
      </c>
      <c r="E32" s="208">
        <v>6980.9197558856749</v>
      </c>
      <c r="F32" s="208">
        <v>953.46117907216944</v>
      </c>
      <c r="G32" s="208">
        <v>468.57023202941065</v>
      </c>
      <c r="H32" s="208">
        <v>354.41739127978622</v>
      </c>
    </row>
    <row r="33" spans="1:8" x14ac:dyDescent="0.2">
      <c r="A33" s="366" t="s">
        <v>27</v>
      </c>
      <c r="B33" s="207">
        <v>40256.755679907015</v>
      </c>
      <c r="C33" s="207">
        <v>24901.998427324477</v>
      </c>
      <c r="D33" s="207">
        <v>6597.3886943187872</v>
      </c>
      <c r="E33" s="207">
        <v>6980.9197558856749</v>
      </c>
      <c r="F33" s="207">
        <v>953.46117907216944</v>
      </c>
      <c r="G33" s="207">
        <v>468.57023202941065</v>
      </c>
      <c r="H33" s="207">
        <v>354.41739127978622</v>
      </c>
    </row>
    <row r="34" spans="1:8" x14ac:dyDescent="0.2">
      <c r="A34" s="191" t="s">
        <v>28</v>
      </c>
      <c r="B34" s="208">
        <v>99995.993903428112</v>
      </c>
      <c r="C34" s="208">
        <v>56902.660817552416</v>
      </c>
      <c r="D34" s="208">
        <v>18596.772885154565</v>
      </c>
      <c r="E34" s="208">
        <v>19682.350711678988</v>
      </c>
      <c r="F34" s="208">
        <v>2547.4602226673542</v>
      </c>
      <c r="G34" s="208">
        <v>1017.5910375394826</v>
      </c>
      <c r="H34" s="208">
        <v>1249.1582287744229</v>
      </c>
    </row>
    <row r="35" spans="1:8" x14ac:dyDescent="0.2">
      <c r="A35" s="366" t="s">
        <v>28</v>
      </c>
      <c r="B35" s="207">
        <v>99995.993903428112</v>
      </c>
      <c r="C35" s="207">
        <v>56902.660817552416</v>
      </c>
      <c r="D35" s="207">
        <v>18596.772885154565</v>
      </c>
      <c r="E35" s="207">
        <v>19682.350711678988</v>
      </c>
      <c r="F35" s="207">
        <v>2547.4602226673542</v>
      </c>
      <c r="G35" s="207">
        <v>1017.5910375394826</v>
      </c>
      <c r="H35" s="207">
        <v>1249.1582287744229</v>
      </c>
    </row>
    <row r="36" spans="1:8" x14ac:dyDescent="0.2">
      <c r="A36" s="191" t="s">
        <v>29</v>
      </c>
      <c r="B36" s="208">
        <v>198400.29871786357</v>
      </c>
      <c r="C36" s="208">
        <v>123813.68427625039</v>
      </c>
      <c r="D36" s="208">
        <v>34980.023004811192</v>
      </c>
      <c r="E36" s="208">
        <v>31585.790360463099</v>
      </c>
      <c r="F36" s="208">
        <v>4355.9513034650972</v>
      </c>
      <c r="G36" s="208">
        <v>1947.1213122149472</v>
      </c>
      <c r="H36" s="208">
        <v>1717.7284608038092</v>
      </c>
    </row>
    <row r="37" spans="1:8" x14ac:dyDescent="0.2">
      <c r="A37" s="366" t="s">
        <v>30</v>
      </c>
      <c r="B37" s="207">
        <v>121590.06075350314</v>
      </c>
      <c r="C37" s="207">
        <v>75691.410694997292</v>
      </c>
      <c r="D37" s="207">
        <v>22376.124383141661</v>
      </c>
      <c r="E37" s="207">
        <v>18902.714644361393</v>
      </c>
      <c r="F37" s="207">
        <v>2590.0648053993868</v>
      </c>
      <c r="G37" s="207">
        <v>1088.2570818130559</v>
      </c>
      <c r="H37" s="207">
        <v>941.48914370640364</v>
      </c>
    </row>
    <row r="38" spans="1:8" x14ac:dyDescent="0.2">
      <c r="A38" s="366" t="s">
        <v>29</v>
      </c>
      <c r="B38" s="207">
        <v>76810.237964488639</v>
      </c>
      <c r="C38" s="207">
        <v>48122.273581131412</v>
      </c>
      <c r="D38" s="207">
        <v>12603.89862166272</v>
      </c>
      <c r="E38" s="207">
        <v>12683.075716110698</v>
      </c>
      <c r="F38" s="207">
        <v>1765.8864980658836</v>
      </c>
      <c r="G38" s="207">
        <v>858.86423040191789</v>
      </c>
      <c r="H38" s="207">
        <v>776.23931709743215</v>
      </c>
    </row>
    <row r="39" spans="1:8" x14ac:dyDescent="0.2">
      <c r="A39" s="191" t="s">
        <v>31</v>
      </c>
      <c r="B39" s="208">
        <v>83503.559262492534</v>
      </c>
      <c r="C39" s="208">
        <v>49814.998755838358</v>
      </c>
      <c r="D39" s="208">
        <v>14049.278990104012</v>
      </c>
      <c r="E39" s="208">
        <v>15434.147127260441</v>
      </c>
      <c r="F39" s="208">
        <v>2283.0179850202549</v>
      </c>
      <c r="G39" s="208">
        <v>1024.1140570108894</v>
      </c>
      <c r="H39" s="208">
        <v>898.00234723035851</v>
      </c>
    </row>
    <row r="40" spans="1:8" x14ac:dyDescent="0.2">
      <c r="A40" s="366" t="s">
        <v>31</v>
      </c>
      <c r="B40" s="207">
        <v>83503.559262492534</v>
      </c>
      <c r="C40" s="207">
        <v>49814.998755838358</v>
      </c>
      <c r="D40" s="207">
        <v>14049.278990104012</v>
      </c>
      <c r="E40" s="207">
        <v>15434.147127260441</v>
      </c>
      <c r="F40" s="207">
        <v>2283.0179850202549</v>
      </c>
      <c r="G40" s="207">
        <v>1024.1140570108894</v>
      </c>
      <c r="H40" s="207">
        <v>898.00234723035851</v>
      </c>
    </row>
    <row r="41" spans="1:8" x14ac:dyDescent="0.2">
      <c r="A41" s="656"/>
      <c r="B41" s="656"/>
      <c r="C41" s="656"/>
      <c r="D41" s="656"/>
      <c r="E41" s="656"/>
      <c r="F41" s="656"/>
      <c r="G41" s="656"/>
      <c r="H41" s="656"/>
    </row>
    <row r="42" spans="1:8" x14ac:dyDescent="0.2">
      <c r="A42" s="328"/>
      <c r="B42" s="328"/>
      <c r="C42" s="328"/>
      <c r="D42" s="328"/>
      <c r="E42" s="328"/>
      <c r="F42" s="328"/>
      <c r="G42" s="328"/>
      <c r="H42" s="328"/>
    </row>
  </sheetData>
  <mergeCells count="3">
    <mergeCell ref="A1:H1"/>
    <mergeCell ref="A41:E41"/>
    <mergeCell ref="F41:H41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4"/>
  <sheetViews>
    <sheetView workbookViewId="0">
      <selection activeCell="A2" sqref="A2:A4"/>
    </sheetView>
  </sheetViews>
  <sheetFormatPr defaultRowHeight="12" x14ac:dyDescent="0.2"/>
  <cols>
    <col min="1" max="1" width="20.28515625" style="575" customWidth="1"/>
    <col min="2" max="4" width="12" style="575" bestFit="1" customWidth="1"/>
    <col min="5" max="5" width="9.140625" style="575"/>
    <col min="6" max="8" width="12" style="575" bestFit="1" customWidth="1"/>
    <col min="9" max="9" width="9.140625" style="575"/>
    <col min="10" max="12" width="11.140625" style="575" bestFit="1" customWidth="1"/>
    <col min="13" max="16384" width="9.140625" style="575"/>
  </cols>
  <sheetData>
    <row r="1" spans="1:12" x14ac:dyDescent="0.2">
      <c r="A1" s="663" t="s">
        <v>567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</row>
    <row r="2" spans="1:12" x14ac:dyDescent="0.2">
      <c r="A2" s="914" t="s">
        <v>586</v>
      </c>
      <c r="B2" s="664" t="s">
        <v>36</v>
      </c>
      <c r="C2" s="664"/>
      <c r="D2" s="664"/>
      <c r="E2" s="664"/>
      <c r="F2" s="664"/>
      <c r="G2" s="664"/>
      <c r="H2" s="664"/>
      <c r="I2" s="664"/>
      <c r="J2" s="664"/>
      <c r="K2" s="664"/>
      <c r="L2" s="373"/>
    </row>
    <row r="3" spans="1:12" x14ac:dyDescent="0.2">
      <c r="A3" s="915"/>
      <c r="B3" s="665" t="s">
        <v>357</v>
      </c>
      <c r="C3" s="665"/>
      <c r="D3" s="665"/>
      <c r="E3" s="374"/>
      <c r="F3" s="665" t="s">
        <v>358</v>
      </c>
      <c r="G3" s="665"/>
      <c r="H3" s="665"/>
      <c r="I3" s="374"/>
      <c r="J3" s="665" t="s">
        <v>197</v>
      </c>
      <c r="K3" s="665"/>
      <c r="L3" s="665"/>
    </row>
    <row r="4" spans="1:12" x14ac:dyDescent="0.2">
      <c r="A4" s="916"/>
      <c r="B4" s="468" t="s">
        <v>2</v>
      </c>
      <c r="C4" s="375" t="s">
        <v>3</v>
      </c>
      <c r="D4" s="375" t="s">
        <v>4</v>
      </c>
      <c r="E4" s="468"/>
      <c r="F4" s="468" t="s">
        <v>2</v>
      </c>
      <c r="G4" s="375" t="s">
        <v>3</v>
      </c>
      <c r="H4" s="375" t="s">
        <v>4</v>
      </c>
      <c r="I4" s="468"/>
      <c r="J4" s="468" t="s">
        <v>2</v>
      </c>
      <c r="K4" s="375" t="s">
        <v>3</v>
      </c>
      <c r="L4" s="375" t="s">
        <v>4</v>
      </c>
    </row>
    <row r="5" spans="1:12" x14ac:dyDescent="0.2">
      <c r="A5" s="81" t="s">
        <v>32</v>
      </c>
      <c r="B5" s="212">
        <v>857567.49478877615</v>
      </c>
      <c r="C5" s="212">
        <v>429938.56551282509</v>
      </c>
      <c r="D5" s="212">
        <v>427628.92927595106</v>
      </c>
      <c r="E5" s="212"/>
      <c r="F5" s="212">
        <v>914223.766088109</v>
      </c>
      <c r="G5" s="212">
        <v>423505.6282477206</v>
      </c>
      <c r="H5" s="212">
        <v>490718.1378403884</v>
      </c>
      <c r="I5" s="212"/>
      <c r="J5" s="212">
        <v>34625.27452415014</v>
      </c>
      <c r="K5" s="212">
        <v>14195.177539697283</v>
      </c>
      <c r="L5" s="212">
        <v>20430.096984452859</v>
      </c>
    </row>
    <row r="6" spans="1:12" x14ac:dyDescent="0.2">
      <c r="A6" s="92"/>
      <c r="B6" s="208"/>
      <c r="C6" s="207"/>
      <c r="D6" s="207"/>
      <c r="E6" s="207"/>
      <c r="F6" s="208"/>
      <c r="G6" s="207"/>
      <c r="H6" s="207"/>
      <c r="I6" s="207"/>
      <c r="J6" s="208"/>
      <c r="K6" s="207"/>
      <c r="L6" s="207"/>
    </row>
    <row r="7" spans="1:12" x14ac:dyDescent="0.2">
      <c r="A7" s="95" t="s">
        <v>167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</row>
    <row r="8" spans="1:12" x14ac:dyDescent="0.2">
      <c r="A8" s="93" t="s">
        <v>8</v>
      </c>
      <c r="B8" s="207">
        <v>195887.58837427112</v>
      </c>
      <c r="C8" s="207">
        <v>94101.731598933897</v>
      </c>
      <c r="D8" s="207">
        <v>101785.8567753372</v>
      </c>
      <c r="E8" s="207"/>
      <c r="F8" s="207">
        <v>260058.80870166078</v>
      </c>
      <c r="G8" s="207">
        <v>120315.18714840166</v>
      </c>
      <c r="H8" s="207">
        <v>139743.62155325912</v>
      </c>
      <c r="I8" s="207"/>
      <c r="J8" s="207">
        <v>4706.3585486200373</v>
      </c>
      <c r="K8" s="207">
        <v>2128.6786875024359</v>
      </c>
      <c r="L8" s="207">
        <v>2577.6798611176018</v>
      </c>
    </row>
    <row r="9" spans="1:12" x14ac:dyDescent="0.2">
      <c r="A9" s="93" t="s">
        <v>9</v>
      </c>
      <c r="B9" s="207">
        <v>661679.90641609009</v>
      </c>
      <c r="C9" s="207">
        <v>335836.83391463145</v>
      </c>
      <c r="D9" s="207">
        <v>325843.07250145864</v>
      </c>
      <c r="E9" s="207"/>
      <c r="F9" s="207">
        <v>654164.95738710277</v>
      </c>
      <c r="G9" s="207">
        <v>303190.44109962997</v>
      </c>
      <c r="H9" s="207">
        <v>350974.51628747274</v>
      </c>
      <c r="I9" s="207"/>
      <c r="J9" s="207">
        <v>29918.915975528187</v>
      </c>
      <c r="K9" s="207">
        <v>12066.498852193983</v>
      </c>
      <c r="L9" s="207">
        <v>17852.417123334206</v>
      </c>
    </row>
    <row r="10" spans="1:12" x14ac:dyDescent="0.2">
      <c r="A10" s="96" t="s">
        <v>361</v>
      </c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</row>
    <row r="11" spans="1:12" x14ac:dyDescent="0.2">
      <c r="A11" s="191" t="s">
        <v>11</v>
      </c>
      <c r="B11" s="208">
        <v>119423.55736224269</v>
      </c>
      <c r="C11" s="208">
        <v>60197.379087617708</v>
      </c>
      <c r="D11" s="208">
        <v>59226.178274624988</v>
      </c>
      <c r="E11" s="208"/>
      <c r="F11" s="208">
        <v>122092.16959287864</v>
      </c>
      <c r="G11" s="208">
        <v>54834.555417167932</v>
      </c>
      <c r="H11" s="208">
        <v>67257.614175710711</v>
      </c>
      <c r="I11" s="208"/>
      <c r="J11" s="208">
        <v>5821.7948782305957</v>
      </c>
      <c r="K11" s="208">
        <v>2163.468124683272</v>
      </c>
      <c r="L11" s="208">
        <v>3658.3267535473233</v>
      </c>
    </row>
    <row r="12" spans="1:12" x14ac:dyDescent="0.2">
      <c r="A12" s="366" t="s">
        <v>12</v>
      </c>
      <c r="B12" s="207">
        <v>77360.28500601757</v>
      </c>
      <c r="C12" s="207">
        <v>38555.635762757309</v>
      </c>
      <c r="D12" s="207">
        <v>38804.649243260268</v>
      </c>
      <c r="E12" s="207"/>
      <c r="F12" s="207">
        <v>75157.105608327402</v>
      </c>
      <c r="G12" s="207">
        <v>33998.779739088292</v>
      </c>
      <c r="H12" s="207">
        <v>41158.325869239117</v>
      </c>
      <c r="I12" s="207"/>
      <c r="J12" s="207">
        <v>2736.4066682551929</v>
      </c>
      <c r="K12" s="207">
        <v>1185.0152039722564</v>
      </c>
      <c r="L12" s="207">
        <v>1551.3914642829366</v>
      </c>
    </row>
    <row r="13" spans="1:12" x14ac:dyDescent="0.2">
      <c r="A13" s="366" t="s">
        <v>13</v>
      </c>
      <c r="B13" s="207">
        <v>42063.27235624013</v>
      </c>
      <c r="C13" s="207">
        <v>21641.743324867937</v>
      </c>
      <c r="D13" s="207">
        <v>20421.529031372193</v>
      </c>
      <c r="E13" s="207"/>
      <c r="F13" s="207">
        <v>46935.063984546534</v>
      </c>
      <c r="G13" s="207">
        <v>20835.775678077123</v>
      </c>
      <c r="H13" s="207">
        <v>26099.288306469414</v>
      </c>
      <c r="I13" s="207"/>
      <c r="J13" s="207">
        <v>3085.3882099754555</v>
      </c>
      <c r="K13" s="207">
        <v>978.452920711042</v>
      </c>
      <c r="L13" s="207">
        <v>2106.9352892644133</v>
      </c>
    </row>
    <row r="14" spans="1:12" x14ac:dyDescent="0.2">
      <c r="A14" s="191" t="s">
        <v>44</v>
      </c>
      <c r="B14" s="208">
        <v>219401.63111969939</v>
      </c>
      <c r="C14" s="208">
        <v>108007.30424284156</v>
      </c>
      <c r="D14" s="208">
        <v>111394.32687685783</v>
      </c>
      <c r="E14" s="208"/>
      <c r="F14" s="208">
        <v>272447.92901353893</v>
      </c>
      <c r="G14" s="208">
        <v>126934.00583470434</v>
      </c>
      <c r="H14" s="208">
        <v>145513.92317883458</v>
      </c>
      <c r="I14" s="208"/>
      <c r="J14" s="208">
        <v>8438.6128561769783</v>
      </c>
      <c r="K14" s="208">
        <v>3464.8105092289225</v>
      </c>
      <c r="L14" s="208">
        <v>4973.8023469480559</v>
      </c>
    </row>
    <row r="15" spans="1:12" x14ac:dyDescent="0.2">
      <c r="A15" s="366" t="s">
        <v>15</v>
      </c>
      <c r="B15" s="207">
        <v>172574.02293973579</v>
      </c>
      <c r="C15" s="207">
        <v>84247.873090588357</v>
      </c>
      <c r="D15" s="207">
        <v>88326.149849147434</v>
      </c>
      <c r="E15" s="207"/>
      <c r="F15" s="207">
        <v>223184.04282072315</v>
      </c>
      <c r="G15" s="207">
        <v>103888.52259286003</v>
      </c>
      <c r="H15" s="207">
        <v>119295.52022786312</v>
      </c>
      <c r="I15" s="207"/>
      <c r="J15" s="207">
        <v>6222.9605757221116</v>
      </c>
      <c r="K15" s="207">
        <v>2577.6798611176018</v>
      </c>
      <c r="L15" s="207">
        <v>3645.2807146045097</v>
      </c>
    </row>
    <row r="16" spans="1:12" x14ac:dyDescent="0.2">
      <c r="A16" s="366" t="s">
        <v>16</v>
      </c>
      <c r="B16" s="207">
        <v>46827.608179799587</v>
      </c>
      <c r="C16" s="207">
        <v>23759.431152170004</v>
      </c>
      <c r="D16" s="207">
        <v>23068.177027629587</v>
      </c>
      <c r="E16" s="207"/>
      <c r="F16" s="207">
        <v>49263.88619283642</v>
      </c>
      <c r="G16" s="207">
        <v>23045.483241838869</v>
      </c>
      <c r="H16" s="207">
        <v>26218.402950997555</v>
      </c>
      <c r="I16" s="207"/>
      <c r="J16" s="207">
        <v>2215.6522804545525</v>
      </c>
      <c r="K16" s="207">
        <v>887.13064811134723</v>
      </c>
      <c r="L16" s="207">
        <v>1328.5216323432053</v>
      </c>
    </row>
    <row r="17" spans="1:12" x14ac:dyDescent="0.2">
      <c r="A17" s="191" t="s">
        <v>17</v>
      </c>
      <c r="B17" s="208">
        <v>18145.104454120781</v>
      </c>
      <c r="C17" s="208">
        <v>9195.4682980251237</v>
      </c>
      <c r="D17" s="208">
        <v>8949.6361560956557</v>
      </c>
      <c r="E17" s="208"/>
      <c r="F17" s="208">
        <v>17134.636991943877</v>
      </c>
      <c r="G17" s="208">
        <v>7883.4047442675064</v>
      </c>
      <c r="H17" s="208">
        <v>9251.2322476763711</v>
      </c>
      <c r="I17" s="208"/>
      <c r="J17" s="208">
        <v>437.04230458427617</v>
      </c>
      <c r="K17" s="208">
        <v>235.91587088255704</v>
      </c>
      <c r="L17" s="208">
        <v>201.12643370171912</v>
      </c>
    </row>
    <row r="18" spans="1:12" x14ac:dyDescent="0.2">
      <c r="A18" s="366" t="s">
        <v>17</v>
      </c>
      <c r="B18" s="207">
        <v>18145.104454120781</v>
      </c>
      <c r="C18" s="207">
        <v>9195.4682980251237</v>
      </c>
      <c r="D18" s="207">
        <v>8949.6361560956557</v>
      </c>
      <c r="E18" s="207"/>
      <c r="F18" s="207">
        <v>17134.636991943877</v>
      </c>
      <c r="G18" s="207">
        <v>7883.4047442675064</v>
      </c>
      <c r="H18" s="207">
        <v>9251.2322476763711</v>
      </c>
      <c r="I18" s="207"/>
      <c r="J18" s="207">
        <v>437.04230458427617</v>
      </c>
      <c r="K18" s="207">
        <v>235.91587088255704</v>
      </c>
      <c r="L18" s="207">
        <v>201.12643370171912</v>
      </c>
    </row>
    <row r="19" spans="1:12" x14ac:dyDescent="0.2">
      <c r="A19" s="191" t="s">
        <v>18</v>
      </c>
      <c r="B19" s="208">
        <v>17242.867971247782</v>
      </c>
      <c r="C19" s="208">
        <v>8591.6324302085104</v>
      </c>
      <c r="D19" s="208">
        <v>8651.2355410392738</v>
      </c>
      <c r="E19" s="208"/>
      <c r="F19" s="208">
        <v>17691.907132598855</v>
      </c>
      <c r="G19" s="208">
        <v>8751.5610272182348</v>
      </c>
      <c r="H19" s="208">
        <v>8940.3461053806204</v>
      </c>
      <c r="I19" s="208"/>
      <c r="J19" s="208">
        <v>490.31363026743423</v>
      </c>
      <c r="K19" s="208">
        <v>258.74643903248193</v>
      </c>
      <c r="L19" s="208">
        <v>231.5671912349523</v>
      </c>
    </row>
    <row r="20" spans="1:12" x14ac:dyDescent="0.2">
      <c r="A20" s="366" t="s">
        <v>18</v>
      </c>
      <c r="B20" s="207">
        <v>17242.867971247782</v>
      </c>
      <c r="C20" s="207">
        <v>8591.6324302085104</v>
      </c>
      <c r="D20" s="207">
        <v>8651.2355410392738</v>
      </c>
      <c r="E20" s="207"/>
      <c r="F20" s="207">
        <v>17691.907132598855</v>
      </c>
      <c r="G20" s="207">
        <v>8751.5610272182348</v>
      </c>
      <c r="H20" s="207">
        <v>8940.3461053806204</v>
      </c>
      <c r="I20" s="207"/>
      <c r="J20" s="207">
        <v>490.31363026743423</v>
      </c>
      <c r="K20" s="207">
        <v>258.74643903248193</v>
      </c>
      <c r="L20" s="207">
        <v>231.5671912349523</v>
      </c>
    </row>
    <row r="21" spans="1:12" x14ac:dyDescent="0.2">
      <c r="A21" s="191" t="s">
        <v>19</v>
      </c>
      <c r="B21" s="208">
        <v>75427.465791651382</v>
      </c>
      <c r="C21" s="208">
        <v>37730.950656144734</v>
      </c>
      <c r="D21" s="208">
        <v>37696.515135506648</v>
      </c>
      <c r="E21" s="208"/>
      <c r="F21" s="208">
        <v>63240.504110575566</v>
      </c>
      <c r="G21" s="208">
        <v>28686.985015865739</v>
      </c>
      <c r="H21" s="208">
        <v>34553.519094709824</v>
      </c>
      <c r="I21" s="208"/>
      <c r="J21" s="208">
        <v>2256.9647371067954</v>
      </c>
      <c r="K21" s="208">
        <v>1027.3755667465928</v>
      </c>
      <c r="L21" s="208">
        <v>1229.5891703602026</v>
      </c>
    </row>
    <row r="22" spans="1:12" x14ac:dyDescent="0.2">
      <c r="A22" s="366" t="s">
        <v>19</v>
      </c>
      <c r="B22" s="207">
        <v>42379.851352803802</v>
      </c>
      <c r="C22" s="207">
        <v>21051.782311380735</v>
      </c>
      <c r="D22" s="207">
        <v>21328.069041423067</v>
      </c>
      <c r="E22" s="207"/>
      <c r="F22" s="207">
        <v>38287.143440601052</v>
      </c>
      <c r="G22" s="207">
        <v>17401.79781624753</v>
      </c>
      <c r="H22" s="207">
        <v>20885.345624353518</v>
      </c>
      <c r="I22" s="207"/>
      <c r="J22" s="207">
        <v>1323.0857827837262</v>
      </c>
      <c r="K22" s="207">
        <v>591.42043207424035</v>
      </c>
      <c r="L22" s="207">
        <v>731.66535070948589</v>
      </c>
    </row>
    <row r="23" spans="1:12" x14ac:dyDescent="0.2">
      <c r="A23" s="366" t="s">
        <v>20</v>
      </c>
      <c r="B23" s="207">
        <v>33047.614438862794</v>
      </c>
      <c r="C23" s="207">
        <v>16679.168344771711</v>
      </c>
      <c r="D23" s="207">
        <v>16368.446094091083</v>
      </c>
      <c r="E23" s="207"/>
      <c r="F23" s="207">
        <v>24953.360669970163</v>
      </c>
      <c r="G23" s="207">
        <v>11285.187199615988</v>
      </c>
      <c r="H23" s="207">
        <v>13668.173470354175</v>
      </c>
      <c r="I23" s="207"/>
      <c r="J23" s="207">
        <v>933.8789543231178</v>
      </c>
      <c r="K23" s="207">
        <v>435.9551346723751</v>
      </c>
      <c r="L23" s="207">
        <v>497.92381965074264</v>
      </c>
    </row>
    <row r="24" spans="1:12" x14ac:dyDescent="0.2">
      <c r="A24" s="191" t="s">
        <v>21</v>
      </c>
      <c r="B24" s="208">
        <v>38081.73694790282</v>
      </c>
      <c r="C24" s="208">
        <v>19054.707093101497</v>
      </c>
      <c r="D24" s="208">
        <v>19027.029854801323</v>
      </c>
      <c r="E24" s="208"/>
      <c r="F24" s="208">
        <v>37460.539572931768</v>
      </c>
      <c r="G24" s="208">
        <v>17782.073578355423</v>
      </c>
      <c r="H24" s="208">
        <v>19678.465994576349</v>
      </c>
      <c r="I24" s="208"/>
      <c r="J24" s="208">
        <v>1039.3344357775281</v>
      </c>
      <c r="K24" s="208">
        <v>443.56532405568339</v>
      </c>
      <c r="L24" s="208">
        <v>595.76911172184487</v>
      </c>
    </row>
    <row r="25" spans="1:12" x14ac:dyDescent="0.2">
      <c r="A25" s="366" t="s">
        <v>21</v>
      </c>
      <c r="B25" s="207">
        <v>38081.73694790282</v>
      </c>
      <c r="C25" s="207">
        <v>19054.707093101497</v>
      </c>
      <c r="D25" s="207">
        <v>19027.029854801323</v>
      </c>
      <c r="E25" s="207"/>
      <c r="F25" s="207">
        <v>37460.539572931768</v>
      </c>
      <c r="G25" s="207">
        <v>17782.073578355423</v>
      </c>
      <c r="H25" s="207">
        <v>19678.465994576349</v>
      </c>
      <c r="I25" s="207"/>
      <c r="J25" s="207">
        <v>1039.3344357775281</v>
      </c>
      <c r="K25" s="207">
        <v>443.56532405568339</v>
      </c>
      <c r="L25" s="207">
        <v>595.76911172184487</v>
      </c>
    </row>
    <row r="26" spans="1:12" x14ac:dyDescent="0.2">
      <c r="A26" s="191" t="s">
        <v>22</v>
      </c>
      <c r="B26" s="208">
        <v>59122.135665375434</v>
      </c>
      <c r="C26" s="208">
        <v>29187.648339033494</v>
      </c>
      <c r="D26" s="208">
        <v>29934.487326341936</v>
      </c>
      <c r="E26" s="208"/>
      <c r="F26" s="208">
        <v>77069.595754863985</v>
      </c>
      <c r="G26" s="208">
        <v>36821.334914916108</v>
      </c>
      <c r="H26" s="208">
        <v>40248.26083994787</v>
      </c>
      <c r="I26" s="208"/>
      <c r="J26" s="208">
        <v>2666.8277938935207</v>
      </c>
      <c r="K26" s="208">
        <v>1057.8163242798244</v>
      </c>
      <c r="L26" s="208">
        <v>1609.0114696136964</v>
      </c>
    </row>
    <row r="27" spans="1:12" x14ac:dyDescent="0.2">
      <c r="A27" s="366" t="s">
        <v>22</v>
      </c>
      <c r="B27" s="207">
        <v>59122.135665375434</v>
      </c>
      <c r="C27" s="207">
        <v>29187.648339033494</v>
      </c>
      <c r="D27" s="207">
        <v>29934.487326341936</v>
      </c>
      <c r="E27" s="207"/>
      <c r="F27" s="207">
        <v>77069.595754863985</v>
      </c>
      <c r="G27" s="207">
        <v>36821.334914916108</v>
      </c>
      <c r="H27" s="207">
        <v>40248.26083994787</v>
      </c>
      <c r="I27" s="207"/>
      <c r="J27" s="207">
        <v>2666.8277938935207</v>
      </c>
      <c r="K27" s="207">
        <v>1057.8163242798244</v>
      </c>
      <c r="L27" s="207">
        <v>1609.0114696136964</v>
      </c>
    </row>
    <row r="28" spans="1:12" x14ac:dyDescent="0.2">
      <c r="A28" s="191" t="s">
        <v>23</v>
      </c>
      <c r="B28" s="208">
        <v>89555.138576660916</v>
      </c>
      <c r="C28" s="208">
        <v>45086.700869724002</v>
      </c>
      <c r="D28" s="208">
        <v>44468.437706936922</v>
      </c>
      <c r="E28" s="208"/>
      <c r="F28" s="208">
        <v>88020.126022343466</v>
      </c>
      <c r="G28" s="208">
        <v>39700.967343510711</v>
      </c>
      <c r="H28" s="208">
        <v>48319.158678832755</v>
      </c>
      <c r="I28" s="208"/>
      <c r="J28" s="208">
        <v>4393.2536139925123</v>
      </c>
      <c r="K28" s="208">
        <v>1667.7186448563573</v>
      </c>
      <c r="L28" s="208">
        <v>2725.5349691361553</v>
      </c>
    </row>
    <row r="29" spans="1:12" x14ac:dyDescent="0.2">
      <c r="A29" s="366" t="s">
        <v>23</v>
      </c>
      <c r="B29" s="207">
        <v>45729.386381528384</v>
      </c>
      <c r="C29" s="207">
        <v>22812.57048381065</v>
      </c>
      <c r="D29" s="207">
        <v>22916.815897717734</v>
      </c>
      <c r="E29" s="207"/>
      <c r="F29" s="207">
        <v>46672.702508025555</v>
      </c>
      <c r="G29" s="207">
        <v>20937.484684167808</v>
      </c>
      <c r="H29" s="207">
        <v>25735.217823857751</v>
      </c>
      <c r="I29" s="207"/>
      <c r="J29" s="207">
        <v>2564.6338221748147</v>
      </c>
      <c r="K29" s="207">
        <v>930.61744458739236</v>
      </c>
      <c r="L29" s="207">
        <v>1634.0163775874223</v>
      </c>
    </row>
    <row r="30" spans="1:12" x14ac:dyDescent="0.2">
      <c r="A30" s="366" t="s">
        <v>24</v>
      </c>
      <c r="B30" s="207">
        <v>43825.752195147244</v>
      </c>
      <c r="C30" s="207">
        <v>22274.130385920726</v>
      </c>
      <c r="D30" s="207">
        <v>21551.621809226523</v>
      </c>
      <c r="E30" s="207"/>
      <c r="F30" s="207">
        <v>41347.423514313166</v>
      </c>
      <c r="G30" s="207">
        <v>18763.482659340025</v>
      </c>
      <c r="H30" s="207">
        <v>22583.940854973138</v>
      </c>
      <c r="I30" s="207"/>
      <c r="J30" s="207">
        <v>1828.6197918177509</v>
      </c>
      <c r="K30" s="207">
        <v>737.10120026899153</v>
      </c>
      <c r="L30" s="207">
        <v>1091.5185915487593</v>
      </c>
    </row>
    <row r="31" spans="1:12" x14ac:dyDescent="0.2">
      <c r="A31" s="191" t="s">
        <v>25</v>
      </c>
      <c r="B31" s="208">
        <v>9512.517260764107</v>
      </c>
      <c r="C31" s="208">
        <v>4951.0991777121735</v>
      </c>
      <c r="D31" s="208">
        <v>4561.4180830519335</v>
      </c>
      <c r="E31" s="208"/>
      <c r="F31" s="208">
        <v>9358.1292126838016</v>
      </c>
      <c r="G31" s="208">
        <v>4586.0721964564973</v>
      </c>
      <c r="H31" s="208">
        <v>4772.0570162273034</v>
      </c>
      <c r="I31" s="208"/>
      <c r="J31" s="208">
        <v>292.44870630141855</v>
      </c>
      <c r="K31" s="208">
        <v>145.68076819475868</v>
      </c>
      <c r="L31" s="208">
        <v>146.76793810665987</v>
      </c>
    </row>
    <row r="32" spans="1:12" x14ac:dyDescent="0.2">
      <c r="A32" s="366" t="s">
        <v>25</v>
      </c>
      <c r="B32" s="207">
        <v>9512.517260764107</v>
      </c>
      <c r="C32" s="207">
        <v>4951.0991777121735</v>
      </c>
      <c r="D32" s="207">
        <v>4561.4180830519335</v>
      </c>
      <c r="E32" s="207"/>
      <c r="F32" s="207">
        <v>9358.1292126838016</v>
      </c>
      <c r="G32" s="207">
        <v>4586.0721964564973</v>
      </c>
      <c r="H32" s="207">
        <v>4772.0570162273034</v>
      </c>
      <c r="I32" s="207"/>
      <c r="J32" s="207">
        <v>292.44870630141855</v>
      </c>
      <c r="K32" s="207">
        <v>145.68076819475868</v>
      </c>
      <c r="L32" s="207">
        <v>146.76793810665987</v>
      </c>
    </row>
    <row r="33" spans="1:12" x14ac:dyDescent="0.2">
      <c r="A33" s="191" t="s">
        <v>26</v>
      </c>
      <c r="B33" s="208">
        <v>3928.837951368464</v>
      </c>
      <c r="C33" s="208">
        <v>1979.7058946530178</v>
      </c>
      <c r="D33" s="208">
        <v>1949.132056715446</v>
      </c>
      <c r="E33" s="208"/>
      <c r="F33" s="208">
        <v>3954.8258787857726</v>
      </c>
      <c r="G33" s="208">
        <v>2101.7417170648769</v>
      </c>
      <c r="H33" s="208">
        <v>1853.0841617208957</v>
      </c>
      <c r="I33" s="208"/>
      <c r="J33" s="208">
        <v>111.97850092582183</v>
      </c>
      <c r="K33" s="208">
        <v>50.009815947454399</v>
      </c>
      <c r="L33" s="208">
        <v>61.968684978367435</v>
      </c>
    </row>
    <row r="34" spans="1:12" x14ac:dyDescent="0.2">
      <c r="A34" s="366" t="s">
        <v>26</v>
      </c>
      <c r="B34" s="207">
        <v>3928.837951368464</v>
      </c>
      <c r="C34" s="207">
        <v>1979.7058946530178</v>
      </c>
      <c r="D34" s="207">
        <v>1949.132056715446</v>
      </c>
      <c r="E34" s="207"/>
      <c r="F34" s="207">
        <v>3954.8258787857726</v>
      </c>
      <c r="G34" s="207">
        <v>2101.7417170648769</v>
      </c>
      <c r="H34" s="207">
        <v>1853.0841617208957</v>
      </c>
      <c r="I34" s="207"/>
      <c r="J34" s="207">
        <v>111.97850092582183</v>
      </c>
      <c r="K34" s="207">
        <v>50.009815947454399</v>
      </c>
      <c r="L34" s="207">
        <v>61.968684978367435</v>
      </c>
    </row>
    <row r="35" spans="1:12" x14ac:dyDescent="0.2">
      <c r="A35" s="191" t="s">
        <v>27</v>
      </c>
      <c r="B35" s="208">
        <v>20551.198922800177</v>
      </c>
      <c r="C35" s="208">
        <v>10415.673667771667</v>
      </c>
      <c r="D35" s="208">
        <v>10135.525255028511</v>
      </c>
      <c r="E35" s="208"/>
      <c r="F35" s="208">
        <v>18882.569133801138</v>
      </c>
      <c r="G35" s="208">
        <v>8484.6477396626797</v>
      </c>
      <c r="H35" s="208">
        <v>10397.921394138459</v>
      </c>
      <c r="I35" s="208"/>
      <c r="J35" s="208">
        <v>822.98762330919681</v>
      </c>
      <c r="K35" s="208">
        <v>317.45361427514592</v>
      </c>
      <c r="L35" s="208">
        <v>505.53400903405094</v>
      </c>
    </row>
    <row r="36" spans="1:12" x14ac:dyDescent="0.2">
      <c r="A36" s="366" t="s">
        <v>27</v>
      </c>
      <c r="B36" s="207">
        <v>20551.198922800177</v>
      </c>
      <c r="C36" s="207">
        <v>10415.673667771667</v>
      </c>
      <c r="D36" s="207">
        <v>10135.525255028511</v>
      </c>
      <c r="E36" s="207"/>
      <c r="F36" s="207">
        <v>18882.569133801138</v>
      </c>
      <c r="G36" s="207">
        <v>8484.6477396626797</v>
      </c>
      <c r="H36" s="207">
        <v>10397.921394138459</v>
      </c>
      <c r="I36" s="207"/>
      <c r="J36" s="207">
        <v>822.98762330919681</v>
      </c>
      <c r="K36" s="207">
        <v>317.45361427514592</v>
      </c>
      <c r="L36" s="207">
        <v>505.53400903405094</v>
      </c>
    </row>
    <row r="37" spans="1:12" x14ac:dyDescent="0.2">
      <c r="A37" s="191" t="s">
        <v>28</v>
      </c>
      <c r="B37" s="208">
        <v>44940.755451493504</v>
      </c>
      <c r="C37" s="208">
        <v>23162.418193658203</v>
      </c>
      <c r="D37" s="208">
        <v>21778.337257835301</v>
      </c>
      <c r="E37" s="208"/>
      <c r="F37" s="208">
        <v>52788.489185564453</v>
      </c>
      <c r="G37" s="208">
        <v>26153.942476282908</v>
      </c>
      <c r="H37" s="208">
        <v>26634.546709281545</v>
      </c>
      <c r="I37" s="208"/>
      <c r="J37" s="208">
        <v>2266.7492663139055</v>
      </c>
      <c r="K37" s="208">
        <v>948.01216317781041</v>
      </c>
      <c r="L37" s="208">
        <v>1318.7371031360951</v>
      </c>
    </row>
    <row r="38" spans="1:12" x14ac:dyDescent="0.2">
      <c r="A38" s="366" t="s">
        <v>28</v>
      </c>
      <c r="B38" s="207">
        <v>44940.755451493504</v>
      </c>
      <c r="C38" s="207">
        <v>23162.418193658203</v>
      </c>
      <c r="D38" s="207">
        <v>21778.337257835301</v>
      </c>
      <c r="E38" s="207"/>
      <c r="F38" s="207">
        <v>52788.489185564453</v>
      </c>
      <c r="G38" s="207">
        <v>26153.942476282908</v>
      </c>
      <c r="H38" s="207">
        <v>26634.546709281545</v>
      </c>
      <c r="I38" s="207"/>
      <c r="J38" s="207">
        <v>2266.7492663139055</v>
      </c>
      <c r="K38" s="207">
        <v>948.01216317781041</v>
      </c>
      <c r="L38" s="207">
        <v>1318.7371031360951</v>
      </c>
    </row>
    <row r="39" spans="1:12" x14ac:dyDescent="0.2">
      <c r="A39" s="191" t="s">
        <v>29</v>
      </c>
      <c r="B39" s="208">
        <v>102120.02141532133</v>
      </c>
      <c r="C39" s="208">
        <v>52153.19860868877</v>
      </c>
      <c r="D39" s="208">
        <v>49966.822806632554</v>
      </c>
      <c r="E39" s="208"/>
      <c r="F39" s="208">
        <v>92615.427529522392</v>
      </c>
      <c r="G39" s="208">
        <v>42189.658337397763</v>
      </c>
      <c r="H39" s="208">
        <v>50425.76919212463</v>
      </c>
      <c r="I39" s="208"/>
      <c r="J39" s="208">
        <v>3664.8497730187564</v>
      </c>
      <c r="K39" s="208">
        <v>1609.0114696136964</v>
      </c>
      <c r="L39" s="208">
        <v>2055.8383034050603</v>
      </c>
    </row>
    <row r="40" spans="1:12" x14ac:dyDescent="0.2">
      <c r="A40" s="366" t="s">
        <v>30</v>
      </c>
      <c r="B40" s="207">
        <v>62442.365876109921</v>
      </c>
      <c r="C40" s="207">
        <v>31843.832237531464</v>
      </c>
      <c r="D40" s="207">
        <v>30598.533638578458</v>
      </c>
      <c r="E40" s="207"/>
      <c r="F40" s="207">
        <v>57117.948651768063</v>
      </c>
      <c r="G40" s="207">
        <v>26070.083946713366</v>
      </c>
      <c r="H40" s="207">
        <v>31047.864705054693</v>
      </c>
      <c r="I40" s="207"/>
      <c r="J40" s="207">
        <v>2029.7462255194596</v>
      </c>
      <c r="K40" s="207">
        <v>872.99743925663256</v>
      </c>
      <c r="L40" s="207">
        <v>1156.748786262827</v>
      </c>
    </row>
    <row r="41" spans="1:12" x14ac:dyDescent="0.2">
      <c r="A41" s="366" t="s">
        <v>29</v>
      </c>
      <c r="B41" s="207">
        <v>39677.655539225918</v>
      </c>
      <c r="C41" s="207">
        <v>20309.366371164579</v>
      </c>
      <c r="D41" s="207">
        <v>19368.289168061339</v>
      </c>
      <c r="E41" s="207"/>
      <c r="F41" s="207">
        <v>35497.478877748741</v>
      </c>
      <c r="G41" s="207">
        <v>16119.574390681651</v>
      </c>
      <c r="H41" s="207">
        <v>19377.904487067091</v>
      </c>
      <c r="I41" s="207"/>
      <c r="J41" s="207">
        <v>1635.10354749935</v>
      </c>
      <c r="K41" s="207">
        <v>736.01403035709041</v>
      </c>
      <c r="L41" s="207">
        <v>899.08951714225964</v>
      </c>
    </row>
    <row r="42" spans="1:12" x14ac:dyDescent="0.2">
      <c r="A42" s="191" t="s">
        <v>31</v>
      </c>
      <c r="B42" s="208">
        <v>40114.525900607121</v>
      </c>
      <c r="C42" s="208">
        <v>20224.678954876341</v>
      </c>
      <c r="D42" s="208">
        <v>19889.84694573078</v>
      </c>
      <c r="E42" s="208"/>
      <c r="F42" s="208">
        <v>41466.916957620022</v>
      </c>
      <c r="G42" s="208">
        <v>18594.677905542732</v>
      </c>
      <c r="H42" s="208">
        <v>22872.239052077286</v>
      </c>
      <c r="I42" s="208"/>
      <c r="J42" s="208">
        <v>1922.1164042412479</v>
      </c>
      <c r="K42" s="208">
        <v>805.59290471876261</v>
      </c>
      <c r="L42" s="208">
        <v>1116.5234995224853</v>
      </c>
    </row>
    <row r="43" spans="1:12" x14ac:dyDescent="0.2">
      <c r="A43" s="366" t="s">
        <v>31</v>
      </c>
      <c r="B43" s="207">
        <v>40114.525900607121</v>
      </c>
      <c r="C43" s="207">
        <v>20224.678954876341</v>
      </c>
      <c r="D43" s="207">
        <v>19889.84694573078</v>
      </c>
      <c r="E43" s="207"/>
      <c r="F43" s="207">
        <v>41466.916957620022</v>
      </c>
      <c r="G43" s="207">
        <v>18594.677905542732</v>
      </c>
      <c r="H43" s="207">
        <v>22872.239052077286</v>
      </c>
      <c r="I43" s="207"/>
      <c r="J43" s="207">
        <v>1922.1164042412479</v>
      </c>
      <c r="K43" s="207">
        <v>805.59290471876261</v>
      </c>
      <c r="L43" s="207">
        <v>1116.5234995224853</v>
      </c>
    </row>
    <row r="44" spans="1:12" x14ac:dyDescent="0.2">
      <c r="A44" s="656"/>
      <c r="B44" s="656"/>
      <c r="C44" s="656"/>
      <c r="D44" s="656"/>
      <c r="E44" s="656"/>
      <c r="F44" s="467"/>
      <c r="G44" s="467"/>
      <c r="H44" s="467"/>
      <c r="I44" s="467"/>
      <c r="J44" s="467"/>
      <c r="K44" s="467"/>
      <c r="L44" s="467"/>
    </row>
  </sheetData>
  <mergeCells count="7">
    <mergeCell ref="A44:E44"/>
    <mergeCell ref="A1:L1"/>
    <mergeCell ref="A2:A4"/>
    <mergeCell ref="B2:K2"/>
    <mergeCell ref="B3:D3"/>
    <mergeCell ref="F3:H3"/>
    <mergeCell ref="J3:L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6"/>
  <sheetViews>
    <sheetView workbookViewId="0">
      <selection activeCell="E11" sqref="E11"/>
    </sheetView>
  </sheetViews>
  <sheetFormatPr defaultColWidth="21.7109375" defaultRowHeight="12" x14ac:dyDescent="0.2"/>
  <cols>
    <col min="1" max="16384" width="21.7109375" style="575"/>
  </cols>
  <sheetData>
    <row r="1" spans="1:3" x14ac:dyDescent="0.2">
      <c r="A1" s="666" t="s">
        <v>170</v>
      </c>
      <c r="B1" s="666"/>
      <c r="C1" s="666"/>
    </row>
    <row r="2" spans="1:3" ht="36" x14ac:dyDescent="0.2">
      <c r="A2" s="376" t="s">
        <v>586</v>
      </c>
      <c r="B2" s="377" t="s">
        <v>171</v>
      </c>
      <c r="C2" s="377" t="s">
        <v>172</v>
      </c>
    </row>
    <row r="3" spans="1:3" x14ac:dyDescent="0.2">
      <c r="A3" s="81" t="s">
        <v>32</v>
      </c>
      <c r="B3" s="638">
        <v>19.385348004562701</v>
      </c>
      <c r="C3" s="638">
        <v>15</v>
      </c>
    </row>
    <row r="4" spans="1:3" x14ac:dyDescent="0.2">
      <c r="A4" s="88"/>
      <c r="B4" s="639"/>
      <c r="C4" s="639"/>
    </row>
    <row r="5" spans="1:3" x14ac:dyDescent="0.2">
      <c r="A5" s="78" t="s">
        <v>167</v>
      </c>
      <c r="B5" s="640"/>
      <c r="C5" s="640"/>
    </row>
    <row r="6" spans="1:3" x14ac:dyDescent="0.2">
      <c r="A6" s="367" t="s">
        <v>8</v>
      </c>
      <c r="B6" s="641">
        <v>19.790324305939528</v>
      </c>
      <c r="C6" s="641">
        <v>17</v>
      </c>
    </row>
    <row r="7" spans="1:3" x14ac:dyDescent="0.2">
      <c r="A7" s="367" t="s">
        <v>9</v>
      </c>
      <c r="B7" s="641">
        <v>19.246725274608718</v>
      </c>
      <c r="C7" s="641">
        <v>15</v>
      </c>
    </row>
    <row r="8" spans="1:3" x14ac:dyDescent="0.2">
      <c r="A8" s="78" t="s">
        <v>168</v>
      </c>
      <c r="B8" s="638"/>
      <c r="C8" s="638"/>
    </row>
    <row r="9" spans="1:3" x14ac:dyDescent="0.2">
      <c r="A9" s="367" t="s">
        <v>3</v>
      </c>
      <c r="B9" s="641">
        <v>18.614174892892954</v>
      </c>
      <c r="C9" s="641">
        <v>15</v>
      </c>
    </row>
    <row r="10" spans="1:3" x14ac:dyDescent="0.2">
      <c r="A10" s="367" t="s">
        <v>4</v>
      </c>
      <c r="B10" s="641">
        <v>20.09808386943137</v>
      </c>
      <c r="C10" s="641">
        <v>16</v>
      </c>
    </row>
    <row r="11" spans="1:3" x14ac:dyDescent="0.2">
      <c r="A11" s="81" t="s">
        <v>582</v>
      </c>
      <c r="B11" s="640"/>
      <c r="C11" s="640"/>
    </row>
    <row r="12" spans="1:3" x14ac:dyDescent="0.2">
      <c r="A12" s="83" t="s">
        <v>11</v>
      </c>
      <c r="B12" s="641">
        <v>19.679862152094426</v>
      </c>
      <c r="C12" s="641">
        <v>15</v>
      </c>
    </row>
    <row r="13" spans="1:3" x14ac:dyDescent="0.2">
      <c r="A13" s="367" t="s">
        <v>12</v>
      </c>
      <c r="B13" s="641">
        <v>18.805221965068156</v>
      </c>
      <c r="C13" s="641">
        <v>15</v>
      </c>
    </row>
    <row r="14" spans="1:3" x14ac:dyDescent="0.2">
      <c r="A14" s="367" t="s">
        <v>13</v>
      </c>
      <c r="B14" s="641">
        <v>21.154511564358785</v>
      </c>
      <c r="C14" s="641">
        <v>16</v>
      </c>
    </row>
    <row r="15" spans="1:3" x14ac:dyDescent="0.2">
      <c r="A15" s="83" t="s">
        <v>44</v>
      </c>
      <c r="B15" s="641">
        <v>20.066060046007905</v>
      </c>
      <c r="C15" s="641">
        <v>17</v>
      </c>
    </row>
    <row r="16" spans="1:3" x14ac:dyDescent="0.2">
      <c r="A16" s="368" t="s">
        <v>15</v>
      </c>
      <c r="B16" s="641">
        <v>20.191197711173345</v>
      </c>
      <c r="C16" s="641">
        <v>17</v>
      </c>
    </row>
    <row r="17" spans="1:3" x14ac:dyDescent="0.2">
      <c r="A17" s="368" t="s">
        <v>16</v>
      </c>
      <c r="B17" s="641">
        <v>19.554368182325138</v>
      </c>
      <c r="C17" s="641">
        <v>15</v>
      </c>
    </row>
    <row r="18" spans="1:3" x14ac:dyDescent="0.2">
      <c r="A18" s="83" t="s">
        <v>17</v>
      </c>
      <c r="B18" s="641">
        <v>18.003969862228832</v>
      </c>
      <c r="C18" s="641">
        <v>14</v>
      </c>
    </row>
    <row r="19" spans="1:3" x14ac:dyDescent="0.2">
      <c r="A19" s="368" t="s">
        <v>17</v>
      </c>
      <c r="B19" s="641">
        <v>18.003969862228832</v>
      </c>
      <c r="C19" s="641">
        <v>14</v>
      </c>
    </row>
    <row r="20" spans="1:3" x14ac:dyDescent="0.2">
      <c r="A20" s="83" t="s">
        <v>18</v>
      </c>
      <c r="B20" s="641">
        <v>18.323519437566642</v>
      </c>
      <c r="C20" s="641">
        <v>15</v>
      </c>
    </row>
    <row r="21" spans="1:3" x14ac:dyDescent="0.2">
      <c r="A21" s="368" t="s">
        <v>18</v>
      </c>
      <c r="B21" s="641">
        <v>18.323519437566642</v>
      </c>
      <c r="C21" s="641">
        <v>15</v>
      </c>
    </row>
    <row r="22" spans="1:3" x14ac:dyDescent="0.2">
      <c r="A22" s="84" t="s">
        <v>19</v>
      </c>
      <c r="B22" s="641">
        <v>17.516781805692819</v>
      </c>
      <c r="C22" s="641">
        <v>13</v>
      </c>
    </row>
    <row r="23" spans="1:3" x14ac:dyDescent="0.2">
      <c r="A23" s="368" t="s">
        <v>19</v>
      </c>
      <c r="B23" s="641">
        <v>18.045897585442958</v>
      </c>
      <c r="C23" s="641">
        <v>14</v>
      </c>
    </row>
    <row r="24" spans="1:3" x14ac:dyDescent="0.2">
      <c r="A24" s="368" t="s">
        <v>20</v>
      </c>
      <c r="B24" s="641">
        <v>16.780676726553232</v>
      </c>
      <c r="C24" s="641">
        <v>12</v>
      </c>
    </row>
    <row r="25" spans="1:3" x14ac:dyDescent="0.2">
      <c r="A25" s="83" t="s">
        <v>21</v>
      </c>
      <c r="B25" s="641">
        <v>18.334956574475331</v>
      </c>
      <c r="C25" s="641">
        <v>15</v>
      </c>
    </row>
    <row r="26" spans="1:3" x14ac:dyDescent="0.2">
      <c r="A26" s="368" t="s">
        <v>21</v>
      </c>
      <c r="B26" s="641">
        <v>18.334956574475331</v>
      </c>
      <c r="C26" s="641">
        <v>15</v>
      </c>
    </row>
    <row r="27" spans="1:3" x14ac:dyDescent="0.2">
      <c r="A27" s="83" t="s">
        <v>22</v>
      </c>
      <c r="B27" s="641">
        <v>20.50336985684498</v>
      </c>
      <c r="C27" s="641">
        <v>17</v>
      </c>
    </row>
    <row r="28" spans="1:3" x14ac:dyDescent="0.2">
      <c r="A28" s="368" t="s">
        <v>22</v>
      </c>
      <c r="B28" s="641">
        <v>20.50336985684498</v>
      </c>
      <c r="C28" s="641">
        <v>17</v>
      </c>
    </row>
    <row r="29" spans="1:3" x14ac:dyDescent="0.2">
      <c r="A29" s="85" t="s">
        <v>23</v>
      </c>
      <c r="B29" s="641">
        <v>19.336031521637992</v>
      </c>
      <c r="C29" s="641">
        <v>15</v>
      </c>
    </row>
    <row r="30" spans="1:3" x14ac:dyDescent="0.2">
      <c r="A30" s="90" t="s">
        <v>23</v>
      </c>
      <c r="B30" s="641">
        <v>19.753788033837679</v>
      </c>
      <c r="C30" s="641">
        <v>15</v>
      </c>
    </row>
    <row r="31" spans="1:3" x14ac:dyDescent="0.2">
      <c r="A31" s="90" t="s">
        <v>24</v>
      </c>
      <c r="B31" s="641">
        <v>18.880029819287966</v>
      </c>
      <c r="C31" s="641">
        <v>14</v>
      </c>
    </row>
    <row r="32" spans="1:3" x14ac:dyDescent="0.2">
      <c r="A32" s="85" t="s">
        <v>25</v>
      </c>
      <c r="B32" s="642">
        <v>18.553670591950308</v>
      </c>
      <c r="C32" s="642">
        <v>15</v>
      </c>
    </row>
    <row r="33" spans="1:3" x14ac:dyDescent="0.2">
      <c r="A33" s="90" t="s">
        <v>25</v>
      </c>
      <c r="B33" s="641">
        <v>18.553670591950308</v>
      </c>
      <c r="C33" s="641">
        <v>15</v>
      </c>
    </row>
    <row r="34" spans="1:3" x14ac:dyDescent="0.2">
      <c r="A34" s="85" t="s">
        <v>26</v>
      </c>
      <c r="B34" s="641">
        <v>18.102075473525773</v>
      </c>
      <c r="C34" s="641">
        <v>15</v>
      </c>
    </row>
    <row r="35" spans="1:3" x14ac:dyDescent="0.2">
      <c r="A35" s="90" t="s">
        <v>26</v>
      </c>
      <c r="B35" s="641">
        <v>18.102075473525773</v>
      </c>
      <c r="C35" s="641">
        <v>15</v>
      </c>
    </row>
    <row r="36" spans="1:3" x14ac:dyDescent="0.2">
      <c r="A36" s="85" t="s">
        <v>27</v>
      </c>
      <c r="B36" s="641">
        <v>18.810786254112212</v>
      </c>
      <c r="C36" s="641">
        <v>14</v>
      </c>
    </row>
    <row r="37" spans="1:3" x14ac:dyDescent="0.2">
      <c r="A37" s="90" t="s">
        <v>27</v>
      </c>
      <c r="B37" s="641">
        <v>18.810786254112212</v>
      </c>
      <c r="C37" s="641">
        <v>14</v>
      </c>
    </row>
    <row r="38" spans="1:3" x14ac:dyDescent="0.2">
      <c r="A38" s="85" t="s">
        <v>28</v>
      </c>
      <c r="B38" s="642">
        <v>20.37784191951647</v>
      </c>
      <c r="C38" s="642">
        <v>16</v>
      </c>
    </row>
    <row r="39" spans="1:3" x14ac:dyDescent="0.2">
      <c r="A39" s="90" t="s">
        <v>28</v>
      </c>
      <c r="B39" s="641">
        <v>20.37784191951647</v>
      </c>
      <c r="C39" s="641">
        <v>16</v>
      </c>
    </row>
    <row r="40" spans="1:3" x14ac:dyDescent="0.2">
      <c r="A40" s="85" t="s">
        <v>29</v>
      </c>
      <c r="B40" s="641">
        <v>18.290310177744082</v>
      </c>
      <c r="C40" s="641">
        <v>14</v>
      </c>
    </row>
    <row r="41" spans="1:3" x14ac:dyDescent="0.2">
      <c r="A41" s="90" t="s">
        <v>30</v>
      </c>
      <c r="B41" s="641">
        <v>18.087384377497632</v>
      </c>
      <c r="C41" s="641">
        <v>14</v>
      </c>
    </row>
    <row r="42" spans="1:3" x14ac:dyDescent="0.2">
      <c r="A42" s="90" t="s">
        <v>29</v>
      </c>
      <c r="B42" s="641">
        <v>18.61154027717334</v>
      </c>
      <c r="C42" s="641">
        <v>14</v>
      </c>
    </row>
    <row r="43" spans="1:3" x14ac:dyDescent="0.2">
      <c r="A43" s="85" t="s">
        <v>31</v>
      </c>
      <c r="B43" s="641">
        <v>19.845101631267031</v>
      </c>
      <c r="C43" s="641">
        <v>15</v>
      </c>
    </row>
    <row r="44" spans="1:3" x14ac:dyDescent="0.2">
      <c r="A44" s="369" t="s">
        <v>31</v>
      </c>
      <c r="B44" s="642">
        <v>19.845101631267031</v>
      </c>
      <c r="C44" s="642">
        <v>15</v>
      </c>
    </row>
    <row r="45" spans="1:3" x14ac:dyDescent="0.2">
      <c r="A45" s="656"/>
      <c r="B45" s="656"/>
      <c r="C45" s="656"/>
    </row>
    <row r="46" spans="1:3" x14ac:dyDescent="0.2">
      <c r="A46" s="328"/>
      <c r="B46" s="328"/>
      <c r="C46" s="328"/>
    </row>
  </sheetData>
  <mergeCells count="2">
    <mergeCell ref="A1:C1"/>
    <mergeCell ref="A45:C4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ABD00"/>
  </sheetPr>
  <dimension ref="A1"/>
  <sheetViews>
    <sheetView topLeftCell="A13" workbookViewId="0">
      <selection activeCell="M31" sqref="M31"/>
    </sheetView>
  </sheetViews>
  <sheetFormatPr defaultRowHeight="15" x14ac:dyDescent="0.25"/>
  <cols>
    <col min="1" max="16384" width="9.140625" style="1"/>
  </cols>
  <sheetData>
    <row r="1" spans="1:1" x14ac:dyDescent="0.25">
      <c r="A1" s="91"/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44"/>
  <sheetViews>
    <sheetView workbookViewId="0">
      <selection activeCell="A2" sqref="A2:A3"/>
    </sheetView>
  </sheetViews>
  <sheetFormatPr defaultRowHeight="12" x14ac:dyDescent="0.2"/>
  <cols>
    <col min="1" max="1" width="18" style="575" customWidth="1"/>
    <col min="2" max="2" width="14" style="575" customWidth="1"/>
    <col min="3" max="3" width="14.140625" style="575" customWidth="1"/>
    <col min="4" max="4" width="13.7109375" style="575" customWidth="1"/>
    <col min="5" max="5" width="13.85546875" style="575" customWidth="1"/>
    <col min="6" max="7" width="13" style="575" customWidth="1"/>
    <col min="8" max="8" width="12.7109375" style="575" customWidth="1"/>
    <col min="9" max="16384" width="9.140625" style="575"/>
  </cols>
  <sheetData>
    <row r="1" spans="1:8" x14ac:dyDescent="0.2">
      <c r="A1" s="667" t="s">
        <v>566</v>
      </c>
      <c r="B1" s="667"/>
      <c r="C1" s="667"/>
      <c r="D1" s="667"/>
      <c r="E1" s="667"/>
      <c r="F1" s="667"/>
      <c r="G1" s="667"/>
      <c r="H1" s="667"/>
    </row>
    <row r="2" spans="1:8" ht="15" customHeight="1" x14ac:dyDescent="0.2">
      <c r="A2" s="661" t="s">
        <v>586</v>
      </c>
      <c r="B2" s="669" t="s">
        <v>173</v>
      </c>
      <c r="C2" s="670" t="s">
        <v>174</v>
      </c>
      <c r="D2" s="670"/>
      <c r="E2" s="670"/>
      <c r="F2" s="670"/>
      <c r="G2" s="670"/>
      <c r="H2" s="670"/>
    </row>
    <row r="3" spans="1:8" ht="36" x14ac:dyDescent="0.2">
      <c r="A3" s="668"/>
      <c r="B3" s="669"/>
      <c r="C3" s="378" t="s">
        <v>175</v>
      </c>
      <c r="D3" s="378" t="s">
        <v>176</v>
      </c>
      <c r="E3" s="378" t="s">
        <v>177</v>
      </c>
      <c r="F3" s="378" t="s">
        <v>178</v>
      </c>
      <c r="G3" s="378" t="s">
        <v>179</v>
      </c>
      <c r="H3" s="378" t="s">
        <v>163</v>
      </c>
    </row>
    <row r="4" spans="1:8" x14ac:dyDescent="0.2">
      <c r="A4" s="89" t="s">
        <v>32</v>
      </c>
      <c r="B4" s="212">
        <v>1093933.4116871147</v>
      </c>
      <c r="C4" s="212">
        <v>761938.44999122142</v>
      </c>
      <c r="D4" s="212">
        <v>296339.68934992683</v>
      </c>
      <c r="E4" s="212">
        <v>12057.934003499193</v>
      </c>
      <c r="F4" s="212">
        <v>1162.4944934168295</v>
      </c>
      <c r="G4" s="212">
        <v>10566.768284856351</v>
      </c>
      <c r="H4" s="212">
        <v>11868.075557277449</v>
      </c>
    </row>
    <row r="5" spans="1:8" x14ac:dyDescent="0.2">
      <c r="A5" s="85"/>
      <c r="B5" s="208"/>
      <c r="C5" s="208"/>
      <c r="D5" s="208"/>
      <c r="E5" s="208"/>
      <c r="F5" s="208"/>
      <c r="G5" s="208"/>
      <c r="H5" s="208"/>
    </row>
    <row r="6" spans="1:8" x14ac:dyDescent="0.2">
      <c r="A6" s="89" t="s">
        <v>167</v>
      </c>
      <c r="B6" s="218"/>
      <c r="C6" s="218"/>
      <c r="D6" s="212"/>
      <c r="E6" s="212"/>
      <c r="F6" s="212"/>
      <c r="G6" s="212"/>
      <c r="H6" s="212"/>
    </row>
    <row r="7" spans="1:8" x14ac:dyDescent="0.2">
      <c r="A7" s="90" t="s">
        <v>8</v>
      </c>
      <c r="B7" s="207">
        <v>302576.10647077067</v>
      </c>
      <c r="C7" s="207">
        <v>205158.83645300969</v>
      </c>
      <c r="D7" s="207">
        <v>89744.425959544402</v>
      </c>
      <c r="E7" s="207">
        <v>2849.3301492625069</v>
      </c>
      <c r="F7" s="207">
        <v>282.43299043686477</v>
      </c>
      <c r="G7" s="207">
        <v>2443.5526195143943</v>
      </c>
      <c r="H7" s="207">
        <v>2097.5282993416959</v>
      </c>
    </row>
    <row r="8" spans="1:8" x14ac:dyDescent="0.2">
      <c r="A8" s="90" t="s">
        <v>9</v>
      </c>
      <c r="B8" s="207">
        <v>791357.30521061597</v>
      </c>
      <c r="C8" s="207">
        <v>556779.6135342929</v>
      </c>
      <c r="D8" s="207">
        <v>206595.26339075965</v>
      </c>
      <c r="E8" s="207">
        <v>9208.6038542368296</v>
      </c>
      <c r="F8" s="207">
        <v>880.06150297996328</v>
      </c>
      <c r="G8" s="207">
        <v>8123.2156653419543</v>
      </c>
      <c r="H8" s="207">
        <v>9770.5472579360103</v>
      </c>
    </row>
    <row r="9" spans="1:8" x14ac:dyDescent="0.2">
      <c r="A9" s="81" t="s">
        <v>360</v>
      </c>
      <c r="B9" s="219"/>
      <c r="C9" s="219"/>
      <c r="D9" s="219"/>
      <c r="E9" s="219"/>
      <c r="F9" s="219"/>
      <c r="G9" s="219"/>
      <c r="H9" s="219"/>
    </row>
    <row r="10" spans="1:8" x14ac:dyDescent="0.2">
      <c r="A10" s="200" t="s">
        <v>11</v>
      </c>
      <c r="B10" s="208">
        <v>148246.02854148482</v>
      </c>
      <c r="C10" s="208">
        <v>110833.26311946141</v>
      </c>
      <c r="D10" s="208">
        <v>32580.472842078369</v>
      </c>
      <c r="E10" s="208">
        <v>1811.9680628981409</v>
      </c>
      <c r="F10" s="208">
        <v>194.66259231065396</v>
      </c>
      <c r="G10" s="208">
        <v>1722.6443900219588</v>
      </c>
      <c r="H10" s="208">
        <v>1103.0175347388056</v>
      </c>
    </row>
    <row r="11" spans="1:8" x14ac:dyDescent="0.2">
      <c r="A11" s="90" t="s">
        <v>12</v>
      </c>
      <c r="B11" s="207">
        <v>91571.307858864719</v>
      </c>
      <c r="C11" s="207">
        <v>64375.807606730639</v>
      </c>
      <c r="D11" s="207">
        <v>24600.176188583286</v>
      </c>
      <c r="E11" s="207">
        <v>1159.1408213676473</v>
      </c>
      <c r="F11" s="207">
        <v>109.57420212656886</v>
      </c>
      <c r="G11" s="207">
        <v>869.0725586995635</v>
      </c>
      <c r="H11" s="207">
        <v>457.53648134372867</v>
      </c>
    </row>
    <row r="12" spans="1:8" x14ac:dyDescent="0.2">
      <c r="A12" s="90" t="s">
        <v>13</v>
      </c>
      <c r="B12" s="207">
        <v>56674.720682640589</v>
      </c>
      <c r="C12" s="207">
        <v>46457.45551271244</v>
      </c>
      <c r="D12" s="207">
        <v>7980.2966534982479</v>
      </c>
      <c r="E12" s="207">
        <v>652.82724153049423</v>
      </c>
      <c r="F12" s="207">
        <v>85.088390184085043</v>
      </c>
      <c r="G12" s="207">
        <v>853.57183132239629</v>
      </c>
      <c r="H12" s="207">
        <v>645.48105339507367</v>
      </c>
    </row>
    <row r="13" spans="1:8" x14ac:dyDescent="0.2">
      <c r="A13" s="200" t="s">
        <v>44</v>
      </c>
      <c r="B13" s="208">
        <v>320530.45035617979</v>
      </c>
      <c r="C13" s="208">
        <v>228766.06732133307</v>
      </c>
      <c r="D13" s="208">
        <v>83013.32918001381</v>
      </c>
      <c r="E13" s="208">
        <v>2602.7849579646036</v>
      </c>
      <c r="F13" s="208">
        <v>255.93138677073773</v>
      </c>
      <c r="G13" s="208">
        <v>3278.8478835770052</v>
      </c>
      <c r="H13" s="208">
        <v>2613.4896268154725</v>
      </c>
    </row>
    <row r="14" spans="1:8" x14ac:dyDescent="0.2">
      <c r="A14" s="90" t="s">
        <v>15</v>
      </c>
      <c r="B14" s="207">
        <v>260860.60372964284</v>
      </c>
      <c r="C14" s="207">
        <v>183054.10838345301</v>
      </c>
      <c r="D14" s="207">
        <v>70938.652611737358</v>
      </c>
      <c r="E14" s="207">
        <v>2111.9526816018115</v>
      </c>
      <c r="F14" s="207">
        <v>212.16681162786369</v>
      </c>
      <c r="G14" s="207">
        <v>2692.5383579334139</v>
      </c>
      <c r="H14" s="207">
        <v>1851.1848835114586</v>
      </c>
    </row>
    <row r="15" spans="1:8" x14ac:dyDescent="0.2">
      <c r="A15" s="90" t="s">
        <v>16</v>
      </c>
      <c r="B15" s="207">
        <v>59669.846626715203</v>
      </c>
      <c r="C15" s="207">
        <v>45711.958938003525</v>
      </c>
      <c r="D15" s="207">
        <v>12074.676568260793</v>
      </c>
      <c r="E15" s="207">
        <v>490.83227636281669</v>
      </c>
      <c r="F15" s="207">
        <v>43.764575142874008</v>
      </c>
      <c r="G15" s="207">
        <v>586.30952564363145</v>
      </c>
      <c r="H15" s="207">
        <v>762.30474330403331</v>
      </c>
    </row>
    <row r="16" spans="1:8" x14ac:dyDescent="0.2">
      <c r="A16" s="200" t="s">
        <v>17</v>
      </c>
      <c r="B16" s="208">
        <v>20672.309550287238</v>
      </c>
      <c r="C16" s="208">
        <v>12279.440768334702</v>
      </c>
      <c r="D16" s="208">
        <v>7079.7655046521595</v>
      </c>
      <c r="E16" s="208">
        <v>548.100580675571</v>
      </c>
      <c r="F16" s="208">
        <v>22.691713641169873</v>
      </c>
      <c r="G16" s="208">
        <v>146.61785480615302</v>
      </c>
      <c r="H16" s="208">
        <v>595.69312817775722</v>
      </c>
    </row>
    <row r="17" spans="1:8" x14ac:dyDescent="0.2">
      <c r="A17" s="90" t="s">
        <v>17</v>
      </c>
      <c r="B17" s="207">
        <v>20672.309550287238</v>
      </c>
      <c r="C17" s="207">
        <v>12279.440768334702</v>
      </c>
      <c r="D17" s="207">
        <v>7079.7655046521595</v>
      </c>
      <c r="E17" s="207">
        <v>548.100580675571</v>
      </c>
      <c r="F17" s="207">
        <v>22.691713641169873</v>
      </c>
      <c r="G17" s="207">
        <v>146.61785480615302</v>
      </c>
      <c r="H17" s="207">
        <v>595.69312817775722</v>
      </c>
    </row>
    <row r="18" spans="1:8" x14ac:dyDescent="0.2">
      <c r="A18" s="200" t="s">
        <v>18</v>
      </c>
      <c r="B18" s="208">
        <v>21008.762154414384</v>
      </c>
      <c r="C18" s="208">
        <v>14143.651916868303</v>
      </c>
      <c r="D18" s="208">
        <v>6417.6144735915595</v>
      </c>
      <c r="E18" s="208">
        <v>186.11893893879557</v>
      </c>
      <c r="F18" s="208">
        <v>24.606529813732621</v>
      </c>
      <c r="G18" s="208">
        <v>134.54099690636971</v>
      </c>
      <c r="H18" s="208">
        <v>102.22929829599083</v>
      </c>
    </row>
    <row r="19" spans="1:8" x14ac:dyDescent="0.2">
      <c r="A19" s="90" t="s">
        <v>18</v>
      </c>
      <c r="B19" s="207">
        <v>21008.762154414384</v>
      </c>
      <c r="C19" s="207">
        <v>14143.651916868303</v>
      </c>
      <c r="D19" s="207">
        <v>6417.6144735915595</v>
      </c>
      <c r="E19" s="207">
        <v>186.11893893879557</v>
      </c>
      <c r="F19" s="207">
        <v>24.606529813732621</v>
      </c>
      <c r="G19" s="207">
        <v>134.54099690636971</v>
      </c>
      <c r="H19" s="207">
        <v>102.22929829599083</v>
      </c>
    </row>
    <row r="20" spans="1:8" x14ac:dyDescent="0.2">
      <c r="A20" s="200" t="s">
        <v>19</v>
      </c>
      <c r="B20" s="208">
        <v>77939.961155133569</v>
      </c>
      <c r="C20" s="208">
        <v>50457.558958626825</v>
      </c>
      <c r="D20" s="208">
        <v>25081.390510421803</v>
      </c>
      <c r="E20" s="208">
        <v>1056.7267178120546</v>
      </c>
      <c r="F20" s="208">
        <v>71.284038351587682</v>
      </c>
      <c r="G20" s="208">
        <v>764.0912317261309</v>
      </c>
      <c r="H20" s="208">
        <v>508.90969818796151</v>
      </c>
    </row>
    <row r="21" spans="1:8" x14ac:dyDescent="0.2">
      <c r="A21" s="90" t="s">
        <v>19</v>
      </c>
      <c r="B21" s="207">
        <v>46957.333446536475</v>
      </c>
      <c r="C21" s="207">
        <v>30606.045171867361</v>
      </c>
      <c r="D21" s="207">
        <v>14907.925108301781</v>
      </c>
      <c r="E21" s="207">
        <v>590.95561304627483</v>
      </c>
      <c r="F21" s="207">
        <v>37.73950798675731</v>
      </c>
      <c r="G21" s="207">
        <v>506.5823841719054</v>
      </c>
      <c r="H21" s="207">
        <v>308.08566116348567</v>
      </c>
    </row>
    <row r="22" spans="1:8" x14ac:dyDescent="0.2">
      <c r="A22" s="90" t="s">
        <v>20</v>
      </c>
      <c r="B22" s="207">
        <v>30982.627708587803</v>
      </c>
      <c r="C22" s="207">
        <v>19851.513786757067</v>
      </c>
      <c r="D22" s="207">
        <v>10173.465402121939</v>
      </c>
      <c r="E22" s="207">
        <v>465.7711047657773</v>
      </c>
      <c r="F22" s="207">
        <v>33.544530364830358</v>
      </c>
      <c r="G22" s="207">
        <v>257.50884755422811</v>
      </c>
      <c r="H22" s="207">
        <v>200.82403702447652</v>
      </c>
    </row>
    <row r="23" spans="1:8" x14ac:dyDescent="0.2">
      <c r="A23" s="200" t="s">
        <v>21</v>
      </c>
      <c r="B23" s="208">
        <v>44708.748095735456</v>
      </c>
      <c r="C23" s="208">
        <v>26972.791478281033</v>
      </c>
      <c r="D23" s="208">
        <v>16515.551893366017</v>
      </c>
      <c r="E23" s="208">
        <v>508.92731066391622</v>
      </c>
      <c r="F23" s="208">
        <v>80.652583539471621</v>
      </c>
      <c r="G23" s="208">
        <v>366.98937163330788</v>
      </c>
      <c r="H23" s="208">
        <v>263.83545825208881</v>
      </c>
    </row>
    <row r="24" spans="1:8" x14ac:dyDescent="0.2">
      <c r="A24" s="90" t="s">
        <v>21</v>
      </c>
      <c r="B24" s="207">
        <v>44708.748095735456</v>
      </c>
      <c r="C24" s="207">
        <v>26972.791478281033</v>
      </c>
      <c r="D24" s="207">
        <v>16515.551893366017</v>
      </c>
      <c r="E24" s="207">
        <v>508.92731066391622</v>
      </c>
      <c r="F24" s="207">
        <v>80.652583539471621</v>
      </c>
      <c r="G24" s="207">
        <v>366.98937163330788</v>
      </c>
      <c r="H24" s="207">
        <v>263.83545825208881</v>
      </c>
    </row>
    <row r="25" spans="1:8" x14ac:dyDescent="0.2">
      <c r="A25" s="200" t="s">
        <v>22</v>
      </c>
      <c r="B25" s="208">
        <v>90052.823779203172</v>
      </c>
      <c r="C25" s="208">
        <v>64677.889502345817</v>
      </c>
      <c r="D25" s="208">
        <v>22609.454606226867</v>
      </c>
      <c r="E25" s="208">
        <v>559.53932007183244</v>
      </c>
      <c r="F25" s="208">
        <v>100.98323653585574</v>
      </c>
      <c r="G25" s="208">
        <v>731.82525913468362</v>
      </c>
      <c r="H25" s="208">
        <v>1373.1318548781578</v>
      </c>
    </row>
    <row r="26" spans="1:8" x14ac:dyDescent="0.2">
      <c r="A26" s="90" t="s">
        <v>22</v>
      </c>
      <c r="B26" s="207">
        <v>90052.823779203172</v>
      </c>
      <c r="C26" s="207">
        <v>64677.889502345817</v>
      </c>
      <c r="D26" s="207">
        <v>22609.454606226867</v>
      </c>
      <c r="E26" s="207">
        <v>559.53932007183244</v>
      </c>
      <c r="F26" s="207">
        <v>100.98323653585574</v>
      </c>
      <c r="G26" s="207">
        <v>731.82525913468362</v>
      </c>
      <c r="H26" s="207">
        <v>1373.1318548781578</v>
      </c>
    </row>
    <row r="27" spans="1:8" x14ac:dyDescent="0.2">
      <c r="A27" s="200" t="s">
        <v>23</v>
      </c>
      <c r="B27" s="208">
        <v>107098.07110828029</v>
      </c>
      <c r="C27" s="208">
        <v>78770.094285746221</v>
      </c>
      <c r="D27" s="208">
        <v>24112.752681786056</v>
      </c>
      <c r="E27" s="208">
        <v>1269.4866904318785</v>
      </c>
      <c r="F27" s="208">
        <v>128.82410889938453</v>
      </c>
      <c r="G27" s="208">
        <v>970.75614687149323</v>
      </c>
      <c r="H27" s="208">
        <v>1846.1571945259827</v>
      </c>
    </row>
    <row r="28" spans="1:8" x14ac:dyDescent="0.2">
      <c r="A28" s="90" t="s">
        <v>23</v>
      </c>
      <c r="B28" s="207">
        <v>56957.505949138795</v>
      </c>
      <c r="C28" s="207">
        <v>42505.51399465141</v>
      </c>
      <c r="D28" s="207">
        <v>11558.67411515996</v>
      </c>
      <c r="E28" s="207">
        <v>881.76237914111709</v>
      </c>
      <c r="F28" s="207">
        <v>92.253724942223428</v>
      </c>
      <c r="G28" s="207">
        <v>644.69687708687104</v>
      </c>
      <c r="H28" s="207">
        <v>1274.6048581598513</v>
      </c>
    </row>
    <row r="29" spans="1:8" x14ac:dyDescent="0.2">
      <c r="A29" s="90" t="s">
        <v>24</v>
      </c>
      <c r="B29" s="207">
        <v>50140.565159112914</v>
      </c>
      <c r="C29" s="207">
        <v>36264.580291087397</v>
      </c>
      <c r="D29" s="207">
        <v>12554.078566628765</v>
      </c>
      <c r="E29" s="207">
        <v>387.72431129075892</v>
      </c>
      <c r="F29" s="207">
        <v>36.570383957161177</v>
      </c>
      <c r="G29" s="207">
        <v>326.05926978462475</v>
      </c>
      <c r="H29" s="207">
        <v>571.5523363661332</v>
      </c>
    </row>
    <row r="30" spans="1:8" x14ac:dyDescent="0.2">
      <c r="A30" s="200" t="s">
        <v>25</v>
      </c>
      <c r="B30" s="208">
        <v>11253.236404967831</v>
      </c>
      <c r="C30" s="208">
        <v>7600.4277874615664</v>
      </c>
      <c r="D30" s="208">
        <v>3373.2550528755069</v>
      </c>
      <c r="E30" s="208">
        <v>63.409827456417723</v>
      </c>
      <c r="F30" s="208">
        <v>9.3416671158951452</v>
      </c>
      <c r="G30" s="208">
        <v>88.927668810082181</v>
      </c>
      <c r="H30" s="208">
        <v>117.87440124828061</v>
      </c>
    </row>
    <row r="31" spans="1:8" x14ac:dyDescent="0.2">
      <c r="A31" s="90" t="s">
        <v>25</v>
      </c>
      <c r="B31" s="207">
        <v>11253.236404967831</v>
      </c>
      <c r="C31" s="207">
        <v>7600.4277874615664</v>
      </c>
      <c r="D31" s="207">
        <v>3373.2550528755069</v>
      </c>
      <c r="E31" s="207">
        <v>63.409827456417723</v>
      </c>
      <c r="F31" s="207">
        <v>9.3416671158951452</v>
      </c>
      <c r="G31" s="207">
        <v>88.927668810082181</v>
      </c>
      <c r="H31" s="207">
        <v>117.87440124828061</v>
      </c>
    </row>
    <row r="32" spans="1:8" x14ac:dyDescent="0.2">
      <c r="A32" s="200" t="s">
        <v>26</v>
      </c>
      <c r="B32" s="208">
        <v>4685.4077145622823</v>
      </c>
      <c r="C32" s="208">
        <v>2480.1005640689809</v>
      </c>
      <c r="D32" s="208">
        <v>2099.3733368666053</v>
      </c>
      <c r="E32" s="208">
        <v>31.384781901790788</v>
      </c>
      <c r="F32" s="388">
        <v>0</v>
      </c>
      <c r="G32" s="208">
        <v>66.449422765389826</v>
      </c>
      <c r="H32" s="208">
        <v>8.0996089595480765</v>
      </c>
    </row>
    <row r="33" spans="1:8" x14ac:dyDescent="0.2">
      <c r="A33" s="90" t="s">
        <v>26</v>
      </c>
      <c r="B33" s="207">
        <v>4685.4077145622823</v>
      </c>
      <c r="C33" s="207">
        <v>2480.1005640689809</v>
      </c>
      <c r="D33" s="207">
        <v>2099.3733368666053</v>
      </c>
      <c r="E33" s="207">
        <v>31.384781901790788</v>
      </c>
      <c r="F33" s="389">
        <v>0</v>
      </c>
      <c r="G33" s="207">
        <v>66.449422765389826</v>
      </c>
      <c r="H33" s="207">
        <v>8.0996089595480765</v>
      </c>
    </row>
    <row r="34" spans="1:8" x14ac:dyDescent="0.2">
      <c r="A34" s="200" t="s">
        <v>27</v>
      </c>
      <c r="B34" s="207">
        <v>23125.957350115157</v>
      </c>
      <c r="C34" s="207">
        <v>14036.281528054262</v>
      </c>
      <c r="D34" s="207">
        <v>8154.6643008284809</v>
      </c>
      <c r="E34" s="207">
        <v>511.83838671634777</v>
      </c>
      <c r="F34" s="207">
        <v>23.704771895610698</v>
      </c>
      <c r="G34" s="207">
        <v>288.94115469456489</v>
      </c>
      <c r="H34" s="207">
        <v>110.52720792664391</v>
      </c>
    </row>
    <row r="35" spans="1:8" x14ac:dyDescent="0.2">
      <c r="A35" s="90" t="s">
        <v>27</v>
      </c>
      <c r="B35" s="207">
        <v>23125.957350115157</v>
      </c>
      <c r="C35" s="207">
        <v>14036.281528054262</v>
      </c>
      <c r="D35" s="207">
        <v>8154.6643008284809</v>
      </c>
      <c r="E35" s="207">
        <v>511.83838671634777</v>
      </c>
      <c r="F35" s="207">
        <v>23.704771895610698</v>
      </c>
      <c r="G35" s="207">
        <v>288.94115469456489</v>
      </c>
      <c r="H35" s="207">
        <v>110.52720792664391</v>
      </c>
    </row>
    <row r="36" spans="1:8" x14ac:dyDescent="0.2">
      <c r="A36" s="200" t="s">
        <v>28</v>
      </c>
      <c r="B36" s="208">
        <v>62299.559351700642</v>
      </c>
      <c r="C36" s="208">
        <v>45931.213141392436</v>
      </c>
      <c r="D36" s="208">
        <v>13025.197462181257</v>
      </c>
      <c r="E36" s="208">
        <v>728.28818781315431</v>
      </c>
      <c r="F36" s="208">
        <v>53.574558159761466</v>
      </c>
      <c r="G36" s="208">
        <v>756.63706949171308</v>
      </c>
      <c r="H36" s="208">
        <v>1804.6489326653843</v>
      </c>
    </row>
    <row r="37" spans="1:8" x14ac:dyDescent="0.2">
      <c r="A37" s="90" t="s">
        <v>28</v>
      </c>
      <c r="B37" s="207">
        <v>62299.559351700642</v>
      </c>
      <c r="C37" s="207">
        <v>45931.213141392436</v>
      </c>
      <c r="D37" s="207">
        <v>13025.197462181257</v>
      </c>
      <c r="E37" s="207">
        <v>728.28818781315431</v>
      </c>
      <c r="F37" s="207">
        <v>53.574558159761466</v>
      </c>
      <c r="G37" s="207">
        <v>756.63706949171308</v>
      </c>
      <c r="H37" s="207">
        <v>1804.6489326653843</v>
      </c>
    </row>
    <row r="38" spans="1:8" x14ac:dyDescent="0.2">
      <c r="A38" s="200" t="s">
        <v>29</v>
      </c>
      <c r="B38" s="208">
        <v>112333.50969066289</v>
      </c>
      <c r="C38" s="208">
        <v>68578.021343592656</v>
      </c>
      <c r="D38" s="208">
        <v>40413.02735707075</v>
      </c>
      <c r="E38" s="208">
        <v>1681.1463491970223</v>
      </c>
      <c r="F38" s="208">
        <v>114.87341465810499</v>
      </c>
      <c r="G38" s="208">
        <v>631.10031365232862</v>
      </c>
      <c r="H38" s="208">
        <v>915.34091246480489</v>
      </c>
    </row>
    <row r="39" spans="1:8" x14ac:dyDescent="0.2">
      <c r="A39" s="90" t="s">
        <v>30</v>
      </c>
      <c r="B39" s="207">
        <v>68805.520480466934</v>
      </c>
      <c r="C39" s="207">
        <v>40181.910517816657</v>
      </c>
      <c r="D39" s="207">
        <v>26619.320586165388</v>
      </c>
      <c r="E39" s="207">
        <v>1259.5592784981779</v>
      </c>
      <c r="F39" s="207">
        <v>72.079974644147768</v>
      </c>
      <c r="G39" s="207">
        <v>401.9293306297007</v>
      </c>
      <c r="H39" s="207">
        <v>270.72079271026638</v>
      </c>
    </row>
    <row r="40" spans="1:8" x14ac:dyDescent="0.2">
      <c r="A40" s="90" t="s">
        <v>29</v>
      </c>
      <c r="B40" s="207">
        <v>43527.989210167369</v>
      </c>
      <c r="C40" s="207">
        <v>28396.110825773165</v>
      </c>
      <c r="D40" s="207">
        <v>13793.706770905999</v>
      </c>
      <c r="E40" s="207">
        <v>421.58707069884406</v>
      </c>
      <c r="F40" s="207">
        <v>42.793440013957294</v>
      </c>
      <c r="G40" s="207">
        <v>229.17098302262764</v>
      </c>
      <c r="H40" s="207">
        <v>644.62011975453561</v>
      </c>
    </row>
    <row r="41" spans="1:8" x14ac:dyDescent="0.2">
      <c r="A41" s="200" t="s">
        <v>31</v>
      </c>
      <c r="B41" s="208">
        <v>49978.586424179441</v>
      </c>
      <c r="C41" s="208">
        <v>36411.64827204145</v>
      </c>
      <c r="D41" s="208">
        <v>11863.84014855341</v>
      </c>
      <c r="E41" s="208">
        <v>498.21389095729955</v>
      </c>
      <c r="F41" s="208">
        <v>81.363891724861432</v>
      </c>
      <c r="G41" s="208">
        <v>618.39952076422992</v>
      </c>
      <c r="H41" s="208">
        <v>505.12070014074294</v>
      </c>
    </row>
    <row r="42" spans="1:8" x14ac:dyDescent="0.2">
      <c r="A42" s="369" t="s">
        <v>31</v>
      </c>
      <c r="B42" s="210">
        <v>49978.586424179441</v>
      </c>
      <c r="C42" s="210">
        <v>36411.64827204145</v>
      </c>
      <c r="D42" s="210">
        <v>11863.84014855341</v>
      </c>
      <c r="E42" s="210">
        <v>498.21389095729955</v>
      </c>
      <c r="F42" s="210">
        <v>81.363891724861432</v>
      </c>
      <c r="G42" s="210">
        <v>618.39952076422992</v>
      </c>
      <c r="H42" s="210">
        <v>505.12070014074294</v>
      </c>
    </row>
    <row r="43" spans="1:8" x14ac:dyDescent="0.2">
      <c r="A43" s="656"/>
      <c r="B43" s="656"/>
      <c r="C43" s="656"/>
      <c r="D43" s="656"/>
      <c r="E43" s="656"/>
      <c r="F43" s="656"/>
      <c r="G43" s="656"/>
      <c r="H43" s="656"/>
    </row>
    <row r="44" spans="1:8" x14ac:dyDescent="0.2">
      <c r="A44" s="328"/>
      <c r="B44" s="328"/>
      <c r="C44" s="328"/>
      <c r="D44" s="328"/>
      <c r="E44" s="328"/>
      <c r="F44" s="328"/>
      <c r="G44" s="328"/>
      <c r="H44" s="328"/>
    </row>
  </sheetData>
  <mergeCells count="7">
    <mergeCell ref="A1:H1"/>
    <mergeCell ref="A2:A3"/>
    <mergeCell ref="B2:B3"/>
    <mergeCell ref="C2:H2"/>
    <mergeCell ref="A43:C43"/>
    <mergeCell ref="D43:F43"/>
    <mergeCell ref="G43:H43"/>
  </mergeCells>
  <phoneticPr fontId="2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ABD00"/>
  </sheetPr>
  <dimension ref="A1"/>
  <sheetViews>
    <sheetView topLeftCell="A13" workbookViewId="0">
      <selection activeCell="S36" sqref="S3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2"/>
  <sheetViews>
    <sheetView workbookViewId="0">
      <selection activeCell="A2" sqref="A2:A3"/>
    </sheetView>
  </sheetViews>
  <sheetFormatPr defaultRowHeight="12" x14ac:dyDescent="0.2"/>
  <cols>
    <col min="1" max="1" width="18.140625" style="575" customWidth="1"/>
    <col min="2" max="2" width="13.7109375" style="575" customWidth="1"/>
    <col min="3" max="3" width="12.85546875" style="575" customWidth="1"/>
    <col min="4" max="4" width="13.140625" style="575" customWidth="1"/>
    <col min="5" max="5" width="15.140625" style="575" customWidth="1"/>
    <col min="6" max="16384" width="9.140625" style="575"/>
  </cols>
  <sheetData>
    <row r="1" spans="1:5" ht="28.5" customHeight="1" x14ac:dyDescent="0.2">
      <c r="A1" s="671" t="s">
        <v>570</v>
      </c>
      <c r="B1" s="671"/>
      <c r="C1" s="671"/>
      <c r="D1" s="671"/>
      <c r="E1" s="671"/>
    </row>
    <row r="2" spans="1:5" ht="15" customHeight="1" x14ac:dyDescent="0.2">
      <c r="A2" s="661" t="s">
        <v>586</v>
      </c>
      <c r="B2" s="672" t="s">
        <v>538</v>
      </c>
      <c r="C2" s="674" t="s">
        <v>180</v>
      </c>
      <c r="D2" s="674"/>
      <c r="E2" s="674"/>
    </row>
    <row r="3" spans="1:5" ht="18.75" customHeight="1" x14ac:dyDescent="0.2">
      <c r="A3" s="668"/>
      <c r="B3" s="673"/>
      <c r="C3" s="379" t="s">
        <v>2</v>
      </c>
      <c r="D3" s="379" t="s">
        <v>3</v>
      </c>
      <c r="E3" s="379" t="s">
        <v>4</v>
      </c>
    </row>
    <row r="4" spans="1:5" x14ac:dyDescent="0.2">
      <c r="A4" s="81" t="s">
        <v>32</v>
      </c>
      <c r="B4" s="212">
        <v>1806416.5354223396</v>
      </c>
      <c r="C4" s="212">
        <v>824448.40504344844</v>
      </c>
      <c r="D4" s="212">
        <v>387607.84197681537</v>
      </c>
      <c r="E4" s="212">
        <v>436840.56306020368</v>
      </c>
    </row>
    <row r="5" spans="1:5" x14ac:dyDescent="0.2">
      <c r="A5" s="92"/>
      <c r="B5" s="208"/>
      <c r="C5" s="208"/>
      <c r="D5" s="208"/>
      <c r="E5" s="208"/>
    </row>
    <row r="6" spans="1:5" x14ac:dyDescent="0.2">
      <c r="A6" s="95" t="s">
        <v>167</v>
      </c>
      <c r="B6" s="212"/>
      <c r="C6" s="212"/>
      <c r="D6" s="212"/>
      <c r="E6" s="212"/>
    </row>
    <row r="7" spans="1:5" x14ac:dyDescent="0.2">
      <c r="A7" s="93" t="s">
        <v>8</v>
      </c>
      <c r="B7" s="207">
        <v>460652.75562326168</v>
      </c>
      <c r="C7" s="207">
        <v>352345.76010844309</v>
      </c>
      <c r="D7" s="207">
        <v>165100.63199393763</v>
      </c>
      <c r="E7" s="207">
        <v>187245.1281150514</v>
      </c>
    </row>
    <row r="8" spans="1:5" x14ac:dyDescent="0.2">
      <c r="A8" s="93" t="s">
        <v>9</v>
      </c>
      <c r="B8" s="207">
        <v>1345763.7797914867</v>
      </c>
      <c r="C8" s="207">
        <v>472102.64492863382</v>
      </c>
      <c r="D8" s="207">
        <v>222507.20998353179</v>
      </c>
      <c r="E8" s="207">
        <v>249595.43494587159</v>
      </c>
    </row>
    <row r="9" spans="1:5" x14ac:dyDescent="0.2">
      <c r="A9" s="96" t="s">
        <v>361</v>
      </c>
      <c r="B9" s="212"/>
      <c r="C9" s="212"/>
      <c r="D9" s="212"/>
      <c r="E9" s="212"/>
    </row>
    <row r="10" spans="1:5" x14ac:dyDescent="0.2">
      <c r="A10" s="191" t="s">
        <v>11</v>
      </c>
      <c r="B10" s="208">
        <v>247337.52183325001</v>
      </c>
      <c r="C10" s="208">
        <v>106911.23149348347</v>
      </c>
      <c r="D10" s="208">
        <v>49208.272562087019</v>
      </c>
      <c r="E10" s="208">
        <v>57702.958931328023</v>
      </c>
    </row>
    <row r="11" spans="1:5" x14ac:dyDescent="0.2">
      <c r="A11" s="366" t="s">
        <v>12</v>
      </c>
      <c r="B11" s="207">
        <v>155253.79728266655</v>
      </c>
      <c r="C11" s="207">
        <v>76564.505097350557</v>
      </c>
      <c r="D11" s="207">
        <v>35792.396221186158</v>
      </c>
      <c r="E11" s="207">
        <v>40772.10887614722</v>
      </c>
    </row>
    <row r="12" spans="1:5" x14ac:dyDescent="0.2">
      <c r="A12" s="366" t="s">
        <v>13</v>
      </c>
      <c r="B12" s="207">
        <v>92083.724550804647</v>
      </c>
      <c r="C12" s="207">
        <v>30346.72639608485</v>
      </c>
      <c r="D12" s="207">
        <v>13415.876340903069</v>
      </c>
      <c r="E12" s="207">
        <v>16930.850055183306</v>
      </c>
    </row>
    <row r="13" spans="1:5" x14ac:dyDescent="0.2">
      <c r="A13" s="191" t="s">
        <v>44</v>
      </c>
      <c r="B13" s="208">
        <v>500288.17298782634</v>
      </c>
      <c r="C13" s="208">
        <v>329951.94653078006</v>
      </c>
      <c r="D13" s="208">
        <v>154709.85921509488</v>
      </c>
      <c r="E13" s="208">
        <v>175242.08731621955</v>
      </c>
    </row>
    <row r="14" spans="1:5" x14ac:dyDescent="0.2">
      <c r="A14" s="366" t="s">
        <v>15</v>
      </c>
      <c r="B14" s="207">
        <v>401981.02633520123</v>
      </c>
      <c r="C14" s="207">
        <v>285598.09260635613</v>
      </c>
      <c r="D14" s="207">
        <v>133690.17581432316</v>
      </c>
      <c r="E14" s="207">
        <v>151907.91679249762</v>
      </c>
    </row>
    <row r="15" spans="1:5" x14ac:dyDescent="0.2">
      <c r="A15" s="366" t="s">
        <v>16</v>
      </c>
      <c r="B15" s="207">
        <v>98307.146653144824</v>
      </c>
      <c r="C15" s="207">
        <v>44353.853924611663</v>
      </c>
      <c r="D15" s="207">
        <v>21019.683400828373</v>
      </c>
      <c r="E15" s="207">
        <v>23334.170523785975</v>
      </c>
    </row>
    <row r="16" spans="1:5" x14ac:dyDescent="0.2">
      <c r="A16" s="191" t="s">
        <v>17</v>
      </c>
      <c r="B16" s="208">
        <v>35716.783750647031</v>
      </c>
      <c r="C16" s="208">
        <v>13406.42851704597</v>
      </c>
      <c r="D16" s="208">
        <v>6517.9305704152184</v>
      </c>
      <c r="E16" s="208">
        <v>6888.4979466303548</v>
      </c>
    </row>
    <row r="17" spans="1:5" x14ac:dyDescent="0.2">
      <c r="A17" s="366" t="s">
        <v>17</v>
      </c>
      <c r="B17" s="207">
        <v>35716.783750647031</v>
      </c>
      <c r="C17" s="207">
        <v>13406.42851704597</v>
      </c>
      <c r="D17" s="207">
        <v>6517.9305704152184</v>
      </c>
      <c r="E17" s="207">
        <v>6888.4979466303548</v>
      </c>
    </row>
    <row r="18" spans="1:5" x14ac:dyDescent="0.2">
      <c r="A18" s="191" t="s">
        <v>18</v>
      </c>
      <c r="B18" s="208">
        <v>35425.088734112593</v>
      </c>
      <c r="C18" s="208">
        <v>8073.5062475244331</v>
      </c>
      <c r="D18" s="208">
        <v>4044.6622914972345</v>
      </c>
      <c r="E18" s="208">
        <v>4028.8439560268657</v>
      </c>
    </row>
    <row r="19" spans="1:5" x14ac:dyDescent="0.2">
      <c r="A19" s="366" t="s">
        <v>18</v>
      </c>
      <c r="B19" s="207">
        <v>35425.088734112593</v>
      </c>
      <c r="C19" s="207">
        <v>8073.5062475244331</v>
      </c>
      <c r="D19" s="207">
        <v>4044.6622914972345</v>
      </c>
      <c r="E19" s="207">
        <v>4028.8439560268657</v>
      </c>
    </row>
    <row r="20" spans="1:5" x14ac:dyDescent="0.2">
      <c r="A20" s="191" t="s">
        <v>19</v>
      </c>
      <c r="B20" s="208">
        <v>140924.9346394499</v>
      </c>
      <c r="C20" s="208">
        <v>55520.112190342981</v>
      </c>
      <c r="D20" s="208">
        <v>25997.314582819454</v>
      </c>
      <c r="E20" s="208">
        <v>29522.797607525958</v>
      </c>
    </row>
    <row r="21" spans="1:5" x14ac:dyDescent="0.2">
      <c r="A21" s="366" t="s">
        <v>19</v>
      </c>
      <c r="B21" s="207">
        <v>81990.080576216307</v>
      </c>
      <c r="C21" s="207">
        <v>37041.355040232898</v>
      </c>
      <c r="D21" s="207">
        <v>17293.523993619798</v>
      </c>
      <c r="E21" s="207">
        <v>19747.831046615531</v>
      </c>
    </row>
    <row r="22" spans="1:5" x14ac:dyDescent="0.2">
      <c r="A22" s="366" t="s">
        <v>20</v>
      </c>
      <c r="B22" s="207">
        <v>58934.854063148581</v>
      </c>
      <c r="C22" s="207">
        <v>18478.757150113273</v>
      </c>
      <c r="D22" s="207">
        <v>8703.7905892011713</v>
      </c>
      <c r="E22" s="207">
        <v>9774.9665609120166</v>
      </c>
    </row>
    <row r="23" spans="1:5" x14ac:dyDescent="0.2">
      <c r="A23" s="191" t="s">
        <v>21</v>
      </c>
      <c r="B23" s="208">
        <v>76581.61095662821</v>
      </c>
      <c r="C23" s="208">
        <v>36992.605776252705</v>
      </c>
      <c r="D23" s="208">
        <v>18254.261760444668</v>
      </c>
      <c r="E23" s="208">
        <v>18738.34401581006</v>
      </c>
    </row>
    <row r="24" spans="1:5" x14ac:dyDescent="0.2">
      <c r="A24" s="366" t="s">
        <v>21</v>
      </c>
      <c r="B24" s="207">
        <v>76581.61095662821</v>
      </c>
      <c r="C24" s="207">
        <v>36992.605776252705</v>
      </c>
      <c r="D24" s="207">
        <v>18254.261760444668</v>
      </c>
      <c r="E24" s="207">
        <v>18738.34401581006</v>
      </c>
    </row>
    <row r="25" spans="1:5" x14ac:dyDescent="0.2">
      <c r="A25" s="191" t="s">
        <v>22</v>
      </c>
      <c r="B25" s="208">
        <v>138858.55921422734</v>
      </c>
      <c r="C25" s="208">
        <v>74337.240688845384</v>
      </c>
      <c r="D25" s="208">
        <v>35444.591248899625</v>
      </c>
      <c r="E25" s="208">
        <v>38892.649439933004</v>
      </c>
    </row>
    <row r="26" spans="1:5" x14ac:dyDescent="0.2">
      <c r="A26" s="366" t="s">
        <v>22</v>
      </c>
      <c r="B26" s="207">
        <v>138858.55921422734</v>
      </c>
      <c r="C26" s="207">
        <v>74337.240688845384</v>
      </c>
      <c r="D26" s="207">
        <v>35444.591248899625</v>
      </c>
      <c r="E26" s="207">
        <v>38892.649439933004</v>
      </c>
    </row>
    <row r="27" spans="1:5" x14ac:dyDescent="0.2">
      <c r="A27" s="191" t="s">
        <v>23</v>
      </c>
      <c r="B27" s="208">
        <v>181968.51821302634</v>
      </c>
      <c r="C27" s="208">
        <v>82579.896266543292</v>
      </c>
      <c r="D27" s="208">
        <v>38088.846001111277</v>
      </c>
      <c r="E27" s="208">
        <v>44491.050265403799</v>
      </c>
    </row>
    <row r="28" spans="1:5" x14ac:dyDescent="0.2">
      <c r="A28" s="366" t="s">
        <v>23</v>
      </c>
      <c r="B28" s="207">
        <v>94966.722711778624</v>
      </c>
      <c r="C28" s="207">
        <v>49858.333894269941</v>
      </c>
      <c r="D28" s="207">
        <v>22643.32259124182</v>
      </c>
      <c r="E28" s="207">
        <v>27215.011303030147</v>
      </c>
    </row>
    <row r="29" spans="1:5" x14ac:dyDescent="0.2">
      <c r="A29" s="366" t="s">
        <v>24</v>
      </c>
      <c r="B29" s="207">
        <v>87001.79550131713</v>
      </c>
      <c r="C29" s="207">
        <v>32721.562372245837</v>
      </c>
      <c r="D29" s="207">
        <v>15445.523409872023</v>
      </c>
      <c r="E29" s="207">
        <v>17276.038962376188</v>
      </c>
    </row>
    <row r="30" spans="1:5" x14ac:dyDescent="0.2">
      <c r="A30" s="191" t="s">
        <v>25</v>
      </c>
      <c r="B30" s="208">
        <v>19163.095179749624</v>
      </c>
      <c r="C30" s="208">
        <v>4790.1603240234072</v>
      </c>
      <c r="D30" s="208">
        <v>2270.7080860679234</v>
      </c>
      <c r="E30" s="208">
        <v>2519.4522379555838</v>
      </c>
    </row>
    <row r="31" spans="1:5" x14ac:dyDescent="0.2">
      <c r="A31" s="366" t="s">
        <v>25</v>
      </c>
      <c r="B31" s="207">
        <v>19163.095179749624</v>
      </c>
      <c r="C31" s="207">
        <v>4790.1603240234072</v>
      </c>
      <c r="D31" s="207">
        <v>2270.7080860679234</v>
      </c>
      <c r="E31" s="207">
        <v>2519.4522379555838</v>
      </c>
    </row>
    <row r="32" spans="1:5" x14ac:dyDescent="0.2">
      <c r="A32" s="191" t="s">
        <v>26</v>
      </c>
      <c r="B32" s="208">
        <v>7995.6423310799501</v>
      </c>
      <c r="C32" s="208">
        <v>2432.4491791559635</v>
      </c>
      <c r="D32" s="208">
        <v>1320.4918642574876</v>
      </c>
      <c r="E32" s="208">
        <v>1111.9573148984964</v>
      </c>
    </row>
    <row r="33" spans="1:5" x14ac:dyDescent="0.2">
      <c r="A33" s="366" t="s">
        <v>26</v>
      </c>
      <c r="B33" s="207">
        <v>7995.6423310799501</v>
      </c>
      <c r="C33" s="207">
        <v>2432.4491791559635</v>
      </c>
      <c r="D33" s="207">
        <v>1320.4918642574876</v>
      </c>
      <c r="E33" s="207">
        <v>1111.9573148984964</v>
      </c>
    </row>
    <row r="34" spans="1:5" x14ac:dyDescent="0.2">
      <c r="A34" s="191" t="s">
        <v>27</v>
      </c>
      <c r="B34" s="208">
        <v>40256.755679907015</v>
      </c>
      <c r="C34" s="208">
        <v>14017.84476415455</v>
      </c>
      <c r="D34" s="208">
        <v>6605.9303469594533</v>
      </c>
      <c r="E34" s="208">
        <v>7411.9144171947937</v>
      </c>
    </row>
    <row r="35" spans="1:5" x14ac:dyDescent="0.2">
      <c r="A35" s="366" t="s">
        <v>27</v>
      </c>
      <c r="B35" s="207">
        <v>40256.755679907015</v>
      </c>
      <c r="C35" s="207">
        <v>14017.84476415455</v>
      </c>
      <c r="D35" s="207">
        <v>6605.9303469594533</v>
      </c>
      <c r="E35" s="207">
        <v>7411.9144171947937</v>
      </c>
    </row>
    <row r="36" spans="1:5" x14ac:dyDescent="0.2">
      <c r="A36" s="191" t="s">
        <v>28</v>
      </c>
      <c r="B36" s="208">
        <v>99995.993903428112</v>
      </c>
      <c r="C36" s="208">
        <v>25620.953730846169</v>
      </c>
      <c r="D36" s="208">
        <v>12077.368504767986</v>
      </c>
      <c r="E36" s="208">
        <v>13543.585226080069</v>
      </c>
    </row>
    <row r="37" spans="1:5" x14ac:dyDescent="0.2">
      <c r="A37" s="366" t="s">
        <v>28</v>
      </c>
      <c r="B37" s="207">
        <v>99995.993903428112</v>
      </c>
      <c r="C37" s="207">
        <v>25620.953730846169</v>
      </c>
      <c r="D37" s="207">
        <v>12077.368504767986</v>
      </c>
      <c r="E37" s="207">
        <v>13543.585226080069</v>
      </c>
    </row>
    <row r="38" spans="1:5" x14ac:dyDescent="0.2">
      <c r="A38" s="191" t="s">
        <v>29</v>
      </c>
      <c r="B38" s="208">
        <v>198400.29871786357</v>
      </c>
      <c r="C38" s="208">
        <v>44422.062789267315</v>
      </c>
      <c r="D38" s="208">
        <v>21356.344710737485</v>
      </c>
      <c r="E38" s="208">
        <v>23065.718078532478</v>
      </c>
    </row>
    <row r="39" spans="1:5" x14ac:dyDescent="0.2">
      <c r="A39" s="366" t="s">
        <v>30</v>
      </c>
      <c r="B39" s="207">
        <v>121590.06075350314</v>
      </c>
      <c r="C39" s="207">
        <v>25145.397514159053</v>
      </c>
      <c r="D39" s="207">
        <v>12257.80124993658</v>
      </c>
      <c r="E39" s="207">
        <v>12887.596264223987</v>
      </c>
    </row>
    <row r="40" spans="1:5" x14ac:dyDescent="0.2">
      <c r="A40" s="366" t="s">
        <v>29</v>
      </c>
      <c r="B40" s="207">
        <v>76810.237964488639</v>
      </c>
      <c r="C40" s="207">
        <v>19276.665275110674</v>
      </c>
      <c r="D40" s="207">
        <v>9098.543460801644</v>
      </c>
      <c r="E40" s="207">
        <v>10178.121814309485</v>
      </c>
    </row>
    <row r="41" spans="1:5" x14ac:dyDescent="0.2">
      <c r="A41" s="191" t="s">
        <v>31</v>
      </c>
      <c r="B41" s="208">
        <v>83503.559262492534</v>
      </c>
      <c r="C41" s="208">
        <v>25391.966540124246</v>
      </c>
      <c r="D41" s="208">
        <v>11711.260232477993</v>
      </c>
      <c r="E41" s="208">
        <v>13680.706307647373</v>
      </c>
    </row>
    <row r="42" spans="1:5" x14ac:dyDescent="0.2">
      <c r="A42" s="504" t="s">
        <v>31</v>
      </c>
      <c r="B42" s="210">
        <v>83503.559262492534</v>
      </c>
      <c r="C42" s="210">
        <v>25391.966540124246</v>
      </c>
      <c r="D42" s="210">
        <v>11711.260232477993</v>
      </c>
      <c r="E42" s="210">
        <v>13680.706307647373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3"/>
  <sheetViews>
    <sheetView workbookViewId="0">
      <selection activeCell="A2" sqref="A2:A3"/>
    </sheetView>
  </sheetViews>
  <sheetFormatPr defaultRowHeight="12" x14ac:dyDescent="0.2"/>
  <cols>
    <col min="1" max="1" width="14.85546875" style="575" customWidth="1"/>
    <col min="2" max="2" width="13.42578125" style="575" bestFit="1" customWidth="1"/>
    <col min="3" max="3" width="16.28515625" style="575" customWidth="1"/>
    <col min="4" max="4" width="12" style="575" bestFit="1" customWidth="1"/>
    <col min="5" max="5" width="15.42578125" style="575" customWidth="1"/>
    <col min="6" max="16384" width="9.140625" style="575"/>
  </cols>
  <sheetData>
    <row r="1" spans="1:5" ht="23.25" customHeight="1" x14ac:dyDescent="0.2">
      <c r="A1" s="663" t="s">
        <v>181</v>
      </c>
      <c r="B1" s="663"/>
      <c r="C1" s="663"/>
      <c r="D1" s="663"/>
      <c r="E1" s="663"/>
    </row>
    <row r="2" spans="1:5" ht="15" customHeight="1" x14ac:dyDescent="0.2">
      <c r="A2" s="677" t="s">
        <v>588</v>
      </c>
      <c r="B2" s="672" t="s">
        <v>538</v>
      </c>
      <c r="C2" s="674" t="s">
        <v>180</v>
      </c>
      <c r="D2" s="674"/>
      <c r="E2" s="674"/>
    </row>
    <row r="3" spans="1:5" ht="21" customHeight="1" x14ac:dyDescent="0.2">
      <c r="A3" s="677"/>
      <c r="B3" s="673"/>
      <c r="C3" s="380" t="s">
        <v>2</v>
      </c>
      <c r="D3" s="379" t="s">
        <v>3</v>
      </c>
      <c r="E3" s="379" t="s">
        <v>4</v>
      </c>
    </row>
    <row r="4" spans="1:5" x14ac:dyDescent="0.2">
      <c r="A4" s="96" t="s">
        <v>32</v>
      </c>
      <c r="B4" s="212">
        <v>1806416.5354220376</v>
      </c>
      <c r="C4" s="212">
        <v>824448.40504336439</v>
      </c>
      <c r="D4" s="212">
        <v>387607.84197684948</v>
      </c>
      <c r="E4" s="212">
        <v>436840.56306024693</v>
      </c>
    </row>
    <row r="5" spans="1:5" x14ac:dyDescent="0.2">
      <c r="A5" s="94"/>
      <c r="B5" s="207"/>
      <c r="C5" s="207"/>
      <c r="D5" s="207"/>
      <c r="E5" s="207"/>
    </row>
    <row r="6" spans="1:5" x14ac:dyDescent="0.2">
      <c r="A6" s="97" t="s">
        <v>138</v>
      </c>
      <c r="B6" s="215"/>
      <c r="C6" s="215"/>
      <c r="D6" s="215"/>
      <c r="E6" s="215"/>
    </row>
    <row r="7" spans="1:5" x14ac:dyDescent="0.2">
      <c r="A7" s="94" t="s">
        <v>8</v>
      </c>
      <c r="B7" s="207">
        <v>460652.75562326168</v>
      </c>
      <c r="C7" s="207">
        <v>352345.76010844309</v>
      </c>
      <c r="D7" s="207">
        <v>165100.63199393763</v>
      </c>
      <c r="E7" s="207">
        <v>187245.1281150514</v>
      </c>
    </row>
    <row r="8" spans="1:5" x14ac:dyDescent="0.2">
      <c r="A8" s="94" t="s">
        <v>9</v>
      </c>
      <c r="B8" s="207">
        <v>1345763.7797914867</v>
      </c>
      <c r="C8" s="207">
        <v>472102.64492863382</v>
      </c>
      <c r="D8" s="207">
        <v>222507.20998353179</v>
      </c>
      <c r="E8" s="207">
        <v>249595.43494587159</v>
      </c>
    </row>
    <row r="9" spans="1:5" x14ac:dyDescent="0.2">
      <c r="A9" s="98" t="s">
        <v>184</v>
      </c>
      <c r="B9" s="212"/>
      <c r="C9" s="212"/>
      <c r="D9" s="212"/>
      <c r="E9" s="212"/>
    </row>
    <row r="10" spans="1:5" x14ac:dyDescent="0.2">
      <c r="A10" s="201" t="s">
        <v>37</v>
      </c>
      <c r="B10" s="207">
        <v>313219.4008611099</v>
      </c>
      <c r="C10" s="207">
        <v>81280.166494028541</v>
      </c>
      <c r="D10" s="207">
        <v>40352.164689373152</v>
      </c>
      <c r="E10" s="207">
        <v>40928.001804594925</v>
      </c>
    </row>
    <row r="11" spans="1:5" x14ac:dyDescent="0.2">
      <c r="A11" s="201" t="s">
        <v>185</v>
      </c>
      <c r="B11" s="207">
        <v>296392.84337264905</v>
      </c>
      <c r="C11" s="207">
        <v>108291.74810164417</v>
      </c>
      <c r="D11" s="207">
        <v>53807.069762735999</v>
      </c>
      <c r="E11" s="207">
        <v>54484.678338756719</v>
      </c>
    </row>
    <row r="12" spans="1:5" x14ac:dyDescent="0.2">
      <c r="A12" s="201" t="s">
        <v>186</v>
      </c>
      <c r="B12" s="207">
        <v>247955.25055661143</v>
      </c>
      <c r="C12" s="207">
        <v>101995.3178502815</v>
      </c>
      <c r="D12" s="207">
        <v>49497.783762424449</v>
      </c>
      <c r="E12" s="207">
        <v>52497.534087729662</v>
      </c>
    </row>
    <row r="13" spans="1:5" x14ac:dyDescent="0.2">
      <c r="A13" s="201" t="s">
        <v>187</v>
      </c>
      <c r="B13" s="207">
        <v>222947.74862194163</v>
      </c>
      <c r="C13" s="207">
        <v>107520.83665104632</v>
      </c>
      <c r="D13" s="207">
        <v>50100.11550667516</v>
      </c>
      <c r="E13" s="207">
        <v>57420.721144494579</v>
      </c>
    </row>
    <row r="14" spans="1:5" x14ac:dyDescent="0.2">
      <c r="A14" s="201" t="s">
        <v>188</v>
      </c>
      <c r="B14" s="207">
        <v>178638.55953021816</v>
      </c>
      <c r="C14" s="207">
        <v>92079.365390214545</v>
      </c>
      <c r="D14" s="207">
        <v>41559.230813994982</v>
      </c>
      <c r="E14" s="207">
        <v>50520.134576209726</v>
      </c>
    </row>
    <row r="15" spans="1:5" x14ac:dyDescent="0.2">
      <c r="A15" s="201" t="s">
        <v>189</v>
      </c>
      <c r="B15" s="207">
        <v>143424.45762947548</v>
      </c>
      <c r="C15" s="207">
        <v>80482.233283041875</v>
      </c>
      <c r="D15" s="207">
        <v>36364.042885914103</v>
      </c>
      <c r="E15" s="207">
        <v>44118.190397117934</v>
      </c>
    </row>
    <row r="16" spans="1:5" x14ac:dyDescent="0.2">
      <c r="A16" s="201" t="s">
        <v>190</v>
      </c>
      <c r="B16" s="207">
        <v>108989.34031685159</v>
      </c>
      <c r="C16" s="207">
        <v>64919.800353138329</v>
      </c>
      <c r="D16" s="207">
        <v>30196.216631557323</v>
      </c>
      <c r="E16" s="207">
        <v>34723.583721594536</v>
      </c>
    </row>
    <row r="17" spans="1:5" x14ac:dyDescent="0.2">
      <c r="A17" s="201" t="s">
        <v>191</v>
      </c>
      <c r="B17" s="207">
        <v>85608.959176613571</v>
      </c>
      <c r="C17" s="207">
        <v>54074.360303053756</v>
      </c>
      <c r="D17" s="207">
        <v>25241.310769787586</v>
      </c>
      <c r="E17" s="207">
        <v>28833.049533279696</v>
      </c>
    </row>
    <row r="18" spans="1:5" x14ac:dyDescent="0.2">
      <c r="A18" s="201" t="s">
        <v>192</v>
      </c>
      <c r="B18" s="207">
        <v>64954.91223294245</v>
      </c>
      <c r="C18" s="207">
        <v>41262.654983938424</v>
      </c>
      <c r="D18" s="207">
        <v>19264.029584309628</v>
      </c>
      <c r="E18" s="207">
        <v>21998.625399642322</v>
      </c>
    </row>
    <row r="19" spans="1:5" x14ac:dyDescent="0.2">
      <c r="A19" s="201" t="s">
        <v>193</v>
      </c>
      <c r="B19" s="207">
        <v>37086.55470645582</v>
      </c>
      <c r="C19" s="207">
        <v>23926.14601288925</v>
      </c>
      <c r="D19" s="207">
        <v>10729.009230760594</v>
      </c>
      <c r="E19" s="207">
        <v>13197.136782132757</v>
      </c>
    </row>
    <row r="20" spans="1:5" x14ac:dyDescent="0.2">
      <c r="A20" s="201" t="s">
        <v>194</v>
      </c>
      <c r="B20" s="207">
        <v>29832.02265367264</v>
      </c>
      <c r="C20" s="207">
        <v>19283.71561864161</v>
      </c>
      <c r="D20" s="207">
        <v>8572.3358703949179</v>
      </c>
      <c r="E20" s="207">
        <v>10711.379748250793</v>
      </c>
    </row>
    <row r="21" spans="1:5" x14ac:dyDescent="0.2">
      <c r="A21" s="201" t="s">
        <v>195</v>
      </c>
      <c r="B21" s="207">
        <v>22217.555332981021</v>
      </c>
      <c r="C21" s="207">
        <v>14794.074072812246</v>
      </c>
      <c r="D21" s="207">
        <v>6687.4503653877446</v>
      </c>
      <c r="E21" s="207">
        <v>8106.6237074276169</v>
      </c>
    </row>
    <row r="22" spans="1:5" x14ac:dyDescent="0.2">
      <c r="A22" s="201" t="s">
        <v>196</v>
      </c>
      <c r="B22" s="207">
        <v>20523.655888497626</v>
      </c>
      <c r="C22" s="207">
        <v>13338.172642211166</v>
      </c>
      <c r="D22" s="207">
        <v>6098.3318248515243</v>
      </c>
      <c r="E22" s="207">
        <v>7239.8408173618564</v>
      </c>
    </row>
    <row r="23" spans="1:5" ht="12.75" thickBot="1" x14ac:dyDescent="0.25">
      <c r="A23" s="202" t="s">
        <v>197</v>
      </c>
      <c r="B23" s="213">
        <v>34625.274524151828</v>
      </c>
      <c r="C23" s="213">
        <v>21199.81328207918</v>
      </c>
      <c r="D23" s="213">
        <v>9138.7502794430202</v>
      </c>
      <c r="E23" s="213">
        <v>12061.063002634475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2"/>
  <sheetViews>
    <sheetView workbookViewId="0">
      <selection activeCell="A2" sqref="A2:A3"/>
    </sheetView>
  </sheetViews>
  <sheetFormatPr defaultRowHeight="12" x14ac:dyDescent="0.2"/>
  <cols>
    <col min="1" max="1" width="16.7109375" style="575" customWidth="1"/>
    <col min="2" max="2" width="12" style="575" customWidth="1"/>
    <col min="3" max="3" width="13.140625" style="575" customWidth="1"/>
    <col min="4" max="4" width="12.140625" style="575" customWidth="1"/>
    <col min="5" max="5" width="11.7109375" style="575" customWidth="1"/>
    <col min="6" max="16384" width="9.140625" style="575"/>
  </cols>
  <sheetData>
    <row r="1" spans="1:10" ht="27.75" customHeight="1" x14ac:dyDescent="0.2">
      <c r="A1" s="675" t="s">
        <v>198</v>
      </c>
      <c r="B1" s="675"/>
      <c r="C1" s="675"/>
      <c r="D1" s="675"/>
      <c r="E1" s="675"/>
    </row>
    <row r="2" spans="1:10" ht="15" customHeight="1" x14ac:dyDescent="0.2">
      <c r="A2" s="677" t="s">
        <v>588</v>
      </c>
      <c r="B2" s="672" t="s">
        <v>540</v>
      </c>
      <c r="C2" s="674" t="s">
        <v>539</v>
      </c>
      <c r="D2" s="674"/>
      <c r="E2" s="674"/>
    </row>
    <row r="3" spans="1:10" ht="19.5" customHeight="1" x14ac:dyDescent="0.2">
      <c r="A3" s="677"/>
      <c r="B3" s="673"/>
      <c r="C3" s="380" t="s">
        <v>2</v>
      </c>
      <c r="D3" s="379" t="s">
        <v>3</v>
      </c>
      <c r="E3" s="379" t="s">
        <v>4</v>
      </c>
    </row>
    <row r="4" spans="1:10" x14ac:dyDescent="0.2">
      <c r="A4" s="95" t="s">
        <v>32</v>
      </c>
      <c r="B4" s="212">
        <v>1493197.1345563552</v>
      </c>
      <c r="C4" s="212">
        <v>551841.64529662428</v>
      </c>
      <c r="D4" s="212">
        <v>256269.07642319278</v>
      </c>
      <c r="E4" s="212">
        <v>295572.56887314236</v>
      </c>
    </row>
    <row r="5" spans="1:10" x14ac:dyDescent="0.2">
      <c r="A5" s="92"/>
      <c r="B5" s="208"/>
      <c r="C5" s="208"/>
      <c r="D5" s="208"/>
      <c r="E5" s="208"/>
    </row>
    <row r="6" spans="1:10" x14ac:dyDescent="0.2">
      <c r="A6" s="95" t="s">
        <v>167</v>
      </c>
      <c r="B6" s="212"/>
      <c r="C6" s="212"/>
      <c r="D6" s="212"/>
      <c r="E6" s="212"/>
    </row>
    <row r="7" spans="1:10" x14ac:dyDescent="0.2">
      <c r="A7" s="192" t="s">
        <v>8</v>
      </c>
      <c r="B7" s="207">
        <v>395494.13415478583</v>
      </c>
      <c r="C7" s="207">
        <v>271370.69090174063</v>
      </c>
      <c r="D7" s="207">
        <v>126565.37292531109</v>
      </c>
      <c r="E7" s="207">
        <v>144805.31797688256</v>
      </c>
    </row>
    <row r="8" spans="1:10" x14ac:dyDescent="0.2">
      <c r="A8" s="192" t="s">
        <v>9</v>
      </c>
      <c r="B8" s="207">
        <v>1097703.0003991278</v>
      </c>
      <c r="C8" s="207">
        <v>280470.95439461677</v>
      </c>
      <c r="D8" s="207">
        <v>129703.70349837681</v>
      </c>
      <c r="E8" s="207">
        <v>150767.25089676859</v>
      </c>
    </row>
    <row r="9" spans="1:10" x14ac:dyDescent="0.2">
      <c r="A9" s="99" t="s">
        <v>184</v>
      </c>
      <c r="B9" s="212"/>
      <c r="C9" s="212"/>
      <c r="D9" s="212"/>
      <c r="E9" s="212"/>
    </row>
    <row r="10" spans="1:10" x14ac:dyDescent="0.2">
      <c r="A10" s="192" t="s">
        <v>185</v>
      </c>
      <c r="B10" s="207">
        <v>296392.84337264905</v>
      </c>
      <c r="C10" s="207">
        <v>38724.568761645576</v>
      </c>
      <c r="D10" s="207">
        <v>19336.58854999653</v>
      </c>
      <c r="E10" s="207">
        <v>19387.980211661023</v>
      </c>
    </row>
    <row r="11" spans="1:10" x14ac:dyDescent="0.2">
      <c r="A11" s="192" t="s">
        <v>186</v>
      </c>
      <c r="B11" s="207">
        <v>247955.25055661099</v>
      </c>
      <c r="C11" s="207">
        <v>56321.454394543223</v>
      </c>
      <c r="D11" s="207">
        <v>26575.199265184172</v>
      </c>
      <c r="E11" s="207">
        <v>29746.255129371028</v>
      </c>
    </row>
    <row r="12" spans="1:10" x14ac:dyDescent="0.2">
      <c r="A12" s="192" t="s">
        <v>187</v>
      </c>
      <c r="B12" s="207">
        <v>222947.74862194163</v>
      </c>
      <c r="C12" s="207">
        <v>81858.493810861808</v>
      </c>
      <c r="D12" s="207">
        <v>37436.540369458235</v>
      </c>
      <c r="E12" s="207">
        <v>44421.953441443431</v>
      </c>
    </row>
    <row r="13" spans="1:10" x14ac:dyDescent="0.2">
      <c r="A13" s="192" t="s">
        <v>188</v>
      </c>
      <c r="B13" s="207">
        <v>178638.55953021816</v>
      </c>
      <c r="C13" s="207">
        <v>77632.379537716668</v>
      </c>
      <c r="D13" s="207">
        <v>34830.030702425654</v>
      </c>
      <c r="E13" s="207">
        <v>42802.348835281176</v>
      </c>
      <c r="J13" s="575" t="s">
        <v>541</v>
      </c>
    </row>
    <row r="14" spans="1:10" x14ac:dyDescent="0.2">
      <c r="A14" s="192" t="s">
        <v>189</v>
      </c>
      <c r="B14" s="207">
        <v>143424.45762947548</v>
      </c>
      <c r="C14" s="207">
        <v>70655.464866146984</v>
      </c>
      <c r="D14" s="207">
        <v>32014.266116733528</v>
      </c>
      <c r="E14" s="207">
        <v>38641.198749403622</v>
      </c>
    </row>
    <row r="15" spans="1:10" x14ac:dyDescent="0.2">
      <c r="A15" s="192" t="s">
        <v>190</v>
      </c>
      <c r="B15" s="207">
        <v>108989.34031685159</v>
      </c>
      <c r="C15" s="207">
        <v>57633.052591436106</v>
      </c>
      <c r="D15" s="207">
        <v>27193.118205957824</v>
      </c>
      <c r="E15" s="207">
        <v>30439.934385491808</v>
      </c>
    </row>
    <row r="16" spans="1:10" x14ac:dyDescent="0.2">
      <c r="A16" s="192" t="s">
        <v>191</v>
      </c>
      <c r="B16" s="207">
        <v>85608.959176613571</v>
      </c>
      <c r="C16" s="207">
        <v>48724.962144661251</v>
      </c>
      <c r="D16" s="207">
        <v>23213.083359926026</v>
      </c>
      <c r="E16" s="207">
        <v>25511.878784748751</v>
      </c>
    </row>
    <row r="17" spans="1:5" x14ac:dyDescent="0.2">
      <c r="A17" s="192" t="s">
        <v>192</v>
      </c>
      <c r="B17" s="207">
        <v>64954.91223294245</v>
      </c>
      <c r="C17" s="207">
        <v>37036.836979277781</v>
      </c>
      <c r="D17" s="207">
        <v>17574.528544323115</v>
      </c>
      <c r="E17" s="207">
        <v>19462.308434968192</v>
      </c>
    </row>
    <row r="18" spans="1:5" x14ac:dyDescent="0.2">
      <c r="A18" s="192" t="s">
        <v>193</v>
      </c>
      <c r="B18" s="207">
        <v>37086.55470645582</v>
      </c>
      <c r="C18" s="207">
        <v>21518.252526758908</v>
      </c>
      <c r="D18" s="207">
        <v>9812.2761402509332</v>
      </c>
      <c r="E18" s="207">
        <v>11705.976386512075</v>
      </c>
    </row>
    <row r="19" spans="1:5" x14ac:dyDescent="0.2">
      <c r="A19" s="192" t="s">
        <v>194</v>
      </c>
      <c r="B19" s="207">
        <v>29832.02265367264</v>
      </c>
      <c r="C19" s="207">
        <v>17398.830113635369</v>
      </c>
      <c r="D19" s="207">
        <v>7908.292029192231</v>
      </c>
      <c r="E19" s="207">
        <v>9490.5380844470619</v>
      </c>
    </row>
    <row r="20" spans="1:5" x14ac:dyDescent="0.2">
      <c r="A20" s="192" t="s">
        <v>195</v>
      </c>
      <c r="B20" s="216">
        <v>22217.555332981021</v>
      </c>
      <c r="C20" s="216">
        <v>13548.257308786297</v>
      </c>
      <c r="D20" s="216">
        <v>6256.997167439833</v>
      </c>
      <c r="E20" s="216">
        <v>7291.2601413488082</v>
      </c>
    </row>
    <row r="21" spans="1:5" x14ac:dyDescent="0.2">
      <c r="A21" s="192" t="s">
        <v>196</v>
      </c>
      <c r="B21" s="207">
        <v>20523.655888497626</v>
      </c>
      <c r="C21" s="207">
        <v>12115.861854864952</v>
      </c>
      <c r="D21" s="207">
        <v>5700.1993448382682</v>
      </c>
      <c r="E21" s="207">
        <v>6415.6625100281417</v>
      </c>
    </row>
    <row r="22" spans="1:5" ht="12.75" thickBot="1" x14ac:dyDescent="0.25">
      <c r="A22" s="203" t="s">
        <v>197</v>
      </c>
      <c r="B22" s="213">
        <v>34625.274524151828</v>
      </c>
      <c r="C22" s="213">
        <v>18673.230406819901</v>
      </c>
      <c r="D22" s="213">
        <v>8417.9566278522707</v>
      </c>
      <c r="E22" s="213">
        <v>10255.273778965946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2"/>
  <sheetViews>
    <sheetView workbookViewId="0">
      <selection activeCell="H25" sqref="H25"/>
    </sheetView>
  </sheetViews>
  <sheetFormatPr defaultRowHeight="12" x14ac:dyDescent="0.2"/>
  <cols>
    <col min="1" max="1" width="22.42578125" style="575" customWidth="1"/>
    <col min="2" max="2" width="16.85546875" style="575" customWidth="1"/>
    <col min="3" max="3" width="13.28515625" style="575" customWidth="1"/>
    <col min="4" max="4" width="14.42578125" style="575" customWidth="1"/>
    <col min="5" max="5" width="13.7109375" style="575" customWidth="1"/>
    <col min="6" max="16384" width="9.140625" style="575"/>
  </cols>
  <sheetData>
    <row r="1" spans="1:5" ht="29.25" customHeight="1" x14ac:dyDescent="0.2">
      <c r="A1" s="676" t="s">
        <v>571</v>
      </c>
      <c r="B1" s="676"/>
      <c r="C1" s="676"/>
      <c r="D1" s="676"/>
      <c r="E1" s="676"/>
    </row>
    <row r="2" spans="1:5" ht="15" customHeight="1" x14ac:dyDescent="0.2">
      <c r="A2" s="661" t="s">
        <v>586</v>
      </c>
      <c r="B2" s="678" t="s">
        <v>303</v>
      </c>
      <c r="C2" s="674" t="s">
        <v>542</v>
      </c>
      <c r="D2" s="674"/>
      <c r="E2" s="674"/>
    </row>
    <row r="3" spans="1:5" ht="18.75" customHeight="1" x14ac:dyDescent="0.2">
      <c r="A3" s="668"/>
      <c r="B3" s="678"/>
      <c r="C3" s="469" t="s">
        <v>2</v>
      </c>
      <c r="D3" s="381" t="s">
        <v>3</v>
      </c>
      <c r="E3" s="381" t="s">
        <v>4</v>
      </c>
    </row>
    <row r="4" spans="1:5" x14ac:dyDescent="0.2">
      <c r="A4" s="100" t="s">
        <v>32</v>
      </c>
      <c r="B4" s="212">
        <v>1493197.1345563552</v>
      </c>
      <c r="C4" s="212">
        <v>551841.64529633499</v>
      </c>
      <c r="D4" s="212">
        <v>256269.07642319278</v>
      </c>
      <c r="E4" s="212">
        <v>295572.56887314236</v>
      </c>
    </row>
    <row r="5" spans="1:5" x14ac:dyDescent="0.2">
      <c r="A5" s="92"/>
      <c r="B5" s="208"/>
      <c r="C5" s="207"/>
      <c r="D5" s="208"/>
      <c r="E5" s="208"/>
    </row>
    <row r="6" spans="1:5" x14ac:dyDescent="0.2">
      <c r="A6" s="95" t="s">
        <v>167</v>
      </c>
      <c r="B6" s="212"/>
      <c r="C6" s="212"/>
      <c r="D6" s="212"/>
      <c r="E6" s="212"/>
    </row>
    <row r="7" spans="1:5" x14ac:dyDescent="0.2">
      <c r="A7" s="192" t="s">
        <v>8</v>
      </c>
      <c r="B7" s="207">
        <v>395494.13415478583</v>
      </c>
      <c r="C7" s="207">
        <v>271370.69090219366</v>
      </c>
      <c r="D7" s="207">
        <v>126565.37292531109</v>
      </c>
      <c r="E7" s="207">
        <v>144805.31797688256</v>
      </c>
    </row>
    <row r="8" spans="1:5" x14ac:dyDescent="0.2">
      <c r="A8" s="192" t="s">
        <v>9</v>
      </c>
      <c r="B8" s="207">
        <v>1097703.0003991278</v>
      </c>
      <c r="C8" s="207">
        <v>280470.95439514541</v>
      </c>
      <c r="D8" s="207">
        <v>129703.70349837681</v>
      </c>
      <c r="E8" s="207">
        <v>150767.25089676859</v>
      </c>
    </row>
    <row r="9" spans="1:5" x14ac:dyDescent="0.2">
      <c r="A9" s="96" t="s">
        <v>359</v>
      </c>
      <c r="B9" s="215"/>
      <c r="C9" s="212"/>
      <c r="D9" s="215"/>
      <c r="E9" s="215"/>
    </row>
    <row r="10" spans="1:5" x14ac:dyDescent="0.2">
      <c r="A10" s="191" t="s">
        <v>11</v>
      </c>
      <c r="B10" s="208">
        <v>204356.20610461693</v>
      </c>
      <c r="C10" s="208">
        <v>70931.486406915938</v>
      </c>
      <c r="D10" s="208">
        <v>32115.47190546733</v>
      </c>
      <c r="E10" s="208">
        <v>38816.014501448612</v>
      </c>
    </row>
    <row r="11" spans="1:5" x14ac:dyDescent="0.2">
      <c r="A11" s="366" t="s">
        <v>12</v>
      </c>
      <c r="B11" s="207">
        <v>128320.15273881239</v>
      </c>
      <c r="C11" s="207">
        <v>53841.693086317784</v>
      </c>
      <c r="D11" s="207">
        <v>24787.329679763905</v>
      </c>
      <c r="E11" s="207">
        <v>29054.363406553879</v>
      </c>
    </row>
    <row r="12" spans="1:5" x14ac:dyDescent="0.2">
      <c r="A12" s="366" t="s">
        <v>13</v>
      </c>
      <c r="B12" s="207">
        <v>76036.053366037144</v>
      </c>
      <c r="C12" s="207">
        <v>17089.79332060038</v>
      </c>
      <c r="D12" s="207">
        <v>7328.1422257042595</v>
      </c>
      <c r="E12" s="207">
        <v>9761.6510948961204</v>
      </c>
    </row>
    <row r="13" spans="1:5" x14ac:dyDescent="0.2">
      <c r="A13" s="191" t="s">
        <v>44</v>
      </c>
      <c r="B13" s="208">
        <v>423262.38202319288</v>
      </c>
      <c r="C13" s="208">
        <v>238216.36585090679</v>
      </c>
      <c r="D13" s="208">
        <v>110404.66641965092</v>
      </c>
      <c r="E13" s="208">
        <v>127811.69943125587</v>
      </c>
    </row>
    <row r="14" spans="1:5" x14ac:dyDescent="0.2">
      <c r="A14" s="366" t="s">
        <v>15</v>
      </c>
      <c r="B14" s="207">
        <v>341758.69276883581</v>
      </c>
      <c r="C14" s="207">
        <v>214751.44532405731</v>
      </c>
      <c r="D14" s="207">
        <v>99599.029684649795</v>
      </c>
      <c r="E14" s="207">
        <v>115152.4156394075</v>
      </c>
    </row>
    <row r="15" spans="1:5" x14ac:dyDescent="0.2">
      <c r="A15" s="366" t="s">
        <v>16</v>
      </c>
      <c r="B15" s="207">
        <v>81503.689254645782</v>
      </c>
      <c r="C15" s="207">
        <v>23464.920526826631</v>
      </c>
      <c r="D15" s="207">
        <v>10805.636734990232</v>
      </c>
      <c r="E15" s="207">
        <v>12659.283791836397</v>
      </c>
    </row>
    <row r="16" spans="1:5" x14ac:dyDescent="0.2">
      <c r="A16" s="191" t="s">
        <v>17</v>
      </c>
      <c r="B16" s="208">
        <v>29450.766720537205</v>
      </c>
      <c r="C16" s="208">
        <v>10597.884884765204</v>
      </c>
      <c r="D16" s="208">
        <v>5145.6883068812685</v>
      </c>
      <c r="E16" s="208">
        <v>5452.1965778839358</v>
      </c>
    </row>
    <row r="17" spans="1:13" x14ac:dyDescent="0.2">
      <c r="A17" s="366" t="s">
        <v>17</v>
      </c>
      <c r="B17" s="207">
        <v>29450.766720537205</v>
      </c>
      <c r="C17" s="207">
        <v>10597.884884765204</v>
      </c>
      <c r="D17" s="207">
        <v>5145.6883068812685</v>
      </c>
      <c r="E17" s="207">
        <v>5452.1965778839358</v>
      </c>
    </row>
    <row r="18" spans="1:13" x14ac:dyDescent="0.2">
      <c r="A18" s="191" t="s">
        <v>18</v>
      </c>
      <c r="B18" s="208">
        <v>28761.289486250447</v>
      </c>
      <c r="C18" s="208">
        <v>6138.6720274079307</v>
      </c>
      <c r="D18" s="208">
        <v>3117.2602662174809</v>
      </c>
      <c r="E18" s="208">
        <v>3021.4117611904499</v>
      </c>
    </row>
    <row r="19" spans="1:13" x14ac:dyDescent="0.2">
      <c r="A19" s="366" t="s">
        <v>18</v>
      </c>
      <c r="B19" s="207">
        <v>28761.289486250447</v>
      </c>
      <c r="C19" s="207">
        <v>6138.6720274079307</v>
      </c>
      <c r="D19" s="207">
        <v>3117.2602662174809</v>
      </c>
      <c r="E19" s="207">
        <v>3021.4117611904499</v>
      </c>
    </row>
    <row r="20" spans="1:13" x14ac:dyDescent="0.2">
      <c r="A20" s="191" t="s">
        <v>19</v>
      </c>
      <c r="B20" s="208">
        <v>113811.34099702848</v>
      </c>
      <c r="C20" s="208">
        <v>34748.850684878569</v>
      </c>
      <c r="D20" s="208">
        <v>15978.142142947203</v>
      </c>
      <c r="E20" s="208">
        <v>18770.708541931366</v>
      </c>
    </row>
    <row r="21" spans="1:13" x14ac:dyDescent="0.2">
      <c r="A21" s="366" t="s">
        <v>19</v>
      </c>
      <c r="B21" s="207">
        <v>66853.520090207239</v>
      </c>
      <c r="C21" s="207">
        <v>26169.679684875518</v>
      </c>
      <c r="D21" s="207">
        <v>12065.865488276866</v>
      </c>
      <c r="E21" s="207">
        <v>14103.814196598654</v>
      </c>
    </row>
    <row r="22" spans="1:13" x14ac:dyDescent="0.2">
      <c r="A22" s="366" t="s">
        <v>20</v>
      </c>
      <c r="B22" s="207">
        <v>46957.820906743167</v>
      </c>
      <c r="C22" s="207">
        <v>8579.1710000036273</v>
      </c>
      <c r="D22" s="207">
        <v>3912.2766546704502</v>
      </c>
      <c r="E22" s="207">
        <v>4666.8943453331767</v>
      </c>
      <c r="M22" s="917"/>
    </row>
    <row r="23" spans="1:13" x14ac:dyDescent="0.2">
      <c r="A23" s="191" t="s">
        <v>21</v>
      </c>
      <c r="B23" s="208">
        <v>62178.106271913901</v>
      </c>
      <c r="C23" s="208">
        <v>21826.139645613086</v>
      </c>
      <c r="D23" s="208">
        <v>10978.853316800292</v>
      </c>
      <c r="E23" s="208">
        <v>10847.286328812794</v>
      </c>
    </row>
    <row r="24" spans="1:13" x14ac:dyDescent="0.2">
      <c r="A24" s="366" t="s">
        <v>21</v>
      </c>
      <c r="B24" s="207">
        <v>62178.106271913901</v>
      </c>
      <c r="C24" s="207">
        <v>21826.139645613086</v>
      </c>
      <c r="D24" s="207">
        <v>10978.853316800292</v>
      </c>
      <c r="E24" s="207">
        <v>10847.286328812794</v>
      </c>
    </row>
    <row r="25" spans="1:13" x14ac:dyDescent="0.2">
      <c r="A25" s="191" t="s">
        <v>22</v>
      </c>
      <c r="B25" s="208">
        <v>117060.09368139438</v>
      </c>
      <c r="C25" s="208">
        <v>54392.856441379001</v>
      </c>
      <c r="D25" s="208">
        <v>25645.305326343776</v>
      </c>
      <c r="E25" s="208">
        <v>28747.551115035225</v>
      </c>
    </row>
    <row r="26" spans="1:13" x14ac:dyDescent="0.2">
      <c r="A26" s="366" t="s">
        <v>22</v>
      </c>
      <c r="B26" s="207">
        <v>117060.09368139438</v>
      </c>
      <c r="C26" s="207">
        <v>54392.856441379001</v>
      </c>
      <c r="D26" s="207">
        <v>25645.305326343776</v>
      </c>
      <c r="E26" s="207">
        <v>28747.551115035225</v>
      </c>
    </row>
    <row r="27" spans="1:13" x14ac:dyDescent="0.2">
      <c r="A27" s="191" t="s">
        <v>23</v>
      </c>
      <c r="B27" s="208">
        <v>147935.40818280977</v>
      </c>
      <c r="C27" s="208">
        <v>46005.057397341065</v>
      </c>
      <c r="D27" s="208">
        <v>20325.6095602319</v>
      </c>
      <c r="E27" s="208">
        <v>25679.447837109165</v>
      </c>
    </row>
    <row r="28" spans="1:13" x14ac:dyDescent="0.2">
      <c r="A28" s="366" t="s">
        <v>23</v>
      </c>
      <c r="B28" s="207">
        <v>77778.742502787049</v>
      </c>
      <c r="C28" s="207">
        <v>29580.715941570616</v>
      </c>
      <c r="D28" s="207">
        <v>12779.309205508296</v>
      </c>
      <c r="E28" s="207">
        <v>16801.406736062319</v>
      </c>
    </row>
    <row r="29" spans="1:13" x14ac:dyDescent="0.2">
      <c r="A29" s="366" t="s">
        <v>24</v>
      </c>
      <c r="B29" s="207">
        <v>70156.665680005754</v>
      </c>
      <c r="C29" s="207">
        <v>16424.341455772657</v>
      </c>
      <c r="D29" s="207">
        <v>7546.3003547244853</v>
      </c>
      <c r="E29" s="207">
        <v>8878.041101048173</v>
      </c>
    </row>
    <row r="30" spans="1:13" x14ac:dyDescent="0.2">
      <c r="A30" s="191" t="s">
        <v>25</v>
      </c>
      <c r="B30" s="208">
        <v>15499.710374359225</v>
      </c>
      <c r="C30" s="208">
        <v>2468.0916474077376</v>
      </c>
      <c r="D30" s="208">
        <v>1194.01994303585</v>
      </c>
      <c r="E30" s="208">
        <v>1274.0717043718876</v>
      </c>
    </row>
    <row r="31" spans="1:13" x14ac:dyDescent="0.2">
      <c r="A31" s="366" t="s">
        <v>25</v>
      </c>
      <c r="B31" s="207">
        <v>15499.710374359225</v>
      </c>
      <c r="C31" s="207">
        <v>2468.0916474077376</v>
      </c>
      <c r="D31" s="207">
        <v>1194.01994303585</v>
      </c>
      <c r="E31" s="207">
        <v>1274.0717043718876</v>
      </c>
    </row>
    <row r="32" spans="1:13" x14ac:dyDescent="0.2">
      <c r="A32" s="191" t="s">
        <v>26</v>
      </c>
      <c r="B32" s="208">
        <v>6474.5988984381875</v>
      </c>
      <c r="C32" s="208">
        <v>1107.8432928434247</v>
      </c>
      <c r="D32" s="208">
        <v>667.94518068960724</v>
      </c>
      <c r="E32" s="208">
        <v>439.89811215381741</v>
      </c>
    </row>
    <row r="33" spans="1:5" x14ac:dyDescent="0.2">
      <c r="A33" s="366" t="s">
        <v>26</v>
      </c>
      <c r="B33" s="207">
        <v>6474.5988984381875</v>
      </c>
      <c r="C33" s="207">
        <v>1107.8432928434247</v>
      </c>
      <c r="D33" s="207">
        <v>667.94518068960724</v>
      </c>
      <c r="E33" s="207">
        <v>439.89811215381741</v>
      </c>
    </row>
    <row r="34" spans="1:5" x14ac:dyDescent="0.2">
      <c r="A34" s="191" t="s">
        <v>27</v>
      </c>
      <c r="B34" s="208">
        <v>32464.012614044663</v>
      </c>
      <c r="C34" s="208">
        <v>7884.1477849698895</v>
      </c>
      <c r="D34" s="208">
        <v>3603.956500638003</v>
      </c>
      <c r="E34" s="208">
        <v>4280.191284331886</v>
      </c>
    </row>
    <row r="35" spans="1:5" x14ac:dyDescent="0.2">
      <c r="A35" s="366" t="s">
        <v>27</v>
      </c>
      <c r="B35" s="207">
        <v>32464.012614044663</v>
      </c>
      <c r="C35" s="207">
        <v>7884.1477849698895</v>
      </c>
      <c r="D35" s="207">
        <v>3603.956500638003</v>
      </c>
      <c r="E35" s="207">
        <v>4280.191284331886</v>
      </c>
    </row>
    <row r="36" spans="1:5" x14ac:dyDescent="0.2">
      <c r="A36" s="191" t="s">
        <v>28</v>
      </c>
      <c r="B36" s="208">
        <v>83071.307638567145</v>
      </c>
      <c r="C36" s="208">
        <v>16462.556838684683</v>
      </c>
      <c r="D36" s="208">
        <v>7602.5098728476796</v>
      </c>
      <c r="E36" s="208">
        <v>8860.0469658370039</v>
      </c>
    </row>
    <row r="37" spans="1:5" x14ac:dyDescent="0.2">
      <c r="A37" s="366" t="s">
        <v>28</v>
      </c>
      <c r="B37" s="207">
        <v>83071.307638567145</v>
      </c>
      <c r="C37" s="207">
        <v>16462.556838684683</v>
      </c>
      <c r="D37" s="207">
        <v>7602.5098728476796</v>
      </c>
      <c r="E37" s="207">
        <v>8860.0469658370039</v>
      </c>
    </row>
    <row r="38" spans="1:5" x14ac:dyDescent="0.2">
      <c r="A38" s="191" t="s">
        <v>29</v>
      </c>
      <c r="B38" s="208">
        <v>159779.43377624286</v>
      </c>
      <c r="C38" s="208">
        <v>25542.585949247215</v>
      </c>
      <c r="D38" s="208">
        <v>12323.160442360264</v>
      </c>
      <c r="E38" s="208">
        <v>13219.425506886953</v>
      </c>
    </row>
    <row r="39" spans="1:5" x14ac:dyDescent="0.2">
      <c r="A39" s="366" t="s">
        <v>30</v>
      </c>
      <c r="B39" s="207">
        <v>97584.851012632716</v>
      </c>
      <c r="C39" s="207">
        <v>12810.050470892147</v>
      </c>
      <c r="D39" s="207">
        <v>6449.5264586591575</v>
      </c>
      <c r="E39" s="207">
        <v>6360.5240122329906</v>
      </c>
    </row>
    <row r="40" spans="1:5" x14ac:dyDescent="0.2">
      <c r="A40" s="366" t="s">
        <v>29</v>
      </c>
      <c r="B40" s="207">
        <v>62194.582763640698</v>
      </c>
      <c r="C40" s="207">
        <v>12732.535478355199</v>
      </c>
      <c r="D40" s="207">
        <v>5873.6339837010328</v>
      </c>
      <c r="E40" s="207">
        <v>6858.9014946541665</v>
      </c>
    </row>
    <row r="41" spans="1:5" x14ac:dyDescent="0.2">
      <c r="A41" s="191" t="s">
        <v>31</v>
      </c>
      <c r="B41" s="208">
        <v>69092.477773626364</v>
      </c>
      <c r="C41" s="208">
        <v>15519.106444951354</v>
      </c>
      <c r="D41" s="208">
        <v>7166.487239494083</v>
      </c>
      <c r="E41" s="208">
        <v>8352.6192054572712</v>
      </c>
    </row>
    <row r="42" spans="1:5" x14ac:dyDescent="0.2">
      <c r="A42" s="366" t="s">
        <v>31</v>
      </c>
      <c r="B42" s="207">
        <v>69092.477773626364</v>
      </c>
      <c r="C42" s="207">
        <v>15519.106444951354</v>
      </c>
      <c r="D42" s="207">
        <v>7166.487239494083</v>
      </c>
      <c r="E42" s="207">
        <v>8352.6192054572712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ABD00"/>
  </sheetPr>
  <dimension ref="A1"/>
  <sheetViews>
    <sheetView topLeftCell="A4" workbookViewId="0">
      <selection activeCell="O25" sqref="O25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7"/>
  <sheetViews>
    <sheetView workbookViewId="0">
      <selection activeCell="H33" sqref="H33"/>
    </sheetView>
  </sheetViews>
  <sheetFormatPr defaultRowHeight="12" x14ac:dyDescent="0.2"/>
  <cols>
    <col min="1" max="1" width="89.42578125" style="575" customWidth="1"/>
    <col min="2" max="2" width="58.140625" style="575" bestFit="1" customWidth="1"/>
    <col min="3" max="3" width="20.5703125" style="575" customWidth="1"/>
    <col min="4" max="4" width="24.42578125" style="575" customWidth="1"/>
    <col min="5" max="16384" width="9.140625" style="575"/>
  </cols>
  <sheetData>
    <row r="1" spans="1:4" x14ac:dyDescent="0.2">
      <c r="A1" s="686" t="s">
        <v>229</v>
      </c>
      <c r="B1" s="686"/>
      <c r="C1" s="686"/>
      <c r="D1" s="686"/>
    </row>
    <row r="2" spans="1:4" x14ac:dyDescent="0.2">
      <c r="A2" s="687"/>
      <c r="B2" s="687"/>
      <c r="C2" s="687"/>
      <c r="D2" s="687"/>
    </row>
    <row r="3" spans="1:4" x14ac:dyDescent="0.2">
      <c r="A3" s="688" t="s">
        <v>230</v>
      </c>
      <c r="B3" s="688" t="s">
        <v>231</v>
      </c>
      <c r="C3" s="690">
        <v>2024</v>
      </c>
      <c r="D3" s="691"/>
    </row>
    <row r="4" spans="1:4" x14ac:dyDescent="0.2">
      <c r="A4" s="689"/>
      <c r="B4" s="689"/>
      <c r="C4" s="108" t="s">
        <v>232</v>
      </c>
      <c r="D4" s="108" t="s">
        <v>233</v>
      </c>
    </row>
    <row r="5" spans="1:4" x14ac:dyDescent="0.2">
      <c r="A5" s="681" t="s">
        <v>234</v>
      </c>
      <c r="B5" s="109" t="s">
        <v>235</v>
      </c>
      <c r="C5" s="110">
        <v>1456814.6763929252</v>
      </c>
      <c r="D5" s="111">
        <v>97.563452452356799</v>
      </c>
    </row>
    <row r="6" spans="1:4" x14ac:dyDescent="0.2">
      <c r="A6" s="682"/>
      <c r="B6" s="109" t="s">
        <v>236</v>
      </c>
      <c r="C6" s="110">
        <v>32338.523347293238</v>
      </c>
      <c r="D6" s="111">
        <v>2.1657236408296998</v>
      </c>
    </row>
    <row r="7" spans="1:4" x14ac:dyDescent="0.2">
      <c r="A7" s="682"/>
      <c r="B7" s="109" t="s">
        <v>237</v>
      </c>
      <c r="C7" s="110">
        <v>3412.9065435257439</v>
      </c>
      <c r="D7" s="111">
        <v>0.22856369494295092</v>
      </c>
    </row>
    <row r="8" spans="1:4" x14ac:dyDescent="0.2">
      <c r="A8" s="682"/>
      <c r="B8" s="109" t="s">
        <v>238</v>
      </c>
      <c r="C8" s="110">
        <v>631.0282723094881</v>
      </c>
      <c r="D8" s="111">
        <v>4.2260211843809958E-2</v>
      </c>
    </row>
    <row r="9" spans="1:4" x14ac:dyDescent="0.2">
      <c r="A9" s="683"/>
      <c r="B9" s="112" t="s">
        <v>239</v>
      </c>
      <c r="C9" s="113">
        <v>1493197.1345563552</v>
      </c>
      <c r="D9" s="114">
        <v>99.999999999518835</v>
      </c>
    </row>
    <row r="10" spans="1:4" x14ac:dyDescent="0.2">
      <c r="A10" s="115"/>
      <c r="B10" s="115"/>
      <c r="C10" s="116"/>
      <c r="D10" s="117"/>
    </row>
    <row r="11" spans="1:4" x14ac:dyDescent="0.2">
      <c r="A11" s="680" t="s">
        <v>240</v>
      </c>
      <c r="B11" s="109" t="s">
        <v>235</v>
      </c>
      <c r="C11" s="110">
        <v>1478597.9478584446</v>
      </c>
      <c r="D11" s="111">
        <v>99.022286718873914</v>
      </c>
    </row>
    <row r="12" spans="1:4" x14ac:dyDescent="0.2">
      <c r="A12" s="680"/>
      <c r="B12" s="109" t="s">
        <v>236</v>
      </c>
      <c r="C12" s="110">
        <v>12332.72967379335</v>
      </c>
      <c r="D12" s="111">
        <v>0.82592776187267547</v>
      </c>
    </row>
    <row r="13" spans="1:4" x14ac:dyDescent="0.2">
      <c r="A13" s="680"/>
      <c r="B13" s="109" t="s">
        <v>237</v>
      </c>
      <c r="C13" s="110">
        <v>1739.2453240625928</v>
      </c>
      <c r="D13" s="111">
        <v>0.11647794412481161</v>
      </c>
    </row>
    <row r="14" spans="1:4" x14ac:dyDescent="0.2">
      <c r="A14" s="680"/>
      <c r="B14" s="109" t="s">
        <v>241</v>
      </c>
      <c r="C14" s="110">
        <v>527.21169991993315</v>
      </c>
      <c r="D14" s="111">
        <v>3.5307575116419306E-2</v>
      </c>
    </row>
    <row r="15" spans="1:4" x14ac:dyDescent="0.2">
      <c r="A15" s="680"/>
      <c r="B15" s="112" t="s">
        <v>2</v>
      </c>
      <c r="C15" s="113">
        <v>1493197.1345563552</v>
      </c>
      <c r="D15" s="114">
        <v>100.00000000007928</v>
      </c>
    </row>
    <row r="16" spans="1:4" x14ac:dyDescent="0.2">
      <c r="A16" s="115"/>
      <c r="B16" s="115"/>
      <c r="C16" s="116"/>
      <c r="D16" s="117"/>
    </row>
    <row r="17" spans="1:4" x14ac:dyDescent="0.2">
      <c r="A17" s="680" t="s">
        <v>242</v>
      </c>
      <c r="B17" s="109" t="s">
        <v>235</v>
      </c>
      <c r="C17" s="110">
        <v>1474431.9765342677</v>
      </c>
      <c r="D17" s="111">
        <v>98.743289979075783</v>
      </c>
    </row>
    <row r="18" spans="1:4" x14ac:dyDescent="0.2">
      <c r="A18" s="680"/>
      <c r="B18" s="109" t="s">
        <v>236</v>
      </c>
      <c r="C18" s="110">
        <v>14589.119470265156</v>
      </c>
      <c r="D18" s="111">
        <v>0.97703907492386199</v>
      </c>
    </row>
    <row r="19" spans="1:4" x14ac:dyDescent="0.2">
      <c r="A19" s="680"/>
      <c r="B19" s="109" t="s">
        <v>237</v>
      </c>
      <c r="C19" s="110">
        <v>3379.6635776623557</v>
      </c>
      <c r="D19" s="111">
        <v>0.22633740043072273</v>
      </c>
    </row>
    <row r="20" spans="1:4" x14ac:dyDescent="0.2">
      <c r="A20" s="680"/>
      <c r="B20" s="109" t="s">
        <v>243</v>
      </c>
      <c r="C20" s="110">
        <v>796.37497394723948</v>
      </c>
      <c r="D20" s="111">
        <v>5.333354555247706E-2</v>
      </c>
    </row>
    <row r="21" spans="1:4" x14ac:dyDescent="0.2">
      <c r="A21" s="680"/>
      <c r="B21" s="112" t="s">
        <v>2</v>
      </c>
      <c r="C21" s="113">
        <v>1493197.1345569987</v>
      </c>
      <c r="D21" s="114">
        <v>100.00000000001245</v>
      </c>
    </row>
    <row r="22" spans="1:4" x14ac:dyDescent="0.2">
      <c r="A22" s="115"/>
      <c r="B22" s="115"/>
      <c r="C22" s="116"/>
      <c r="D22" s="117"/>
    </row>
    <row r="23" spans="1:4" x14ac:dyDescent="0.2">
      <c r="A23" s="681" t="s">
        <v>244</v>
      </c>
      <c r="B23" s="109" t="s">
        <v>235</v>
      </c>
      <c r="C23" s="110">
        <v>1487144.4205862458</v>
      </c>
      <c r="D23" s="111">
        <v>99.594647362356696</v>
      </c>
    </row>
    <row r="24" spans="1:4" x14ac:dyDescent="0.2">
      <c r="A24" s="682"/>
      <c r="B24" s="109" t="s">
        <v>236</v>
      </c>
      <c r="C24" s="110">
        <v>4235.5839510840797</v>
      </c>
      <c r="D24" s="111">
        <v>0.28365872483010718</v>
      </c>
    </row>
    <row r="25" spans="1:4" x14ac:dyDescent="0.2">
      <c r="A25" s="682"/>
      <c r="B25" s="109" t="s">
        <v>237</v>
      </c>
      <c r="C25" s="110">
        <v>1278.2376464545816</v>
      </c>
      <c r="D25" s="111">
        <v>8.5604078448342849E-2</v>
      </c>
    </row>
    <row r="26" spans="1:4" x14ac:dyDescent="0.2">
      <c r="A26" s="682"/>
      <c r="B26" s="109" t="s">
        <v>245</v>
      </c>
      <c r="C26" s="110">
        <v>538.89237254144723</v>
      </c>
      <c r="D26" s="111">
        <v>3.6089834360774176E-2</v>
      </c>
    </row>
    <row r="27" spans="1:4" x14ac:dyDescent="0.2">
      <c r="A27" s="683"/>
      <c r="B27" s="112" t="s">
        <v>2</v>
      </c>
      <c r="C27" s="113">
        <v>1493197.1345569987</v>
      </c>
      <c r="D27" s="114">
        <v>100.00000000003865</v>
      </c>
    </row>
    <row r="28" spans="1:4" x14ac:dyDescent="0.2">
      <c r="A28" s="115"/>
      <c r="B28" s="115"/>
      <c r="C28" s="116"/>
      <c r="D28" s="117"/>
    </row>
    <row r="29" spans="1:4" x14ac:dyDescent="0.2">
      <c r="A29" s="680" t="s">
        <v>246</v>
      </c>
      <c r="B29" s="109" t="s">
        <v>235</v>
      </c>
      <c r="C29" s="110">
        <v>1480403.235636767</v>
      </c>
      <c r="D29" s="111">
        <v>99.143187552122697</v>
      </c>
    </row>
    <row r="30" spans="1:4" x14ac:dyDescent="0.2">
      <c r="A30" s="680"/>
      <c r="B30" s="109" t="s">
        <v>236</v>
      </c>
      <c r="C30" s="110">
        <v>10562.792925503194</v>
      </c>
      <c r="D30" s="111">
        <v>0.7073944009835621</v>
      </c>
    </row>
    <row r="31" spans="1:4" x14ac:dyDescent="0.2">
      <c r="A31" s="680"/>
      <c r="B31" s="109" t="s">
        <v>237</v>
      </c>
      <c r="C31" s="110">
        <v>1750.0221353689753</v>
      </c>
      <c r="D31" s="111">
        <v>0.11719967142102582</v>
      </c>
    </row>
    <row r="32" spans="1:4" x14ac:dyDescent="0.2">
      <c r="A32" s="680"/>
      <c r="B32" s="109" t="s">
        <v>247</v>
      </c>
      <c r="C32" s="110">
        <v>481.08385921666365</v>
      </c>
      <c r="D32" s="111">
        <v>3.2218375463156208E-2</v>
      </c>
    </row>
    <row r="33" spans="1:4" x14ac:dyDescent="0.2">
      <c r="A33" s="680"/>
      <c r="B33" s="112" t="s">
        <v>2</v>
      </c>
      <c r="C33" s="113">
        <v>1493197.1345569987</v>
      </c>
      <c r="D33" s="114">
        <v>100.00000000007384</v>
      </c>
    </row>
    <row r="34" spans="1:4" x14ac:dyDescent="0.2">
      <c r="A34" s="115"/>
      <c r="B34" s="115"/>
      <c r="C34" s="116"/>
      <c r="D34" s="117"/>
    </row>
    <row r="35" spans="1:4" x14ac:dyDescent="0.2">
      <c r="A35" s="680" t="s">
        <v>248</v>
      </c>
      <c r="B35" s="109" t="s">
        <v>235</v>
      </c>
      <c r="C35" s="110">
        <v>1486017.1101783104</v>
      </c>
      <c r="D35" s="111">
        <v>99.51915094049501</v>
      </c>
    </row>
    <row r="36" spans="1:4" x14ac:dyDescent="0.2">
      <c r="A36" s="680"/>
      <c r="B36" s="109" t="s">
        <v>236</v>
      </c>
      <c r="C36" s="110">
        <v>5597.8200209358529</v>
      </c>
      <c r="D36" s="111">
        <v>0.37488821076505946</v>
      </c>
    </row>
    <row r="37" spans="1:4" x14ac:dyDescent="0.2">
      <c r="A37" s="680"/>
      <c r="B37" s="109" t="s">
        <v>237</v>
      </c>
      <c r="C37" s="110">
        <v>1268.0055736196584</v>
      </c>
      <c r="D37" s="111">
        <v>8.4918832502035843E-2</v>
      </c>
    </row>
    <row r="38" spans="1:4" x14ac:dyDescent="0.2">
      <c r="A38" s="680"/>
      <c r="B38" s="109" t="s">
        <v>249</v>
      </c>
      <c r="C38" s="110">
        <v>314.19878343049913</v>
      </c>
      <c r="D38" s="111">
        <v>2.1042016232084158E-2</v>
      </c>
    </row>
    <row r="39" spans="1:4" x14ac:dyDescent="0.2">
      <c r="A39" s="680"/>
      <c r="B39" s="112" t="s">
        <v>2</v>
      </c>
      <c r="C39" s="113">
        <v>1493197.1345569987</v>
      </c>
      <c r="D39" s="114">
        <v>100.00000000003276</v>
      </c>
    </row>
    <row r="40" spans="1:4" x14ac:dyDescent="0.2">
      <c r="A40" s="115"/>
      <c r="B40" s="115"/>
      <c r="C40" s="116"/>
      <c r="D40" s="117"/>
    </row>
    <row r="41" spans="1:4" x14ac:dyDescent="0.2">
      <c r="A41" s="684" t="s">
        <v>250</v>
      </c>
      <c r="B41" s="109" t="s">
        <v>235</v>
      </c>
      <c r="C41" s="110">
        <v>1486996.1058369833</v>
      </c>
      <c r="D41" s="111">
        <v>99.584714665204359</v>
      </c>
    </row>
    <row r="42" spans="1:4" x14ac:dyDescent="0.2">
      <c r="A42" s="684"/>
      <c r="B42" s="109" t="s">
        <v>236</v>
      </c>
      <c r="C42" s="110">
        <v>4390.6041379734379</v>
      </c>
      <c r="D42" s="111">
        <v>0.29404048778033864</v>
      </c>
    </row>
    <row r="43" spans="1:4" x14ac:dyDescent="0.2">
      <c r="A43" s="684"/>
      <c r="B43" s="109" t="s">
        <v>237</v>
      </c>
      <c r="C43" s="110">
        <v>1474.5851021835622</v>
      </c>
      <c r="D43" s="111">
        <v>9.8753544864057186E-2</v>
      </c>
    </row>
    <row r="44" spans="1:4" x14ac:dyDescent="0.2">
      <c r="A44" s="684"/>
      <c r="B44" s="109" t="s">
        <v>251</v>
      </c>
      <c r="C44" s="110">
        <v>335.83947916430515</v>
      </c>
      <c r="D44" s="111">
        <v>2.2491302145710459E-2</v>
      </c>
    </row>
    <row r="45" spans="1:4" x14ac:dyDescent="0.2">
      <c r="A45" s="684"/>
      <c r="B45" s="112" t="s">
        <v>2</v>
      </c>
      <c r="C45" s="113">
        <v>1493197.1345569987</v>
      </c>
      <c r="D45" s="114">
        <v>100.00000000003834</v>
      </c>
    </row>
    <row r="46" spans="1:4" x14ac:dyDescent="0.2">
      <c r="A46" s="685" t="s">
        <v>252</v>
      </c>
      <c r="B46" s="685"/>
      <c r="C46" s="685"/>
      <c r="D46" s="685"/>
    </row>
    <row r="47" spans="1:4" x14ac:dyDescent="0.2">
      <c r="A47" s="679" t="s">
        <v>253</v>
      </c>
      <c r="B47" s="679"/>
      <c r="C47" s="679"/>
      <c r="D47" s="679"/>
    </row>
  </sheetData>
  <mergeCells count="13">
    <mergeCell ref="A11:A15"/>
    <mergeCell ref="A1:D2"/>
    <mergeCell ref="A3:A4"/>
    <mergeCell ref="B3:B4"/>
    <mergeCell ref="C3:D3"/>
    <mergeCell ref="A5:A9"/>
    <mergeCell ref="A47:D47"/>
    <mergeCell ref="A17:A21"/>
    <mergeCell ref="A23:A27"/>
    <mergeCell ref="A29:A33"/>
    <mergeCell ref="A35:A39"/>
    <mergeCell ref="A41:A45"/>
    <mergeCell ref="A46:D4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9"/>
  <sheetViews>
    <sheetView workbookViewId="0">
      <selection activeCell="A2" sqref="A2"/>
    </sheetView>
  </sheetViews>
  <sheetFormatPr defaultRowHeight="12" x14ac:dyDescent="0.2"/>
  <cols>
    <col min="1" max="1" width="20" style="575" customWidth="1"/>
    <col min="2" max="2" width="13.7109375" style="575" customWidth="1"/>
    <col min="3" max="5" width="13.42578125" style="575" customWidth="1"/>
    <col min="6" max="16384" width="9.140625" style="575"/>
  </cols>
  <sheetData>
    <row r="1" spans="1:5" ht="15" customHeight="1" x14ac:dyDescent="0.2">
      <c r="A1" s="692" t="s">
        <v>254</v>
      </c>
      <c r="B1" s="692"/>
      <c r="C1" s="692"/>
      <c r="D1" s="692"/>
      <c r="E1" s="692"/>
    </row>
    <row r="2" spans="1:5" ht="26.25" customHeight="1" x14ac:dyDescent="0.2">
      <c r="A2" s="919" t="s">
        <v>585</v>
      </c>
      <c r="B2" s="324" t="s">
        <v>35</v>
      </c>
      <c r="C2" s="324" t="s">
        <v>2</v>
      </c>
      <c r="D2" s="324" t="s">
        <v>3</v>
      </c>
      <c r="E2" s="324" t="s">
        <v>4</v>
      </c>
    </row>
    <row r="3" spans="1:5" x14ac:dyDescent="0.2">
      <c r="A3" s="121" t="s">
        <v>32</v>
      </c>
      <c r="B3" s="212">
        <v>1806416.5354220376</v>
      </c>
      <c r="C3" s="212">
        <v>22786.527553520413</v>
      </c>
      <c r="D3" s="212">
        <v>11049.911895380066</v>
      </c>
      <c r="E3" s="212">
        <v>11736.615658140348</v>
      </c>
    </row>
    <row r="4" spans="1:5" x14ac:dyDescent="0.2">
      <c r="A4" s="122"/>
      <c r="B4" s="207"/>
      <c r="C4" s="208"/>
      <c r="D4" s="207"/>
      <c r="E4" s="207"/>
    </row>
    <row r="5" spans="1:5" x14ac:dyDescent="0.2">
      <c r="A5" s="123" t="s">
        <v>362</v>
      </c>
      <c r="B5" s="212"/>
      <c r="C5" s="212"/>
      <c r="D5" s="212"/>
      <c r="E5" s="212"/>
    </row>
    <row r="6" spans="1:5" x14ac:dyDescent="0.2">
      <c r="A6" s="122" t="s">
        <v>8</v>
      </c>
      <c r="B6" s="207">
        <v>460652.75562326168</v>
      </c>
      <c r="C6" s="207">
        <f t="shared" ref="C6:C7" si="0">D6+E6</f>
        <v>4701.9962523312324</v>
      </c>
      <c r="D6" s="207">
        <v>2243.2476690647945</v>
      </c>
      <c r="E6" s="207">
        <v>2458.7485832664379</v>
      </c>
    </row>
    <row r="7" spans="1:5" x14ac:dyDescent="0.2">
      <c r="A7" s="122" t="s">
        <v>9</v>
      </c>
      <c r="B7" s="207">
        <v>1345763.7797914867</v>
      </c>
      <c r="C7" s="207">
        <f t="shared" si="0"/>
        <v>18084.531301189149</v>
      </c>
      <c r="D7" s="207">
        <v>8806.6642263152826</v>
      </c>
      <c r="E7" s="207">
        <v>9277.8670748738659</v>
      </c>
    </row>
    <row r="8" spans="1:5" x14ac:dyDescent="0.2">
      <c r="A8" s="123" t="s">
        <v>361</v>
      </c>
      <c r="B8" s="215"/>
      <c r="C8" s="215"/>
      <c r="D8" s="215"/>
      <c r="E8" s="215"/>
    </row>
    <row r="9" spans="1:5" x14ac:dyDescent="0.2">
      <c r="A9" s="124" t="s">
        <v>11</v>
      </c>
      <c r="B9" s="208">
        <v>247337.5218334712</v>
      </c>
      <c r="C9" s="208">
        <v>3268.5765801501211</v>
      </c>
      <c r="D9" s="208">
        <v>1458.1177141927574</v>
      </c>
      <c r="E9" s="208">
        <v>1810.4588659573637</v>
      </c>
    </row>
    <row r="10" spans="1:5" x14ac:dyDescent="0.2">
      <c r="A10" s="366" t="s">
        <v>12</v>
      </c>
      <c r="B10" s="207">
        <v>155253.79728266655</v>
      </c>
      <c r="C10" s="207">
        <v>1303.9155733365578</v>
      </c>
      <c r="D10" s="207">
        <v>607.63655060175142</v>
      </c>
      <c r="E10" s="207">
        <v>696.2790227348064</v>
      </c>
    </row>
    <row r="11" spans="1:5" x14ac:dyDescent="0.2">
      <c r="A11" s="918" t="s">
        <v>13</v>
      </c>
      <c r="B11" s="207">
        <v>92083.724550804647</v>
      </c>
      <c r="C11" s="207">
        <v>1964.6610068135633</v>
      </c>
      <c r="D11" s="207">
        <v>850.48116359100584</v>
      </c>
      <c r="E11" s="207">
        <v>1114.1798432225573</v>
      </c>
    </row>
    <row r="12" spans="1:5" x14ac:dyDescent="0.2">
      <c r="A12" s="124" t="s">
        <v>44</v>
      </c>
      <c r="B12" s="208">
        <v>500288.17298834608</v>
      </c>
      <c r="C12" s="208">
        <v>6059.4328297516849</v>
      </c>
      <c r="D12" s="208">
        <v>2937.1801185083423</v>
      </c>
      <c r="E12" s="208">
        <v>3122.2527112433427</v>
      </c>
    </row>
    <row r="13" spans="1:5" x14ac:dyDescent="0.2">
      <c r="A13" s="918" t="s">
        <v>15</v>
      </c>
      <c r="B13" s="207">
        <v>401981.02633520123</v>
      </c>
      <c r="C13" s="207">
        <v>4496.1291674760178</v>
      </c>
      <c r="D13" s="207">
        <v>2193.4522178463462</v>
      </c>
      <c r="E13" s="207">
        <v>2302.6769496296715</v>
      </c>
    </row>
    <row r="14" spans="1:5" x14ac:dyDescent="0.2">
      <c r="A14" s="918" t="s">
        <v>16</v>
      </c>
      <c r="B14" s="207">
        <v>98307.146653144824</v>
      </c>
      <c r="C14" s="207">
        <v>1563.3036622756672</v>
      </c>
      <c r="D14" s="207">
        <v>743.72790066199582</v>
      </c>
      <c r="E14" s="207">
        <v>819.57576161367126</v>
      </c>
    </row>
    <row r="15" spans="1:5" x14ac:dyDescent="0.2">
      <c r="A15" s="124" t="s">
        <v>17</v>
      </c>
      <c r="B15" s="208">
        <v>35716.783750647031</v>
      </c>
      <c r="C15" s="208">
        <v>197.81192429070836</v>
      </c>
      <c r="D15" s="208">
        <v>94.411468150828426</v>
      </c>
      <c r="E15" s="208">
        <v>103.40045613987994</v>
      </c>
    </row>
    <row r="16" spans="1:5" x14ac:dyDescent="0.2">
      <c r="A16" s="918" t="s">
        <v>17</v>
      </c>
      <c r="B16" s="207">
        <v>35716.783750647031</v>
      </c>
      <c r="C16" s="207">
        <v>197.81192429070836</v>
      </c>
      <c r="D16" s="207">
        <v>94.411468150828426</v>
      </c>
      <c r="E16" s="207">
        <v>103.40045613987994</v>
      </c>
    </row>
    <row r="17" spans="1:7" x14ac:dyDescent="0.2">
      <c r="A17" s="124" t="s">
        <v>18</v>
      </c>
      <c r="B17" s="208">
        <v>35425.088734112593</v>
      </c>
      <c r="C17" s="208">
        <v>226.71440324477277</v>
      </c>
      <c r="D17" s="208">
        <v>134.55923947038846</v>
      </c>
      <c r="E17" s="208">
        <v>92.155163774384306</v>
      </c>
    </row>
    <row r="18" spans="1:7" x14ac:dyDescent="0.2">
      <c r="A18" s="918" t="s">
        <v>18</v>
      </c>
      <c r="B18" s="207">
        <v>35425.088734112593</v>
      </c>
      <c r="C18" s="207">
        <v>226.71440324477277</v>
      </c>
      <c r="D18" s="207">
        <v>134.55923947038846</v>
      </c>
      <c r="E18" s="207">
        <v>92.155163774384306</v>
      </c>
    </row>
    <row r="19" spans="1:7" x14ac:dyDescent="0.2">
      <c r="A19" s="125" t="s">
        <v>19</v>
      </c>
      <c r="B19" s="208">
        <v>140924.93463936489</v>
      </c>
      <c r="C19" s="208">
        <v>981.37350924631573</v>
      </c>
      <c r="D19" s="208">
        <v>489.12063937741544</v>
      </c>
      <c r="E19" s="208">
        <v>492.25286986890035</v>
      </c>
    </row>
    <row r="20" spans="1:7" x14ac:dyDescent="0.2">
      <c r="A20" s="918" t="s">
        <v>19</v>
      </c>
      <c r="B20" s="207">
        <v>81990.080576216307</v>
      </c>
      <c r="C20" s="207">
        <v>762.59098423289834</v>
      </c>
      <c r="D20" s="207">
        <v>352.54561647433349</v>
      </c>
      <c r="E20" s="207">
        <v>410.04536775856491</v>
      </c>
      <c r="G20" s="917"/>
    </row>
    <row r="21" spans="1:7" x14ac:dyDescent="0.2">
      <c r="A21" s="918" t="s">
        <v>20</v>
      </c>
      <c r="B21" s="207">
        <v>58934.854063148581</v>
      </c>
      <c r="C21" s="207">
        <v>218.7825250134174</v>
      </c>
      <c r="D21" s="207">
        <v>136.57502290308196</v>
      </c>
      <c r="E21" s="207">
        <v>82.207502110335426</v>
      </c>
    </row>
    <row r="22" spans="1:7" x14ac:dyDescent="0.2">
      <c r="A22" s="124" t="s">
        <v>21</v>
      </c>
      <c r="B22" s="208">
        <v>76581.61095662821</v>
      </c>
      <c r="C22" s="208">
        <v>1163.584827871312</v>
      </c>
      <c r="D22" s="208">
        <v>572.84629773311315</v>
      </c>
      <c r="E22" s="208">
        <v>590.73853013819871</v>
      </c>
    </row>
    <row r="23" spans="1:7" x14ac:dyDescent="0.2">
      <c r="A23" s="918" t="s">
        <v>21</v>
      </c>
      <c r="B23" s="207">
        <v>76581.61095662821</v>
      </c>
      <c r="C23" s="207">
        <v>1163.584827871312</v>
      </c>
      <c r="D23" s="207">
        <v>572.84629773311315</v>
      </c>
      <c r="E23" s="207">
        <v>590.73853013819871</v>
      </c>
    </row>
    <row r="24" spans="1:7" x14ac:dyDescent="0.2">
      <c r="A24" s="124" t="s">
        <v>22</v>
      </c>
      <c r="B24" s="208">
        <v>138858.55921422734</v>
      </c>
      <c r="C24" s="208">
        <v>2748.7608247497619</v>
      </c>
      <c r="D24" s="208">
        <v>1358.8802987945696</v>
      </c>
      <c r="E24" s="208">
        <v>1389.8805259551925</v>
      </c>
    </row>
    <row r="25" spans="1:7" x14ac:dyDescent="0.2">
      <c r="A25" s="918" t="s">
        <v>22</v>
      </c>
      <c r="B25" s="207">
        <v>138858.55921422734</v>
      </c>
      <c r="C25" s="207">
        <v>2748.7608247497619</v>
      </c>
      <c r="D25" s="207">
        <v>1358.8802987945696</v>
      </c>
      <c r="E25" s="207">
        <v>1389.8805259551925</v>
      </c>
    </row>
    <row r="26" spans="1:7" x14ac:dyDescent="0.2">
      <c r="A26" s="124" t="s">
        <v>23</v>
      </c>
      <c r="B26" s="208">
        <v>181968.51821309575</v>
      </c>
      <c r="C26" s="208">
        <v>2094.4678780405775</v>
      </c>
      <c r="D26" s="208">
        <v>1014.4142515447249</v>
      </c>
      <c r="E26" s="208">
        <v>1080.0536264958523</v>
      </c>
    </row>
    <row r="27" spans="1:7" x14ac:dyDescent="0.2">
      <c r="A27" s="918" t="s">
        <v>23</v>
      </c>
      <c r="B27" s="207">
        <v>94966.722711778624</v>
      </c>
      <c r="C27" s="207">
        <v>1149.648966658408</v>
      </c>
      <c r="D27" s="207">
        <v>566.3905638577985</v>
      </c>
      <c r="E27" s="207">
        <v>583.25840280060959</v>
      </c>
    </row>
    <row r="28" spans="1:7" x14ac:dyDescent="0.2">
      <c r="A28" s="918" t="s">
        <v>24</v>
      </c>
      <c r="B28" s="207">
        <v>87001.79550131713</v>
      </c>
      <c r="C28" s="207">
        <v>944.81891138216906</v>
      </c>
      <c r="D28" s="207">
        <v>448.02368768692645</v>
      </c>
      <c r="E28" s="207">
        <v>496.79522369524261</v>
      </c>
    </row>
    <row r="29" spans="1:7" x14ac:dyDescent="0.2">
      <c r="A29" s="124" t="s">
        <v>25</v>
      </c>
      <c r="B29" s="208">
        <v>19163.095179749624</v>
      </c>
      <c r="C29" s="208">
        <v>102.80909231251866</v>
      </c>
      <c r="D29" s="208">
        <v>57.905800597847829</v>
      </c>
      <c r="E29" s="208">
        <v>44.903291714670821</v>
      </c>
    </row>
    <row r="30" spans="1:7" x14ac:dyDescent="0.2">
      <c r="A30" s="918" t="s">
        <v>25</v>
      </c>
      <c r="B30" s="207">
        <v>19163.095179749624</v>
      </c>
      <c r="C30" s="207">
        <v>102.80909231251866</v>
      </c>
      <c r="D30" s="207">
        <v>57.905800597847829</v>
      </c>
      <c r="E30" s="207">
        <v>44.903291714670821</v>
      </c>
    </row>
    <row r="31" spans="1:7" x14ac:dyDescent="0.2">
      <c r="A31" s="124" t="s">
        <v>26</v>
      </c>
      <c r="B31" s="208">
        <v>48252.398010986966</v>
      </c>
      <c r="C31" s="208">
        <v>380.50328911656311</v>
      </c>
      <c r="D31" s="208">
        <v>190.81463656494799</v>
      </c>
      <c r="E31" s="208">
        <v>189.68865255161515</v>
      </c>
    </row>
    <row r="32" spans="1:7" x14ac:dyDescent="0.2">
      <c r="A32" s="918" t="s">
        <v>26</v>
      </c>
      <c r="B32" s="207">
        <v>7995.6423310799501</v>
      </c>
      <c r="C32" s="207">
        <v>26.947065371962839</v>
      </c>
      <c r="D32" s="207">
        <v>19.018660069862435</v>
      </c>
      <c r="E32" s="207">
        <v>7.9284053021004057</v>
      </c>
    </row>
    <row r="33" spans="1:5" x14ac:dyDescent="0.2">
      <c r="A33" s="918" t="s">
        <v>27</v>
      </c>
      <c r="B33" s="207">
        <v>40256.755679907015</v>
      </c>
      <c r="C33" s="207">
        <v>353.55622374460029</v>
      </c>
      <c r="D33" s="207">
        <v>171.79597649508554</v>
      </c>
      <c r="E33" s="207">
        <v>181.76024724951475</v>
      </c>
    </row>
    <row r="34" spans="1:5" x14ac:dyDescent="0.2">
      <c r="A34" s="124" t="s">
        <v>28</v>
      </c>
      <c r="B34" s="208">
        <v>99995.993903428112</v>
      </c>
      <c r="C34" s="208">
        <v>2407.8580741224664</v>
      </c>
      <c r="D34" s="208">
        <v>1207.4779546927145</v>
      </c>
      <c r="E34" s="208">
        <v>1200.3801194297519</v>
      </c>
    </row>
    <row r="35" spans="1:5" x14ac:dyDescent="0.2">
      <c r="A35" s="918" t="s">
        <v>28</v>
      </c>
      <c r="B35" s="207">
        <v>99995.993903428112</v>
      </c>
      <c r="C35" s="207">
        <v>2407.8580741224664</v>
      </c>
      <c r="D35" s="207">
        <v>1207.4779546927145</v>
      </c>
      <c r="E35" s="207">
        <v>1200.3801194297519</v>
      </c>
    </row>
    <row r="36" spans="1:5" x14ac:dyDescent="0.2">
      <c r="A36" s="124" t="s">
        <v>29</v>
      </c>
      <c r="B36" s="208">
        <v>281903.85798048432</v>
      </c>
      <c r="C36" s="208">
        <v>3154.6343206234669</v>
      </c>
      <c r="D36" s="208">
        <v>1534.1834757523682</v>
      </c>
      <c r="E36" s="208">
        <v>1620.4508448710985</v>
      </c>
    </row>
    <row r="37" spans="1:5" x14ac:dyDescent="0.2">
      <c r="A37" s="918" t="s">
        <v>30</v>
      </c>
      <c r="B37" s="207">
        <v>121590.06075350314</v>
      </c>
      <c r="C37" s="207">
        <v>1083.0595717037302</v>
      </c>
      <c r="D37" s="207">
        <v>525.57835616506225</v>
      </c>
      <c r="E37" s="207">
        <v>557.48121553866793</v>
      </c>
    </row>
    <row r="38" spans="1:5" x14ac:dyDescent="0.2">
      <c r="A38" s="918" t="s">
        <v>29</v>
      </c>
      <c r="B38" s="207">
        <v>76810.237964488639</v>
      </c>
      <c r="C38" s="207">
        <v>676.47294992510854</v>
      </c>
      <c r="D38" s="207">
        <v>354.7859730639978</v>
      </c>
      <c r="E38" s="207">
        <v>321.68697686111074</v>
      </c>
    </row>
    <row r="39" spans="1:5" x14ac:dyDescent="0.2">
      <c r="A39" s="124" t="s">
        <v>31</v>
      </c>
      <c r="B39" s="208">
        <v>83503.559262492534</v>
      </c>
      <c r="C39" s="208">
        <v>1395.1017989946279</v>
      </c>
      <c r="D39" s="208">
        <v>653.81914652330806</v>
      </c>
      <c r="E39" s="208">
        <v>741.28265247131981</v>
      </c>
    </row>
  </sheetData>
  <mergeCells count="1"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42"/>
  <sheetViews>
    <sheetView workbookViewId="0">
      <selection activeCell="A2" sqref="A2:A3"/>
    </sheetView>
  </sheetViews>
  <sheetFormatPr defaultRowHeight="12" x14ac:dyDescent="0.2"/>
  <cols>
    <col min="1" max="1" width="20" style="575" customWidth="1"/>
    <col min="2" max="2" width="13.85546875" style="575" customWidth="1"/>
    <col min="3" max="3" width="12.7109375" style="575" customWidth="1"/>
    <col min="4" max="4" width="10.5703125" style="575" customWidth="1"/>
    <col min="5" max="5" width="10.85546875" style="575" customWidth="1"/>
    <col min="6" max="6" width="11.140625" style="575" customWidth="1"/>
    <col min="7" max="7" width="16" style="575" customWidth="1"/>
    <col min="8" max="16384" width="9.140625" style="575"/>
  </cols>
  <sheetData>
    <row r="1" spans="1:10" ht="22.5" customHeight="1" thickBot="1" x14ac:dyDescent="0.25">
      <c r="A1" s="693" t="s">
        <v>543</v>
      </c>
      <c r="B1" s="693"/>
      <c r="C1" s="693"/>
      <c r="D1" s="693"/>
      <c r="E1" s="693"/>
      <c r="F1" s="693"/>
      <c r="G1" s="693"/>
    </row>
    <row r="2" spans="1:10" ht="15.75" customHeight="1" x14ac:dyDescent="0.2">
      <c r="A2" s="694" t="s">
        <v>585</v>
      </c>
      <c r="B2" s="694" t="s">
        <v>35</v>
      </c>
      <c r="C2" s="696" t="s">
        <v>544</v>
      </c>
      <c r="D2" s="695" t="s">
        <v>36</v>
      </c>
      <c r="E2" s="695"/>
      <c r="F2" s="695"/>
      <c r="G2" s="695"/>
    </row>
    <row r="3" spans="1:10" ht="21" customHeight="1" x14ac:dyDescent="0.2">
      <c r="A3" s="695"/>
      <c r="B3" s="695"/>
      <c r="C3" s="697"/>
      <c r="D3" s="382" t="s">
        <v>37</v>
      </c>
      <c r="E3" s="382" t="s">
        <v>38</v>
      </c>
      <c r="F3" s="382" t="s">
        <v>39</v>
      </c>
      <c r="G3" s="382" t="s">
        <v>40</v>
      </c>
    </row>
    <row r="4" spans="1:10" x14ac:dyDescent="0.2">
      <c r="A4" s="118" t="s">
        <v>32</v>
      </c>
      <c r="B4" s="212">
        <v>1806416.5354220376</v>
      </c>
      <c r="C4" s="212">
        <v>22786.527553519572</v>
      </c>
      <c r="D4" s="212">
        <v>4195.6552967639118</v>
      </c>
      <c r="E4" s="212">
        <v>6231.7148255420852</v>
      </c>
      <c r="F4" s="212">
        <v>11859.059271739028</v>
      </c>
      <c r="G4" s="212">
        <v>500.09815947454501</v>
      </c>
    </row>
    <row r="5" spans="1:10" x14ac:dyDescent="0.2">
      <c r="A5" s="119"/>
      <c r="B5" s="207"/>
      <c r="C5" s="208"/>
      <c r="D5" s="207"/>
      <c r="E5" s="207"/>
      <c r="F5" s="207"/>
      <c r="G5" s="207"/>
    </row>
    <row r="6" spans="1:10" x14ac:dyDescent="0.2">
      <c r="A6" s="118" t="s">
        <v>363</v>
      </c>
      <c r="B6" s="212"/>
      <c r="C6" s="212"/>
      <c r="D6" s="215"/>
      <c r="E6" s="212"/>
      <c r="F6" s="212"/>
      <c r="G6" s="212"/>
    </row>
    <row r="7" spans="1:10" x14ac:dyDescent="0.2">
      <c r="A7" s="204" t="s">
        <v>8</v>
      </c>
      <c r="B7" s="207">
        <v>460652.75562326168</v>
      </c>
      <c r="C7" s="207">
        <v>4701.9962523312488</v>
      </c>
      <c r="D7" s="207">
        <v>734.95000232253028</v>
      </c>
      <c r="E7" s="207">
        <v>1309.5356750071071</v>
      </c>
      <c r="F7" s="207">
        <v>2605.3264192303545</v>
      </c>
      <c r="G7" s="207">
        <v>52.184155771256769</v>
      </c>
    </row>
    <row r="8" spans="1:10" x14ac:dyDescent="0.2">
      <c r="A8" s="204" t="s">
        <v>9</v>
      </c>
      <c r="B8" s="207">
        <v>1345763.7797914867</v>
      </c>
      <c r="C8" s="207">
        <v>18084.531301188865</v>
      </c>
      <c r="D8" s="207">
        <v>3460.7052944413849</v>
      </c>
      <c r="E8" s="207">
        <v>4922.179150535123</v>
      </c>
      <c r="F8" s="207">
        <v>9253.7328525090688</v>
      </c>
      <c r="G8" s="207">
        <v>447.91400370328813</v>
      </c>
    </row>
    <row r="9" spans="1:10" x14ac:dyDescent="0.2">
      <c r="A9" s="118" t="s">
        <v>360</v>
      </c>
      <c r="B9" s="221"/>
      <c r="C9" s="221"/>
      <c r="D9" s="222"/>
      <c r="E9" s="221"/>
      <c r="F9" s="221"/>
      <c r="G9" s="221"/>
      <c r="J9" s="917"/>
    </row>
    <row r="10" spans="1:10" x14ac:dyDescent="0.2">
      <c r="A10" s="120" t="s">
        <v>11</v>
      </c>
      <c r="B10" s="208">
        <v>247337.5218334712</v>
      </c>
      <c r="C10" s="208">
        <v>3268.5765801501243</v>
      </c>
      <c r="D10" s="208">
        <v>609.93273388622799</v>
      </c>
      <c r="E10" s="208">
        <v>833.68695589114247</v>
      </c>
      <c r="F10" s="208">
        <v>1699.9323505041177</v>
      </c>
      <c r="G10" s="208">
        <v>125.02453986863607</v>
      </c>
    </row>
    <row r="11" spans="1:10" x14ac:dyDescent="0.2">
      <c r="A11" s="920" t="s">
        <v>12</v>
      </c>
      <c r="B11" s="207">
        <v>155253.79728266655</v>
      </c>
      <c r="C11" s="207">
        <v>1303.9155733365585</v>
      </c>
      <c r="D11" s="207">
        <v>323.90837731225128</v>
      </c>
      <c r="E11" s="207">
        <v>378.77558041629567</v>
      </c>
      <c r="F11" s="207">
        <v>570.7908580747785</v>
      </c>
      <c r="G11" s="207">
        <v>30.440757533233082</v>
      </c>
    </row>
    <row r="12" spans="1:10" x14ac:dyDescent="0.2">
      <c r="A12" s="920" t="s">
        <v>13</v>
      </c>
      <c r="B12" s="207">
        <v>92083.724550804647</v>
      </c>
      <c r="C12" s="207">
        <v>1964.6610068135658</v>
      </c>
      <c r="D12" s="207">
        <v>286.02435657397672</v>
      </c>
      <c r="E12" s="207">
        <v>454.91137547484681</v>
      </c>
      <c r="F12" s="207">
        <v>1129.1414924293392</v>
      </c>
      <c r="G12" s="207">
        <v>94.583782335402987</v>
      </c>
    </row>
    <row r="13" spans="1:10" x14ac:dyDescent="0.2">
      <c r="A13" s="120" t="s">
        <v>44</v>
      </c>
      <c r="B13" s="208">
        <v>500288.17298834608</v>
      </c>
      <c r="C13" s="208">
        <v>6059.4328297516959</v>
      </c>
      <c r="D13" s="208">
        <v>1074.0119879300914</v>
      </c>
      <c r="E13" s="208">
        <v>1684.5044656704745</v>
      </c>
      <c r="F13" s="208">
        <v>3159.584287603976</v>
      </c>
      <c r="G13" s="208">
        <v>141.33208854715383</v>
      </c>
    </row>
    <row r="14" spans="1:10" x14ac:dyDescent="0.2">
      <c r="A14" s="920" t="s">
        <v>15</v>
      </c>
      <c r="B14" s="207">
        <v>401981.02633520123</v>
      </c>
      <c r="C14" s="207">
        <v>4496.1291674760287</v>
      </c>
      <c r="D14" s="207">
        <v>803.14123965142448</v>
      </c>
      <c r="E14" s="207">
        <v>1286.6949364895411</v>
      </c>
      <c r="F14" s="207">
        <v>2312.7963789115615</v>
      </c>
      <c r="G14" s="207">
        <v>93.496612423501801</v>
      </c>
    </row>
    <row r="15" spans="1:10" x14ac:dyDescent="0.2">
      <c r="A15" s="920" t="s">
        <v>16</v>
      </c>
      <c r="B15" s="207">
        <v>98307.146653144824</v>
      </c>
      <c r="C15" s="207">
        <v>1563.3036622756667</v>
      </c>
      <c r="D15" s="207">
        <v>270.87074827866689</v>
      </c>
      <c r="E15" s="207">
        <v>397.80952918093345</v>
      </c>
      <c r="F15" s="207">
        <v>846.78790869241448</v>
      </c>
      <c r="G15" s="207">
        <v>47.835476123652029</v>
      </c>
    </row>
    <row r="16" spans="1:10" x14ac:dyDescent="0.2">
      <c r="A16" s="120" t="s">
        <v>17</v>
      </c>
      <c r="B16" s="208">
        <v>35716.783750647031</v>
      </c>
      <c r="C16" s="208">
        <v>197.81192429070828</v>
      </c>
      <c r="D16" s="208">
        <v>35.989819701361313</v>
      </c>
      <c r="E16" s="208">
        <v>57.10184629391415</v>
      </c>
      <c r="F16" s="208">
        <v>102.54591847163044</v>
      </c>
      <c r="G16" s="208">
        <v>2.174339823802363</v>
      </c>
    </row>
    <row r="17" spans="1:7" x14ac:dyDescent="0.2">
      <c r="A17" s="920" t="s">
        <v>17</v>
      </c>
      <c r="B17" s="207">
        <v>35716.783750647031</v>
      </c>
      <c r="C17" s="207">
        <v>197.81192429070828</v>
      </c>
      <c r="D17" s="207">
        <v>35.989819701361313</v>
      </c>
      <c r="E17" s="207">
        <v>57.10184629391415</v>
      </c>
      <c r="F17" s="207">
        <v>102.54591847163044</v>
      </c>
      <c r="G17" s="207">
        <v>2.174339823802363</v>
      </c>
    </row>
    <row r="18" spans="1:7" x14ac:dyDescent="0.2">
      <c r="A18" s="120" t="s">
        <v>18</v>
      </c>
      <c r="B18" s="208">
        <v>35425.088734112593</v>
      </c>
      <c r="C18" s="208">
        <v>226.71440324477263</v>
      </c>
      <c r="D18" s="208">
        <v>60.614433181240145</v>
      </c>
      <c r="E18" s="208">
        <v>32.35771289988466</v>
      </c>
      <c r="F18" s="208">
        <v>128.30640760414192</v>
      </c>
      <c r="G18" s="208">
        <v>5.4358495595059075</v>
      </c>
    </row>
    <row r="19" spans="1:7" x14ac:dyDescent="0.2">
      <c r="A19" s="920" t="s">
        <v>18</v>
      </c>
      <c r="B19" s="207">
        <v>35425.088734112593</v>
      </c>
      <c r="C19" s="207">
        <v>226.71440324477263</v>
      </c>
      <c r="D19" s="207">
        <v>60.614433181240145</v>
      </c>
      <c r="E19" s="207">
        <v>32.35771289988466</v>
      </c>
      <c r="F19" s="207">
        <v>128.30640760414192</v>
      </c>
      <c r="G19" s="207">
        <v>5.4358495595059075</v>
      </c>
    </row>
    <row r="20" spans="1:7" x14ac:dyDescent="0.2">
      <c r="A20" s="120" t="s">
        <v>19</v>
      </c>
      <c r="B20" s="208">
        <v>140924.93463936489</v>
      </c>
      <c r="C20" s="208">
        <v>981.37350924631767</v>
      </c>
      <c r="D20" s="208">
        <v>196.99690783903054</v>
      </c>
      <c r="E20" s="208">
        <v>289.31602122249853</v>
      </c>
      <c r="F20" s="208">
        <v>484.18888106577668</v>
      </c>
      <c r="G20" s="208">
        <v>10.871699119011815</v>
      </c>
    </row>
    <row r="21" spans="1:7" x14ac:dyDescent="0.2">
      <c r="A21" s="920" t="s">
        <v>19</v>
      </c>
      <c r="B21" s="207">
        <v>81990.080576216307</v>
      </c>
      <c r="C21" s="207">
        <v>762.59098423290027</v>
      </c>
      <c r="D21" s="207">
        <v>134.48827362087664</v>
      </c>
      <c r="E21" s="207">
        <v>218.89041079333774</v>
      </c>
      <c r="F21" s="207">
        <v>398.34060069967404</v>
      </c>
      <c r="G21" s="207">
        <v>10.871699119011815</v>
      </c>
    </row>
    <row r="22" spans="1:7" x14ac:dyDescent="0.2">
      <c r="A22" s="920" t="s">
        <v>20</v>
      </c>
      <c r="B22" s="207">
        <v>58934.854063148581</v>
      </c>
      <c r="C22" s="207">
        <v>218.78252501341734</v>
      </c>
      <c r="D22" s="207">
        <v>62.508634218153901</v>
      </c>
      <c r="E22" s="207">
        <v>70.425610429160798</v>
      </c>
      <c r="F22" s="207">
        <v>85.848280366102657</v>
      </c>
      <c r="G22" s="389">
        <v>0</v>
      </c>
    </row>
    <row r="23" spans="1:7" x14ac:dyDescent="0.2">
      <c r="A23" s="120" t="s">
        <v>21</v>
      </c>
      <c r="B23" s="208">
        <v>76581.61095662821</v>
      </c>
      <c r="C23" s="208">
        <v>1163.5848278713156</v>
      </c>
      <c r="D23" s="208">
        <v>227.3041244296507</v>
      </c>
      <c r="E23" s="208">
        <v>296.92960072835319</v>
      </c>
      <c r="F23" s="208">
        <v>620.86921421099157</v>
      </c>
      <c r="G23" s="208">
        <v>18.481888502320086</v>
      </c>
    </row>
    <row r="24" spans="1:7" x14ac:dyDescent="0.2">
      <c r="A24" s="920" t="s">
        <v>21</v>
      </c>
      <c r="B24" s="207">
        <v>76581.61095662821</v>
      </c>
      <c r="C24" s="207">
        <v>1163.5848278713156</v>
      </c>
      <c r="D24" s="207">
        <v>227.3041244296507</v>
      </c>
      <c r="E24" s="207">
        <v>296.92960072835319</v>
      </c>
      <c r="F24" s="207">
        <v>620.86921421099157</v>
      </c>
      <c r="G24" s="207">
        <v>18.481888502320086</v>
      </c>
    </row>
    <row r="25" spans="1:7" x14ac:dyDescent="0.2">
      <c r="A25" s="120" t="s">
        <v>22</v>
      </c>
      <c r="B25" s="208">
        <v>138858.55921422734</v>
      </c>
      <c r="C25" s="208">
        <v>2748.7608247497587</v>
      </c>
      <c r="D25" s="208">
        <v>443.24304263781613</v>
      </c>
      <c r="E25" s="208">
        <v>660.47802213293937</v>
      </c>
      <c r="F25" s="208">
        <v>1597.2042838553516</v>
      </c>
      <c r="G25" s="208">
        <v>47.835476123652029</v>
      </c>
    </row>
    <row r="26" spans="1:7" x14ac:dyDescent="0.2">
      <c r="A26" s="920" t="s">
        <v>22</v>
      </c>
      <c r="B26" s="207">
        <v>138858.55921422734</v>
      </c>
      <c r="C26" s="207">
        <v>2748.7608247497587</v>
      </c>
      <c r="D26" s="207">
        <v>443.24304263781613</v>
      </c>
      <c r="E26" s="207">
        <v>660.47802213293937</v>
      </c>
      <c r="F26" s="207">
        <v>1597.2042838553516</v>
      </c>
      <c r="G26" s="207">
        <v>47.835476123652029</v>
      </c>
    </row>
    <row r="27" spans="1:7" x14ac:dyDescent="0.2">
      <c r="A27" s="921" t="s">
        <v>23</v>
      </c>
      <c r="B27" s="208">
        <v>181968.51821309575</v>
      </c>
      <c r="C27" s="208">
        <v>2094.4678780405829</v>
      </c>
      <c r="D27" s="208">
        <v>458.39665093312891</v>
      </c>
      <c r="E27" s="208">
        <v>588.14901682731511</v>
      </c>
      <c r="F27" s="208">
        <v>1008.7840934516963</v>
      </c>
      <c r="G27" s="208">
        <v>39.138116828442534</v>
      </c>
    </row>
    <row r="28" spans="1:7" x14ac:dyDescent="0.2">
      <c r="A28" s="920" t="s">
        <v>23</v>
      </c>
      <c r="B28" s="207">
        <v>94966.722711778624</v>
      </c>
      <c r="C28" s="207">
        <v>1149.6489666584105</v>
      </c>
      <c r="D28" s="207">
        <v>217.83311924508192</v>
      </c>
      <c r="E28" s="207">
        <v>325.48052387530987</v>
      </c>
      <c r="F28" s="207">
        <v>582.41758547619281</v>
      </c>
      <c r="G28" s="207">
        <v>23.917738061825993</v>
      </c>
    </row>
    <row r="29" spans="1:7" x14ac:dyDescent="0.2">
      <c r="A29" s="920" t="s">
        <v>24</v>
      </c>
      <c r="B29" s="207">
        <v>87001.79550131713</v>
      </c>
      <c r="C29" s="207">
        <v>944.81891138217225</v>
      </c>
      <c r="D29" s="207">
        <v>240.56353168804699</v>
      </c>
      <c r="E29" s="207">
        <v>262.66849295200518</v>
      </c>
      <c r="F29" s="207">
        <v>426.36650797550351</v>
      </c>
      <c r="G29" s="207">
        <v>15.220378766616541</v>
      </c>
    </row>
    <row r="30" spans="1:7" x14ac:dyDescent="0.2">
      <c r="A30" s="120" t="s">
        <v>25</v>
      </c>
      <c r="B30" s="208">
        <v>19163.095179749624</v>
      </c>
      <c r="C30" s="208">
        <v>102.80909231251863</v>
      </c>
      <c r="D30" s="208">
        <v>24.624613479878789</v>
      </c>
      <c r="E30" s="208">
        <v>28.550923146957054</v>
      </c>
      <c r="F30" s="208">
        <v>48.546385773781608</v>
      </c>
      <c r="G30" s="208">
        <v>1.0871699119011815</v>
      </c>
    </row>
    <row r="31" spans="1:7" x14ac:dyDescent="0.2">
      <c r="A31" s="920" t="s">
        <v>25</v>
      </c>
      <c r="B31" s="207">
        <v>19163.095179749624</v>
      </c>
      <c r="C31" s="207">
        <v>102.80909231251863</v>
      </c>
      <c r="D31" s="207">
        <v>24.624613479878789</v>
      </c>
      <c r="E31" s="207">
        <v>28.550923146957054</v>
      </c>
      <c r="F31" s="207">
        <v>48.546385773781608</v>
      </c>
      <c r="G31" s="207">
        <v>1.0871699119011815</v>
      </c>
    </row>
    <row r="32" spans="1:7" x14ac:dyDescent="0.2">
      <c r="A32" s="120" t="s">
        <v>26</v>
      </c>
      <c r="B32" s="208">
        <v>7995.6423310799501</v>
      </c>
      <c r="C32" s="208">
        <v>26.947065371962843</v>
      </c>
      <c r="D32" s="208">
        <v>3.7884020738275073</v>
      </c>
      <c r="E32" s="208">
        <v>9.5169743823190185</v>
      </c>
      <c r="F32" s="208">
        <v>13.641688915816317</v>
      </c>
      <c r="G32" s="388">
        <v>0</v>
      </c>
    </row>
    <row r="33" spans="1:7" x14ac:dyDescent="0.2">
      <c r="A33" s="920" t="s">
        <v>26</v>
      </c>
      <c r="B33" s="207">
        <v>7995.6423310799501</v>
      </c>
      <c r="C33" s="207">
        <v>26.947065371962843</v>
      </c>
      <c r="D33" s="207">
        <v>3.7884020738275073</v>
      </c>
      <c r="E33" s="207">
        <v>9.5169743823190185</v>
      </c>
      <c r="F33" s="207">
        <v>13.641688915816317</v>
      </c>
      <c r="G33" s="389">
        <v>0</v>
      </c>
    </row>
    <row r="34" spans="1:7" x14ac:dyDescent="0.2">
      <c r="A34" s="120" t="s">
        <v>27</v>
      </c>
      <c r="B34" s="208">
        <v>40256.755679907015</v>
      </c>
      <c r="C34" s="208">
        <v>353.55622374460017</v>
      </c>
      <c r="D34" s="208">
        <v>85.239046661118977</v>
      </c>
      <c r="E34" s="208">
        <v>129.43085159953881</v>
      </c>
      <c r="F34" s="208">
        <v>129.10179627683178</v>
      </c>
      <c r="G34" s="208">
        <v>9.7845292071106336</v>
      </c>
    </row>
    <row r="35" spans="1:7" x14ac:dyDescent="0.2">
      <c r="A35" s="920" t="s">
        <v>27</v>
      </c>
      <c r="B35" s="207">
        <v>40256.755679907015</v>
      </c>
      <c r="C35" s="207">
        <v>353.55622374460017</v>
      </c>
      <c r="D35" s="207">
        <v>85.239046661118977</v>
      </c>
      <c r="E35" s="207">
        <v>129.43085159953881</v>
      </c>
      <c r="F35" s="207">
        <v>129.10179627683178</v>
      </c>
      <c r="G35" s="207">
        <v>9.7845292071106336</v>
      </c>
    </row>
    <row r="36" spans="1:7" x14ac:dyDescent="0.2">
      <c r="A36" s="120" t="s">
        <v>28</v>
      </c>
      <c r="B36" s="208">
        <v>99995.993903428112</v>
      </c>
      <c r="C36" s="208">
        <v>2407.8580741224619</v>
      </c>
      <c r="D36" s="208">
        <v>268.97654724175317</v>
      </c>
      <c r="E36" s="208">
        <v>755.64776595613114</v>
      </c>
      <c r="F36" s="208">
        <v>1340.8341343604313</v>
      </c>
      <c r="G36" s="208">
        <v>42.399626564146104</v>
      </c>
    </row>
    <row r="37" spans="1:7" x14ac:dyDescent="0.2">
      <c r="A37" s="920" t="s">
        <v>28</v>
      </c>
      <c r="B37" s="207">
        <v>99995.993903428112</v>
      </c>
      <c r="C37" s="207">
        <v>2407.8580741224619</v>
      </c>
      <c r="D37" s="207">
        <v>268.97654724175317</v>
      </c>
      <c r="E37" s="207">
        <v>755.64776595613114</v>
      </c>
      <c r="F37" s="207">
        <v>1340.8341343604313</v>
      </c>
      <c r="G37" s="207">
        <v>42.399626564146104</v>
      </c>
    </row>
    <row r="38" spans="1:7" x14ac:dyDescent="0.2">
      <c r="A38" s="120" t="s">
        <v>29</v>
      </c>
      <c r="B38" s="208">
        <v>198400.2987179918</v>
      </c>
      <c r="C38" s="208">
        <v>1759.5325216288429</v>
      </c>
      <c r="D38" s="208">
        <v>481.12706337609342</v>
      </c>
      <c r="E38" s="208">
        <v>515.82001152169073</v>
      </c>
      <c r="F38" s="208">
        <v>736.49336884543027</v>
      </c>
      <c r="G38" s="208">
        <v>26.092077885628356</v>
      </c>
    </row>
    <row r="39" spans="1:7" x14ac:dyDescent="0.2">
      <c r="A39" s="920" t="s">
        <v>30</v>
      </c>
      <c r="B39" s="207">
        <v>121590.06075350314</v>
      </c>
      <c r="C39" s="207">
        <v>1083.0595717037329</v>
      </c>
      <c r="D39" s="207">
        <v>295.49536175854536</v>
      </c>
      <c r="E39" s="207">
        <v>314.0601546165272</v>
      </c>
      <c r="F39" s="207">
        <v>461.54518629774719</v>
      </c>
      <c r="G39" s="207">
        <v>11.958869030912997</v>
      </c>
    </row>
    <row r="40" spans="1:7" x14ac:dyDescent="0.2">
      <c r="A40" s="920" t="s">
        <v>29</v>
      </c>
      <c r="B40" s="207">
        <v>76810.237964488639</v>
      </c>
      <c r="C40" s="207">
        <v>676.47294992511002</v>
      </c>
      <c r="D40" s="207">
        <v>185.63170161754806</v>
      </c>
      <c r="E40" s="207">
        <v>201.75985690516347</v>
      </c>
      <c r="F40" s="207">
        <v>274.94818254768307</v>
      </c>
      <c r="G40" s="207">
        <v>14.13320885471536</v>
      </c>
    </row>
    <row r="41" spans="1:7" x14ac:dyDescent="0.2">
      <c r="A41" s="120" t="s">
        <v>31</v>
      </c>
      <c r="B41" s="208">
        <v>83503.559262492534</v>
      </c>
      <c r="C41" s="208">
        <v>1395.101798994629</v>
      </c>
      <c r="D41" s="208">
        <v>225.40992339273694</v>
      </c>
      <c r="E41" s="208">
        <v>350.22465726933899</v>
      </c>
      <c r="F41" s="208">
        <v>789.02646079931992</v>
      </c>
      <c r="G41" s="208">
        <v>30.440757533233082</v>
      </c>
    </row>
    <row r="42" spans="1:7" x14ac:dyDescent="0.2">
      <c r="A42" s="920" t="s">
        <v>31</v>
      </c>
      <c r="B42" s="207">
        <v>83503.559262492534</v>
      </c>
      <c r="C42" s="207">
        <v>1395.101798994629</v>
      </c>
      <c r="D42" s="207">
        <v>225.40992339273694</v>
      </c>
      <c r="E42" s="207">
        <v>350.22465726933899</v>
      </c>
      <c r="F42" s="207">
        <v>789.02646079931992</v>
      </c>
      <c r="G42" s="207">
        <v>30.440757533233082</v>
      </c>
    </row>
  </sheetData>
  <mergeCells count="5">
    <mergeCell ref="A1:G1"/>
    <mergeCell ref="A2:A3"/>
    <mergeCell ref="B2:B3"/>
    <mergeCell ref="D2:G2"/>
    <mergeCell ref="C2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ABD00"/>
  </sheetPr>
  <dimension ref="A1"/>
  <sheetViews>
    <sheetView workbookViewId="0">
      <selection activeCell="M3" sqref="M3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3"/>
  <sheetViews>
    <sheetView workbookViewId="0">
      <selection activeCell="A2" sqref="A2:A4"/>
    </sheetView>
  </sheetViews>
  <sheetFormatPr defaultRowHeight="12" x14ac:dyDescent="0.2"/>
  <cols>
    <col min="1" max="1" width="20.140625" style="575" customWidth="1"/>
    <col min="2" max="2" width="12" style="575" bestFit="1" customWidth="1"/>
    <col min="3" max="3" width="19.140625" style="575" customWidth="1"/>
    <col min="4" max="4" width="12" style="575" bestFit="1" customWidth="1"/>
    <col min="5" max="6" width="11.140625" style="575" bestFit="1" customWidth="1"/>
    <col min="7" max="7" width="2.140625" style="575" customWidth="1"/>
    <col min="8" max="10" width="12" style="575" bestFit="1" customWidth="1"/>
    <col min="11" max="11" width="3.42578125" style="575" customWidth="1"/>
    <col min="12" max="12" width="12" style="575" bestFit="1" customWidth="1"/>
    <col min="13" max="14" width="11.140625" style="575" bestFit="1" customWidth="1"/>
    <col min="15" max="16384" width="9.140625" style="575"/>
  </cols>
  <sheetData>
    <row r="1" spans="1:14" x14ac:dyDescent="0.2">
      <c r="A1" s="698" t="s">
        <v>565</v>
      </c>
      <c r="B1" s="698"/>
      <c r="C1" s="698"/>
      <c r="D1" s="698"/>
      <c r="E1" s="698"/>
      <c r="F1" s="698"/>
      <c r="G1" s="698"/>
      <c r="H1" s="698"/>
      <c r="I1" s="698"/>
      <c r="J1" s="698"/>
      <c r="K1" s="698"/>
      <c r="L1" s="698"/>
      <c r="M1" s="698"/>
      <c r="N1" s="698"/>
    </row>
    <row r="2" spans="1:14" ht="12" customHeight="1" x14ac:dyDescent="0.2">
      <c r="A2" s="699" t="str">
        <f>'Q4.3'!$A$2</f>
        <v>Área de residência, município e comuna</v>
      </c>
      <c r="B2" s="702" t="s">
        <v>545</v>
      </c>
      <c r="C2" s="699" t="s">
        <v>546</v>
      </c>
      <c r="D2" s="702" t="s">
        <v>255</v>
      </c>
      <c r="E2" s="702"/>
      <c r="F2" s="702"/>
      <c r="G2" s="470"/>
      <c r="H2" s="702" t="s">
        <v>256</v>
      </c>
      <c r="I2" s="702"/>
      <c r="J2" s="702"/>
      <c r="K2" s="470"/>
      <c r="L2" s="702" t="s">
        <v>257</v>
      </c>
      <c r="M2" s="702"/>
      <c r="N2" s="702"/>
    </row>
    <row r="3" spans="1:14" ht="12" customHeight="1" x14ac:dyDescent="0.2">
      <c r="A3" s="923"/>
      <c r="B3" s="922"/>
      <c r="C3" s="700"/>
      <c r="D3" s="703"/>
      <c r="E3" s="703"/>
      <c r="F3" s="703"/>
      <c r="G3" s="471"/>
      <c r="H3" s="703"/>
      <c r="I3" s="703"/>
      <c r="J3" s="703"/>
      <c r="K3" s="471"/>
      <c r="L3" s="703"/>
      <c r="M3" s="703"/>
      <c r="N3" s="703"/>
    </row>
    <row r="4" spans="1:14" ht="12" customHeight="1" x14ac:dyDescent="0.2">
      <c r="A4" s="701"/>
      <c r="B4" s="703"/>
      <c r="C4" s="701"/>
      <c r="D4" s="126" t="s">
        <v>2</v>
      </c>
      <c r="E4" s="126" t="s">
        <v>182</v>
      </c>
      <c r="F4" s="126" t="s">
        <v>183</v>
      </c>
      <c r="G4" s="472"/>
      <c r="H4" s="126" t="s">
        <v>2</v>
      </c>
      <c r="I4" s="126" t="s">
        <v>182</v>
      </c>
      <c r="J4" s="126" t="s">
        <v>183</v>
      </c>
      <c r="K4" s="472"/>
      <c r="L4" s="126" t="s">
        <v>2</v>
      </c>
      <c r="M4" s="126" t="s">
        <v>182</v>
      </c>
      <c r="N4" s="126" t="s">
        <v>183</v>
      </c>
    </row>
    <row r="5" spans="1:14" x14ac:dyDescent="0.2">
      <c r="A5" s="127" t="s">
        <v>32</v>
      </c>
      <c r="B5" s="212">
        <v>998746.13429012662</v>
      </c>
      <c r="C5" s="212">
        <v>773163.04325967038</v>
      </c>
      <c r="D5" s="212">
        <v>138292.39360655297</v>
      </c>
      <c r="E5" s="212">
        <v>67530.791181919005</v>
      </c>
      <c r="F5" s="212">
        <v>70761.602424633951</v>
      </c>
      <c r="G5" s="212"/>
      <c r="H5" s="223">
        <v>527031.76911811042</v>
      </c>
      <c r="I5" s="212">
        <v>257164.36565097899</v>
      </c>
      <c r="J5" s="212">
        <v>269867.40346713137</v>
      </c>
      <c r="K5" s="212"/>
      <c r="L5" s="223">
        <v>107838.88053500702</v>
      </c>
      <c r="M5" s="212">
        <v>51764.11140735096</v>
      </c>
      <c r="N5" s="212">
        <v>56074.769127656065</v>
      </c>
    </row>
    <row r="6" spans="1:14" x14ac:dyDescent="0.2">
      <c r="A6" s="128"/>
      <c r="B6" s="208"/>
      <c r="C6" s="207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</row>
    <row r="7" spans="1:14" x14ac:dyDescent="0.2">
      <c r="A7" s="127" t="s">
        <v>364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</row>
    <row r="8" spans="1:14" x14ac:dyDescent="0.2">
      <c r="A8" s="194" t="s">
        <v>258</v>
      </c>
      <c r="B8" s="207">
        <v>236781.08140589698</v>
      </c>
      <c r="C8" s="207">
        <v>144826.66888312576</v>
      </c>
      <c r="D8" s="207">
        <v>24035.189327638531</v>
      </c>
      <c r="E8" s="207">
        <v>10833.385852374233</v>
      </c>
      <c r="F8" s="207">
        <v>13201.8034752643</v>
      </c>
      <c r="G8" s="207"/>
      <c r="H8" s="207">
        <v>104966.49500117209</v>
      </c>
      <c r="I8" s="207">
        <v>47366.447533668179</v>
      </c>
      <c r="J8" s="207">
        <v>57600.047467503922</v>
      </c>
      <c r="K8" s="207"/>
      <c r="L8" s="207">
        <v>15824.984554315131</v>
      </c>
      <c r="M8" s="207">
        <v>6778.2645007393585</v>
      </c>
      <c r="N8" s="207">
        <v>9046.7200535757729</v>
      </c>
    </row>
    <row r="9" spans="1:14" x14ac:dyDescent="0.2">
      <c r="A9" s="194" t="s">
        <v>9</v>
      </c>
      <c r="B9" s="207">
        <v>761965.05288152257</v>
      </c>
      <c r="C9" s="207">
        <v>628336.37437666056</v>
      </c>
      <c r="D9" s="207">
        <v>114257.2042789023</v>
      </c>
      <c r="E9" s="207">
        <v>56697.405329541805</v>
      </c>
      <c r="F9" s="207">
        <v>57559.798949360498</v>
      </c>
      <c r="G9" s="207"/>
      <c r="H9" s="207">
        <v>422065.27411706618</v>
      </c>
      <c r="I9" s="207">
        <v>209797.91811734595</v>
      </c>
      <c r="J9" s="207">
        <v>212267.3559997202</v>
      </c>
      <c r="K9" s="207"/>
      <c r="L9" s="207">
        <v>92013.895980692076</v>
      </c>
      <c r="M9" s="207">
        <v>44985.846906611572</v>
      </c>
      <c r="N9" s="207">
        <v>47028.049074080503</v>
      </c>
    </row>
    <row r="10" spans="1:14" x14ac:dyDescent="0.2">
      <c r="A10" s="127" t="s">
        <v>360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</row>
    <row r="11" spans="1:14" x14ac:dyDescent="0.2">
      <c r="A11" s="193" t="s">
        <v>11</v>
      </c>
      <c r="B11" s="208">
        <v>138480.37203863909</v>
      </c>
      <c r="C11" s="208">
        <v>126622.71432115289</v>
      </c>
      <c r="D11" s="208">
        <v>23161.939143457555</v>
      </c>
      <c r="E11" s="208">
        <v>11465.474671766835</v>
      </c>
      <c r="F11" s="208">
        <v>11696.464471690721</v>
      </c>
      <c r="G11" s="208"/>
      <c r="H11" s="208">
        <v>84491.010418578895</v>
      </c>
      <c r="I11" s="208">
        <v>41976.72864291646</v>
      </c>
      <c r="J11" s="208">
        <v>42514.281775662435</v>
      </c>
      <c r="K11" s="208"/>
      <c r="L11" s="208">
        <v>18969.764759116442</v>
      </c>
      <c r="M11" s="208">
        <v>9321.3828500376985</v>
      </c>
      <c r="N11" s="208">
        <v>9648.3819090787438</v>
      </c>
    </row>
    <row r="12" spans="1:14" x14ac:dyDescent="0.2">
      <c r="A12" s="924" t="s">
        <v>12</v>
      </c>
      <c r="B12" s="207">
        <v>89820.509986686535</v>
      </c>
      <c r="C12" s="207">
        <v>75508.140537605126</v>
      </c>
      <c r="D12" s="207">
        <v>14639.737977702322</v>
      </c>
      <c r="E12" s="207">
        <v>7108.9438107006299</v>
      </c>
      <c r="F12" s="207">
        <v>7530.7941670016917</v>
      </c>
      <c r="G12" s="207"/>
      <c r="H12" s="207">
        <v>49241.560210070071</v>
      </c>
      <c r="I12" s="207">
        <v>23809.291760418815</v>
      </c>
      <c r="J12" s="207">
        <v>25432.268449651256</v>
      </c>
      <c r="K12" s="207"/>
      <c r="L12" s="207">
        <v>11626.842349832737</v>
      </c>
      <c r="M12" s="207">
        <v>5582.2165006631567</v>
      </c>
      <c r="N12" s="207">
        <v>6044.6258491695808</v>
      </c>
    </row>
    <row r="13" spans="1:14" x14ac:dyDescent="0.2">
      <c r="A13" s="924" t="s">
        <v>13</v>
      </c>
      <c r="B13" s="207">
        <v>48659.862051847362</v>
      </c>
      <c r="C13" s="207">
        <v>51114.573783555876</v>
      </c>
      <c r="D13" s="207">
        <v>8522.201165753555</v>
      </c>
      <c r="E13" s="207">
        <v>4356.5308610654138</v>
      </c>
      <c r="F13" s="207">
        <v>4165.6703046881421</v>
      </c>
      <c r="G13" s="207"/>
      <c r="H13" s="207">
        <v>35249.450208519076</v>
      </c>
      <c r="I13" s="207">
        <v>18167.43688250273</v>
      </c>
      <c r="J13" s="207">
        <v>17082.013326016349</v>
      </c>
      <c r="K13" s="207"/>
      <c r="L13" s="207">
        <v>7342.9224092832474</v>
      </c>
      <c r="M13" s="207">
        <v>3739.1663493743695</v>
      </c>
      <c r="N13" s="207">
        <v>3603.7560599088779</v>
      </c>
    </row>
    <row r="14" spans="1:14" x14ac:dyDescent="0.2">
      <c r="A14" s="193" t="s">
        <v>44</v>
      </c>
      <c r="B14" s="208">
        <v>261582.26360403464</v>
      </c>
      <c r="C14" s="208">
        <v>185267.02835416104</v>
      </c>
      <c r="D14" s="208">
        <v>31869.59784141407</v>
      </c>
      <c r="E14" s="208">
        <v>15060.540840198437</v>
      </c>
      <c r="F14" s="208">
        <v>16809.057001215631</v>
      </c>
      <c r="G14" s="208"/>
      <c r="H14" s="208">
        <v>129791.51326755226</v>
      </c>
      <c r="I14" s="208">
        <v>61473.323691935657</v>
      </c>
      <c r="J14" s="208">
        <v>68318.189575616605</v>
      </c>
      <c r="K14" s="208"/>
      <c r="L14" s="208">
        <v>23605.917245194702</v>
      </c>
      <c r="M14" s="208">
        <v>10982.314158885163</v>
      </c>
      <c r="N14" s="208">
        <v>12623.60308630954</v>
      </c>
    </row>
    <row r="15" spans="1:14" x14ac:dyDescent="0.2">
      <c r="A15" s="924" t="s">
        <v>15</v>
      </c>
      <c r="B15" s="207">
        <v>206741.31848373101</v>
      </c>
      <c r="C15" s="207">
        <v>136008.26873766613</v>
      </c>
      <c r="D15" s="207">
        <v>22584.920203704256</v>
      </c>
      <c r="E15" s="207">
        <v>10444.0559952075</v>
      </c>
      <c r="F15" s="207">
        <v>12140.864208496749</v>
      </c>
      <c r="G15" s="207"/>
      <c r="H15" s="207">
        <v>97506.803174219589</v>
      </c>
      <c r="I15" s="207">
        <v>45502.073580285265</v>
      </c>
      <c r="J15" s="207">
        <v>52004.729593934324</v>
      </c>
      <c r="K15" s="207"/>
      <c r="L15" s="207">
        <v>15916.545359742286</v>
      </c>
      <c r="M15" s="207">
        <v>7191.4494133191938</v>
      </c>
      <c r="N15" s="207">
        <v>8725.0959464230928</v>
      </c>
    </row>
    <row r="16" spans="1:14" x14ac:dyDescent="0.2">
      <c r="A16" s="924" t="s">
        <v>16</v>
      </c>
      <c r="B16" s="207">
        <v>54840.945120332137</v>
      </c>
      <c r="C16" s="207">
        <v>49258.759616492462</v>
      </c>
      <c r="D16" s="207">
        <v>9284.6776377074348</v>
      </c>
      <c r="E16" s="207">
        <v>4616.4848449896399</v>
      </c>
      <c r="F16" s="207">
        <v>4668.192792717794</v>
      </c>
      <c r="G16" s="207"/>
      <c r="H16" s="207">
        <v>32284.710093334375</v>
      </c>
      <c r="I16" s="207">
        <v>15971.250111655125</v>
      </c>
      <c r="J16" s="207">
        <v>16313.459981679251</v>
      </c>
      <c r="K16" s="207"/>
      <c r="L16" s="207">
        <v>7689.3718854506524</v>
      </c>
      <c r="M16" s="207">
        <v>3790.8647455652299</v>
      </c>
      <c r="N16" s="207">
        <v>3898.5071398854225</v>
      </c>
    </row>
    <row r="17" spans="1:14" x14ac:dyDescent="0.2">
      <c r="A17" s="193" t="s">
        <v>17</v>
      </c>
      <c r="B17" s="208">
        <v>20616.590972870494</v>
      </c>
      <c r="C17" s="208">
        <v>14364.496716347086</v>
      </c>
      <c r="D17" s="208">
        <v>2184.6386565914654</v>
      </c>
      <c r="E17" s="208">
        <v>1104.0001750737447</v>
      </c>
      <c r="F17" s="208">
        <v>1080.6384815177205</v>
      </c>
      <c r="G17" s="208"/>
      <c r="H17" s="208">
        <v>10607.427172864464</v>
      </c>
      <c r="I17" s="208">
        <v>5092.8201555557544</v>
      </c>
      <c r="J17" s="208">
        <v>5514.6070173087091</v>
      </c>
      <c r="K17" s="208"/>
      <c r="L17" s="208">
        <v>1572.4308868911578</v>
      </c>
      <c r="M17" s="208">
        <v>737.53857861817778</v>
      </c>
      <c r="N17" s="208">
        <v>834.89230827298002</v>
      </c>
    </row>
    <row r="18" spans="1:14" x14ac:dyDescent="0.2">
      <c r="A18" s="924" t="s">
        <v>17</v>
      </c>
      <c r="B18" s="207">
        <v>20616.590972870494</v>
      </c>
      <c r="C18" s="207">
        <v>14364.496716347086</v>
      </c>
      <c r="D18" s="207">
        <v>2184.6386565914654</v>
      </c>
      <c r="E18" s="207">
        <v>1104.0001750737447</v>
      </c>
      <c r="F18" s="207">
        <v>1080.6384815177205</v>
      </c>
      <c r="G18" s="207"/>
      <c r="H18" s="207">
        <v>10607.427172864464</v>
      </c>
      <c r="I18" s="207">
        <v>5092.8201555557544</v>
      </c>
      <c r="J18" s="207">
        <v>5514.6070173087091</v>
      </c>
      <c r="K18" s="207"/>
      <c r="L18" s="207">
        <v>1572.4308868911578</v>
      </c>
      <c r="M18" s="207">
        <v>737.53857861817778</v>
      </c>
      <c r="N18" s="207">
        <v>834.89230827298002</v>
      </c>
    </row>
    <row r="19" spans="1:14" x14ac:dyDescent="0.2">
      <c r="A19" s="193" t="s">
        <v>18</v>
      </c>
      <c r="B19" s="208">
        <v>19678.600616308995</v>
      </c>
      <c r="C19" s="208">
        <v>12939.200242583232</v>
      </c>
      <c r="D19" s="208">
        <v>2544.6393977032726</v>
      </c>
      <c r="E19" s="208">
        <v>1257.8175502617264</v>
      </c>
      <c r="F19" s="208">
        <v>1286.8218474415462</v>
      </c>
      <c r="G19" s="208"/>
      <c r="H19" s="208">
        <v>8693.3165315865699</v>
      </c>
      <c r="I19" s="208">
        <v>4097.8202132450851</v>
      </c>
      <c r="J19" s="208">
        <v>4595.4963183414839</v>
      </c>
      <c r="K19" s="208"/>
      <c r="L19" s="208">
        <v>1701.2443132933886</v>
      </c>
      <c r="M19" s="208">
        <v>831.8169819312933</v>
      </c>
      <c r="N19" s="208">
        <v>869.42733136209529</v>
      </c>
    </row>
    <row r="20" spans="1:14" x14ac:dyDescent="0.2">
      <c r="A20" s="924" t="s">
        <v>18</v>
      </c>
      <c r="B20" s="207">
        <v>19678.600616308995</v>
      </c>
      <c r="C20" s="207">
        <v>12939.200242583232</v>
      </c>
      <c r="D20" s="207">
        <v>2544.6393977032726</v>
      </c>
      <c r="E20" s="207">
        <v>1257.8175502617264</v>
      </c>
      <c r="F20" s="207">
        <v>1286.8218474415462</v>
      </c>
      <c r="G20" s="207"/>
      <c r="H20" s="207">
        <v>8693.3165315865699</v>
      </c>
      <c r="I20" s="207">
        <v>4097.8202132450851</v>
      </c>
      <c r="J20" s="207">
        <v>4595.4963183414839</v>
      </c>
      <c r="K20" s="207"/>
      <c r="L20" s="207">
        <v>1701.2443132933886</v>
      </c>
      <c r="M20" s="207">
        <v>831.8169819312933</v>
      </c>
      <c r="N20" s="207">
        <v>869.42733136209529</v>
      </c>
    </row>
    <row r="21" spans="1:14" x14ac:dyDescent="0.2">
      <c r="A21" s="193" t="s">
        <v>19</v>
      </c>
      <c r="B21" s="208">
        <v>87206.13255512013</v>
      </c>
      <c r="C21" s="208">
        <v>63973.669095330486</v>
      </c>
      <c r="D21" s="208">
        <v>10965.21671091982</v>
      </c>
      <c r="E21" s="208">
        <v>5409.6151799392737</v>
      </c>
      <c r="F21" s="208">
        <v>5555.6015309805452</v>
      </c>
      <c r="G21" s="208"/>
      <c r="H21" s="208">
        <v>44570.014823455393</v>
      </c>
      <c r="I21" s="208">
        <v>21717.751620681585</v>
      </c>
      <c r="J21" s="208">
        <v>22852.263202773804</v>
      </c>
      <c r="K21" s="208"/>
      <c r="L21" s="208">
        <v>8438.4375609552735</v>
      </c>
      <c r="M21" s="208">
        <v>4037.0673866587076</v>
      </c>
      <c r="N21" s="208">
        <v>4401.3701742965659</v>
      </c>
    </row>
    <row r="22" spans="1:14" x14ac:dyDescent="0.2">
      <c r="A22" s="924" t="s">
        <v>19</v>
      </c>
      <c r="B22" s="207">
        <v>49637.887711656462</v>
      </c>
      <c r="C22" s="207">
        <v>36389.240946560472</v>
      </c>
      <c r="D22" s="207">
        <v>6356.7082929366989</v>
      </c>
      <c r="E22" s="207">
        <v>3126.9969942803532</v>
      </c>
      <c r="F22" s="207">
        <v>3229.7112986563457</v>
      </c>
      <c r="G22" s="207"/>
      <c r="H22" s="207">
        <v>25177.700549077108</v>
      </c>
      <c r="I22" s="207">
        <v>12176.61042172722</v>
      </c>
      <c r="J22" s="207">
        <v>13001.090127349888</v>
      </c>
      <c r="K22" s="207"/>
      <c r="L22" s="207">
        <v>4854.8321045466619</v>
      </c>
      <c r="M22" s="207">
        <v>2316.7155738844167</v>
      </c>
      <c r="N22" s="207">
        <v>2538.1165306622456</v>
      </c>
    </row>
    <row r="23" spans="1:14" x14ac:dyDescent="0.2">
      <c r="A23" s="924" t="s">
        <v>20</v>
      </c>
      <c r="B23" s="207">
        <v>37568.244843403525</v>
      </c>
      <c r="C23" s="207">
        <v>27584.428148771643</v>
      </c>
      <c r="D23" s="207">
        <v>4608.5084179834439</v>
      </c>
      <c r="E23" s="207">
        <v>2282.6181856590874</v>
      </c>
      <c r="F23" s="207">
        <v>2325.8902323243565</v>
      </c>
      <c r="G23" s="207"/>
      <c r="H23" s="207">
        <v>19392.314274379307</v>
      </c>
      <c r="I23" s="207">
        <v>9541.1411989546359</v>
      </c>
      <c r="J23" s="207">
        <v>9851.1730754246728</v>
      </c>
      <c r="K23" s="207"/>
      <c r="L23" s="207">
        <v>3583.6054564088918</v>
      </c>
      <c r="M23" s="207">
        <v>1720.3518127744305</v>
      </c>
      <c r="N23" s="207">
        <v>1863.253643634461</v>
      </c>
    </row>
    <row r="24" spans="1:14" x14ac:dyDescent="0.2">
      <c r="A24" s="193" t="s">
        <v>21</v>
      </c>
      <c r="B24" s="208">
        <v>44148.722389491937</v>
      </c>
      <c r="C24" s="208">
        <v>29532.318894611952</v>
      </c>
      <c r="D24" s="208">
        <v>5531.994583880276</v>
      </c>
      <c r="E24" s="208">
        <v>2725.5016498285313</v>
      </c>
      <c r="F24" s="208">
        <v>2806.4929340517451</v>
      </c>
      <c r="G24" s="208"/>
      <c r="H24" s="208">
        <v>19670.312638501033</v>
      </c>
      <c r="I24" s="208">
        <v>9501.8901032292597</v>
      </c>
      <c r="J24" s="208">
        <v>10168.422535271773</v>
      </c>
      <c r="K24" s="208"/>
      <c r="L24" s="208">
        <v>4330.0116722306457</v>
      </c>
      <c r="M24" s="208">
        <v>2074.8822287091693</v>
      </c>
      <c r="N24" s="208">
        <v>2255.1294435214763</v>
      </c>
    </row>
    <row r="25" spans="1:14" x14ac:dyDescent="0.2">
      <c r="A25" s="924" t="s">
        <v>21</v>
      </c>
      <c r="B25" s="207">
        <v>44148.722389491937</v>
      </c>
      <c r="C25" s="207">
        <v>29532.318894611952</v>
      </c>
      <c r="D25" s="207">
        <v>5531.994583880276</v>
      </c>
      <c r="E25" s="207">
        <v>2725.5016498285313</v>
      </c>
      <c r="F25" s="207">
        <v>2806.4929340517451</v>
      </c>
      <c r="G25" s="207"/>
      <c r="H25" s="207">
        <v>19670.312638501033</v>
      </c>
      <c r="I25" s="207">
        <v>9501.8901032292597</v>
      </c>
      <c r="J25" s="207">
        <v>10168.422535271773</v>
      </c>
      <c r="K25" s="207"/>
      <c r="L25" s="207">
        <v>4330.0116722306457</v>
      </c>
      <c r="M25" s="207">
        <v>2074.8822287091693</v>
      </c>
      <c r="N25" s="207">
        <v>2255.1294435214763</v>
      </c>
    </row>
    <row r="26" spans="1:14" x14ac:dyDescent="0.2">
      <c r="A26" s="193" t="s">
        <v>22</v>
      </c>
      <c r="B26" s="208">
        <v>70080.697951051188</v>
      </c>
      <c r="C26" s="208">
        <v>47436.520575089482</v>
      </c>
      <c r="D26" s="208">
        <v>7928.8672780811467</v>
      </c>
      <c r="E26" s="208">
        <v>3936.5641450019939</v>
      </c>
      <c r="F26" s="208">
        <v>3992.3031330791528</v>
      </c>
      <c r="G26" s="208"/>
      <c r="H26" s="208">
        <v>33940.061509029605</v>
      </c>
      <c r="I26" s="208">
        <v>16420.639303495955</v>
      </c>
      <c r="J26" s="208">
        <v>17519.42220553365</v>
      </c>
      <c r="K26" s="208"/>
      <c r="L26" s="208">
        <v>5567.5917879787266</v>
      </c>
      <c r="M26" s="208">
        <v>2704.6469204305295</v>
      </c>
      <c r="N26" s="208">
        <v>2862.9448675481967</v>
      </c>
    </row>
    <row r="27" spans="1:14" x14ac:dyDescent="0.2">
      <c r="A27" s="924" t="s">
        <v>22</v>
      </c>
      <c r="B27" s="207">
        <v>70080.697951051188</v>
      </c>
      <c r="C27" s="207">
        <v>47436.520575089482</v>
      </c>
      <c r="D27" s="207">
        <v>7928.8672780811467</v>
      </c>
      <c r="E27" s="207">
        <v>3936.5641450019939</v>
      </c>
      <c r="F27" s="207">
        <v>3992.3031330791528</v>
      </c>
      <c r="G27" s="207"/>
      <c r="H27" s="207">
        <v>33940.061509029605</v>
      </c>
      <c r="I27" s="207">
        <v>16420.639303495955</v>
      </c>
      <c r="J27" s="207">
        <v>17519.42220553365</v>
      </c>
      <c r="K27" s="207"/>
      <c r="L27" s="207">
        <v>5567.5917879787266</v>
      </c>
      <c r="M27" s="207">
        <v>2704.6469204305295</v>
      </c>
      <c r="N27" s="207">
        <v>2862.9448675481967</v>
      </c>
    </row>
    <row r="28" spans="1:14" x14ac:dyDescent="0.2">
      <c r="A28" s="193" t="s">
        <v>23</v>
      </c>
      <c r="B28" s="208">
        <v>103275.6876049085</v>
      </c>
      <c r="C28" s="208">
        <v>88529.933190600772</v>
      </c>
      <c r="D28" s="208">
        <v>15345.152157543336</v>
      </c>
      <c r="E28" s="208">
        <v>7539.5179696059304</v>
      </c>
      <c r="F28" s="208">
        <v>7805.6341879374049</v>
      </c>
      <c r="G28" s="208"/>
      <c r="H28" s="208">
        <v>60614.197758764567</v>
      </c>
      <c r="I28" s="208">
        <v>30035.995334653988</v>
      </c>
      <c r="J28" s="208">
        <v>30578.202424110579</v>
      </c>
      <c r="K28" s="208"/>
      <c r="L28" s="208">
        <v>12570.583274292871</v>
      </c>
      <c r="M28" s="208">
        <v>6128.6400755200339</v>
      </c>
      <c r="N28" s="208">
        <v>6441.9431987728367</v>
      </c>
    </row>
    <row r="29" spans="1:14" x14ac:dyDescent="0.2">
      <c r="A29" s="924" t="s">
        <v>23</v>
      </c>
      <c r="B29" s="207">
        <v>52974.015037748242</v>
      </c>
      <c r="C29" s="207">
        <v>44886.223962505617</v>
      </c>
      <c r="D29" s="207">
        <v>7515.6083151116945</v>
      </c>
      <c r="E29" s="207">
        <v>3610.9093291137988</v>
      </c>
      <c r="F29" s="207">
        <v>3904.6989859978962</v>
      </c>
      <c r="G29" s="207"/>
      <c r="H29" s="207">
        <v>31195.337708140487</v>
      </c>
      <c r="I29" s="207">
        <v>15290.584021352564</v>
      </c>
      <c r="J29" s="207">
        <v>15904.753686787923</v>
      </c>
      <c r="K29" s="207"/>
      <c r="L29" s="207">
        <v>6175.2779392534376</v>
      </c>
      <c r="M29" s="207">
        <v>2963.5089979477311</v>
      </c>
      <c r="N29" s="207">
        <v>3211.7689413057069</v>
      </c>
    </row>
    <row r="30" spans="1:14" x14ac:dyDescent="0.2">
      <c r="A30" s="924" t="s">
        <v>24</v>
      </c>
      <c r="B30" s="207">
        <v>50301.672567054426</v>
      </c>
      <c r="C30" s="207">
        <v>43643.709228103777</v>
      </c>
      <c r="D30" s="207">
        <v>7829.5438424319673</v>
      </c>
      <c r="E30" s="207">
        <v>3928.6086404922962</v>
      </c>
      <c r="F30" s="207">
        <v>3900.9352019396706</v>
      </c>
      <c r="G30" s="207"/>
      <c r="H30" s="207">
        <v>29418.860050632036</v>
      </c>
      <c r="I30" s="207">
        <v>14745.411313305318</v>
      </c>
      <c r="J30" s="207">
        <v>14673.448737326718</v>
      </c>
      <c r="K30" s="207"/>
      <c r="L30" s="207">
        <v>6395.305335039774</v>
      </c>
      <c r="M30" s="207">
        <v>3165.1310775724764</v>
      </c>
      <c r="N30" s="207">
        <v>3230.1742574672976</v>
      </c>
    </row>
    <row r="31" spans="1:14" x14ac:dyDescent="0.2">
      <c r="A31" s="193" t="s">
        <v>25</v>
      </c>
      <c r="B31" s="208">
        <v>11188.480089934434</v>
      </c>
      <c r="C31" s="208">
        <v>7031.8240119861348</v>
      </c>
      <c r="D31" s="208">
        <v>1223.0501629866835</v>
      </c>
      <c r="E31" s="208">
        <v>662.45495110540276</v>
      </c>
      <c r="F31" s="208">
        <v>560.59521188128087</v>
      </c>
      <c r="G31" s="208"/>
      <c r="H31" s="208">
        <v>4869.1627092389654</v>
      </c>
      <c r="I31" s="208">
        <v>2549.3002030736252</v>
      </c>
      <c r="J31" s="208">
        <v>2319.8625061653402</v>
      </c>
      <c r="K31" s="208"/>
      <c r="L31" s="208">
        <v>939.611139760485</v>
      </c>
      <c r="M31" s="208">
        <v>498.79523532436281</v>
      </c>
      <c r="N31" s="208">
        <v>440.8159044361222</v>
      </c>
    </row>
    <row r="32" spans="1:14" x14ac:dyDescent="0.2">
      <c r="A32" s="924" t="s">
        <v>25</v>
      </c>
      <c r="B32" s="207">
        <v>11188.480089934434</v>
      </c>
      <c r="C32" s="207">
        <v>7031.8240119861348</v>
      </c>
      <c r="D32" s="207">
        <v>1223.0501629866835</v>
      </c>
      <c r="E32" s="207">
        <v>662.45495110540276</v>
      </c>
      <c r="F32" s="207">
        <v>560.59521188128087</v>
      </c>
      <c r="G32" s="207"/>
      <c r="H32" s="207">
        <v>4869.1627092389654</v>
      </c>
      <c r="I32" s="207">
        <v>2549.3002030736252</v>
      </c>
      <c r="J32" s="207">
        <v>2319.8625061653402</v>
      </c>
      <c r="K32" s="207"/>
      <c r="L32" s="207">
        <v>939.611139760485</v>
      </c>
      <c r="M32" s="207">
        <v>498.79523532436281</v>
      </c>
      <c r="N32" s="207">
        <v>440.8159044361222</v>
      </c>
    </row>
    <row r="33" spans="1:14" x14ac:dyDescent="0.2">
      <c r="A33" s="193" t="s">
        <v>26</v>
      </c>
      <c r="B33" s="208">
        <v>4592.5192317195388</v>
      </c>
      <c r="C33" s="208">
        <v>2352.3878093514631</v>
      </c>
      <c r="D33" s="208">
        <v>371.69893912327632</v>
      </c>
      <c r="E33" s="208">
        <v>175.17321737748333</v>
      </c>
      <c r="F33" s="208">
        <v>196.52572174579299</v>
      </c>
      <c r="G33" s="208"/>
      <c r="H33" s="208">
        <v>1709.4500367540859</v>
      </c>
      <c r="I33" s="208">
        <v>888.29150325677506</v>
      </c>
      <c r="J33" s="208">
        <v>821.15853349731083</v>
      </c>
      <c r="K33" s="208"/>
      <c r="L33" s="208">
        <v>271.23883347410094</v>
      </c>
      <c r="M33" s="208">
        <v>130.97997449160798</v>
      </c>
      <c r="N33" s="208">
        <v>140.25885898249297</v>
      </c>
    </row>
    <row r="34" spans="1:14" x14ac:dyDescent="0.2">
      <c r="A34" s="924" t="s">
        <v>26</v>
      </c>
      <c r="B34" s="207">
        <v>4592.5192317195388</v>
      </c>
      <c r="C34" s="207">
        <v>2352.3878093514631</v>
      </c>
      <c r="D34" s="207">
        <v>371.69893912327632</v>
      </c>
      <c r="E34" s="207">
        <v>175.17321737748333</v>
      </c>
      <c r="F34" s="207">
        <v>196.52572174579299</v>
      </c>
      <c r="G34" s="207"/>
      <c r="H34" s="207">
        <v>1709.4500367540859</v>
      </c>
      <c r="I34" s="207">
        <v>888.29150325677506</v>
      </c>
      <c r="J34" s="207">
        <v>821.15853349731083</v>
      </c>
      <c r="K34" s="207"/>
      <c r="L34" s="207">
        <v>271.23883347410094</v>
      </c>
      <c r="M34" s="207">
        <v>130.97997449160798</v>
      </c>
      <c r="N34" s="207">
        <v>140.25885898249297</v>
      </c>
    </row>
    <row r="35" spans="1:14" x14ac:dyDescent="0.2">
      <c r="A35" s="193" t="s">
        <v>27</v>
      </c>
      <c r="B35" s="208">
        <v>23400.335732388303</v>
      </c>
      <c r="C35" s="208">
        <v>19824.841224986521</v>
      </c>
      <c r="D35" s="208">
        <v>3644.2368393217771</v>
      </c>
      <c r="E35" s="208">
        <v>1790.7072103083806</v>
      </c>
      <c r="F35" s="208">
        <v>1853.5296290133965</v>
      </c>
      <c r="G35" s="208"/>
      <c r="H35" s="208">
        <v>13119.557406952994</v>
      </c>
      <c r="I35" s="208">
        <v>6471.5018248056222</v>
      </c>
      <c r="J35" s="208">
        <v>6648.0555821473718</v>
      </c>
      <c r="K35" s="208"/>
      <c r="L35" s="208">
        <v>3061.0469787117509</v>
      </c>
      <c r="M35" s="208">
        <v>1489.8707678417627</v>
      </c>
      <c r="N35" s="208">
        <v>1571.1762108699879</v>
      </c>
    </row>
    <row r="36" spans="1:14" x14ac:dyDescent="0.2">
      <c r="A36" s="924" t="s">
        <v>27</v>
      </c>
      <c r="B36" s="207">
        <v>23400.335732388303</v>
      </c>
      <c r="C36" s="207">
        <v>19824.841224986521</v>
      </c>
      <c r="D36" s="207">
        <v>3644.2368393217771</v>
      </c>
      <c r="E36" s="207">
        <v>1790.7072103083806</v>
      </c>
      <c r="F36" s="207">
        <v>1853.5296290133965</v>
      </c>
      <c r="G36" s="207"/>
      <c r="H36" s="207">
        <v>13119.557406952994</v>
      </c>
      <c r="I36" s="207">
        <v>6471.5018248056222</v>
      </c>
      <c r="J36" s="207">
        <v>6648.0555821473718</v>
      </c>
      <c r="K36" s="207"/>
      <c r="L36" s="207">
        <v>3061.0469787117509</v>
      </c>
      <c r="M36" s="207">
        <v>1489.8707678417627</v>
      </c>
      <c r="N36" s="207">
        <v>1571.1762108699879</v>
      </c>
    </row>
    <row r="37" spans="1:14" x14ac:dyDescent="0.2">
      <c r="A37" s="193" t="s">
        <v>28</v>
      </c>
      <c r="B37" s="208">
        <v>52332.868836680616</v>
      </c>
      <c r="C37" s="208">
        <v>39971.308506971429</v>
      </c>
      <c r="D37" s="208">
        <v>7175.565019261343</v>
      </c>
      <c r="E37" s="208">
        <v>3660.1517501183271</v>
      </c>
      <c r="F37" s="208">
        <v>3515.4132691430154</v>
      </c>
      <c r="G37" s="208"/>
      <c r="H37" s="208">
        <v>27400.601285229248</v>
      </c>
      <c r="I37" s="208">
        <v>13954.983140402592</v>
      </c>
      <c r="J37" s="208">
        <v>13445.618144826658</v>
      </c>
      <c r="K37" s="208"/>
      <c r="L37" s="208">
        <v>5395.142202480838</v>
      </c>
      <c r="M37" s="208">
        <v>2696.1795244090849</v>
      </c>
      <c r="N37" s="208">
        <v>2698.9626780717535</v>
      </c>
    </row>
    <row r="38" spans="1:14" x14ac:dyDescent="0.2">
      <c r="A38" s="924" t="s">
        <v>28</v>
      </c>
      <c r="B38" s="207">
        <v>52332.868836680616</v>
      </c>
      <c r="C38" s="207">
        <v>39971.308506971429</v>
      </c>
      <c r="D38" s="207">
        <v>7175.565019261343</v>
      </c>
      <c r="E38" s="207">
        <v>3660.1517501183271</v>
      </c>
      <c r="F38" s="207">
        <v>3515.4132691430154</v>
      </c>
      <c r="G38" s="207"/>
      <c r="H38" s="207">
        <v>27400.601285229248</v>
      </c>
      <c r="I38" s="207">
        <v>13954.983140402592</v>
      </c>
      <c r="J38" s="207">
        <v>13445.618144826658</v>
      </c>
      <c r="K38" s="207"/>
      <c r="L38" s="207">
        <v>5395.142202480838</v>
      </c>
      <c r="M38" s="207">
        <v>2696.1795244090849</v>
      </c>
      <c r="N38" s="207">
        <v>2698.9626780717535</v>
      </c>
    </row>
    <row r="39" spans="1:14" x14ac:dyDescent="0.2">
      <c r="A39" s="193" t="s">
        <v>29</v>
      </c>
      <c r="B39" s="208">
        <v>115907.60895677468</v>
      </c>
      <c r="C39" s="208">
        <v>95268.432622200373</v>
      </c>
      <c r="D39" s="208">
        <v>19410.453274053936</v>
      </c>
      <c r="E39" s="208">
        <v>9332.5374341939332</v>
      </c>
      <c r="F39" s="208">
        <v>10077.915839860003</v>
      </c>
      <c r="G39" s="208"/>
      <c r="H39" s="208">
        <v>60245.346844167187</v>
      </c>
      <c r="I39" s="208">
        <v>29409.74746540952</v>
      </c>
      <c r="J39" s="208">
        <v>30835.599378757663</v>
      </c>
      <c r="K39" s="208"/>
      <c r="L39" s="208">
        <v>15612.632503979255</v>
      </c>
      <c r="M39" s="208">
        <v>7315.5090467478731</v>
      </c>
      <c r="N39" s="208">
        <v>8297.1234572313824</v>
      </c>
    </row>
    <row r="40" spans="1:14" x14ac:dyDescent="0.2">
      <c r="A40" s="924" t="s">
        <v>30</v>
      </c>
      <c r="B40" s="207">
        <v>70775.253062754753</v>
      </c>
      <c r="C40" s="207">
        <v>58524.378879816053</v>
      </c>
      <c r="D40" s="207">
        <v>12113.05365864859</v>
      </c>
      <c r="E40" s="207">
        <v>5716.2027991637869</v>
      </c>
      <c r="F40" s="207">
        <v>6396.8508594848045</v>
      </c>
      <c r="G40" s="207"/>
      <c r="H40" s="207">
        <v>36740.379452387249</v>
      </c>
      <c r="I40" s="207">
        <v>17773.796405492769</v>
      </c>
      <c r="J40" s="207">
        <v>18966.583046894481</v>
      </c>
      <c r="K40" s="207"/>
      <c r="L40" s="207">
        <v>9670.9457687802133</v>
      </c>
      <c r="M40" s="207">
        <v>4419.2269705214503</v>
      </c>
      <c r="N40" s="207">
        <v>5251.7187982587629</v>
      </c>
    </row>
    <row r="41" spans="1:14" x14ac:dyDescent="0.2">
      <c r="A41" s="924" t="s">
        <v>29</v>
      </c>
      <c r="B41" s="207">
        <v>45132.355893891261</v>
      </c>
      <c r="C41" s="207">
        <v>36744.053742390206</v>
      </c>
      <c r="D41" s="207">
        <v>7297.3996154048018</v>
      </c>
      <c r="E41" s="207">
        <v>3616.3346350299844</v>
      </c>
      <c r="F41" s="207">
        <v>3681.0649803748179</v>
      </c>
      <c r="G41" s="207"/>
      <c r="H41" s="207">
        <v>23504.967391786056</v>
      </c>
      <c r="I41" s="207">
        <v>11635.951059919793</v>
      </c>
      <c r="J41" s="207">
        <v>11869.016331866263</v>
      </c>
      <c r="K41" s="207"/>
      <c r="L41" s="207">
        <v>5941.6867351993515</v>
      </c>
      <c r="M41" s="207">
        <v>2896.2820762265969</v>
      </c>
      <c r="N41" s="207">
        <v>3045.4046589727541</v>
      </c>
    </row>
    <row r="42" spans="1:14" x14ac:dyDescent="0.2">
      <c r="A42" s="193" t="s">
        <v>31</v>
      </c>
      <c r="B42" s="208">
        <v>46255.253706680196</v>
      </c>
      <c r="C42" s="208">
        <v>40048.367694189525</v>
      </c>
      <c r="D42" s="208">
        <v>6935.3436022151145</v>
      </c>
      <c r="E42" s="208">
        <v>3410.7344371424592</v>
      </c>
      <c r="F42" s="208">
        <v>3524.6091650726548</v>
      </c>
      <c r="G42" s="208"/>
      <c r="H42" s="208">
        <v>27309.796715318585</v>
      </c>
      <c r="I42" s="208">
        <v>13573.572448229359</v>
      </c>
      <c r="J42" s="208">
        <v>13736.224267089226</v>
      </c>
      <c r="K42" s="208"/>
      <c r="L42" s="208">
        <v>5803.2273766558192</v>
      </c>
      <c r="M42" s="208">
        <v>2814.4876777494774</v>
      </c>
      <c r="N42" s="208">
        <v>2988.7396989063423</v>
      </c>
    </row>
    <row r="43" spans="1:14" x14ac:dyDescent="0.2">
      <c r="A43" s="925" t="s">
        <v>31</v>
      </c>
      <c r="B43" s="220">
        <v>46255.253706680196</v>
      </c>
      <c r="C43" s="220">
        <v>40048.367694189525</v>
      </c>
      <c r="D43" s="220">
        <v>6935.3436022151145</v>
      </c>
      <c r="E43" s="220">
        <v>3410.7344371424592</v>
      </c>
      <c r="F43" s="220">
        <v>3524.6091650726548</v>
      </c>
      <c r="G43" s="220"/>
      <c r="H43" s="220">
        <v>27309.796715318585</v>
      </c>
      <c r="I43" s="220">
        <v>13573.572448229359</v>
      </c>
      <c r="J43" s="220">
        <v>13736.224267089226</v>
      </c>
      <c r="K43" s="220"/>
      <c r="L43" s="220">
        <v>5803.2273766558192</v>
      </c>
      <c r="M43" s="220">
        <v>2814.4876777494774</v>
      </c>
      <c r="N43" s="220">
        <v>2988.7396989063423</v>
      </c>
    </row>
  </sheetData>
  <mergeCells count="7">
    <mergeCell ref="A1:N1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14"/>
  <sheetViews>
    <sheetView workbookViewId="0">
      <selection activeCell="D31" sqref="D31"/>
    </sheetView>
  </sheetViews>
  <sheetFormatPr defaultColWidth="14.42578125" defaultRowHeight="12" x14ac:dyDescent="0.2"/>
  <cols>
    <col min="1" max="1" width="15.140625" style="575" customWidth="1"/>
    <col min="2" max="14" width="14.42578125" style="575"/>
    <col min="15" max="15" width="14.42578125" style="599"/>
    <col min="16" max="16384" width="14.42578125" style="575"/>
  </cols>
  <sheetData>
    <row r="1" spans="1:16" x14ac:dyDescent="0.2">
      <c r="A1" s="707" t="s">
        <v>259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505"/>
    </row>
    <row r="2" spans="1:16" ht="12" customHeight="1" x14ac:dyDescent="0.2">
      <c r="A2" s="708" t="s">
        <v>589</v>
      </c>
      <c r="B2" s="709" t="s">
        <v>547</v>
      </c>
      <c r="C2" s="711" t="s">
        <v>260</v>
      </c>
      <c r="D2" s="713" t="s">
        <v>261</v>
      </c>
      <c r="E2" s="713"/>
      <c r="F2" s="713"/>
      <c r="G2" s="383"/>
      <c r="H2" s="713" t="s">
        <v>262</v>
      </c>
      <c r="I2" s="713"/>
      <c r="J2" s="713"/>
      <c r="K2" s="383"/>
      <c r="L2" s="713" t="s">
        <v>263</v>
      </c>
      <c r="M2" s="713"/>
      <c r="N2" s="713"/>
      <c r="O2" s="704" t="s">
        <v>264</v>
      </c>
    </row>
    <row r="3" spans="1:16" x14ac:dyDescent="0.2">
      <c r="A3" s="708"/>
      <c r="B3" s="709"/>
      <c r="C3" s="711"/>
      <c r="D3" s="712"/>
      <c r="E3" s="712"/>
      <c r="F3" s="712"/>
      <c r="G3" s="473"/>
      <c r="H3" s="712"/>
      <c r="I3" s="712"/>
      <c r="J3" s="712"/>
      <c r="K3" s="473"/>
      <c r="L3" s="712"/>
      <c r="M3" s="712"/>
      <c r="N3" s="712"/>
      <c r="O3" s="705"/>
    </row>
    <row r="4" spans="1:16" x14ac:dyDescent="0.2">
      <c r="A4" s="708"/>
      <c r="B4" s="710"/>
      <c r="C4" s="712"/>
      <c r="D4" s="325" t="s">
        <v>2</v>
      </c>
      <c r="E4" s="325" t="s">
        <v>182</v>
      </c>
      <c r="F4" s="325" t="s">
        <v>183</v>
      </c>
      <c r="G4" s="325"/>
      <c r="H4" s="325" t="s">
        <v>2</v>
      </c>
      <c r="I4" s="325" t="s">
        <v>182</v>
      </c>
      <c r="J4" s="325" t="s">
        <v>183</v>
      </c>
      <c r="K4" s="325"/>
      <c r="L4" s="325" t="s">
        <v>2</v>
      </c>
      <c r="M4" s="325" t="s">
        <v>182</v>
      </c>
      <c r="N4" s="325" t="s">
        <v>183</v>
      </c>
      <c r="O4" s="706"/>
    </row>
    <row r="5" spans="1:16" x14ac:dyDescent="0.2">
      <c r="A5" s="129" t="s">
        <v>32</v>
      </c>
      <c r="B5" s="130">
        <v>998746.13429012662</v>
      </c>
      <c r="C5" s="130">
        <f>+D5+H5+L5</f>
        <v>75121.085068634158</v>
      </c>
      <c r="D5" s="130">
        <f>E5+F5</f>
        <v>14591.404318329704</v>
      </c>
      <c r="E5" s="130">
        <v>7201.4244831356682</v>
      </c>
      <c r="F5" s="130">
        <v>7389.9798351940353</v>
      </c>
      <c r="G5" s="130"/>
      <c r="H5" s="130">
        <f>I5+J5</f>
        <v>53252.947455743306</v>
      </c>
      <c r="I5" s="130">
        <v>26266.044474748076</v>
      </c>
      <c r="J5" s="130">
        <v>26986.90298099523</v>
      </c>
      <c r="K5" s="130"/>
      <c r="L5" s="130">
        <f>M5+N5</f>
        <v>7276.7332945611543</v>
      </c>
      <c r="M5" s="130">
        <v>3620.0101928320455</v>
      </c>
      <c r="N5" s="130">
        <v>3656.7231017291087</v>
      </c>
      <c r="O5" s="632">
        <v>7.5215395073371196</v>
      </c>
      <c r="P5" s="651"/>
    </row>
    <row r="6" spans="1:16" x14ac:dyDescent="0.2">
      <c r="A6" s="131"/>
      <c r="B6" s="132"/>
      <c r="C6" s="132"/>
      <c r="D6" s="132">
        <f t="shared" ref="D6:D14" si="0">E6+F6</f>
        <v>0</v>
      </c>
      <c r="E6" s="132"/>
      <c r="F6" s="132"/>
      <c r="G6" s="132"/>
      <c r="H6" s="132">
        <f t="shared" ref="H6:H14" si="1">I6+J6</f>
        <v>0</v>
      </c>
      <c r="I6" s="132"/>
      <c r="J6" s="132"/>
      <c r="K6" s="132"/>
      <c r="L6" s="133">
        <f t="shared" ref="L6:L14" si="2">M6+N6</f>
        <v>0</v>
      </c>
      <c r="M6" s="132"/>
      <c r="N6" s="132"/>
      <c r="O6" s="633"/>
      <c r="P6" s="651"/>
    </row>
    <row r="7" spans="1:16" x14ac:dyDescent="0.2">
      <c r="A7" s="129" t="s">
        <v>364</v>
      </c>
      <c r="B7" s="130"/>
      <c r="C7" s="130"/>
      <c r="D7" s="130">
        <f t="shared" si="0"/>
        <v>0</v>
      </c>
      <c r="E7" s="130"/>
      <c r="F7" s="130"/>
      <c r="G7" s="130"/>
      <c r="H7" s="130">
        <f t="shared" si="1"/>
        <v>0</v>
      </c>
      <c r="I7" s="130"/>
      <c r="J7" s="130"/>
      <c r="K7" s="130"/>
      <c r="L7" s="130">
        <f t="shared" si="2"/>
        <v>0</v>
      </c>
      <c r="M7" s="130"/>
      <c r="N7" s="130"/>
      <c r="O7" s="632"/>
      <c r="P7" s="651"/>
    </row>
    <row r="8" spans="1:16" x14ac:dyDescent="0.2">
      <c r="A8" s="134" t="s">
        <v>8</v>
      </c>
      <c r="B8" s="133">
        <v>236781.08140589698</v>
      </c>
      <c r="C8" s="133">
        <f>SUM(L8,H8,D8)</f>
        <v>16188.637486281965</v>
      </c>
      <c r="D8" s="133">
        <f t="shared" si="0"/>
        <v>2692.1401974527325</v>
      </c>
      <c r="E8" s="133">
        <v>1206.7520744319609</v>
      </c>
      <c r="F8" s="133">
        <v>1485.3881230207719</v>
      </c>
      <c r="G8" s="133"/>
      <c r="H8" s="133">
        <f t="shared" si="1"/>
        <v>12654.845146578256</v>
      </c>
      <c r="I8" s="133">
        <v>5743.097203606334</v>
      </c>
      <c r="J8" s="133">
        <v>6911.7479429719224</v>
      </c>
      <c r="K8" s="133"/>
      <c r="L8" s="133">
        <f t="shared" si="2"/>
        <v>841.6521422509752</v>
      </c>
      <c r="M8" s="133">
        <v>355.11011583698053</v>
      </c>
      <c r="N8" s="133">
        <v>486.54202641399473</v>
      </c>
      <c r="O8" s="634">
        <v>6.8369640809820167</v>
      </c>
      <c r="P8" s="651"/>
    </row>
    <row r="9" spans="1:16" x14ac:dyDescent="0.2">
      <c r="A9" s="134" t="s">
        <v>9</v>
      </c>
      <c r="B9" s="133">
        <v>761965.05288152257</v>
      </c>
      <c r="C9" s="133">
        <f>SUM(L9,H9,D9)</f>
        <v>58932.447582354071</v>
      </c>
      <c r="D9" s="133">
        <f t="shared" si="0"/>
        <v>11899.264120877178</v>
      </c>
      <c r="E9" s="133">
        <v>5994.6724087038028</v>
      </c>
      <c r="F9" s="133">
        <v>5904.5917121733746</v>
      </c>
      <c r="G9" s="133"/>
      <c r="H9" s="133">
        <f t="shared" si="1"/>
        <v>40598.102309166643</v>
      </c>
      <c r="I9" s="133">
        <v>20522.947271142446</v>
      </c>
      <c r="J9" s="133">
        <v>20075.155038024201</v>
      </c>
      <c r="K9" s="133"/>
      <c r="L9" s="133">
        <f t="shared" si="2"/>
        <v>6435.0811523102429</v>
      </c>
      <c r="M9" s="133">
        <v>3264.9000769950921</v>
      </c>
      <c r="N9" s="133">
        <v>3170.1810753151508</v>
      </c>
      <c r="O9" s="634">
        <v>7.7342717175137201</v>
      </c>
      <c r="P9" s="651"/>
    </row>
    <row r="10" spans="1:16" x14ac:dyDescent="0.2">
      <c r="A10" s="129" t="s">
        <v>265</v>
      </c>
      <c r="B10" s="130"/>
      <c r="C10" s="130"/>
      <c r="D10" s="135">
        <f t="shared" si="0"/>
        <v>0</v>
      </c>
      <c r="E10" s="130"/>
      <c r="F10" s="130"/>
      <c r="G10" s="130"/>
      <c r="H10" s="135">
        <f t="shared" si="1"/>
        <v>0</v>
      </c>
      <c r="I10" s="130"/>
      <c r="J10" s="130"/>
      <c r="K10" s="130"/>
      <c r="L10" s="130">
        <f t="shared" si="2"/>
        <v>0</v>
      </c>
      <c r="M10" s="130"/>
      <c r="N10" s="130"/>
      <c r="O10" s="632"/>
    </row>
    <row r="11" spans="1:16" x14ac:dyDescent="0.2">
      <c r="A11" s="136" t="s">
        <v>37</v>
      </c>
      <c r="B11" s="133">
        <v>313219.4008611099</v>
      </c>
      <c r="C11" s="133">
        <f>+D11+H11+L11</f>
        <v>15409.3254352932</v>
      </c>
      <c r="D11" s="133">
        <f t="shared" si="0"/>
        <v>1657.4259072995196</v>
      </c>
      <c r="E11" s="133">
        <v>839.13105935278531</v>
      </c>
      <c r="F11" s="133">
        <v>818.29484794673431</v>
      </c>
      <c r="G11" s="133"/>
      <c r="H11" s="133">
        <f t="shared" si="1"/>
        <v>12929.816277973116</v>
      </c>
      <c r="I11" s="133">
        <v>6432.7067213590244</v>
      </c>
      <c r="J11" s="133">
        <v>6497.1095566140912</v>
      </c>
      <c r="K11" s="133"/>
      <c r="L11" s="133">
        <f t="shared" si="2"/>
        <v>822.08325002056552</v>
      </c>
      <c r="M11" s="133">
        <v>424.30103226867885</v>
      </c>
      <c r="N11" s="133">
        <v>397.78221775188666</v>
      </c>
      <c r="O11" s="384">
        <v>4.9196586778882567</v>
      </c>
      <c r="P11" s="651"/>
    </row>
    <row r="12" spans="1:16" x14ac:dyDescent="0.2">
      <c r="A12" s="136" t="s">
        <v>185</v>
      </c>
      <c r="B12" s="133">
        <v>296392.84337264905</v>
      </c>
      <c r="C12" s="133">
        <f>+D12+H12+L12</f>
        <v>22159.323151790566</v>
      </c>
      <c r="D12" s="133">
        <f t="shared" si="0"/>
        <v>5437.9991620569936</v>
      </c>
      <c r="E12" s="133">
        <v>2721.8546733431922</v>
      </c>
      <c r="F12" s="133">
        <v>2716.1444887138014</v>
      </c>
      <c r="G12" s="133"/>
      <c r="H12" s="133">
        <f t="shared" si="1"/>
        <v>13917.623336702367</v>
      </c>
      <c r="I12" s="133">
        <v>6875.0622937867847</v>
      </c>
      <c r="J12" s="133">
        <v>7042.5610429155822</v>
      </c>
      <c r="K12" s="133"/>
      <c r="L12" s="133">
        <f t="shared" si="2"/>
        <v>2803.7006530312065</v>
      </c>
      <c r="M12" s="133">
        <v>1414.222393212618</v>
      </c>
      <c r="N12" s="133">
        <v>1389.4782598185882</v>
      </c>
      <c r="O12" s="384">
        <v>7.4763354268746873</v>
      </c>
      <c r="P12" s="651"/>
    </row>
    <row r="13" spans="1:16" ht="15" customHeight="1" x14ac:dyDescent="0.2">
      <c r="A13" s="136" t="s">
        <v>186</v>
      </c>
      <c r="B13" s="133">
        <v>247955.25055661143</v>
      </c>
      <c r="C13" s="133">
        <f>+D13+H13+L13</f>
        <v>21279.954718864232</v>
      </c>
      <c r="D13" s="133">
        <f t="shared" si="0"/>
        <v>3782.0456195336174</v>
      </c>
      <c r="E13" s="133">
        <v>1886.2643225756492</v>
      </c>
      <c r="F13" s="133">
        <v>1895.7812969579684</v>
      </c>
      <c r="G13" s="133"/>
      <c r="H13" s="133">
        <f t="shared" si="1"/>
        <v>15607.837987002051</v>
      </c>
      <c r="I13" s="133">
        <v>7744.9137523306536</v>
      </c>
      <c r="J13" s="133">
        <v>7862.9242346713972</v>
      </c>
      <c r="K13" s="133"/>
      <c r="L13" s="133">
        <f t="shared" si="2"/>
        <v>1890.0711123285655</v>
      </c>
      <c r="M13" s="133">
        <v>934.56688434373166</v>
      </c>
      <c r="N13" s="133">
        <v>955.50422798483385</v>
      </c>
      <c r="O13" s="384">
        <v>8.5821754817027909</v>
      </c>
      <c r="P13" s="651"/>
    </row>
    <row r="14" spans="1:16" ht="13.5" customHeight="1" x14ac:dyDescent="0.2">
      <c r="A14" s="224" t="s">
        <v>266</v>
      </c>
      <c r="B14" s="225">
        <v>141178.6394949696</v>
      </c>
      <c r="C14" s="225">
        <f>+D14+H14+L14</f>
        <v>16272.481762685715</v>
      </c>
      <c r="D14" s="225">
        <f t="shared" si="0"/>
        <v>3713.9336294402465</v>
      </c>
      <c r="E14" s="225">
        <v>1754.1744278643787</v>
      </c>
      <c r="F14" s="225">
        <v>1959.7592015758678</v>
      </c>
      <c r="G14" s="225"/>
      <c r="H14" s="225">
        <f t="shared" si="1"/>
        <v>10797.669854064383</v>
      </c>
      <c r="I14" s="225">
        <v>5213.3617072707393</v>
      </c>
      <c r="J14" s="225">
        <v>5584.3081467936436</v>
      </c>
      <c r="K14" s="225"/>
      <c r="L14" s="225">
        <f t="shared" si="2"/>
        <v>1760.8782791810852</v>
      </c>
      <c r="M14" s="225">
        <v>846.91988300714593</v>
      </c>
      <c r="N14" s="225">
        <v>913.95839617393926</v>
      </c>
      <c r="O14" s="385">
        <v>11.526164171078818</v>
      </c>
      <c r="P14" s="651"/>
    </row>
  </sheetData>
  <mergeCells count="8">
    <mergeCell ref="O2:O4"/>
    <mergeCell ref="A1:N1"/>
    <mergeCell ref="A2:A4"/>
    <mergeCell ref="B2:B4"/>
    <mergeCell ref="C2:C4"/>
    <mergeCell ref="D2:F3"/>
    <mergeCell ref="H2:J3"/>
    <mergeCell ref="L2:N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ABD00"/>
  </sheetPr>
  <dimension ref="A1"/>
  <sheetViews>
    <sheetView workbookViewId="0">
      <selection activeCell="Q32" sqref="Q32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40"/>
  <sheetViews>
    <sheetView workbookViewId="0">
      <selection activeCell="A2" sqref="A2:A3"/>
    </sheetView>
  </sheetViews>
  <sheetFormatPr defaultRowHeight="12" x14ac:dyDescent="0.2"/>
  <cols>
    <col min="1" max="1" width="23.85546875" style="575" customWidth="1"/>
    <col min="2" max="2" width="13.42578125" style="575" bestFit="1" customWidth="1"/>
    <col min="3" max="3" width="15.85546875" style="575" customWidth="1"/>
    <col min="4" max="4" width="21.42578125" style="575" customWidth="1"/>
    <col min="5" max="5" width="21" style="575" customWidth="1"/>
    <col min="6" max="6" width="12" style="575" bestFit="1" customWidth="1"/>
    <col min="7" max="7" width="15.28515625" style="575" customWidth="1"/>
    <col min="8" max="8" width="15.140625" style="575" customWidth="1"/>
    <col min="9" max="9" width="14.28515625" style="575" customWidth="1"/>
    <col min="10" max="10" width="12" style="599" bestFit="1" customWidth="1"/>
    <col min="11" max="12" width="10.28515625" style="575" bestFit="1" customWidth="1"/>
    <col min="13" max="13" width="9.28515625" style="575" bestFit="1" customWidth="1"/>
    <col min="14" max="14" width="14.42578125" style="575" customWidth="1"/>
    <col min="15" max="16" width="11.140625" style="575" bestFit="1" customWidth="1"/>
    <col min="17" max="16384" width="9.140625" style="575"/>
  </cols>
  <sheetData>
    <row r="1" spans="1:16" x14ac:dyDescent="0.2">
      <c r="A1" s="714" t="s">
        <v>199</v>
      </c>
      <c r="B1" s="714"/>
      <c r="C1" s="714"/>
      <c r="D1" s="714"/>
      <c r="E1" s="714"/>
      <c r="F1" s="714"/>
      <c r="G1" s="714"/>
      <c r="H1" s="714"/>
      <c r="I1" s="714"/>
      <c r="J1" s="714"/>
      <c r="K1" s="714"/>
      <c r="L1" s="714"/>
      <c r="M1" s="714"/>
      <c r="N1" s="714"/>
      <c r="O1" s="714"/>
      <c r="P1" s="714"/>
    </row>
    <row r="2" spans="1:16" ht="12" customHeight="1" x14ac:dyDescent="0.2">
      <c r="A2" s="715" t="str">
        <f>'Q5.1'!$A$2</f>
        <v>Área de residência, município e comuna</v>
      </c>
      <c r="B2" s="715" t="s">
        <v>548</v>
      </c>
      <c r="C2" s="715" t="s">
        <v>201</v>
      </c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</row>
    <row r="3" spans="1:16" ht="42.75" customHeight="1" thickBot="1" x14ac:dyDescent="0.25">
      <c r="A3" s="716"/>
      <c r="B3" s="716"/>
      <c r="C3" s="101" t="s">
        <v>202</v>
      </c>
      <c r="D3" s="101" t="s">
        <v>203</v>
      </c>
      <c r="E3" s="101" t="s">
        <v>204</v>
      </c>
      <c r="F3" s="101" t="s">
        <v>205</v>
      </c>
      <c r="G3" s="101" t="s">
        <v>206</v>
      </c>
      <c r="H3" s="101" t="s">
        <v>207</v>
      </c>
      <c r="I3" s="101" t="s">
        <v>208</v>
      </c>
      <c r="J3" s="101" t="s">
        <v>209</v>
      </c>
      <c r="K3" s="101" t="s">
        <v>210</v>
      </c>
      <c r="L3" s="101" t="s">
        <v>211</v>
      </c>
      <c r="M3" s="101" t="s">
        <v>212</v>
      </c>
      <c r="N3" s="101" t="s">
        <v>213</v>
      </c>
      <c r="O3" s="101" t="s">
        <v>214</v>
      </c>
      <c r="P3" s="101" t="s">
        <v>215</v>
      </c>
    </row>
    <row r="4" spans="1:16" x14ac:dyDescent="0.2">
      <c r="A4" s="102" t="s">
        <v>32</v>
      </c>
      <c r="B4" s="206">
        <v>1688676.7873672319</v>
      </c>
      <c r="C4" s="206">
        <v>9484.7301711542805</v>
      </c>
      <c r="D4" s="206">
        <v>58790.722399181403</v>
      </c>
      <c r="E4" s="206">
        <v>25788.429669225505</v>
      </c>
      <c r="F4" s="206">
        <v>111295.61983666896</v>
      </c>
      <c r="G4" s="206">
        <v>420264.08548706642</v>
      </c>
      <c r="H4" s="206">
        <v>856870.90967983636</v>
      </c>
      <c r="I4" s="206">
        <v>87586.350856577352</v>
      </c>
      <c r="J4" s="390">
        <v>4315.3081484788108</v>
      </c>
      <c r="K4" s="206">
        <v>3709.4595968272297</v>
      </c>
      <c r="L4" s="206">
        <v>1765.6240725308403</v>
      </c>
      <c r="M4" s="206">
        <v>143.42902099666861</v>
      </c>
      <c r="N4" s="206">
        <v>997.68229248217983</v>
      </c>
      <c r="O4" s="206">
        <v>47816.908004357851</v>
      </c>
      <c r="P4" s="206">
        <v>59847.528120965435</v>
      </c>
    </row>
    <row r="5" spans="1:16" x14ac:dyDescent="0.2">
      <c r="A5" s="86"/>
      <c r="B5" s="207"/>
      <c r="C5" s="207"/>
      <c r="D5" s="207"/>
      <c r="E5" s="207"/>
      <c r="F5" s="207"/>
      <c r="G5" s="207"/>
      <c r="H5" s="207"/>
      <c r="I5" s="207"/>
      <c r="J5" s="391"/>
      <c r="K5" s="207"/>
      <c r="L5" s="207"/>
      <c r="M5" s="207"/>
      <c r="N5" s="207"/>
      <c r="O5" s="207"/>
      <c r="P5" s="207"/>
    </row>
    <row r="6" spans="1:16" x14ac:dyDescent="0.2">
      <c r="A6" s="102" t="s">
        <v>167</v>
      </c>
      <c r="B6" s="206"/>
      <c r="C6" s="206"/>
      <c r="D6" s="206"/>
      <c r="E6" s="206"/>
      <c r="F6" s="206"/>
      <c r="G6" s="206"/>
      <c r="H6" s="206"/>
      <c r="I6" s="206"/>
      <c r="J6" s="390"/>
      <c r="K6" s="206"/>
      <c r="L6" s="206"/>
      <c r="M6" s="206"/>
      <c r="N6" s="206"/>
      <c r="O6" s="206"/>
      <c r="P6" s="206"/>
    </row>
    <row r="7" spans="1:16" x14ac:dyDescent="0.2">
      <c r="A7" s="90" t="s">
        <v>8</v>
      </c>
      <c r="B7" s="207">
        <v>434543.0885305847</v>
      </c>
      <c r="C7" s="207">
        <v>8044.7608459368284</v>
      </c>
      <c r="D7" s="207">
        <v>22719.587725875757</v>
      </c>
      <c r="E7" s="207">
        <v>11624.426181621444</v>
      </c>
      <c r="F7" s="207">
        <v>99763.64132382808</v>
      </c>
      <c r="G7" s="207">
        <v>97519.641024837591</v>
      </c>
      <c r="H7" s="207">
        <v>147762.13106831381</v>
      </c>
      <c r="I7" s="207">
        <v>3933.8704705742894</v>
      </c>
      <c r="J7" s="391">
        <v>1134.2685254988351</v>
      </c>
      <c r="K7" s="207">
        <v>253.47191734146938</v>
      </c>
      <c r="L7" s="207">
        <v>380.85104489827495</v>
      </c>
      <c r="M7" s="207">
        <v>109.15425900794938</v>
      </c>
      <c r="N7" s="207">
        <v>226.95215692048501</v>
      </c>
      <c r="O7" s="207">
        <v>21834.187425215187</v>
      </c>
      <c r="P7" s="207">
        <v>19236.144561801699</v>
      </c>
    </row>
    <row r="8" spans="1:16" x14ac:dyDescent="0.2">
      <c r="A8" s="90" t="s">
        <v>9</v>
      </c>
      <c r="B8" s="207">
        <v>1254133.6988310465</v>
      </c>
      <c r="C8" s="207">
        <v>1439.9693252174272</v>
      </c>
      <c r="D8" s="207">
        <v>36071.134673308574</v>
      </c>
      <c r="E8" s="207">
        <v>14164.00348760514</v>
      </c>
      <c r="F8" s="207">
        <v>11531.978512825106</v>
      </c>
      <c r="G8" s="207">
        <v>322744.44446266734</v>
      </c>
      <c r="H8" s="207">
        <v>709108.77860887698</v>
      </c>
      <c r="I8" s="207">
        <v>83652.480385996285</v>
      </c>
      <c r="J8" s="391">
        <v>3181.0396229800322</v>
      </c>
      <c r="K8" s="207">
        <v>3455.9876794857737</v>
      </c>
      <c r="L8" s="207">
        <v>1384.7730276325633</v>
      </c>
      <c r="M8" s="207">
        <v>34.274761988719227</v>
      </c>
      <c r="N8" s="207">
        <v>770.73013556169235</v>
      </c>
      <c r="O8" s="207">
        <v>25982.72057914492</v>
      </c>
      <c r="P8" s="207">
        <v>40611.383559166024</v>
      </c>
    </row>
    <row r="9" spans="1:16" x14ac:dyDescent="0.2">
      <c r="A9" s="102" t="s">
        <v>361</v>
      </c>
      <c r="B9" s="206"/>
      <c r="C9" s="206"/>
      <c r="D9" s="206"/>
      <c r="E9" s="206"/>
      <c r="F9" s="206"/>
      <c r="G9" s="206"/>
      <c r="H9" s="206"/>
      <c r="I9" s="206"/>
      <c r="J9" s="390"/>
      <c r="K9" s="206"/>
      <c r="L9" s="206"/>
      <c r="M9" s="206"/>
      <c r="N9" s="206"/>
      <c r="O9" s="206"/>
      <c r="P9" s="206"/>
    </row>
    <row r="10" spans="1:16" x14ac:dyDescent="0.2">
      <c r="A10" s="85" t="s">
        <v>11</v>
      </c>
      <c r="B10" s="208">
        <f>SUM(B11:B12)</f>
        <v>231702.78647477902</v>
      </c>
      <c r="C10" s="208">
        <f t="shared" ref="C10:P10" si="0">SUM(C11:C12)</f>
        <v>1187.5119474307844</v>
      </c>
      <c r="D10" s="208">
        <f t="shared" si="0"/>
        <v>5708.4004423244951</v>
      </c>
      <c r="E10" s="208">
        <f t="shared" si="0"/>
        <v>1478.0724074679895</v>
      </c>
      <c r="F10" s="208">
        <f t="shared" si="0"/>
        <v>13742.763049274135</v>
      </c>
      <c r="G10" s="208">
        <f t="shared" si="0"/>
        <v>61831.214234493928</v>
      </c>
      <c r="H10" s="208">
        <f t="shared" si="0"/>
        <v>129796.4692719322</v>
      </c>
      <c r="I10" s="392">
        <f t="shared" si="0"/>
        <v>775.7865093696762</v>
      </c>
      <c r="J10" s="392">
        <f t="shared" si="0"/>
        <v>46.538366919816411</v>
      </c>
      <c r="K10" s="394">
        <f t="shared" si="0"/>
        <v>1093.8787958427574</v>
      </c>
      <c r="L10" s="392">
        <f t="shared" si="0"/>
        <v>115.19217555103332</v>
      </c>
      <c r="M10" s="392">
        <f t="shared" si="0"/>
        <v>65.330687604890883</v>
      </c>
      <c r="N10" s="388">
        <f t="shared" si="0"/>
        <v>59.049512305995869</v>
      </c>
      <c r="O10" s="208">
        <f t="shared" si="0"/>
        <v>5871.5978148928762</v>
      </c>
      <c r="P10" s="208">
        <f t="shared" si="0"/>
        <v>9930.9812592779781</v>
      </c>
    </row>
    <row r="11" spans="1:16" x14ac:dyDescent="0.2">
      <c r="A11" s="90" t="s">
        <v>12</v>
      </c>
      <c r="B11" s="207">
        <v>145167.17676110842</v>
      </c>
      <c r="C11" s="207">
        <v>1104.9285931188533</v>
      </c>
      <c r="D11" s="207">
        <v>3867.9300607284581</v>
      </c>
      <c r="E11" s="207">
        <v>1443.7708196579749</v>
      </c>
      <c r="F11" s="207">
        <v>13667.41294396026</v>
      </c>
      <c r="G11" s="207">
        <v>60465.932477567825</v>
      </c>
      <c r="H11" s="207">
        <v>54401.21972131377</v>
      </c>
      <c r="I11" s="393">
        <v>716.73269734103303</v>
      </c>
      <c r="J11" s="393">
        <v>46.538366919816411</v>
      </c>
      <c r="K11" s="391">
        <v>1087.0609639161448</v>
      </c>
      <c r="L11" s="393">
        <v>113.72305200854926</v>
      </c>
      <c r="M11" s="393">
        <v>64.243517692989698</v>
      </c>
      <c r="N11" s="389">
        <v>35.487703217823402</v>
      </c>
      <c r="O11" s="207">
        <v>4496.7314339809745</v>
      </c>
      <c r="P11" s="207">
        <v>3655.4644096108582</v>
      </c>
    </row>
    <row r="12" spans="1:16" x14ac:dyDescent="0.2">
      <c r="A12" s="90" t="s">
        <v>13</v>
      </c>
      <c r="B12" s="207">
        <v>86535.609713670579</v>
      </c>
      <c r="C12" s="207">
        <v>82.583354311931018</v>
      </c>
      <c r="D12" s="207">
        <v>1840.470381596037</v>
      </c>
      <c r="E12" s="207">
        <v>34.301587810014624</v>
      </c>
      <c r="F12" s="207">
        <v>75.350105313875048</v>
      </c>
      <c r="G12" s="207">
        <v>1365.2817569261026</v>
      </c>
      <c r="H12" s="207">
        <v>75395.249550618435</v>
      </c>
      <c r="I12" s="393">
        <v>59.053812028643115</v>
      </c>
      <c r="J12" s="393">
        <v>0</v>
      </c>
      <c r="K12" s="391">
        <v>6.8178319266125254</v>
      </c>
      <c r="L12" s="393">
        <v>1.4691235424840605</v>
      </c>
      <c r="M12" s="393">
        <v>1.0871699119011815</v>
      </c>
      <c r="N12" s="389">
        <v>23.561809088172467</v>
      </c>
      <c r="O12" s="207">
        <v>1374.8663809119018</v>
      </c>
      <c r="P12" s="207">
        <v>6275.5168496671204</v>
      </c>
    </row>
    <row r="13" spans="1:16" x14ac:dyDescent="0.2">
      <c r="A13" s="85" t="s">
        <v>44</v>
      </c>
      <c r="B13" s="208">
        <f>SUM(B14:B15)</f>
        <v>470833.34686442639</v>
      </c>
      <c r="C13" s="208">
        <f t="shared" ref="C13:P13" si="1">SUM(C14:C15)</f>
        <v>4969.4278325673731</v>
      </c>
      <c r="D13" s="208">
        <f t="shared" si="1"/>
        <v>19477.476865734538</v>
      </c>
      <c r="E13" s="208">
        <f t="shared" si="1"/>
        <v>6369.8408544922549</v>
      </c>
      <c r="F13" s="208">
        <f t="shared" si="1"/>
        <v>62982.472851389255</v>
      </c>
      <c r="G13" s="208">
        <f t="shared" si="1"/>
        <v>41638.724798326606</v>
      </c>
      <c r="H13" s="208">
        <f t="shared" si="1"/>
        <v>301081.01796524518</v>
      </c>
      <c r="I13" s="392">
        <f t="shared" si="1"/>
        <v>1021.0358594296231</v>
      </c>
      <c r="J13" s="392">
        <f t="shared" si="1"/>
        <v>843.73437927164389</v>
      </c>
      <c r="K13" s="394">
        <f t="shared" si="1"/>
        <v>1089.0319171238173</v>
      </c>
      <c r="L13" s="392">
        <f t="shared" si="1"/>
        <v>256.06343883473454</v>
      </c>
      <c r="M13" s="392">
        <f t="shared" si="1"/>
        <v>36.22526322152855</v>
      </c>
      <c r="N13" s="388">
        <f t="shared" si="1"/>
        <v>125.69945337945728</v>
      </c>
      <c r="O13" s="208">
        <f t="shared" si="1"/>
        <v>16930.179359981325</v>
      </c>
      <c r="P13" s="208">
        <f t="shared" si="1"/>
        <v>14012.416026027808</v>
      </c>
    </row>
    <row r="14" spans="1:16" x14ac:dyDescent="0.2">
      <c r="A14" s="90" t="s">
        <v>15</v>
      </c>
      <c r="B14" s="207">
        <v>378684.24778230325</v>
      </c>
      <c r="C14" s="207">
        <v>4937.5882792897755</v>
      </c>
      <c r="D14" s="207">
        <v>17082.238891485744</v>
      </c>
      <c r="E14" s="207">
        <v>6347.5270243955583</v>
      </c>
      <c r="F14" s="207">
        <v>62736.397775628408</v>
      </c>
      <c r="G14" s="207">
        <v>41154.145153222111</v>
      </c>
      <c r="H14" s="207">
        <v>214812.89212530301</v>
      </c>
      <c r="I14" s="393">
        <v>1017.6760788755178</v>
      </c>
      <c r="J14" s="393">
        <v>843.73437927164389</v>
      </c>
      <c r="K14" s="391">
        <v>1084.7318953238962</v>
      </c>
      <c r="L14" s="393">
        <v>256.06343883473454</v>
      </c>
      <c r="M14" s="393">
        <v>36.22526322152855</v>
      </c>
      <c r="N14" s="389">
        <v>123.63404868509586</v>
      </c>
      <c r="O14" s="207">
        <v>14310.297075878689</v>
      </c>
      <c r="P14" s="207">
        <v>13941.096353495288</v>
      </c>
    </row>
    <row r="15" spans="1:16" x14ac:dyDescent="0.2">
      <c r="A15" s="90" t="s">
        <v>16</v>
      </c>
      <c r="B15" s="207">
        <v>92149.099082123153</v>
      </c>
      <c r="C15" s="207">
        <v>31.839553277597485</v>
      </c>
      <c r="D15" s="207">
        <v>2395.2379742487924</v>
      </c>
      <c r="E15" s="207">
        <v>22.313830096696375</v>
      </c>
      <c r="F15" s="207">
        <v>246.0750757608441</v>
      </c>
      <c r="G15" s="207">
        <v>484.57964510449284</v>
      </c>
      <c r="H15" s="207">
        <v>86268.125839942193</v>
      </c>
      <c r="I15" s="393">
        <v>3.3597805541053565</v>
      </c>
      <c r="J15" s="393">
        <v>0</v>
      </c>
      <c r="K15" s="391">
        <v>4.3000217999211721</v>
      </c>
      <c r="L15" s="393">
        <v>0</v>
      </c>
      <c r="M15" s="393">
        <v>0</v>
      </c>
      <c r="N15" s="389">
        <v>2.0654046943614244</v>
      </c>
      <c r="O15" s="207">
        <v>2619.8822841026345</v>
      </c>
      <c r="P15" s="207">
        <v>71.319672532519135</v>
      </c>
    </row>
    <row r="16" spans="1:16" x14ac:dyDescent="0.2">
      <c r="A16" s="85" t="s">
        <v>17</v>
      </c>
      <c r="B16" s="208">
        <f>SUM(B17)</f>
        <v>33663.469826632761</v>
      </c>
      <c r="C16" s="208">
        <f t="shared" ref="C16:P16" si="2">SUM(C17)</f>
        <v>582.61485914742627</v>
      </c>
      <c r="D16" s="208">
        <f t="shared" si="2"/>
        <v>2293.7353298155499</v>
      </c>
      <c r="E16" s="208">
        <f t="shared" si="2"/>
        <v>133.56146251410644</v>
      </c>
      <c r="F16" s="208">
        <f t="shared" si="2"/>
        <v>2039.4676591514033</v>
      </c>
      <c r="G16" s="208">
        <f t="shared" si="2"/>
        <v>7101.775109582878</v>
      </c>
      <c r="H16" s="208">
        <f t="shared" si="2"/>
        <v>393.36185765507315</v>
      </c>
      <c r="I16" s="392">
        <f t="shared" si="2"/>
        <v>7442.307576117877</v>
      </c>
      <c r="J16" s="392">
        <f t="shared" si="2"/>
        <v>0</v>
      </c>
      <c r="K16" s="394">
        <f t="shared" si="2"/>
        <v>3.797595913377557</v>
      </c>
      <c r="L16" s="392">
        <f t="shared" si="2"/>
        <v>1234.6867687452802</v>
      </c>
      <c r="M16" s="392">
        <f t="shared" si="2"/>
        <v>0</v>
      </c>
      <c r="N16" s="388">
        <f t="shared" si="2"/>
        <v>13.528338233307315</v>
      </c>
      <c r="O16" s="208">
        <f t="shared" si="2"/>
        <v>2946.048316741505</v>
      </c>
      <c r="P16" s="208">
        <f t="shared" si="2"/>
        <v>9478.584953016536</v>
      </c>
    </row>
    <row r="17" spans="1:16" x14ac:dyDescent="0.2">
      <c r="A17" s="90" t="s">
        <v>17</v>
      </c>
      <c r="B17" s="207">
        <v>33663.469826632761</v>
      </c>
      <c r="C17" s="207">
        <v>582.61485914742627</v>
      </c>
      <c r="D17" s="207">
        <v>2293.7353298155499</v>
      </c>
      <c r="E17" s="207">
        <v>133.56146251410644</v>
      </c>
      <c r="F17" s="207">
        <v>2039.4676591514033</v>
      </c>
      <c r="G17" s="207">
        <v>7101.775109582878</v>
      </c>
      <c r="H17" s="207">
        <v>393.36185765507315</v>
      </c>
      <c r="I17" s="393">
        <v>7442.307576117877</v>
      </c>
      <c r="J17" s="393">
        <v>0</v>
      </c>
      <c r="K17" s="391">
        <v>3.797595913377557</v>
      </c>
      <c r="L17" s="393">
        <v>1234.6867687452802</v>
      </c>
      <c r="M17" s="393">
        <v>0</v>
      </c>
      <c r="N17" s="389">
        <v>13.528338233307315</v>
      </c>
      <c r="O17" s="207">
        <v>2946.048316741505</v>
      </c>
      <c r="P17" s="207">
        <v>9478.584953016536</v>
      </c>
    </row>
    <row r="18" spans="1:16" x14ac:dyDescent="0.2">
      <c r="A18" s="85" t="s">
        <v>18</v>
      </c>
      <c r="B18" s="208">
        <f>SUM(B19)</f>
        <v>32985.357798567791</v>
      </c>
      <c r="C18" s="208">
        <f t="shared" ref="C18:P18" si="3">SUM(C19)</f>
        <v>30.868423985843673</v>
      </c>
      <c r="D18" s="208">
        <f t="shared" si="3"/>
        <v>590.62670816007483</v>
      </c>
      <c r="E18" s="208">
        <f t="shared" si="3"/>
        <v>49.272172440667404</v>
      </c>
      <c r="F18" s="208">
        <f t="shared" si="3"/>
        <v>589.89027631771614</v>
      </c>
      <c r="G18" s="208">
        <f t="shared" si="3"/>
        <v>7770.1581691198326</v>
      </c>
      <c r="H18" s="208">
        <f t="shared" si="3"/>
        <v>211.44508994213371</v>
      </c>
      <c r="I18" s="392">
        <f t="shared" si="3"/>
        <v>16950.579578431316</v>
      </c>
      <c r="J18" s="392">
        <f t="shared" si="3"/>
        <v>3.8067897529276071</v>
      </c>
      <c r="K18" s="394">
        <f t="shared" si="3"/>
        <v>20.834831463394764</v>
      </c>
      <c r="L18" s="392">
        <f t="shared" si="3"/>
        <v>2.272610642204175</v>
      </c>
      <c r="M18" s="392">
        <f t="shared" si="3"/>
        <v>0</v>
      </c>
      <c r="N18" s="388">
        <f t="shared" si="3"/>
        <v>4.1308093887228488</v>
      </c>
      <c r="O18" s="208">
        <f t="shared" si="3"/>
        <v>2631.795432574052</v>
      </c>
      <c r="P18" s="208">
        <f t="shared" si="3"/>
        <v>4129.6769063506727</v>
      </c>
    </row>
    <row r="19" spans="1:16" x14ac:dyDescent="0.2">
      <c r="A19" s="90" t="s">
        <v>18</v>
      </c>
      <c r="B19" s="207">
        <v>32985.357798567791</v>
      </c>
      <c r="C19" s="207">
        <v>30.868423985843673</v>
      </c>
      <c r="D19" s="207">
        <v>590.62670816007483</v>
      </c>
      <c r="E19" s="207">
        <v>49.272172440667404</v>
      </c>
      <c r="F19" s="207">
        <v>589.89027631771614</v>
      </c>
      <c r="G19" s="207">
        <v>7770.1581691198326</v>
      </c>
      <c r="H19" s="207">
        <v>211.44508994213371</v>
      </c>
      <c r="I19" s="393">
        <v>16950.579578431316</v>
      </c>
      <c r="J19" s="393">
        <v>3.8067897529276071</v>
      </c>
      <c r="K19" s="391">
        <v>20.834831463394764</v>
      </c>
      <c r="L19" s="393">
        <v>2.272610642204175</v>
      </c>
      <c r="M19" s="393">
        <v>0</v>
      </c>
      <c r="N19" s="389">
        <v>4.1308093887228488</v>
      </c>
      <c r="O19" s="207">
        <v>2631.795432574052</v>
      </c>
      <c r="P19" s="207">
        <v>4129.6769063506727</v>
      </c>
    </row>
    <row r="20" spans="1:16" x14ac:dyDescent="0.2">
      <c r="A20" s="85" t="s">
        <v>19</v>
      </c>
      <c r="B20" s="208">
        <v>76089.64434621633</v>
      </c>
      <c r="C20" s="208">
        <v>321.09244051540946</v>
      </c>
      <c r="D20" s="208">
        <v>1771.6434601851252</v>
      </c>
      <c r="E20" s="208">
        <v>454.09515792806587</v>
      </c>
      <c r="F20" s="208">
        <v>4895.4852952417868</v>
      </c>
      <c r="G20" s="208">
        <v>28838.80374094495</v>
      </c>
      <c r="H20" s="208">
        <v>2476.0343728056328</v>
      </c>
      <c r="I20" s="392">
        <v>30391.79088306729</v>
      </c>
      <c r="J20" s="392">
        <v>10.921042356563706</v>
      </c>
      <c r="K20" s="394">
        <v>2.0654046943614244</v>
      </c>
      <c r="L20" s="392">
        <v>5.6451290611520388</v>
      </c>
      <c r="M20" s="392">
        <v>5.1728641905278678</v>
      </c>
      <c r="N20" s="388">
        <v>2.0654046943614244</v>
      </c>
      <c r="O20" s="208">
        <v>3971.6273658037408</v>
      </c>
      <c r="P20" s="208">
        <v>2943.2017847113766</v>
      </c>
    </row>
    <row r="21" spans="1:16" x14ac:dyDescent="0.2">
      <c r="A21" s="90" t="s">
        <v>20</v>
      </c>
      <c r="B21" s="207">
        <v>54436.126600478543</v>
      </c>
      <c r="C21" s="207">
        <v>9.4335311349795461</v>
      </c>
      <c r="D21" s="207">
        <v>964.12903122713692</v>
      </c>
      <c r="E21" s="207">
        <v>7.757201644652735</v>
      </c>
      <c r="F21" s="207">
        <v>407.8579068738627</v>
      </c>
      <c r="G21" s="207">
        <v>23645.003611476401</v>
      </c>
      <c r="H21" s="207">
        <v>268.28078323960762</v>
      </c>
      <c r="I21" s="393">
        <v>28295.02987589109</v>
      </c>
      <c r="J21" s="393">
        <v>0</v>
      </c>
      <c r="K21" s="391">
        <v>11.573185237130392</v>
      </c>
      <c r="L21" s="393">
        <v>32.0850237829561</v>
      </c>
      <c r="M21" s="393">
        <v>0</v>
      </c>
      <c r="N21" s="389">
        <v>0</v>
      </c>
      <c r="O21" s="207">
        <v>198.21123759446016</v>
      </c>
      <c r="P21" s="207">
        <v>596.76521237938232</v>
      </c>
    </row>
    <row r="22" spans="1:16" x14ac:dyDescent="0.2">
      <c r="A22" s="85" t="s">
        <v>21</v>
      </c>
      <c r="B22" s="208">
        <f>SUM(B23)</f>
        <v>70728.529752551651</v>
      </c>
      <c r="C22" s="208">
        <f t="shared" ref="C22:P22" si="4">SUM(C23)</f>
        <v>266.64565736572007</v>
      </c>
      <c r="D22" s="208">
        <f t="shared" si="4"/>
        <v>2143.475280120048</v>
      </c>
      <c r="E22" s="208">
        <f t="shared" si="4"/>
        <v>11981.877918311349</v>
      </c>
      <c r="F22" s="208">
        <f t="shared" si="4"/>
        <v>3786.4769987593236</v>
      </c>
      <c r="G22" s="208">
        <f t="shared" si="4"/>
        <v>35596.203934972589</v>
      </c>
      <c r="H22" s="208">
        <f t="shared" si="4"/>
        <v>11593.912860583241</v>
      </c>
      <c r="I22" s="392">
        <f t="shared" si="4"/>
        <v>268.10942054915017</v>
      </c>
      <c r="J22" s="392">
        <f t="shared" si="4"/>
        <v>139.58208826639066</v>
      </c>
      <c r="K22" s="394">
        <f t="shared" si="4"/>
        <v>199.56572248335664</v>
      </c>
      <c r="L22" s="392">
        <f t="shared" si="4"/>
        <v>4.3000217999211721</v>
      </c>
      <c r="M22" s="392">
        <f t="shared" si="4"/>
        <v>2.2346171055597472</v>
      </c>
      <c r="N22" s="388">
        <f t="shared" si="4"/>
        <v>34.832126752333345</v>
      </c>
      <c r="O22" s="208">
        <f t="shared" si="4"/>
        <v>1858.7152491884469</v>
      </c>
      <c r="P22" s="208">
        <f t="shared" si="4"/>
        <v>2852.5978562892201</v>
      </c>
    </row>
    <row r="23" spans="1:16" x14ac:dyDescent="0.2">
      <c r="A23" s="90" t="s">
        <v>21</v>
      </c>
      <c r="B23" s="207">
        <v>70728.529752551651</v>
      </c>
      <c r="C23" s="207">
        <v>266.64565736572007</v>
      </c>
      <c r="D23" s="207">
        <v>2143.475280120048</v>
      </c>
      <c r="E23" s="207">
        <v>11981.877918311349</v>
      </c>
      <c r="F23" s="207">
        <v>3786.4769987593236</v>
      </c>
      <c r="G23" s="207">
        <v>35596.203934972589</v>
      </c>
      <c r="H23" s="207">
        <v>11593.912860583241</v>
      </c>
      <c r="I23" s="393">
        <v>268.10942054915017</v>
      </c>
      <c r="J23" s="393">
        <v>139.58208826639066</v>
      </c>
      <c r="K23" s="391">
        <v>199.56572248335664</v>
      </c>
      <c r="L23" s="393">
        <v>4.3000217999211721</v>
      </c>
      <c r="M23" s="393">
        <v>2.2346171055597472</v>
      </c>
      <c r="N23" s="389">
        <v>34.832126752333345</v>
      </c>
      <c r="O23" s="207">
        <v>1858.7152491884469</v>
      </c>
      <c r="P23" s="207">
        <v>2852.5978562892201</v>
      </c>
    </row>
    <row r="24" spans="1:16" x14ac:dyDescent="0.2">
      <c r="A24" s="85" t="s">
        <v>22</v>
      </c>
      <c r="B24" s="208">
        <f>SUM(B25)</f>
        <v>130243.73289835156</v>
      </c>
      <c r="C24" s="208">
        <f t="shared" ref="C24:P24" si="5">SUM(C25)</f>
        <v>1325.7387048615594</v>
      </c>
      <c r="D24" s="208">
        <f t="shared" si="5"/>
        <v>6517.1039891689579</v>
      </c>
      <c r="E24" s="208">
        <f t="shared" si="5"/>
        <v>2611.7528564987097</v>
      </c>
      <c r="F24" s="208">
        <f t="shared" si="5"/>
        <v>15358.993460476304</v>
      </c>
      <c r="G24" s="208">
        <f t="shared" si="5"/>
        <v>16135.339989072985</v>
      </c>
      <c r="H24" s="208">
        <f t="shared" si="5"/>
        <v>80487.114913066718</v>
      </c>
      <c r="I24" s="392">
        <f t="shared" si="5"/>
        <v>60.267198298715265</v>
      </c>
      <c r="J24" s="392">
        <f t="shared" si="5"/>
        <v>254.03358469545816</v>
      </c>
      <c r="K24" s="394">
        <f t="shared" si="5"/>
        <v>14.53903128087018</v>
      </c>
      <c r="L24" s="392">
        <f t="shared" si="5"/>
        <v>73.330780257632952</v>
      </c>
      <c r="M24" s="392">
        <f t="shared" si="5"/>
        <v>30.931060637316104</v>
      </c>
      <c r="N24" s="388">
        <f t="shared" si="5"/>
        <v>73.974162359218951</v>
      </c>
      <c r="O24" s="208">
        <f t="shared" si="5"/>
        <v>3769.8224216429307</v>
      </c>
      <c r="P24" s="208">
        <f t="shared" si="5"/>
        <v>3530.7907459553189</v>
      </c>
    </row>
    <row r="25" spans="1:16" x14ac:dyDescent="0.2">
      <c r="A25" s="90" t="s">
        <v>22</v>
      </c>
      <c r="B25" s="207">
        <v>130243.73289835156</v>
      </c>
      <c r="C25" s="207">
        <v>1325.7387048615594</v>
      </c>
      <c r="D25" s="207">
        <v>6517.1039891689579</v>
      </c>
      <c r="E25" s="207">
        <v>2611.7528564987097</v>
      </c>
      <c r="F25" s="207">
        <v>15358.993460476304</v>
      </c>
      <c r="G25" s="207">
        <v>16135.339989072985</v>
      </c>
      <c r="H25" s="207">
        <v>80487.114913066718</v>
      </c>
      <c r="I25" s="393">
        <v>60.267198298715265</v>
      </c>
      <c r="J25" s="393">
        <v>254.03358469545816</v>
      </c>
      <c r="K25" s="393">
        <v>14.53903128087018</v>
      </c>
      <c r="L25" s="393">
        <v>73.330780257632952</v>
      </c>
      <c r="M25" s="393">
        <v>30.931060637316104</v>
      </c>
      <c r="N25" s="389">
        <v>73.974162359218951</v>
      </c>
      <c r="O25" s="207">
        <v>3769.8224216429307</v>
      </c>
      <c r="P25" s="207">
        <v>3530.7907459553189</v>
      </c>
    </row>
    <row r="26" spans="1:16" x14ac:dyDescent="0.2">
      <c r="A26" s="85" t="s">
        <v>23</v>
      </c>
      <c r="B26" s="208">
        <f>SUM(B27:B28)</f>
        <v>169044.384538204</v>
      </c>
      <c r="C26" s="208">
        <f t="shared" ref="C26:P26" si="6">SUM(C27:C28)</f>
        <v>78.234856803881954</v>
      </c>
      <c r="D26" s="208">
        <f t="shared" si="6"/>
        <v>6167.7295311665985</v>
      </c>
      <c r="E26" s="208">
        <f t="shared" si="6"/>
        <v>9.1416637613530973</v>
      </c>
      <c r="F26" s="208">
        <f t="shared" si="6"/>
        <v>142.95673346953745</v>
      </c>
      <c r="G26" s="208">
        <f t="shared" si="6"/>
        <v>292.92634992547733</v>
      </c>
      <c r="H26" s="208">
        <f t="shared" si="6"/>
        <v>160386.64764701208</v>
      </c>
      <c r="I26" s="392">
        <f t="shared" si="6"/>
        <v>29.535817091450703</v>
      </c>
      <c r="J26" s="392">
        <f t="shared" si="6"/>
        <v>0</v>
      </c>
      <c r="K26" s="392">
        <f t="shared" si="6"/>
        <v>520.21534766508364</v>
      </c>
      <c r="L26" s="392">
        <f t="shared" si="6"/>
        <v>0</v>
      </c>
      <c r="M26" s="392">
        <f t="shared" si="6"/>
        <v>0</v>
      </c>
      <c r="N26" s="388">
        <f t="shared" si="6"/>
        <v>554.20651697642802</v>
      </c>
      <c r="O26" s="208">
        <f t="shared" si="6"/>
        <v>667.11605118712032</v>
      </c>
      <c r="P26" s="208">
        <f t="shared" si="6"/>
        <v>195.67402313053228</v>
      </c>
    </row>
    <row r="27" spans="1:16" x14ac:dyDescent="0.2">
      <c r="A27" s="90" t="s">
        <v>23</v>
      </c>
      <c r="B27" s="207">
        <v>88467.718954112963</v>
      </c>
      <c r="C27" s="207">
        <v>28.451665144025053</v>
      </c>
      <c r="D27" s="207">
        <v>3751.5990220750818</v>
      </c>
      <c r="E27" s="207">
        <v>4.8416419614319244</v>
      </c>
      <c r="F27" s="207">
        <v>61.032916091691888</v>
      </c>
      <c r="G27" s="207">
        <v>128.12509600670134</v>
      </c>
      <c r="H27" s="207">
        <v>83287.869242118148</v>
      </c>
      <c r="I27" s="393">
        <v>20.186947382254857</v>
      </c>
      <c r="J27" s="393">
        <v>0</v>
      </c>
      <c r="K27" s="393">
        <v>402.0512660256569</v>
      </c>
      <c r="L27" s="393">
        <v>0</v>
      </c>
      <c r="M27" s="393">
        <v>0</v>
      </c>
      <c r="N27" s="389">
        <v>12.701447670000501</v>
      </c>
      <c r="O27" s="207">
        <v>600.9101891318677</v>
      </c>
      <c r="P27" s="207">
        <v>169.94952049774125</v>
      </c>
    </row>
    <row r="28" spans="1:16" x14ac:dyDescent="0.2">
      <c r="A28" s="90" t="s">
        <v>24</v>
      </c>
      <c r="B28" s="207">
        <v>80576.665584091024</v>
      </c>
      <c r="C28" s="207">
        <v>49.783191659856897</v>
      </c>
      <c r="D28" s="207">
        <v>2416.1305090915166</v>
      </c>
      <c r="E28" s="207">
        <v>4.3000217999211721</v>
      </c>
      <c r="F28" s="207">
        <v>81.923817377845566</v>
      </c>
      <c r="G28" s="207">
        <v>164.80125391877598</v>
      </c>
      <c r="H28" s="207">
        <v>77098.778404893936</v>
      </c>
      <c r="I28" s="393">
        <v>9.3488697091958475</v>
      </c>
      <c r="J28" s="393">
        <v>0</v>
      </c>
      <c r="K28" s="393">
        <v>118.16408163942675</v>
      </c>
      <c r="L28" s="393">
        <v>0</v>
      </c>
      <c r="M28" s="393">
        <v>0</v>
      </c>
      <c r="N28" s="389">
        <v>541.50506930642757</v>
      </c>
      <c r="O28" s="207">
        <v>66.205862055252652</v>
      </c>
      <c r="P28" s="207">
        <v>25.724502632791022</v>
      </c>
    </row>
    <row r="29" spans="1:16" x14ac:dyDescent="0.2">
      <c r="A29" s="85" t="s">
        <v>25</v>
      </c>
      <c r="B29" s="208">
        <f>SUM(B30)</f>
        <v>17787.905226950563</v>
      </c>
      <c r="C29" s="208">
        <f t="shared" ref="C29:P29" si="7">SUM(C30)</f>
        <v>8.2688213707463998</v>
      </c>
      <c r="D29" s="208">
        <f t="shared" si="7"/>
        <v>291.7750810941539</v>
      </c>
      <c r="E29" s="208">
        <f t="shared" si="7"/>
        <v>15.93582631807363</v>
      </c>
      <c r="F29" s="208">
        <f t="shared" si="7"/>
        <v>30.162548373166075</v>
      </c>
      <c r="G29" s="208">
        <f t="shared" si="7"/>
        <v>57.29810280332449</v>
      </c>
      <c r="H29" s="208">
        <f t="shared" si="7"/>
        <v>15656.177872934544</v>
      </c>
      <c r="I29" s="392">
        <f t="shared" si="7"/>
        <v>1.9033948764638036</v>
      </c>
      <c r="J29" s="392">
        <f t="shared" si="7"/>
        <v>9.5540033909402808</v>
      </c>
      <c r="K29" s="392">
        <f t="shared" si="7"/>
        <v>115.80527423251729</v>
      </c>
      <c r="L29" s="392">
        <f t="shared" si="7"/>
        <v>0</v>
      </c>
      <c r="M29" s="392">
        <f t="shared" si="7"/>
        <v>0</v>
      </c>
      <c r="N29" s="388">
        <f t="shared" si="7"/>
        <v>1.8942010369137536</v>
      </c>
      <c r="O29" s="208">
        <f t="shared" si="7"/>
        <v>50.873564232438561</v>
      </c>
      <c r="P29" s="208">
        <f t="shared" si="7"/>
        <v>1548.256536287586</v>
      </c>
    </row>
    <row r="30" spans="1:16" x14ac:dyDescent="0.2">
      <c r="A30" s="90" t="s">
        <v>25</v>
      </c>
      <c r="B30" s="207">
        <v>17787.905226950563</v>
      </c>
      <c r="C30" s="207">
        <v>8.2688213707463998</v>
      </c>
      <c r="D30" s="207">
        <v>291.7750810941539</v>
      </c>
      <c r="E30" s="207">
        <v>15.93582631807363</v>
      </c>
      <c r="F30" s="207">
        <v>30.162548373166075</v>
      </c>
      <c r="G30" s="207">
        <v>57.29810280332449</v>
      </c>
      <c r="H30" s="207">
        <v>15656.177872934544</v>
      </c>
      <c r="I30" s="393">
        <v>1.9033948764638036</v>
      </c>
      <c r="J30" s="393">
        <v>9.5540033909402808</v>
      </c>
      <c r="K30" s="393">
        <v>115.80527423251729</v>
      </c>
      <c r="L30" s="393">
        <v>0</v>
      </c>
      <c r="M30" s="393">
        <v>0</v>
      </c>
      <c r="N30" s="389">
        <v>1.8942010369137536</v>
      </c>
      <c r="O30" s="207">
        <v>50.873564232438561</v>
      </c>
      <c r="P30" s="207">
        <v>1548.256536287586</v>
      </c>
    </row>
    <row r="31" spans="1:16" x14ac:dyDescent="0.2">
      <c r="A31" s="85" t="s">
        <v>26</v>
      </c>
      <c r="B31" s="208">
        <f>SUM(B32)</f>
        <v>7406.545808599778</v>
      </c>
      <c r="C31" s="208">
        <f t="shared" ref="C31:P31" si="8">SUM(C32)</f>
        <v>1.9033948764638036</v>
      </c>
      <c r="D31" s="208">
        <f t="shared" si="8"/>
        <v>134.88965181145841</v>
      </c>
      <c r="E31" s="208">
        <f t="shared" si="8"/>
        <v>772.83542147548383</v>
      </c>
      <c r="F31" s="208">
        <f t="shared" si="8"/>
        <v>252.8362406863877</v>
      </c>
      <c r="G31" s="208">
        <f t="shared" si="8"/>
        <v>1702.2492563733535</v>
      </c>
      <c r="H31" s="208">
        <f t="shared" si="8"/>
        <v>507.17243623776181</v>
      </c>
      <c r="I31" s="392">
        <f t="shared" si="8"/>
        <v>0</v>
      </c>
      <c r="J31" s="394">
        <f t="shared" si="8"/>
        <v>2967.2708912895555</v>
      </c>
      <c r="K31" s="392">
        <f t="shared" si="8"/>
        <v>0</v>
      </c>
      <c r="L31" s="392">
        <f t="shared" si="8"/>
        <v>0</v>
      </c>
      <c r="M31" s="392">
        <f t="shared" si="8"/>
        <v>0</v>
      </c>
      <c r="N31" s="388">
        <f t="shared" si="8"/>
        <v>0</v>
      </c>
      <c r="O31" s="208">
        <f t="shared" si="8"/>
        <v>168.56324790231605</v>
      </c>
      <c r="P31" s="208">
        <f t="shared" si="8"/>
        <v>898.82526794705154</v>
      </c>
    </row>
    <row r="32" spans="1:16" x14ac:dyDescent="0.2">
      <c r="A32" s="90" t="s">
        <v>26</v>
      </c>
      <c r="B32" s="207">
        <v>7406.545808599778</v>
      </c>
      <c r="C32" s="207">
        <v>1.9033948764638036</v>
      </c>
      <c r="D32" s="207">
        <v>134.88965181145841</v>
      </c>
      <c r="E32" s="207">
        <v>772.83542147548383</v>
      </c>
      <c r="F32" s="207">
        <v>252.8362406863877</v>
      </c>
      <c r="G32" s="207">
        <v>1702.2492563733535</v>
      </c>
      <c r="H32" s="207">
        <v>507.17243623776181</v>
      </c>
      <c r="I32" s="393">
        <v>0</v>
      </c>
      <c r="J32" s="391">
        <v>2967.2708912895555</v>
      </c>
      <c r="K32" s="393">
        <v>0</v>
      </c>
      <c r="L32" s="393">
        <v>0</v>
      </c>
      <c r="M32" s="393">
        <v>0</v>
      </c>
      <c r="N32" s="389">
        <v>0</v>
      </c>
      <c r="O32" s="207">
        <v>168.56324790231605</v>
      </c>
      <c r="P32" s="207">
        <v>898.82526794705154</v>
      </c>
    </row>
    <row r="33" spans="1:16" x14ac:dyDescent="0.2">
      <c r="A33" s="85" t="s">
        <v>27</v>
      </c>
      <c r="B33" s="208">
        <f>SUM(B34)</f>
        <v>37495.010568086909</v>
      </c>
      <c r="C33" s="208">
        <f t="shared" ref="C33:P33" si="9">SUM(C34)</f>
        <v>32.531242473851712</v>
      </c>
      <c r="D33" s="208">
        <f t="shared" si="9"/>
        <v>721.51588450814018</v>
      </c>
      <c r="E33" s="208">
        <f t="shared" si="9"/>
        <v>795.8200927370782</v>
      </c>
      <c r="F33" s="208">
        <f t="shared" si="9"/>
        <v>98.03275903896278</v>
      </c>
      <c r="G33" s="208">
        <f t="shared" si="9"/>
        <v>75.017596212041255</v>
      </c>
      <c r="H33" s="208">
        <f t="shared" si="9"/>
        <v>35309.678559823951</v>
      </c>
      <c r="I33" s="392">
        <f t="shared" si="9"/>
        <v>18.287968058859114</v>
      </c>
      <c r="J33" s="392">
        <f t="shared" si="9"/>
        <v>0</v>
      </c>
      <c r="K33" s="392">
        <f t="shared" si="9"/>
        <v>63.976878681205193</v>
      </c>
      <c r="L33" s="392">
        <f t="shared" si="9"/>
        <v>0</v>
      </c>
      <c r="M33" s="392">
        <f t="shared" si="9"/>
        <v>0</v>
      </c>
      <c r="N33" s="388">
        <f t="shared" si="9"/>
        <v>0</v>
      </c>
      <c r="O33" s="208">
        <f t="shared" si="9"/>
        <v>252.84490862016116</v>
      </c>
      <c r="P33" s="208">
        <f t="shared" si="9"/>
        <v>127.30467793299955</v>
      </c>
    </row>
    <row r="34" spans="1:16" x14ac:dyDescent="0.2">
      <c r="A34" s="90" t="s">
        <v>27</v>
      </c>
      <c r="B34" s="207">
        <v>37495.010568086909</v>
      </c>
      <c r="C34" s="207">
        <v>32.531242473851712</v>
      </c>
      <c r="D34" s="207">
        <v>721.51588450814018</v>
      </c>
      <c r="E34" s="207">
        <v>795.8200927370782</v>
      </c>
      <c r="F34" s="207">
        <v>98.03275903896278</v>
      </c>
      <c r="G34" s="207">
        <v>75.017596212041255</v>
      </c>
      <c r="H34" s="207">
        <v>35309.678559823951</v>
      </c>
      <c r="I34" s="393">
        <v>18.287968058859114</v>
      </c>
      <c r="J34" s="393">
        <v>0</v>
      </c>
      <c r="K34" s="393">
        <v>63.976878681205193</v>
      </c>
      <c r="L34" s="393">
        <v>0</v>
      </c>
      <c r="M34" s="393">
        <v>0</v>
      </c>
      <c r="N34" s="389">
        <v>0</v>
      </c>
      <c r="O34" s="207">
        <v>252.84490862016116</v>
      </c>
      <c r="P34" s="207">
        <v>127.30467793299955</v>
      </c>
    </row>
    <row r="35" spans="1:16" x14ac:dyDescent="0.2">
      <c r="A35" s="85" t="s">
        <v>28</v>
      </c>
      <c r="B35" s="208">
        <f>SUM(B36)</f>
        <v>93839.840533443843</v>
      </c>
      <c r="C35" s="208">
        <f t="shared" ref="C35:P35" si="10">SUM(C36)</f>
        <v>33.607896691402622</v>
      </c>
      <c r="D35" s="208">
        <f t="shared" si="10"/>
        <v>4137.2254580704466</v>
      </c>
      <c r="E35" s="208">
        <f t="shared" si="10"/>
        <v>155.42133558313978</v>
      </c>
      <c r="F35" s="208">
        <f t="shared" si="10"/>
        <v>90.768905271724506</v>
      </c>
      <c r="G35" s="208">
        <f t="shared" si="10"/>
        <v>170.7642114110873</v>
      </c>
      <c r="H35" s="208">
        <f t="shared" si="10"/>
        <v>88597.476176302996</v>
      </c>
      <c r="I35" s="392">
        <f t="shared" si="10"/>
        <v>21.0621330598313</v>
      </c>
      <c r="J35" s="392">
        <f t="shared" si="10"/>
        <v>6.4394223213221036</v>
      </c>
      <c r="K35" s="392">
        <f t="shared" si="10"/>
        <v>549.18248165520447</v>
      </c>
      <c r="L35" s="392">
        <f t="shared" si="10"/>
        <v>0</v>
      </c>
      <c r="M35" s="392">
        <f t="shared" si="10"/>
        <v>0</v>
      </c>
      <c r="N35" s="388">
        <f t="shared" si="10"/>
        <v>37.403501358530839</v>
      </c>
      <c r="O35" s="208">
        <f t="shared" si="10"/>
        <v>6.0794003951317821</v>
      </c>
      <c r="P35" s="208">
        <f t="shared" si="10"/>
        <v>34.409611315051421</v>
      </c>
    </row>
    <row r="36" spans="1:16" x14ac:dyDescent="0.2">
      <c r="A36" s="90" t="s">
        <v>28</v>
      </c>
      <c r="B36" s="207">
        <v>93839.840533443843</v>
      </c>
      <c r="C36" s="207">
        <v>33.607896691402622</v>
      </c>
      <c r="D36" s="207">
        <v>4137.2254580704466</v>
      </c>
      <c r="E36" s="207">
        <v>155.42133558313978</v>
      </c>
      <c r="F36" s="207">
        <v>90.768905271724506</v>
      </c>
      <c r="G36" s="207">
        <v>170.7642114110873</v>
      </c>
      <c r="H36" s="207">
        <v>88597.476176302996</v>
      </c>
      <c r="I36" s="393">
        <v>21.0621330598313</v>
      </c>
      <c r="J36" s="393">
        <v>6.4394223213221036</v>
      </c>
      <c r="K36" s="393">
        <v>549.18248165520447</v>
      </c>
      <c r="L36" s="393">
        <v>0</v>
      </c>
      <c r="M36" s="393">
        <v>0</v>
      </c>
      <c r="N36" s="389">
        <v>37.403501358530839</v>
      </c>
      <c r="O36" s="207">
        <v>6.0794003951317821</v>
      </c>
      <c r="P36" s="207">
        <v>34.409611315051421</v>
      </c>
    </row>
    <row r="37" spans="1:16" x14ac:dyDescent="0.2">
      <c r="A37" s="85" t="s">
        <v>29</v>
      </c>
      <c r="B37" s="208">
        <f>SUM(B38:B40)</f>
        <v>262420.10611474287</v>
      </c>
      <c r="C37" s="208">
        <f t="shared" ref="C37:P37" si="11">SUM(C38:C40)</f>
        <v>636.85056192866955</v>
      </c>
      <c r="D37" s="208">
        <f t="shared" si="11"/>
        <v>7870.9956858006017</v>
      </c>
      <c r="E37" s="208">
        <f t="shared" si="11"/>
        <v>953.0452980533455</v>
      </c>
      <c r="F37" s="208">
        <f t="shared" si="11"/>
        <v>6877.455152278766</v>
      </c>
      <c r="G37" s="208">
        <f t="shared" si="11"/>
        <v>195408.60638325967</v>
      </c>
      <c r="H37" s="208">
        <f t="shared" si="11"/>
        <v>30106.119868278958</v>
      </c>
      <c r="I37" s="392">
        <f t="shared" si="11"/>
        <v>2310.6546422983433</v>
      </c>
      <c r="J37" s="392">
        <f t="shared" si="11"/>
        <v>33.427580214253865</v>
      </c>
      <c r="K37" s="392">
        <f t="shared" si="11"/>
        <v>24.993130554230142</v>
      </c>
      <c r="L37" s="392">
        <f t="shared" si="11"/>
        <v>42.048123855923166</v>
      </c>
      <c r="M37" s="392">
        <f t="shared" si="11"/>
        <v>3.5345282368454849</v>
      </c>
      <c r="N37" s="388">
        <f t="shared" si="11"/>
        <v>90.898265996905195</v>
      </c>
      <c r="O37" s="208">
        <f t="shared" si="11"/>
        <v>8493.4336336044726</v>
      </c>
      <c r="P37" s="208">
        <f t="shared" si="11"/>
        <v>9568.0432603489317</v>
      </c>
    </row>
    <row r="38" spans="1:16" x14ac:dyDescent="0.2">
      <c r="A38" s="90" t="s">
        <v>30</v>
      </c>
      <c r="B38" s="207">
        <v>112763.08392146071</v>
      </c>
      <c r="C38" s="207">
        <v>305.80919934325573</v>
      </c>
      <c r="D38" s="207">
        <v>2513.5052012625965</v>
      </c>
      <c r="E38" s="207">
        <v>83.16404021499271</v>
      </c>
      <c r="F38" s="207">
        <v>1884.9300879381183</v>
      </c>
      <c r="G38" s="207">
        <v>106056.29378362856</v>
      </c>
      <c r="H38" s="207">
        <v>1266.7368631656045</v>
      </c>
      <c r="I38" s="393">
        <v>86.368915084530684</v>
      </c>
      <c r="J38" s="393">
        <v>6.4486161608721533</v>
      </c>
      <c r="K38" s="393">
        <v>21.186340801302535</v>
      </c>
      <c r="L38" s="393">
        <v>0</v>
      </c>
      <c r="M38" s="393">
        <v>1.4691235424840605</v>
      </c>
      <c r="N38" s="389">
        <v>0</v>
      </c>
      <c r="O38" s="207">
        <v>97.081587024696404</v>
      </c>
      <c r="P38" s="207">
        <v>440.09016328494943</v>
      </c>
    </row>
    <row r="39" spans="1:16" x14ac:dyDescent="0.2">
      <c r="A39" s="90" t="s">
        <v>29</v>
      </c>
      <c r="B39" s="207">
        <v>71296.21874602107</v>
      </c>
      <c r="C39" s="207">
        <v>47.399504737568506</v>
      </c>
      <c r="D39" s="207">
        <v>2895.815869221301</v>
      </c>
      <c r="E39" s="207">
        <v>34.649275527996799</v>
      </c>
      <c r="F39" s="207">
        <v>138.00618590100407</v>
      </c>
      <c r="G39" s="207">
        <v>60901.661886118964</v>
      </c>
      <c r="H39" s="207">
        <v>671.89293634255876</v>
      </c>
      <c r="I39" s="393">
        <v>1445.1867720686157</v>
      </c>
      <c r="J39" s="393">
        <v>0</v>
      </c>
      <c r="K39" s="393">
        <v>3.8067897529276071</v>
      </c>
      <c r="L39" s="393">
        <v>20.884061409681813</v>
      </c>
      <c r="M39" s="393">
        <v>0</v>
      </c>
      <c r="N39" s="389">
        <v>4.3000217999211721</v>
      </c>
      <c r="O39" s="207">
        <v>1951.5580457119943</v>
      </c>
      <c r="P39" s="207">
        <v>3181.0573974200856</v>
      </c>
    </row>
    <row r="40" spans="1:16" s="926" customFormat="1" x14ac:dyDescent="0.2">
      <c r="A40" s="85" t="s">
        <v>31</v>
      </c>
      <c r="B40" s="208">
        <v>78360.803447261089</v>
      </c>
      <c r="C40" s="208">
        <v>283.6418578478453</v>
      </c>
      <c r="D40" s="208">
        <v>2461.6746153167041</v>
      </c>
      <c r="E40" s="208">
        <v>835.23198231035599</v>
      </c>
      <c r="F40" s="208">
        <v>4854.5188784396432</v>
      </c>
      <c r="G40" s="208">
        <v>28450.650713512154</v>
      </c>
      <c r="H40" s="208">
        <v>28167.490068770796</v>
      </c>
      <c r="I40" s="392">
        <v>779.0989551451969</v>
      </c>
      <c r="J40" s="392">
        <v>26.978964053381713</v>
      </c>
      <c r="K40" s="392">
        <v>0</v>
      </c>
      <c r="L40" s="392">
        <v>21.164062446241356</v>
      </c>
      <c r="M40" s="392">
        <v>2.0654046943614244</v>
      </c>
      <c r="N40" s="388">
        <v>86.598244196984027</v>
      </c>
      <c r="O40" s="208">
        <v>6444.7940008677824</v>
      </c>
      <c r="P40" s="208">
        <v>5946.8956996438974</v>
      </c>
    </row>
  </sheetData>
  <mergeCells count="4">
    <mergeCell ref="A1:P1"/>
    <mergeCell ref="A2:A3"/>
    <mergeCell ref="B2:B3"/>
    <mergeCell ref="C2:P2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42"/>
  <sheetViews>
    <sheetView workbookViewId="0">
      <selection activeCell="A2" sqref="A2:A3"/>
    </sheetView>
  </sheetViews>
  <sheetFormatPr defaultRowHeight="12" x14ac:dyDescent="0.2"/>
  <cols>
    <col min="1" max="1" width="18" style="575" customWidth="1"/>
    <col min="2" max="2" width="13.42578125" style="575" bestFit="1" customWidth="1"/>
    <col min="3" max="3" width="12" style="575" bestFit="1" customWidth="1"/>
    <col min="4" max="4" width="10.28515625" style="575" bestFit="1" customWidth="1"/>
    <col min="5" max="6" width="11.140625" style="575" bestFit="1" customWidth="1"/>
    <col min="7" max="7" width="10.28515625" style="575" bestFit="1" customWidth="1"/>
    <col min="8" max="8" width="12" style="575" bestFit="1" customWidth="1"/>
    <col min="9" max="9" width="11.140625" style="575" bestFit="1" customWidth="1"/>
    <col min="10" max="10" width="12" style="575" bestFit="1" customWidth="1"/>
    <col min="11" max="11" width="9.28515625" style="575" bestFit="1" customWidth="1"/>
    <col min="12" max="12" width="12" style="575" bestFit="1" customWidth="1"/>
    <col min="13" max="13" width="9.28515625" style="575" bestFit="1" customWidth="1"/>
    <col min="14" max="14" width="10.28515625" style="575" bestFit="1" customWidth="1"/>
    <col min="15" max="15" width="10.85546875" style="575" customWidth="1"/>
    <col min="16" max="16" width="11.140625" style="575" bestFit="1" customWidth="1"/>
    <col min="17" max="17" width="10.28515625" style="575" bestFit="1" customWidth="1"/>
    <col min="18" max="16384" width="9.140625" style="575"/>
  </cols>
  <sheetData>
    <row r="1" spans="1:19" x14ac:dyDescent="0.2">
      <c r="A1" s="717" t="s">
        <v>573</v>
      </c>
      <c r="B1" s="717"/>
      <c r="C1" s="717"/>
      <c r="D1" s="717"/>
      <c r="E1" s="717"/>
      <c r="F1" s="717"/>
      <c r="G1" s="717"/>
      <c r="H1" s="717"/>
      <c r="I1" s="717"/>
      <c r="J1" s="717"/>
      <c r="K1" s="717"/>
      <c r="L1" s="717"/>
      <c r="M1" s="717"/>
      <c r="N1" s="717"/>
      <c r="O1" s="717"/>
      <c r="P1" s="717"/>
      <c r="Q1" s="717"/>
    </row>
    <row r="2" spans="1:19" ht="12" customHeight="1" x14ac:dyDescent="0.2">
      <c r="A2" s="715" t="str">
        <f>'Q5.1'!$A$2</f>
        <v>Área de residência, município e comuna</v>
      </c>
      <c r="B2" s="718" t="s">
        <v>200</v>
      </c>
      <c r="C2" s="720" t="s">
        <v>216</v>
      </c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</row>
    <row r="3" spans="1:19" ht="36.75" thickBot="1" x14ac:dyDescent="0.25">
      <c r="A3" s="716"/>
      <c r="B3" s="719"/>
      <c r="C3" s="474" t="s">
        <v>217</v>
      </c>
      <c r="D3" s="474" t="s">
        <v>218</v>
      </c>
      <c r="E3" s="474" t="s">
        <v>219</v>
      </c>
      <c r="F3" s="474" t="s">
        <v>220</v>
      </c>
      <c r="G3" s="474" t="s">
        <v>221</v>
      </c>
      <c r="H3" s="474" t="s">
        <v>222</v>
      </c>
      <c r="I3" s="474" t="s">
        <v>223</v>
      </c>
      <c r="J3" s="474" t="s">
        <v>224</v>
      </c>
      <c r="K3" s="103" t="s">
        <v>225</v>
      </c>
      <c r="L3" s="474" t="s">
        <v>226</v>
      </c>
      <c r="M3" s="103" t="s">
        <v>227</v>
      </c>
      <c r="N3" s="103" t="s">
        <v>210</v>
      </c>
      <c r="O3" s="103" t="s">
        <v>563</v>
      </c>
      <c r="P3" s="103" t="s">
        <v>228</v>
      </c>
      <c r="Q3" s="103" t="s">
        <v>214</v>
      </c>
    </row>
    <row r="4" spans="1:19" x14ac:dyDescent="0.2">
      <c r="A4" s="104" t="s">
        <v>32</v>
      </c>
      <c r="B4" s="206">
        <v>1688676.7873672319</v>
      </c>
      <c r="C4" s="206">
        <v>151042.93145699988</v>
      </c>
      <c r="D4" s="206">
        <v>9734.6246215197316</v>
      </c>
      <c r="E4" s="206">
        <v>92524.918325061284</v>
      </c>
      <c r="F4" s="206">
        <v>22472.268712711848</v>
      </c>
      <c r="G4" s="206">
        <v>5229.6723907879341</v>
      </c>
      <c r="H4" s="206">
        <v>254861.91923540566</v>
      </c>
      <c r="I4" s="206">
        <v>26960.074108051063</v>
      </c>
      <c r="J4" s="206">
        <v>958838.49528230133</v>
      </c>
      <c r="K4" s="206">
        <v>770.19898621373909</v>
      </c>
      <c r="L4" s="206">
        <v>115675.00836278546</v>
      </c>
      <c r="M4" s="206">
        <v>117.21703587881717</v>
      </c>
      <c r="N4" s="206">
        <v>1932.4360522436252</v>
      </c>
      <c r="O4" s="206">
        <v>938.30051858145737</v>
      </c>
      <c r="P4" s="206">
        <v>39440.971278136691</v>
      </c>
      <c r="Q4" s="206">
        <v>8137.7509922001755</v>
      </c>
    </row>
    <row r="5" spans="1:19" x14ac:dyDescent="0.2">
      <c r="A5" s="105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</row>
    <row r="6" spans="1:19" x14ac:dyDescent="0.2">
      <c r="A6" s="106" t="s">
        <v>167</v>
      </c>
      <c r="B6" s="206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6"/>
      <c r="O6" s="206"/>
      <c r="P6" s="206"/>
      <c r="Q6" s="206"/>
    </row>
    <row r="7" spans="1:19" x14ac:dyDescent="0.2">
      <c r="A7" s="190" t="s">
        <v>8</v>
      </c>
      <c r="B7" s="207">
        <v>434543.0885305847</v>
      </c>
      <c r="C7" s="207">
        <v>76302.196957842752</v>
      </c>
      <c r="D7" s="207">
        <v>8318.436404988277</v>
      </c>
      <c r="E7" s="207">
        <v>83708.807943919615</v>
      </c>
      <c r="F7" s="207">
        <v>9299.8733278837499</v>
      </c>
      <c r="G7" s="207">
        <v>4146.3501583708394</v>
      </c>
      <c r="H7" s="207">
        <v>58466.667274620297</v>
      </c>
      <c r="I7" s="207">
        <v>17636.837044610249</v>
      </c>
      <c r="J7" s="207">
        <v>137122.52093368422</v>
      </c>
      <c r="K7" s="207">
        <v>604.89434181072352</v>
      </c>
      <c r="L7" s="207">
        <v>27332.035120386896</v>
      </c>
      <c r="M7" s="393">
        <v>85.964200432705084</v>
      </c>
      <c r="N7" s="393">
        <v>99.973217734619752</v>
      </c>
      <c r="O7" s="393">
        <v>641.0213173145703</v>
      </c>
      <c r="P7" s="207">
        <v>8412.4029578313857</v>
      </c>
      <c r="Q7" s="207">
        <v>2365.1073301987026</v>
      </c>
    </row>
    <row r="8" spans="1:19" x14ac:dyDescent="0.2">
      <c r="A8" s="190" t="s">
        <v>9</v>
      </c>
      <c r="B8" s="207">
        <v>1254133.6988310465</v>
      </c>
      <c r="C8" s="207">
        <v>74740.734499134953</v>
      </c>
      <c r="D8" s="207">
        <v>1416.188216531461</v>
      </c>
      <c r="E8" s="207">
        <v>8816.1103811288758</v>
      </c>
      <c r="F8" s="207">
        <v>13172.395384828646</v>
      </c>
      <c r="G8" s="207">
        <v>1083.3222324170324</v>
      </c>
      <c r="H8" s="207">
        <v>196395.25196092972</v>
      </c>
      <c r="I8" s="207">
        <v>9323.2370634419531</v>
      </c>
      <c r="J8" s="207">
        <v>821715.97434617521</v>
      </c>
      <c r="K8" s="207">
        <v>165.30464440301387</v>
      </c>
      <c r="L8" s="207">
        <v>88342.973242356515</v>
      </c>
      <c r="M8" s="393">
        <v>31.252835446112083</v>
      </c>
      <c r="N8" s="393">
        <v>1832.462834509005</v>
      </c>
      <c r="O8" s="393">
        <v>297.27920126688707</v>
      </c>
      <c r="P8" s="207">
        <v>31028.56832030656</v>
      </c>
      <c r="Q8" s="207">
        <v>5772.6436620014847</v>
      </c>
    </row>
    <row r="9" spans="1:19" x14ac:dyDescent="0.2">
      <c r="A9" s="107" t="s">
        <v>361</v>
      </c>
      <c r="B9" s="206"/>
      <c r="C9" s="206"/>
      <c r="D9" s="206"/>
      <c r="E9" s="206"/>
      <c r="F9" s="206"/>
      <c r="G9" s="206"/>
      <c r="H9" s="206"/>
      <c r="I9" s="206"/>
      <c r="J9" s="206"/>
      <c r="K9" s="206"/>
      <c r="L9" s="206"/>
      <c r="M9" s="395"/>
      <c r="N9" s="395"/>
      <c r="O9" s="395"/>
      <c r="P9" s="206"/>
      <c r="Q9" s="206"/>
    </row>
    <row r="10" spans="1:19" x14ac:dyDescent="0.2">
      <c r="A10" s="189" t="s">
        <v>11</v>
      </c>
      <c r="B10" s="208">
        <f>SUM(B11:B12)</f>
        <v>231702.78647477902</v>
      </c>
      <c r="C10" s="208">
        <f t="shared" ref="C10:Q10" si="0">SUM(C11:C12)</f>
        <v>22923.114502751592</v>
      </c>
      <c r="D10" s="208">
        <f t="shared" si="0"/>
        <v>1044.7567387730089</v>
      </c>
      <c r="E10" s="208">
        <f t="shared" si="0"/>
        <v>11266.701544625403</v>
      </c>
      <c r="F10" s="208">
        <f t="shared" si="0"/>
        <v>1137.3752632973251</v>
      </c>
      <c r="G10" s="208">
        <f t="shared" si="0"/>
        <v>617.97009034540702</v>
      </c>
      <c r="H10" s="208">
        <f t="shared" si="0"/>
        <v>34502.124563176752</v>
      </c>
      <c r="I10" s="208">
        <f t="shared" si="0"/>
        <v>3185.2337258038306</v>
      </c>
      <c r="J10" s="208">
        <f t="shared" si="0"/>
        <v>123239.04402706717</v>
      </c>
      <c r="K10" s="208">
        <f t="shared" si="0"/>
        <v>55.801184188397762</v>
      </c>
      <c r="L10" s="208">
        <f t="shared" si="0"/>
        <v>22852.177228882578</v>
      </c>
      <c r="M10" s="392">
        <f t="shared" si="0"/>
        <v>2.2346171055597472</v>
      </c>
      <c r="N10" s="392">
        <f t="shared" si="0"/>
        <v>218.32276269166906</v>
      </c>
      <c r="O10" s="392">
        <v>119.48562933853097</v>
      </c>
      <c r="P10" s="208">
        <f t="shared" si="0"/>
        <v>9971.8087197544464</v>
      </c>
      <c r="Q10" s="208">
        <f t="shared" si="0"/>
        <v>566.63587689065707</v>
      </c>
    </row>
    <row r="11" spans="1:19" x14ac:dyDescent="0.2">
      <c r="A11" s="927" t="s">
        <v>12</v>
      </c>
      <c r="B11" s="207">
        <v>145167.17676110842</v>
      </c>
      <c r="C11" s="207">
        <v>19168.097792664001</v>
      </c>
      <c r="D11" s="207">
        <v>1019.7195151734559</v>
      </c>
      <c r="E11" s="207">
        <v>11210.038247224869</v>
      </c>
      <c r="F11" s="207">
        <v>1111.056470758906</v>
      </c>
      <c r="G11" s="207">
        <v>565.2261711091943</v>
      </c>
      <c r="H11" s="207">
        <v>34179.277854878434</v>
      </c>
      <c r="I11" s="207">
        <v>3171.074575887445</v>
      </c>
      <c r="J11" s="207">
        <v>48891.023693380259</v>
      </c>
      <c r="K11" s="207">
        <v>53.566567082838013</v>
      </c>
      <c r="L11" s="207">
        <v>22745.468480093703</v>
      </c>
      <c r="M11" s="393">
        <v>2.2346171055597472</v>
      </c>
      <c r="N11" s="393">
        <v>196.49107255641439</v>
      </c>
      <c r="O11" s="392">
        <v>107.76109988224715</v>
      </c>
      <c r="P11" s="207">
        <v>2389.9409907153308</v>
      </c>
      <c r="Q11" s="207">
        <v>356.19961252798078</v>
      </c>
      <c r="S11" s="917"/>
    </row>
    <row r="12" spans="1:19" x14ac:dyDescent="0.2">
      <c r="A12" s="927" t="s">
        <v>13</v>
      </c>
      <c r="B12" s="207">
        <v>86535.609713670579</v>
      </c>
      <c r="C12" s="207">
        <v>3755.0167100875906</v>
      </c>
      <c r="D12" s="207">
        <v>25.037223599553091</v>
      </c>
      <c r="E12" s="207">
        <v>56.663297400532812</v>
      </c>
      <c r="F12" s="207">
        <v>26.318792538419039</v>
      </c>
      <c r="G12" s="207">
        <v>52.743919236212669</v>
      </c>
      <c r="H12" s="207">
        <v>322.84670829831731</v>
      </c>
      <c r="I12" s="207">
        <v>14.159149916385616</v>
      </c>
      <c r="J12" s="207">
        <v>74348.020333686916</v>
      </c>
      <c r="K12" s="207">
        <v>2.2346171055597472</v>
      </c>
      <c r="L12" s="207">
        <v>106.70874878887359</v>
      </c>
      <c r="M12" s="393">
        <v>0</v>
      </c>
      <c r="N12" s="393">
        <v>21.831690135254657</v>
      </c>
      <c r="O12" s="392">
        <v>11.724529456283822</v>
      </c>
      <c r="P12" s="207">
        <v>7581.8677290391161</v>
      </c>
      <c r="Q12" s="207">
        <v>210.4362643626763</v>
      </c>
    </row>
    <row r="13" spans="1:19" x14ac:dyDescent="0.2">
      <c r="A13" s="189" t="s">
        <v>44</v>
      </c>
      <c r="B13" s="208">
        <f>SUM(B14:B15)</f>
        <v>470833.34686442639</v>
      </c>
      <c r="C13" s="208">
        <f t="shared" ref="C13:Q13" si="1">SUM(C14:C15)</f>
        <v>56944.782837711304</v>
      </c>
      <c r="D13" s="208">
        <f t="shared" si="1"/>
        <v>5774.6677700556238</v>
      </c>
      <c r="E13" s="208">
        <f t="shared" si="1"/>
        <v>52662.032453754146</v>
      </c>
      <c r="F13" s="208">
        <f t="shared" si="1"/>
        <v>4719.7515959375896</v>
      </c>
      <c r="G13" s="208">
        <f t="shared" si="1"/>
        <v>2955.1435801783232</v>
      </c>
      <c r="H13" s="208">
        <f t="shared" si="1"/>
        <v>22570.056175711619</v>
      </c>
      <c r="I13" s="208">
        <f t="shared" si="1"/>
        <v>10197.145563930135</v>
      </c>
      <c r="J13" s="208">
        <f t="shared" si="1"/>
        <v>295508.22904882766</v>
      </c>
      <c r="K13" s="208">
        <f t="shared" si="1"/>
        <v>467.27825793379947</v>
      </c>
      <c r="L13" s="208">
        <f t="shared" si="1"/>
        <v>12313.74959446042</v>
      </c>
      <c r="M13" s="392">
        <f t="shared" si="1"/>
        <v>47.745011036788341</v>
      </c>
      <c r="N13" s="392">
        <f t="shared" si="1"/>
        <v>152.91906661793502</v>
      </c>
      <c r="O13" s="392">
        <v>421.90788501617283</v>
      </c>
      <c r="P13" s="208">
        <f t="shared" si="1"/>
        <v>4603.5305036054906</v>
      </c>
      <c r="Q13" s="208">
        <f t="shared" si="1"/>
        <v>1494.4075202616596</v>
      </c>
    </row>
    <row r="14" spans="1:19" x14ac:dyDescent="0.2">
      <c r="A14" s="927" t="s">
        <v>15</v>
      </c>
      <c r="B14" s="207">
        <v>378684.24778230325</v>
      </c>
      <c r="C14" s="207">
        <v>53594.619122843127</v>
      </c>
      <c r="D14" s="207">
        <v>5741.4677921546836</v>
      </c>
      <c r="E14" s="207">
        <v>52479.420628262043</v>
      </c>
      <c r="F14" s="207">
        <v>4716.2170677007443</v>
      </c>
      <c r="G14" s="207">
        <v>2858.452909699517</v>
      </c>
      <c r="H14" s="207">
        <v>22260.578878471257</v>
      </c>
      <c r="I14" s="207">
        <v>10144.218132129854</v>
      </c>
      <c r="J14" s="207">
        <v>207557.6239135685</v>
      </c>
      <c r="K14" s="207">
        <v>463.47146818087185</v>
      </c>
      <c r="L14" s="207">
        <v>12207.114453188098</v>
      </c>
      <c r="M14" s="393">
        <v>47.745011036788341</v>
      </c>
      <c r="N14" s="393">
        <v>128.36203806343161</v>
      </c>
      <c r="O14" s="392">
        <v>415.46846269485076</v>
      </c>
      <c r="P14" s="207">
        <v>4587.0043979905176</v>
      </c>
      <c r="Q14" s="207">
        <v>1482.4835069378889</v>
      </c>
    </row>
    <row r="15" spans="1:19" x14ac:dyDescent="0.2">
      <c r="A15" s="927" t="s">
        <v>16</v>
      </c>
      <c r="B15" s="207">
        <v>92149.099082123153</v>
      </c>
      <c r="C15" s="207">
        <v>3350.1637148681766</v>
      </c>
      <c r="D15" s="207">
        <v>33.199977900940155</v>
      </c>
      <c r="E15" s="207">
        <v>182.61182549210343</v>
      </c>
      <c r="F15" s="207">
        <v>3.5345282368454849</v>
      </c>
      <c r="G15" s="207">
        <v>96.690670478806311</v>
      </c>
      <c r="H15" s="207">
        <v>309.47729724036395</v>
      </c>
      <c r="I15" s="207">
        <v>52.927431800280196</v>
      </c>
      <c r="J15" s="207">
        <v>87950.605135259189</v>
      </c>
      <c r="K15" s="207">
        <v>3.8067897529276071</v>
      </c>
      <c r="L15" s="207">
        <v>106.63514127232202</v>
      </c>
      <c r="M15" s="393">
        <v>0</v>
      </c>
      <c r="N15" s="393">
        <v>24.557028554503404</v>
      </c>
      <c r="O15" s="392">
        <v>6.4394223213221036</v>
      </c>
      <c r="P15" s="207">
        <v>16.526105614973005</v>
      </c>
      <c r="Q15" s="207">
        <v>11.924013323770664</v>
      </c>
    </row>
    <row r="16" spans="1:19" x14ac:dyDescent="0.2">
      <c r="A16" s="189" t="s">
        <v>17</v>
      </c>
      <c r="B16" s="208">
        <f>SUM(B17)</f>
        <v>33663.469826632761</v>
      </c>
      <c r="C16" s="208">
        <f t="shared" ref="C16:Q16" si="2">SUM(C17)</f>
        <v>3128.4572903116737</v>
      </c>
      <c r="D16" s="208">
        <f t="shared" si="2"/>
        <v>451.12556447601497</v>
      </c>
      <c r="E16" s="208">
        <f t="shared" si="2"/>
        <v>1718.5298445410733</v>
      </c>
      <c r="F16" s="208">
        <f t="shared" si="2"/>
        <v>102.51101380613466</v>
      </c>
      <c r="G16" s="208">
        <f t="shared" si="2"/>
        <v>142.92417784280499</v>
      </c>
      <c r="H16" s="208">
        <f t="shared" si="2"/>
        <v>6414.205615672674</v>
      </c>
      <c r="I16" s="208">
        <f t="shared" si="2"/>
        <v>104.07682569197169</v>
      </c>
      <c r="J16" s="208">
        <f t="shared" si="2"/>
        <v>13438.327377381578</v>
      </c>
      <c r="K16" s="208">
        <f t="shared" si="2"/>
        <v>5.2759132954116676</v>
      </c>
      <c r="L16" s="208">
        <f t="shared" si="2"/>
        <v>233.97055213048014</v>
      </c>
      <c r="M16" s="392">
        <f t="shared" si="2"/>
        <v>0</v>
      </c>
      <c r="N16" s="392">
        <f t="shared" si="2"/>
        <v>11.245061992358949</v>
      </c>
      <c r="O16" s="392">
        <v>4.138011982023551</v>
      </c>
      <c r="P16" s="208">
        <f t="shared" si="2"/>
        <v>5268.5854859803612</v>
      </c>
      <c r="Q16" s="208">
        <f t="shared" si="2"/>
        <v>2640.09709153004</v>
      </c>
    </row>
    <row r="17" spans="1:17" x14ac:dyDescent="0.2">
      <c r="A17" s="927" t="s">
        <v>17</v>
      </c>
      <c r="B17" s="207">
        <v>33663.469826632761</v>
      </c>
      <c r="C17" s="207">
        <v>3128.4572903116737</v>
      </c>
      <c r="D17" s="207">
        <v>451.12556447601497</v>
      </c>
      <c r="E17" s="207">
        <v>1718.5298445410733</v>
      </c>
      <c r="F17" s="207">
        <v>102.51101380613466</v>
      </c>
      <c r="G17" s="207">
        <v>142.92417784280499</v>
      </c>
      <c r="H17" s="207">
        <v>6414.205615672674</v>
      </c>
      <c r="I17" s="207">
        <v>104.07682569197169</v>
      </c>
      <c r="J17" s="207">
        <v>13438.327377381578</v>
      </c>
      <c r="K17" s="207">
        <v>5.2759132954116676</v>
      </c>
      <c r="L17" s="207">
        <v>233.97055213048014</v>
      </c>
      <c r="M17" s="393">
        <v>0</v>
      </c>
      <c r="N17" s="393">
        <v>11.245061992358949</v>
      </c>
      <c r="O17" s="392">
        <v>4.138011982023551</v>
      </c>
      <c r="P17" s="207">
        <v>5268.5854859803612</v>
      </c>
      <c r="Q17" s="207">
        <v>2640.09709153004</v>
      </c>
    </row>
    <row r="18" spans="1:17" x14ac:dyDescent="0.2">
      <c r="A18" s="189" t="s">
        <v>18</v>
      </c>
      <c r="B18" s="208">
        <f>SUM(B19)</f>
        <v>32985.357798567791</v>
      </c>
      <c r="C18" s="208">
        <f t="shared" ref="C18:Q18" si="3">SUM(C19)</f>
        <v>1295.483459270675</v>
      </c>
      <c r="D18" s="208">
        <f t="shared" si="3"/>
        <v>24.708904241110638</v>
      </c>
      <c r="E18" s="208">
        <f t="shared" si="3"/>
        <v>588.03101458320396</v>
      </c>
      <c r="F18" s="208">
        <f t="shared" si="3"/>
        <v>12.437624296113675</v>
      </c>
      <c r="G18" s="208">
        <f t="shared" si="3"/>
        <v>3.7417341846882355</v>
      </c>
      <c r="H18" s="208">
        <f t="shared" si="3"/>
        <v>4692.6329984773965</v>
      </c>
      <c r="I18" s="208">
        <f t="shared" si="3"/>
        <v>79.33020580092051</v>
      </c>
      <c r="J18" s="208">
        <f t="shared" si="3"/>
        <v>22237.027957742408</v>
      </c>
      <c r="K18" s="208">
        <f t="shared" si="3"/>
        <v>8.3520110373359575</v>
      </c>
      <c r="L18" s="208">
        <f t="shared" si="3"/>
        <v>665.75957788911523</v>
      </c>
      <c r="M18" s="392">
        <f t="shared" si="3"/>
        <v>2.0654046943614244</v>
      </c>
      <c r="N18" s="392">
        <f t="shared" si="3"/>
        <v>2.272610642204175</v>
      </c>
      <c r="O18" s="392">
        <v>3.5345282368454849</v>
      </c>
      <c r="P18" s="208">
        <f t="shared" si="3"/>
        <v>2084.3347050174661</v>
      </c>
      <c r="Q18" s="208">
        <f t="shared" si="3"/>
        <v>1285.6450624548459</v>
      </c>
    </row>
    <row r="19" spans="1:17" x14ac:dyDescent="0.2">
      <c r="A19" s="927" t="s">
        <v>18</v>
      </c>
      <c r="B19" s="207">
        <v>32985.357798567791</v>
      </c>
      <c r="C19" s="207">
        <v>1295.483459270675</v>
      </c>
      <c r="D19" s="207">
        <v>24.708904241110638</v>
      </c>
      <c r="E19" s="207">
        <v>588.03101458320396</v>
      </c>
      <c r="F19" s="207">
        <v>12.437624296113675</v>
      </c>
      <c r="G19" s="207">
        <v>3.7417341846882355</v>
      </c>
      <c r="H19" s="207">
        <v>4692.6329984773965</v>
      </c>
      <c r="I19" s="207">
        <v>79.33020580092051</v>
      </c>
      <c r="J19" s="207">
        <v>22237.027957742408</v>
      </c>
      <c r="K19" s="207">
        <v>8.3520110373359575</v>
      </c>
      <c r="L19" s="207">
        <v>665.75957788911523</v>
      </c>
      <c r="M19" s="393">
        <v>2.0654046943614244</v>
      </c>
      <c r="N19" s="393">
        <v>2.272610642204175</v>
      </c>
      <c r="O19" s="392">
        <v>3.5345282368454849</v>
      </c>
      <c r="P19" s="207">
        <v>2084.3347050174661</v>
      </c>
      <c r="Q19" s="207">
        <v>1285.6450624548459</v>
      </c>
    </row>
    <row r="20" spans="1:17" x14ac:dyDescent="0.2">
      <c r="A20" s="189" t="s">
        <v>19</v>
      </c>
      <c r="B20" s="208">
        <f>SUM(B21:B22)</f>
        <v>130525.77094669487</v>
      </c>
      <c r="C20" s="208">
        <f t="shared" ref="C20:Q20" si="4">SUM(C21:C22)</f>
        <v>7666.7597153264933</v>
      </c>
      <c r="D20" s="208">
        <f t="shared" si="4"/>
        <v>515.15716590420061</v>
      </c>
      <c r="E20" s="208">
        <f t="shared" si="4"/>
        <v>4544.537995679686</v>
      </c>
      <c r="F20" s="208">
        <f t="shared" si="4"/>
        <v>289.95048436283372</v>
      </c>
      <c r="G20" s="208">
        <f t="shared" si="4"/>
        <v>61.587106963781082</v>
      </c>
      <c r="H20" s="208">
        <f t="shared" si="4"/>
        <v>32055.555626695834</v>
      </c>
      <c r="I20" s="208">
        <f t="shared" si="4"/>
        <v>767.03536270392249</v>
      </c>
      <c r="J20" s="208">
        <f t="shared" si="4"/>
        <v>77648.724087719034</v>
      </c>
      <c r="K20" s="208">
        <f t="shared" si="4"/>
        <v>35.330455603662472</v>
      </c>
      <c r="L20" s="208">
        <f t="shared" si="4"/>
        <v>3577.4319085727466</v>
      </c>
      <c r="M20" s="392">
        <f t="shared" si="4"/>
        <v>0</v>
      </c>
      <c r="N20" s="392">
        <f t="shared" si="4"/>
        <v>24.359628933513477</v>
      </c>
      <c r="O20" s="392">
        <v>23.224255793551428</v>
      </c>
      <c r="P20" s="208">
        <f t="shared" si="4"/>
        <v>2483.7177339452228</v>
      </c>
      <c r="Q20" s="208">
        <f t="shared" si="4"/>
        <v>832.3994184773934</v>
      </c>
    </row>
    <row r="21" spans="1:17" x14ac:dyDescent="0.2">
      <c r="A21" s="927" t="s">
        <v>19</v>
      </c>
      <c r="B21" s="207">
        <v>76089.64434621633</v>
      </c>
      <c r="C21" s="207">
        <v>6536.6255810552993</v>
      </c>
      <c r="D21" s="207">
        <v>510.74979527674839</v>
      </c>
      <c r="E21" s="207">
        <v>4121.1556201491921</v>
      </c>
      <c r="F21" s="207">
        <v>289.95048436283372</v>
      </c>
      <c r="G21" s="207">
        <v>61.587106963781082</v>
      </c>
      <c r="H21" s="207">
        <v>12427.814185720817</v>
      </c>
      <c r="I21" s="207">
        <v>724.39695955109994</v>
      </c>
      <c r="J21" s="207">
        <v>45549.39013331863</v>
      </c>
      <c r="K21" s="207">
        <v>33.095838498102722</v>
      </c>
      <c r="L21" s="207">
        <v>3551.1436290909674</v>
      </c>
      <c r="M21" s="393">
        <v>0</v>
      </c>
      <c r="N21" s="393">
        <v>16.584039609760641</v>
      </c>
      <c r="O21" s="392">
        <v>23.224255793551428</v>
      </c>
      <c r="P21" s="207">
        <v>1506.1779355144349</v>
      </c>
      <c r="Q21" s="207">
        <v>737.74878129472086</v>
      </c>
    </row>
    <row r="22" spans="1:17" x14ac:dyDescent="0.2">
      <c r="A22" s="927" t="s">
        <v>20</v>
      </c>
      <c r="B22" s="207">
        <v>54436.126600478543</v>
      </c>
      <c r="C22" s="207">
        <v>1130.1341342711937</v>
      </c>
      <c r="D22" s="207">
        <v>4.4073706274521811</v>
      </c>
      <c r="E22" s="207">
        <v>423.38237553049373</v>
      </c>
      <c r="F22" s="389">
        <v>0</v>
      </c>
      <c r="G22" s="207">
        <v>0</v>
      </c>
      <c r="H22" s="207">
        <v>19627.741440975016</v>
      </c>
      <c r="I22" s="207">
        <v>42.638403152822555</v>
      </c>
      <c r="J22" s="207">
        <v>32099.333954400405</v>
      </c>
      <c r="K22" s="207">
        <v>2.2346171055597472</v>
      </c>
      <c r="L22" s="207">
        <v>26.288279481779195</v>
      </c>
      <c r="M22" s="393">
        <v>0</v>
      </c>
      <c r="N22" s="393">
        <v>7.7755893237528344</v>
      </c>
      <c r="O22" s="392">
        <v>0</v>
      </c>
      <c r="P22" s="207">
        <v>977.53979843078776</v>
      </c>
      <c r="Q22" s="207">
        <v>94.650637182672583</v>
      </c>
    </row>
    <row r="23" spans="1:17" x14ac:dyDescent="0.2">
      <c r="A23" s="189" t="s">
        <v>21</v>
      </c>
      <c r="B23" s="208">
        <f>SUM(B24)</f>
        <v>70728.529752551651</v>
      </c>
      <c r="C23" s="208">
        <f t="shared" ref="C23:Q23" si="5">SUM(C24)</f>
        <v>4294.6450965077865</v>
      </c>
      <c r="D23" s="208">
        <f t="shared" si="5"/>
        <v>363.50753881491693</v>
      </c>
      <c r="E23" s="208">
        <f t="shared" si="5"/>
        <v>3030.6837540654778</v>
      </c>
      <c r="F23" s="208">
        <f t="shared" si="5"/>
        <v>11617.129394049649</v>
      </c>
      <c r="G23" s="208">
        <f t="shared" si="5"/>
        <v>51.526648984521394</v>
      </c>
      <c r="H23" s="208">
        <f t="shared" si="5"/>
        <v>30337.88408805152</v>
      </c>
      <c r="I23" s="208">
        <f t="shared" si="5"/>
        <v>2982.6205236622486</v>
      </c>
      <c r="J23" s="208">
        <f t="shared" si="5"/>
        <v>10411.245020215812</v>
      </c>
      <c r="K23" s="208">
        <f t="shared" si="5"/>
        <v>43.888991337573685</v>
      </c>
      <c r="L23" s="208">
        <f t="shared" si="5"/>
        <v>6405.408436134946</v>
      </c>
      <c r="M23" s="392">
        <f t="shared" si="5"/>
        <v>25.703015969366422</v>
      </c>
      <c r="N23" s="392">
        <f t="shared" si="5"/>
        <v>182.5601494044588</v>
      </c>
      <c r="O23" s="392">
        <v>84.258696548056463</v>
      </c>
      <c r="P23" s="208">
        <f t="shared" si="5"/>
        <v>756.33881353102174</v>
      </c>
      <c r="Q23" s="208">
        <f t="shared" si="5"/>
        <v>141.12958526976789</v>
      </c>
    </row>
    <row r="24" spans="1:17" x14ac:dyDescent="0.2">
      <c r="A24" s="927" t="s">
        <v>21</v>
      </c>
      <c r="B24" s="207">
        <v>70728.529752551651</v>
      </c>
      <c r="C24" s="207">
        <v>4294.6450965077865</v>
      </c>
      <c r="D24" s="207">
        <v>363.50753881491693</v>
      </c>
      <c r="E24" s="207">
        <v>3030.6837540654778</v>
      </c>
      <c r="F24" s="207">
        <v>11617.129394049649</v>
      </c>
      <c r="G24" s="207">
        <v>51.526648984521394</v>
      </c>
      <c r="H24" s="207">
        <v>30337.88408805152</v>
      </c>
      <c r="I24" s="207">
        <v>2982.6205236622486</v>
      </c>
      <c r="J24" s="207">
        <v>10411.245020215812</v>
      </c>
      <c r="K24" s="207">
        <v>43.888991337573685</v>
      </c>
      <c r="L24" s="207">
        <v>6405.408436134946</v>
      </c>
      <c r="M24" s="393">
        <v>25.703015969366422</v>
      </c>
      <c r="N24" s="393">
        <v>182.5601494044588</v>
      </c>
      <c r="O24" s="392">
        <v>84.258696548056463</v>
      </c>
      <c r="P24" s="207">
        <v>756.33881353102174</v>
      </c>
      <c r="Q24" s="207">
        <v>141.12958526976789</v>
      </c>
    </row>
    <row r="25" spans="1:17" x14ac:dyDescent="0.2">
      <c r="A25" s="189" t="s">
        <v>22</v>
      </c>
      <c r="B25" s="208">
        <f>SUM(B26)</f>
        <v>130243.73289835156</v>
      </c>
      <c r="C25" s="208">
        <f t="shared" ref="C25:Q25" si="6">SUM(C26)</f>
        <v>16657.200518796584</v>
      </c>
      <c r="D25" s="208">
        <f t="shared" si="6"/>
        <v>1000.8840096405402</v>
      </c>
      <c r="E25" s="208">
        <f t="shared" si="6"/>
        <v>12397.59393020204</v>
      </c>
      <c r="F25" s="208">
        <f t="shared" si="6"/>
        <v>2310.855352345045</v>
      </c>
      <c r="G25" s="208">
        <f t="shared" si="6"/>
        <v>769.64844348001043</v>
      </c>
      <c r="H25" s="208">
        <f t="shared" si="6"/>
        <v>6357.7404619659847</v>
      </c>
      <c r="I25" s="208">
        <f t="shared" si="6"/>
        <v>2829.4077533545292</v>
      </c>
      <c r="J25" s="208">
        <f t="shared" si="6"/>
        <v>78769.538102164064</v>
      </c>
      <c r="K25" s="208">
        <f t="shared" si="6"/>
        <v>86.772258275943855</v>
      </c>
      <c r="L25" s="208">
        <f t="shared" si="6"/>
        <v>7619.8645472182106</v>
      </c>
      <c r="M25" s="392">
        <f t="shared" si="6"/>
        <v>12.344969769102638</v>
      </c>
      <c r="N25" s="392">
        <f t="shared" si="6"/>
        <v>25.164408657765065</v>
      </c>
      <c r="O25" s="392">
        <v>164.98106917558286</v>
      </c>
      <c r="P25" s="208">
        <f t="shared" si="6"/>
        <v>1044.4014877165944</v>
      </c>
      <c r="Q25" s="208">
        <f t="shared" si="6"/>
        <v>197.33558550711362</v>
      </c>
    </row>
    <row r="26" spans="1:17" x14ac:dyDescent="0.2">
      <c r="A26" s="927" t="s">
        <v>22</v>
      </c>
      <c r="B26" s="207">
        <v>130243.73289835156</v>
      </c>
      <c r="C26" s="207">
        <v>16657.200518796584</v>
      </c>
      <c r="D26" s="207">
        <v>1000.8840096405402</v>
      </c>
      <c r="E26" s="207">
        <v>12397.59393020204</v>
      </c>
      <c r="F26" s="207">
        <v>2310.855352345045</v>
      </c>
      <c r="G26" s="207">
        <v>769.64844348001043</v>
      </c>
      <c r="H26" s="207">
        <v>6357.7404619659847</v>
      </c>
      <c r="I26" s="207">
        <v>2829.4077533545292</v>
      </c>
      <c r="J26" s="207">
        <v>78769.538102164064</v>
      </c>
      <c r="K26" s="207">
        <v>86.772258275943855</v>
      </c>
      <c r="L26" s="207">
        <v>7619.8645472182106</v>
      </c>
      <c r="M26" s="393">
        <v>12.344969769102638</v>
      </c>
      <c r="N26" s="393">
        <v>25.164408657765065</v>
      </c>
      <c r="O26" s="392">
        <v>164.98106917558286</v>
      </c>
      <c r="P26" s="207">
        <v>1044.4014877165944</v>
      </c>
      <c r="Q26" s="207">
        <v>197.33558550711362</v>
      </c>
    </row>
    <row r="27" spans="1:17" x14ac:dyDescent="0.2">
      <c r="A27" s="189" t="s">
        <v>23</v>
      </c>
      <c r="B27" s="208">
        <f>SUM(B28:B29)</f>
        <v>169044.384538204</v>
      </c>
      <c r="C27" s="208">
        <f t="shared" ref="C27:Q27" si="7">SUM(C28:C29)</f>
        <v>8710.0546506524734</v>
      </c>
      <c r="D27" s="208">
        <f t="shared" si="7"/>
        <v>66.305355705551634</v>
      </c>
      <c r="E27" s="208">
        <f t="shared" si="7"/>
        <v>77.472658148550394</v>
      </c>
      <c r="F27" s="208">
        <f t="shared" si="7"/>
        <v>5.4379231133092887</v>
      </c>
      <c r="G27" s="208">
        <f t="shared" si="7"/>
        <v>262.51909542862921</v>
      </c>
      <c r="H27" s="208">
        <f t="shared" si="7"/>
        <v>75.475189989758718</v>
      </c>
      <c r="I27" s="208">
        <f t="shared" si="7"/>
        <v>35.679477260838567</v>
      </c>
      <c r="J27" s="208">
        <f t="shared" si="7"/>
        <v>159174.87941657664</v>
      </c>
      <c r="K27" s="208">
        <f t="shared" si="7"/>
        <v>4.3380153365655989</v>
      </c>
      <c r="L27" s="208">
        <f t="shared" si="7"/>
        <v>13.848894863659067</v>
      </c>
      <c r="M27" s="392">
        <f t="shared" si="7"/>
        <v>2.0654046943614244</v>
      </c>
      <c r="N27" s="392">
        <f t="shared" si="7"/>
        <v>530.76597351758426</v>
      </c>
      <c r="O27" s="392">
        <v>17.106861861775219</v>
      </c>
      <c r="P27" s="208">
        <f t="shared" si="7"/>
        <v>20.65691500369585</v>
      </c>
      <c r="Q27" s="208">
        <f t="shared" si="7"/>
        <v>47.778706034495485</v>
      </c>
    </row>
    <row r="28" spans="1:17" x14ac:dyDescent="0.2">
      <c r="A28" s="927" t="s">
        <v>23</v>
      </c>
      <c r="B28" s="207">
        <v>88467.718954112963</v>
      </c>
      <c r="C28" s="207">
        <v>5135.0685941091751</v>
      </c>
      <c r="D28" s="207">
        <v>15.812451191459406</v>
      </c>
      <c r="E28" s="207">
        <v>30.839513848380218</v>
      </c>
      <c r="F28" s="207">
        <v>3.3725184189478643</v>
      </c>
      <c r="G28" s="207">
        <v>175.24136297305677</v>
      </c>
      <c r="H28" s="207">
        <v>41.248284648102882</v>
      </c>
      <c r="I28" s="207">
        <v>33.614072566477141</v>
      </c>
      <c r="J28" s="207">
        <v>82560.316803184527</v>
      </c>
      <c r="K28" s="389">
        <v>0</v>
      </c>
      <c r="L28" s="207">
        <v>3.5345282368454849</v>
      </c>
      <c r="M28" s="393">
        <v>0</v>
      </c>
      <c r="N28" s="393">
        <v>412.60189187815746</v>
      </c>
      <c r="O28" s="392">
        <v>10.741435367492624</v>
      </c>
      <c r="P28" s="393">
        <v>19.187791461211791</v>
      </c>
      <c r="Q28" s="393">
        <v>26.139706220113101</v>
      </c>
    </row>
    <row r="29" spans="1:17" x14ac:dyDescent="0.2">
      <c r="A29" s="927" t="s">
        <v>24</v>
      </c>
      <c r="B29" s="207">
        <v>80576.665584091024</v>
      </c>
      <c r="C29" s="207">
        <v>3574.9860565432987</v>
      </c>
      <c r="D29" s="207">
        <v>50.492904514092224</v>
      </c>
      <c r="E29" s="207">
        <v>46.633144300170173</v>
      </c>
      <c r="F29" s="207">
        <v>2.0654046943614244</v>
      </c>
      <c r="G29" s="207">
        <v>87.277732455572462</v>
      </c>
      <c r="H29" s="207">
        <v>34.226905341655836</v>
      </c>
      <c r="I29" s="207">
        <v>2.0654046943614244</v>
      </c>
      <c r="J29" s="207">
        <v>76614.562613392118</v>
      </c>
      <c r="K29" s="207">
        <v>4.3380153365655989</v>
      </c>
      <c r="L29" s="207">
        <v>10.314366626813582</v>
      </c>
      <c r="M29" s="393">
        <v>2.0654046943614244</v>
      </c>
      <c r="N29" s="393">
        <v>118.16408163942675</v>
      </c>
      <c r="O29" s="392">
        <v>6.3654264942825964</v>
      </c>
      <c r="P29" s="393">
        <v>1.4691235424840605</v>
      </c>
      <c r="Q29" s="393">
        <v>21.63899981438238</v>
      </c>
    </row>
    <row r="30" spans="1:17" x14ac:dyDescent="0.2">
      <c r="A30" s="189" t="s">
        <v>25</v>
      </c>
      <c r="B30" s="208">
        <f>SUM(B31:B32)</f>
        <v>25194.451035550341</v>
      </c>
      <c r="C30" s="208">
        <f t="shared" ref="C30:Q30" si="8">SUM(C31:C32)</f>
        <v>1139.4078877276579</v>
      </c>
      <c r="D30" s="208">
        <f t="shared" si="8"/>
        <v>12.34297852285329</v>
      </c>
      <c r="E30" s="208">
        <f t="shared" si="8"/>
        <v>268.45027482521493</v>
      </c>
      <c r="F30" s="208">
        <f t="shared" si="8"/>
        <v>755.95179241174071</v>
      </c>
      <c r="G30" s="208">
        <f t="shared" si="8"/>
        <v>8.3140175006915289</v>
      </c>
      <c r="H30" s="208">
        <f t="shared" si="8"/>
        <v>1813.0790674258583</v>
      </c>
      <c r="I30" s="208">
        <f t="shared" si="8"/>
        <v>5738.9340134741342</v>
      </c>
      <c r="J30" s="208">
        <f t="shared" si="8"/>
        <v>15170.359661371751</v>
      </c>
      <c r="K30" s="208">
        <f t="shared" si="8"/>
        <v>1.4691235424840605</v>
      </c>
      <c r="L30" s="208">
        <f t="shared" si="8"/>
        <v>40.014536823131657</v>
      </c>
      <c r="M30" s="392">
        <f t="shared" si="8"/>
        <v>0</v>
      </c>
      <c r="N30" s="392">
        <f t="shared" si="8"/>
        <v>113.54185742986316</v>
      </c>
      <c r="O30" s="392">
        <v>2.0654046943614244</v>
      </c>
      <c r="P30" s="392">
        <f t="shared" si="8"/>
        <v>114.50506238435437</v>
      </c>
      <c r="Q30" s="392">
        <f t="shared" si="8"/>
        <v>16.015357416654943</v>
      </c>
    </row>
    <row r="31" spans="1:17" x14ac:dyDescent="0.2">
      <c r="A31" s="927" t="s">
        <v>25</v>
      </c>
      <c r="B31" s="207">
        <v>17787.905226950563</v>
      </c>
      <c r="C31" s="207">
        <v>864.31241351269773</v>
      </c>
      <c r="D31" s="207">
        <v>8.6392378748094814</v>
      </c>
      <c r="E31" s="207">
        <v>35.982136003139686</v>
      </c>
      <c r="F31" s="207">
        <v>5.2179793006240303</v>
      </c>
      <c r="G31" s="207">
        <v>3.8067897529276071</v>
      </c>
      <c r="H31" s="207">
        <v>27.366567498222189</v>
      </c>
      <c r="I31" s="207">
        <v>1923.1251265742235</v>
      </c>
      <c r="J31" s="207">
        <v>14779.017230074944</v>
      </c>
      <c r="K31" s="389">
        <v>0</v>
      </c>
      <c r="L31" s="207">
        <v>6.6871028431080912</v>
      </c>
      <c r="M31" s="393">
        <v>0</v>
      </c>
      <c r="N31" s="393">
        <v>113.54185742986316</v>
      </c>
      <c r="O31" s="392">
        <v>2.0654046943614244</v>
      </c>
      <c r="P31" s="393">
        <v>18.143381392038432</v>
      </c>
      <c r="Q31" s="393">
        <v>0</v>
      </c>
    </row>
    <row r="32" spans="1:17" x14ac:dyDescent="0.2">
      <c r="A32" s="927" t="s">
        <v>26</v>
      </c>
      <c r="B32" s="207">
        <v>7406.545808599778</v>
      </c>
      <c r="C32" s="207">
        <v>275.09547421496023</v>
      </c>
      <c r="D32" s="207">
        <v>3.7037406480438078</v>
      </c>
      <c r="E32" s="207">
        <v>232.46813882207525</v>
      </c>
      <c r="F32" s="207">
        <v>750.73381311111666</v>
      </c>
      <c r="G32" s="207">
        <v>4.5072277477639222</v>
      </c>
      <c r="H32" s="207">
        <v>1785.7124999276361</v>
      </c>
      <c r="I32" s="207">
        <v>3815.8088868999107</v>
      </c>
      <c r="J32" s="207">
        <v>391.34243129680698</v>
      </c>
      <c r="K32" s="207">
        <v>1.4691235424840605</v>
      </c>
      <c r="L32" s="207">
        <v>33.327433980023564</v>
      </c>
      <c r="M32" s="393">
        <v>0</v>
      </c>
      <c r="N32" s="393">
        <v>0</v>
      </c>
      <c r="O32" s="392">
        <v>0</v>
      </c>
      <c r="P32" s="393">
        <v>96.361680992315939</v>
      </c>
      <c r="Q32" s="393">
        <v>16.015357416654943</v>
      </c>
    </row>
    <row r="33" spans="1:17" x14ac:dyDescent="0.2">
      <c r="A33" s="189" t="s">
        <v>27</v>
      </c>
      <c r="B33" s="208">
        <f>SUM(B34)</f>
        <v>37495.010568086909</v>
      </c>
      <c r="C33" s="208">
        <f t="shared" ref="C33:Q33" si="9">SUM(C34)</f>
        <v>1856.2621320947444</v>
      </c>
      <c r="D33" s="208">
        <f t="shared" si="9"/>
        <v>20.984207643912118</v>
      </c>
      <c r="E33" s="208">
        <f t="shared" si="9"/>
        <v>59.336889219353871</v>
      </c>
      <c r="F33" s="208">
        <f t="shared" si="9"/>
        <v>829.35585238341844</v>
      </c>
      <c r="G33" s="208">
        <f t="shared" si="9"/>
        <v>51.69710223067095</v>
      </c>
      <c r="H33" s="208">
        <f t="shared" si="9"/>
        <v>45.528447009729817</v>
      </c>
      <c r="I33" s="208">
        <f t="shared" si="9"/>
        <v>8.0797495212538344</v>
      </c>
      <c r="J33" s="208">
        <f t="shared" si="9"/>
        <v>34502.990568935173</v>
      </c>
      <c r="K33" s="208">
        <f t="shared" si="9"/>
        <v>7.1285767703885359</v>
      </c>
      <c r="L33" s="208">
        <f t="shared" si="9"/>
        <v>11.82148370594207</v>
      </c>
      <c r="M33" s="392">
        <f t="shared" si="9"/>
        <v>0</v>
      </c>
      <c r="N33" s="392">
        <f t="shared" si="9"/>
        <v>73.304422307478788</v>
      </c>
      <c r="O33" s="392">
        <v>5.8071388790496599</v>
      </c>
      <c r="P33" s="392">
        <f t="shared" si="9"/>
        <v>5.7691453424052321</v>
      </c>
      <c r="Q33" s="392">
        <f t="shared" si="9"/>
        <v>16.944852043877596</v>
      </c>
    </row>
    <row r="34" spans="1:17" x14ac:dyDescent="0.2">
      <c r="A34" s="927" t="s">
        <v>27</v>
      </c>
      <c r="B34" s="207">
        <v>37495.010568086909</v>
      </c>
      <c r="C34" s="207">
        <v>1856.2621320947444</v>
      </c>
      <c r="D34" s="207">
        <v>20.984207643912118</v>
      </c>
      <c r="E34" s="207">
        <v>59.336889219353871</v>
      </c>
      <c r="F34" s="207">
        <v>829.35585238341844</v>
      </c>
      <c r="G34" s="207">
        <v>51.69710223067095</v>
      </c>
      <c r="H34" s="207">
        <v>45.528447009729817</v>
      </c>
      <c r="I34" s="207">
        <v>8.0797495212538344</v>
      </c>
      <c r="J34" s="207">
        <v>34502.990568935173</v>
      </c>
      <c r="K34" s="207">
        <v>7.1285767703885359</v>
      </c>
      <c r="L34" s="207">
        <v>11.82148370594207</v>
      </c>
      <c r="M34" s="393">
        <v>0</v>
      </c>
      <c r="N34" s="393">
        <v>73.304422307478788</v>
      </c>
      <c r="O34" s="392">
        <v>5.8071388790496599</v>
      </c>
      <c r="P34" s="393">
        <v>5.7691453424052321</v>
      </c>
      <c r="Q34" s="393">
        <v>16.944852043877596</v>
      </c>
    </row>
    <row r="35" spans="1:17" x14ac:dyDescent="0.2">
      <c r="A35" s="189" t="s">
        <v>28</v>
      </c>
      <c r="B35" s="208">
        <f>SUM(B36)</f>
        <v>93839.840533443843</v>
      </c>
      <c r="C35" s="208">
        <f t="shared" ref="C35:Q35" si="10">SUM(C36)</f>
        <v>4861.4702174435743</v>
      </c>
      <c r="D35" s="208">
        <f t="shared" si="10"/>
        <v>58.825720475386198</v>
      </c>
      <c r="E35" s="208">
        <f t="shared" si="10"/>
        <v>42.415227258936703</v>
      </c>
      <c r="F35" s="208">
        <f t="shared" si="10"/>
        <v>143.98243543520488</v>
      </c>
      <c r="G35" s="208">
        <f t="shared" si="10"/>
        <v>139.29862276519202</v>
      </c>
      <c r="H35" s="208">
        <f t="shared" si="10"/>
        <v>53.75971988479975</v>
      </c>
      <c r="I35" s="208">
        <f t="shared" si="10"/>
        <v>8.9632575106047234</v>
      </c>
      <c r="J35" s="208">
        <f t="shared" si="10"/>
        <v>87679.258824951467</v>
      </c>
      <c r="K35" s="208">
        <f t="shared" si="10"/>
        <v>10.069167142326405</v>
      </c>
      <c r="L35" s="208">
        <f t="shared" si="10"/>
        <v>17.713537591525345</v>
      </c>
      <c r="M35" s="392">
        <f t="shared" si="10"/>
        <v>0</v>
      </c>
      <c r="N35" s="392">
        <f t="shared" si="10"/>
        <v>567.98651969980256</v>
      </c>
      <c r="O35" s="392">
        <v>20.848596046463456</v>
      </c>
      <c r="P35" s="392">
        <f t="shared" si="10"/>
        <v>227.48229174505616</v>
      </c>
      <c r="Q35" s="392">
        <f t="shared" si="10"/>
        <v>7.7663954842027847</v>
      </c>
    </row>
    <row r="36" spans="1:17" x14ac:dyDescent="0.2">
      <c r="A36" s="927" t="s">
        <v>28</v>
      </c>
      <c r="B36" s="207">
        <v>93839.840533443843</v>
      </c>
      <c r="C36" s="207">
        <v>4861.4702174435743</v>
      </c>
      <c r="D36" s="207">
        <v>58.825720475386198</v>
      </c>
      <c r="E36" s="207">
        <v>42.415227258936703</v>
      </c>
      <c r="F36" s="207">
        <v>143.98243543520488</v>
      </c>
      <c r="G36" s="207">
        <v>139.29862276519202</v>
      </c>
      <c r="H36" s="207">
        <v>53.75971988479975</v>
      </c>
      <c r="I36" s="207">
        <v>8.9632575106047234</v>
      </c>
      <c r="J36" s="207">
        <v>87679.258824951467</v>
      </c>
      <c r="K36" s="207">
        <v>10.069167142326405</v>
      </c>
      <c r="L36" s="207">
        <v>17.713537591525345</v>
      </c>
      <c r="M36" s="393">
        <v>0</v>
      </c>
      <c r="N36" s="393">
        <v>567.98651969980256</v>
      </c>
      <c r="O36" s="392">
        <v>20.848596046463456</v>
      </c>
      <c r="P36" s="393">
        <v>227.48229174505616</v>
      </c>
      <c r="Q36" s="393">
        <v>7.7663954842027847</v>
      </c>
    </row>
    <row r="37" spans="1:17" x14ac:dyDescent="0.2">
      <c r="A37" s="189" t="s">
        <v>29</v>
      </c>
      <c r="B37" s="208">
        <f>SUM(B38:B39)</f>
        <v>184059.30266748177</v>
      </c>
      <c r="C37" s="208">
        <f t="shared" ref="C37:Q37" si="11">SUM(C38:C39)</f>
        <v>15564.347353911206</v>
      </c>
      <c r="D37" s="208">
        <f t="shared" si="11"/>
        <v>108.36124173845926</v>
      </c>
      <c r="E37" s="208">
        <f t="shared" si="11"/>
        <v>1181.8613419405319</v>
      </c>
      <c r="F37" s="208">
        <f t="shared" si="11"/>
        <v>28.411328320410881</v>
      </c>
      <c r="G37" s="208">
        <f t="shared" si="11"/>
        <v>21.736963342145298</v>
      </c>
      <c r="H37" s="208">
        <f t="shared" si="11"/>
        <v>98522.331129178623</v>
      </c>
      <c r="I37" s="208">
        <f t="shared" si="11"/>
        <v>384.87082416310477</v>
      </c>
      <c r="J37" s="208">
        <f t="shared" si="11"/>
        <v>11830.367014251366</v>
      </c>
      <c r="K37" s="208">
        <f t="shared" si="11"/>
        <v>13.978752419387897</v>
      </c>
      <c r="L37" s="208">
        <f t="shared" si="11"/>
        <v>54113.737096493584</v>
      </c>
      <c r="M37" s="392">
        <f t="shared" si="11"/>
        <v>0</v>
      </c>
      <c r="N37" s="392">
        <f t="shared" si="11"/>
        <v>21.186340801302535</v>
      </c>
      <c r="O37" s="392">
        <v>27.239359232396939</v>
      </c>
      <c r="P37" s="208">
        <f t="shared" si="11"/>
        <v>2032.0976210767988</v>
      </c>
      <c r="Q37" s="208">
        <f t="shared" si="11"/>
        <v>208.77630052549728</v>
      </c>
    </row>
    <row r="38" spans="1:17" x14ac:dyDescent="0.2">
      <c r="A38" s="927" t="s">
        <v>30</v>
      </c>
      <c r="B38" s="207">
        <v>112763.08392146071</v>
      </c>
      <c r="C38" s="207">
        <v>10460.178885165749</v>
      </c>
      <c r="D38" s="207">
        <v>80.063419291007961</v>
      </c>
      <c r="E38" s="207">
        <v>1025.5794575969301</v>
      </c>
      <c r="F38" s="207">
        <v>9.8999547311280818</v>
      </c>
      <c r="G38" s="207">
        <v>18.798716257177176</v>
      </c>
      <c r="H38" s="207">
        <v>58550.107924308089</v>
      </c>
      <c r="I38" s="207">
        <v>363.90767669580958</v>
      </c>
      <c r="J38" s="207">
        <v>1392.4818286174511</v>
      </c>
      <c r="K38" s="207">
        <v>1.4691235424840605</v>
      </c>
      <c r="L38" s="207">
        <v>40381.006764015525</v>
      </c>
      <c r="M38" s="393">
        <v>0</v>
      </c>
      <c r="N38" s="393">
        <v>21.186340801302535</v>
      </c>
      <c r="O38" s="392">
        <v>23.497625047708702</v>
      </c>
      <c r="P38" s="207">
        <v>264.381032956735</v>
      </c>
      <c r="Q38" s="207">
        <v>170.52517235153312</v>
      </c>
    </row>
    <row r="39" spans="1:17" x14ac:dyDescent="0.2">
      <c r="A39" s="927" t="s">
        <v>29</v>
      </c>
      <c r="B39" s="207">
        <v>71296.21874602107</v>
      </c>
      <c r="C39" s="207">
        <v>5104.1684687454554</v>
      </c>
      <c r="D39" s="207">
        <v>28.297822447451299</v>
      </c>
      <c r="E39" s="207">
        <v>156.28188434360192</v>
      </c>
      <c r="F39" s="207">
        <v>18.511373589282801</v>
      </c>
      <c r="G39" s="207">
        <v>2.938247084968121</v>
      </c>
      <c r="H39" s="207">
        <v>39972.223204870534</v>
      </c>
      <c r="I39" s="207">
        <v>20.963147467295165</v>
      </c>
      <c r="J39" s="207">
        <v>10437.885185633915</v>
      </c>
      <c r="K39" s="207">
        <v>12.509628876903836</v>
      </c>
      <c r="L39" s="207">
        <v>13732.730332478055</v>
      </c>
      <c r="M39" s="393">
        <v>0</v>
      </c>
      <c r="N39" s="393">
        <v>0</v>
      </c>
      <c r="O39" s="392">
        <v>3.7417341846882355</v>
      </c>
      <c r="P39" s="207">
        <v>1767.7165881200638</v>
      </c>
      <c r="Q39" s="207">
        <v>38.251128173964148</v>
      </c>
    </row>
    <row r="40" spans="1:17" x14ac:dyDescent="0.2">
      <c r="A40" s="189" t="s">
        <v>31</v>
      </c>
      <c r="B40" s="208">
        <f>SUM(B41)</f>
        <v>78360.803447261089</v>
      </c>
      <c r="C40" s="208">
        <f t="shared" ref="C40:Q40" si="12">SUM(C41)</f>
        <v>6000.9457944508331</v>
      </c>
      <c r="D40" s="208">
        <f t="shared" si="12"/>
        <v>292.99742552799773</v>
      </c>
      <c r="E40" s="208">
        <f t="shared" si="12"/>
        <v>4687.2713961802974</v>
      </c>
      <c r="F40" s="208">
        <f t="shared" si="12"/>
        <v>519.1186529533793</v>
      </c>
      <c r="G40" s="208">
        <f t="shared" si="12"/>
        <v>143.56480754106397</v>
      </c>
      <c r="H40" s="208">
        <f t="shared" si="12"/>
        <v>17421.54615234417</v>
      </c>
      <c r="I40" s="208">
        <f t="shared" si="12"/>
        <v>638.69682517452122</v>
      </c>
      <c r="J40" s="208">
        <f t="shared" si="12"/>
        <v>29228.504168530435</v>
      </c>
      <c r="K40" s="208">
        <f t="shared" si="12"/>
        <v>30.516279330459845</v>
      </c>
      <c r="L40" s="208">
        <f t="shared" si="12"/>
        <v>7809.5109679400193</v>
      </c>
      <c r="M40" s="392">
        <f t="shared" si="12"/>
        <v>25.058612609277162</v>
      </c>
      <c r="N40" s="392">
        <f t="shared" si="12"/>
        <v>8.8072495476850943</v>
      </c>
      <c r="O40" s="392">
        <v>43.703081776647423</v>
      </c>
      <c r="P40" s="208">
        <f t="shared" si="12"/>
        <v>10827.742793036339</v>
      </c>
      <c r="Q40" s="208">
        <f t="shared" si="12"/>
        <v>682.81924030405912</v>
      </c>
    </row>
    <row r="41" spans="1:17" x14ac:dyDescent="0.2">
      <c r="A41" s="927" t="s">
        <v>31</v>
      </c>
      <c r="B41" s="207">
        <v>78360.803447261089</v>
      </c>
      <c r="C41" s="207">
        <v>6000.9457944508331</v>
      </c>
      <c r="D41" s="207">
        <v>292.99742552799773</v>
      </c>
      <c r="E41" s="207">
        <v>4687.2713961802974</v>
      </c>
      <c r="F41" s="207">
        <v>519.1186529533793</v>
      </c>
      <c r="G41" s="207">
        <v>143.56480754106397</v>
      </c>
      <c r="H41" s="207">
        <v>17421.54615234417</v>
      </c>
      <c r="I41" s="207">
        <v>638.69682517452122</v>
      </c>
      <c r="J41" s="207">
        <v>29228.504168530435</v>
      </c>
      <c r="K41" s="207">
        <v>30.516279330459845</v>
      </c>
      <c r="L41" s="207">
        <v>7809.5109679400193</v>
      </c>
      <c r="M41" s="393">
        <v>25.058612609277162</v>
      </c>
      <c r="N41" s="393">
        <v>8.8072495476850943</v>
      </c>
      <c r="O41" s="392">
        <v>43.703081776647423</v>
      </c>
      <c r="P41" s="207">
        <v>10827.742793036339</v>
      </c>
      <c r="Q41" s="207">
        <v>682.81924030405912</v>
      </c>
    </row>
    <row r="42" spans="1:17" x14ac:dyDescent="0.2">
      <c r="A42" s="917"/>
    </row>
  </sheetData>
  <mergeCells count="4">
    <mergeCell ref="A1:Q1"/>
    <mergeCell ref="A2:A3"/>
    <mergeCell ref="B2:B3"/>
    <mergeCell ref="C2:Q2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ABD00"/>
  </sheetPr>
  <dimension ref="A1"/>
  <sheetViews>
    <sheetView workbookViewId="0">
      <selection activeCell="Q24" sqref="Q24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W27"/>
  <sheetViews>
    <sheetView workbookViewId="0">
      <selection activeCell="A2" sqref="A2"/>
    </sheetView>
  </sheetViews>
  <sheetFormatPr defaultRowHeight="12" x14ac:dyDescent="0.2"/>
  <cols>
    <col min="1" max="1" width="17.42578125" style="559" customWidth="1"/>
    <col min="2" max="2" width="11" style="559" customWidth="1"/>
    <col min="3" max="3" width="13.42578125" style="559" bestFit="1" customWidth="1"/>
    <col min="4" max="4" width="11.140625" style="559" bestFit="1" customWidth="1"/>
    <col min="5" max="5" width="10.28515625" style="559" bestFit="1" customWidth="1"/>
    <col min="6" max="7" width="9.28515625" style="559" bestFit="1" customWidth="1"/>
    <col min="8" max="8" width="11.140625" style="559" bestFit="1" customWidth="1"/>
    <col min="9" max="11" width="10.28515625" style="559" bestFit="1" customWidth="1"/>
    <col min="12" max="12" width="9.28515625" style="559" bestFit="1" customWidth="1"/>
    <col min="13" max="13" width="10.28515625" style="559" bestFit="1" customWidth="1"/>
    <col min="14" max="14" width="10.5703125" style="559" customWidth="1"/>
    <col min="15" max="15" width="9.28515625" style="559" customWidth="1"/>
    <col min="16" max="16" width="10.28515625" style="559" bestFit="1" customWidth="1"/>
    <col min="17" max="17" width="12" style="559" bestFit="1" customWidth="1"/>
    <col min="18" max="18" width="11.140625" style="559" bestFit="1" customWidth="1"/>
    <col min="19" max="19" width="10.28515625" style="559" bestFit="1" customWidth="1"/>
    <col min="20" max="20" width="11" style="559" bestFit="1" customWidth="1"/>
    <col min="21" max="21" width="12" style="559" bestFit="1" customWidth="1"/>
    <col min="22" max="23" width="11.140625" style="559" bestFit="1" customWidth="1"/>
    <col min="24" max="16384" width="9.140625" style="559"/>
  </cols>
  <sheetData>
    <row r="1" spans="1:23" ht="12.75" thickBot="1" x14ac:dyDescent="0.25">
      <c r="A1" s="721" t="s">
        <v>572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</row>
    <row r="2" spans="1:23" ht="36" x14ac:dyDescent="0.2">
      <c r="A2" s="928" t="s">
        <v>590</v>
      </c>
      <c r="B2" s="184" t="s">
        <v>548</v>
      </c>
      <c r="C2" s="396" t="s">
        <v>328</v>
      </c>
      <c r="D2" s="396" t="s">
        <v>329</v>
      </c>
      <c r="E2" s="396" t="s">
        <v>330</v>
      </c>
      <c r="F2" s="396" t="s">
        <v>331</v>
      </c>
      <c r="G2" s="396" t="s">
        <v>332</v>
      </c>
      <c r="H2" s="185" t="s">
        <v>333</v>
      </c>
      <c r="I2" s="185" t="s">
        <v>334</v>
      </c>
      <c r="J2" s="185" t="s">
        <v>335</v>
      </c>
      <c r="K2" s="185" t="s">
        <v>336</v>
      </c>
      <c r="L2" s="185" t="s">
        <v>337</v>
      </c>
      <c r="M2" s="185" t="s">
        <v>338</v>
      </c>
      <c r="N2" s="185" t="s">
        <v>339</v>
      </c>
      <c r="O2" s="185" t="s">
        <v>340</v>
      </c>
      <c r="P2" s="185" t="s">
        <v>341</v>
      </c>
      <c r="Q2" s="185" t="s">
        <v>342</v>
      </c>
      <c r="R2" s="185" t="s">
        <v>343</v>
      </c>
      <c r="S2" s="185" t="s">
        <v>344</v>
      </c>
      <c r="T2" s="185" t="s">
        <v>345</v>
      </c>
      <c r="U2" s="185" t="s">
        <v>346</v>
      </c>
      <c r="V2" s="185" t="s">
        <v>347</v>
      </c>
      <c r="W2" s="185" t="s">
        <v>348</v>
      </c>
    </row>
    <row r="3" spans="1:23" x14ac:dyDescent="0.2">
      <c r="A3" s="186" t="s">
        <v>32</v>
      </c>
      <c r="B3" s="507">
        <v>1688676.7873795638</v>
      </c>
      <c r="C3" s="507">
        <v>1192862.0145114705</v>
      </c>
      <c r="D3" s="507">
        <v>10526.441041366341</v>
      </c>
      <c r="E3" s="507">
        <v>1223.6073132684501</v>
      </c>
      <c r="F3" s="507">
        <v>526.403747267884</v>
      </c>
      <c r="G3" s="507">
        <v>453.55203689280188</v>
      </c>
      <c r="H3" s="507">
        <v>35003.856380937112</v>
      </c>
      <c r="I3" s="507">
        <v>3857.0697883009484</v>
      </c>
      <c r="J3" s="507">
        <v>6777.639838019375</v>
      </c>
      <c r="K3" s="507">
        <v>3583.0589915599803</v>
      </c>
      <c r="L3" s="507">
        <v>653.98723669268486</v>
      </c>
      <c r="M3" s="507">
        <v>2212.4272118568506</v>
      </c>
      <c r="N3" s="507">
        <v>45778.731170438848</v>
      </c>
      <c r="O3" s="507">
        <v>11009.026855562217</v>
      </c>
      <c r="P3" s="507">
        <v>3328.439478696796</v>
      </c>
      <c r="Q3" s="507">
        <v>172374.68640638929</v>
      </c>
      <c r="R3" s="507">
        <v>36443.413483685305</v>
      </c>
      <c r="S3" s="507">
        <v>3638.6939199962803</v>
      </c>
      <c r="T3" s="507">
        <v>186.79368545153133</v>
      </c>
      <c r="U3" s="507">
        <v>100676.27351627423</v>
      </c>
      <c r="V3" s="507">
        <v>26197.4043800582</v>
      </c>
      <c r="W3" s="507">
        <v>31363.266371511654</v>
      </c>
    </row>
    <row r="4" spans="1:23" x14ac:dyDescent="0.2">
      <c r="A4" s="187"/>
      <c r="B4" s="508"/>
      <c r="C4" s="508"/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  <c r="R4" s="508"/>
      <c r="S4" s="508"/>
      <c r="T4" s="508"/>
      <c r="U4" s="508"/>
      <c r="V4" s="508"/>
      <c r="W4" s="508"/>
    </row>
    <row r="5" spans="1:23" ht="24" customHeight="1" x14ac:dyDescent="0.2">
      <c r="A5" s="188" t="s">
        <v>167</v>
      </c>
      <c r="B5" s="259"/>
      <c r="C5" s="259"/>
      <c r="D5" s="509"/>
      <c r="E5" s="259"/>
      <c r="F5" s="259"/>
      <c r="G5" s="259"/>
      <c r="H5" s="510"/>
      <c r="I5" s="259"/>
      <c r="J5" s="259"/>
      <c r="K5" s="259"/>
      <c r="L5" s="259"/>
      <c r="M5" s="259"/>
      <c r="N5" s="259"/>
      <c r="O5" s="259"/>
      <c r="P5" s="259"/>
      <c r="Q5" s="259"/>
      <c r="R5" s="259"/>
      <c r="S5" s="259"/>
      <c r="T5" s="259"/>
      <c r="U5" s="259"/>
      <c r="V5" s="259"/>
      <c r="W5" s="259"/>
    </row>
    <row r="6" spans="1:23" x14ac:dyDescent="0.2">
      <c r="A6" s="625" t="s">
        <v>8</v>
      </c>
      <c r="B6" s="626">
        <v>434543.08853020315</v>
      </c>
      <c r="C6" s="626">
        <v>235080.23408592728</v>
      </c>
      <c r="D6" s="626">
        <v>9017.4938353157231</v>
      </c>
      <c r="E6" s="626">
        <v>428.99458039909564</v>
      </c>
      <c r="F6" s="626">
        <v>47.595658063884265</v>
      </c>
      <c r="G6" s="626">
        <v>108.15363899981466</v>
      </c>
      <c r="H6" s="626">
        <v>14284.965925326671</v>
      </c>
      <c r="I6" s="626">
        <v>2777.5937290714051</v>
      </c>
      <c r="J6" s="626">
        <v>4694.38589491533</v>
      </c>
      <c r="K6" s="626">
        <v>2639.3510066249387</v>
      </c>
      <c r="L6" s="626">
        <v>478.45840380602198</v>
      </c>
      <c r="M6" s="626">
        <v>1526.2612574720595</v>
      </c>
      <c r="N6" s="626">
        <v>36476.771976298973</v>
      </c>
      <c r="O6" s="626">
        <v>7711.9243984477907</v>
      </c>
      <c r="P6" s="626">
        <v>2319.5947926514714</v>
      </c>
      <c r="Q6" s="627">
        <v>48867.546721870698</v>
      </c>
      <c r="R6" s="626">
        <v>29948.652508537118</v>
      </c>
      <c r="S6" s="626">
        <v>1732.9885530463737</v>
      </c>
      <c r="T6" s="626">
        <v>22719.587725875757</v>
      </c>
      <c r="U6" s="626">
        <v>14073.566359461242</v>
      </c>
      <c r="V6" s="626">
        <v>14495.623106975099</v>
      </c>
      <c r="W6" s="626">
        <v>7664.3408477488683</v>
      </c>
    </row>
    <row r="7" spans="1:23" x14ac:dyDescent="0.2">
      <c r="A7" s="625" t="s">
        <v>9</v>
      </c>
      <c r="B7" s="626">
        <v>1254133.6988355995</v>
      </c>
      <c r="C7" s="626">
        <v>957781.780417601</v>
      </c>
      <c r="D7" s="626">
        <v>1508.9472060502751</v>
      </c>
      <c r="E7" s="626">
        <v>794.61273286934602</v>
      </c>
      <c r="F7" s="626">
        <v>478.80808920399983</v>
      </c>
      <c r="G7" s="626">
        <v>345.39839789298833</v>
      </c>
      <c r="H7" s="626">
        <v>20718.8904556128</v>
      </c>
      <c r="I7" s="626">
        <v>1079.4760592295972</v>
      </c>
      <c r="J7" s="626">
        <v>2083.2539431040586</v>
      </c>
      <c r="K7" s="626">
        <v>943.70798493509471</v>
      </c>
      <c r="L7" s="626">
        <v>175.52883288666229</v>
      </c>
      <c r="M7" s="626">
        <v>686.16595438478998</v>
      </c>
      <c r="N7" s="626">
        <v>9301.9591941408198</v>
      </c>
      <c r="O7" s="626">
        <v>3297.1024571138651</v>
      </c>
      <c r="P7" s="626">
        <v>1008.844686045383</v>
      </c>
      <c r="Q7" s="627">
        <v>123507.13968449288</v>
      </c>
      <c r="R7" s="626">
        <v>6494.7609751485397</v>
      </c>
      <c r="S7" s="626">
        <v>1905.7053669500028</v>
      </c>
      <c r="T7" s="626">
        <v>36071.134673308574</v>
      </c>
      <c r="U7" s="626">
        <v>86602.707156768403</v>
      </c>
      <c r="V7" s="626">
        <v>11701.781272974691</v>
      </c>
      <c r="W7" s="626">
        <v>23698.925523764439</v>
      </c>
    </row>
    <row r="8" spans="1:23" ht="13.5" customHeight="1" x14ac:dyDescent="0.2">
      <c r="A8" s="628" t="s">
        <v>10</v>
      </c>
      <c r="B8" s="629"/>
      <c r="C8" s="629"/>
      <c r="D8" s="510"/>
      <c r="E8" s="629"/>
      <c r="F8" s="629"/>
      <c r="G8" s="629"/>
      <c r="H8" s="510"/>
      <c r="I8" s="629"/>
      <c r="J8" s="629"/>
      <c r="K8" s="629"/>
      <c r="L8" s="629"/>
      <c r="M8" s="629"/>
      <c r="N8" s="629"/>
      <c r="O8" s="629"/>
      <c r="P8" s="629"/>
      <c r="Q8" s="630"/>
      <c r="R8" s="629"/>
      <c r="S8" s="629"/>
      <c r="T8" s="629"/>
      <c r="U8" s="629"/>
      <c r="V8" s="629"/>
      <c r="W8" s="629"/>
    </row>
    <row r="9" spans="1:23" x14ac:dyDescent="0.2">
      <c r="A9" s="625" t="s">
        <v>11</v>
      </c>
      <c r="B9" s="626">
        <v>231702.78647456371</v>
      </c>
      <c r="C9" s="626">
        <v>147879.63320640539</v>
      </c>
      <c r="D9" s="626">
        <v>1298.9896545034069</v>
      </c>
      <c r="E9" s="626">
        <v>143.61807751659987</v>
      </c>
      <c r="F9" s="626">
        <v>44.491418668519827</v>
      </c>
      <c r="G9" s="626">
        <v>37.871766296534794</v>
      </c>
      <c r="H9" s="626">
        <v>5411.158126035989</v>
      </c>
      <c r="I9" s="626">
        <v>536.1354575316069</v>
      </c>
      <c r="J9" s="626">
        <v>1317.10083153851</v>
      </c>
      <c r="K9" s="626">
        <v>546.7808985936822</v>
      </c>
      <c r="L9" s="626">
        <v>134.20718772899593</v>
      </c>
      <c r="M9" s="626">
        <v>242.03069593046794</v>
      </c>
      <c r="N9" s="626">
        <v>3855.7158810398469</v>
      </c>
      <c r="O9" s="626">
        <v>911.40715622602681</v>
      </c>
      <c r="P9" s="626">
        <v>616.25388734682952</v>
      </c>
      <c r="Q9" s="626">
        <v>49639.698500852413</v>
      </c>
      <c r="R9" s="626">
        <v>3594.0950478900868</v>
      </c>
      <c r="S9" s="626">
        <v>549.88750165047315</v>
      </c>
      <c r="T9" s="626">
        <v>23.091535463797644</v>
      </c>
      <c r="U9" s="626">
        <v>7995.8097124275273</v>
      </c>
      <c r="V9" s="626">
        <v>3752.2542395931214</v>
      </c>
      <c r="W9" s="626">
        <v>3172.5556915533671</v>
      </c>
    </row>
    <row r="10" spans="1:23" x14ac:dyDescent="0.2">
      <c r="A10" s="625" t="s">
        <v>44</v>
      </c>
      <c r="B10" s="626">
        <v>470833.34686359431</v>
      </c>
      <c r="C10" s="626">
        <v>338431.43368601089</v>
      </c>
      <c r="D10" s="626">
        <v>5185.26146751951</v>
      </c>
      <c r="E10" s="626">
        <v>359.86567800695155</v>
      </c>
      <c r="F10" s="626">
        <v>30.754962862965595</v>
      </c>
      <c r="G10" s="626">
        <v>54.890614167451936</v>
      </c>
      <c r="H10" s="626">
        <v>8452.737517961401</v>
      </c>
      <c r="I10" s="626">
        <v>2000.8960837271486</v>
      </c>
      <c r="J10" s="626">
        <v>2793.0341284770902</v>
      </c>
      <c r="K10" s="626">
        <v>1774.8657424884907</v>
      </c>
      <c r="L10" s="626">
        <v>383.27338376171667</v>
      </c>
      <c r="M10" s="626">
        <v>1309.8842603319142</v>
      </c>
      <c r="N10" s="626">
        <v>26080.868530936277</v>
      </c>
      <c r="O10" s="626">
        <v>4985.1746216462943</v>
      </c>
      <c r="P10" s="626">
        <v>1349.0091892416826</v>
      </c>
      <c r="Q10" s="626">
        <v>32635.624616490168</v>
      </c>
      <c r="R10" s="626">
        <v>19622.169805057161</v>
      </c>
      <c r="S10" s="626">
        <v>849.34250917352381</v>
      </c>
      <c r="T10" s="626">
        <v>108.45468267105024</v>
      </c>
      <c r="U10" s="626">
        <v>11221.921389671888</v>
      </c>
      <c r="V10" s="626">
        <v>8300.473195916984</v>
      </c>
      <c r="W10" s="626">
        <v>4903.4107981397656</v>
      </c>
    </row>
    <row r="11" spans="1:23" x14ac:dyDescent="0.2">
      <c r="A11" s="625" t="s">
        <v>17</v>
      </c>
      <c r="B11" s="626">
        <v>33663.469826630339</v>
      </c>
      <c r="C11" s="626">
        <v>10047.365066035061</v>
      </c>
      <c r="D11" s="626">
        <v>225.34616129092433</v>
      </c>
      <c r="E11" s="626">
        <v>2.272610642204175</v>
      </c>
      <c r="F11" s="930">
        <v>0</v>
      </c>
      <c r="G11" s="626">
        <v>6.0702065555817324</v>
      </c>
      <c r="H11" s="626">
        <v>108.40601842109548</v>
      </c>
      <c r="I11" s="626">
        <v>68.806024378145921</v>
      </c>
      <c r="J11" s="626">
        <v>7.9085458638061636</v>
      </c>
      <c r="K11" s="626">
        <v>58.526920978224211</v>
      </c>
      <c r="L11" s="626">
        <v>29.463674760331482</v>
      </c>
      <c r="M11" s="626">
        <v>23.972562415849726</v>
      </c>
      <c r="N11" s="626">
        <v>321.99211710848834</v>
      </c>
      <c r="O11" s="626">
        <v>86.816727116834912</v>
      </c>
      <c r="P11" s="626">
        <v>366.14812076554898</v>
      </c>
      <c r="Q11" s="626">
        <v>1274.0214977695682</v>
      </c>
      <c r="R11" s="626">
        <v>665.65977655608197</v>
      </c>
      <c r="S11" s="626">
        <v>6.2322163734793534</v>
      </c>
      <c r="T11" s="631">
        <v>0</v>
      </c>
      <c r="U11" s="626">
        <v>16358.283399575972</v>
      </c>
      <c r="V11" s="626">
        <v>199.87494087835</v>
      </c>
      <c r="W11" s="626">
        <v>3806.303239150609</v>
      </c>
    </row>
    <row r="12" spans="1:23" x14ac:dyDescent="0.2">
      <c r="A12" s="625" t="s">
        <v>18</v>
      </c>
      <c r="B12" s="626">
        <v>32985.357798566045</v>
      </c>
      <c r="C12" s="626">
        <v>16403.61108400816</v>
      </c>
      <c r="D12" s="626">
        <v>9.3847909797419575</v>
      </c>
      <c r="E12" s="626">
        <v>18.722239392838858</v>
      </c>
      <c r="F12" s="626">
        <v>10.208218537605283</v>
      </c>
      <c r="G12" s="626">
        <v>10.199024698055233</v>
      </c>
      <c r="H12" s="626">
        <v>231.77773464792108</v>
      </c>
      <c r="I12" s="626">
        <v>78.357397033342963</v>
      </c>
      <c r="J12" s="626">
        <v>73.508839927383846</v>
      </c>
      <c r="K12" s="626">
        <v>4.5452212844083499</v>
      </c>
      <c r="L12" s="626">
        <v>6.0322130189373047</v>
      </c>
      <c r="M12" s="626">
        <v>12.635636404406377</v>
      </c>
      <c r="N12" s="626">
        <v>481.79150946727253</v>
      </c>
      <c r="O12" s="626">
        <v>330.1066132999311</v>
      </c>
      <c r="P12" s="626">
        <v>19.337144434115871</v>
      </c>
      <c r="Q12" s="626">
        <v>5809.0988793944571</v>
      </c>
      <c r="R12" s="626">
        <v>688.56144380667172</v>
      </c>
      <c r="S12" s="631">
        <v>0</v>
      </c>
      <c r="T12" s="626">
        <v>2.0654046943614244</v>
      </c>
      <c r="U12" s="626">
        <v>5875.9172844327004</v>
      </c>
      <c r="V12" s="626">
        <v>1700.4835880979988</v>
      </c>
      <c r="W12" s="626">
        <v>1219.013531009615</v>
      </c>
    </row>
    <row r="13" spans="1:23" x14ac:dyDescent="0.2">
      <c r="A13" s="625" t="s">
        <v>19</v>
      </c>
      <c r="B13" s="626">
        <v>130525.77094685678</v>
      </c>
      <c r="C13" s="626">
        <v>81075.279889396334</v>
      </c>
      <c r="D13" s="626">
        <v>768.27522694228492</v>
      </c>
      <c r="E13" s="626">
        <v>46.737850787303259</v>
      </c>
      <c r="F13" s="626">
        <v>8.3048236611414801</v>
      </c>
      <c r="G13" s="626">
        <v>5.8630006077389814</v>
      </c>
      <c r="H13" s="626">
        <v>1478.412957830981</v>
      </c>
      <c r="I13" s="626">
        <v>99.480234614923205</v>
      </c>
      <c r="J13" s="626">
        <v>75.979854008959677</v>
      </c>
      <c r="K13" s="626">
        <v>11.783490169297643</v>
      </c>
      <c r="L13" s="626">
        <v>7.9375991416504554</v>
      </c>
      <c r="M13" s="626">
        <v>136.35616355118748</v>
      </c>
      <c r="N13" s="626">
        <v>2798.8528941931054</v>
      </c>
      <c r="O13" s="626">
        <v>2790.2004866920515</v>
      </c>
      <c r="P13" s="626">
        <v>154.99309545498693</v>
      </c>
      <c r="Q13" s="626">
        <v>4937.9733783931188</v>
      </c>
      <c r="R13" s="626">
        <v>3175.7422557163</v>
      </c>
      <c r="S13" s="626">
        <v>310.52577713661077</v>
      </c>
      <c r="T13" s="626">
        <v>4.3000217999211721</v>
      </c>
      <c r="U13" s="626">
        <v>24626.606329257698</v>
      </c>
      <c r="V13" s="626">
        <v>1180.7646311326653</v>
      </c>
      <c r="W13" s="626">
        <v>6831.4009862406256</v>
      </c>
    </row>
    <row r="14" spans="1:23" x14ac:dyDescent="0.2">
      <c r="A14" s="625" t="s">
        <v>21</v>
      </c>
      <c r="B14" s="626">
        <v>70728.529752558316</v>
      </c>
      <c r="C14" s="626">
        <v>45486.021470214218</v>
      </c>
      <c r="D14" s="626">
        <v>674.57928010174999</v>
      </c>
      <c r="E14" s="626">
        <v>51.169091461778322</v>
      </c>
      <c r="F14" s="626">
        <v>9.6011907671347583</v>
      </c>
      <c r="G14" s="626">
        <v>60.355431866021355</v>
      </c>
      <c r="H14" s="626">
        <v>5562.0575598161658</v>
      </c>
      <c r="I14" s="626">
        <v>155.30966429108517</v>
      </c>
      <c r="J14" s="626">
        <v>301.00335488917227</v>
      </c>
      <c r="K14" s="626">
        <v>122.33108331956717</v>
      </c>
      <c r="L14" s="626">
        <v>6.01434482689241</v>
      </c>
      <c r="M14" s="626">
        <v>77.811581291277975</v>
      </c>
      <c r="N14" s="626">
        <v>2368.9265819154084</v>
      </c>
      <c r="O14" s="626">
        <v>252.6581952321593</v>
      </c>
      <c r="P14" s="626">
        <v>25.584089918687081</v>
      </c>
      <c r="Q14" s="626">
        <v>6727.0959768098128</v>
      </c>
      <c r="R14" s="626">
        <v>1426.9367595012006</v>
      </c>
      <c r="S14" s="626">
        <v>505.97061187493324</v>
      </c>
      <c r="T14" s="631">
        <v>0</v>
      </c>
      <c r="U14" s="626">
        <v>3172.8261145932984</v>
      </c>
      <c r="V14" s="626">
        <v>2166.9368691754098</v>
      </c>
      <c r="W14" s="626">
        <v>1575.340500676725</v>
      </c>
    </row>
    <row r="15" spans="1:23" x14ac:dyDescent="0.2">
      <c r="A15" s="625" t="s">
        <v>22</v>
      </c>
      <c r="B15" s="626">
        <v>130243.73289839533</v>
      </c>
      <c r="C15" s="626">
        <v>77341.923851674321</v>
      </c>
      <c r="D15" s="626">
        <v>1492.1772346705379</v>
      </c>
      <c r="E15" s="626">
        <v>195.81305806562588</v>
      </c>
      <c r="F15" s="626">
        <v>247.36627999296758</v>
      </c>
      <c r="G15" s="626">
        <v>118.19290535040442</v>
      </c>
      <c r="H15" s="626">
        <v>4397.6105496288938</v>
      </c>
      <c r="I15" s="626">
        <v>428.89424110611071</v>
      </c>
      <c r="J15" s="626">
        <v>904.62510957089785</v>
      </c>
      <c r="K15" s="626">
        <v>518.42932820912267</v>
      </c>
      <c r="L15" s="626">
        <v>24.474717281521905</v>
      </c>
      <c r="M15" s="626">
        <v>188.754891367494</v>
      </c>
      <c r="N15" s="626">
        <v>5814.0281030785281</v>
      </c>
      <c r="O15" s="626">
        <v>1029.1666033911881</v>
      </c>
      <c r="P15" s="626">
        <v>133.4925509764827</v>
      </c>
      <c r="Q15" s="626">
        <v>22646.106560097352</v>
      </c>
      <c r="R15" s="626">
        <v>4289.9663022790264</v>
      </c>
      <c r="S15" s="626">
        <v>130.00338111522979</v>
      </c>
      <c r="T15" s="626">
        <v>48.88204082240086</v>
      </c>
      <c r="U15" s="626">
        <v>4401.7244767729044</v>
      </c>
      <c r="V15" s="626">
        <v>3942.0612132841925</v>
      </c>
      <c r="W15" s="626">
        <v>1950.0394995515001</v>
      </c>
    </row>
    <row r="16" spans="1:23" x14ac:dyDescent="0.2">
      <c r="A16" s="625" t="s">
        <v>23</v>
      </c>
      <c r="B16" s="626">
        <v>169044.38453820234</v>
      </c>
      <c r="C16" s="626">
        <v>159489.52831832561</v>
      </c>
      <c r="D16" s="626">
        <v>8.0904151199980276</v>
      </c>
      <c r="E16" s="626">
        <v>80.056228678105882</v>
      </c>
      <c r="F16" s="626">
        <v>5.8630006077389814</v>
      </c>
      <c r="G16" s="626">
        <v>9.0607713439467172</v>
      </c>
      <c r="H16" s="626">
        <v>323.83220185345169</v>
      </c>
      <c r="I16" s="626">
        <v>26.963998731990316</v>
      </c>
      <c r="J16" s="626">
        <v>22.535320114663026</v>
      </c>
      <c r="K16" s="626">
        <v>8.1448050894932056</v>
      </c>
      <c r="L16" s="631">
        <v>0</v>
      </c>
      <c r="M16" s="626">
        <v>10.663105007234021</v>
      </c>
      <c r="N16" s="626">
        <v>368.44914694274598</v>
      </c>
      <c r="O16" s="626">
        <v>30.883267639651319</v>
      </c>
      <c r="P16" s="626">
        <v>8.6760306731311978</v>
      </c>
      <c r="Q16" s="140">
        <v>3269.7588582565104</v>
      </c>
      <c r="R16" s="140">
        <v>79.774968885038462</v>
      </c>
      <c r="S16" s="140">
        <v>2.2346171055597472</v>
      </c>
      <c r="T16" s="619">
        <v>0</v>
      </c>
      <c r="U16" s="140">
        <v>4027.2621808628865</v>
      </c>
      <c r="V16" s="140">
        <v>144.07757510186002</v>
      </c>
      <c r="W16" s="140">
        <v>1128.52972788901</v>
      </c>
    </row>
    <row r="17" spans="1:23" x14ac:dyDescent="0.2">
      <c r="A17" s="625" t="s">
        <v>25</v>
      </c>
      <c r="B17" s="626">
        <v>17787.905226950781</v>
      </c>
      <c r="C17" s="626">
        <v>16294.488220993095</v>
      </c>
      <c r="D17" s="626">
        <v>2.0654046943614244</v>
      </c>
      <c r="E17" s="631">
        <v>0</v>
      </c>
      <c r="F17" s="631">
        <v>0</v>
      </c>
      <c r="G17" s="631">
        <v>0</v>
      </c>
      <c r="H17" s="626">
        <v>483.74062778594759</v>
      </c>
      <c r="I17" s="626">
        <v>2.0654046943614244</v>
      </c>
      <c r="J17" s="626">
        <v>13.504934769720617</v>
      </c>
      <c r="K17" s="631">
        <v>0</v>
      </c>
      <c r="L17" s="631">
        <v>0</v>
      </c>
      <c r="M17" s="631">
        <v>0</v>
      </c>
      <c r="N17" s="626">
        <v>11.924013323770662</v>
      </c>
      <c r="O17" s="631">
        <v>0</v>
      </c>
      <c r="P17" s="626">
        <v>7.4454748327320441</v>
      </c>
      <c r="Q17" s="140">
        <v>326.38033223770367</v>
      </c>
      <c r="R17" s="140">
        <v>1.9033948764638036</v>
      </c>
      <c r="S17" s="140">
        <v>2.2346171055597472</v>
      </c>
      <c r="T17" s="619">
        <v>0</v>
      </c>
      <c r="U17" s="140">
        <v>418.47199148807522</v>
      </c>
      <c r="V17" s="140">
        <v>103.01590993328847</v>
      </c>
      <c r="W17" s="140">
        <v>120.66490021641495</v>
      </c>
    </row>
    <row r="18" spans="1:23" x14ac:dyDescent="0.2">
      <c r="A18" s="625" t="s">
        <v>26</v>
      </c>
      <c r="B18" s="626">
        <v>7406.5458085997097</v>
      </c>
      <c r="C18" s="626">
        <v>4291.8517033537037</v>
      </c>
      <c r="D18" s="626">
        <v>6.4034200309270233</v>
      </c>
      <c r="E18" s="631">
        <v>0</v>
      </c>
      <c r="F18" s="631">
        <v>0</v>
      </c>
      <c r="G18" s="631">
        <v>0</v>
      </c>
      <c r="H18" s="626">
        <v>1604.574088944632</v>
      </c>
      <c r="I18" s="626">
        <v>4.5452212844083499</v>
      </c>
      <c r="J18" s="626">
        <v>37.58036140399782</v>
      </c>
      <c r="K18" s="631">
        <v>0</v>
      </c>
      <c r="L18" s="631">
        <v>0</v>
      </c>
      <c r="M18" s="631">
        <v>0</v>
      </c>
      <c r="N18" s="626">
        <v>23.658844357679683</v>
      </c>
      <c r="O18" s="631">
        <v>0</v>
      </c>
      <c r="P18" s="626">
        <v>1.4691235424840605</v>
      </c>
      <c r="Q18" s="140">
        <v>266.89669637124092</v>
      </c>
      <c r="R18" s="140">
        <v>14.28316619763881</v>
      </c>
      <c r="S18" s="140">
        <v>1021.3144823417817</v>
      </c>
      <c r="T18" s="619">
        <v>0</v>
      </c>
      <c r="U18" s="140">
        <v>32.885533565935468</v>
      </c>
      <c r="V18" s="140">
        <v>90.109807145379591</v>
      </c>
      <c r="W18" s="140">
        <v>10.973360059960569</v>
      </c>
    </row>
    <row r="19" spans="1:23" x14ac:dyDescent="0.2">
      <c r="A19" s="625" t="s">
        <v>27</v>
      </c>
      <c r="B19" s="626">
        <v>37495.010568085054</v>
      </c>
      <c r="C19" s="626">
        <v>35714.849511439716</v>
      </c>
      <c r="D19" s="626">
        <v>9.5955409528771671</v>
      </c>
      <c r="E19" s="626">
        <v>24.036146224894953</v>
      </c>
      <c r="F19" s="626">
        <v>1.9033948764638036</v>
      </c>
      <c r="G19" s="631">
        <v>0</v>
      </c>
      <c r="H19" s="626">
        <v>150.80584683233448</v>
      </c>
      <c r="I19" s="626">
        <v>13.524794208014857</v>
      </c>
      <c r="J19" s="626">
        <v>12.991577378127518</v>
      </c>
      <c r="K19" s="626">
        <v>13.913950431898439</v>
      </c>
      <c r="L19" s="626">
        <v>7.5301362585157428</v>
      </c>
      <c r="M19" s="626">
        <v>7.179308171875471</v>
      </c>
      <c r="N19" s="626">
        <v>21.878358024393926</v>
      </c>
      <c r="O19" s="626">
        <v>2.2346171055597472</v>
      </c>
      <c r="P19" s="626">
        <v>8.638037136486771</v>
      </c>
      <c r="Q19" s="140">
        <v>311.45529596796848</v>
      </c>
      <c r="R19" s="140">
        <v>32.712858149293659</v>
      </c>
      <c r="S19" s="619">
        <v>0</v>
      </c>
      <c r="T19" s="619">
        <v>0</v>
      </c>
      <c r="U19" s="140">
        <v>856.15217246410941</v>
      </c>
      <c r="V19" s="140">
        <v>8.9525919118605515</v>
      </c>
      <c r="W19" s="140">
        <v>296.65643055096217</v>
      </c>
    </row>
    <row r="20" spans="1:23" x14ac:dyDescent="0.2">
      <c r="A20" s="625" t="s">
        <v>28</v>
      </c>
      <c r="B20" s="626">
        <v>93839.840533490817</v>
      </c>
      <c r="C20" s="626">
        <v>74816.502927359979</v>
      </c>
      <c r="D20" s="626">
        <v>52.16229027792491</v>
      </c>
      <c r="E20" s="626">
        <v>38.845937566647372</v>
      </c>
      <c r="F20" s="626">
        <v>5.8630006077389814</v>
      </c>
      <c r="G20" s="626">
        <v>9.4067226841345164</v>
      </c>
      <c r="H20" s="626">
        <v>2001.3435238118782</v>
      </c>
      <c r="I20" s="626">
        <v>17.021409928064884</v>
      </c>
      <c r="J20" s="626">
        <v>126.81659430625547</v>
      </c>
      <c r="K20" s="626">
        <v>21.685124202583211</v>
      </c>
      <c r="L20" s="626">
        <v>4.1308093887228488</v>
      </c>
      <c r="M20" s="626">
        <v>9.2355190266868448</v>
      </c>
      <c r="N20" s="626">
        <v>146.45729836129701</v>
      </c>
      <c r="O20" s="626">
        <v>30.574248135819367</v>
      </c>
      <c r="P20" s="626">
        <v>56.842712929385854</v>
      </c>
      <c r="Q20" s="140">
        <v>10539.208662932919</v>
      </c>
      <c r="R20" s="140">
        <v>257.62109036108507</v>
      </c>
      <c r="S20" s="140">
        <v>155.41774680776581</v>
      </c>
      <c r="T20" s="619">
        <v>0</v>
      </c>
      <c r="U20" s="140">
        <v>4592.2527525140013</v>
      </c>
      <c r="V20" s="140">
        <v>445.29470283891806</v>
      </c>
      <c r="W20" s="140">
        <v>513.15745938817531</v>
      </c>
    </row>
    <row r="21" spans="1:23" x14ac:dyDescent="0.2">
      <c r="A21" s="625" t="s">
        <v>29</v>
      </c>
      <c r="B21" s="626">
        <v>184059.30266742661</v>
      </c>
      <c r="C21" s="626">
        <v>140399.3572265039</v>
      </c>
      <c r="D21" s="626">
        <v>289.39108693148268</v>
      </c>
      <c r="E21" s="626">
        <v>88.274354917132783</v>
      </c>
      <c r="F21" s="626">
        <v>43.689570774328658</v>
      </c>
      <c r="G21" s="626">
        <v>24.403624325135894</v>
      </c>
      <c r="H21" s="626">
        <v>1355.0312486939522</v>
      </c>
      <c r="I21" s="626">
        <v>225.48509349003442</v>
      </c>
      <c r="J21" s="626">
        <v>665.7868074661701</v>
      </c>
      <c r="K21" s="626">
        <v>131.54512718552971</v>
      </c>
      <c r="L21" s="626">
        <v>10.331882778138077</v>
      </c>
      <c r="M21" s="626">
        <v>97.863466344514421</v>
      </c>
      <c r="N21" s="626">
        <v>2091.6919365056292</v>
      </c>
      <c r="O21" s="626">
        <v>185.85933431603425</v>
      </c>
      <c r="P21" s="626">
        <v>425.01274953814993</v>
      </c>
      <c r="Q21" s="140">
        <v>16878.350938582036</v>
      </c>
      <c r="R21" s="140">
        <v>1132.4832264090289</v>
      </c>
      <c r="S21" s="140">
        <v>46.177732506323331</v>
      </c>
      <c r="T21" s="619">
        <v>0</v>
      </c>
      <c r="U21" s="140">
        <v>13785.491224891239</v>
      </c>
      <c r="V21" s="140">
        <v>1398.8703955726241</v>
      </c>
      <c r="W21" s="140">
        <v>4784.205639815963</v>
      </c>
    </row>
    <row r="22" spans="1:23" x14ac:dyDescent="0.2">
      <c r="A22" s="625" t="s">
        <v>31</v>
      </c>
      <c r="B22" s="626">
        <v>78360.803447282495</v>
      </c>
      <c r="C22" s="626">
        <v>45190.168336284631</v>
      </c>
      <c r="D22" s="626">
        <v>504.71906735002062</v>
      </c>
      <c r="E22" s="626">
        <v>174.19604000835923</v>
      </c>
      <c r="F22" s="626">
        <v>118.35788591128097</v>
      </c>
      <c r="G22" s="626">
        <v>117.23796899779865</v>
      </c>
      <c r="H22" s="626">
        <v>3442.3683786741558</v>
      </c>
      <c r="I22" s="626">
        <v>199.58476328179617</v>
      </c>
      <c r="J22" s="626">
        <v>425.26357830471608</v>
      </c>
      <c r="K22" s="626">
        <v>370.50729960775499</v>
      </c>
      <c r="L22" s="626">
        <v>40.591287747261887</v>
      </c>
      <c r="M22" s="626">
        <v>96.040022013940828</v>
      </c>
      <c r="N22" s="626">
        <v>1392.4959551868965</v>
      </c>
      <c r="O22" s="626">
        <v>373.94498476008374</v>
      </c>
      <c r="P22" s="626">
        <v>155.53727190615371</v>
      </c>
      <c r="Q22" s="140">
        <v>17113.016212090086</v>
      </c>
      <c r="R22" s="140">
        <v>1461.5033880035505</v>
      </c>
      <c r="S22" s="140">
        <v>59.352726805119694</v>
      </c>
      <c r="T22" s="619">
        <v>0</v>
      </c>
      <c r="U22" s="140">
        <v>3310.6689536621034</v>
      </c>
      <c r="V22" s="140">
        <v>2764.2347193755027</v>
      </c>
      <c r="W22" s="140">
        <v>1051.0146072720124</v>
      </c>
    </row>
    <row r="26" spans="1:23" x14ac:dyDescent="0.2">
      <c r="C26" s="929"/>
    </row>
    <row r="27" spans="1:23" x14ac:dyDescent="0.2">
      <c r="C27" s="929"/>
    </row>
  </sheetData>
  <mergeCells count="1">
    <mergeCell ref="A1:W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ABD00"/>
  </sheetPr>
  <dimension ref="A1"/>
  <sheetViews>
    <sheetView workbookViewId="0">
      <selection activeCell="O10" sqref="O10"/>
    </sheetView>
  </sheetViews>
  <sheetFormatPr defaultRowHeight="15" x14ac:dyDescent="0.25"/>
  <cols>
    <col min="1" max="16384" width="9.140625" style="1"/>
  </cols>
  <sheetData>
    <row r="1" spans="1:1" x14ac:dyDescent="0.25">
      <c r="A1" s="2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2"/>
  <sheetViews>
    <sheetView workbookViewId="0">
      <selection activeCell="A2" sqref="A2:A3"/>
    </sheetView>
  </sheetViews>
  <sheetFormatPr defaultRowHeight="12" x14ac:dyDescent="0.2"/>
  <cols>
    <col min="1" max="1" width="17" style="575" customWidth="1"/>
    <col min="2" max="4" width="12.85546875" style="575" bestFit="1" customWidth="1"/>
    <col min="5" max="5" width="9.140625" style="575"/>
    <col min="6" max="8" width="12.85546875" style="575" bestFit="1" customWidth="1"/>
    <col min="9" max="9" width="9.140625" style="575"/>
    <col min="10" max="13" width="9.42578125" style="575" bestFit="1" customWidth="1"/>
    <col min="14" max="16384" width="9.140625" style="575"/>
  </cols>
  <sheetData>
    <row r="1" spans="1:13" x14ac:dyDescent="0.2">
      <c r="A1" s="722" t="s">
        <v>267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</row>
    <row r="2" spans="1:13" ht="12" customHeight="1" x14ac:dyDescent="0.2">
      <c r="A2" s="715" t="str">
        <f>'Q5.1'!$A$2</f>
        <v>Área de residência, município e comuna</v>
      </c>
      <c r="B2" s="699" t="s">
        <v>268</v>
      </c>
      <c r="C2" s="699"/>
      <c r="D2" s="699"/>
      <c r="E2" s="470"/>
      <c r="F2" s="699" t="s">
        <v>269</v>
      </c>
      <c r="G2" s="699"/>
      <c r="H2" s="699"/>
      <c r="I2" s="470"/>
      <c r="J2" s="723" t="s">
        <v>270</v>
      </c>
      <c r="K2" s="723"/>
      <c r="L2" s="723"/>
      <c r="M2" s="702" t="s">
        <v>271</v>
      </c>
    </row>
    <row r="3" spans="1:13" ht="21" customHeight="1" thickBot="1" x14ac:dyDescent="0.25">
      <c r="A3" s="716"/>
      <c r="B3" s="162" t="s">
        <v>2</v>
      </c>
      <c r="C3" s="162" t="s">
        <v>3</v>
      </c>
      <c r="D3" s="162" t="s">
        <v>4</v>
      </c>
      <c r="E3" s="476"/>
      <c r="F3" s="162" t="s">
        <v>2</v>
      </c>
      <c r="G3" s="162" t="s">
        <v>3</v>
      </c>
      <c r="H3" s="162" t="s">
        <v>4</v>
      </c>
      <c r="I3" s="144"/>
      <c r="J3" s="162" t="s">
        <v>2</v>
      </c>
      <c r="K3" s="162" t="s">
        <v>3</v>
      </c>
      <c r="L3" s="162" t="s">
        <v>4</v>
      </c>
      <c r="M3" s="703"/>
    </row>
    <row r="4" spans="1:13" x14ac:dyDescent="0.2">
      <c r="A4" s="145" t="s">
        <v>32</v>
      </c>
      <c r="B4" s="227">
        <v>948849.04062186973</v>
      </c>
      <c r="C4" s="227">
        <v>437700.80578723864</v>
      </c>
      <c r="D4" s="227">
        <v>511148.23482455709</v>
      </c>
      <c r="E4" s="227"/>
      <c r="F4" s="227">
        <v>519089.82026820781</v>
      </c>
      <c r="G4" s="227">
        <v>254508.06082795397</v>
      </c>
      <c r="H4" s="227">
        <v>264581.75944061158</v>
      </c>
      <c r="I4" s="227"/>
      <c r="J4" s="514">
        <v>54.707313602913679</v>
      </c>
      <c r="K4" s="514">
        <v>58.146582657264453</v>
      </c>
      <c r="L4" s="514">
        <v>51.762236747640124</v>
      </c>
      <c r="M4" s="397">
        <v>0.89020256018731458</v>
      </c>
    </row>
    <row r="5" spans="1:13" x14ac:dyDescent="0.2">
      <c r="A5" s="147"/>
      <c r="B5" s="211"/>
      <c r="C5" s="211"/>
      <c r="D5" s="211"/>
      <c r="E5" s="211"/>
      <c r="F5" s="211"/>
      <c r="G5" s="211"/>
      <c r="H5" s="211"/>
      <c r="I5" s="211"/>
      <c r="J5" s="515"/>
      <c r="K5" s="515"/>
      <c r="L5" s="515"/>
      <c r="M5" s="386"/>
    </row>
    <row r="6" spans="1:13" x14ac:dyDescent="0.2">
      <c r="A6" s="226" t="s">
        <v>167</v>
      </c>
      <c r="B6" s="227"/>
      <c r="C6" s="227"/>
      <c r="D6" s="227"/>
      <c r="E6" s="227"/>
      <c r="F6" s="227"/>
      <c r="G6" s="227"/>
      <c r="H6" s="227"/>
      <c r="I6" s="227"/>
      <c r="J6" s="514"/>
      <c r="K6" s="514"/>
      <c r="L6" s="514"/>
      <c r="M6" s="397"/>
    </row>
    <row r="7" spans="1:13" x14ac:dyDescent="0.2">
      <c r="A7" s="228" t="s">
        <v>8</v>
      </c>
      <c r="B7" s="210">
        <v>264765.16724986205</v>
      </c>
      <c r="C7" s="210">
        <v>122443.86583593366</v>
      </c>
      <c r="D7" s="210">
        <v>142321.30141436684</v>
      </c>
      <c r="E7" s="210"/>
      <c r="F7" s="210">
        <v>231782.46841380897</v>
      </c>
      <c r="G7" s="210">
        <v>111167.74343576937</v>
      </c>
      <c r="H7" s="210">
        <v>120614.72497843402</v>
      </c>
      <c r="I7" s="210"/>
      <c r="J7" s="513">
        <v>87.542659339150561</v>
      </c>
      <c r="K7" s="513">
        <v>90.790782107964375</v>
      </c>
      <c r="L7" s="513">
        <v>84.748188626496415</v>
      </c>
      <c r="M7" s="387">
        <v>0.93344485705297287</v>
      </c>
    </row>
    <row r="8" spans="1:13" x14ac:dyDescent="0.2">
      <c r="A8" s="228" t="s">
        <v>9</v>
      </c>
      <c r="B8" s="210">
        <v>684083.87336592725</v>
      </c>
      <c r="C8" s="210">
        <v>315256.93995169475</v>
      </c>
      <c r="D8" s="210">
        <v>368826.93341061892</v>
      </c>
      <c r="E8" s="210"/>
      <c r="F8" s="210">
        <v>287307.35185475857</v>
      </c>
      <c r="G8" s="210">
        <v>143340.3173926021</v>
      </c>
      <c r="H8" s="210">
        <v>143967.034462576</v>
      </c>
      <c r="I8" s="210"/>
      <c r="J8" s="513">
        <v>41.998848831492964</v>
      </c>
      <c r="K8" s="513">
        <v>45.467775400745602</v>
      </c>
      <c r="L8" s="513">
        <v>39.033763920436982</v>
      </c>
      <c r="M8" s="387">
        <v>0.85849293431226215</v>
      </c>
    </row>
    <row r="9" spans="1:13" x14ac:dyDescent="0.2">
      <c r="A9" s="145" t="s">
        <v>360</v>
      </c>
      <c r="B9" s="227"/>
      <c r="C9" s="227"/>
      <c r="D9" s="227"/>
      <c r="E9" s="227"/>
      <c r="F9" s="227"/>
      <c r="G9" s="227"/>
      <c r="H9" s="227"/>
      <c r="I9" s="227"/>
      <c r="J9" s="514"/>
      <c r="K9" s="514"/>
      <c r="L9" s="514"/>
      <c r="M9" s="397"/>
    </row>
    <row r="10" spans="1:13" x14ac:dyDescent="0.2">
      <c r="A10" s="193" t="s">
        <v>11</v>
      </c>
      <c r="B10" s="211">
        <v>127913.96447112967</v>
      </c>
      <c r="C10" s="211">
        <v>56998.023541851398</v>
      </c>
      <c r="D10" s="211">
        <v>70915.940929263088</v>
      </c>
      <c r="E10" s="211"/>
      <c r="F10" s="211">
        <v>78901.886128140322</v>
      </c>
      <c r="G10" s="211">
        <v>37087.261083247729</v>
      </c>
      <c r="H10" s="211">
        <v>41814.625044878769</v>
      </c>
      <c r="I10" s="211"/>
      <c r="J10" s="515">
        <v>61.683559300459336</v>
      </c>
      <c r="K10" s="515">
        <v>65.067626522191205</v>
      </c>
      <c r="L10" s="515">
        <v>58.963646955738952</v>
      </c>
      <c r="M10" s="386">
        <v>0.90619022250073156</v>
      </c>
    </row>
    <row r="11" spans="1:13" x14ac:dyDescent="0.2">
      <c r="A11" s="924" t="s">
        <v>12</v>
      </c>
      <c r="B11" s="210">
        <v>77893.512276594454</v>
      </c>
      <c r="C11" s="210">
        <v>35183.794943060071</v>
      </c>
      <c r="D11" s="210">
        <v>42709.717333521519</v>
      </c>
      <c r="E11" s="210"/>
      <c r="F11" s="210">
        <v>47473.906887150079</v>
      </c>
      <c r="G11" s="210">
        <v>22806.514022141269</v>
      </c>
      <c r="H11" s="210">
        <v>24667.392865005564</v>
      </c>
      <c r="I11" s="210"/>
      <c r="J11" s="513">
        <v>60.947189951535663</v>
      </c>
      <c r="K11" s="513">
        <v>64.821074756294962</v>
      </c>
      <c r="L11" s="513">
        <v>57.755926297468157</v>
      </c>
      <c r="M11" s="387">
        <v>0.89100537926300449</v>
      </c>
    </row>
    <row r="12" spans="1:13" x14ac:dyDescent="0.2">
      <c r="A12" s="924" t="s">
        <v>13</v>
      </c>
      <c r="B12" s="210">
        <v>50020.452194524827</v>
      </c>
      <c r="C12" s="210">
        <v>21814.228598788217</v>
      </c>
      <c r="D12" s="210">
        <v>28206.223595734496</v>
      </c>
      <c r="E12" s="210"/>
      <c r="F12" s="210">
        <v>31427.979240976372</v>
      </c>
      <c r="G12" s="210">
        <v>14280.747061104366</v>
      </c>
      <c r="H12" s="210">
        <v>17147.232179870527</v>
      </c>
      <c r="I12" s="210"/>
      <c r="J12" s="513">
        <v>62.830258148713447</v>
      </c>
      <c r="K12" s="513">
        <v>65.465285634250236</v>
      </c>
      <c r="L12" s="513">
        <v>60.792371306538989</v>
      </c>
      <c r="M12" s="387">
        <v>0.92861996579655237</v>
      </c>
    </row>
    <row r="13" spans="1:13" x14ac:dyDescent="0.2">
      <c r="A13" s="193" t="s">
        <v>44</v>
      </c>
      <c r="B13" s="211">
        <v>280886.54186924727</v>
      </c>
      <c r="C13" s="211">
        <v>130398.81634395696</v>
      </c>
      <c r="D13" s="211">
        <v>150487.72552574344</v>
      </c>
      <c r="E13" s="211"/>
      <c r="F13" s="211">
        <v>212764.41786049496</v>
      </c>
      <c r="G13" s="211">
        <v>102198.38768771908</v>
      </c>
      <c r="H13" s="211">
        <v>110566.03017311958</v>
      </c>
      <c r="I13" s="211"/>
      <c r="J13" s="515">
        <v>75.74745890099247</v>
      </c>
      <c r="K13" s="515">
        <v>78.373708100279927</v>
      </c>
      <c r="L13" s="515">
        <v>73.471792989596878</v>
      </c>
      <c r="M13" s="386">
        <v>0.93745459760037131</v>
      </c>
    </row>
    <row r="14" spans="1:13" x14ac:dyDescent="0.2">
      <c r="A14" s="924" t="s">
        <v>15</v>
      </c>
      <c r="B14" s="210">
        <v>229407.00339609914</v>
      </c>
      <c r="C14" s="210">
        <v>106466.20245400087</v>
      </c>
      <c r="D14" s="210">
        <v>122940.80094249239</v>
      </c>
      <c r="E14" s="210"/>
      <c r="F14" s="210">
        <v>187857.93949982966</v>
      </c>
      <c r="G14" s="210">
        <v>89851.13352173497</v>
      </c>
      <c r="H14" s="210">
        <v>98006.805978356133</v>
      </c>
      <c r="I14" s="210"/>
      <c r="J14" s="513">
        <v>81.888493689801635</v>
      </c>
      <c r="K14" s="513">
        <v>84.394043791025538</v>
      </c>
      <c r="L14" s="513">
        <v>79.718698127019124</v>
      </c>
      <c r="M14" s="387">
        <v>0.94460099962050181</v>
      </c>
    </row>
    <row r="15" spans="1:13" x14ac:dyDescent="0.2">
      <c r="A15" s="924" t="s">
        <v>16</v>
      </c>
      <c r="B15" s="210">
        <v>51479.538473293775</v>
      </c>
      <c r="C15" s="210">
        <v>23932.613889949924</v>
      </c>
      <c r="D15" s="210">
        <v>27546.92458334093</v>
      </c>
      <c r="E15" s="210"/>
      <c r="F15" s="210">
        <v>24906.478360736455</v>
      </c>
      <c r="G15" s="210">
        <v>12347.254165977884</v>
      </c>
      <c r="H15" s="210">
        <v>12559.22419475881</v>
      </c>
      <c r="I15" s="210"/>
      <c r="J15" s="513">
        <v>48.381316343109624</v>
      </c>
      <c r="K15" s="513">
        <v>51.591749328990197</v>
      </c>
      <c r="L15" s="513">
        <v>45.592110134698189</v>
      </c>
      <c r="M15" s="387">
        <v>0.88370932809365477</v>
      </c>
    </row>
    <row r="16" spans="1:13" x14ac:dyDescent="0.2">
      <c r="A16" s="193" t="s">
        <v>17</v>
      </c>
      <c r="B16" s="211">
        <v>17571.679296527</v>
      </c>
      <c r="C16" s="211">
        <v>8119.3206151501608</v>
      </c>
      <c r="D16" s="211">
        <v>9452.3586813781039</v>
      </c>
      <c r="E16" s="211"/>
      <c r="F16" s="211">
        <v>5429.487647399028</v>
      </c>
      <c r="G16" s="211">
        <v>3020.8954325072282</v>
      </c>
      <c r="H16" s="211">
        <v>2408.5922148915715</v>
      </c>
      <c r="I16" s="211"/>
      <c r="J16" s="515">
        <v>30.89908230041501</v>
      </c>
      <c r="K16" s="515">
        <v>37.206258696946492</v>
      </c>
      <c r="L16" s="515">
        <v>25.481388255364632</v>
      </c>
      <c r="M16" s="386">
        <v>0.68486832989353708</v>
      </c>
    </row>
    <row r="17" spans="1:17" x14ac:dyDescent="0.2">
      <c r="A17" s="924" t="s">
        <v>17</v>
      </c>
      <c r="B17" s="210">
        <v>17571.679296527</v>
      </c>
      <c r="C17" s="210">
        <v>8119.3206151501608</v>
      </c>
      <c r="D17" s="210">
        <v>9452.3586813781039</v>
      </c>
      <c r="E17" s="210"/>
      <c r="F17" s="210">
        <v>5429.487647399028</v>
      </c>
      <c r="G17" s="210">
        <v>3020.8954325072282</v>
      </c>
      <c r="H17" s="210">
        <v>2408.5922148915715</v>
      </c>
      <c r="I17" s="210"/>
      <c r="J17" s="513">
        <v>30.89908230041501</v>
      </c>
      <c r="K17" s="513">
        <v>37.206258696946492</v>
      </c>
      <c r="L17" s="513">
        <v>25.481388255364632</v>
      </c>
      <c r="M17" s="387">
        <v>0.68486832989353708</v>
      </c>
    </row>
    <row r="18" spans="1:17" x14ac:dyDescent="0.2">
      <c r="A18" s="193" t="s">
        <v>18</v>
      </c>
      <c r="B18" s="211">
        <v>18182.22076286524</v>
      </c>
      <c r="C18" s="211">
        <v>9010.3074662507152</v>
      </c>
      <c r="D18" s="211">
        <v>9171.9132966155703</v>
      </c>
      <c r="E18" s="211"/>
      <c r="F18" s="211">
        <v>3158.582930832968</v>
      </c>
      <c r="G18" s="211">
        <v>1858.6670451170603</v>
      </c>
      <c r="H18" s="211">
        <v>1299.9158857159491</v>
      </c>
      <c r="I18" s="211"/>
      <c r="J18" s="515">
        <v>17.371821473447255</v>
      </c>
      <c r="K18" s="515">
        <v>20.628231079560315</v>
      </c>
      <c r="L18" s="515">
        <v>14.172788639373859</v>
      </c>
      <c r="M18" s="386">
        <v>0.68705787639819038</v>
      </c>
    </row>
    <row r="19" spans="1:17" x14ac:dyDescent="0.2">
      <c r="A19" s="924" t="s">
        <v>18</v>
      </c>
      <c r="B19" s="210">
        <v>18182.22076286524</v>
      </c>
      <c r="C19" s="210">
        <v>9010.3074662507152</v>
      </c>
      <c r="D19" s="210">
        <v>9171.9132966155703</v>
      </c>
      <c r="E19" s="210"/>
      <c r="F19" s="210">
        <v>3158.582930832968</v>
      </c>
      <c r="G19" s="210">
        <v>1858.6670451170603</v>
      </c>
      <c r="H19" s="210">
        <v>1299.9158857159491</v>
      </c>
      <c r="I19" s="210"/>
      <c r="J19" s="513">
        <v>17.371821473447255</v>
      </c>
      <c r="K19" s="513">
        <v>20.628231079560315</v>
      </c>
      <c r="L19" s="513">
        <v>14.172788639373859</v>
      </c>
      <c r="M19" s="387">
        <v>0.68705787639819038</v>
      </c>
    </row>
    <row r="20" spans="1:17" x14ac:dyDescent="0.2">
      <c r="A20" s="193" t="s">
        <v>19</v>
      </c>
      <c r="B20" s="211">
        <v>65497.468847684817</v>
      </c>
      <c r="C20" s="211">
        <v>29714.360582611604</v>
      </c>
      <c r="D20" s="211">
        <v>35783.108265069735</v>
      </c>
      <c r="E20" s="211"/>
      <c r="F20" s="211">
        <v>22874.635926913659</v>
      </c>
      <c r="G20" s="211">
        <v>12261.397333970453</v>
      </c>
      <c r="H20" s="211">
        <v>10613.238592944577</v>
      </c>
      <c r="I20" s="211"/>
      <c r="J20" s="515">
        <v>34.924457890290569</v>
      </c>
      <c r="K20" s="515">
        <v>41.264213981255629</v>
      </c>
      <c r="L20" s="515">
        <v>29.659912476929964</v>
      </c>
      <c r="M20" s="386">
        <v>0.71878050289296802</v>
      </c>
    </row>
    <row r="21" spans="1:17" x14ac:dyDescent="0.2">
      <c r="A21" s="924" t="s">
        <v>19</v>
      </c>
      <c r="B21" s="210">
        <v>39610.229223386865</v>
      </c>
      <c r="C21" s="210">
        <v>17993.21824832146</v>
      </c>
      <c r="D21" s="210">
        <v>21617.010975062694</v>
      </c>
      <c r="E21" s="210"/>
      <c r="F21" s="210">
        <v>18733.040266224074</v>
      </c>
      <c r="G21" s="210">
        <v>9807.4565333560495</v>
      </c>
      <c r="H21" s="210">
        <v>8925.5837328698362</v>
      </c>
      <c r="I21" s="210"/>
      <c r="J21" s="513">
        <v>47.293440693257779</v>
      </c>
      <c r="K21" s="513">
        <v>54.506405680210918</v>
      </c>
      <c r="L21" s="513">
        <v>41.289629464342831</v>
      </c>
      <c r="M21" s="387">
        <v>0.75751884478659415</v>
      </c>
    </row>
    <row r="22" spans="1:17" x14ac:dyDescent="0.2">
      <c r="A22" s="924" t="s">
        <v>20</v>
      </c>
      <c r="B22" s="210">
        <v>25887.239624294569</v>
      </c>
      <c r="C22" s="210">
        <v>11721.142334288401</v>
      </c>
      <c r="D22" s="210">
        <v>14166.097290005042</v>
      </c>
      <c r="E22" s="210"/>
      <c r="F22" s="210">
        <v>4141.5956606897353</v>
      </c>
      <c r="G22" s="210">
        <v>2453.9408006147441</v>
      </c>
      <c r="H22" s="210">
        <v>1687.6548600750311</v>
      </c>
      <c r="I22" s="210"/>
      <c r="J22" s="513">
        <v>15.998599003977942</v>
      </c>
      <c r="K22" s="513">
        <v>20.936020829950692</v>
      </c>
      <c r="L22" s="513">
        <v>11.91333664823676</v>
      </c>
      <c r="M22" s="387">
        <v>0.56903538380100172</v>
      </c>
      <c r="Q22" s="917"/>
    </row>
    <row r="23" spans="1:17" x14ac:dyDescent="0.2">
      <c r="A23" s="193" t="s">
        <v>21</v>
      </c>
      <c r="B23" s="211">
        <v>38499.874008711311</v>
      </c>
      <c r="C23" s="211">
        <v>18225.63890241061</v>
      </c>
      <c r="D23" s="211">
        <v>20274.235106298089</v>
      </c>
      <c r="E23" s="211"/>
      <c r="F23" s="211">
        <v>17523.486583184225</v>
      </c>
      <c r="G23" s="211">
        <v>10045.096314192529</v>
      </c>
      <c r="H23" s="211">
        <v>7478.3902689929791</v>
      </c>
      <c r="I23" s="211"/>
      <c r="J23" s="515">
        <v>45.51569851688474</v>
      </c>
      <c r="K23" s="515">
        <v>55.115194413643984</v>
      </c>
      <c r="L23" s="515">
        <v>36.886177109930209</v>
      </c>
      <c r="M23" s="386">
        <v>0.66925604640158709</v>
      </c>
    </row>
    <row r="24" spans="1:17" x14ac:dyDescent="0.2">
      <c r="A24" s="924" t="s">
        <v>21</v>
      </c>
      <c r="B24" s="210">
        <v>38499.874008711311</v>
      </c>
      <c r="C24" s="210">
        <v>18225.63890241061</v>
      </c>
      <c r="D24" s="210">
        <v>20274.235106298089</v>
      </c>
      <c r="E24" s="210"/>
      <c r="F24" s="210">
        <v>17523.486583184225</v>
      </c>
      <c r="G24" s="210">
        <v>10045.096314192529</v>
      </c>
      <c r="H24" s="210">
        <v>7478.3902689929791</v>
      </c>
      <c r="I24" s="210"/>
      <c r="J24" s="513">
        <v>45.51569851688474</v>
      </c>
      <c r="K24" s="513">
        <v>55.115194413643984</v>
      </c>
      <c r="L24" s="513">
        <v>36.886177109930209</v>
      </c>
      <c r="M24" s="387">
        <v>0.66925604640158709</v>
      </c>
    </row>
    <row r="25" spans="1:17" x14ac:dyDescent="0.2">
      <c r="A25" s="193" t="s">
        <v>22</v>
      </c>
      <c r="B25" s="211">
        <v>79736.42354876842</v>
      </c>
      <c r="C25" s="211">
        <v>37879.151239194915</v>
      </c>
      <c r="D25" s="211">
        <v>41857.272309560045</v>
      </c>
      <c r="E25" s="211"/>
      <c r="F25" s="211">
        <v>58632.116162728969</v>
      </c>
      <c r="G25" s="211">
        <v>29006.352051969443</v>
      </c>
      <c r="H25" s="211">
        <v>29625.764110757391</v>
      </c>
      <c r="I25" s="211"/>
      <c r="J25" s="515">
        <v>73.532412858793577</v>
      </c>
      <c r="K25" s="515">
        <v>76.576034845137784</v>
      </c>
      <c r="L25" s="515">
        <v>70.778057135818059</v>
      </c>
      <c r="M25" s="386">
        <v>0.92428469662806167</v>
      </c>
    </row>
    <row r="26" spans="1:17" x14ac:dyDescent="0.2">
      <c r="A26" s="924" t="s">
        <v>22</v>
      </c>
      <c r="B26" s="210">
        <v>79736.42354876842</v>
      </c>
      <c r="C26" s="210">
        <v>37879.151239194915</v>
      </c>
      <c r="D26" s="210">
        <v>41857.272309560045</v>
      </c>
      <c r="E26" s="210"/>
      <c r="F26" s="210">
        <v>58632.116162728969</v>
      </c>
      <c r="G26" s="210">
        <v>29006.352051969443</v>
      </c>
      <c r="H26" s="210">
        <v>29625.764110757391</v>
      </c>
      <c r="I26" s="210"/>
      <c r="J26" s="513">
        <v>73.532412858793577</v>
      </c>
      <c r="K26" s="513">
        <v>76.576034845137784</v>
      </c>
      <c r="L26" s="513">
        <v>70.778057135818059</v>
      </c>
      <c r="M26" s="387">
        <v>0.92428469662806167</v>
      </c>
    </row>
    <row r="27" spans="1:17" x14ac:dyDescent="0.2">
      <c r="A27" s="193" t="s">
        <v>23</v>
      </c>
      <c r="B27" s="211">
        <v>92413.379636348312</v>
      </c>
      <c r="C27" s="211">
        <v>41368.685988367513</v>
      </c>
      <c r="D27" s="211">
        <v>51044.693647969703</v>
      </c>
      <c r="E27" s="211"/>
      <c r="F27" s="211">
        <v>43764.73554795685</v>
      </c>
      <c r="G27" s="211">
        <v>20381.320515868432</v>
      </c>
      <c r="H27" s="211">
        <v>23383.415032086319</v>
      </c>
      <c r="I27" s="211"/>
      <c r="J27" s="515">
        <v>47.357574974714808</v>
      </c>
      <c r="K27" s="515">
        <v>49.267507606117483</v>
      </c>
      <c r="L27" s="515">
        <v>45.809688257415452</v>
      </c>
      <c r="M27" s="386">
        <v>0.92981541959973879</v>
      </c>
    </row>
    <row r="28" spans="1:17" x14ac:dyDescent="0.2">
      <c r="A28" s="924" t="s">
        <v>23</v>
      </c>
      <c r="B28" s="210">
        <v>49237.336330203703</v>
      </c>
      <c r="C28" s="210">
        <v>21868.102128755279</v>
      </c>
      <c r="D28" s="210">
        <v>27369.234201445423</v>
      </c>
      <c r="E28" s="210"/>
      <c r="F28" s="210">
        <v>28576.399250566938</v>
      </c>
      <c r="G28" s="210">
        <v>12773.188356844788</v>
      </c>
      <c r="H28" s="210">
        <v>15803.210893721529</v>
      </c>
      <c r="I28" s="210"/>
      <c r="J28" s="513">
        <v>58.038069035502886</v>
      </c>
      <c r="K28" s="513">
        <v>58.410136744555885</v>
      </c>
      <c r="L28" s="513">
        <v>57.740785794027829</v>
      </c>
      <c r="M28" s="387">
        <v>0.98854050019681827</v>
      </c>
    </row>
    <row r="29" spans="1:17" x14ac:dyDescent="0.2">
      <c r="A29" s="924" t="s">
        <v>24</v>
      </c>
      <c r="B29" s="210">
        <v>43176.043306133717</v>
      </c>
      <c r="C29" s="210">
        <v>19500.583859608898</v>
      </c>
      <c r="D29" s="210">
        <v>23675.45944652208</v>
      </c>
      <c r="E29" s="210"/>
      <c r="F29" s="210">
        <v>15188.336297389022</v>
      </c>
      <c r="G29" s="210">
        <v>7608.1321590248199</v>
      </c>
      <c r="H29" s="210">
        <v>7580.2041383653313</v>
      </c>
      <c r="I29" s="210"/>
      <c r="J29" s="513">
        <v>35.177693772675646</v>
      </c>
      <c r="K29" s="513">
        <v>39.01489418879887</v>
      </c>
      <c r="L29" s="513">
        <v>32.017136374848818</v>
      </c>
      <c r="M29" s="387">
        <v>0.82063881090931934</v>
      </c>
    </row>
    <row r="30" spans="1:17" x14ac:dyDescent="0.2">
      <c r="A30" s="193" t="s">
        <v>25</v>
      </c>
      <c r="B30" s="211">
        <v>9650.577918985422</v>
      </c>
      <c r="C30" s="211">
        <v>4731.7529646513194</v>
      </c>
      <c r="D30" s="211">
        <v>4918.824954334028</v>
      </c>
      <c r="E30" s="211"/>
      <c r="F30" s="211">
        <v>2564.0053882130414</v>
      </c>
      <c r="G30" s="211">
        <v>1331.3094977043249</v>
      </c>
      <c r="H30" s="211">
        <v>1232.6958905087356</v>
      </c>
      <c r="I30" s="211"/>
      <c r="J30" s="515">
        <v>26.568412894412894</v>
      </c>
      <c r="K30" s="515">
        <v>28.135650944795913</v>
      </c>
      <c r="L30" s="515">
        <v>25.060779799098146</v>
      </c>
      <c r="M30" s="386">
        <v>0.89071263530632805</v>
      </c>
    </row>
    <row r="31" spans="1:17" x14ac:dyDescent="0.2">
      <c r="A31" s="924" t="s">
        <v>25</v>
      </c>
      <c r="B31" s="210">
        <v>9650.577918985422</v>
      </c>
      <c r="C31" s="210">
        <v>4731.7529646513194</v>
      </c>
      <c r="D31" s="210">
        <v>4918.824954334028</v>
      </c>
      <c r="E31" s="210"/>
      <c r="F31" s="210">
        <v>2564.0053882130414</v>
      </c>
      <c r="G31" s="210">
        <v>1331.3094977043249</v>
      </c>
      <c r="H31" s="210">
        <v>1232.6958905087356</v>
      </c>
      <c r="I31" s="210"/>
      <c r="J31" s="513">
        <v>26.568412894412894</v>
      </c>
      <c r="K31" s="513">
        <v>28.135650944795913</v>
      </c>
      <c r="L31" s="513">
        <v>25.060779799098146</v>
      </c>
      <c r="M31" s="387">
        <v>0.89071263530632805</v>
      </c>
    </row>
    <row r="32" spans="1:17" x14ac:dyDescent="0.2">
      <c r="A32" s="193" t="s">
        <v>26</v>
      </c>
      <c r="B32" s="211">
        <v>4066.8043797115479</v>
      </c>
      <c r="C32" s="211">
        <v>2151.7515330123288</v>
      </c>
      <c r="D32" s="211">
        <v>1915.052846699263</v>
      </c>
      <c r="E32" s="211"/>
      <c r="F32" s="211">
        <v>1149.972536849891</v>
      </c>
      <c r="G32" s="211">
        <v>839.37921379752493</v>
      </c>
      <c r="H32" s="211">
        <v>310.59332305236506</v>
      </c>
      <c r="I32" s="211"/>
      <c r="J32" s="515">
        <v>28.277055630874944</v>
      </c>
      <c r="K32" s="515">
        <v>39.009114245753189</v>
      </c>
      <c r="L32" s="515">
        <v>16.218524913696019</v>
      </c>
      <c r="M32" s="386">
        <v>0.41576245006541473</v>
      </c>
    </row>
    <row r="33" spans="1:13" x14ac:dyDescent="0.2">
      <c r="A33" s="924" t="s">
        <v>26</v>
      </c>
      <c r="B33" s="210">
        <v>4066.8043797115479</v>
      </c>
      <c r="C33" s="210">
        <v>2151.7515330123288</v>
      </c>
      <c r="D33" s="210">
        <v>1915.052846699263</v>
      </c>
      <c r="E33" s="210"/>
      <c r="F33" s="210">
        <v>1149.972536849891</v>
      </c>
      <c r="G33" s="210">
        <v>839.37921379752493</v>
      </c>
      <c r="H33" s="210">
        <v>310.59332305236506</v>
      </c>
      <c r="I33" s="210"/>
      <c r="J33" s="513">
        <v>28.277055630874944</v>
      </c>
      <c r="K33" s="513">
        <v>39.009114245753189</v>
      </c>
      <c r="L33" s="513">
        <v>16.218524913696019</v>
      </c>
      <c r="M33" s="387">
        <v>0.41576245006541473</v>
      </c>
    </row>
    <row r="34" spans="1:13" x14ac:dyDescent="0.2">
      <c r="A34" s="193" t="s">
        <v>27</v>
      </c>
      <c r="B34" s="211">
        <v>19705.556757109374</v>
      </c>
      <c r="C34" s="211">
        <v>8802.1013539378619</v>
      </c>
      <c r="D34" s="211">
        <v>10903.455403172507</v>
      </c>
      <c r="E34" s="211"/>
      <c r="F34" s="211">
        <v>8042.1741568590169</v>
      </c>
      <c r="G34" s="211">
        <v>4125.0306769567806</v>
      </c>
      <c r="H34" s="211">
        <v>3917.1434799017366</v>
      </c>
      <c r="I34" s="211"/>
      <c r="J34" s="515">
        <v>40.811707357404181</v>
      </c>
      <c r="K34" s="515">
        <v>46.864157899197508</v>
      </c>
      <c r="L34" s="515">
        <v>35.925707356605891</v>
      </c>
      <c r="M34" s="386">
        <v>0.76659240167891873</v>
      </c>
    </row>
    <row r="35" spans="1:13" x14ac:dyDescent="0.2">
      <c r="A35" s="924" t="s">
        <v>27</v>
      </c>
      <c r="B35" s="210">
        <v>19705.556757109374</v>
      </c>
      <c r="C35" s="210">
        <v>8802.1013539378619</v>
      </c>
      <c r="D35" s="210">
        <v>10903.455403172507</v>
      </c>
      <c r="E35" s="210"/>
      <c r="F35" s="210">
        <v>8042.1741568590169</v>
      </c>
      <c r="G35" s="210">
        <v>4125.0306769567806</v>
      </c>
      <c r="H35" s="210">
        <v>3917.1434799017366</v>
      </c>
      <c r="I35" s="210"/>
      <c r="J35" s="513">
        <v>40.811707357404181</v>
      </c>
      <c r="K35" s="513">
        <v>46.864157899197508</v>
      </c>
      <c r="L35" s="513">
        <v>35.925707356605891</v>
      </c>
      <c r="M35" s="387">
        <v>0.76659240167891873</v>
      </c>
    </row>
    <row r="36" spans="1:13" x14ac:dyDescent="0.2">
      <c r="A36" s="193" t="s">
        <v>28</v>
      </c>
      <c r="B36" s="211">
        <v>55055.238451881225</v>
      </c>
      <c r="C36" s="211">
        <v>27101.95463946099</v>
      </c>
      <c r="D36" s="211">
        <v>27953.283812418151</v>
      </c>
      <c r="E36" s="211"/>
      <c r="F36" s="211">
        <v>21888.058380627419</v>
      </c>
      <c r="G36" s="211">
        <v>10855.993411239311</v>
      </c>
      <c r="H36" s="211">
        <v>11032.064969388806</v>
      </c>
      <c r="I36" s="211"/>
      <c r="J36" s="515">
        <v>39.756540878047197</v>
      </c>
      <c r="K36" s="515">
        <v>40.056127152662008</v>
      </c>
      <c r="L36" s="515">
        <v>39.466078631119096</v>
      </c>
      <c r="M36" s="386">
        <v>0.98526945654795539</v>
      </c>
    </row>
    <row r="37" spans="1:13" x14ac:dyDescent="0.2">
      <c r="A37" s="924" t="s">
        <v>28</v>
      </c>
      <c r="B37" s="210">
        <v>55055.238451881225</v>
      </c>
      <c r="C37" s="210">
        <v>27101.95463946099</v>
      </c>
      <c r="D37" s="210">
        <v>27953.283812418151</v>
      </c>
      <c r="E37" s="210"/>
      <c r="F37" s="210">
        <v>21888.058380627419</v>
      </c>
      <c r="G37" s="210">
        <v>10855.993411239311</v>
      </c>
      <c r="H37" s="210">
        <v>11032.064969388806</v>
      </c>
      <c r="I37" s="210"/>
      <c r="J37" s="513">
        <v>39.756540878047197</v>
      </c>
      <c r="K37" s="513">
        <v>40.056127152662008</v>
      </c>
      <c r="L37" s="513">
        <v>39.466078631119096</v>
      </c>
      <c r="M37" s="387">
        <v>0.98526945654795539</v>
      </c>
    </row>
    <row r="38" spans="1:13" x14ac:dyDescent="0.2">
      <c r="A38" s="193" t="s">
        <v>29</v>
      </c>
      <c r="B38" s="211">
        <v>96280.277302553965</v>
      </c>
      <c r="C38" s="211">
        <v>43798.669807011451</v>
      </c>
      <c r="D38" s="211">
        <v>52481.607495530021</v>
      </c>
      <c r="E38" s="211"/>
      <c r="F38" s="211">
        <v>22162.488671405306</v>
      </c>
      <c r="G38" s="211">
        <v>11640.873647019343</v>
      </c>
      <c r="H38" s="211">
        <v>10521.615024387469</v>
      </c>
      <c r="I38" s="211"/>
      <c r="J38" s="515">
        <v>23.018721271193616</v>
      </c>
      <c r="K38" s="515">
        <v>26.578144263997373</v>
      </c>
      <c r="L38" s="515">
        <v>20.048195027722098</v>
      </c>
      <c r="M38" s="386">
        <v>0.75431131792294792</v>
      </c>
    </row>
    <row r="39" spans="1:13" x14ac:dyDescent="0.2">
      <c r="A39" s="924" t="s">
        <v>30</v>
      </c>
      <c r="B39" s="210">
        <v>59147.694877290887</v>
      </c>
      <c r="C39" s="210">
        <v>26943.08138596981</v>
      </c>
      <c r="D39" s="210">
        <v>32204.613491317796</v>
      </c>
      <c r="E39" s="210"/>
      <c r="F39" s="210">
        <v>12715.987140431534</v>
      </c>
      <c r="G39" s="210">
        <v>6750.5896924580302</v>
      </c>
      <c r="H39" s="210">
        <v>5965.3974479743138</v>
      </c>
      <c r="I39" s="210"/>
      <c r="J39" s="513">
        <v>21.498702809657555</v>
      </c>
      <c r="K39" s="513">
        <v>25.055002416958168</v>
      </c>
      <c r="L39" s="513">
        <v>18.523425066356854</v>
      </c>
      <c r="M39" s="387">
        <v>0.73931044819295266</v>
      </c>
    </row>
    <row r="40" spans="1:13" x14ac:dyDescent="0.2">
      <c r="A40" s="924" t="s">
        <v>29</v>
      </c>
      <c r="B40" s="210">
        <v>37132.582425250519</v>
      </c>
      <c r="C40" s="210">
        <v>16855.588421038934</v>
      </c>
      <c r="D40" s="210">
        <v>20276.994004209195</v>
      </c>
      <c r="E40" s="210"/>
      <c r="F40" s="210">
        <v>9446.5015309752998</v>
      </c>
      <c r="G40" s="210">
        <v>4890.2839545616798</v>
      </c>
      <c r="H40" s="210">
        <v>4556.2175764133408</v>
      </c>
      <c r="I40" s="210"/>
      <c r="J40" s="513">
        <v>25.439926107997504</v>
      </c>
      <c r="K40" s="513">
        <v>29.012834392999238</v>
      </c>
      <c r="L40" s="513">
        <v>22.469886687679118</v>
      </c>
      <c r="M40" s="387">
        <v>0.77448092052326589</v>
      </c>
    </row>
    <row r="41" spans="1:13" x14ac:dyDescent="0.2">
      <c r="A41" s="193" t="s">
        <v>31</v>
      </c>
      <c r="B41" s="211">
        <v>43389.033361863039</v>
      </c>
      <c r="C41" s="211">
        <v>19400.270810261201</v>
      </c>
      <c r="D41" s="211">
        <v>23988.76255159916</v>
      </c>
      <c r="E41" s="211"/>
      <c r="F41" s="211">
        <v>20233.77234748155</v>
      </c>
      <c r="G41" s="211">
        <v>9856.0969170713797</v>
      </c>
      <c r="H41" s="211">
        <v>10377.675430411433</v>
      </c>
      <c r="I41" s="211"/>
      <c r="J41" s="515">
        <v>46.633378943324352</v>
      </c>
      <c r="K41" s="515">
        <v>50.803914097210054</v>
      </c>
      <c r="L41" s="515">
        <v>43.26057006104152</v>
      </c>
      <c r="M41" s="386">
        <v>0.85152041589286165</v>
      </c>
    </row>
    <row r="42" spans="1:13" x14ac:dyDescent="0.2">
      <c r="A42" s="924" t="s">
        <v>31</v>
      </c>
      <c r="B42" s="210">
        <v>43389.033361863039</v>
      </c>
      <c r="C42" s="210">
        <v>19400.270810261201</v>
      </c>
      <c r="D42" s="210">
        <v>23988.76255159916</v>
      </c>
      <c r="E42" s="210"/>
      <c r="F42" s="210">
        <v>20233.77234748155</v>
      </c>
      <c r="G42" s="210">
        <v>9856.0969170713797</v>
      </c>
      <c r="H42" s="210">
        <v>10377.675430411433</v>
      </c>
      <c r="I42" s="210"/>
      <c r="J42" s="513">
        <v>46.633378943324352</v>
      </c>
      <c r="K42" s="513">
        <v>50.803914097210054</v>
      </c>
      <c r="L42" s="513">
        <v>43.26057006104152</v>
      </c>
      <c r="M42" s="387">
        <v>0.85152041589286165</v>
      </c>
    </row>
  </sheetData>
  <mergeCells count="6">
    <mergeCell ref="A1:M1"/>
    <mergeCell ref="B2:D2"/>
    <mergeCell ref="F2:H2"/>
    <mergeCell ref="J2:L2"/>
    <mergeCell ref="M2:M3"/>
    <mergeCell ref="A2:A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59"/>
  <sheetViews>
    <sheetView workbookViewId="0">
      <selection activeCell="A2" sqref="A2:A3"/>
    </sheetView>
  </sheetViews>
  <sheetFormatPr defaultRowHeight="12" x14ac:dyDescent="0.2"/>
  <cols>
    <col min="1" max="1" width="15.7109375" style="575" customWidth="1"/>
    <col min="2" max="2" width="7.7109375" style="575" customWidth="1"/>
    <col min="3" max="16384" width="9.140625" style="575"/>
  </cols>
  <sheetData>
    <row r="1" spans="1:13" x14ac:dyDescent="0.2">
      <c r="A1" s="707" t="s">
        <v>272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</row>
    <row r="2" spans="1:13" ht="24.75" customHeight="1" x14ac:dyDescent="0.2">
      <c r="A2" s="724" t="s">
        <v>273</v>
      </c>
      <c r="B2" s="702" t="s">
        <v>268</v>
      </c>
      <c r="C2" s="702"/>
      <c r="D2" s="702"/>
      <c r="E2" s="470"/>
      <c r="F2" s="702" t="s">
        <v>269</v>
      </c>
      <c r="G2" s="702"/>
      <c r="H2" s="702"/>
      <c r="I2" s="470"/>
      <c r="J2" s="723" t="s">
        <v>270</v>
      </c>
      <c r="K2" s="723"/>
      <c r="L2" s="723"/>
      <c r="M2" s="702" t="s">
        <v>271</v>
      </c>
    </row>
    <row r="3" spans="1:13" x14ac:dyDescent="0.2">
      <c r="A3" s="725"/>
      <c r="B3" s="143" t="s">
        <v>2</v>
      </c>
      <c r="C3" s="143" t="s">
        <v>3</v>
      </c>
      <c r="D3" s="143" t="s">
        <v>4</v>
      </c>
      <c r="E3" s="144"/>
      <c r="F3" s="143" t="s">
        <v>2</v>
      </c>
      <c r="G3" s="143" t="s">
        <v>3</v>
      </c>
      <c r="H3" s="143" t="s">
        <v>4</v>
      </c>
      <c r="I3" s="144"/>
      <c r="J3" s="143" t="s">
        <v>2</v>
      </c>
      <c r="K3" s="143" t="s">
        <v>3</v>
      </c>
      <c r="L3" s="143" t="s">
        <v>4</v>
      </c>
      <c r="M3" s="703"/>
    </row>
    <row r="4" spans="1:13" x14ac:dyDescent="0.2">
      <c r="A4" s="129" t="s">
        <v>32</v>
      </c>
      <c r="B4" s="146">
        <v>948849.04062186973</v>
      </c>
      <c r="C4" s="146">
        <v>437700.80578723864</v>
      </c>
      <c r="D4" s="146">
        <v>511148.23482455709</v>
      </c>
      <c r="E4" s="146"/>
      <c r="F4" s="146">
        <v>519089.82026820781</v>
      </c>
      <c r="G4" s="146">
        <v>254508.06082795397</v>
      </c>
      <c r="H4" s="148">
        <v>264581.75944061158</v>
      </c>
      <c r="I4" s="148"/>
      <c r="J4" s="149">
        <v>54.707313602913679</v>
      </c>
      <c r="K4" s="149">
        <v>58.146582657264453</v>
      </c>
      <c r="L4" s="149">
        <v>51.762236747640124</v>
      </c>
      <c r="M4" s="150">
        <f>+L4/K4</f>
        <v>0.89020256018731458</v>
      </c>
    </row>
    <row r="5" spans="1:13" x14ac:dyDescent="0.2">
      <c r="A5" s="131"/>
      <c r="B5" s="43"/>
      <c r="C5" s="43"/>
      <c r="D5" s="43"/>
      <c r="E5" s="43"/>
      <c r="F5" s="43"/>
      <c r="G5" s="43"/>
      <c r="H5" s="151"/>
      <c r="I5" s="151"/>
      <c r="J5" s="152"/>
      <c r="K5" s="152"/>
      <c r="L5" s="152"/>
      <c r="M5" s="153"/>
    </row>
    <row r="6" spans="1:13" x14ac:dyDescent="0.2">
      <c r="A6" s="129" t="s">
        <v>274</v>
      </c>
      <c r="B6" s="146"/>
      <c r="C6" s="146"/>
      <c r="D6" s="146"/>
      <c r="E6" s="146"/>
      <c r="F6" s="146"/>
      <c r="G6" s="146"/>
      <c r="H6" s="148"/>
      <c r="I6" s="148"/>
      <c r="J6" s="149"/>
      <c r="K6" s="149"/>
      <c r="L6" s="149"/>
      <c r="M6" s="150"/>
    </row>
    <row r="7" spans="1:13" x14ac:dyDescent="0.2">
      <c r="A7" s="134" t="s">
        <v>187</v>
      </c>
      <c r="B7" s="157">
        <v>222947.74862194163</v>
      </c>
      <c r="C7" s="157">
        <v>108515.24126301795</v>
      </c>
      <c r="D7" s="157">
        <v>114432.50735852549</v>
      </c>
      <c r="E7" s="157"/>
      <c r="F7" s="157">
        <v>119154.25330256153</v>
      </c>
      <c r="G7" s="157">
        <v>55443.085006072666</v>
      </c>
      <c r="H7" s="158">
        <v>63711.168296650154</v>
      </c>
      <c r="I7" s="158"/>
      <c r="J7" s="159">
        <v>53.444923323584995</v>
      </c>
      <c r="K7" s="159">
        <v>51.092440435793058</v>
      </c>
      <c r="L7" s="159">
        <v>55.675760120365069</v>
      </c>
      <c r="M7" s="160">
        <f t="shared" ref="M7:M59" si="0">+L7/K7</f>
        <v>1.0897064153811911</v>
      </c>
    </row>
    <row r="8" spans="1:13" x14ac:dyDescent="0.2">
      <c r="A8" s="134" t="s">
        <v>188</v>
      </c>
      <c r="B8" s="157">
        <v>178638.55953021816</v>
      </c>
      <c r="C8" s="157">
        <v>82625.305118641292</v>
      </c>
      <c r="D8" s="157">
        <v>96013.254411871589</v>
      </c>
      <c r="E8" s="157"/>
      <c r="F8" s="157">
        <v>98479.036958664132</v>
      </c>
      <c r="G8" s="157">
        <v>46445.343694735966</v>
      </c>
      <c r="H8" s="158">
        <v>52033.693263918329</v>
      </c>
      <c r="I8" s="158"/>
      <c r="J8" s="159">
        <v>55.127536416296401</v>
      </c>
      <c r="K8" s="159">
        <v>56.212008691545691</v>
      </c>
      <c r="L8" s="159">
        <v>54.194281386058584</v>
      </c>
      <c r="M8" s="160">
        <f t="shared" si="0"/>
        <v>0.96410504885959403</v>
      </c>
    </row>
    <row r="9" spans="1:13" x14ac:dyDescent="0.2">
      <c r="A9" s="134" t="s">
        <v>189</v>
      </c>
      <c r="B9" s="157">
        <v>143424.45762947548</v>
      </c>
      <c r="C9" s="157">
        <v>65544.363531827694</v>
      </c>
      <c r="D9" s="157">
        <v>77880.094097717025</v>
      </c>
      <c r="E9" s="157"/>
      <c r="F9" s="157">
        <v>81236.740016253971</v>
      </c>
      <c r="G9" s="157">
        <v>38943.455964816902</v>
      </c>
      <c r="H9" s="158">
        <v>42293.284051427232</v>
      </c>
      <c r="I9" s="158"/>
      <c r="J9" s="159">
        <v>56.640785929306595</v>
      </c>
      <c r="K9" s="159">
        <v>59.415415554209744</v>
      </c>
      <c r="L9" s="159">
        <v>54.305640666455176</v>
      </c>
      <c r="M9" s="160">
        <f t="shared" si="0"/>
        <v>0.9139991727720479</v>
      </c>
    </row>
    <row r="10" spans="1:13" x14ac:dyDescent="0.2">
      <c r="A10" s="134" t="s">
        <v>190</v>
      </c>
      <c r="B10" s="157">
        <v>108989.34031685159</v>
      </c>
      <c r="C10" s="157">
        <v>50129.437336826079</v>
      </c>
      <c r="D10" s="157">
        <v>58859.90297988597</v>
      </c>
      <c r="E10" s="157"/>
      <c r="F10" s="157">
        <v>62137.700229835355</v>
      </c>
      <c r="G10" s="157">
        <v>30875.734776001776</v>
      </c>
      <c r="H10" s="158">
        <v>31261.965453847104</v>
      </c>
      <c r="I10" s="158"/>
      <c r="J10" s="159">
        <v>57.012639996890329</v>
      </c>
      <c r="K10" s="159">
        <v>61.592023402427365</v>
      </c>
      <c r="L10" s="159">
        <v>53.112499122758358</v>
      </c>
      <c r="M10" s="160">
        <f t="shared" si="0"/>
        <v>0.86232755783543835</v>
      </c>
    </row>
    <row r="11" spans="1:13" x14ac:dyDescent="0.2">
      <c r="A11" s="134" t="s">
        <v>191</v>
      </c>
      <c r="B11" s="157">
        <v>85608.959176613571</v>
      </c>
      <c r="C11" s="157">
        <v>39083.653031388581</v>
      </c>
      <c r="D11" s="157">
        <v>46525.306145167808</v>
      </c>
      <c r="E11" s="157"/>
      <c r="F11" s="157">
        <v>48293.292563540002</v>
      </c>
      <c r="G11" s="157">
        <v>24927.36925624486</v>
      </c>
      <c r="H11" s="158">
        <v>23365.923307308669</v>
      </c>
      <c r="I11" s="158"/>
      <c r="J11" s="159">
        <v>56.41149364274888</v>
      </c>
      <c r="K11" s="159">
        <v>63.779527559073131</v>
      </c>
      <c r="L11" s="159">
        <v>50.221965728511073</v>
      </c>
      <c r="M11" s="160">
        <f t="shared" si="0"/>
        <v>0.78743082068137094</v>
      </c>
    </row>
    <row r="12" spans="1:13" x14ac:dyDescent="0.2">
      <c r="A12" s="134" t="s">
        <v>192</v>
      </c>
      <c r="B12" s="157">
        <v>64954.91223294245</v>
      </c>
      <c r="C12" s="157">
        <v>29529.09091527903</v>
      </c>
      <c r="D12" s="157">
        <v>35425.82131767695</v>
      </c>
      <c r="E12" s="157"/>
      <c r="F12" s="157">
        <v>34554.220536657012</v>
      </c>
      <c r="G12" s="157">
        <v>18035.113791165404</v>
      </c>
      <c r="H12" s="158">
        <v>16519.106745505134</v>
      </c>
      <c r="I12" s="158"/>
      <c r="J12" s="159">
        <v>53.197239975844845</v>
      </c>
      <c r="K12" s="159">
        <v>61.075750157392839</v>
      </c>
      <c r="L12" s="159">
        <v>46.630130597030529</v>
      </c>
      <c r="M12" s="160">
        <f t="shared" si="0"/>
        <v>0.76348027616303038</v>
      </c>
    </row>
    <row r="13" spans="1:13" x14ac:dyDescent="0.2">
      <c r="A13" s="134" t="s">
        <v>193</v>
      </c>
      <c r="B13" s="157">
        <v>37086.55470645582</v>
      </c>
      <c r="C13" s="157">
        <v>16301.394827400245</v>
      </c>
      <c r="D13" s="157">
        <v>20785.159879059676</v>
      </c>
      <c r="E13" s="157"/>
      <c r="F13" s="157">
        <v>20025.623007595743</v>
      </c>
      <c r="G13" s="157">
        <v>10132.545072512321</v>
      </c>
      <c r="H13" s="158">
        <v>9893.0779350875218</v>
      </c>
      <c r="I13" s="158"/>
      <c r="J13" s="159">
        <v>53.996989383626811</v>
      </c>
      <c r="K13" s="159">
        <v>62.15753424659637</v>
      </c>
      <c r="L13" s="159">
        <v>47.596833474714522</v>
      </c>
      <c r="M13" s="160">
        <f t="shared" si="0"/>
        <v>0.76574519970313715</v>
      </c>
    </row>
    <row r="14" spans="1:13" x14ac:dyDescent="0.2">
      <c r="A14" s="134" t="s">
        <v>194</v>
      </c>
      <c r="B14" s="157">
        <v>29832.02265367264</v>
      </c>
      <c r="C14" s="157">
        <v>12959.138768250441</v>
      </c>
      <c r="D14" s="157">
        <v>16872.883885426301</v>
      </c>
      <c r="E14" s="157"/>
      <c r="F14" s="157">
        <v>16058.989442890479</v>
      </c>
      <c r="G14" s="157">
        <v>8263.8199264733976</v>
      </c>
      <c r="H14" s="158">
        <v>7795.1695164209368</v>
      </c>
      <c r="I14" s="158"/>
      <c r="J14" s="159">
        <v>53.831379887731487</v>
      </c>
      <c r="K14" s="159">
        <v>63.76828024035008</v>
      </c>
      <c r="L14" s="159">
        <v>46.199390509373252</v>
      </c>
      <c r="M14" s="160">
        <f t="shared" si="0"/>
        <v>0.72448857543660206</v>
      </c>
    </row>
    <row r="15" spans="1:13" x14ac:dyDescent="0.2">
      <c r="A15" s="134" t="s">
        <v>195</v>
      </c>
      <c r="B15" s="157">
        <v>22217.555332981021</v>
      </c>
      <c r="C15" s="157">
        <v>9824.0291285908006</v>
      </c>
      <c r="D15" s="157">
        <v>12393.52620439432</v>
      </c>
      <c r="E15" s="157"/>
      <c r="F15" s="157">
        <v>12729.955495623026</v>
      </c>
      <c r="G15" s="157">
        <v>6749.1535541720868</v>
      </c>
      <c r="H15" s="158">
        <v>5980.8019414527771</v>
      </c>
      <c r="I15" s="158"/>
      <c r="J15" s="159">
        <v>57.296832639044233</v>
      </c>
      <c r="K15" s="159">
        <v>68.700463586067386</v>
      </c>
      <c r="L15" s="159">
        <v>48.257467994315817</v>
      </c>
      <c r="M15" s="160">
        <f t="shared" si="0"/>
        <v>0.70243293094899206</v>
      </c>
    </row>
    <row r="16" spans="1:13" x14ac:dyDescent="0.2">
      <c r="A16" s="134" t="s">
        <v>196</v>
      </c>
      <c r="B16" s="157">
        <v>20523.655888497626</v>
      </c>
      <c r="C16" s="157">
        <v>8993.9743270876625</v>
      </c>
      <c r="D16" s="157">
        <v>11529.681561414063</v>
      </c>
      <c r="E16" s="157"/>
      <c r="F16" s="157">
        <v>11100.697487008902</v>
      </c>
      <c r="G16" s="157">
        <v>6073.3567246292905</v>
      </c>
      <c r="H16" s="158">
        <v>5027.3407623804405</v>
      </c>
      <c r="I16" s="158"/>
      <c r="J16" s="159">
        <v>54.087329992861484</v>
      </c>
      <c r="K16" s="159">
        <v>67.526951976478188</v>
      </c>
      <c r="L16" s="159">
        <v>43.603465851174263</v>
      </c>
      <c r="M16" s="160">
        <f t="shared" si="0"/>
        <v>0.64571944349513588</v>
      </c>
    </row>
    <row r="17" spans="1:13" x14ac:dyDescent="0.2">
      <c r="A17" s="134" t="s">
        <v>275</v>
      </c>
      <c r="B17" s="157">
        <v>9681.2480654819101</v>
      </c>
      <c r="C17" s="157">
        <v>4217.1320882645541</v>
      </c>
      <c r="D17" s="157">
        <v>5464.1159772156698</v>
      </c>
      <c r="E17" s="157"/>
      <c r="F17" s="157">
        <v>4932.4898902957957</v>
      </c>
      <c r="G17" s="157">
        <v>2866.8670576833019</v>
      </c>
      <c r="H17" s="158">
        <v>2065.6228326121704</v>
      </c>
      <c r="I17" s="158"/>
      <c r="J17" s="159">
        <v>50.948905109476193</v>
      </c>
      <c r="K17" s="159">
        <v>67.981438515084733</v>
      </c>
      <c r="L17" s="159">
        <v>37.803422204534947</v>
      </c>
      <c r="M17" s="160">
        <f t="shared" si="0"/>
        <v>0.5560844699711166</v>
      </c>
    </row>
    <row r="18" spans="1:13" x14ac:dyDescent="0.2">
      <c r="A18" s="134" t="s">
        <v>276</v>
      </c>
      <c r="B18" s="157">
        <v>8829.9940244629706</v>
      </c>
      <c r="C18" s="157">
        <v>3663.7626031068289</v>
      </c>
      <c r="D18" s="157">
        <v>5166.231421354636</v>
      </c>
      <c r="E18" s="157"/>
      <c r="F18" s="157">
        <v>3981.2162173819584</v>
      </c>
      <c r="G18" s="157">
        <v>2194.9960521284047</v>
      </c>
      <c r="H18" s="158">
        <v>1786.2201652535803</v>
      </c>
      <c r="I18" s="158"/>
      <c r="J18" s="159">
        <v>45.08741689238159</v>
      </c>
      <c r="K18" s="159">
        <v>59.910979228490739</v>
      </c>
      <c r="L18" s="159">
        <v>34.574915824914669</v>
      </c>
      <c r="M18" s="160">
        <f t="shared" si="0"/>
        <v>0.5771048357105224</v>
      </c>
    </row>
    <row r="19" spans="1:13" x14ac:dyDescent="0.2">
      <c r="A19" s="134" t="s">
        <v>277</v>
      </c>
      <c r="B19" s="157">
        <v>6108.8077349733085</v>
      </c>
      <c r="C19" s="157">
        <v>2561.3723124390849</v>
      </c>
      <c r="D19" s="157">
        <v>3547.4354225334082</v>
      </c>
      <c r="E19" s="157"/>
      <c r="F19" s="157">
        <v>2909.2666842474459</v>
      </c>
      <c r="G19" s="157">
        <v>1640.5393970588291</v>
      </c>
      <c r="H19" s="158">
        <v>1268.7272871886432</v>
      </c>
      <c r="I19" s="158"/>
      <c r="J19" s="159">
        <v>47.624132407898202</v>
      </c>
      <c r="K19" s="159">
        <v>64.049235993211383</v>
      </c>
      <c r="L19" s="159">
        <v>35.764633772602537</v>
      </c>
      <c r="M19" s="160">
        <f t="shared" si="0"/>
        <v>0.55839282417659519</v>
      </c>
    </row>
    <row r="20" spans="1:13" x14ac:dyDescent="0.2">
      <c r="A20" s="134" t="s">
        <v>278</v>
      </c>
      <c r="B20" s="157">
        <v>5745.6929843981798</v>
      </c>
      <c r="C20" s="157">
        <v>2374.3790875920909</v>
      </c>
      <c r="D20" s="157">
        <v>3371.3138968054254</v>
      </c>
      <c r="E20" s="157"/>
      <c r="F20" s="157">
        <v>2552.6749531438759</v>
      </c>
      <c r="G20" s="157">
        <v>1390.4903173215696</v>
      </c>
      <c r="H20" s="158">
        <v>1162.1846358223327</v>
      </c>
      <c r="I20" s="158"/>
      <c r="J20" s="159">
        <v>44.427625354775955</v>
      </c>
      <c r="K20" s="159">
        <v>58.562271062272295</v>
      </c>
      <c r="L20" s="159">
        <v>34.472750725573022</v>
      </c>
      <c r="M20" s="160">
        <f t="shared" si="0"/>
        <v>0.58865119299960822</v>
      </c>
    </row>
    <row r="21" spans="1:13" x14ac:dyDescent="0.2">
      <c r="A21" s="134" t="s">
        <v>279</v>
      </c>
      <c r="B21" s="157">
        <v>1981.9107493957833</v>
      </c>
      <c r="C21" s="157">
        <v>658.8249666121103</v>
      </c>
      <c r="D21" s="157">
        <v>1323.0857827836996</v>
      </c>
      <c r="E21" s="157"/>
      <c r="F21" s="157">
        <v>472.91891167701539</v>
      </c>
      <c r="G21" s="157">
        <v>276.14115762290089</v>
      </c>
      <c r="H21" s="158">
        <v>196.77775405411438</v>
      </c>
      <c r="I21" s="158"/>
      <c r="J21" s="159">
        <v>23.861766319254606</v>
      </c>
      <c r="K21" s="159">
        <v>41.91419141914232</v>
      </c>
      <c r="L21" s="159">
        <v>14.872637633525507</v>
      </c>
      <c r="M21" s="160">
        <f t="shared" si="0"/>
        <v>0.35483537031166812</v>
      </c>
    </row>
    <row r="22" spans="1:13" x14ac:dyDescent="0.2">
      <c r="A22" s="134" t="s">
        <v>280</v>
      </c>
      <c r="B22" s="157">
        <v>1283.947665955259</v>
      </c>
      <c r="C22" s="157">
        <v>428.3449452890668</v>
      </c>
      <c r="D22" s="157">
        <v>855.60272066621451</v>
      </c>
      <c r="E22" s="157"/>
      <c r="F22" s="157">
        <v>292.44870630141867</v>
      </c>
      <c r="G22" s="157">
        <v>163.07548678517765</v>
      </c>
      <c r="H22" s="158">
        <v>129.37321951624091</v>
      </c>
      <c r="I22" s="158"/>
      <c r="J22" s="159">
        <v>22.777307366639111</v>
      </c>
      <c r="K22" s="159">
        <v>38.071065989847639</v>
      </c>
      <c r="L22" s="159">
        <v>15.120711562897363</v>
      </c>
      <c r="M22" s="160">
        <f t="shared" si="0"/>
        <v>0.39717069038543817</v>
      </c>
    </row>
    <row r="23" spans="1:13" x14ac:dyDescent="0.2">
      <c r="A23" s="134" t="s">
        <v>281</v>
      </c>
      <c r="B23" s="157">
        <v>993.67329947765779</v>
      </c>
      <c r="C23" s="157">
        <v>291.36153638951748</v>
      </c>
      <c r="D23" s="157">
        <v>702.31176308815543</v>
      </c>
      <c r="E23" s="157"/>
      <c r="F23" s="157">
        <v>178.29586555179424</v>
      </c>
      <c r="G23" s="157">
        <v>86.973592952094691</v>
      </c>
      <c r="H23" s="158">
        <v>91.322272599699431</v>
      </c>
      <c r="I23" s="158"/>
      <c r="J23" s="159">
        <v>17.943107221006983</v>
      </c>
      <c r="K23" s="159">
        <v>29.850746268656653</v>
      </c>
      <c r="L23" s="159">
        <v>13.003095975232354</v>
      </c>
      <c r="M23" s="160">
        <f t="shared" si="0"/>
        <v>0.43560371517028479</v>
      </c>
    </row>
    <row r="24" spans="1:13" x14ac:dyDescent="0.2">
      <c r="A24" s="129" t="s">
        <v>8</v>
      </c>
      <c r="B24" s="146">
        <v>264765.16724986205</v>
      </c>
      <c r="C24" s="146">
        <v>122443.86583593366</v>
      </c>
      <c r="D24" s="146">
        <v>142321.30141436684</v>
      </c>
      <c r="E24" s="146"/>
      <c r="F24" s="146">
        <v>231782.46841380897</v>
      </c>
      <c r="G24" s="146">
        <v>111167.74343576937</v>
      </c>
      <c r="H24" s="148">
        <v>120614.72497843402</v>
      </c>
      <c r="I24" s="148"/>
      <c r="J24" s="149">
        <v>87.542659339150561</v>
      </c>
      <c r="K24" s="149">
        <v>90.790782107964375</v>
      </c>
      <c r="L24" s="149">
        <v>84.748188626496415</v>
      </c>
      <c r="M24" s="150">
        <f t="shared" si="0"/>
        <v>0.93344485705297287</v>
      </c>
    </row>
    <row r="25" spans="1:13" x14ac:dyDescent="0.2">
      <c r="A25" s="156" t="s">
        <v>187</v>
      </c>
      <c r="B25" s="45">
        <v>65351.377252132283</v>
      </c>
      <c r="C25" s="45">
        <v>29776.27293159347</v>
      </c>
      <c r="D25" s="45">
        <v>35575.104320525519</v>
      </c>
      <c r="E25" s="45"/>
      <c r="F25" s="45">
        <v>58359.260328830402</v>
      </c>
      <c r="G25" s="45">
        <v>26453.397295623545</v>
      </c>
      <c r="H25" s="154">
        <v>31905.863033193564</v>
      </c>
      <c r="I25" s="154"/>
      <c r="J25" s="137">
        <v>89.300735168395533</v>
      </c>
      <c r="K25" s="137">
        <v>88.84052532829233</v>
      </c>
      <c r="L25" s="137">
        <v>89.685929648195852</v>
      </c>
      <c r="M25" s="155">
        <f t="shared" si="0"/>
        <v>1.0095159761469161</v>
      </c>
    </row>
    <row r="26" spans="1:13" x14ac:dyDescent="0.2">
      <c r="A26" s="156" t="s">
        <v>188</v>
      </c>
      <c r="B26" s="45">
        <v>51454.177550156026</v>
      </c>
      <c r="C26" s="45">
        <v>23071.543239656425</v>
      </c>
      <c r="D26" s="45">
        <v>28382.634310489764</v>
      </c>
      <c r="E26" s="45"/>
      <c r="F26" s="45">
        <v>46256.717011432942</v>
      </c>
      <c r="G26" s="45">
        <v>21137.551583139877</v>
      </c>
      <c r="H26" s="154">
        <v>25119.165428283228</v>
      </c>
      <c r="I26" s="154"/>
      <c r="J26" s="137">
        <v>89.898856057536463</v>
      </c>
      <c r="K26" s="137">
        <v>91.617415287638465</v>
      </c>
      <c r="L26" s="137">
        <v>88.501881655846574</v>
      </c>
      <c r="M26" s="155">
        <f t="shared" si="0"/>
        <v>0.96599408942054865</v>
      </c>
    </row>
    <row r="27" spans="1:13" x14ac:dyDescent="0.2">
      <c r="A27" s="156" t="s">
        <v>189</v>
      </c>
      <c r="B27" s="45">
        <v>42306.919715280463</v>
      </c>
      <c r="C27" s="45">
        <v>19130.836386072766</v>
      </c>
      <c r="D27" s="45">
        <v>23176.08332919786</v>
      </c>
      <c r="E27" s="45"/>
      <c r="F27" s="45">
        <v>37750.335377659219</v>
      </c>
      <c r="G27" s="45">
        <v>17660.45730056606</v>
      </c>
      <c r="H27" s="154">
        <v>20089.878077083322</v>
      </c>
      <c r="I27" s="154"/>
      <c r="J27" s="137">
        <v>89.229694886074313</v>
      </c>
      <c r="K27" s="137">
        <v>92.314088857229208</v>
      </c>
      <c r="L27" s="137">
        <v>86.683663463434371</v>
      </c>
      <c r="M27" s="155">
        <f t="shared" si="0"/>
        <v>0.93900795140270821</v>
      </c>
    </row>
    <row r="28" spans="1:13" x14ac:dyDescent="0.2">
      <c r="A28" s="156" t="s">
        <v>190</v>
      </c>
      <c r="B28" s="45">
        <v>32755.253047869413</v>
      </c>
      <c r="C28" s="45">
        <v>15184.855312947493</v>
      </c>
      <c r="D28" s="45">
        <v>17570.397734934395</v>
      </c>
      <c r="E28" s="45"/>
      <c r="F28" s="45">
        <v>28773.152797143255</v>
      </c>
      <c r="G28" s="45">
        <v>13949.743305719101</v>
      </c>
      <c r="H28" s="154">
        <v>14823.409491434168</v>
      </c>
      <c r="I28" s="154"/>
      <c r="J28" s="137">
        <v>87.842865250025667</v>
      </c>
      <c r="K28" s="137">
        <v>91.866158868320937</v>
      </c>
      <c r="L28" s="137">
        <v>84.365816386498125</v>
      </c>
      <c r="M28" s="155">
        <f t="shared" si="0"/>
        <v>0.91835576262012164</v>
      </c>
    </row>
    <row r="29" spans="1:13" x14ac:dyDescent="0.2">
      <c r="A29" s="156" t="s">
        <v>191</v>
      </c>
      <c r="B29" s="45">
        <v>26377.283351685608</v>
      </c>
      <c r="C29" s="45">
        <v>12807.574509736993</v>
      </c>
      <c r="D29" s="45">
        <v>13569.708841956519</v>
      </c>
      <c r="E29" s="45"/>
      <c r="F29" s="45">
        <v>22465.406860567691</v>
      </c>
      <c r="G29" s="45">
        <v>11694.32137947595</v>
      </c>
      <c r="H29" s="154">
        <v>10771.085481096199</v>
      </c>
      <c r="I29" s="154"/>
      <c r="J29" s="137">
        <v>85.16952470442547</v>
      </c>
      <c r="K29" s="137">
        <v>91.307853571985774</v>
      </c>
      <c r="L29" s="137">
        <v>79.375951293740314</v>
      </c>
      <c r="M29" s="155">
        <f t="shared" si="0"/>
        <v>0.8693222782984541</v>
      </c>
    </row>
    <row r="30" spans="1:13" x14ac:dyDescent="0.2">
      <c r="A30" s="156" t="s">
        <v>192</v>
      </c>
      <c r="B30" s="45">
        <v>17341.13781386043</v>
      </c>
      <c r="C30" s="45">
        <v>8430.9819623842122</v>
      </c>
      <c r="D30" s="45">
        <v>8910.1558514761637</v>
      </c>
      <c r="E30" s="45"/>
      <c r="F30" s="45">
        <v>14366.955053980197</v>
      </c>
      <c r="G30" s="45">
        <v>7532.5309203368033</v>
      </c>
      <c r="H30" s="154">
        <v>6834.4241336424948</v>
      </c>
      <c r="I30" s="154"/>
      <c r="J30" s="137">
        <v>82.848975702706966</v>
      </c>
      <c r="K30" s="137">
        <v>89.343459088667871</v>
      </c>
      <c r="L30" s="137">
        <v>76.703755215566119</v>
      </c>
      <c r="M30" s="155">
        <f t="shared" si="0"/>
        <v>0.85852681324373592</v>
      </c>
    </row>
    <row r="31" spans="1:13" x14ac:dyDescent="0.2">
      <c r="A31" s="156" t="s">
        <v>193</v>
      </c>
      <c r="B31" s="45">
        <v>9259.8856882771634</v>
      </c>
      <c r="C31" s="45">
        <v>4404.4323803670804</v>
      </c>
      <c r="D31" s="45">
        <v>4855.4533079097728</v>
      </c>
      <c r="E31" s="45"/>
      <c r="F31" s="45">
        <v>7731.9972040941102</v>
      </c>
      <c r="G31" s="45">
        <v>3975.4483059616905</v>
      </c>
      <c r="H31" s="154">
        <v>3756.5488981315916</v>
      </c>
      <c r="I31" s="154"/>
      <c r="J31" s="137">
        <v>83.499920672702572</v>
      </c>
      <c r="K31" s="137">
        <v>90.260173448966341</v>
      </c>
      <c r="L31" s="137">
        <v>77.367624810891343</v>
      </c>
      <c r="M31" s="155">
        <f t="shared" si="0"/>
        <v>0.8571623768774993</v>
      </c>
    </row>
    <row r="32" spans="1:13" x14ac:dyDescent="0.2">
      <c r="A32" s="156" t="s">
        <v>194</v>
      </c>
      <c r="B32" s="45">
        <v>6552.2909994791853</v>
      </c>
      <c r="C32" s="45">
        <v>3193.8745813602636</v>
      </c>
      <c r="D32" s="45">
        <v>3358.4164181184588</v>
      </c>
      <c r="E32" s="45"/>
      <c r="F32" s="45">
        <v>5566.5091024721933</v>
      </c>
      <c r="G32" s="45">
        <v>2938.2470849680676</v>
      </c>
      <c r="H32" s="154">
        <v>2628.2620175039679</v>
      </c>
      <c r="I32" s="154"/>
      <c r="J32" s="137">
        <v>84.955156950668652</v>
      </c>
      <c r="K32" s="137">
        <v>91.996320147194339</v>
      </c>
      <c r="L32" s="137">
        <v>78.258967629047007</v>
      </c>
      <c r="M32" s="155">
        <f t="shared" si="0"/>
        <v>0.85067497812773885</v>
      </c>
    </row>
    <row r="33" spans="1:13" x14ac:dyDescent="0.2">
      <c r="A33" s="156" t="s">
        <v>195</v>
      </c>
      <c r="B33" s="45">
        <v>4761.429401190775</v>
      </c>
      <c r="C33" s="45">
        <v>2428.4612157261595</v>
      </c>
      <c r="D33" s="45">
        <v>2332.9681854647069</v>
      </c>
      <c r="E33" s="45"/>
      <c r="F33" s="45">
        <v>4043.0279889159492</v>
      </c>
      <c r="G33" s="45">
        <v>2266.8576260529321</v>
      </c>
      <c r="H33" s="154">
        <v>1776.1703628632724</v>
      </c>
      <c r="I33" s="154"/>
      <c r="J33" s="137">
        <v>84.912064177721859</v>
      </c>
      <c r="K33" s="137">
        <v>93.345432546882193</v>
      </c>
      <c r="L33" s="137">
        <v>76.133501259443861</v>
      </c>
      <c r="M33" s="155">
        <f t="shared" si="0"/>
        <v>0.81561035373858548</v>
      </c>
    </row>
    <row r="34" spans="1:13" x14ac:dyDescent="0.2">
      <c r="A34" s="156" t="s">
        <v>196</v>
      </c>
      <c r="B34" s="45">
        <v>3899.0538817525285</v>
      </c>
      <c r="C34" s="45">
        <v>1886.3546285495809</v>
      </c>
      <c r="D34" s="45">
        <v>2012.6992532032145</v>
      </c>
      <c r="E34" s="45"/>
      <c r="F34" s="45">
        <v>3163.022986968102</v>
      </c>
      <c r="G34" s="45">
        <v>1726.2201624188126</v>
      </c>
      <c r="H34" s="154">
        <v>1436.8028245494424</v>
      </c>
      <c r="I34" s="154"/>
      <c r="J34" s="137">
        <v>81.122833458931439</v>
      </c>
      <c r="K34" s="137">
        <v>91.51090342678738</v>
      </c>
      <c r="L34" s="137">
        <v>71.386861313865751</v>
      </c>
      <c r="M34" s="155">
        <f t="shared" si="0"/>
        <v>0.78009131852772362</v>
      </c>
    </row>
    <row r="35" spans="1:13" x14ac:dyDescent="0.2">
      <c r="A35" s="156" t="s">
        <v>275</v>
      </c>
      <c r="B35" s="45">
        <v>1617.7088289089054</v>
      </c>
      <c r="C35" s="45">
        <v>818.63894366157615</v>
      </c>
      <c r="D35" s="45">
        <v>799.06988524735584</v>
      </c>
      <c r="E35" s="45"/>
      <c r="F35" s="45">
        <v>1221.9789809768947</v>
      </c>
      <c r="G35" s="45">
        <v>731.66535070948589</v>
      </c>
      <c r="H35" s="154">
        <v>490.31363026743435</v>
      </c>
      <c r="I35" s="154"/>
      <c r="J35" s="137">
        <v>75.537634408602841</v>
      </c>
      <c r="K35" s="137">
        <v>89.375830013280137</v>
      </c>
      <c r="L35" s="137">
        <v>61.360544217687426</v>
      </c>
      <c r="M35" s="155">
        <f t="shared" si="0"/>
        <v>0.68654516784425956</v>
      </c>
    </row>
    <row r="36" spans="1:13" x14ac:dyDescent="0.2">
      <c r="A36" s="156" t="s">
        <v>276</v>
      </c>
      <c r="B36" s="45">
        <v>1163.2718057342338</v>
      </c>
      <c r="C36" s="45">
        <v>506.62117894595212</v>
      </c>
      <c r="D36" s="45">
        <v>656.65062678830805</v>
      </c>
      <c r="E36" s="45"/>
      <c r="F36" s="45">
        <v>833.85932242819194</v>
      </c>
      <c r="G36" s="45">
        <v>440.30381431997984</v>
      </c>
      <c r="H36" s="154">
        <v>393.55550810822888</v>
      </c>
      <c r="I36" s="154"/>
      <c r="J36" s="137">
        <v>71.6822429906547</v>
      </c>
      <c r="K36" s="137">
        <v>86.909871244634274</v>
      </c>
      <c r="L36" s="137">
        <v>59.933774834437322</v>
      </c>
      <c r="M36" s="155">
        <f t="shared" si="0"/>
        <v>0.68960837216908855</v>
      </c>
    </row>
    <row r="37" spans="1:13" x14ac:dyDescent="0.2">
      <c r="A37" s="156" t="s">
        <v>277</v>
      </c>
      <c r="B37" s="45">
        <v>819.72611357347728</v>
      </c>
      <c r="C37" s="45">
        <v>376.16078951780992</v>
      </c>
      <c r="D37" s="45">
        <v>443.56532405568339</v>
      </c>
      <c r="E37" s="45"/>
      <c r="F37" s="45">
        <v>607.72798075275728</v>
      </c>
      <c r="G37" s="45">
        <v>323.97663374655303</v>
      </c>
      <c r="H37" s="154">
        <v>283.75134700620919</v>
      </c>
      <c r="I37" s="154"/>
      <c r="J37" s="137">
        <v>74.137931034482918</v>
      </c>
      <c r="K37" s="137">
        <v>86.127167630057642</v>
      </c>
      <c r="L37" s="137">
        <v>63.970588235293995</v>
      </c>
      <c r="M37" s="155">
        <f t="shared" si="0"/>
        <v>0.74274575602052895</v>
      </c>
    </row>
    <row r="38" spans="1:13" x14ac:dyDescent="0.2">
      <c r="A38" s="156" t="s">
        <v>278</v>
      </c>
      <c r="B38" s="45">
        <v>750.14723921180507</v>
      </c>
      <c r="C38" s="45">
        <v>334.84833286556488</v>
      </c>
      <c r="D38" s="45">
        <v>415.29890634625258</v>
      </c>
      <c r="E38" s="45"/>
      <c r="F38" s="45">
        <v>537.06193647918394</v>
      </c>
      <c r="G38" s="45">
        <v>294.62304612522104</v>
      </c>
      <c r="H38" s="154">
        <v>242.43889035396415</v>
      </c>
      <c r="I38" s="154"/>
      <c r="J38" s="137">
        <v>71.594202898550833</v>
      </c>
      <c r="K38" s="137">
        <v>87.987012987012818</v>
      </c>
      <c r="L38" s="137">
        <v>58.376963350785225</v>
      </c>
      <c r="M38" s="155">
        <f t="shared" si="0"/>
        <v>0.66347249859933155</v>
      </c>
    </row>
    <row r="39" spans="1:13" x14ac:dyDescent="0.2">
      <c r="A39" s="156" t="s">
        <v>279</v>
      </c>
      <c r="B39" s="45">
        <v>164.16265669707883</v>
      </c>
      <c r="C39" s="45">
        <v>45.661136299849659</v>
      </c>
      <c r="D39" s="45">
        <v>118.50152039722906</v>
      </c>
      <c r="E39" s="45"/>
      <c r="F39" s="45">
        <v>55.445665506960324</v>
      </c>
      <c r="G39" s="45">
        <v>21.74339823802363</v>
      </c>
      <c r="H39" s="154">
        <v>33.702267268936623</v>
      </c>
      <c r="I39" s="154"/>
      <c r="J39" s="137">
        <v>33.774834437086021</v>
      </c>
      <c r="K39" s="137">
        <v>47.619047619047571</v>
      </c>
      <c r="L39" s="137">
        <v>28.440366972477005</v>
      </c>
      <c r="M39" s="155">
        <f t="shared" si="0"/>
        <v>0.59724770642201774</v>
      </c>
    </row>
    <row r="40" spans="1:13" x14ac:dyDescent="0.2">
      <c r="A40" s="156" t="s">
        <v>280</v>
      </c>
      <c r="B40" s="45">
        <v>109.80416110201958</v>
      </c>
      <c r="C40" s="45">
        <v>23.917738061825993</v>
      </c>
      <c r="D40" s="45">
        <v>85.886423040193506</v>
      </c>
      <c r="E40" s="45"/>
      <c r="F40" s="45">
        <v>26.092077885628356</v>
      </c>
      <c r="G40" s="45">
        <v>8.6973592952094521</v>
      </c>
      <c r="H40" s="154">
        <v>17.394718590418904</v>
      </c>
      <c r="I40" s="154"/>
      <c r="J40" s="137">
        <v>23.762376237623709</v>
      </c>
      <c r="K40" s="137">
        <v>36.363636363636367</v>
      </c>
      <c r="L40" s="137">
        <v>20.253164556961977</v>
      </c>
      <c r="M40" s="155">
        <f t="shared" si="0"/>
        <v>0.55696202531645433</v>
      </c>
    </row>
    <row r="41" spans="1:13" x14ac:dyDescent="0.2">
      <c r="A41" s="156" t="s">
        <v>281</v>
      </c>
      <c r="B41" s="45">
        <v>81.537743392588766</v>
      </c>
      <c r="C41" s="45">
        <v>22.830568149924812</v>
      </c>
      <c r="D41" s="45">
        <v>58.70717524266388</v>
      </c>
      <c r="E41" s="45"/>
      <c r="F41" s="45">
        <v>23.917738061825993</v>
      </c>
      <c r="G41" s="45">
        <v>11.958869030912997</v>
      </c>
      <c r="H41" s="154">
        <v>11.958869030912997</v>
      </c>
      <c r="I41" s="154"/>
      <c r="J41" s="137">
        <v>29.333333333333275</v>
      </c>
      <c r="K41" s="137">
        <v>52.380952380952372</v>
      </c>
      <c r="L41" s="137">
        <v>20.370370370370342</v>
      </c>
      <c r="M41" s="155">
        <f t="shared" si="0"/>
        <v>0.3888888888888884</v>
      </c>
    </row>
    <row r="42" spans="1:13" x14ac:dyDescent="0.2">
      <c r="A42" s="129" t="s">
        <v>9</v>
      </c>
      <c r="B42" s="146">
        <v>684083.87336592725</v>
      </c>
      <c r="C42" s="146">
        <v>315256.93995169475</v>
      </c>
      <c r="D42" s="146">
        <v>368826.93341061892</v>
      </c>
      <c r="E42" s="146"/>
      <c r="F42" s="146">
        <v>287307.35185475857</v>
      </c>
      <c r="G42" s="146">
        <v>143340.3173926021</v>
      </c>
      <c r="H42" s="148">
        <v>143967.034462576</v>
      </c>
      <c r="I42" s="148"/>
      <c r="J42" s="149">
        <v>41.998848831492964</v>
      </c>
      <c r="K42" s="149">
        <v>45.467775400745602</v>
      </c>
      <c r="L42" s="149">
        <v>39.033763920436982</v>
      </c>
      <c r="M42" s="150">
        <f t="shared" si="0"/>
        <v>0.85849293431226215</v>
      </c>
    </row>
    <row r="43" spans="1:13" x14ac:dyDescent="0.2">
      <c r="A43" s="156" t="s">
        <v>187</v>
      </c>
      <c r="B43" s="45">
        <v>157596.37136958327</v>
      </c>
      <c r="C43" s="45">
        <v>78738.968331508135</v>
      </c>
      <c r="D43" s="45">
        <v>78857.403038102508</v>
      </c>
      <c r="E43" s="45"/>
      <c r="F43" s="45">
        <v>60794.992973892418</v>
      </c>
      <c r="G43" s="45">
        <v>28989.687710435828</v>
      </c>
      <c r="H43" s="154">
        <v>31805.305263443297</v>
      </c>
      <c r="I43" s="154"/>
      <c r="J43" s="137">
        <v>38.576391350609661</v>
      </c>
      <c r="K43" s="137">
        <v>36.817459416499908</v>
      </c>
      <c r="L43" s="137">
        <v>40.332681572154819</v>
      </c>
      <c r="M43" s="155">
        <f t="shared" si="0"/>
        <v>1.0954770429944318</v>
      </c>
    </row>
    <row r="44" spans="1:13" x14ac:dyDescent="0.2">
      <c r="A44" s="156" t="s">
        <v>188</v>
      </c>
      <c r="B44" s="45">
        <v>127184.38198035686</v>
      </c>
      <c r="C44" s="45">
        <v>59553.761878975034</v>
      </c>
      <c r="D44" s="45">
        <v>67630.620101371984</v>
      </c>
      <c r="E44" s="45"/>
      <c r="F44" s="45">
        <v>52222.319947221353</v>
      </c>
      <c r="G44" s="45">
        <v>25307.792111586252</v>
      </c>
      <c r="H44" s="154">
        <v>26914.527835625264</v>
      </c>
      <c r="I44" s="154"/>
      <c r="J44" s="137">
        <v>41.060324494284458</v>
      </c>
      <c r="K44" s="137">
        <v>42.495706926146084</v>
      </c>
      <c r="L44" s="137">
        <v>39.796364125123695</v>
      </c>
      <c r="M44" s="155">
        <f t="shared" si="0"/>
        <v>0.93647963532613732</v>
      </c>
    </row>
    <row r="45" spans="1:13" x14ac:dyDescent="0.2">
      <c r="A45" s="156" t="s">
        <v>189</v>
      </c>
      <c r="B45" s="45">
        <v>101117.53791426426</v>
      </c>
      <c r="C45" s="45">
        <v>46413.527145745094</v>
      </c>
      <c r="D45" s="45">
        <v>54704.010768509332</v>
      </c>
      <c r="E45" s="45"/>
      <c r="F45" s="45">
        <v>43486.404638584914</v>
      </c>
      <c r="G45" s="45">
        <v>21282.998664241004</v>
      </c>
      <c r="H45" s="154">
        <v>22203.405974334073</v>
      </c>
      <c r="I45" s="154"/>
      <c r="J45" s="137">
        <v>43.005798534603237</v>
      </c>
      <c r="K45" s="137">
        <v>45.855163296278675</v>
      </c>
      <c r="L45" s="137">
        <v>40.588259731619992</v>
      </c>
      <c r="M45" s="155">
        <f t="shared" si="0"/>
        <v>0.88514044687556237</v>
      </c>
    </row>
    <row r="46" spans="1:13" x14ac:dyDescent="0.2">
      <c r="A46" s="156" t="s">
        <v>190</v>
      </c>
      <c r="B46" s="45">
        <v>76234.087268880321</v>
      </c>
      <c r="C46" s="45">
        <v>34944.58202389106</v>
      </c>
      <c r="D46" s="45">
        <v>41289.505244965105</v>
      </c>
      <c r="E46" s="45"/>
      <c r="F46" s="45">
        <v>33364.547432705629</v>
      </c>
      <c r="G46" s="45">
        <v>16925.991470294062</v>
      </c>
      <c r="H46" s="154">
        <v>16438.555962425093</v>
      </c>
      <c r="I46" s="154"/>
      <c r="J46" s="137">
        <v>43.765917095627628</v>
      </c>
      <c r="K46" s="137">
        <v>48.436668833871693</v>
      </c>
      <c r="L46" s="137">
        <v>39.812915812130882</v>
      </c>
      <c r="M46" s="155">
        <f t="shared" si="0"/>
        <v>0.82195817281905581</v>
      </c>
    </row>
    <row r="47" spans="1:13" x14ac:dyDescent="0.2">
      <c r="A47" s="156" t="s">
        <v>191</v>
      </c>
      <c r="B47" s="45">
        <v>59231.675824870777</v>
      </c>
      <c r="C47" s="45">
        <v>26276.078521661966</v>
      </c>
      <c r="D47" s="45">
        <v>32955.597303222341</v>
      </c>
      <c r="E47" s="45"/>
      <c r="F47" s="45">
        <v>25827.885702985837</v>
      </c>
      <c r="G47" s="45">
        <v>13233.047876775536</v>
      </c>
      <c r="H47" s="154">
        <v>12594.837826217721</v>
      </c>
      <c r="I47" s="154"/>
      <c r="J47" s="137">
        <v>43.60485389498804</v>
      </c>
      <c r="K47" s="137">
        <v>50.361578368187885</v>
      </c>
      <c r="L47" s="137">
        <v>38.217598395596347</v>
      </c>
      <c r="M47" s="155">
        <f t="shared" si="0"/>
        <v>0.75886419039911235</v>
      </c>
    </row>
    <row r="48" spans="1:13" x14ac:dyDescent="0.2">
      <c r="A48" s="156" t="s">
        <v>192</v>
      </c>
      <c r="B48" s="45">
        <v>47613.774419095549</v>
      </c>
      <c r="C48" s="45">
        <v>21098.108952901344</v>
      </c>
      <c r="D48" s="45">
        <v>26515.665466207731</v>
      </c>
      <c r="E48" s="45"/>
      <c r="F48" s="45">
        <v>20187.265482688566</v>
      </c>
      <c r="G48" s="45">
        <v>10502.582870829157</v>
      </c>
      <c r="H48" s="154">
        <v>9684.682611861861</v>
      </c>
      <c r="I48" s="154"/>
      <c r="J48" s="137">
        <v>42.397952544157832</v>
      </c>
      <c r="K48" s="137">
        <v>49.779735682815442</v>
      </c>
      <c r="L48" s="137">
        <v>36.524380744666566</v>
      </c>
      <c r="M48" s="155">
        <f t="shared" si="0"/>
        <v>0.73371986097698816</v>
      </c>
    </row>
    <row r="49" spans="1:13" x14ac:dyDescent="0.2">
      <c r="A49" s="156" t="s">
        <v>193</v>
      </c>
      <c r="B49" s="45">
        <v>27826.669018182758</v>
      </c>
      <c r="C49" s="45">
        <v>11896.962447034921</v>
      </c>
      <c r="D49" s="45">
        <v>15929.706571151937</v>
      </c>
      <c r="E49" s="45"/>
      <c r="F49" s="45">
        <v>12293.625803505447</v>
      </c>
      <c r="G49" s="45">
        <v>6157.0967665508979</v>
      </c>
      <c r="H49" s="154">
        <v>6136.5290369561171</v>
      </c>
      <c r="I49" s="154"/>
      <c r="J49" s="137">
        <v>44.179293595919042</v>
      </c>
      <c r="K49" s="137">
        <v>51.753519387509009</v>
      </c>
      <c r="L49" s="137">
        <v>38.522549110032628</v>
      </c>
      <c r="M49" s="155">
        <f t="shared" si="0"/>
        <v>0.74434646311860775</v>
      </c>
    </row>
    <row r="50" spans="1:13" x14ac:dyDescent="0.2">
      <c r="A50" s="156" t="s">
        <v>194</v>
      </c>
      <c r="B50" s="45">
        <v>23279.731654196541</v>
      </c>
      <c r="C50" s="45">
        <v>9765.2641868914634</v>
      </c>
      <c r="D50" s="45">
        <v>13514.467467309178</v>
      </c>
      <c r="E50" s="45"/>
      <c r="F50" s="45">
        <v>10492.480340420761</v>
      </c>
      <c r="G50" s="45">
        <v>5325.5728415047615</v>
      </c>
      <c r="H50" s="154">
        <v>5166.9074989164528</v>
      </c>
      <c r="I50" s="154"/>
      <c r="J50" s="137">
        <v>45.071311371974005</v>
      </c>
      <c r="K50" s="137">
        <v>54.535880848502387</v>
      </c>
      <c r="L50" s="137">
        <v>38.232416567021893</v>
      </c>
      <c r="M50" s="155">
        <f t="shared" si="0"/>
        <v>0.70105068391999381</v>
      </c>
    </row>
    <row r="51" spans="1:13" x14ac:dyDescent="0.2">
      <c r="A51" s="156" t="s">
        <v>195</v>
      </c>
      <c r="B51" s="45">
        <v>17456.125931792223</v>
      </c>
      <c r="C51" s="45">
        <v>7395.5679128651964</v>
      </c>
      <c r="D51" s="45">
        <v>10060.558018930633</v>
      </c>
      <c r="E51" s="45"/>
      <c r="F51" s="45">
        <v>8686.9275067086255</v>
      </c>
      <c r="G51" s="45">
        <v>4482.2959281187505</v>
      </c>
      <c r="H51" s="154">
        <v>4204.6315785892102</v>
      </c>
      <c r="I51" s="154"/>
      <c r="J51" s="137">
        <v>49.764349436137849</v>
      </c>
      <c r="K51" s="137">
        <v>60.607866507742116</v>
      </c>
      <c r="L51" s="137">
        <v>41.793224299065201</v>
      </c>
      <c r="M51" s="155">
        <f t="shared" si="0"/>
        <v>0.68956765362672001</v>
      </c>
    </row>
    <row r="52" spans="1:13" x14ac:dyDescent="0.2">
      <c r="A52" s="156" t="s">
        <v>196</v>
      </c>
      <c r="B52" s="45">
        <v>16624.602006746602</v>
      </c>
      <c r="C52" s="45">
        <v>7107.6196985382658</v>
      </c>
      <c r="D52" s="45">
        <v>9516.9823082117637</v>
      </c>
      <c r="E52" s="45"/>
      <c r="F52" s="45">
        <v>7937.6745000419178</v>
      </c>
      <c r="G52" s="45">
        <v>4347.1365622101912</v>
      </c>
      <c r="H52" s="154">
        <v>3590.5379378309126</v>
      </c>
      <c r="I52" s="154"/>
      <c r="J52" s="137">
        <v>47.746553552505759</v>
      </c>
      <c r="K52" s="137">
        <v>61.161637040094305</v>
      </c>
      <c r="L52" s="137">
        <v>37.727693732632488</v>
      </c>
      <c r="M52" s="155">
        <f t="shared" si="0"/>
        <v>0.61685225508107677</v>
      </c>
    </row>
    <row r="53" spans="1:13" x14ac:dyDescent="0.2">
      <c r="A53" s="156" t="s">
        <v>275</v>
      </c>
      <c r="B53" s="45">
        <v>8063.5392365723546</v>
      </c>
      <c r="C53" s="45">
        <v>3398.4931446029536</v>
      </c>
      <c r="D53" s="45">
        <v>4665.0460919680063</v>
      </c>
      <c r="E53" s="45"/>
      <c r="F53" s="45">
        <v>3710.5109093185774</v>
      </c>
      <c r="G53" s="45">
        <v>2135.2017069738426</v>
      </c>
      <c r="H53" s="154">
        <v>1575.3092023447614</v>
      </c>
      <c r="I53" s="154"/>
      <c r="J53" s="137">
        <v>46.015909397322105</v>
      </c>
      <c r="K53" s="137">
        <v>62.827895073580585</v>
      </c>
      <c r="L53" s="137">
        <v>33.76835236541563</v>
      </c>
      <c r="M53" s="155">
        <f t="shared" si="0"/>
        <v>0.53747387726212992</v>
      </c>
    </row>
    <row r="54" spans="1:13" x14ac:dyDescent="0.2">
      <c r="A54" s="156" t="s">
        <v>276</v>
      </c>
      <c r="B54" s="45">
        <v>7666.7222187282769</v>
      </c>
      <c r="C54" s="45">
        <v>3157.1414241609032</v>
      </c>
      <c r="D54" s="45">
        <v>4509.5807945660799</v>
      </c>
      <c r="E54" s="45"/>
      <c r="F54" s="45">
        <v>3147.356894953793</v>
      </c>
      <c r="G54" s="45">
        <v>1754.6922378084475</v>
      </c>
      <c r="H54" s="154">
        <v>1392.6646571453718</v>
      </c>
      <c r="I54" s="154"/>
      <c r="J54" s="137">
        <v>41.052183777645787</v>
      </c>
      <c r="K54" s="137">
        <v>55.578512396696901</v>
      </c>
      <c r="L54" s="137">
        <v>30.882352941176105</v>
      </c>
      <c r="M54" s="155">
        <f t="shared" si="0"/>
        <v>0.55565274436908973</v>
      </c>
    </row>
    <row r="55" spans="1:13" x14ac:dyDescent="0.2">
      <c r="A55" s="156" t="s">
        <v>277</v>
      </c>
      <c r="B55" s="45">
        <v>5289.0816213995149</v>
      </c>
      <c r="C55" s="45">
        <v>2185.2115229212945</v>
      </c>
      <c r="D55" s="45">
        <v>3103.8700984777479</v>
      </c>
      <c r="E55" s="45"/>
      <c r="F55" s="45">
        <v>2301.5387034947153</v>
      </c>
      <c r="G55" s="45">
        <v>1316.5627633122929</v>
      </c>
      <c r="H55" s="154">
        <v>984.97594018244877</v>
      </c>
      <c r="I55" s="154"/>
      <c r="J55" s="137">
        <v>43.514902363822344</v>
      </c>
      <c r="K55" s="137">
        <v>60.24875621890628</v>
      </c>
      <c r="L55" s="137">
        <v>31.733800350263305</v>
      </c>
      <c r="M55" s="155">
        <f t="shared" si="0"/>
        <v>0.52671295379049043</v>
      </c>
    </row>
    <row r="56" spans="1:13" x14ac:dyDescent="0.2">
      <c r="A56" s="156" t="s">
        <v>278</v>
      </c>
      <c r="B56" s="45">
        <v>4995.5457451860875</v>
      </c>
      <c r="C56" s="45">
        <v>2039.5307547265431</v>
      </c>
      <c r="D56" s="45">
        <v>2956.0149904591945</v>
      </c>
      <c r="E56" s="45"/>
      <c r="F56" s="45">
        <v>2015.6130166647183</v>
      </c>
      <c r="G56" s="45">
        <v>1095.8672711963638</v>
      </c>
      <c r="H56" s="154">
        <v>919.74574546838107</v>
      </c>
      <c r="I56" s="154"/>
      <c r="J56" s="137">
        <v>40.348204570184507</v>
      </c>
      <c r="K56" s="137">
        <v>53.731343283582824</v>
      </c>
      <c r="L56" s="137">
        <v>31.11438028687078</v>
      </c>
      <c r="M56" s="155">
        <f t="shared" si="0"/>
        <v>0.57907318867230939</v>
      </c>
    </row>
    <row r="57" spans="1:13" x14ac:dyDescent="0.2">
      <c r="A57" s="156" t="s">
        <v>279</v>
      </c>
      <c r="B57" s="45">
        <v>1817.748092698713</v>
      </c>
      <c r="C57" s="45">
        <v>613.16383031226292</v>
      </c>
      <c r="D57" s="45">
        <v>1204.5842623864767</v>
      </c>
      <c r="E57" s="45"/>
      <c r="F57" s="45">
        <v>417.47324617005495</v>
      </c>
      <c r="G57" s="45">
        <v>254.39775938487719</v>
      </c>
      <c r="H57" s="154">
        <v>163.07548678517765</v>
      </c>
      <c r="I57" s="154"/>
      <c r="J57" s="137">
        <v>22.966507177034142</v>
      </c>
      <c r="K57" s="137">
        <v>41.489361702127937</v>
      </c>
      <c r="L57" s="137">
        <v>13.537906137184493</v>
      </c>
      <c r="M57" s="155">
        <f t="shared" si="0"/>
        <v>0.32629825048598304</v>
      </c>
    </row>
    <row r="58" spans="1:13" x14ac:dyDescent="0.2">
      <c r="A58" s="156" t="s">
        <v>280</v>
      </c>
      <c r="B58" s="45">
        <v>1174.1435048532451</v>
      </c>
      <c r="C58" s="45">
        <v>404.42720722724073</v>
      </c>
      <c r="D58" s="45">
        <v>769.71629762602538</v>
      </c>
      <c r="E58" s="45"/>
      <c r="F58" s="45">
        <v>266.35662841579023</v>
      </c>
      <c r="G58" s="45">
        <v>154.37812748996816</v>
      </c>
      <c r="H58" s="154">
        <v>111.97850092582195</v>
      </c>
      <c r="I58" s="154"/>
      <c r="J58" s="137">
        <v>22.685185185185805</v>
      </c>
      <c r="K58" s="137">
        <v>38.17204301075261</v>
      </c>
      <c r="L58" s="137">
        <v>14.548022598870279</v>
      </c>
      <c r="M58" s="155">
        <f t="shared" si="0"/>
        <v>0.38111721174505314</v>
      </c>
    </row>
    <row r="59" spans="1:13" x14ac:dyDescent="0.2">
      <c r="A59" s="156" t="s">
        <v>281</v>
      </c>
      <c r="B59" s="45">
        <v>912.13555608507318</v>
      </c>
      <c r="C59" s="45">
        <v>268.5309682395926</v>
      </c>
      <c r="D59" s="45">
        <v>643.60458784549451</v>
      </c>
      <c r="E59" s="45"/>
      <c r="F59" s="45">
        <v>154.37812748996816</v>
      </c>
      <c r="G59" s="45">
        <v>75.014723921181655</v>
      </c>
      <c r="H59" s="154">
        <v>79.363403568786396</v>
      </c>
      <c r="I59" s="154"/>
      <c r="J59" s="137">
        <v>16.92491060786686</v>
      </c>
      <c r="K59" s="137">
        <v>27.935222672064718</v>
      </c>
      <c r="L59" s="137">
        <v>12.331081081081186</v>
      </c>
      <c r="M59" s="155">
        <f t="shared" si="0"/>
        <v>0.44141696043870426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2"/>
  <sheetViews>
    <sheetView workbookViewId="0">
      <selection activeCell="A2" sqref="A2:A3"/>
    </sheetView>
  </sheetViews>
  <sheetFormatPr defaultRowHeight="12" x14ac:dyDescent="0.2"/>
  <cols>
    <col min="1" max="1" width="19.140625" style="576" customWidth="1"/>
    <col min="2" max="4" width="12" style="575" bestFit="1" customWidth="1"/>
    <col min="5" max="5" width="9.140625" style="575"/>
    <col min="6" max="8" width="12" style="575" bestFit="1" customWidth="1"/>
    <col min="9" max="9" width="9.140625" style="575"/>
    <col min="10" max="13" width="9.28515625" style="575" bestFit="1" customWidth="1"/>
    <col min="14" max="16384" width="9.140625" style="575"/>
  </cols>
  <sheetData>
    <row r="1" spans="1:13" ht="22.5" customHeight="1" x14ac:dyDescent="0.2">
      <c r="A1" s="726" t="s">
        <v>282</v>
      </c>
      <c r="B1" s="726"/>
      <c r="C1" s="726"/>
      <c r="D1" s="726"/>
      <c r="E1" s="726"/>
      <c r="F1" s="726"/>
      <c r="G1" s="726"/>
      <c r="H1" s="726"/>
      <c r="I1" s="726"/>
      <c r="J1" s="726"/>
      <c r="K1" s="726"/>
      <c r="L1" s="726"/>
      <c r="M1" s="726"/>
    </row>
    <row r="2" spans="1:13" ht="27.75" customHeight="1" x14ac:dyDescent="0.2">
      <c r="A2" s="715" t="str">
        <f>'Q5.1'!$A$2</f>
        <v>Área de residência, município e comuna</v>
      </c>
      <c r="B2" s="702" t="s">
        <v>549</v>
      </c>
      <c r="C2" s="702"/>
      <c r="D2" s="702"/>
      <c r="E2" s="470"/>
      <c r="F2" s="702" t="s">
        <v>550</v>
      </c>
      <c r="G2" s="702"/>
      <c r="H2" s="702"/>
      <c r="I2" s="470"/>
      <c r="J2" s="724" t="s">
        <v>270</v>
      </c>
      <c r="K2" s="724"/>
      <c r="L2" s="724"/>
      <c r="M2" s="702" t="s">
        <v>271</v>
      </c>
    </row>
    <row r="3" spans="1:13" ht="12.75" thickBot="1" x14ac:dyDescent="0.25">
      <c r="A3" s="716"/>
      <c r="B3" s="162" t="s">
        <v>2</v>
      </c>
      <c r="C3" s="162" t="s">
        <v>3</v>
      </c>
      <c r="D3" s="162" t="s">
        <v>4</v>
      </c>
      <c r="E3" s="476"/>
      <c r="F3" s="162" t="s">
        <v>2</v>
      </c>
      <c r="G3" s="162" t="s">
        <v>3</v>
      </c>
      <c r="H3" s="162" t="s">
        <v>4</v>
      </c>
      <c r="I3" s="476"/>
      <c r="J3" s="162" t="s">
        <v>2</v>
      </c>
      <c r="K3" s="162" t="s">
        <v>3</v>
      </c>
      <c r="L3" s="162" t="s">
        <v>4</v>
      </c>
      <c r="M3" s="703"/>
    </row>
    <row r="4" spans="1:13" x14ac:dyDescent="0.2">
      <c r="A4" s="398" t="s">
        <v>32</v>
      </c>
      <c r="B4" s="227">
        <v>401586.30815195339</v>
      </c>
      <c r="C4" s="227">
        <v>191140.54638161309</v>
      </c>
      <c r="D4" s="227">
        <v>210445.76177033299</v>
      </c>
      <c r="E4" s="227"/>
      <c r="F4" s="227">
        <v>217633.29026115435</v>
      </c>
      <c r="G4" s="227">
        <v>101888.42870076247</v>
      </c>
      <c r="H4" s="227">
        <v>115744.8615604955</v>
      </c>
      <c r="I4" s="227"/>
      <c r="J4" s="516">
        <v>54.193403969078851</v>
      </c>
      <c r="K4" s="516">
        <v>53.305502484721835</v>
      </c>
      <c r="L4" s="516">
        <v>54.999853922841147</v>
      </c>
      <c r="M4" s="517">
        <v>1.0317856761336213</v>
      </c>
    </row>
    <row r="5" spans="1:13" x14ac:dyDescent="0.2">
      <c r="A5" s="230"/>
      <c r="B5" s="211"/>
      <c r="C5" s="211"/>
      <c r="D5" s="211"/>
      <c r="E5" s="211"/>
      <c r="F5" s="211"/>
      <c r="G5" s="211"/>
      <c r="H5" s="211"/>
      <c r="I5" s="211"/>
      <c r="J5" s="518"/>
      <c r="K5" s="518"/>
      <c r="L5" s="518"/>
      <c r="M5" s="519"/>
    </row>
    <row r="6" spans="1:13" x14ac:dyDescent="0.2">
      <c r="A6" s="398" t="s">
        <v>167</v>
      </c>
      <c r="B6" s="227"/>
      <c r="C6" s="227"/>
      <c r="D6" s="227"/>
      <c r="E6" s="227"/>
      <c r="F6" s="227"/>
      <c r="G6" s="227"/>
      <c r="H6" s="227"/>
      <c r="I6" s="227"/>
      <c r="J6" s="516"/>
      <c r="K6" s="516"/>
      <c r="L6" s="516"/>
      <c r="M6" s="517"/>
    </row>
    <row r="7" spans="1:13" x14ac:dyDescent="0.2">
      <c r="A7" s="229" t="s">
        <v>8</v>
      </c>
      <c r="B7" s="210">
        <v>116805.55480221227</v>
      </c>
      <c r="C7" s="210">
        <v>52847.816171261082</v>
      </c>
      <c r="D7" s="210">
        <v>63957.738631026499</v>
      </c>
      <c r="E7" s="210"/>
      <c r="F7" s="210">
        <v>104615.97734020973</v>
      </c>
      <c r="G7" s="210">
        <v>47590.948878774616</v>
      </c>
      <c r="H7" s="210">
        <v>57025.028461488007</v>
      </c>
      <c r="I7" s="210"/>
      <c r="J7" s="506">
        <v>89.5642142339575</v>
      </c>
      <c r="K7" s="506">
        <v>90.052820204571674</v>
      </c>
      <c r="L7" s="506">
        <v>89.1604826594033</v>
      </c>
      <c r="M7" s="520">
        <v>0.99009095391858615</v>
      </c>
    </row>
    <row r="8" spans="1:13" x14ac:dyDescent="0.2">
      <c r="A8" s="229" t="s">
        <v>9</v>
      </c>
      <c r="B8" s="210">
        <v>284780.7533497737</v>
      </c>
      <c r="C8" s="210">
        <v>138292.73021040444</v>
      </c>
      <c r="D8" s="210">
        <v>146488.02313939165</v>
      </c>
      <c r="E8" s="210"/>
      <c r="F8" s="210">
        <v>113017.3129210452</v>
      </c>
      <c r="G8" s="210">
        <v>54297.479822033391</v>
      </c>
      <c r="H8" s="210">
        <v>58719.833099079922</v>
      </c>
      <c r="I8" s="210"/>
      <c r="J8" s="506">
        <v>39.685727210023003</v>
      </c>
      <c r="K8" s="506">
        <v>39.26271448932895</v>
      </c>
      <c r="L8" s="506">
        <v>40.085074424945226</v>
      </c>
      <c r="M8" s="520">
        <v>1.0209450606335377</v>
      </c>
    </row>
    <row r="9" spans="1:13" x14ac:dyDescent="0.2">
      <c r="A9" s="398" t="s">
        <v>360</v>
      </c>
      <c r="B9" s="227"/>
      <c r="C9" s="227"/>
      <c r="D9" s="227"/>
      <c r="E9" s="227"/>
      <c r="F9" s="227"/>
      <c r="G9" s="227"/>
      <c r="H9" s="227"/>
      <c r="I9" s="227"/>
      <c r="J9" s="516"/>
      <c r="K9" s="516"/>
      <c r="L9" s="516"/>
      <c r="M9" s="517"/>
    </row>
    <row r="10" spans="1:13" x14ac:dyDescent="0.2">
      <c r="A10" s="230" t="s">
        <v>11</v>
      </c>
      <c r="B10" s="211">
        <v>53008.853575451751</v>
      </c>
      <c r="C10" s="211">
        <v>25465.154846917096</v>
      </c>
      <c r="D10" s="211">
        <v>27543.698728522802</v>
      </c>
      <c r="E10" s="211"/>
      <c r="F10" s="211">
        <v>33845.627960348378</v>
      </c>
      <c r="G10" s="211">
        <v>15905.639759556003</v>
      </c>
      <c r="H10" s="211">
        <v>17939.98820078099</v>
      </c>
      <c r="I10" s="211"/>
      <c r="J10" s="518">
        <v>63.849009509624693</v>
      </c>
      <c r="K10" s="518">
        <v>62.460408566819162</v>
      </c>
      <c r="L10" s="518">
        <v>65.132821766613262</v>
      </c>
      <c r="M10" s="519">
        <v>1.0427857143607249</v>
      </c>
    </row>
    <row r="11" spans="1:13" x14ac:dyDescent="0.2">
      <c r="A11" s="931" t="s">
        <v>12</v>
      </c>
      <c r="B11" s="210">
        <v>33594.235028849987</v>
      </c>
      <c r="C11" s="210">
        <v>15705.567034412339</v>
      </c>
      <c r="D11" s="210">
        <v>17888.667994426363</v>
      </c>
      <c r="E11" s="210"/>
      <c r="F11" s="210">
        <v>21075.287999408298</v>
      </c>
      <c r="G11" s="210">
        <v>9679.6665046552243</v>
      </c>
      <c r="H11" s="210">
        <v>11395.621494750576</v>
      </c>
      <c r="I11" s="210"/>
      <c r="J11" s="506">
        <v>62.734835251666993</v>
      </c>
      <c r="K11" s="506">
        <v>61.632072776784689</v>
      </c>
      <c r="L11" s="506">
        <v>63.703018571879866</v>
      </c>
      <c r="M11" s="520">
        <v>1.0336017547648544</v>
      </c>
    </row>
    <row r="12" spans="1:13" x14ac:dyDescent="0.2">
      <c r="A12" s="931" t="s">
        <v>13</v>
      </c>
      <c r="B12" s="210">
        <v>19414.618546589922</v>
      </c>
      <c r="C12" s="210">
        <v>9759.5878124988358</v>
      </c>
      <c r="D12" s="210">
        <v>9655.0307340902127</v>
      </c>
      <c r="E12" s="210"/>
      <c r="F12" s="210">
        <v>12770.339960931242</v>
      </c>
      <c r="G12" s="210">
        <v>6225.9732549018281</v>
      </c>
      <c r="H12" s="210">
        <v>6544.3667060302823</v>
      </c>
      <c r="I12" s="210"/>
      <c r="J12" s="506">
        <v>65.776929535272231</v>
      </c>
      <c r="K12" s="506">
        <v>63.793403722732478</v>
      </c>
      <c r="L12" s="506">
        <v>67.781935513922463</v>
      </c>
      <c r="M12" s="520">
        <v>1.0625226364864537</v>
      </c>
    </row>
    <row r="13" spans="1:13" x14ac:dyDescent="0.2">
      <c r="A13" s="230" t="s">
        <v>44</v>
      </c>
      <c r="B13" s="211">
        <v>119342.0532036169</v>
      </c>
      <c r="C13" s="211">
        <v>55700.694366357748</v>
      </c>
      <c r="D13" s="211">
        <v>63641.358837340085</v>
      </c>
      <c r="E13" s="211"/>
      <c r="F13" s="211">
        <v>91151.794276697503</v>
      </c>
      <c r="G13" s="211">
        <v>41765.152066136645</v>
      </c>
      <c r="H13" s="211">
        <v>49386.642210588281</v>
      </c>
      <c r="I13" s="211"/>
      <c r="J13" s="518">
        <v>76.378604045955257</v>
      </c>
      <c r="K13" s="518">
        <v>74.981384956195654</v>
      </c>
      <c r="L13" s="518">
        <v>77.601489208910607</v>
      </c>
      <c r="M13" s="519">
        <v>1.0349433963409136</v>
      </c>
    </row>
    <row r="14" spans="1:13" x14ac:dyDescent="0.2">
      <c r="A14" s="931" t="s">
        <v>15</v>
      </c>
      <c r="B14" s="210">
        <v>97370.98367739805</v>
      </c>
      <c r="C14" s="210">
        <v>44901.259716344481</v>
      </c>
      <c r="D14" s="210">
        <v>52469.723961094372</v>
      </c>
      <c r="E14" s="210"/>
      <c r="F14" s="210">
        <v>81047.636496381107</v>
      </c>
      <c r="G14" s="210">
        <v>36865.57454465091</v>
      </c>
      <c r="H14" s="210">
        <v>44182.061951739932</v>
      </c>
      <c r="I14" s="210"/>
      <c r="J14" s="506">
        <v>83.235922484771933</v>
      </c>
      <c r="K14" s="506">
        <v>82.103653165910785</v>
      </c>
      <c r="L14" s="506">
        <v>84.20486828647185</v>
      </c>
      <c r="M14" s="520">
        <v>1.0255922244569926</v>
      </c>
    </row>
    <row r="15" spans="1:13" x14ac:dyDescent="0.2">
      <c r="A15" s="931" t="s">
        <v>16</v>
      </c>
      <c r="B15" s="210">
        <v>21971.069526247182</v>
      </c>
      <c r="C15" s="210">
        <v>10799.434650005991</v>
      </c>
      <c r="D15" s="210">
        <v>11171.634876238131</v>
      </c>
      <c r="E15" s="210"/>
      <c r="F15" s="210">
        <v>10104.157780327418</v>
      </c>
      <c r="G15" s="210">
        <v>4899.5775214827399</v>
      </c>
      <c r="H15" s="210">
        <v>5204.5802588450797</v>
      </c>
      <c r="I15" s="210"/>
      <c r="J15" s="506">
        <v>45.988465733347176</v>
      </c>
      <c r="K15" s="506">
        <v>45.368833464630512</v>
      </c>
      <c r="L15" s="506">
        <v>46.587453998476605</v>
      </c>
      <c r="M15" s="520">
        <v>1.0268603012417352</v>
      </c>
    </row>
    <row r="16" spans="1:13" x14ac:dyDescent="0.2">
      <c r="A16" s="230" t="s">
        <v>17</v>
      </c>
      <c r="B16" s="211">
        <v>7581.7889587488598</v>
      </c>
      <c r="C16" s="211">
        <v>3471.0452786416408</v>
      </c>
      <c r="D16" s="211">
        <v>4110.7436801072436</v>
      </c>
      <c r="E16" s="211"/>
      <c r="F16" s="211">
        <v>2199.4061587423844</v>
      </c>
      <c r="G16" s="211">
        <v>1186.30574098492</v>
      </c>
      <c r="H16" s="211">
        <v>1013.1004177574883</v>
      </c>
      <c r="I16" s="211"/>
      <c r="J16" s="518">
        <v>29.009065943525723</v>
      </c>
      <c r="K16" s="518">
        <v>34.177190032195931</v>
      </c>
      <c r="L16" s="518">
        <v>24.645185800809976</v>
      </c>
      <c r="M16" s="519">
        <v>0.7211004116369274</v>
      </c>
    </row>
    <row r="17" spans="1:13" x14ac:dyDescent="0.2">
      <c r="A17" s="931" t="s">
        <v>17</v>
      </c>
      <c r="B17" s="210">
        <v>7581.7889587488598</v>
      </c>
      <c r="C17" s="210">
        <v>3471.0452786416408</v>
      </c>
      <c r="D17" s="210">
        <v>4110.7436801072436</v>
      </c>
      <c r="E17" s="210"/>
      <c r="F17" s="210">
        <v>2199.4061587423844</v>
      </c>
      <c r="G17" s="210">
        <v>1186.30574098492</v>
      </c>
      <c r="H17" s="210">
        <v>1013.1004177574883</v>
      </c>
      <c r="I17" s="210"/>
      <c r="J17" s="506">
        <v>29.009065943525723</v>
      </c>
      <c r="K17" s="506">
        <v>34.177190032195931</v>
      </c>
      <c r="L17" s="506">
        <v>24.645185800809976</v>
      </c>
      <c r="M17" s="520">
        <v>0.7211004116369274</v>
      </c>
    </row>
    <row r="18" spans="1:13" x14ac:dyDescent="0.2">
      <c r="A18" s="230" t="s">
        <v>18</v>
      </c>
      <c r="B18" s="211">
        <v>8059.3721338850746</v>
      </c>
      <c r="C18" s="211">
        <v>3930.0676332737748</v>
      </c>
      <c r="D18" s="211">
        <v>4129.3045006113207</v>
      </c>
      <c r="E18" s="211"/>
      <c r="F18" s="211">
        <v>1286.604557535059</v>
      </c>
      <c r="G18" s="211">
        <v>675.74222033478952</v>
      </c>
      <c r="H18" s="211">
        <v>610.86233720026803</v>
      </c>
      <c r="I18" s="211"/>
      <c r="J18" s="518">
        <v>15.96407928758644</v>
      </c>
      <c r="K18" s="518">
        <v>17.194162630017857</v>
      </c>
      <c r="L18" s="518">
        <v>14.793346848357396</v>
      </c>
      <c r="M18" s="519">
        <v>0.86037029930907616</v>
      </c>
    </row>
    <row r="19" spans="1:13" x14ac:dyDescent="0.2">
      <c r="A19" s="931" t="s">
        <v>18</v>
      </c>
      <c r="B19" s="210">
        <v>8059.3721338850746</v>
      </c>
      <c r="C19" s="210">
        <v>3930.0676332737748</v>
      </c>
      <c r="D19" s="210">
        <v>4129.3045006113207</v>
      </c>
      <c r="E19" s="210"/>
      <c r="F19" s="210">
        <v>1286.604557535059</v>
      </c>
      <c r="G19" s="210">
        <v>675.74222033478952</v>
      </c>
      <c r="H19" s="210">
        <v>610.86233720026803</v>
      </c>
      <c r="I19" s="210"/>
      <c r="J19" s="506">
        <v>15.96407928758644</v>
      </c>
      <c r="K19" s="506">
        <v>17.194162630017857</v>
      </c>
      <c r="L19" s="506">
        <v>14.793346848357396</v>
      </c>
      <c r="M19" s="520">
        <v>0.86037029930907616</v>
      </c>
    </row>
    <row r="20" spans="1:13" x14ac:dyDescent="0.2">
      <c r="A20" s="230" t="s">
        <v>19</v>
      </c>
      <c r="B20" s="211">
        <v>29760.728842419918</v>
      </c>
      <c r="C20" s="211">
        <v>14103.321549254821</v>
      </c>
      <c r="D20" s="211">
        <v>15657.407293155638</v>
      </c>
      <c r="E20" s="211"/>
      <c r="F20" s="211">
        <v>10527.474242117907</v>
      </c>
      <c r="G20" s="211">
        <v>5170.7880459487087</v>
      </c>
      <c r="H20" s="211">
        <v>5356.6861961697177</v>
      </c>
      <c r="I20" s="211"/>
      <c r="J20" s="518">
        <v>35.373711100492905</v>
      </c>
      <c r="K20" s="518">
        <v>36.66361876448908</v>
      </c>
      <c r="L20" s="518">
        <v>34.211834027664473</v>
      </c>
      <c r="M20" s="519">
        <v>0.93312758479805846</v>
      </c>
    </row>
    <row r="21" spans="1:13" x14ac:dyDescent="0.2">
      <c r="A21" s="931" t="s">
        <v>19</v>
      </c>
      <c r="B21" s="210">
        <v>17909.383429160658</v>
      </c>
      <c r="C21" s="210">
        <v>8427.77599220706</v>
      </c>
      <c r="D21" s="210">
        <v>9481.6074369537146</v>
      </c>
      <c r="E21" s="210"/>
      <c r="F21" s="210">
        <v>8709.0168103471005</v>
      </c>
      <c r="G21" s="210">
        <v>4238.0578569181016</v>
      </c>
      <c r="H21" s="210">
        <v>4470.9589534291517</v>
      </c>
      <c r="I21" s="210"/>
      <c r="J21" s="506">
        <v>48.628233600533434</v>
      </c>
      <c r="K21" s="506">
        <v>50.286788125799809</v>
      </c>
      <c r="L21" s="506">
        <v>47.154018800695113</v>
      </c>
      <c r="M21" s="520">
        <v>0.93770194037313315</v>
      </c>
    </row>
    <row r="22" spans="1:13" x14ac:dyDescent="0.2">
      <c r="A22" s="931" t="s">
        <v>20</v>
      </c>
      <c r="B22" s="210">
        <v>11851.345413251027</v>
      </c>
      <c r="C22" s="210">
        <v>5675.545557048682</v>
      </c>
      <c r="D22" s="210">
        <v>6175.7998562030452</v>
      </c>
      <c r="E22" s="210"/>
      <c r="F22" s="210">
        <v>1818.4574317711956</v>
      </c>
      <c r="G22" s="210">
        <v>932.73018903062541</v>
      </c>
      <c r="H22" s="210">
        <v>885.72724274058146</v>
      </c>
      <c r="I22" s="210"/>
      <c r="J22" s="506">
        <v>15.343890236613866</v>
      </c>
      <c r="K22" s="506">
        <v>16.434194381053434</v>
      </c>
      <c r="L22" s="506">
        <v>14.341903289675798</v>
      </c>
      <c r="M22" s="520">
        <v>0.87268672605030251</v>
      </c>
    </row>
    <row r="23" spans="1:13" x14ac:dyDescent="0.2">
      <c r="A23" s="230" t="s">
        <v>21</v>
      </c>
      <c r="B23" s="211">
        <v>16774.933819844689</v>
      </c>
      <c r="C23" s="211">
        <v>7972.5360023721796</v>
      </c>
      <c r="D23" s="211">
        <v>8802.3978174736221</v>
      </c>
      <c r="E23" s="211"/>
      <c r="F23" s="211">
        <v>7415.4704529648661</v>
      </c>
      <c r="G23" s="211">
        <v>3861.706347880895</v>
      </c>
      <c r="H23" s="211">
        <v>3553.7641050839929</v>
      </c>
      <c r="I23" s="211"/>
      <c r="J23" s="518">
        <v>44.205661450613761</v>
      </c>
      <c r="K23" s="518">
        <v>48.437615668739824</v>
      </c>
      <c r="L23" s="518">
        <v>40.372682293789268</v>
      </c>
      <c r="M23" s="519">
        <v>0.83349854728387429</v>
      </c>
    </row>
    <row r="24" spans="1:13" x14ac:dyDescent="0.2">
      <c r="A24" s="931" t="s">
        <v>21</v>
      </c>
      <c r="B24" s="210">
        <v>16774.933819844689</v>
      </c>
      <c r="C24" s="210">
        <v>7972.5360023721796</v>
      </c>
      <c r="D24" s="210">
        <v>8802.3978174736221</v>
      </c>
      <c r="E24" s="210"/>
      <c r="F24" s="210">
        <v>7415.4704529648661</v>
      </c>
      <c r="G24" s="210">
        <v>3861.706347880895</v>
      </c>
      <c r="H24" s="210">
        <v>3553.7641050839929</v>
      </c>
      <c r="I24" s="210"/>
      <c r="J24" s="506">
        <v>44.205661450613761</v>
      </c>
      <c r="K24" s="506">
        <v>48.437615668739824</v>
      </c>
      <c r="L24" s="506">
        <v>40.372682293789268</v>
      </c>
      <c r="M24" s="520">
        <v>0.83349854728387429</v>
      </c>
    </row>
    <row r="25" spans="1:13" x14ac:dyDescent="0.2">
      <c r="A25" s="230" t="s">
        <v>22</v>
      </c>
      <c r="B25" s="211">
        <v>33425.082040977773</v>
      </c>
      <c r="C25" s="211">
        <v>16111.411515196211</v>
      </c>
      <c r="D25" s="211">
        <v>17313.670525770147</v>
      </c>
      <c r="E25" s="211"/>
      <c r="F25" s="211">
        <v>25501.724603790324</v>
      </c>
      <c r="G25" s="211">
        <v>12203.766040052045</v>
      </c>
      <c r="H25" s="211">
        <v>13297.958563732416</v>
      </c>
      <c r="I25" s="211"/>
      <c r="J25" s="518">
        <v>76.295174302101117</v>
      </c>
      <c r="K25" s="518">
        <v>75.746101007615849</v>
      </c>
      <c r="L25" s="518">
        <v>76.806120019095232</v>
      </c>
      <c r="M25" s="519">
        <v>1.0139943706326588</v>
      </c>
    </row>
    <row r="26" spans="1:13" x14ac:dyDescent="0.2">
      <c r="A26" s="931" t="s">
        <v>22</v>
      </c>
      <c r="B26" s="210">
        <v>33425.082040977773</v>
      </c>
      <c r="C26" s="210">
        <v>16111.411515196211</v>
      </c>
      <c r="D26" s="210">
        <v>17313.670525770147</v>
      </c>
      <c r="E26" s="210"/>
      <c r="F26" s="210">
        <v>25501.724603790324</v>
      </c>
      <c r="G26" s="210">
        <v>12203.766040052045</v>
      </c>
      <c r="H26" s="210">
        <v>13297.958563732416</v>
      </c>
      <c r="I26" s="210"/>
      <c r="J26" s="506">
        <v>76.295174302101117</v>
      </c>
      <c r="K26" s="506">
        <v>75.746101007615849</v>
      </c>
      <c r="L26" s="506">
        <v>76.806120019095232</v>
      </c>
      <c r="M26" s="520">
        <v>1.0139943706326588</v>
      </c>
    </row>
    <row r="27" spans="1:13" x14ac:dyDescent="0.2">
      <c r="A27" s="230" t="s">
        <v>23</v>
      </c>
      <c r="B27" s="211">
        <v>39166.671277687907</v>
      </c>
      <c r="C27" s="211">
        <v>18872.338454445693</v>
      </c>
      <c r="D27" s="211">
        <v>20294.332823230423</v>
      </c>
      <c r="E27" s="211"/>
      <c r="F27" s="211">
        <v>16737.405267291841</v>
      </c>
      <c r="G27" s="211">
        <v>7442.7937773208942</v>
      </c>
      <c r="H27" s="211">
        <v>9294.6114899721924</v>
      </c>
      <c r="I27" s="211"/>
      <c r="J27" s="518">
        <v>42.73379565147907</v>
      </c>
      <c r="K27" s="518">
        <v>39.437581067584979</v>
      </c>
      <c r="L27" s="518">
        <v>45.799049276127526</v>
      </c>
      <c r="M27" s="519">
        <v>1.1613047260084428</v>
      </c>
    </row>
    <row r="28" spans="1:13" x14ac:dyDescent="0.2">
      <c r="A28" s="931" t="s">
        <v>23</v>
      </c>
      <c r="B28" s="210">
        <v>20845.492385590955</v>
      </c>
      <c r="C28" s="210">
        <v>10019.197335223056</v>
      </c>
      <c r="D28" s="210">
        <v>10826.295050365808</v>
      </c>
      <c r="E28" s="210"/>
      <c r="F28" s="210">
        <v>11474.407012296917</v>
      </c>
      <c r="G28" s="210">
        <v>5048.7029740818607</v>
      </c>
      <c r="H28" s="210">
        <v>6425.7040382157511</v>
      </c>
      <c r="I28" s="210"/>
      <c r="J28" s="506">
        <v>55.045027481477732</v>
      </c>
      <c r="K28" s="506">
        <v>50.390293804603779</v>
      </c>
      <c r="L28" s="506">
        <v>59.3527518723849</v>
      </c>
      <c r="M28" s="520">
        <v>1.177860801973778</v>
      </c>
    </row>
    <row r="29" spans="1:13" x14ac:dyDescent="0.2">
      <c r="A29" s="931" t="s">
        <v>24</v>
      </c>
      <c r="B29" s="210">
        <v>18321.178892085183</v>
      </c>
      <c r="C29" s="210">
        <v>8853.1411192220821</v>
      </c>
      <c r="D29" s="210">
        <v>9468.0377728630101</v>
      </c>
      <c r="E29" s="210"/>
      <c r="F29" s="210">
        <v>5262.9982549957203</v>
      </c>
      <c r="G29" s="210">
        <v>2394.0908032390553</v>
      </c>
      <c r="H29" s="210">
        <v>2868.9074517566864</v>
      </c>
      <c r="I29" s="210"/>
      <c r="J29" s="506">
        <v>28.726307875687322</v>
      </c>
      <c r="K29" s="506">
        <v>27.042275402579946</v>
      </c>
      <c r="L29" s="506">
        <v>30.300971759739873</v>
      </c>
      <c r="M29" s="520">
        <v>1.1205037782008918</v>
      </c>
    </row>
    <row r="30" spans="1:13" x14ac:dyDescent="0.2">
      <c r="A30" s="230" t="s">
        <v>25</v>
      </c>
      <c r="B30" s="211">
        <v>4317.0673198822224</v>
      </c>
      <c r="C30" s="211">
        <v>2230.7977772736908</v>
      </c>
      <c r="D30" s="211">
        <v>2086.2695426085561</v>
      </c>
      <c r="E30" s="211"/>
      <c r="F30" s="211">
        <v>770.73594486763375</v>
      </c>
      <c r="G30" s="211">
        <v>362.77484339002888</v>
      </c>
      <c r="H30" s="211">
        <v>407.96110147760174</v>
      </c>
      <c r="I30" s="211"/>
      <c r="J30" s="518">
        <v>17.853229698735785</v>
      </c>
      <c r="K30" s="518">
        <v>16.262112464240655</v>
      </c>
      <c r="L30" s="518">
        <v>19.554573037935864</v>
      </c>
      <c r="M30" s="519">
        <v>1.2024620467319433</v>
      </c>
    </row>
    <row r="31" spans="1:13" x14ac:dyDescent="0.2">
      <c r="A31" s="931" t="s">
        <v>25</v>
      </c>
      <c r="B31" s="210">
        <v>4317.0673198822224</v>
      </c>
      <c r="C31" s="210">
        <v>2230.7977772736908</v>
      </c>
      <c r="D31" s="210">
        <v>2086.2695426085561</v>
      </c>
      <c r="E31" s="210"/>
      <c r="F31" s="210">
        <v>770.73594486763375</v>
      </c>
      <c r="G31" s="210">
        <v>362.77484339002888</v>
      </c>
      <c r="H31" s="210">
        <v>407.96110147760174</v>
      </c>
      <c r="I31" s="210"/>
      <c r="J31" s="506">
        <v>17.853229698735785</v>
      </c>
      <c r="K31" s="506">
        <v>16.262112464240655</v>
      </c>
      <c r="L31" s="506">
        <v>19.554573037935864</v>
      </c>
      <c r="M31" s="520">
        <v>1.2024620467319433</v>
      </c>
    </row>
    <row r="32" spans="1:13" x14ac:dyDescent="0.2">
      <c r="A32" s="230" t="s">
        <v>26</v>
      </c>
      <c r="B32" s="211">
        <v>1874.5438190735877</v>
      </c>
      <c r="C32" s="211">
        <v>1010.2199105289739</v>
      </c>
      <c r="D32" s="211">
        <v>864.32390854463267</v>
      </c>
      <c r="E32" s="211"/>
      <c r="F32" s="211">
        <v>432.35192195553645</v>
      </c>
      <c r="G32" s="211">
        <v>286.11397814139815</v>
      </c>
      <c r="H32" s="211">
        <v>146.23794381413873</v>
      </c>
      <c r="I32" s="211"/>
      <c r="J32" s="518">
        <v>23.064380653913272</v>
      </c>
      <c r="K32" s="518">
        <v>28.321950018940122</v>
      </c>
      <c r="L32" s="518">
        <v>16.91934497801611</v>
      </c>
      <c r="M32" s="519">
        <v>0.59739336333484827</v>
      </c>
    </row>
    <row r="33" spans="1:13" x14ac:dyDescent="0.2">
      <c r="A33" s="931" t="s">
        <v>26</v>
      </c>
      <c r="B33" s="210">
        <v>1874.5438190735877</v>
      </c>
      <c r="C33" s="210">
        <v>1010.2199105289739</v>
      </c>
      <c r="D33" s="210">
        <v>864.32390854463267</v>
      </c>
      <c r="E33" s="210"/>
      <c r="F33" s="210">
        <v>432.35192195553645</v>
      </c>
      <c r="G33" s="210">
        <v>286.11397814139815</v>
      </c>
      <c r="H33" s="210">
        <v>146.23794381413873</v>
      </c>
      <c r="I33" s="210"/>
      <c r="J33" s="506">
        <v>23.064380653913272</v>
      </c>
      <c r="K33" s="506">
        <v>28.321950018940122</v>
      </c>
      <c r="L33" s="506">
        <v>16.91934497801611</v>
      </c>
      <c r="M33" s="520">
        <v>0.59739336333484827</v>
      </c>
    </row>
    <row r="34" spans="1:13" x14ac:dyDescent="0.2">
      <c r="A34" s="230" t="s">
        <v>27</v>
      </c>
      <c r="B34" s="211">
        <v>7968.7956469137762</v>
      </c>
      <c r="C34" s="211">
        <v>3755.304575043921</v>
      </c>
      <c r="D34" s="211">
        <v>4213.4910718698784</v>
      </c>
      <c r="E34" s="211"/>
      <c r="F34" s="211">
        <v>3123.6538017904904</v>
      </c>
      <c r="G34" s="211">
        <v>1486.777260175784</v>
      </c>
      <c r="H34" s="211">
        <v>1636.8765416147276</v>
      </c>
      <c r="I34" s="211"/>
      <c r="J34" s="518">
        <v>39.198568267970089</v>
      </c>
      <c r="K34" s="518">
        <v>39.591389472274713</v>
      </c>
      <c r="L34" s="518">
        <v>38.848463511477654</v>
      </c>
      <c r="M34" s="519">
        <v>0.98123516323372995</v>
      </c>
    </row>
    <row r="35" spans="1:13" x14ac:dyDescent="0.2">
      <c r="A35" s="931" t="s">
        <v>27</v>
      </c>
      <c r="B35" s="210">
        <v>7968.7956469137762</v>
      </c>
      <c r="C35" s="210">
        <v>3755.304575043921</v>
      </c>
      <c r="D35" s="210">
        <v>4213.4910718698784</v>
      </c>
      <c r="E35" s="210"/>
      <c r="F35" s="210">
        <v>3123.6538017904904</v>
      </c>
      <c r="G35" s="210">
        <v>1486.777260175784</v>
      </c>
      <c r="H35" s="210">
        <v>1636.8765416147276</v>
      </c>
      <c r="I35" s="210"/>
      <c r="J35" s="506">
        <v>39.198568267970089</v>
      </c>
      <c r="K35" s="506">
        <v>39.591389472274713</v>
      </c>
      <c r="L35" s="506">
        <v>38.848463511477654</v>
      </c>
      <c r="M35" s="520">
        <v>0.98123516323372995</v>
      </c>
    </row>
    <row r="36" spans="1:13" x14ac:dyDescent="0.2">
      <c r="A36" s="230" t="s">
        <v>28</v>
      </c>
      <c r="B36" s="211">
        <v>22475.002196899692</v>
      </c>
      <c r="C36" s="211">
        <v>11519.990194618211</v>
      </c>
      <c r="D36" s="211">
        <v>10955.012002278105</v>
      </c>
      <c r="E36" s="211"/>
      <c r="F36" s="211">
        <v>8093.1953387616268</v>
      </c>
      <c r="G36" s="211">
        <v>3755.6535184301861</v>
      </c>
      <c r="H36" s="211">
        <v>4337.5418203314603</v>
      </c>
      <c r="I36" s="211"/>
      <c r="J36" s="518">
        <v>36.009764394498006</v>
      </c>
      <c r="K36" s="518">
        <v>32.601186763030242</v>
      </c>
      <c r="L36" s="518">
        <v>39.594131155945135</v>
      </c>
      <c r="M36" s="519">
        <v>1.2144996881170256</v>
      </c>
    </row>
    <row r="37" spans="1:13" x14ac:dyDescent="0.2">
      <c r="A37" s="931" t="s">
        <v>28</v>
      </c>
      <c r="B37" s="210">
        <v>22475.002196899692</v>
      </c>
      <c r="C37" s="210">
        <v>11519.990194618211</v>
      </c>
      <c r="D37" s="210">
        <v>10955.012002278105</v>
      </c>
      <c r="E37" s="210"/>
      <c r="F37" s="210">
        <v>8093.1953387616268</v>
      </c>
      <c r="G37" s="210">
        <v>3755.6535184301861</v>
      </c>
      <c r="H37" s="210">
        <v>4337.5418203314603</v>
      </c>
      <c r="I37" s="210"/>
      <c r="J37" s="506">
        <v>36.009764394498006</v>
      </c>
      <c r="K37" s="506">
        <v>32.601186763030242</v>
      </c>
      <c r="L37" s="506">
        <v>39.594131155945135</v>
      </c>
      <c r="M37" s="520">
        <v>1.2144996881170256</v>
      </c>
    </row>
    <row r="38" spans="1:13" x14ac:dyDescent="0.2">
      <c r="A38" s="230" t="s">
        <v>29</v>
      </c>
      <c r="B38" s="211">
        <v>40183.623045759836</v>
      </c>
      <c r="C38" s="211">
        <v>18722.460132670134</v>
      </c>
      <c r="D38" s="211">
        <v>21461.162913078071</v>
      </c>
      <c r="E38" s="211"/>
      <c r="F38" s="211">
        <v>8380.7320666260712</v>
      </c>
      <c r="G38" s="211">
        <v>3925.5604055260119</v>
      </c>
      <c r="H38" s="211">
        <v>4455.171661100122</v>
      </c>
      <c r="I38" s="211"/>
      <c r="J38" s="518">
        <v>20.856088703307293</v>
      </c>
      <c r="K38" s="518">
        <v>20.967118518127272</v>
      </c>
      <c r="L38" s="518">
        <v>20.759227629670139</v>
      </c>
      <c r="M38" s="519">
        <v>0.99008490898368329</v>
      </c>
    </row>
    <row r="39" spans="1:13" x14ac:dyDescent="0.2">
      <c r="A39" s="931" t="s">
        <v>30</v>
      </c>
      <c r="B39" s="210">
        <v>25071.165379613372</v>
      </c>
      <c r="C39" s="210">
        <v>11532.896979718747</v>
      </c>
      <c r="D39" s="210">
        <v>13538.268399889086</v>
      </c>
      <c r="E39" s="210"/>
      <c r="F39" s="210">
        <v>5054.8609127725795</v>
      </c>
      <c r="G39" s="210">
        <v>2394.0908032390562</v>
      </c>
      <c r="H39" s="210">
        <v>2660.7701095335487</v>
      </c>
      <c r="I39" s="210"/>
      <c r="J39" s="506">
        <v>20.162050053257865</v>
      </c>
      <c r="K39" s="506">
        <v>20.758798135882323</v>
      </c>
      <c r="L39" s="506">
        <v>19.65369595978304</v>
      </c>
      <c r="M39" s="520">
        <v>0.94676463594541749</v>
      </c>
    </row>
    <row r="40" spans="1:13" x14ac:dyDescent="0.2">
      <c r="A40" s="931" t="s">
        <v>29</v>
      </c>
      <c r="B40" s="210">
        <v>15112.457666135882</v>
      </c>
      <c r="C40" s="210">
        <v>7189.5631529507154</v>
      </c>
      <c r="D40" s="210">
        <v>7922.894513186423</v>
      </c>
      <c r="E40" s="210"/>
      <c r="F40" s="210">
        <v>3325.8711538535513</v>
      </c>
      <c r="G40" s="210">
        <v>1531.4696022869773</v>
      </c>
      <c r="H40" s="210">
        <v>1794.4015515665978</v>
      </c>
      <c r="I40" s="210"/>
      <c r="J40" s="506">
        <v>22.007480367050015</v>
      </c>
      <c r="K40" s="506">
        <v>21.301288683422239</v>
      </c>
      <c r="L40" s="506">
        <v>22.648307996277225</v>
      </c>
      <c r="M40" s="520">
        <v>1.0632365174179956</v>
      </c>
    </row>
    <row r="41" spans="1:13" x14ac:dyDescent="0.2">
      <c r="A41" s="230" t="s">
        <v>31</v>
      </c>
      <c r="B41" s="211">
        <v>17647.79227102187</v>
      </c>
      <c r="C41" s="211">
        <v>8275.2041451319437</v>
      </c>
      <c r="D41" s="211">
        <v>9372.5881258904301</v>
      </c>
      <c r="E41" s="211"/>
      <c r="F41" s="211">
        <v>8167.1136678153853</v>
      </c>
      <c r="G41" s="211">
        <v>3859.654696902091</v>
      </c>
      <c r="H41" s="211">
        <v>4307.458970913317</v>
      </c>
      <c r="I41" s="211"/>
      <c r="J41" s="518">
        <v>46.278387360815678</v>
      </c>
      <c r="K41" s="518">
        <v>46.64120218922551</v>
      </c>
      <c r="L41" s="518">
        <v>45.958052493682757</v>
      </c>
      <c r="M41" s="519">
        <v>0.98535308560934642</v>
      </c>
    </row>
    <row r="42" spans="1:13" x14ac:dyDescent="0.2">
      <c r="A42" s="931" t="s">
        <v>31</v>
      </c>
      <c r="B42" s="210">
        <v>17647.79227102187</v>
      </c>
      <c r="C42" s="210">
        <v>8275.2041451319437</v>
      </c>
      <c r="D42" s="210">
        <v>9372.5881258904301</v>
      </c>
      <c r="E42" s="210"/>
      <c r="F42" s="210">
        <v>8167.1136678153853</v>
      </c>
      <c r="G42" s="210">
        <v>3859.654696902091</v>
      </c>
      <c r="H42" s="210">
        <v>4307.458970913317</v>
      </c>
      <c r="I42" s="210"/>
      <c r="J42" s="506">
        <v>46.278387360815678</v>
      </c>
      <c r="K42" s="506">
        <v>46.64120218922551</v>
      </c>
      <c r="L42" s="506">
        <v>45.958052493682757</v>
      </c>
      <c r="M42" s="520">
        <v>0.98535308560934642</v>
      </c>
    </row>
  </sheetData>
  <mergeCells count="6">
    <mergeCell ref="A1:M1"/>
    <mergeCell ref="A2:A3"/>
    <mergeCell ref="B2:D2"/>
    <mergeCell ref="F2:H2"/>
    <mergeCell ref="J2:L2"/>
    <mergeCell ref="M2:M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43"/>
  <sheetViews>
    <sheetView workbookViewId="0">
      <selection activeCell="A2" sqref="A2:A4"/>
    </sheetView>
  </sheetViews>
  <sheetFormatPr defaultRowHeight="12" x14ac:dyDescent="0.2"/>
  <cols>
    <col min="1" max="1" width="22.85546875" style="559" customWidth="1"/>
    <col min="2" max="2" width="13.42578125" style="559" bestFit="1" customWidth="1"/>
    <col min="3" max="3" width="9.140625" style="559"/>
    <col min="4" max="6" width="12" style="559" bestFit="1" customWidth="1"/>
    <col min="7" max="7" width="9.140625" style="559"/>
    <col min="8" max="10" width="12" style="559" bestFit="1" customWidth="1"/>
    <col min="11" max="11" width="9.140625" style="559"/>
    <col min="12" max="14" width="12" style="559" bestFit="1" customWidth="1"/>
    <col min="15" max="16384" width="9.140625" style="559"/>
  </cols>
  <sheetData>
    <row r="1" spans="1:14" x14ac:dyDescent="0.2">
      <c r="A1" s="727" t="s">
        <v>283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</row>
    <row r="2" spans="1:14" ht="15" customHeight="1" x14ac:dyDescent="0.2">
      <c r="A2" s="730" t="str">
        <f>'Q8.3'!$A$2</f>
        <v>Área de residência, município e comuna</v>
      </c>
      <c r="B2" s="730" t="s">
        <v>285</v>
      </c>
      <c r="C2" s="543"/>
      <c r="D2" s="728" t="s">
        <v>284</v>
      </c>
      <c r="E2" s="728"/>
      <c r="F2" s="728"/>
      <c r="G2" s="728"/>
      <c r="H2" s="728"/>
      <c r="I2" s="728"/>
      <c r="J2" s="728"/>
      <c r="K2" s="728"/>
      <c r="L2" s="728"/>
      <c r="M2" s="728"/>
      <c r="N2" s="728"/>
    </row>
    <row r="3" spans="1:14" ht="12.75" customHeight="1" x14ac:dyDescent="0.2">
      <c r="A3" s="731"/>
      <c r="B3" s="731"/>
      <c r="C3" s="544"/>
      <c r="D3" s="729" t="s">
        <v>286</v>
      </c>
      <c r="E3" s="729"/>
      <c r="F3" s="729"/>
      <c r="G3" s="545"/>
      <c r="H3" s="729" t="s">
        <v>287</v>
      </c>
      <c r="I3" s="729"/>
      <c r="J3" s="729"/>
      <c r="K3" s="545"/>
      <c r="L3" s="729" t="s">
        <v>288</v>
      </c>
      <c r="M3" s="729"/>
      <c r="N3" s="729"/>
    </row>
    <row r="4" spans="1:14" ht="12.75" customHeight="1" x14ac:dyDescent="0.2">
      <c r="A4" s="732"/>
      <c r="B4" s="732"/>
      <c r="C4" s="546"/>
      <c r="D4" s="547" t="s">
        <v>2</v>
      </c>
      <c r="E4" s="547" t="s">
        <v>3</v>
      </c>
      <c r="F4" s="547" t="s">
        <v>4</v>
      </c>
      <c r="G4" s="548"/>
      <c r="H4" s="547" t="s">
        <v>2</v>
      </c>
      <c r="I4" s="547" t="s">
        <v>3</v>
      </c>
      <c r="J4" s="547" t="s">
        <v>4</v>
      </c>
      <c r="K4" s="548"/>
      <c r="L4" s="547" t="s">
        <v>2</v>
      </c>
      <c r="M4" s="547" t="s">
        <v>3</v>
      </c>
      <c r="N4" s="547" t="s">
        <v>4</v>
      </c>
    </row>
    <row r="5" spans="1:14" x14ac:dyDescent="0.2">
      <c r="A5" s="549" t="s">
        <v>32</v>
      </c>
      <c r="B5" s="523">
        <v>1493197.1345563552</v>
      </c>
      <c r="C5" s="523"/>
      <c r="D5" s="523">
        <v>444938.26548655168</v>
      </c>
      <c r="E5" s="523">
        <v>213120.55435574657</v>
      </c>
      <c r="F5" s="523">
        <v>231817.71113120514</v>
      </c>
      <c r="G5" s="523"/>
      <c r="H5" s="523">
        <v>386354.38303717913</v>
      </c>
      <c r="I5" s="523">
        <v>185576.15329285699</v>
      </c>
      <c r="J5" s="523">
        <v>200778.22974489187</v>
      </c>
      <c r="K5" s="523"/>
      <c r="L5" s="523">
        <v>661904.4860203797</v>
      </c>
      <c r="M5" s="523">
        <v>312417.25516831217</v>
      </c>
      <c r="N5" s="523">
        <v>349487.23084897094</v>
      </c>
    </row>
    <row r="6" spans="1:14" x14ac:dyDescent="0.2">
      <c r="A6" s="550"/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5"/>
    </row>
    <row r="7" spans="1:14" x14ac:dyDescent="0.2">
      <c r="A7" s="549" t="s">
        <v>167</v>
      </c>
      <c r="B7" s="523"/>
      <c r="C7" s="523"/>
      <c r="D7" s="523"/>
      <c r="E7" s="523"/>
      <c r="F7" s="523"/>
      <c r="G7" s="523"/>
      <c r="H7" s="523"/>
      <c r="I7" s="523"/>
      <c r="J7" s="523"/>
      <c r="K7" s="523"/>
      <c r="L7" s="523"/>
      <c r="M7" s="523"/>
      <c r="N7" s="523"/>
    </row>
    <row r="8" spans="1:14" x14ac:dyDescent="0.2">
      <c r="A8" s="187" t="s">
        <v>8</v>
      </c>
      <c r="B8" s="527">
        <v>395494.13415478583</v>
      </c>
      <c r="C8" s="527"/>
      <c r="D8" s="527">
        <v>204391.77220140339</v>
      </c>
      <c r="E8" s="527">
        <v>95167.562631078603</v>
      </c>
      <c r="F8" s="527">
        <v>109224.20957053969</v>
      </c>
      <c r="G8" s="527"/>
      <c r="H8" s="527">
        <v>146483.11965177432</v>
      </c>
      <c r="I8" s="527">
        <v>69905.839997581686</v>
      </c>
      <c r="J8" s="527">
        <v>76577.279654178463</v>
      </c>
      <c r="K8" s="527"/>
      <c r="L8" s="527">
        <v>44619.242302257953</v>
      </c>
      <c r="M8" s="527">
        <v>19272.671379616095</v>
      </c>
      <c r="N8" s="527">
        <v>25346.570922646704</v>
      </c>
    </row>
    <row r="9" spans="1:14" x14ac:dyDescent="0.2">
      <c r="A9" s="187" t="s">
        <v>9</v>
      </c>
      <c r="B9" s="527">
        <v>1097703.0003991278</v>
      </c>
      <c r="C9" s="527"/>
      <c r="D9" s="527">
        <v>240546.49328556904</v>
      </c>
      <c r="E9" s="527">
        <v>117952.99172493162</v>
      </c>
      <c r="F9" s="527">
        <v>122593.50156101478</v>
      </c>
      <c r="G9" s="527"/>
      <c r="H9" s="527">
        <v>239871.26338597818</v>
      </c>
      <c r="I9" s="527">
        <v>115670.31329545338</v>
      </c>
      <c r="J9" s="527">
        <v>124200.95009095602</v>
      </c>
      <c r="K9" s="527"/>
      <c r="L9" s="527">
        <v>617285.24371709803</v>
      </c>
      <c r="M9" s="527">
        <v>293144.58378875966</v>
      </c>
      <c r="N9" s="527">
        <v>324140.65992641961</v>
      </c>
    </row>
    <row r="10" spans="1:14" x14ac:dyDescent="0.2">
      <c r="A10" s="549" t="s">
        <v>360</v>
      </c>
      <c r="B10" s="551"/>
      <c r="C10" s="551"/>
      <c r="D10" s="551"/>
      <c r="E10" s="551"/>
      <c r="F10" s="551"/>
      <c r="G10" s="551"/>
      <c r="H10" s="551"/>
      <c r="I10" s="551"/>
      <c r="J10" s="551"/>
      <c r="K10" s="551"/>
      <c r="L10" s="551"/>
      <c r="M10" s="551"/>
      <c r="N10" s="551"/>
    </row>
    <row r="11" spans="1:14" x14ac:dyDescent="0.2">
      <c r="A11" s="552" t="s">
        <v>11</v>
      </c>
      <c r="B11" s="525">
        <v>204356.20610461693</v>
      </c>
      <c r="C11" s="525"/>
      <c r="D11" s="525">
        <v>69502.018665044976</v>
      </c>
      <c r="E11" s="525">
        <v>33580.263920625781</v>
      </c>
      <c r="F11" s="525">
        <v>35921.754744416394</v>
      </c>
      <c r="G11" s="525"/>
      <c r="H11" s="525">
        <v>58797.55128295561</v>
      </c>
      <c r="I11" s="525">
        <v>26841.983310934891</v>
      </c>
      <c r="J11" s="525">
        <v>31955.567972021636</v>
      </c>
      <c r="K11" s="525"/>
      <c r="L11" s="525">
        <v>76056.636156766588</v>
      </c>
      <c r="M11" s="525">
        <v>34938.700045408696</v>
      </c>
      <c r="N11" s="525">
        <v>41117.936111344214</v>
      </c>
    </row>
    <row r="12" spans="1:14" x14ac:dyDescent="0.2">
      <c r="A12" s="187" t="s">
        <v>12</v>
      </c>
      <c r="B12" s="527">
        <v>128320.15273881239</v>
      </c>
      <c r="C12" s="527"/>
      <c r="D12" s="527">
        <v>46533.503884970276</v>
      </c>
      <c r="E12" s="527">
        <v>22162.452500290285</v>
      </c>
      <c r="F12" s="527">
        <v>24371.051384682443</v>
      </c>
      <c r="G12" s="527"/>
      <c r="H12" s="527">
        <v>35377.782334820062</v>
      </c>
      <c r="I12" s="527">
        <v>16523.705886499938</v>
      </c>
      <c r="J12" s="527">
        <v>18854.076448321332</v>
      </c>
      <c r="K12" s="527"/>
      <c r="L12" s="527">
        <v>46408.86651893353</v>
      </c>
      <c r="M12" s="527">
        <v>21424.495858438728</v>
      </c>
      <c r="N12" s="527">
        <v>24984.370660500059</v>
      </c>
    </row>
    <row r="13" spans="1:14" x14ac:dyDescent="0.2">
      <c r="A13" s="187" t="s">
        <v>13</v>
      </c>
      <c r="B13" s="527">
        <v>76036.053366037144</v>
      </c>
      <c r="C13" s="527"/>
      <c r="D13" s="527">
        <v>22968.514780072284</v>
      </c>
      <c r="E13" s="527">
        <v>11417.811420337186</v>
      </c>
      <c r="F13" s="527">
        <v>11550.703359735307</v>
      </c>
      <c r="G13" s="527"/>
      <c r="H13" s="527">
        <v>23419.768948136738</v>
      </c>
      <c r="I13" s="527">
        <v>10318.277424436381</v>
      </c>
      <c r="J13" s="527">
        <v>13101.491523701377</v>
      </c>
      <c r="K13" s="527"/>
      <c r="L13" s="527">
        <v>29647.769637818856</v>
      </c>
      <c r="M13" s="527">
        <v>13514.204186973786</v>
      </c>
      <c r="N13" s="527">
        <v>16133.565450848153</v>
      </c>
    </row>
    <row r="14" spans="1:14" x14ac:dyDescent="0.2">
      <c r="A14" s="552" t="s">
        <v>44</v>
      </c>
      <c r="B14" s="525">
        <v>423262.38202319288</v>
      </c>
      <c r="C14" s="525"/>
      <c r="D14" s="525">
        <v>177380.52762095365</v>
      </c>
      <c r="E14" s="525">
        <v>83643.961523593622</v>
      </c>
      <c r="F14" s="525">
        <v>93736.566097484902</v>
      </c>
      <c r="G14" s="525"/>
      <c r="H14" s="525">
        <v>146633.22263022698</v>
      </c>
      <c r="I14" s="525">
        <v>69915.015293696168</v>
      </c>
      <c r="J14" s="525">
        <v>76718.207336522406</v>
      </c>
      <c r="K14" s="525"/>
      <c r="L14" s="525">
        <v>99248.631772880966</v>
      </c>
      <c r="M14" s="525">
        <v>46635.426251690325</v>
      </c>
      <c r="N14" s="525">
        <v>52613.205521138938</v>
      </c>
    </row>
    <row r="15" spans="1:14" x14ac:dyDescent="0.2">
      <c r="A15" s="187" t="s">
        <v>15</v>
      </c>
      <c r="B15" s="527">
        <v>341758.69276883581</v>
      </c>
      <c r="C15" s="527"/>
      <c r="D15" s="527">
        <v>156234.302781573</v>
      </c>
      <c r="E15" s="527">
        <v>73243.179414866172</v>
      </c>
      <c r="F15" s="527">
        <v>82991.123366740401</v>
      </c>
      <c r="G15" s="527"/>
      <c r="H15" s="527">
        <v>125077.1905919258</v>
      </c>
      <c r="I15" s="527">
        <v>59359.553897977617</v>
      </c>
      <c r="J15" s="527">
        <v>65717.636693874039</v>
      </c>
      <c r="K15" s="527"/>
      <c r="L15" s="527">
        <v>60447.19939599168</v>
      </c>
      <c r="M15" s="527">
        <v>28268.204895082781</v>
      </c>
      <c r="N15" s="527">
        <v>32178.994500913817</v>
      </c>
    </row>
    <row r="16" spans="1:14" x14ac:dyDescent="0.2">
      <c r="A16" s="187" t="s">
        <v>16</v>
      </c>
      <c r="B16" s="527">
        <v>81503.689254645782</v>
      </c>
      <c r="C16" s="527"/>
      <c r="D16" s="527">
        <v>21146.224839439114</v>
      </c>
      <c r="E16" s="527">
        <v>10400.78210871079</v>
      </c>
      <c r="F16" s="527">
        <v>10745.442730728244</v>
      </c>
      <c r="G16" s="527"/>
      <c r="H16" s="527">
        <v>21556.032038352114</v>
      </c>
      <c r="I16" s="527">
        <v>10555.461395715154</v>
      </c>
      <c r="J16" s="527">
        <v>11000.570642637618</v>
      </c>
      <c r="K16" s="527"/>
      <c r="L16" s="527">
        <v>38801.432376835757</v>
      </c>
      <c r="M16" s="527">
        <v>18367.221356611219</v>
      </c>
      <c r="N16" s="527">
        <v>20434.211020228657</v>
      </c>
    </row>
    <row r="17" spans="1:14" x14ac:dyDescent="0.2">
      <c r="A17" s="552" t="s">
        <v>17</v>
      </c>
      <c r="B17" s="525">
        <v>29450.766720537205</v>
      </c>
      <c r="C17" s="525"/>
      <c r="D17" s="525">
        <v>5774.4411724890824</v>
      </c>
      <c r="E17" s="525">
        <v>3028.0359450257515</v>
      </c>
      <c r="F17" s="525">
        <v>2746.4052274633423</v>
      </c>
      <c r="G17" s="525"/>
      <c r="H17" s="525">
        <v>2746.7344776978607</v>
      </c>
      <c r="I17" s="525">
        <v>1536.2450819377227</v>
      </c>
      <c r="J17" s="525">
        <v>1210.4893957601535</v>
      </c>
      <c r="K17" s="525"/>
      <c r="L17" s="525">
        <v>20929.591070351278</v>
      </c>
      <c r="M17" s="525">
        <v>9647.8065877469817</v>
      </c>
      <c r="N17" s="525">
        <v>11281.784482604504</v>
      </c>
    </row>
    <row r="18" spans="1:14" x14ac:dyDescent="0.2">
      <c r="A18" s="187" t="s">
        <v>17</v>
      </c>
      <c r="B18" s="527">
        <v>29450.766720537205</v>
      </c>
      <c r="C18" s="527"/>
      <c r="D18" s="527">
        <v>5774.4411724890824</v>
      </c>
      <c r="E18" s="527">
        <v>3028.0359450257515</v>
      </c>
      <c r="F18" s="527">
        <v>2746.4052274633423</v>
      </c>
      <c r="G18" s="527"/>
      <c r="H18" s="527">
        <v>2746.7344776978607</v>
      </c>
      <c r="I18" s="527">
        <v>1536.2450819377227</v>
      </c>
      <c r="J18" s="527">
        <v>1210.4893957601535</v>
      </c>
      <c r="K18" s="527"/>
      <c r="L18" s="527">
        <v>20929.591070351278</v>
      </c>
      <c r="M18" s="527">
        <v>9647.8065877469817</v>
      </c>
      <c r="N18" s="527">
        <v>11281.784482604504</v>
      </c>
    </row>
    <row r="19" spans="1:14" x14ac:dyDescent="0.2">
      <c r="A19" s="552" t="s">
        <v>18</v>
      </c>
      <c r="B19" s="525">
        <v>28761.289486250447</v>
      </c>
      <c r="C19" s="525"/>
      <c r="D19" s="525">
        <v>2892.3492166823312</v>
      </c>
      <c r="E19" s="525">
        <v>1514.8933002736765</v>
      </c>
      <c r="F19" s="525">
        <v>1377.4559164087141</v>
      </c>
      <c r="G19" s="525"/>
      <c r="H19" s="525">
        <v>2276.0370645265743</v>
      </c>
      <c r="I19" s="525">
        <v>1245.624518225269</v>
      </c>
      <c r="J19" s="525">
        <v>1030.4125463013156</v>
      </c>
      <c r="K19" s="525"/>
      <c r="L19" s="525">
        <v>23592.903205041875</v>
      </c>
      <c r="M19" s="525">
        <v>11644.010727650286</v>
      </c>
      <c r="N19" s="525">
        <v>11948.892477392968</v>
      </c>
    </row>
    <row r="20" spans="1:14" x14ac:dyDescent="0.2">
      <c r="A20" s="187" t="s">
        <v>18</v>
      </c>
      <c r="B20" s="527">
        <v>28761.289486250447</v>
      </c>
      <c r="C20" s="527"/>
      <c r="D20" s="527">
        <v>2892.3492166823312</v>
      </c>
      <c r="E20" s="527">
        <v>1514.8933002736765</v>
      </c>
      <c r="F20" s="527">
        <v>1377.4559164087141</v>
      </c>
      <c r="G20" s="527"/>
      <c r="H20" s="527">
        <v>2276.0370645265743</v>
      </c>
      <c r="I20" s="527">
        <v>1245.624518225269</v>
      </c>
      <c r="J20" s="527">
        <v>1030.4125463013156</v>
      </c>
      <c r="K20" s="527"/>
      <c r="L20" s="527">
        <v>23592.903205041875</v>
      </c>
      <c r="M20" s="527">
        <v>11644.010727650286</v>
      </c>
      <c r="N20" s="527">
        <v>11948.892477392968</v>
      </c>
    </row>
    <row r="21" spans="1:14" x14ac:dyDescent="0.2">
      <c r="A21" s="552" t="s">
        <v>19</v>
      </c>
      <c r="B21" s="525">
        <v>113811.34099702848</v>
      </c>
      <c r="C21" s="525"/>
      <c r="D21" s="525">
        <v>29388.861647869275</v>
      </c>
      <c r="E21" s="525">
        <v>14216.684732228267</v>
      </c>
      <c r="F21" s="525">
        <v>15172.176915644919</v>
      </c>
      <c r="G21" s="525"/>
      <c r="H21" s="525">
        <v>19945.262525401788</v>
      </c>
      <c r="I21" s="525">
        <v>10254.812299507677</v>
      </c>
      <c r="J21" s="525">
        <v>9690.4502258946704</v>
      </c>
      <c r="K21" s="525"/>
      <c r="L21" s="525">
        <v>64477.216823678769</v>
      </c>
      <c r="M21" s="525">
        <v>29631.062103005064</v>
      </c>
      <c r="N21" s="525">
        <v>34846.154720677892</v>
      </c>
    </row>
    <row r="22" spans="1:14" x14ac:dyDescent="0.2">
      <c r="A22" s="187" t="s">
        <v>19</v>
      </c>
      <c r="B22" s="527">
        <v>66853.520090207239</v>
      </c>
      <c r="C22" s="527"/>
      <c r="D22" s="527">
        <v>22029.005972222589</v>
      </c>
      <c r="E22" s="527">
        <v>10591.556025029739</v>
      </c>
      <c r="F22" s="527">
        <v>11437.449947193261</v>
      </c>
      <c r="G22" s="527"/>
      <c r="H22" s="527">
        <v>15288.574476275819</v>
      </c>
      <c r="I22" s="527">
        <v>7699.7788177329185</v>
      </c>
      <c r="J22" s="527">
        <v>7588.7956585437405</v>
      </c>
      <c r="K22" s="527"/>
      <c r="L22" s="527">
        <v>29535.939641711659</v>
      </c>
      <c r="M22" s="527">
        <v>13351.128064682702</v>
      </c>
      <c r="N22" s="527">
        <v>16184.811577032204</v>
      </c>
    </row>
    <row r="23" spans="1:14" x14ac:dyDescent="0.2">
      <c r="A23" s="187" t="s">
        <v>20</v>
      </c>
      <c r="B23" s="527">
        <v>46957.820906743167</v>
      </c>
      <c r="C23" s="527"/>
      <c r="D23" s="527">
        <v>7359.8556756482076</v>
      </c>
      <c r="E23" s="527">
        <v>3625.1287071976431</v>
      </c>
      <c r="F23" s="527">
        <v>3734.7269684506782</v>
      </c>
      <c r="G23" s="527"/>
      <c r="H23" s="527">
        <v>4656.688049125908</v>
      </c>
      <c r="I23" s="527">
        <v>2555.0334817748703</v>
      </c>
      <c r="J23" s="527">
        <v>2101.6545673510682</v>
      </c>
      <c r="K23" s="527"/>
      <c r="L23" s="527">
        <v>34941.277181970872</v>
      </c>
      <c r="M23" s="527">
        <v>16279.934038325642</v>
      </c>
      <c r="N23" s="527">
        <v>18661.343143649166</v>
      </c>
    </row>
    <row r="24" spans="1:14" s="932" customFormat="1" x14ac:dyDescent="0.2">
      <c r="A24" s="552" t="s">
        <v>21</v>
      </c>
      <c r="B24" s="525">
        <v>62178.106271913901</v>
      </c>
      <c r="C24" s="525"/>
      <c r="D24" s="525">
        <v>18748.100034039675</v>
      </c>
      <c r="E24" s="525">
        <v>9659.2703226587728</v>
      </c>
      <c r="F24" s="525">
        <v>9088.8297113804474</v>
      </c>
      <c r="G24" s="525"/>
      <c r="H24" s="525">
        <v>15627.019831592334</v>
      </c>
      <c r="I24" s="525">
        <v>8449.8986603761514</v>
      </c>
      <c r="J24" s="525">
        <v>7177.1211712170116</v>
      </c>
      <c r="K24" s="525"/>
      <c r="L24" s="525">
        <v>27802.986406286709</v>
      </c>
      <c r="M24" s="525">
        <v>12075.499928199451</v>
      </c>
      <c r="N24" s="525">
        <v>15727.48647808951</v>
      </c>
    </row>
    <row r="25" spans="1:14" x14ac:dyDescent="0.2">
      <c r="A25" s="187" t="s">
        <v>21</v>
      </c>
      <c r="B25" s="527">
        <v>62178.106271913901</v>
      </c>
      <c r="C25" s="527"/>
      <c r="D25" s="527">
        <v>18748.100034039675</v>
      </c>
      <c r="E25" s="527">
        <v>9659.2703226587728</v>
      </c>
      <c r="F25" s="527">
        <v>9088.8297113804474</v>
      </c>
      <c r="G25" s="527"/>
      <c r="H25" s="527">
        <v>15627.019831592334</v>
      </c>
      <c r="I25" s="527">
        <v>8449.8986603761514</v>
      </c>
      <c r="J25" s="527">
        <v>7177.1211712170116</v>
      </c>
      <c r="K25" s="527"/>
      <c r="L25" s="527">
        <v>27802.986406286709</v>
      </c>
      <c r="M25" s="527">
        <v>12075.499928199451</v>
      </c>
      <c r="N25" s="527">
        <v>15727.48647808951</v>
      </c>
    </row>
    <row r="26" spans="1:14" x14ac:dyDescent="0.2">
      <c r="A26" s="552" t="s">
        <v>22</v>
      </c>
      <c r="B26" s="525">
        <v>117060.09368139438</v>
      </c>
      <c r="C26" s="525"/>
      <c r="D26" s="525">
        <v>44734.841980917154</v>
      </c>
      <c r="E26" s="525">
        <v>21572.271017899478</v>
      </c>
      <c r="F26" s="525">
        <v>23162.570963020535</v>
      </c>
      <c r="G26" s="525"/>
      <c r="H26" s="525">
        <v>40869.646529830781</v>
      </c>
      <c r="I26" s="525">
        <v>19892.011393443943</v>
      </c>
      <c r="J26" s="525">
        <v>20977.635136387278</v>
      </c>
      <c r="K26" s="525"/>
      <c r="L26" s="525">
        <v>31455.605170579354</v>
      </c>
      <c r="M26" s="525">
        <v>14826.407467885761</v>
      </c>
      <c r="N26" s="525">
        <v>16629.197702696278</v>
      </c>
    </row>
    <row r="27" spans="1:14" x14ac:dyDescent="0.2">
      <c r="A27" s="187" t="s">
        <v>22</v>
      </c>
      <c r="B27" s="527">
        <v>117060.09368139438</v>
      </c>
      <c r="C27" s="527"/>
      <c r="D27" s="527">
        <v>44734.841980917154</v>
      </c>
      <c r="E27" s="527">
        <v>21572.271017899478</v>
      </c>
      <c r="F27" s="527">
        <v>23162.570963020535</v>
      </c>
      <c r="G27" s="527"/>
      <c r="H27" s="527">
        <v>40869.646529830781</v>
      </c>
      <c r="I27" s="527">
        <v>19892.011393443943</v>
      </c>
      <c r="J27" s="527">
        <v>20977.635136387278</v>
      </c>
      <c r="K27" s="527"/>
      <c r="L27" s="527">
        <v>31455.605170579354</v>
      </c>
      <c r="M27" s="527">
        <v>14826.407467885761</v>
      </c>
      <c r="N27" s="527">
        <v>16629.197702696278</v>
      </c>
    </row>
    <row r="28" spans="1:14" x14ac:dyDescent="0.2">
      <c r="A28" s="552" t="s">
        <v>23</v>
      </c>
      <c r="B28" s="525">
        <v>147935.40818280977</v>
      </c>
      <c r="C28" s="525"/>
      <c r="D28" s="525">
        <v>34000.925195587857</v>
      </c>
      <c r="E28" s="525">
        <v>15818.34799481896</v>
      </c>
      <c r="F28" s="525">
        <v>18182.577200773059</v>
      </c>
      <c r="G28" s="525"/>
      <c r="H28" s="525">
        <v>38209.999910519611</v>
      </c>
      <c r="I28" s="525">
        <v>17494.510277325746</v>
      </c>
      <c r="J28" s="525">
        <v>20715.489633194535</v>
      </c>
      <c r="K28" s="525"/>
      <c r="L28" s="525">
        <v>75724.483076679579</v>
      </c>
      <c r="M28" s="525">
        <v>36090.930851653735</v>
      </c>
      <c r="N28" s="525">
        <v>39633.552225010346</v>
      </c>
    </row>
    <row r="29" spans="1:14" x14ac:dyDescent="0.2">
      <c r="A29" s="187" t="s">
        <v>23</v>
      </c>
      <c r="B29" s="527">
        <v>77778.742502787049</v>
      </c>
      <c r="C29" s="527"/>
      <c r="D29" s="527">
        <v>22840.272531794275</v>
      </c>
      <c r="E29" s="527">
        <v>10455.206529417275</v>
      </c>
      <c r="F29" s="527">
        <v>12385.066002378164</v>
      </c>
      <c r="G29" s="527"/>
      <c r="H29" s="527">
        <v>22757.681250945705</v>
      </c>
      <c r="I29" s="527">
        <v>10195.374111439938</v>
      </c>
      <c r="J29" s="527">
        <v>12562.30713950646</v>
      </c>
      <c r="K29" s="527"/>
      <c r="L29" s="527">
        <v>32180.788720032455</v>
      </c>
      <c r="M29" s="527">
        <v>15481.562692119185</v>
      </c>
      <c r="N29" s="527">
        <v>16699.226027916913</v>
      </c>
    </row>
    <row r="30" spans="1:14" x14ac:dyDescent="0.2">
      <c r="A30" s="187" t="s">
        <v>24</v>
      </c>
      <c r="B30" s="527">
        <v>70156.665680005754</v>
      </c>
      <c r="C30" s="527"/>
      <c r="D30" s="527">
        <v>11160.652663795736</v>
      </c>
      <c r="E30" s="527">
        <v>5363.1414654006758</v>
      </c>
      <c r="F30" s="527">
        <v>5797.5111983944189</v>
      </c>
      <c r="G30" s="527"/>
      <c r="H30" s="527">
        <v>15452.318659574714</v>
      </c>
      <c r="I30" s="527">
        <v>7299.1361658865508</v>
      </c>
      <c r="J30" s="527">
        <v>8153.1824936889843</v>
      </c>
      <c r="K30" s="527"/>
      <c r="L30" s="527">
        <v>43543.694356631058</v>
      </c>
      <c r="M30" s="527">
        <v>20609.368159537789</v>
      </c>
      <c r="N30" s="527">
        <v>22934.326197096991</v>
      </c>
    </row>
    <row r="31" spans="1:14" x14ac:dyDescent="0.2">
      <c r="A31" s="552" t="s">
        <v>25</v>
      </c>
      <c r="B31" s="525">
        <v>15499.710374359225</v>
      </c>
      <c r="C31" s="525"/>
      <c r="D31" s="525">
        <v>907.08165981740547</v>
      </c>
      <c r="E31" s="525">
        <v>437.72542065294562</v>
      </c>
      <c r="F31" s="525">
        <v>469.356239164454</v>
      </c>
      <c r="G31" s="525"/>
      <c r="H31" s="525">
        <v>2172.0000900393884</v>
      </c>
      <c r="I31" s="525">
        <v>1118.9059812523055</v>
      </c>
      <c r="J31" s="525">
        <v>1053.0941087870899</v>
      </c>
      <c r="K31" s="525"/>
      <c r="L31" s="525">
        <v>12420.62862450222</v>
      </c>
      <c r="M31" s="525">
        <v>6241.4907087290967</v>
      </c>
      <c r="N31" s="525">
        <v>6179.1379157724341</v>
      </c>
    </row>
    <row r="32" spans="1:14" x14ac:dyDescent="0.2">
      <c r="A32" s="187" t="s">
        <v>25</v>
      </c>
      <c r="B32" s="527">
        <v>15499.710374359225</v>
      </c>
      <c r="C32" s="527"/>
      <c r="D32" s="527">
        <v>907.08165981740547</v>
      </c>
      <c r="E32" s="527">
        <v>437.72542065294562</v>
      </c>
      <c r="F32" s="527">
        <v>469.356239164454</v>
      </c>
      <c r="G32" s="527"/>
      <c r="H32" s="527">
        <v>2172.0000900393884</v>
      </c>
      <c r="I32" s="527">
        <v>1118.9059812523055</v>
      </c>
      <c r="J32" s="527">
        <v>1053.0941087870899</v>
      </c>
      <c r="K32" s="527"/>
      <c r="L32" s="527">
        <v>12420.62862450222</v>
      </c>
      <c r="M32" s="527">
        <v>6241.4907087290967</v>
      </c>
      <c r="N32" s="527">
        <v>6179.1379157724341</v>
      </c>
    </row>
    <row r="33" spans="1:14" x14ac:dyDescent="0.2">
      <c r="A33" s="552" t="s">
        <v>26</v>
      </c>
      <c r="B33" s="525">
        <v>6474.5988984381875</v>
      </c>
      <c r="C33" s="525"/>
      <c r="D33" s="525">
        <v>1076.6268293856822</v>
      </c>
      <c r="E33" s="525">
        <v>606.97299383660084</v>
      </c>
      <c r="F33" s="525">
        <v>469.65383554907316</v>
      </c>
      <c r="G33" s="525"/>
      <c r="H33" s="525">
        <v>1303.7091415141763</v>
      </c>
      <c r="I33" s="525">
        <v>868.33279275297286</v>
      </c>
      <c r="J33" s="525">
        <v>435.37634876120228</v>
      </c>
      <c r="K33" s="525"/>
      <c r="L33" s="525">
        <v>4094.2629275383615</v>
      </c>
      <c r="M33" s="525">
        <v>1907.9422314948488</v>
      </c>
      <c r="N33" s="525">
        <v>2186.320696043616</v>
      </c>
    </row>
    <row r="34" spans="1:14" x14ac:dyDescent="0.2">
      <c r="A34" s="187" t="s">
        <v>26</v>
      </c>
      <c r="B34" s="527">
        <v>6474.5988984381875</v>
      </c>
      <c r="C34" s="527"/>
      <c r="D34" s="527">
        <v>1076.6268293856822</v>
      </c>
      <c r="E34" s="527">
        <v>606.97299383660084</v>
      </c>
      <c r="F34" s="527">
        <v>469.65383554907316</v>
      </c>
      <c r="G34" s="527"/>
      <c r="H34" s="527">
        <v>1303.7091415141763</v>
      </c>
      <c r="I34" s="527">
        <v>868.33279275297286</v>
      </c>
      <c r="J34" s="527">
        <v>435.37634876120228</v>
      </c>
      <c r="K34" s="527"/>
      <c r="L34" s="527">
        <v>4094.2629275383615</v>
      </c>
      <c r="M34" s="527">
        <v>1907.9422314948488</v>
      </c>
      <c r="N34" s="527">
        <v>2186.320696043616</v>
      </c>
    </row>
    <row r="35" spans="1:14" x14ac:dyDescent="0.2">
      <c r="A35" s="552" t="s">
        <v>27</v>
      </c>
      <c r="B35" s="525">
        <v>32464.012614044663</v>
      </c>
      <c r="C35" s="525"/>
      <c r="D35" s="525">
        <v>8277.5918985023854</v>
      </c>
      <c r="E35" s="525">
        <v>4074.4866073246576</v>
      </c>
      <c r="F35" s="525">
        <v>4203.1052911777961</v>
      </c>
      <c r="G35" s="525"/>
      <c r="H35" s="525">
        <v>8289.8894164565481</v>
      </c>
      <c r="I35" s="525">
        <v>3957.7910841289695</v>
      </c>
      <c r="J35" s="525">
        <v>4332.0983323271303</v>
      </c>
      <c r="K35" s="525"/>
      <c r="L35" s="525">
        <v>15896.531299088672</v>
      </c>
      <c r="M35" s="525">
        <v>7325.115617024966</v>
      </c>
      <c r="N35" s="525">
        <v>8571.4156820629378</v>
      </c>
    </row>
    <row r="36" spans="1:14" x14ac:dyDescent="0.2">
      <c r="A36" s="187" t="s">
        <v>27</v>
      </c>
      <c r="B36" s="527">
        <v>32464.012614044663</v>
      </c>
      <c r="C36" s="527"/>
      <c r="D36" s="527">
        <v>8277.5918985023854</v>
      </c>
      <c r="E36" s="527">
        <v>4074.4866073246576</v>
      </c>
      <c r="F36" s="527">
        <v>4203.1052911777961</v>
      </c>
      <c r="G36" s="527"/>
      <c r="H36" s="527">
        <v>8289.8894164565481</v>
      </c>
      <c r="I36" s="527">
        <v>3957.7910841289695</v>
      </c>
      <c r="J36" s="527">
        <v>4332.0983323271303</v>
      </c>
      <c r="K36" s="527"/>
      <c r="L36" s="527">
        <v>15896.531299088672</v>
      </c>
      <c r="M36" s="527">
        <v>7325.115617024966</v>
      </c>
      <c r="N36" s="527">
        <v>8571.4156820629378</v>
      </c>
    </row>
    <row r="37" spans="1:14" x14ac:dyDescent="0.2">
      <c r="A37" s="552" t="s">
        <v>28</v>
      </c>
      <c r="B37" s="525">
        <v>83071.307638567145</v>
      </c>
      <c r="C37" s="525"/>
      <c r="D37" s="525">
        <v>14092.19893815125</v>
      </c>
      <c r="E37" s="525">
        <v>6743.597342901001</v>
      </c>
      <c r="F37" s="525">
        <v>7348.6015952493926</v>
      </c>
      <c r="G37" s="525"/>
      <c r="H37" s="525">
        <v>13544.422840212717</v>
      </c>
      <c r="I37" s="525">
        <v>6479.7810357881554</v>
      </c>
      <c r="J37" s="525">
        <v>7064.6418044249858</v>
      </c>
      <c r="K37" s="525"/>
      <c r="L37" s="525">
        <v>55434.685860181111</v>
      </c>
      <c r="M37" s="525">
        <v>28414.80293232447</v>
      </c>
      <c r="N37" s="525">
        <v>27019.882927859006</v>
      </c>
    </row>
    <row r="38" spans="1:14" x14ac:dyDescent="0.2">
      <c r="A38" s="187" t="s">
        <v>28</v>
      </c>
      <c r="B38" s="527">
        <v>83071.307638567145</v>
      </c>
      <c r="C38" s="527"/>
      <c r="D38" s="527">
        <v>14092.19893815125</v>
      </c>
      <c r="E38" s="527">
        <v>6743.597342901001</v>
      </c>
      <c r="F38" s="527">
        <v>7348.6015952493926</v>
      </c>
      <c r="G38" s="527"/>
      <c r="H38" s="527">
        <v>13544.422840212717</v>
      </c>
      <c r="I38" s="527">
        <v>6479.7810357881554</v>
      </c>
      <c r="J38" s="527">
        <v>7064.6418044249858</v>
      </c>
      <c r="K38" s="527"/>
      <c r="L38" s="527">
        <v>55434.685860181111</v>
      </c>
      <c r="M38" s="527">
        <v>28414.80293232447</v>
      </c>
      <c r="N38" s="527">
        <v>27019.882927859006</v>
      </c>
    </row>
    <row r="39" spans="1:14" x14ac:dyDescent="0.2">
      <c r="A39" s="552" t="s">
        <v>29</v>
      </c>
      <c r="B39" s="525">
        <v>159779.43377624286</v>
      </c>
      <c r="C39" s="525"/>
      <c r="D39" s="525">
        <v>22086.213363039802</v>
      </c>
      <c r="E39" s="525">
        <v>10527.865105807308</v>
      </c>
      <c r="F39" s="525">
        <v>11558.348257232621</v>
      </c>
      <c r="G39" s="525"/>
      <c r="H39" s="525">
        <v>19246.081182058046</v>
      </c>
      <c r="I39" s="525">
        <v>9751.2657374588016</v>
      </c>
      <c r="J39" s="525">
        <v>9494.8154446001918</v>
      </c>
      <c r="K39" s="525"/>
      <c r="L39" s="525">
        <v>118447.13923121958</v>
      </c>
      <c r="M39" s="525">
        <v>56101.852459044385</v>
      </c>
      <c r="N39" s="525">
        <v>62345.286772089712</v>
      </c>
    </row>
    <row r="40" spans="1:14" x14ac:dyDescent="0.2">
      <c r="A40" s="187" t="s">
        <v>30</v>
      </c>
      <c r="B40" s="527">
        <v>97584.851012632716</v>
      </c>
      <c r="C40" s="527"/>
      <c r="D40" s="527">
        <v>11992.666235237375</v>
      </c>
      <c r="E40" s="527">
        <v>5682.8980673142833</v>
      </c>
      <c r="F40" s="527">
        <v>6309.7681679223315</v>
      </c>
      <c r="G40" s="527"/>
      <c r="H40" s="527">
        <v>11474.965822128912</v>
      </c>
      <c r="I40" s="527">
        <v>5858.1636371242957</v>
      </c>
      <c r="J40" s="527">
        <v>5616.8021850047153</v>
      </c>
      <c r="K40" s="527"/>
      <c r="L40" s="527">
        <v>74117.218955236545</v>
      </c>
      <c r="M40" s="527">
        <v>35096.446468298498</v>
      </c>
      <c r="N40" s="527">
        <v>39020.772486925649</v>
      </c>
    </row>
    <row r="41" spans="1:14" x14ac:dyDescent="0.2">
      <c r="A41" s="187" t="s">
        <v>29</v>
      </c>
      <c r="B41" s="527">
        <v>62194.582763640698</v>
      </c>
      <c r="C41" s="527"/>
      <c r="D41" s="527">
        <v>10093.547127802336</v>
      </c>
      <c r="E41" s="527">
        <v>4844.967038492443</v>
      </c>
      <c r="F41" s="527">
        <v>5248.5800893095793</v>
      </c>
      <c r="G41" s="527"/>
      <c r="H41" s="527">
        <v>7771.1153599300233</v>
      </c>
      <c r="I41" s="527">
        <v>3893.1021003343094</v>
      </c>
      <c r="J41" s="527">
        <v>3878.0132595954005</v>
      </c>
      <c r="K41" s="527"/>
      <c r="L41" s="527">
        <v>44329.920275911485</v>
      </c>
      <c r="M41" s="527">
        <v>21005.405990749106</v>
      </c>
      <c r="N41" s="527">
        <v>23324.514285166726</v>
      </c>
    </row>
    <row r="42" spans="1:14" x14ac:dyDescent="0.2">
      <c r="A42" s="552" t="s">
        <v>31</v>
      </c>
      <c r="B42" s="525">
        <v>69092.477773626364</v>
      </c>
      <c r="C42" s="525"/>
      <c r="D42" s="525">
        <v>16076.48726477062</v>
      </c>
      <c r="E42" s="525">
        <v>7696.1781282768952</v>
      </c>
      <c r="F42" s="525">
        <v>8380.3091364919546</v>
      </c>
      <c r="G42" s="525"/>
      <c r="H42" s="525">
        <v>16692.806115041105</v>
      </c>
      <c r="I42" s="525">
        <v>7769.9758261591987</v>
      </c>
      <c r="J42" s="525">
        <v>8922.8302888829257</v>
      </c>
      <c r="K42" s="525"/>
      <c r="L42" s="525">
        <v>36323.184393814518</v>
      </c>
      <c r="M42" s="525">
        <v>16936.207256950784</v>
      </c>
      <c r="N42" s="525">
        <v>19386.977136867656</v>
      </c>
    </row>
    <row r="43" spans="1:14" x14ac:dyDescent="0.2">
      <c r="A43" s="187" t="s">
        <v>31</v>
      </c>
      <c r="B43" s="527">
        <v>69092.477773626364</v>
      </c>
      <c r="C43" s="527"/>
      <c r="D43" s="527">
        <v>16076.48726477062</v>
      </c>
      <c r="E43" s="527">
        <v>7696.1781282768952</v>
      </c>
      <c r="F43" s="527">
        <v>8380.3091364919546</v>
      </c>
      <c r="G43" s="527"/>
      <c r="H43" s="527">
        <v>16692.806115041105</v>
      </c>
      <c r="I43" s="527">
        <v>7769.9758261591987</v>
      </c>
      <c r="J43" s="527">
        <v>8922.8302888829257</v>
      </c>
      <c r="K43" s="527"/>
      <c r="L43" s="527">
        <v>36323.184393814518</v>
      </c>
      <c r="M43" s="527">
        <v>16936.207256950784</v>
      </c>
      <c r="N43" s="527">
        <v>19386.977136867656</v>
      </c>
    </row>
  </sheetData>
  <mergeCells count="7">
    <mergeCell ref="A1:N1"/>
    <mergeCell ref="A2:A4"/>
    <mergeCell ref="D2:N2"/>
    <mergeCell ref="D3:F3"/>
    <mergeCell ref="H3:J3"/>
    <mergeCell ref="L3:N3"/>
    <mergeCell ref="B2:B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43"/>
  <sheetViews>
    <sheetView workbookViewId="0">
      <selection activeCell="L16" sqref="L16"/>
    </sheetView>
  </sheetViews>
  <sheetFormatPr defaultRowHeight="12" x14ac:dyDescent="0.2"/>
  <cols>
    <col min="1" max="1" width="18.5703125" style="575" customWidth="1"/>
    <col min="2" max="4" width="12" style="575" bestFit="1" customWidth="1"/>
    <col min="5" max="5" width="12" style="575" customWidth="1"/>
    <col min="6" max="6" width="12" style="575" bestFit="1" customWidth="1"/>
    <col min="7" max="7" width="13" style="575" customWidth="1"/>
    <col min="8" max="8" width="12.42578125" style="575" customWidth="1"/>
    <col min="9" max="16384" width="9.140625" style="575"/>
  </cols>
  <sheetData>
    <row r="1" spans="1:8" ht="18.75" customHeight="1" x14ac:dyDescent="0.2">
      <c r="A1" s="733" t="s">
        <v>289</v>
      </c>
      <c r="B1" s="733"/>
      <c r="C1" s="733"/>
      <c r="D1" s="733"/>
      <c r="E1" s="733"/>
      <c r="F1" s="733"/>
      <c r="G1" s="733"/>
      <c r="H1" s="733"/>
    </row>
    <row r="2" spans="1:8" ht="23.25" customHeight="1" x14ac:dyDescent="0.2">
      <c r="A2" s="734" t="str">
        <f>'Q8.4'!$A$2</f>
        <v>Área de residência, município e comuna</v>
      </c>
      <c r="B2" s="736" t="s">
        <v>551</v>
      </c>
      <c r="C2" s="736"/>
      <c r="D2" s="736"/>
      <c r="E2" s="477"/>
      <c r="F2" s="736" t="s">
        <v>290</v>
      </c>
      <c r="G2" s="736"/>
      <c r="H2" s="736"/>
    </row>
    <row r="3" spans="1:8" x14ac:dyDescent="0.2">
      <c r="A3" s="735"/>
      <c r="B3" s="162" t="s">
        <v>2</v>
      </c>
      <c r="C3" s="143" t="s">
        <v>182</v>
      </c>
      <c r="D3" s="143" t="s">
        <v>183</v>
      </c>
      <c r="E3" s="478"/>
      <c r="F3" s="481" t="s">
        <v>2</v>
      </c>
      <c r="G3" s="481" t="s">
        <v>3</v>
      </c>
      <c r="H3" s="481" t="s">
        <v>4</v>
      </c>
    </row>
    <row r="4" spans="1:8" x14ac:dyDescent="0.2">
      <c r="A4" s="129" t="s">
        <v>32</v>
      </c>
      <c r="B4" s="227">
        <v>399263.72286555881</v>
      </c>
      <c r="C4" s="227">
        <v>200480.77554806028</v>
      </c>
      <c r="D4" s="227">
        <v>198782.94731826204</v>
      </c>
      <c r="E4" s="521"/>
      <c r="F4" s="227">
        <v>225864.44962046979</v>
      </c>
      <c r="G4" s="227">
        <v>116636.23124008854</v>
      </c>
      <c r="H4" s="227">
        <v>109228.2183808674</v>
      </c>
    </row>
    <row r="5" spans="1:8" x14ac:dyDescent="0.2">
      <c r="A5" s="131"/>
      <c r="B5" s="211"/>
      <c r="C5" s="211"/>
      <c r="D5" s="211"/>
      <c r="E5" s="522"/>
      <c r="F5" s="211"/>
      <c r="G5" s="211"/>
      <c r="H5" s="211"/>
    </row>
    <row r="6" spans="1:8" x14ac:dyDescent="0.2">
      <c r="A6" s="129" t="s">
        <v>167</v>
      </c>
      <c r="B6" s="227"/>
      <c r="C6" s="227"/>
      <c r="D6" s="227"/>
      <c r="E6" s="521"/>
      <c r="F6" s="227"/>
      <c r="G6" s="227"/>
      <c r="H6" s="227"/>
    </row>
    <row r="7" spans="1:8" x14ac:dyDescent="0.2">
      <c r="A7" s="136" t="s">
        <v>8</v>
      </c>
      <c r="B7" s="210">
        <v>92918.027684396191</v>
      </c>
      <c r="C7" s="210">
        <v>44526.116345103881</v>
      </c>
      <c r="D7" s="210">
        <v>48391.911339199622</v>
      </c>
      <c r="E7" s="511"/>
      <c r="F7" s="210">
        <v>18445.799747811987</v>
      </c>
      <c r="G7" s="210">
        <v>9180.073489184686</v>
      </c>
      <c r="H7" s="210">
        <v>9265.7262586255893</v>
      </c>
    </row>
    <row r="8" spans="1:8" x14ac:dyDescent="0.2">
      <c r="A8" s="136" t="s">
        <v>9</v>
      </c>
      <c r="B8" s="210">
        <v>306345.69518163445</v>
      </c>
      <c r="C8" s="210">
        <v>155954.65920313858</v>
      </c>
      <c r="D8" s="210">
        <v>150391.03597925938</v>
      </c>
      <c r="E8" s="511"/>
      <c r="F8" s="210">
        <v>207418.64987274029</v>
      </c>
      <c r="G8" s="210">
        <v>107456.15775087386</v>
      </c>
      <c r="H8" s="210">
        <v>99962.492122211566</v>
      </c>
    </row>
    <row r="9" spans="1:8" x14ac:dyDescent="0.2">
      <c r="A9" s="129" t="s">
        <v>360</v>
      </c>
      <c r="B9" s="227"/>
      <c r="C9" s="227"/>
      <c r="D9" s="227"/>
      <c r="E9" s="521"/>
      <c r="F9" s="227"/>
      <c r="G9" s="227"/>
      <c r="H9" s="227"/>
    </row>
    <row r="10" spans="1:8" x14ac:dyDescent="0.2">
      <c r="A10" s="163" t="s">
        <v>11</v>
      </c>
      <c r="B10" s="211">
        <v>56110.177563255864</v>
      </c>
      <c r="C10" s="211">
        <v>28130.272879254197</v>
      </c>
      <c r="D10" s="211">
        <v>27979.904684013643</v>
      </c>
      <c r="E10" s="522"/>
      <c r="F10" s="211">
        <v>26780.765911842143</v>
      </c>
      <c r="G10" s="211">
        <v>13854.811305781541</v>
      </c>
      <c r="H10" s="211">
        <v>12925.954606066856</v>
      </c>
    </row>
    <row r="11" spans="1:8" x14ac:dyDescent="0.2">
      <c r="A11" s="136" t="s">
        <v>12</v>
      </c>
      <c r="B11" s="210">
        <v>36748.844879877295</v>
      </c>
      <c r="C11" s="210">
        <v>18156.483726589657</v>
      </c>
      <c r="D11" s="210">
        <v>18592.361153299615</v>
      </c>
      <c r="E11" s="511"/>
      <c r="F11" s="210">
        <v>17225.723631999397</v>
      </c>
      <c r="G11" s="210">
        <v>8797.491119015318</v>
      </c>
      <c r="H11" s="210">
        <v>8428.2325129812016</v>
      </c>
    </row>
    <row r="12" spans="1:8" x14ac:dyDescent="0.2">
      <c r="A12" s="136" t="s">
        <v>13</v>
      </c>
      <c r="B12" s="210">
        <v>19361.332683390545</v>
      </c>
      <c r="C12" s="210">
        <v>9973.7891526703897</v>
      </c>
      <c r="D12" s="210">
        <v>9387.5435307193184</v>
      </c>
      <c r="E12" s="511"/>
      <c r="F12" s="210">
        <v>9555.0422798481959</v>
      </c>
      <c r="G12" s="210">
        <v>5057.3201867640391</v>
      </c>
      <c r="H12" s="210">
        <v>4497.7220930837384</v>
      </c>
    </row>
    <row r="13" spans="1:8" x14ac:dyDescent="0.2">
      <c r="A13" s="163" t="s">
        <v>44</v>
      </c>
      <c r="B13" s="211">
        <v>102731.93166747538</v>
      </c>
      <c r="C13" s="211">
        <v>50740.700616754591</v>
      </c>
      <c r="D13" s="211">
        <v>51991.231050590584</v>
      </c>
      <c r="E13" s="522"/>
      <c r="F13" s="211">
        <v>36368.165904584755</v>
      </c>
      <c r="G13" s="211">
        <v>18828.382117980989</v>
      </c>
      <c r="H13" s="211">
        <v>17539.783786615742</v>
      </c>
    </row>
    <row r="14" spans="1:8" x14ac:dyDescent="0.2">
      <c r="A14" s="136" t="s">
        <v>15</v>
      </c>
      <c r="B14" s="210">
        <v>80898.089039488303</v>
      </c>
      <c r="C14" s="210">
        <v>39560.159112412701</v>
      </c>
      <c r="D14" s="210">
        <v>41337.929927028861</v>
      </c>
      <c r="E14" s="511"/>
      <c r="F14" s="210">
        <v>23335.621185444659</v>
      </c>
      <c r="G14" s="210">
        <v>12052.296357769643</v>
      </c>
      <c r="H14" s="210">
        <v>11283.324827677978</v>
      </c>
    </row>
    <row r="15" spans="1:8" x14ac:dyDescent="0.2">
      <c r="A15" s="136" t="s">
        <v>16</v>
      </c>
      <c r="B15" s="210">
        <v>21833.84262791559</v>
      </c>
      <c r="C15" s="210">
        <v>11180.541504348894</v>
      </c>
      <c r="D15" s="210">
        <v>10653.301123568222</v>
      </c>
      <c r="E15" s="511"/>
      <c r="F15" s="210">
        <v>13032.544719148869</v>
      </c>
      <c r="G15" s="210">
        <v>6776.0857602106771</v>
      </c>
      <c r="H15" s="210">
        <v>6256.4589589361121</v>
      </c>
    </row>
    <row r="16" spans="1:8" x14ac:dyDescent="0.2">
      <c r="A16" s="163" t="s">
        <v>17</v>
      </c>
      <c r="B16" s="211">
        <v>8778.4571702506728</v>
      </c>
      <c r="C16" s="211">
        <v>4493.9153033308112</v>
      </c>
      <c r="D16" s="211">
        <v>4284.5418669198143</v>
      </c>
      <c r="E16" s="522"/>
      <c r="F16" s="211">
        <v>7014.0101197686281</v>
      </c>
      <c r="G16" s="211">
        <v>3610.7400806516971</v>
      </c>
      <c r="H16" s="211">
        <v>3403.2700391171638</v>
      </c>
    </row>
    <row r="17" spans="1:8" x14ac:dyDescent="0.2">
      <c r="A17" s="136" t="s">
        <v>17</v>
      </c>
      <c r="B17" s="210">
        <v>8778.4571702506728</v>
      </c>
      <c r="C17" s="210">
        <v>4493.9153033308112</v>
      </c>
      <c r="D17" s="210">
        <v>4284.5418669198143</v>
      </c>
      <c r="E17" s="511"/>
      <c r="F17" s="210">
        <v>7014.0101197686281</v>
      </c>
      <c r="G17" s="210">
        <v>3610.7400806516971</v>
      </c>
      <c r="H17" s="210">
        <v>3403.2700391171638</v>
      </c>
    </row>
    <row r="18" spans="1:8" x14ac:dyDescent="0.2">
      <c r="A18" s="163" t="s">
        <v>18</v>
      </c>
      <c r="B18" s="211">
        <v>7752.527331836508</v>
      </c>
      <c r="C18" s="211">
        <v>3890.5391274918475</v>
      </c>
      <c r="D18" s="211">
        <v>3861.9882043448933</v>
      </c>
      <c r="E18" s="522"/>
      <c r="F18" s="211">
        <v>6865.5453194044667</v>
      </c>
      <c r="G18" s="211">
        <v>3448.9515161522904</v>
      </c>
      <c r="H18" s="211">
        <v>3416.5938032524091</v>
      </c>
    </row>
    <row r="19" spans="1:8" x14ac:dyDescent="0.2">
      <c r="A19" s="136" t="s">
        <v>18</v>
      </c>
      <c r="B19" s="210">
        <v>7752.527331836508</v>
      </c>
      <c r="C19" s="210">
        <v>3890.5391274918475</v>
      </c>
      <c r="D19" s="210">
        <v>3861.9882043448933</v>
      </c>
      <c r="E19" s="511"/>
      <c r="F19" s="210">
        <v>6865.5453194044667</v>
      </c>
      <c r="G19" s="210">
        <v>3448.9515161522904</v>
      </c>
      <c r="H19" s="210">
        <v>3416.5938032524091</v>
      </c>
    </row>
    <row r="20" spans="1:8" x14ac:dyDescent="0.2">
      <c r="A20" s="163" t="s">
        <v>19</v>
      </c>
      <c r="B20" s="211">
        <v>35871.379841827991</v>
      </c>
      <c r="C20" s="211">
        <v>18158.387121466119</v>
      </c>
      <c r="D20" s="211">
        <v>17712.992720373848</v>
      </c>
      <c r="E20" s="522"/>
      <c r="F20" s="211">
        <v>23114.827379774986</v>
      </c>
      <c r="G20" s="211">
        <v>11970.450378081669</v>
      </c>
      <c r="H20" s="211">
        <v>11144.377001696068</v>
      </c>
    </row>
    <row r="21" spans="1:8" x14ac:dyDescent="0.2">
      <c r="A21" s="136" t="s">
        <v>19</v>
      </c>
      <c r="B21" s="210">
        <v>19896.186643676563</v>
      </c>
      <c r="C21" s="210">
        <v>10086.089450381796</v>
      </c>
      <c r="D21" s="210">
        <v>9810.0971932944412</v>
      </c>
      <c r="E21" s="511"/>
      <c r="F21" s="210">
        <v>10742.760682762055</v>
      </c>
      <c r="G21" s="210">
        <v>5635.952229208976</v>
      </c>
      <c r="H21" s="210">
        <v>5106.8084535520929</v>
      </c>
    </row>
    <row r="22" spans="1:8" x14ac:dyDescent="0.2">
      <c r="A22" s="136" t="s">
        <v>20</v>
      </c>
      <c r="B22" s="210">
        <v>15975.193198163013</v>
      </c>
      <c r="C22" s="210">
        <v>8072.2976710823941</v>
      </c>
      <c r="D22" s="210">
        <v>7902.895527077133</v>
      </c>
      <c r="E22" s="511"/>
      <c r="F22" s="210">
        <v>12372.066697015682</v>
      </c>
      <c r="G22" s="210">
        <v>6334.4981488711201</v>
      </c>
      <c r="H22" s="210">
        <v>6037.5685481427972</v>
      </c>
    </row>
    <row r="23" spans="1:8" x14ac:dyDescent="0.2">
      <c r="A23" s="163" t="s">
        <v>21</v>
      </c>
      <c r="B23" s="211">
        <v>17469.358176186623</v>
      </c>
      <c r="C23" s="211">
        <v>8742.292667597847</v>
      </c>
      <c r="D23" s="211">
        <v>8727.0655085861308</v>
      </c>
      <c r="E23" s="522"/>
      <c r="F23" s="211">
        <v>9397.060505101641</v>
      </c>
      <c r="G23" s="211">
        <v>4762.2939809121799</v>
      </c>
      <c r="H23" s="211">
        <v>4634.7665241891182</v>
      </c>
    </row>
    <row r="24" spans="1:8" x14ac:dyDescent="0.2">
      <c r="A24" s="136" t="s">
        <v>21</v>
      </c>
      <c r="B24" s="210">
        <v>17469.358176186623</v>
      </c>
      <c r="C24" s="210">
        <v>8742.292667597847</v>
      </c>
      <c r="D24" s="210">
        <v>8727.0655085861308</v>
      </c>
      <c r="E24" s="511"/>
      <c r="F24" s="210">
        <v>9397.060505101641</v>
      </c>
      <c r="G24" s="210">
        <v>4762.2939809121799</v>
      </c>
      <c r="H24" s="210">
        <v>4634.7665241891182</v>
      </c>
    </row>
    <row r="25" spans="1:8" x14ac:dyDescent="0.2">
      <c r="A25" s="163" t="s">
        <v>22</v>
      </c>
      <c r="B25" s="211">
        <v>27007.269902141205</v>
      </c>
      <c r="C25" s="211">
        <v>13255.241919695218</v>
      </c>
      <c r="D25" s="211">
        <v>13752.027982452457</v>
      </c>
      <c r="E25" s="522"/>
      <c r="F25" s="211">
        <v>10219.327091734312</v>
      </c>
      <c r="G25" s="211">
        <v>5123.9390074402654</v>
      </c>
      <c r="H25" s="211">
        <v>5095.3880842933113</v>
      </c>
    </row>
    <row r="26" spans="1:8" x14ac:dyDescent="0.2">
      <c r="A26" s="136" t="s">
        <v>22</v>
      </c>
      <c r="B26" s="210">
        <v>27007.269902141205</v>
      </c>
      <c r="C26" s="210">
        <v>13255.241919695218</v>
      </c>
      <c r="D26" s="210">
        <v>13752.027982452457</v>
      </c>
      <c r="E26" s="511"/>
      <c r="F26" s="210">
        <v>10219.327091734312</v>
      </c>
      <c r="G26" s="210">
        <v>5123.9390074402654</v>
      </c>
      <c r="H26" s="210">
        <v>5095.3880842933113</v>
      </c>
    </row>
    <row r="27" spans="1:8" x14ac:dyDescent="0.2">
      <c r="A27" s="163" t="s">
        <v>23</v>
      </c>
      <c r="B27" s="211">
        <v>40837.337074519171</v>
      </c>
      <c r="C27" s="211">
        <v>20615.669906979463</v>
      </c>
      <c r="D27" s="211">
        <v>20221.667167551685</v>
      </c>
      <c r="E27" s="522"/>
      <c r="F27" s="211">
        <v>27603.032498474029</v>
      </c>
      <c r="G27" s="211">
        <v>14351.59736853878</v>
      </c>
      <c r="H27" s="211">
        <v>13251.435129942289</v>
      </c>
    </row>
    <row r="28" spans="1:8" x14ac:dyDescent="0.2">
      <c r="A28" s="136" t="s">
        <v>23</v>
      </c>
      <c r="B28" s="210">
        <v>20821.236553637435</v>
      </c>
      <c r="C28" s="210">
        <v>10405.859789627835</v>
      </c>
      <c r="D28" s="210">
        <v>10415.376764010158</v>
      </c>
      <c r="E28" s="511"/>
      <c r="F28" s="210">
        <v>11717.298859511888</v>
      </c>
      <c r="G28" s="210">
        <v>6125.1247124601232</v>
      </c>
      <c r="H28" s="210">
        <v>5592.174147050313</v>
      </c>
    </row>
    <row r="29" spans="1:8" x14ac:dyDescent="0.2">
      <c r="A29" s="136" t="s">
        <v>24</v>
      </c>
      <c r="B29" s="210">
        <v>20016.100520893713</v>
      </c>
      <c r="C29" s="210">
        <v>10209.81011735199</v>
      </c>
      <c r="D29" s="210">
        <v>9806.2904035415122</v>
      </c>
      <c r="E29" s="511"/>
      <c r="F29" s="210">
        <v>15885.733638969181</v>
      </c>
      <c r="G29" s="210">
        <v>8226.4726560759627</v>
      </c>
      <c r="H29" s="210">
        <v>7659.2609828897912</v>
      </c>
    </row>
    <row r="30" spans="1:8" x14ac:dyDescent="0.2">
      <c r="A30" s="163" t="s">
        <v>25</v>
      </c>
      <c r="B30" s="211">
        <v>4246.4739693905422</v>
      </c>
      <c r="C30" s="211">
        <v>2145.126025774719</v>
      </c>
      <c r="D30" s="211">
        <v>2101.347943616056</v>
      </c>
      <c r="E30" s="522"/>
      <c r="F30" s="211">
        <v>3964.7715276739282</v>
      </c>
      <c r="G30" s="211">
        <v>2011.8883844222623</v>
      </c>
      <c r="H30" s="211">
        <v>1952.8831432518834</v>
      </c>
    </row>
    <row r="31" spans="1:8" x14ac:dyDescent="0.2">
      <c r="A31" s="136" t="s">
        <v>25</v>
      </c>
      <c r="B31" s="210">
        <v>4246.4739693905422</v>
      </c>
      <c r="C31" s="210">
        <v>2145.126025774719</v>
      </c>
      <c r="D31" s="210">
        <v>2101.347943616056</v>
      </c>
      <c r="E31" s="511"/>
      <c r="F31" s="210">
        <v>3964.7715276739282</v>
      </c>
      <c r="G31" s="210">
        <v>2011.8883844222623</v>
      </c>
      <c r="H31" s="210">
        <v>1952.8831432518834</v>
      </c>
    </row>
    <row r="32" spans="1:8" x14ac:dyDescent="0.2">
      <c r="A32" s="933" t="s">
        <v>26</v>
      </c>
      <c r="B32" s="211">
        <v>1789.1911838759936</v>
      </c>
      <c r="C32" s="211">
        <v>904.11256632031029</v>
      </c>
      <c r="D32" s="211">
        <v>885.07861755567194</v>
      </c>
      <c r="E32" s="522"/>
      <c r="F32" s="211">
        <v>1359.0239417951668</v>
      </c>
      <c r="G32" s="211">
        <v>679.51197089757773</v>
      </c>
      <c r="H32" s="211">
        <v>679.51197089757773</v>
      </c>
    </row>
    <row r="33" spans="1:21" x14ac:dyDescent="0.2">
      <c r="A33" s="136" t="s">
        <v>26</v>
      </c>
      <c r="B33" s="210">
        <v>1789.1911838759936</v>
      </c>
      <c r="C33" s="210">
        <v>904.11256632031029</v>
      </c>
      <c r="D33" s="210">
        <v>885.07861755567194</v>
      </c>
      <c r="E33" s="511"/>
      <c r="F33" s="210">
        <v>1359.0239417951668</v>
      </c>
      <c r="G33" s="210">
        <v>679.51197089757773</v>
      </c>
      <c r="H33" s="210">
        <v>679.51197089757773</v>
      </c>
    </row>
    <row r="34" spans="1:21" x14ac:dyDescent="0.2">
      <c r="A34" s="933" t="s">
        <v>27</v>
      </c>
      <c r="B34" s="211">
        <v>9338.0552639312409</v>
      </c>
      <c r="C34" s="211">
        <v>4787.0381143062068</v>
      </c>
      <c r="D34" s="211">
        <v>4551.0171496247194</v>
      </c>
      <c r="E34" s="522"/>
      <c r="F34" s="211">
        <v>5795.837398831919</v>
      </c>
      <c r="G34" s="211">
        <v>2999.7503253068789</v>
      </c>
      <c r="H34" s="211">
        <v>2796.0870735252729</v>
      </c>
    </row>
    <row r="35" spans="1:21" x14ac:dyDescent="0.2">
      <c r="A35" s="136" t="s">
        <v>27</v>
      </c>
      <c r="B35" s="210">
        <v>9338.0552639312409</v>
      </c>
      <c r="C35" s="210">
        <v>4787.0381143062068</v>
      </c>
      <c r="D35" s="210">
        <v>4551.0171496247194</v>
      </c>
      <c r="E35" s="511"/>
      <c r="F35" s="210">
        <v>5795.837398831919</v>
      </c>
      <c r="G35" s="210">
        <v>2999.7503253068789</v>
      </c>
      <c r="H35" s="210">
        <v>2796.0870735252729</v>
      </c>
    </row>
    <row r="36" spans="1:21" x14ac:dyDescent="0.2">
      <c r="A36" s="163" t="s">
        <v>28</v>
      </c>
      <c r="B36" s="211">
        <v>20771.748286849404</v>
      </c>
      <c r="C36" s="211">
        <v>10710.402969862158</v>
      </c>
      <c r="D36" s="211">
        <v>10061.345316987758</v>
      </c>
      <c r="E36" s="522"/>
      <c r="F36" s="211">
        <v>15763.916366875452</v>
      </c>
      <c r="G36" s="211">
        <v>8294.9948716286854</v>
      </c>
      <c r="H36" s="211">
        <v>7468.9214952434304</v>
      </c>
    </row>
    <row r="37" spans="1:21" x14ac:dyDescent="0.2">
      <c r="A37" s="136" t="s">
        <v>28</v>
      </c>
      <c r="B37" s="210">
        <v>20771.748286849404</v>
      </c>
      <c r="C37" s="210">
        <v>10710.402969862158</v>
      </c>
      <c r="D37" s="210">
        <v>10061.345316987758</v>
      </c>
      <c r="E37" s="511"/>
      <c r="F37" s="210">
        <v>15763.916366875452</v>
      </c>
      <c r="G37" s="210">
        <v>8294.9948716286854</v>
      </c>
      <c r="H37" s="210">
        <v>7468.9214952434304</v>
      </c>
    </row>
    <row r="38" spans="1:21" x14ac:dyDescent="0.2">
      <c r="A38" s="163" t="s">
        <v>29</v>
      </c>
      <c r="B38" s="211">
        <v>47445.92408559766</v>
      </c>
      <c r="C38" s="211">
        <v>24192.148879852874</v>
      </c>
      <c r="D38" s="211">
        <v>23253.775205756763</v>
      </c>
      <c r="E38" s="522"/>
      <c r="F38" s="211">
        <v>39225.161614155266</v>
      </c>
      <c r="G38" s="211">
        <v>20263.541854833864</v>
      </c>
      <c r="H38" s="211">
        <v>18961.619759333378</v>
      </c>
    </row>
    <row r="39" spans="1:21" x14ac:dyDescent="0.2">
      <c r="A39" s="136" t="s">
        <v>30</v>
      </c>
      <c r="B39" s="210">
        <v>28779.330532127977</v>
      </c>
      <c r="C39" s="210">
        <v>14701.822025808251</v>
      </c>
      <c r="D39" s="210">
        <v>14077.508506327889</v>
      </c>
      <c r="E39" s="511"/>
      <c r="F39" s="210">
        <v>24485.271690828129</v>
      </c>
      <c r="G39" s="210">
        <v>12627.121610461927</v>
      </c>
      <c r="H39" s="210">
        <v>11858.150080370262</v>
      </c>
    </row>
    <row r="40" spans="1:21" x14ac:dyDescent="0.2">
      <c r="A40" s="136" t="s">
        <v>29</v>
      </c>
      <c r="B40" s="210">
        <v>18666.59355348166</v>
      </c>
      <c r="C40" s="210">
        <v>9490.3268540484023</v>
      </c>
      <c r="D40" s="210">
        <v>9176.2666994317569</v>
      </c>
      <c r="E40" s="511"/>
      <c r="F40" s="210">
        <v>14739.889923337541</v>
      </c>
      <c r="G40" s="210">
        <v>7636.4202443722279</v>
      </c>
      <c r="H40" s="210">
        <v>7103.4696789624177</v>
      </c>
    </row>
    <row r="41" spans="1:21" x14ac:dyDescent="0.2">
      <c r="A41" s="163" t="s">
        <v>31</v>
      </c>
      <c r="B41" s="211">
        <v>19113.891349450394</v>
      </c>
      <c r="C41" s="211">
        <v>9714.9274494712154</v>
      </c>
      <c r="D41" s="211">
        <v>9398.9638999781055</v>
      </c>
      <c r="E41" s="522"/>
      <c r="F41" s="211">
        <v>12393.004040656791</v>
      </c>
      <c r="G41" s="211">
        <v>6435.3780773236913</v>
      </c>
      <c r="H41" s="211">
        <v>5957.6259633313257</v>
      </c>
      <c r="U41" s="917"/>
    </row>
    <row r="42" spans="1:21" x14ac:dyDescent="0.2">
      <c r="A42" s="136" t="s">
        <v>31</v>
      </c>
      <c r="B42" s="210">
        <v>19113.891349450394</v>
      </c>
      <c r="C42" s="210">
        <v>9714.9274494712154</v>
      </c>
      <c r="D42" s="210">
        <v>9398.9638999781055</v>
      </c>
      <c r="E42" s="511"/>
      <c r="F42" s="210">
        <v>12393.004040656791</v>
      </c>
      <c r="G42" s="210">
        <v>6435.3780773236913</v>
      </c>
      <c r="H42" s="210">
        <v>5957.6259633313257</v>
      </c>
    </row>
    <row r="43" spans="1:21" x14ac:dyDescent="0.2">
      <c r="A43" s="917"/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43"/>
  <sheetViews>
    <sheetView workbookViewId="0">
      <selection activeCell="A3" sqref="A3:A4"/>
    </sheetView>
  </sheetViews>
  <sheetFormatPr defaultRowHeight="12" x14ac:dyDescent="0.2"/>
  <cols>
    <col min="1" max="1" width="18" style="559" customWidth="1"/>
    <col min="2" max="2" width="15.5703125" style="559" bestFit="1" customWidth="1"/>
    <col min="3" max="4" width="14.5703125" style="559" bestFit="1" customWidth="1"/>
    <col min="5" max="5" width="9.140625" style="559"/>
    <col min="6" max="8" width="14.5703125" style="559" bestFit="1" customWidth="1"/>
    <col min="9" max="16384" width="9.140625" style="559"/>
  </cols>
  <sheetData>
    <row r="1" spans="1:8" ht="0.75" customHeight="1" x14ac:dyDescent="0.2">
      <c r="A1" s="142"/>
      <c r="B1" s="142"/>
      <c r="C1" s="142"/>
      <c r="D1" s="142"/>
      <c r="E1" s="142"/>
      <c r="F1" s="142"/>
      <c r="G1" s="142"/>
      <c r="H1" s="142"/>
    </row>
    <row r="2" spans="1:8" ht="28.5" customHeight="1" x14ac:dyDescent="0.2">
      <c r="A2" s="737" t="s">
        <v>291</v>
      </c>
      <c r="B2" s="737"/>
      <c r="C2" s="737"/>
      <c r="D2" s="737"/>
      <c r="E2" s="737"/>
      <c r="F2" s="737"/>
      <c r="G2" s="737"/>
      <c r="H2" s="737"/>
    </row>
    <row r="3" spans="1:8" ht="21.75" customHeight="1" x14ac:dyDescent="0.2">
      <c r="A3" s="738" t="str">
        <f>'Q8.4'!$A$2</f>
        <v>Área de residência, município e comuna</v>
      </c>
      <c r="B3" s="740" t="s">
        <v>292</v>
      </c>
      <c r="C3" s="740"/>
      <c r="D3" s="740"/>
      <c r="E3" s="553"/>
      <c r="F3" s="741" t="s">
        <v>293</v>
      </c>
      <c r="G3" s="741"/>
      <c r="H3" s="741"/>
    </row>
    <row r="4" spans="1:8" x14ac:dyDescent="0.2">
      <c r="A4" s="739"/>
      <c r="B4" s="547" t="s">
        <v>2</v>
      </c>
      <c r="C4" s="547" t="s">
        <v>3</v>
      </c>
      <c r="D4" s="547" t="s">
        <v>4</v>
      </c>
      <c r="E4" s="554"/>
      <c r="F4" s="547" t="s">
        <v>2</v>
      </c>
      <c r="G4" s="547" t="s">
        <v>3</v>
      </c>
      <c r="H4" s="547" t="s">
        <v>4</v>
      </c>
    </row>
    <row r="5" spans="1:8" x14ac:dyDescent="0.2">
      <c r="A5" s="555" t="s">
        <v>32</v>
      </c>
      <c r="B5" s="523">
        <v>145084.37106370166</v>
      </c>
      <c r="C5" s="523">
        <v>72932.38148146146</v>
      </c>
      <c r="D5" s="523">
        <v>72151.98958210877</v>
      </c>
      <c r="E5" s="529"/>
      <c r="F5" s="523">
        <v>70115.357064285898</v>
      </c>
      <c r="G5" s="523">
        <v>37567.304676756256</v>
      </c>
      <c r="H5" s="523">
        <v>32548.05238752412</v>
      </c>
    </row>
    <row r="6" spans="1:8" x14ac:dyDescent="0.2">
      <c r="A6" s="556"/>
      <c r="B6" s="525"/>
      <c r="C6" s="525"/>
      <c r="D6" s="525"/>
      <c r="E6" s="530"/>
      <c r="F6" s="525"/>
      <c r="G6" s="525"/>
      <c r="H6" s="525"/>
    </row>
    <row r="7" spans="1:8" x14ac:dyDescent="0.2">
      <c r="A7" s="555" t="s">
        <v>167</v>
      </c>
      <c r="B7" s="523"/>
      <c r="C7" s="523"/>
      <c r="D7" s="523"/>
      <c r="E7" s="529"/>
      <c r="F7" s="523"/>
      <c r="G7" s="523"/>
      <c r="H7" s="523"/>
    </row>
    <row r="8" spans="1:8" x14ac:dyDescent="0.2">
      <c r="A8" s="557" t="s">
        <v>8</v>
      </c>
      <c r="B8" s="527">
        <v>37810.939220943481</v>
      </c>
      <c r="C8" s="527">
        <v>17376.09182723995</v>
      </c>
      <c r="D8" s="527">
        <v>20434.847393715507</v>
      </c>
      <c r="E8" s="531"/>
      <c r="F8" s="527">
        <v>5217.2053563869822</v>
      </c>
      <c r="G8" s="527">
        <v>2594.3272166201305</v>
      </c>
      <c r="H8" s="527">
        <v>2622.8781397670846</v>
      </c>
    </row>
    <row r="9" spans="1:8" x14ac:dyDescent="0.2">
      <c r="A9" s="557" t="s">
        <v>9</v>
      </c>
      <c r="B9" s="527">
        <v>107273.43184273274</v>
      </c>
      <c r="C9" s="527">
        <v>55556.289654205219</v>
      </c>
      <c r="D9" s="527">
        <v>51717.142188379956</v>
      </c>
      <c r="E9" s="531"/>
      <c r="F9" s="527">
        <v>64898.151707884143</v>
      </c>
      <c r="G9" s="527">
        <v>34972.977460137598</v>
      </c>
      <c r="H9" s="527">
        <v>29925.174247758521</v>
      </c>
    </row>
    <row r="10" spans="1:8" x14ac:dyDescent="0.2">
      <c r="A10" s="555" t="s">
        <v>365</v>
      </c>
      <c r="B10" s="523"/>
      <c r="C10" s="523"/>
      <c r="D10" s="523"/>
      <c r="E10" s="529"/>
      <c r="F10" s="523"/>
      <c r="G10" s="523"/>
      <c r="H10" s="523"/>
    </row>
    <row r="11" spans="1:8" x14ac:dyDescent="0.2">
      <c r="A11" s="558" t="s">
        <v>11</v>
      </c>
      <c r="B11" s="525">
        <v>20332.064070386521</v>
      </c>
      <c r="C11" s="525">
        <v>10232.650855869564</v>
      </c>
      <c r="D11" s="525">
        <v>10099.413214517048</v>
      </c>
      <c r="E11" s="530"/>
      <c r="F11" s="525">
        <v>7980.9347170121409</v>
      </c>
      <c r="G11" s="525">
        <v>4278.8316822904235</v>
      </c>
      <c r="H11" s="525">
        <v>3702.1030347219503</v>
      </c>
    </row>
    <row r="12" spans="1:8" x14ac:dyDescent="0.2">
      <c r="A12" s="557" t="s">
        <v>12</v>
      </c>
      <c r="B12" s="527">
        <v>13677.795582270341</v>
      </c>
      <c r="C12" s="527">
        <v>6770.3755755812863</v>
      </c>
      <c r="D12" s="527">
        <v>6907.4200066866661</v>
      </c>
      <c r="E12" s="531"/>
      <c r="F12" s="527">
        <v>5226.7223307693002</v>
      </c>
      <c r="G12" s="527">
        <v>2775.1497298841732</v>
      </c>
      <c r="H12" s="527">
        <v>2451.5726008853599</v>
      </c>
    </row>
    <row r="13" spans="1:8" x14ac:dyDescent="0.2">
      <c r="A13" s="557" t="s">
        <v>13</v>
      </c>
      <c r="B13" s="527">
        <v>6654.2684881170062</v>
      </c>
      <c r="C13" s="527">
        <v>3462.2752802875357</v>
      </c>
      <c r="D13" s="527">
        <v>3191.9932078297034</v>
      </c>
      <c r="E13" s="531"/>
      <c r="F13" s="527">
        <v>2754.2123862430735</v>
      </c>
      <c r="G13" s="527">
        <v>1503.6819524064183</v>
      </c>
      <c r="H13" s="527">
        <v>1250.5304338367282</v>
      </c>
    </row>
    <row r="14" spans="1:8" x14ac:dyDescent="0.2">
      <c r="A14" s="558" t="s">
        <v>44</v>
      </c>
      <c r="B14" s="525">
        <v>39643.90848697706</v>
      </c>
      <c r="C14" s="525">
        <v>19054.88610828005</v>
      </c>
      <c r="D14" s="525">
        <v>20589.022378708985</v>
      </c>
      <c r="E14" s="530"/>
      <c r="F14" s="525">
        <v>10811.282898314777</v>
      </c>
      <c r="G14" s="525">
        <v>5731.1219730321563</v>
      </c>
      <c r="H14" s="525">
        <v>5080.1609252816024</v>
      </c>
    </row>
    <row r="15" spans="1:8" x14ac:dyDescent="0.2">
      <c r="A15" s="557" t="s">
        <v>15</v>
      </c>
      <c r="B15" s="527">
        <v>31453.600333558068</v>
      </c>
      <c r="C15" s="527">
        <v>14844.57664154309</v>
      </c>
      <c r="D15" s="527">
        <v>16609.023692025483</v>
      </c>
      <c r="E15" s="531"/>
      <c r="F15" s="527">
        <v>6517.2240570116264</v>
      </c>
      <c r="G15" s="527">
        <v>3407.076828870091</v>
      </c>
      <c r="H15" s="527">
        <v>3110.1472281417682</v>
      </c>
    </row>
    <row r="16" spans="1:8" x14ac:dyDescent="0.2">
      <c r="A16" s="557" t="s">
        <v>16</v>
      </c>
      <c r="B16" s="527">
        <v>8190.3081534231378</v>
      </c>
      <c r="C16" s="527">
        <v>4210.3094667377336</v>
      </c>
      <c r="D16" s="527">
        <v>3979.998686685637</v>
      </c>
      <c r="E16" s="531"/>
      <c r="F16" s="527">
        <v>4294.0588413021324</v>
      </c>
      <c r="G16" s="527">
        <v>2324.0451441622981</v>
      </c>
      <c r="H16" s="527">
        <v>1970.013697140058</v>
      </c>
    </row>
    <row r="17" spans="1:8" x14ac:dyDescent="0.2">
      <c r="A17" s="558" t="s">
        <v>17</v>
      </c>
      <c r="B17" s="525">
        <v>3100.6302537594502</v>
      </c>
      <c r="C17" s="525">
        <v>1598.8516962296101</v>
      </c>
      <c r="D17" s="525">
        <v>1501.7785575299545</v>
      </c>
      <c r="E17" s="530"/>
      <c r="F17" s="525">
        <v>2280.2670620036351</v>
      </c>
      <c r="G17" s="525">
        <v>1195.331982419277</v>
      </c>
      <c r="H17" s="525">
        <v>1084.9350795843745</v>
      </c>
    </row>
    <row r="18" spans="1:8" x14ac:dyDescent="0.2">
      <c r="A18" s="557" t="s">
        <v>17</v>
      </c>
      <c r="B18" s="527">
        <v>3100.6302537594502</v>
      </c>
      <c r="C18" s="527">
        <v>1598.8516962296101</v>
      </c>
      <c r="D18" s="527">
        <v>1501.7785575299545</v>
      </c>
      <c r="E18" s="531"/>
      <c r="F18" s="527">
        <v>2280.2670620036351</v>
      </c>
      <c r="G18" s="527">
        <v>1195.331982419277</v>
      </c>
      <c r="H18" s="527">
        <v>1084.9350795843745</v>
      </c>
    </row>
    <row r="19" spans="1:8" s="932" customFormat="1" x14ac:dyDescent="0.2">
      <c r="A19" s="558" t="s">
        <v>18</v>
      </c>
      <c r="B19" s="525">
        <v>2826.5413915486906</v>
      </c>
      <c r="C19" s="525">
        <v>1503.6819524064183</v>
      </c>
      <c r="D19" s="525">
        <v>1322.8594391423539</v>
      </c>
      <c r="E19" s="530"/>
      <c r="F19" s="525">
        <v>2310.7213800270529</v>
      </c>
      <c r="G19" s="525">
        <v>1260.0474082190474</v>
      </c>
      <c r="H19" s="525">
        <v>1050.6739718080255</v>
      </c>
    </row>
    <row r="20" spans="1:8" x14ac:dyDescent="0.2">
      <c r="A20" s="557" t="s">
        <v>18</v>
      </c>
      <c r="B20" s="527">
        <v>2826.5413915486906</v>
      </c>
      <c r="C20" s="527">
        <v>1503.6819524064183</v>
      </c>
      <c r="D20" s="527">
        <v>1322.8594391423539</v>
      </c>
      <c r="E20" s="531"/>
      <c r="F20" s="527">
        <v>2310.7213800270529</v>
      </c>
      <c r="G20" s="527">
        <v>1260.0474082190474</v>
      </c>
      <c r="H20" s="527">
        <v>1050.6739718080255</v>
      </c>
    </row>
    <row r="21" spans="1:8" x14ac:dyDescent="0.2">
      <c r="A21" s="558" t="s">
        <v>19</v>
      </c>
      <c r="B21" s="525">
        <v>12442.492307444869</v>
      </c>
      <c r="C21" s="525">
        <v>6229.8114306656216</v>
      </c>
      <c r="D21" s="525">
        <v>6212.6808767774492</v>
      </c>
      <c r="E21" s="530"/>
      <c r="F21" s="525">
        <v>6880.7724784161755</v>
      </c>
      <c r="G21" s="525">
        <v>3624.0638447869424</v>
      </c>
      <c r="H21" s="525">
        <v>3256.708633629466</v>
      </c>
    </row>
    <row r="22" spans="1:8" x14ac:dyDescent="0.2">
      <c r="A22" s="557" t="s">
        <v>19</v>
      </c>
      <c r="B22" s="527">
        <v>7347.1042231497595</v>
      </c>
      <c r="C22" s="527">
        <v>3563.1552087401069</v>
      </c>
      <c r="D22" s="527">
        <v>3783.9490144098854</v>
      </c>
      <c r="E22" s="531"/>
      <c r="F22" s="527">
        <v>3142.5049410416495</v>
      </c>
      <c r="G22" s="527">
        <v>1606.4652757354654</v>
      </c>
      <c r="H22" s="527">
        <v>1536.0396653063035</v>
      </c>
    </row>
    <row r="23" spans="1:8" x14ac:dyDescent="0.2">
      <c r="A23" s="557" t="s">
        <v>20</v>
      </c>
      <c r="B23" s="527">
        <v>5095.3880842933113</v>
      </c>
      <c r="C23" s="527">
        <v>2666.6562219257476</v>
      </c>
      <c r="D23" s="527">
        <v>2428.7318623677966</v>
      </c>
      <c r="E23" s="531"/>
      <c r="F23" s="527">
        <v>3738.2675373747588</v>
      </c>
      <c r="G23" s="527">
        <v>2017.5985690516538</v>
      </c>
      <c r="H23" s="527">
        <v>1720.6689683232955</v>
      </c>
    </row>
    <row r="24" spans="1:8" x14ac:dyDescent="0.2">
      <c r="A24" s="558" t="s">
        <v>21</v>
      </c>
      <c r="B24" s="525">
        <v>6208.8740870245219</v>
      </c>
      <c r="C24" s="525">
        <v>3216.7373412237303</v>
      </c>
      <c r="D24" s="525">
        <v>2992.1367458010245</v>
      </c>
      <c r="E24" s="530"/>
      <c r="F24" s="525">
        <v>2773.2463350077096</v>
      </c>
      <c r="G24" s="525">
        <v>1410.4156034596904</v>
      </c>
      <c r="H24" s="525">
        <v>1362.8307315480945</v>
      </c>
    </row>
    <row r="25" spans="1:8" x14ac:dyDescent="0.2">
      <c r="A25" s="557" t="s">
        <v>21</v>
      </c>
      <c r="B25" s="527">
        <v>6208.8740870245219</v>
      </c>
      <c r="C25" s="527">
        <v>3216.7373412237303</v>
      </c>
      <c r="D25" s="527">
        <v>2992.1367458010245</v>
      </c>
      <c r="E25" s="531"/>
      <c r="F25" s="527">
        <v>2773.2463350077096</v>
      </c>
      <c r="G25" s="527">
        <v>1410.4156034596904</v>
      </c>
      <c r="H25" s="527">
        <v>1362.8307315480945</v>
      </c>
    </row>
    <row r="26" spans="1:8" x14ac:dyDescent="0.2">
      <c r="A26" s="558" t="s">
        <v>22</v>
      </c>
      <c r="B26" s="525">
        <v>10316.400230434003</v>
      </c>
      <c r="C26" s="525">
        <v>5156.2967203401467</v>
      </c>
      <c r="D26" s="525">
        <v>5160.103510093074</v>
      </c>
      <c r="E26" s="530"/>
      <c r="F26" s="525">
        <v>3037.8182228361511</v>
      </c>
      <c r="G26" s="525">
        <v>1572.2041679591164</v>
      </c>
      <c r="H26" s="525">
        <v>1465.6140548771416</v>
      </c>
    </row>
    <row r="27" spans="1:8" x14ac:dyDescent="0.2">
      <c r="A27" s="557" t="s">
        <v>22</v>
      </c>
      <c r="B27" s="527">
        <v>10316.400230434003</v>
      </c>
      <c r="C27" s="527">
        <v>5156.2967203401467</v>
      </c>
      <c r="D27" s="527">
        <v>5160.103510093074</v>
      </c>
      <c r="E27" s="531"/>
      <c r="F27" s="527">
        <v>3037.8182228361511</v>
      </c>
      <c r="G27" s="527">
        <v>1572.2041679591164</v>
      </c>
      <c r="H27" s="527">
        <v>1465.6140548771416</v>
      </c>
    </row>
    <row r="28" spans="1:8" x14ac:dyDescent="0.2">
      <c r="A28" s="558" t="s">
        <v>23</v>
      </c>
      <c r="B28" s="525">
        <v>14684.69147192007</v>
      </c>
      <c r="C28" s="525">
        <v>7419.4332284553766</v>
      </c>
      <c r="D28" s="525">
        <v>7265.2582434618243</v>
      </c>
      <c r="E28" s="530"/>
      <c r="F28" s="525">
        <v>9016.3815298087375</v>
      </c>
      <c r="G28" s="525">
        <v>4821.2992220825518</v>
      </c>
      <c r="H28" s="525">
        <v>4195.0823077260247</v>
      </c>
    </row>
    <row r="29" spans="1:8" x14ac:dyDescent="0.2">
      <c r="A29" s="557" t="s">
        <v>23</v>
      </c>
      <c r="B29" s="527">
        <v>7720.1696189366266</v>
      </c>
      <c r="C29" s="527">
        <v>3858.1814145919661</v>
      </c>
      <c r="D29" s="527">
        <v>3861.9882043448933</v>
      </c>
      <c r="E29" s="531"/>
      <c r="F29" s="527">
        <v>3879.1187582330658</v>
      </c>
      <c r="G29" s="527">
        <v>2120.3818923806921</v>
      </c>
      <c r="H29" s="527">
        <v>1758.7368658525722</v>
      </c>
    </row>
    <row r="30" spans="1:8" x14ac:dyDescent="0.2">
      <c r="A30" s="557" t="s">
        <v>24</v>
      </c>
      <c r="B30" s="527">
        <v>6964.5218529805743</v>
      </c>
      <c r="C30" s="527">
        <v>3561.2518138636433</v>
      </c>
      <c r="D30" s="527">
        <v>3403.2700391171638</v>
      </c>
      <c r="E30" s="531"/>
      <c r="F30" s="527">
        <v>5137.2627715755107</v>
      </c>
      <c r="G30" s="527">
        <v>2700.9173297020925</v>
      </c>
      <c r="H30" s="527">
        <v>2436.345441873651</v>
      </c>
    </row>
    <row r="31" spans="1:8" x14ac:dyDescent="0.2">
      <c r="A31" s="558" t="s">
        <v>25</v>
      </c>
      <c r="B31" s="525">
        <v>1602.6584859825377</v>
      </c>
      <c r="C31" s="525">
        <v>921.24312020848481</v>
      </c>
      <c r="D31" s="525">
        <v>681.41536577404156</v>
      </c>
      <c r="E31" s="530"/>
      <c r="F31" s="525">
        <v>1435.1597368537202</v>
      </c>
      <c r="G31" s="525">
        <v>847.01072002639523</v>
      </c>
      <c r="H31" s="525">
        <v>588.14901682731363</v>
      </c>
    </row>
    <row r="32" spans="1:8" x14ac:dyDescent="0.2">
      <c r="A32" s="557" t="s">
        <v>25</v>
      </c>
      <c r="B32" s="527">
        <v>1602.6584859825377</v>
      </c>
      <c r="C32" s="527">
        <v>921.24312020848481</v>
      </c>
      <c r="D32" s="527">
        <v>681.41536577404156</v>
      </c>
      <c r="E32" s="531"/>
      <c r="F32" s="527">
        <v>1435.1597368537202</v>
      </c>
      <c r="G32" s="527">
        <v>847.01072002639523</v>
      </c>
      <c r="H32" s="527">
        <v>588.14901682731363</v>
      </c>
    </row>
    <row r="33" spans="1:8" x14ac:dyDescent="0.2">
      <c r="A33" s="558" t="s">
        <v>26</v>
      </c>
      <c r="B33" s="525">
        <v>618.603334850735</v>
      </c>
      <c r="C33" s="525">
        <v>327.38391875177365</v>
      </c>
      <c r="D33" s="525">
        <v>291.21941609896186</v>
      </c>
      <c r="E33" s="530"/>
      <c r="F33" s="525">
        <v>472.04192936302081</v>
      </c>
      <c r="G33" s="525">
        <v>268.37867758139652</v>
      </c>
      <c r="H33" s="525">
        <v>203.66325178162728</v>
      </c>
    </row>
    <row r="34" spans="1:8" x14ac:dyDescent="0.2">
      <c r="A34" s="557" t="s">
        <v>26</v>
      </c>
      <c r="B34" s="527">
        <v>618.603334850735</v>
      </c>
      <c r="C34" s="527">
        <v>327.38391875177365</v>
      </c>
      <c r="D34" s="527">
        <v>291.21941609896186</v>
      </c>
      <c r="E34" s="531"/>
      <c r="F34" s="527">
        <v>472.04192936302081</v>
      </c>
      <c r="G34" s="527">
        <v>268.37867758139652</v>
      </c>
      <c r="H34" s="527">
        <v>203.66325178162728</v>
      </c>
    </row>
    <row r="35" spans="1:8" x14ac:dyDescent="0.2">
      <c r="A35" s="558" t="s">
        <v>27</v>
      </c>
      <c r="B35" s="525">
        <v>3420.4005930053363</v>
      </c>
      <c r="C35" s="525">
        <v>1768.2538402348914</v>
      </c>
      <c r="D35" s="525">
        <v>1652.1467527705975</v>
      </c>
      <c r="E35" s="530"/>
      <c r="F35" s="525">
        <v>1912.9118508461429</v>
      </c>
      <c r="G35" s="525">
        <v>1033.543417919851</v>
      </c>
      <c r="H35" s="525">
        <v>879.36843292628043</v>
      </c>
    </row>
    <row r="36" spans="1:8" x14ac:dyDescent="0.2">
      <c r="A36" s="557" t="s">
        <v>27</v>
      </c>
      <c r="B36" s="527">
        <v>3420.4005930053363</v>
      </c>
      <c r="C36" s="527">
        <v>1768.2538402348914</v>
      </c>
      <c r="D36" s="527">
        <v>1652.1467527705975</v>
      </c>
      <c r="E36" s="531"/>
      <c r="F36" s="527">
        <v>1912.9118508461429</v>
      </c>
      <c r="G36" s="527">
        <v>1033.543417919851</v>
      </c>
      <c r="H36" s="527">
        <v>879.36843292628043</v>
      </c>
    </row>
    <row r="37" spans="1:8" x14ac:dyDescent="0.2">
      <c r="A37" s="558" t="s">
        <v>28</v>
      </c>
      <c r="B37" s="525">
        <v>7244.3208998207247</v>
      </c>
      <c r="C37" s="525">
        <v>3825.8237016920848</v>
      </c>
      <c r="D37" s="525">
        <v>3418.4971981288727</v>
      </c>
      <c r="E37" s="530"/>
      <c r="F37" s="525">
        <v>5013.5421046053762</v>
      </c>
      <c r="G37" s="525">
        <v>2824.637996672227</v>
      </c>
      <c r="H37" s="525">
        <v>2188.904107933382</v>
      </c>
    </row>
    <row r="38" spans="1:8" x14ac:dyDescent="0.2">
      <c r="A38" s="557" t="s">
        <v>28</v>
      </c>
      <c r="B38" s="527">
        <v>7244.3208998207247</v>
      </c>
      <c r="C38" s="527">
        <v>3825.8237016920848</v>
      </c>
      <c r="D38" s="527">
        <v>3418.4971981288727</v>
      </c>
      <c r="E38" s="531"/>
      <c r="F38" s="527">
        <v>5013.5421046053762</v>
      </c>
      <c r="G38" s="527">
        <v>2824.637996672227</v>
      </c>
      <c r="H38" s="527">
        <v>2188.904107933382</v>
      </c>
    </row>
    <row r="39" spans="1:8" x14ac:dyDescent="0.2">
      <c r="A39" s="558" t="s">
        <v>29</v>
      </c>
      <c r="B39" s="525">
        <v>16053.232388098058</v>
      </c>
      <c r="C39" s="525">
        <v>8390.1646154519112</v>
      </c>
      <c r="D39" s="525">
        <v>7663.0677726427184</v>
      </c>
      <c r="E39" s="530"/>
      <c r="F39" s="525">
        <v>12516.724707626985</v>
      </c>
      <c r="G39" s="525">
        <v>6720.8873087932325</v>
      </c>
      <c r="H39" s="525">
        <v>5795.837398831919</v>
      </c>
    </row>
    <row r="40" spans="1:8" x14ac:dyDescent="0.2">
      <c r="A40" s="557" t="s">
        <v>30</v>
      </c>
      <c r="B40" s="527">
        <v>9657.8256031772798</v>
      </c>
      <c r="C40" s="527">
        <v>4992.6047609642765</v>
      </c>
      <c r="D40" s="527">
        <v>4665.2208422125359</v>
      </c>
      <c r="E40" s="531"/>
      <c r="F40" s="527">
        <v>7722.0730138130903</v>
      </c>
      <c r="G40" s="527">
        <v>4094.2023792734535</v>
      </c>
      <c r="H40" s="527">
        <v>3627.8706345398696</v>
      </c>
    </row>
    <row r="41" spans="1:8" x14ac:dyDescent="0.2">
      <c r="A41" s="557" t="s">
        <v>29</v>
      </c>
      <c r="B41" s="527">
        <v>6395.4067849179555</v>
      </c>
      <c r="C41" s="527">
        <v>3397.559854487773</v>
      </c>
      <c r="D41" s="527">
        <v>2997.8469304304153</v>
      </c>
      <c r="E41" s="531"/>
      <c r="F41" s="527">
        <v>4794.6516938120612</v>
      </c>
      <c r="G41" s="527">
        <v>2626.6849295200118</v>
      </c>
      <c r="H41" s="527">
        <v>2167.9667642922823</v>
      </c>
    </row>
    <row r="42" spans="1:8" s="932" customFormat="1" x14ac:dyDescent="0.2">
      <c r="A42" s="558" t="s">
        <v>31</v>
      </c>
      <c r="B42" s="525">
        <v>6589.5530623172435</v>
      </c>
      <c r="C42" s="525">
        <v>3287.1629516528837</v>
      </c>
      <c r="D42" s="525">
        <v>3302.3901106645926</v>
      </c>
      <c r="E42" s="530"/>
      <c r="F42" s="525">
        <v>3673.5521115749962</v>
      </c>
      <c r="G42" s="525">
        <v>1979.5306715223771</v>
      </c>
      <c r="H42" s="525">
        <v>1694.0214400528018</v>
      </c>
    </row>
    <row r="43" spans="1:8" x14ac:dyDescent="0.2">
      <c r="A43" s="557" t="s">
        <v>31</v>
      </c>
      <c r="B43" s="527">
        <v>6589.5530623172435</v>
      </c>
      <c r="C43" s="527">
        <v>3287.1629516528837</v>
      </c>
      <c r="D43" s="527">
        <v>3302.3901106645926</v>
      </c>
      <c r="E43" s="531"/>
      <c r="F43" s="527">
        <v>3673.5521115749962</v>
      </c>
      <c r="G43" s="527">
        <v>1979.5306715223771</v>
      </c>
      <c r="H43" s="527">
        <v>1694.0214400528018</v>
      </c>
    </row>
  </sheetData>
  <mergeCells count="4">
    <mergeCell ref="A2:H2"/>
    <mergeCell ref="A3:A4"/>
    <mergeCell ref="B3:D3"/>
    <mergeCell ref="F3:H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2"/>
  <sheetViews>
    <sheetView workbookViewId="0">
      <selection activeCell="A2" sqref="A2:A3"/>
    </sheetView>
  </sheetViews>
  <sheetFormatPr defaultRowHeight="12" x14ac:dyDescent="0.2"/>
  <cols>
    <col min="1" max="1" width="22.5703125" style="559" customWidth="1"/>
    <col min="2" max="2" width="13.5703125" style="559" bestFit="1" customWidth="1"/>
    <col min="3" max="4" width="12.42578125" style="559" bestFit="1" customWidth="1"/>
    <col min="5" max="5" width="9.140625" style="559"/>
    <col min="6" max="7" width="12.42578125" style="559" bestFit="1" customWidth="1"/>
    <col min="8" max="8" width="11.5703125" style="559" customWidth="1"/>
    <col min="9" max="16384" width="9.140625" style="559"/>
  </cols>
  <sheetData>
    <row r="1" spans="1:8" ht="24.75" customHeight="1" x14ac:dyDescent="0.2">
      <c r="A1" s="742" t="s">
        <v>294</v>
      </c>
      <c r="B1" s="742"/>
      <c r="C1" s="742"/>
      <c r="D1" s="742"/>
      <c r="E1" s="742"/>
      <c r="F1" s="742"/>
      <c r="G1" s="742"/>
      <c r="H1" s="742"/>
    </row>
    <row r="2" spans="1:8" ht="24.75" customHeight="1" x14ac:dyDescent="0.2">
      <c r="A2" s="743" t="str">
        <f>'Q8.6'!$A$3</f>
        <v>Área de residência, município e comuna</v>
      </c>
      <c r="B2" s="745" t="s">
        <v>295</v>
      </c>
      <c r="C2" s="745"/>
      <c r="D2" s="745"/>
      <c r="E2" s="560"/>
      <c r="F2" s="741" t="s">
        <v>296</v>
      </c>
      <c r="G2" s="741"/>
      <c r="H2" s="741"/>
    </row>
    <row r="3" spans="1:8" x14ac:dyDescent="0.2">
      <c r="A3" s="744"/>
      <c r="B3" s="547" t="s">
        <v>2</v>
      </c>
      <c r="C3" s="547" t="s">
        <v>3</v>
      </c>
      <c r="D3" s="547" t="s">
        <v>4</v>
      </c>
      <c r="E3" s="561"/>
      <c r="F3" s="547" t="s">
        <v>2</v>
      </c>
      <c r="G3" s="547" t="s">
        <v>3</v>
      </c>
      <c r="H3" s="547" t="s">
        <v>4</v>
      </c>
    </row>
    <row r="4" spans="1:8" x14ac:dyDescent="0.2">
      <c r="A4" s="562" t="s">
        <v>32</v>
      </c>
      <c r="B4" s="523">
        <v>184025.18787714498</v>
      </c>
      <c r="C4" s="523">
        <v>90144.454038256808</v>
      </c>
      <c r="D4" s="523">
        <v>93880.733838743443</v>
      </c>
      <c r="E4" s="524"/>
      <c r="F4" s="523">
        <v>99038.230118362553</v>
      </c>
      <c r="G4" s="523">
        <v>50450.950392248313</v>
      </c>
      <c r="H4" s="523">
        <v>48587.279726210036</v>
      </c>
    </row>
    <row r="5" spans="1:8" x14ac:dyDescent="0.2">
      <c r="A5" s="563"/>
      <c r="B5" s="525"/>
      <c r="C5" s="525"/>
      <c r="D5" s="525"/>
      <c r="E5" s="526"/>
      <c r="F5" s="525"/>
      <c r="G5" s="525"/>
      <c r="H5" s="525"/>
    </row>
    <row r="6" spans="1:8" x14ac:dyDescent="0.2">
      <c r="A6" s="562" t="s">
        <v>167</v>
      </c>
      <c r="B6" s="523"/>
      <c r="C6" s="523"/>
      <c r="D6" s="523"/>
      <c r="E6" s="524"/>
      <c r="F6" s="523"/>
      <c r="G6" s="523"/>
      <c r="H6" s="523"/>
    </row>
    <row r="7" spans="1:8" x14ac:dyDescent="0.2">
      <c r="A7" s="564" t="s">
        <v>8</v>
      </c>
      <c r="B7" s="527">
        <v>53702.318280840271</v>
      </c>
      <c r="C7" s="527">
        <v>24495.872711151686</v>
      </c>
      <c r="D7" s="527">
        <v>29206.445569675292</v>
      </c>
      <c r="E7" s="528"/>
      <c r="F7" s="527">
        <v>11483.697305471158</v>
      </c>
      <c r="G7" s="527">
        <v>5383.1926072932738</v>
      </c>
      <c r="H7" s="527">
        <v>6100.504698177926</v>
      </c>
    </row>
    <row r="8" spans="1:8" x14ac:dyDescent="0.2">
      <c r="A8" s="564" t="s">
        <v>9</v>
      </c>
      <c r="B8" s="527">
        <v>130322.86959612145</v>
      </c>
      <c r="C8" s="527">
        <v>65648.581327171589</v>
      </c>
      <c r="D8" s="527">
        <v>64674.288269147153</v>
      </c>
      <c r="E8" s="528"/>
      <c r="F8" s="527">
        <v>87554.532812919482</v>
      </c>
      <c r="G8" s="527">
        <v>45067.7577849507</v>
      </c>
      <c r="H8" s="527">
        <v>42486.775028027187</v>
      </c>
    </row>
    <row r="9" spans="1:8" x14ac:dyDescent="0.2">
      <c r="A9" s="562" t="s">
        <v>360</v>
      </c>
      <c r="B9" s="523"/>
      <c r="C9" s="523"/>
      <c r="D9" s="523"/>
      <c r="E9" s="524"/>
      <c r="F9" s="523"/>
      <c r="G9" s="523"/>
      <c r="H9" s="523"/>
    </row>
    <row r="10" spans="1:8" x14ac:dyDescent="0.2">
      <c r="A10" s="565" t="s">
        <v>11</v>
      </c>
      <c r="B10" s="525">
        <v>24840.003745408154</v>
      </c>
      <c r="C10" s="525">
        <v>12314.974868739353</v>
      </c>
      <c r="D10" s="525">
        <v>12525.028876661961</v>
      </c>
      <c r="E10" s="526"/>
      <c r="F10" s="525">
        <v>11740.678272610519</v>
      </c>
      <c r="G10" s="525">
        <v>6053.5777389611731</v>
      </c>
      <c r="H10" s="525">
        <v>5687.1005336493881</v>
      </c>
    </row>
    <row r="11" spans="1:8" x14ac:dyDescent="0.2">
      <c r="A11" s="564" t="s">
        <v>12</v>
      </c>
      <c r="B11" s="527">
        <v>16082.539308712947</v>
      </c>
      <c r="C11" s="527">
        <v>7751.8867391865178</v>
      </c>
      <c r="D11" s="527">
        <v>8330.6525695264718</v>
      </c>
      <c r="E11" s="528"/>
      <c r="F11" s="527">
        <v>7307.1979351801447</v>
      </c>
      <c r="G11" s="527">
        <v>3664.7720531178916</v>
      </c>
      <c r="H11" s="527">
        <v>3642.4258820622949</v>
      </c>
    </row>
    <row r="12" spans="1:8" x14ac:dyDescent="0.2">
      <c r="A12" s="564" t="s">
        <v>13</v>
      </c>
      <c r="B12" s="527">
        <v>8757.4644366883676</v>
      </c>
      <c r="C12" s="527">
        <v>4563.088129552877</v>
      </c>
      <c r="D12" s="527">
        <v>4194.3763071355324</v>
      </c>
      <c r="E12" s="528"/>
      <c r="F12" s="527">
        <v>4433.4803374304165</v>
      </c>
      <c r="G12" s="527">
        <v>2388.8056858433233</v>
      </c>
      <c r="H12" s="527">
        <v>2044.674651587135</v>
      </c>
    </row>
    <row r="13" spans="1:8" x14ac:dyDescent="0.2">
      <c r="A13" s="565" t="s">
        <v>44</v>
      </c>
      <c r="B13" s="525">
        <v>54909.011517843472</v>
      </c>
      <c r="C13" s="525">
        <v>25709.269799471571</v>
      </c>
      <c r="D13" s="525">
        <v>29199.741718358608</v>
      </c>
      <c r="E13" s="526"/>
      <c r="F13" s="525">
        <v>19056.814676215035</v>
      </c>
      <c r="G13" s="525">
        <v>9450.1957394118635</v>
      </c>
      <c r="H13" s="525">
        <v>9606.61893680104</v>
      </c>
    </row>
    <row r="14" spans="1:8" x14ac:dyDescent="0.2">
      <c r="A14" s="564" t="s">
        <v>15</v>
      </c>
      <c r="B14" s="527">
        <v>44725.861367799793</v>
      </c>
      <c r="C14" s="527">
        <v>20741.715973808394</v>
      </c>
      <c r="D14" s="527">
        <v>23984.145393978106</v>
      </c>
      <c r="E14" s="528"/>
      <c r="F14" s="527">
        <v>12940.667658296059</v>
      </c>
      <c r="G14" s="527">
        <v>6353.0164311061681</v>
      </c>
      <c r="H14" s="527">
        <v>6587.6512271899328</v>
      </c>
    </row>
    <row r="15" spans="1:8" x14ac:dyDescent="0.2">
      <c r="A15" s="564" t="s">
        <v>16</v>
      </c>
      <c r="B15" s="527">
        <v>10183.150150035433</v>
      </c>
      <c r="C15" s="527">
        <v>4967.5538256591763</v>
      </c>
      <c r="D15" s="527">
        <v>5215.596324376299</v>
      </c>
      <c r="E15" s="528"/>
      <c r="F15" s="527">
        <v>6116.1470179168437</v>
      </c>
      <c r="G15" s="527">
        <v>3097.1793083057369</v>
      </c>
      <c r="H15" s="527">
        <v>3018.9677096111486</v>
      </c>
    </row>
    <row r="16" spans="1:8" x14ac:dyDescent="0.2">
      <c r="A16" s="565" t="s">
        <v>17</v>
      </c>
      <c r="B16" s="525">
        <v>3325.1102530728226</v>
      </c>
      <c r="C16" s="525">
        <v>1646.9128067975148</v>
      </c>
      <c r="D16" s="525">
        <v>1678.1974462753501</v>
      </c>
      <c r="E16" s="526"/>
      <c r="F16" s="525">
        <v>2288.2479160931384</v>
      </c>
      <c r="G16" s="525">
        <v>1094.9623817242777</v>
      </c>
      <c r="H16" s="525">
        <v>1193.285534368903</v>
      </c>
    </row>
    <row r="17" spans="1:8" x14ac:dyDescent="0.2">
      <c r="A17" s="564" t="s">
        <v>17</v>
      </c>
      <c r="B17" s="527">
        <v>3325.1102530728226</v>
      </c>
      <c r="C17" s="527">
        <v>1646.9128067975148</v>
      </c>
      <c r="D17" s="527">
        <v>1678.1974462753501</v>
      </c>
      <c r="E17" s="528"/>
      <c r="F17" s="527">
        <v>2288.2479160931384</v>
      </c>
      <c r="G17" s="527">
        <v>1094.9623817242777</v>
      </c>
      <c r="H17" s="527">
        <v>1193.285534368903</v>
      </c>
    </row>
    <row r="18" spans="1:8" x14ac:dyDescent="0.2">
      <c r="A18" s="565" t="s">
        <v>18</v>
      </c>
      <c r="B18" s="525">
        <v>3325.1102530728226</v>
      </c>
      <c r="C18" s="525">
        <v>1722.8897883865434</v>
      </c>
      <c r="D18" s="525">
        <v>1602.2204646863215</v>
      </c>
      <c r="E18" s="526"/>
      <c r="F18" s="525">
        <v>2779.8636793162646</v>
      </c>
      <c r="G18" s="525">
        <v>1414.5126278193097</v>
      </c>
      <c r="H18" s="525">
        <v>1365.3510514969971</v>
      </c>
    </row>
    <row r="19" spans="1:8" x14ac:dyDescent="0.2">
      <c r="A19" s="564" t="s">
        <v>18</v>
      </c>
      <c r="B19" s="527">
        <v>3325.1102530728226</v>
      </c>
      <c r="C19" s="527">
        <v>1722.8897883865434</v>
      </c>
      <c r="D19" s="527">
        <v>1602.2204646863215</v>
      </c>
      <c r="E19" s="528"/>
      <c r="F19" s="527">
        <v>2779.8636793162646</v>
      </c>
      <c r="G19" s="527">
        <v>1414.5126278193097</v>
      </c>
      <c r="H19" s="527">
        <v>1365.3510514969971</v>
      </c>
    </row>
    <row r="20" spans="1:8" x14ac:dyDescent="0.2">
      <c r="A20" s="565" t="s">
        <v>19</v>
      </c>
      <c r="B20" s="525">
        <v>15005.453863833189</v>
      </c>
      <c r="C20" s="525">
        <v>7561.9442852139464</v>
      </c>
      <c r="D20" s="525">
        <v>7443.5095786192842</v>
      </c>
      <c r="E20" s="526"/>
      <c r="F20" s="525">
        <v>9468.0726762563409</v>
      </c>
      <c r="G20" s="525">
        <v>4795.4883085310821</v>
      </c>
      <c r="H20" s="525">
        <v>4672.5843677253006</v>
      </c>
    </row>
    <row r="21" spans="1:8" x14ac:dyDescent="0.2">
      <c r="A21" s="564" t="s">
        <v>19</v>
      </c>
      <c r="B21" s="527">
        <v>9206.6224749058601</v>
      </c>
      <c r="C21" s="527">
        <v>4542.9765756028401</v>
      </c>
      <c r="D21" s="527">
        <v>4663.6458993030619</v>
      </c>
      <c r="E21" s="528"/>
      <c r="F21" s="527">
        <v>4802.1921598477611</v>
      </c>
      <c r="G21" s="527">
        <v>2373.1633661044057</v>
      </c>
      <c r="H21" s="527">
        <v>2429.0287937433973</v>
      </c>
    </row>
    <row r="22" spans="1:8" x14ac:dyDescent="0.2">
      <c r="A22" s="564" t="s">
        <v>20</v>
      </c>
      <c r="B22" s="527">
        <v>5798.8313889273713</v>
      </c>
      <c r="C22" s="527">
        <v>3018.9677096111486</v>
      </c>
      <c r="D22" s="527">
        <v>2779.8636793162646</v>
      </c>
      <c r="E22" s="528"/>
      <c r="F22" s="527">
        <v>4665.8805164086216</v>
      </c>
      <c r="G22" s="527">
        <v>2422.3249424267183</v>
      </c>
      <c r="H22" s="527">
        <v>2243.5555739819451</v>
      </c>
    </row>
    <row r="23" spans="1:8" x14ac:dyDescent="0.2">
      <c r="A23" s="565" t="s">
        <v>21</v>
      </c>
      <c r="B23" s="525">
        <v>7885.9637655200977</v>
      </c>
      <c r="C23" s="525">
        <v>3848.010655773784</v>
      </c>
      <c r="D23" s="525">
        <v>4037.9531097463555</v>
      </c>
      <c r="E23" s="526"/>
      <c r="F23" s="525">
        <v>4431.2457203248568</v>
      </c>
      <c r="G23" s="525">
        <v>2004.4515436870611</v>
      </c>
      <c r="H23" s="525">
        <v>2426.7941766378376</v>
      </c>
    </row>
    <row r="24" spans="1:8" x14ac:dyDescent="0.2">
      <c r="A24" s="564" t="s">
        <v>21</v>
      </c>
      <c r="B24" s="527">
        <v>7885.9637655200977</v>
      </c>
      <c r="C24" s="527">
        <v>3848.010655773784</v>
      </c>
      <c r="D24" s="527">
        <v>4037.9531097463555</v>
      </c>
      <c r="E24" s="528"/>
      <c r="F24" s="527">
        <v>4431.2457203248568</v>
      </c>
      <c r="G24" s="527">
        <v>2004.4515436870611</v>
      </c>
      <c r="H24" s="527">
        <v>2426.7941766378376</v>
      </c>
    </row>
    <row r="25" spans="1:8" x14ac:dyDescent="0.2">
      <c r="A25" s="565" t="s">
        <v>22</v>
      </c>
      <c r="B25" s="525">
        <v>14522.776569032301</v>
      </c>
      <c r="C25" s="525">
        <v>7106.0823956797749</v>
      </c>
      <c r="D25" s="525">
        <v>7416.6941733525682</v>
      </c>
      <c r="E25" s="526"/>
      <c r="F25" s="525">
        <v>5617.8274033770385</v>
      </c>
      <c r="G25" s="525">
        <v>2902.7676201220461</v>
      </c>
      <c r="H25" s="525">
        <v>2715.0597832550343</v>
      </c>
    </row>
    <row r="26" spans="1:8" x14ac:dyDescent="0.2">
      <c r="A26" s="564" t="s">
        <v>22</v>
      </c>
      <c r="B26" s="527">
        <v>14522.776569032301</v>
      </c>
      <c r="C26" s="527">
        <v>7106.0823956797749</v>
      </c>
      <c r="D26" s="527">
        <v>7416.6941733525682</v>
      </c>
      <c r="E26" s="528"/>
      <c r="F26" s="527">
        <v>5617.8274033770385</v>
      </c>
      <c r="G26" s="527">
        <v>2902.7676201220461</v>
      </c>
      <c r="H26" s="527">
        <v>2715.0597832550343</v>
      </c>
    </row>
    <row r="27" spans="1:8" x14ac:dyDescent="0.2">
      <c r="A27" s="565" t="s">
        <v>23</v>
      </c>
      <c r="B27" s="525">
        <v>17695.932858928092</v>
      </c>
      <c r="C27" s="525">
        <v>8842.3798866996349</v>
      </c>
      <c r="D27" s="525">
        <v>8853.5529722274332</v>
      </c>
      <c r="E27" s="526"/>
      <c r="F27" s="525">
        <v>11836.766808149585</v>
      </c>
      <c r="G27" s="525">
        <v>6281.5086837282588</v>
      </c>
      <c r="H27" s="525">
        <v>5555.2581244213679</v>
      </c>
    </row>
    <row r="28" spans="1:8" x14ac:dyDescent="0.2">
      <c r="A28" s="564" t="s">
        <v>23</v>
      </c>
      <c r="B28" s="527">
        <v>9347.403352556119</v>
      </c>
      <c r="C28" s="527">
        <v>4551.9150440250787</v>
      </c>
      <c r="D28" s="527">
        <v>4795.4883085310821</v>
      </c>
      <c r="E28" s="528"/>
      <c r="F28" s="527">
        <v>5396.6003099266318</v>
      </c>
      <c r="G28" s="527">
        <v>2898.2983859109268</v>
      </c>
      <c r="H28" s="527">
        <v>2498.3019240157469</v>
      </c>
    </row>
    <row r="29" spans="1:8" x14ac:dyDescent="0.2">
      <c r="A29" s="564" t="s">
        <v>24</v>
      </c>
      <c r="B29" s="527">
        <v>8348.5295063709491</v>
      </c>
      <c r="C29" s="527">
        <v>4290.464842674598</v>
      </c>
      <c r="D29" s="527">
        <v>4058.0646636963925</v>
      </c>
      <c r="E29" s="528"/>
      <c r="F29" s="527">
        <v>6440.166498222995</v>
      </c>
      <c r="G29" s="527">
        <v>3383.2102978173739</v>
      </c>
      <c r="H29" s="527">
        <v>3056.9562004056629</v>
      </c>
    </row>
    <row r="30" spans="1:8" x14ac:dyDescent="0.2">
      <c r="A30" s="565" t="s">
        <v>25</v>
      </c>
      <c r="B30" s="525">
        <v>2183.2209121318342</v>
      </c>
      <c r="C30" s="525">
        <v>1173.173980418866</v>
      </c>
      <c r="D30" s="525">
        <v>1010.0469317130097</v>
      </c>
      <c r="E30" s="526"/>
      <c r="F30" s="525">
        <v>2004.4515436870611</v>
      </c>
      <c r="G30" s="525">
        <v>1077.0854448798004</v>
      </c>
      <c r="H30" s="525">
        <v>927.36609880729793</v>
      </c>
    </row>
    <row r="31" spans="1:8" x14ac:dyDescent="0.2">
      <c r="A31" s="564" t="s">
        <v>25</v>
      </c>
      <c r="B31" s="527">
        <v>2183.2209121318342</v>
      </c>
      <c r="C31" s="527">
        <v>1173.173980418866</v>
      </c>
      <c r="D31" s="527">
        <v>1010.0469317130097</v>
      </c>
      <c r="E31" s="528"/>
      <c r="F31" s="527">
        <v>2004.4515436870611</v>
      </c>
      <c r="G31" s="527">
        <v>1077.0854448798004</v>
      </c>
      <c r="H31" s="527">
        <v>927.36609880729793</v>
      </c>
    </row>
    <row r="32" spans="1:8" x14ac:dyDescent="0.2">
      <c r="A32" s="565" t="s">
        <v>26</v>
      </c>
      <c r="B32" s="525">
        <v>878.20452248498282</v>
      </c>
      <c r="C32" s="525">
        <v>482.67729480090293</v>
      </c>
      <c r="D32" s="525">
        <v>395.52722768407381</v>
      </c>
      <c r="E32" s="526"/>
      <c r="F32" s="525">
        <v>654.74281192900503</v>
      </c>
      <c r="G32" s="525">
        <v>350.83488557287939</v>
      </c>
      <c r="H32" s="525">
        <v>303.90792635612524</v>
      </c>
    </row>
    <row r="33" spans="1:8" x14ac:dyDescent="0.2">
      <c r="A33" s="564" t="s">
        <v>26</v>
      </c>
      <c r="B33" s="527">
        <v>878.20452248498282</v>
      </c>
      <c r="C33" s="527">
        <v>482.67729480090293</v>
      </c>
      <c r="D33" s="527">
        <v>395.52722768407381</v>
      </c>
      <c r="E33" s="528"/>
      <c r="F33" s="527">
        <v>654.74281192900503</v>
      </c>
      <c r="G33" s="527">
        <v>350.83488557287939</v>
      </c>
      <c r="H33" s="527">
        <v>303.90792635612524</v>
      </c>
    </row>
    <row r="34" spans="1:8" x14ac:dyDescent="0.2">
      <c r="A34" s="565" t="s">
        <v>27</v>
      </c>
      <c r="B34" s="525">
        <v>3593.2643057399823</v>
      </c>
      <c r="C34" s="525">
        <v>1713.9513199643047</v>
      </c>
      <c r="D34" s="525">
        <v>1879.3129857757199</v>
      </c>
      <c r="E34" s="526"/>
      <c r="F34" s="525">
        <v>2046.9092686926947</v>
      </c>
      <c r="G34" s="525">
        <v>1016.750783029689</v>
      </c>
      <c r="H34" s="525">
        <v>1030.1584856630475</v>
      </c>
    </row>
    <row r="35" spans="1:8" x14ac:dyDescent="0.2">
      <c r="A35" s="564" t="s">
        <v>27</v>
      </c>
      <c r="B35" s="527">
        <v>3593.2643057399823</v>
      </c>
      <c r="C35" s="527">
        <v>1713.9513199643047</v>
      </c>
      <c r="D35" s="527">
        <v>1879.3129857757199</v>
      </c>
      <c r="E35" s="528"/>
      <c r="F35" s="527">
        <v>2046.9092686926947</v>
      </c>
      <c r="G35" s="527">
        <v>1016.750783029689</v>
      </c>
      <c r="H35" s="527">
        <v>1030.1584856630475</v>
      </c>
    </row>
    <row r="36" spans="1:8" x14ac:dyDescent="0.2">
      <c r="A36" s="565" t="s">
        <v>28</v>
      </c>
      <c r="B36" s="525">
        <v>9747.3998144512989</v>
      </c>
      <c r="C36" s="525">
        <v>5139.6193427872704</v>
      </c>
      <c r="D36" s="525">
        <v>4607.7804716640703</v>
      </c>
      <c r="E36" s="526"/>
      <c r="F36" s="525">
        <v>7383.1749167691733</v>
      </c>
      <c r="G36" s="525">
        <v>4055.8300465908328</v>
      </c>
      <c r="H36" s="525">
        <v>3327.3448701783823</v>
      </c>
    </row>
    <row r="37" spans="1:8" x14ac:dyDescent="0.2">
      <c r="A37" s="564" t="s">
        <v>28</v>
      </c>
      <c r="B37" s="527">
        <v>9747.3998144512989</v>
      </c>
      <c r="C37" s="527">
        <v>5139.6193427872704</v>
      </c>
      <c r="D37" s="527">
        <v>4607.7804716640703</v>
      </c>
      <c r="E37" s="528"/>
      <c r="F37" s="527">
        <v>7383.1749167691733</v>
      </c>
      <c r="G37" s="527">
        <v>4055.8300465908328</v>
      </c>
      <c r="H37" s="527">
        <v>3327.3448701783823</v>
      </c>
    </row>
    <row r="38" spans="1:8" x14ac:dyDescent="0.2">
      <c r="A38" s="565" t="s">
        <v>29</v>
      </c>
      <c r="B38" s="525">
        <v>18042.298510290122</v>
      </c>
      <c r="C38" s="525">
        <v>9012.2107867221694</v>
      </c>
      <c r="D38" s="525">
        <v>9030.0877235666467</v>
      </c>
      <c r="E38" s="526"/>
      <c r="F38" s="525">
        <v>14513.838100610063</v>
      </c>
      <c r="G38" s="525">
        <v>7376.4710654524943</v>
      </c>
      <c r="H38" s="525">
        <v>7137.3670351576102</v>
      </c>
    </row>
    <row r="39" spans="1:8" x14ac:dyDescent="0.2">
      <c r="A39" s="564" t="s">
        <v>30</v>
      </c>
      <c r="B39" s="527">
        <v>10980.908456720234</v>
      </c>
      <c r="C39" s="527">
        <v>5434.5888007211461</v>
      </c>
      <c r="D39" s="527">
        <v>5546.3196559991293</v>
      </c>
      <c r="E39" s="528"/>
      <c r="F39" s="527">
        <v>8862.4914406496719</v>
      </c>
      <c r="G39" s="527">
        <v>4446.8880400637745</v>
      </c>
      <c r="H39" s="527">
        <v>4415.6034005859392</v>
      </c>
    </row>
    <row r="40" spans="1:8" x14ac:dyDescent="0.2">
      <c r="A40" s="564" t="s">
        <v>29</v>
      </c>
      <c r="B40" s="527">
        <v>7061.3900535685816</v>
      </c>
      <c r="C40" s="527">
        <v>3577.6219860010647</v>
      </c>
      <c r="D40" s="527">
        <v>3483.7680675675588</v>
      </c>
      <c r="E40" s="528"/>
      <c r="F40" s="527">
        <v>5651.3466599604335</v>
      </c>
      <c r="G40" s="527">
        <v>2929.5830253887621</v>
      </c>
      <c r="H40" s="527">
        <v>2721.7636345717133</v>
      </c>
    </row>
    <row r="41" spans="1:8" x14ac:dyDescent="0.2">
      <c r="A41" s="565" t="s">
        <v>31</v>
      </c>
      <c r="B41" s="525">
        <v>8071.4369852815498</v>
      </c>
      <c r="C41" s="525">
        <v>3870.3568268293807</v>
      </c>
      <c r="D41" s="525">
        <v>4201.0801584522114</v>
      </c>
      <c r="E41" s="526"/>
      <c r="F41" s="525">
        <v>5215.596324376299</v>
      </c>
      <c r="G41" s="525">
        <v>2576.5135227103351</v>
      </c>
      <c r="H41" s="525">
        <v>2639.0828016660057</v>
      </c>
    </row>
    <row r="42" spans="1:8" x14ac:dyDescent="0.2">
      <c r="A42" s="564" t="s">
        <v>31</v>
      </c>
      <c r="B42" s="527">
        <v>8071.4369852815498</v>
      </c>
      <c r="C42" s="527">
        <v>3870.3568268293807</v>
      </c>
      <c r="D42" s="527">
        <v>4201.0801584522114</v>
      </c>
      <c r="E42" s="528"/>
      <c r="F42" s="527">
        <v>5215.596324376299</v>
      </c>
      <c r="G42" s="527">
        <v>2576.5135227103351</v>
      </c>
      <c r="H42" s="527">
        <v>2639.0828016660057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48"/>
  <sheetViews>
    <sheetView workbookViewId="0">
      <selection activeCell="A2" sqref="A2:A4"/>
    </sheetView>
  </sheetViews>
  <sheetFormatPr defaultRowHeight="12" x14ac:dyDescent="0.2"/>
  <cols>
    <col min="1" max="1" width="15" style="577" customWidth="1"/>
    <col min="2" max="16384" width="9.140625" style="575"/>
  </cols>
  <sheetData>
    <row r="1" spans="1:13" ht="21" customHeight="1" x14ac:dyDescent="0.2">
      <c r="A1" s="746" t="s">
        <v>297</v>
      </c>
      <c r="B1" s="746"/>
      <c r="C1" s="746"/>
      <c r="D1" s="746"/>
      <c r="E1" s="746"/>
      <c r="F1" s="746"/>
      <c r="G1" s="746"/>
      <c r="H1" s="746"/>
      <c r="I1" s="746"/>
      <c r="J1" s="746"/>
      <c r="K1" s="746"/>
      <c r="L1" s="746"/>
      <c r="M1" s="746"/>
    </row>
    <row r="2" spans="1:13" x14ac:dyDescent="0.2">
      <c r="A2" s="747" t="s">
        <v>273</v>
      </c>
      <c r="B2" s="750" t="s">
        <v>285</v>
      </c>
      <c r="C2" s="753" t="s">
        <v>284</v>
      </c>
      <c r="D2" s="753"/>
      <c r="E2" s="753"/>
      <c r="F2" s="753"/>
      <c r="G2" s="753"/>
      <c r="H2" s="753"/>
      <c r="I2" s="753"/>
      <c r="J2" s="753"/>
      <c r="K2" s="753"/>
      <c r="L2" s="753"/>
      <c r="M2" s="753"/>
    </row>
    <row r="3" spans="1:13" x14ac:dyDescent="0.2">
      <c r="A3" s="748"/>
      <c r="B3" s="751"/>
      <c r="C3" s="751" t="s">
        <v>286</v>
      </c>
      <c r="D3" s="751"/>
      <c r="E3" s="751"/>
      <c r="F3" s="479"/>
      <c r="G3" s="751" t="s">
        <v>287</v>
      </c>
      <c r="H3" s="751"/>
      <c r="I3" s="751"/>
      <c r="J3" s="479"/>
      <c r="K3" s="751" t="s">
        <v>288</v>
      </c>
      <c r="L3" s="751"/>
      <c r="M3" s="751"/>
    </row>
    <row r="4" spans="1:13" x14ac:dyDescent="0.2">
      <c r="A4" s="749"/>
      <c r="B4" s="752"/>
      <c r="C4" s="481" t="s">
        <v>2</v>
      </c>
      <c r="D4" s="481" t="s">
        <v>3</v>
      </c>
      <c r="E4" s="481" t="s">
        <v>4</v>
      </c>
      <c r="F4" s="480"/>
      <c r="G4" s="481" t="s">
        <v>2</v>
      </c>
      <c r="H4" s="481" t="s">
        <v>3</v>
      </c>
      <c r="I4" s="481" t="s">
        <v>4</v>
      </c>
      <c r="J4" s="480"/>
      <c r="K4" s="481" t="s">
        <v>2</v>
      </c>
      <c r="L4" s="481" t="s">
        <v>3</v>
      </c>
      <c r="M4" s="481" t="s">
        <v>4</v>
      </c>
    </row>
    <row r="5" spans="1:13" x14ac:dyDescent="0.2">
      <c r="A5" s="399" t="s">
        <v>32</v>
      </c>
      <c r="B5" s="146">
        <v>1493197.1345563552</v>
      </c>
      <c r="C5" s="146">
        <v>444938.26548655168</v>
      </c>
      <c r="D5" s="146">
        <v>213120.55435574657</v>
      </c>
      <c r="E5" s="146">
        <v>231817.71113120514</v>
      </c>
      <c r="F5" s="146"/>
      <c r="G5" s="146">
        <v>386354.38303717913</v>
      </c>
      <c r="H5" s="146">
        <v>185576.15329285699</v>
      </c>
      <c r="I5" s="146">
        <v>200778.22974489187</v>
      </c>
      <c r="J5" s="146"/>
      <c r="K5" s="146">
        <v>661904.4860203797</v>
      </c>
      <c r="L5" s="146">
        <v>312417.25516831217</v>
      </c>
      <c r="M5" s="146">
        <v>349487.23084897094</v>
      </c>
    </row>
    <row r="6" spans="1:13" x14ac:dyDescent="0.2">
      <c r="A6" s="400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3" x14ac:dyDescent="0.2">
      <c r="A7" s="399" t="s">
        <v>298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</row>
    <row r="8" spans="1:13" x14ac:dyDescent="0.2">
      <c r="A8" s="401" t="s">
        <v>185</v>
      </c>
      <c r="B8" s="45">
        <v>296392.84337264905</v>
      </c>
      <c r="C8" s="45">
        <v>120305.97656192265</v>
      </c>
      <c r="D8" s="45">
        <v>58744.476072280238</v>
      </c>
      <c r="E8" s="45">
        <v>61561.500489445032</v>
      </c>
      <c r="F8" s="45"/>
      <c r="G8" s="45">
        <v>11652.583433712094</v>
      </c>
      <c r="H8" s="45">
        <v>5951.9157787019349</v>
      </c>
      <c r="I8" s="45">
        <v>5700.6676550087386</v>
      </c>
      <c r="J8" s="45"/>
      <c r="K8" s="45">
        <v>164434.28337774749</v>
      </c>
      <c r="L8" s="45">
        <v>84617.322628110633</v>
      </c>
      <c r="M8" s="45">
        <v>79816.960749653357</v>
      </c>
    </row>
    <row r="9" spans="1:13" x14ac:dyDescent="0.2">
      <c r="A9" s="401" t="s">
        <v>186</v>
      </c>
      <c r="B9" s="45">
        <v>247955.25055661143</v>
      </c>
      <c r="C9" s="45">
        <v>128062.3106835378</v>
      </c>
      <c r="D9" s="45">
        <v>60465.145040602518</v>
      </c>
      <c r="E9" s="45">
        <v>67597.165642716122</v>
      </c>
      <c r="F9" s="45"/>
      <c r="G9" s="45">
        <v>16331.128040061878</v>
      </c>
      <c r="H9" s="45">
        <v>8346.3865332932273</v>
      </c>
      <c r="I9" s="45">
        <v>7984.7415067650682</v>
      </c>
      <c r="J9" s="45"/>
      <c r="K9" s="45">
        <v>103561.81183361629</v>
      </c>
      <c r="L9" s="45">
        <v>55287.910976623978</v>
      </c>
      <c r="M9" s="45">
        <v>48273.900856858934</v>
      </c>
    </row>
    <row r="10" spans="1:13" x14ac:dyDescent="0.2">
      <c r="A10" s="401" t="s">
        <v>187</v>
      </c>
      <c r="B10" s="45">
        <v>222947.74862194163</v>
      </c>
      <c r="C10" s="45">
        <v>98189.075618251954</v>
      </c>
      <c r="D10" s="45">
        <v>46042.050842975506</v>
      </c>
      <c r="E10" s="45">
        <v>52147.024775369478</v>
      </c>
      <c r="F10" s="45"/>
      <c r="G10" s="45">
        <v>39865.569163203567</v>
      </c>
      <c r="H10" s="45">
        <v>18945.083820936961</v>
      </c>
      <c r="I10" s="45">
        <v>20920.485342253312</v>
      </c>
      <c r="J10" s="45"/>
      <c r="K10" s="45">
        <v>84893.103840204421</v>
      </c>
      <c r="L10" s="45">
        <v>43528.106599218838</v>
      </c>
      <c r="M10" s="45">
        <v>41364.997241035322</v>
      </c>
    </row>
    <row r="11" spans="1:13" x14ac:dyDescent="0.2">
      <c r="A11" s="401" t="s">
        <v>188</v>
      </c>
      <c r="B11" s="45">
        <v>178638.55953021816</v>
      </c>
      <c r="C11" s="45">
        <v>40288.841465002326</v>
      </c>
      <c r="D11" s="45">
        <v>19433.093601486045</v>
      </c>
      <c r="E11" s="45">
        <v>20855.747863506444</v>
      </c>
      <c r="F11" s="45"/>
      <c r="G11" s="45">
        <v>65817.076808892307</v>
      </c>
      <c r="H11" s="45">
        <v>29680.294987188881</v>
      </c>
      <c r="I11" s="45">
        <v>36136.781821693592</v>
      </c>
      <c r="J11" s="45"/>
      <c r="K11" s="45">
        <v>72532.641256608404</v>
      </c>
      <c r="L11" s="45">
        <v>33511.916529946691</v>
      </c>
      <c r="M11" s="45">
        <v>39020.724726651875</v>
      </c>
    </row>
    <row r="12" spans="1:13" x14ac:dyDescent="0.2">
      <c r="A12" s="401" t="s">
        <v>189</v>
      </c>
      <c r="B12" s="45">
        <v>143424.45762947548</v>
      </c>
      <c r="C12" s="45">
        <v>18203.611244053081</v>
      </c>
      <c r="D12" s="45">
        <v>8681.3726532198416</v>
      </c>
      <c r="E12" s="45">
        <v>9522.2385908350589</v>
      </c>
      <c r="F12" s="45"/>
      <c r="G12" s="45">
        <v>67366.997266876191</v>
      </c>
      <c r="H12" s="45">
        <v>31223.39761324615</v>
      </c>
      <c r="I12" s="45">
        <v>36143.599653620207</v>
      </c>
      <c r="J12" s="45"/>
      <c r="K12" s="45">
        <v>57853.849118605613</v>
      </c>
      <c r="L12" s="45">
        <v>25639.593265348198</v>
      </c>
      <c r="M12" s="45">
        <v>32214.255853247578</v>
      </c>
    </row>
    <row r="13" spans="1:13" x14ac:dyDescent="0.2">
      <c r="A13" s="401" t="s">
        <v>190</v>
      </c>
      <c r="B13" s="45">
        <v>108989.34031685159</v>
      </c>
      <c r="C13" s="45">
        <v>10157.660286870727</v>
      </c>
      <c r="D13" s="45">
        <v>4965.2328852450119</v>
      </c>
      <c r="E13" s="45">
        <v>5192.4274016248164</v>
      </c>
      <c r="F13" s="45"/>
      <c r="G13" s="45">
        <v>54344.928318014921</v>
      </c>
      <c r="H13" s="45">
        <v>26098.453717947003</v>
      </c>
      <c r="I13" s="45">
        <v>28246.474600081445</v>
      </c>
      <c r="J13" s="45"/>
      <c r="K13" s="45">
        <v>44486.751711834448</v>
      </c>
      <c r="L13" s="45">
        <v>19065.750733651064</v>
      </c>
      <c r="M13" s="45">
        <v>25421.000978196909</v>
      </c>
    </row>
    <row r="14" spans="1:13" x14ac:dyDescent="0.2">
      <c r="A14" s="401" t="s">
        <v>191</v>
      </c>
      <c r="B14" s="45">
        <v>85608.959176613571</v>
      </c>
      <c r="C14" s="45">
        <v>7482.9612076721187</v>
      </c>
      <c r="D14" s="45">
        <v>3878.8300160107215</v>
      </c>
      <c r="E14" s="45">
        <v>3604.1311916606546</v>
      </c>
      <c r="F14" s="45"/>
      <c r="G14" s="45">
        <v>42396.562161142087</v>
      </c>
      <c r="H14" s="45">
        <v>20823.410128551459</v>
      </c>
      <c r="I14" s="45">
        <v>21573.152032604154</v>
      </c>
      <c r="J14" s="45"/>
      <c r="K14" s="45">
        <v>35729.435807747876</v>
      </c>
      <c r="L14" s="45">
        <v>14381.41288684073</v>
      </c>
      <c r="M14" s="45">
        <v>21348.022920918909</v>
      </c>
    </row>
    <row r="15" spans="1:13" x14ac:dyDescent="0.2">
      <c r="A15" s="401" t="s">
        <v>192</v>
      </c>
      <c r="B15" s="45">
        <v>64954.91223294245</v>
      </c>
      <c r="C15" s="45">
        <v>5320.4824926752517</v>
      </c>
      <c r="D15" s="45">
        <v>2658.1758416431312</v>
      </c>
      <c r="E15" s="45">
        <v>2662.306651031854</v>
      </c>
      <c r="F15" s="45"/>
      <c r="G15" s="45">
        <v>29904.994569652557</v>
      </c>
      <c r="H15" s="45">
        <v>14713.943042632989</v>
      </c>
      <c r="I15" s="45">
        <v>15191.051527030579</v>
      </c>
      <c r="J15" s="45"/>
      <c r="K15" s="45">
        <v>29729.435170631954</v>
      </c>
      <c r="L15" s="45">
        <v>12156.972031013007</v>
      </c>
      <c r="M15" s="45">
        <v>17572.463139628755</v>
      </c>
    </row>
    <row r="16" spans="1:13" x14ac:dyDescent="0.2">
      <c r="A16" s="401" t="s">
        <v>193</v>
      </c>
      <c r="B16" s="45">
        <v>37086.55470645582</v>
      </c>
      <c r="C16" s="45">
        <v>3295.2441057916517</v>
      </c>
      <c r="D16" s="45">
        <v>1605.7520319351154</v>
      </c>
      <c r="E16" s="45">
        <v>1689.4920738567098</v>
      </c>
      <c r="F16" s="45"/>
      <c r="G16" s="45">
        <v>16775.921731622395</v>
      </c>
      <c r="H16" s="45">
        <v>8019.9454184210408</v>
      </c>
      <c r="I16" s="45">
        <v>8755.9763132053467</v>
      </c>
      <c r="J16" s="45"/>
      <c r="K16" s="45">
        <v>17015.388869047194</v>
      </c>
      <c r="L16" s="45">
        <v>6675.6973770478698</v>
      </c>
      <c r="M16" s="45">
        <v>10339.691492002485</v>
      </c>
    </row>
    <row r="17" spans="1:13" x14ac:dyDescent="0.2">
      <c r="A17" s="401" t="s">
        <v>194</v>
      </c>
      <c r="B17" s="45">
        <v>29832.02265367264</v>
      </c>
      <c r="C17" s="45">
        <v>2738.4462831902592</v>
      </c>
      <c r="D17" s="45">
        <v>1298.7052115559359</v>
      </c>
      <c r="E17" s="45">
        <v>1439.7410716344107</v>
      </c>
      <c r="F17" s="45"/>
      <c r="G17" s="45">
        <v>13391.06108974057</v>
      </c>
      <c r="H17" s="45">
        <v>6519.9702815445298</v>
      </c>
      <c r="I17" s="45">
        <v>6871.090808198287</v>
      </c>
      <c r="J17" s="45"/>
      <c r="K17" s="45">
        <v>13702.515280747057</v>
      </c>
      <c r="L17" s="45">
        <v>5140.4632751517347</v>
      </c>
      <c r="M17" s="45">
        <v>8562.0520055975339</v>
      </c>
    </row>
    <row r="18" spans="1:13" x14ac:dyDescent="0.2">
      <c r="A18" s="401" t="s">
        <v>195</v>
      </c>
      <c r="B18" s="45">
        <v>22217.555332981021</v>
      </c>
      <c r="C18" s="45">
        <v>2385.8566329941268</v>
      </c>
      <c r="D18" s="45">
        <v>1172.3605869023022</v>
      </c>
      <c r="E18" s="45">
        <v>1213.4960460918574</v>
      </c>
      <c r="F18" s="45"/>
      <c r="G18" s="45">
        <v>10398.456433701822</v>
      </c>
      <c r="H18" s="45">
        <v>5306.4742354524651</v>
      </c>
      <c r="I18" s="45">
        <v>5091.9821982497515</v>
      </c>
      <c r="J18" s="45"/>
      <c r="K18" s="45">
        <v>9433.2422662902081</v>
      </c>
      <c r="L18" s="45">
        <v>3345.1943062361038</v>
      </c>
      <c r="M18" s="45">
        <v>6088.0479600541339</v>
      </c>
    </row>
    <row r="19" spans="1:13" x14ac:dyDescent="0.2">
      <c r="A19" s="401" t="s">
        <v>196</v>
      </c>
      <c r="B19" s="45">
        <v>20523.655888497626</v>
      </c>
      <c r="C19" s="45">
        <v>2365.2889033993524</v>
      </c>
      <c r="D19" s="45">
        <v>1135.6324983401994</v>
      </c>
      <c r="E19" s="45">
        <v>1229.6564050591826</v>
      </c>
      <c r="F19" s="45"/>
      <c r="G19" s="45">
        <v>8798.5808959373662</v>
      </c>
      <c r="H19" s="45">
        <v>4734.9851774260569</v>
      </c>
      <c r="I19" s="45">
        <v>4063.5957185107236</v>
      </c>
      <c r="J19" s="45"/>
      <c r="K19" s="45">
        <v>9359.7860891660366</v>
      </c>
      <c r="L19" s="45">
        <v>3123.3566513210371</v>
      </c>
      <c r="M19" s="45">
        <v>6236.4294378450522</v>
      </c>
    </row>
    <row r="20" spans="1:13" x14ac:dyDescent="0.2">
      <c r="A20" s="401" t="s">
        <v>197</v>
      </c>
      <c r="B20" s="45">
        <v>34625.274524151828</v>
      </c>
      <c r="C20" s="45">
        <v>6142.5100022422575</v>
      </c>
      <c r="D20" s="45">
        <v>3039.7270736755813</v>
      </c>
      <c r="E20" s="45">
        <v>3102.7829285658468</v>
      </c>
      <c r="F20" s="45"/>
      <c r="G20" s="45">
        <v>9310.5231255234703</v>
      </c>
      <c r="H20" s="45">
        <v>5211.8925576545025</v>
      </c>
      <c r="I20" s="45">
        <v>4098.6305678672816</v>
      </c>
      <c r="J20" s="45"/>
      <c r="K20" s="45">
        <v>19172.241396382728</v>
      </c>
      <c r="L20" s="45">
        <v>5943.5579083642679</v>
      </c>
      <c r="M20" s="45">
        <v>13228.683488016775</v>
      </c>
    </row>
    <row r="21" spans="1:13" x14ac:dyDescent="0.2">
      <c r="A21" s="399" t="s">
        <v>8</v>
      </c>
      <c r="B21" s="146">
        <v>395494.13415478583</v>
      </c>
      <c r="C21" s="146">
        <v>204391.77220140339</v>
      </c>
      <c r="D21" s="146">
        <v>95167.562631078603</v>
      </c>
      <c r="E21" s="146">
        <v>109224.20957053969</v>
      </c>
      <c r="F21" s="146"/>
      <c r="G21" s="146">
        <v>146483.11965177432</v>
      </c>
      <c r="H21" s="146">
        <v>69905.839997581686</v>
      </c>
      <c r="I21" s="146">
        <v>76577.279654178463</v>
      </c>
      <c r="J21" s="146"/>
      <c r="K21" s="146">
        <v>44619.242302257953</v>
      </c>
      <c r="L21" s="146">
        <v>19272.671379616095</v>
      </c>
      <c r="M21" s="146">
        <v>25346.570922646704</v>
      </c>
    </row>
    <row r="22" spans="1:13" x14ac:dyDescent="0.2">
      <c r="A22" s="401" t="s">
        <v>185</v>
      </c>
      <c r="B22" s="45">
        <v>66371.379342269458</v>
      </c>
      <c r="C22" s="45">
        <v>51719.045583256418</v>
      </c>
      <c r="D22" s="45">
        <v>24964.927199696729</v>
      </c>
      <c r="E22" s="45">
        <v>26754.118383571666</v>
      </c>
      <c r="F22" s="45"/>
      <c r="G22" s="45">
        <v>2415.4080982325513</v>
      </c>
      <c r="H22" s="45">
        <v>1157.2640848900003</v>
      </c>
      <c r="I22" s="45">
        <v>1258.1440133425835</v>
      </c>
      <c r="J22" s="45"/>
      <c r="K22" s="45">
        <v>12236.925660786701</v>
      </c>
      <c r="L22" s="45">
        <v>6149.8688458541501</v>
      </c>
      <c r="M22" s="45">
        <v>6087.056814930851</v>
      </c>
    </row>
    <row r="23" spans="1:13" x14ac:dyDescent="0.2">
      <c r="A23" s="401" t="s">
        <v>186</v>
      </c>
      <c r="B23" s="45">
        <v>64357.587562968736</v>
      </c>
      <c r="C23" s="45">
        <v>55346.916217794322</v>
      </c>
      <c r="D23" s="45">
        <v>25162.88026684885</v>
      </c>
      <c r="E23" s="45">
        <v>30184.035950957448</v>
      </c>
      <c r="F23" s="45"/>
      <c r="G23" s="45">
        <v>3464.1786751639993</v>
      </c>
      <c r="H23" s="45">
        <v>1703.538414435121</v>
      </c>
      <c r="I23" s="45">
        <v>1760.6402607290361</v>
      </c>
      <c r="J23" s="45"/>
      <c r="K23" s="45">
        <v>5546.4926700151864</v>
      </c>
      <c r="L23" s="45">
        <v>2763.7293606253916</v>
      </c>
      <c r="M23" s="45">
        <v>2782.7633093900276</v>
      </c>
    </row>
    <row r="24" spans="1:13" x14ac:dyDescent="0.2">
      <c r="A24" s="401" t="s">
        <v>187</v>
      </c>
      <c r="B24" s="45">
        <v>65351.377252132283</v>
      </c>
      <c r="C24" s="45">
        <v>49655.426702668425</v>
      </c>
      <c r="D24" s="45">
        <v>22576.336617474371</v>
      </c>
      <c r="E24" s="45">
        <v>27079.09008518076</v>
      </c>
      <c r="F24" s="45"/>
      <c r="G24" s="45">
        <v>11039.008501464785</v>
      </c>
      <c r="H24" s="45">
        <v>4938.5038032869006</v>
      </c>
      <c r="I24" s="45">
        <v>6100.504698177926</v>
      </c>
      <c r="J24" s="45"/>
      <c r="K24" s="45">
        <v>4656.9420479863829</v>
      </c>
      <c r="L24" s="45">
        <v>2261.4325108264225</v>
      </c>
      <c r="M24" s="45">
        <v>2395.5095371600023</v>
      </c>
    </row>
    <row r="25" spans="1:13" x14ac:dyDescent="0.2">
      <c r="A25" s="401" t="s">
        <v>188</v>
      </c>
      <c r="B25" s="45">
        <v>51454.177550156026</v>
      </c>
      <c r="C25" s="45">
        <v>22262.493851031406</v>
      </c>
      <c r="D25" s="45">
        <v>10476.735060560441</v>
      </c>
      <c r="E25" s="45">
        <v>11785.758790469536</v>
      </c>
      <c r="F25" s="45"/>
      <c r="G25" s="45">
        <v>24912.357859842563</v>
      </c>
      <c r="H25" s="45">
        <v>10774.447054689072</v>
      </c>
      <c r="I25" s="45">
        <v>14137.910805149941</v>
      </c>
      <c r="J25" s="45"/>
      <c r="K25" s="45">
        <v>4279.3258392705038</v>
      </c>
      <c r="L25" s="45">
        <v>1820.3611244055605</v>
      </c>
      <c r="M25" s="45">
        <v>2458.9647148649406</v>
      </c>
    </row>
    <row r="26" spans="1:13" x14ac:dyDescent="0.2">
      <c r="A26" s="401" t="s">
        <v>189</v>
      </c>
      <c r="B26" s="45">
        <v>42306.919715280463</v>
      </c>
      <c r="C26" s="45">
        <v>9351.7927926698121</v>
      </c>
      <c r="D26" s="45">
        <v>4152.0596433070687</v>
      </c>
      <c r="E26" s="45">
        <v>5199.7331493632046</v>
      </c>
      <c r="F26" s="45"/>
      <c r="G26" s="45">
        <v>29173.502813977142</v>
      </c>
      <c r="H26" s="45">
        <v>13531.123763681662</v>
      </c>
      <c r="I26" s="45">
        <v>15642.379050288519</v>
      </c>
      <c r="J26" s="45"/>
      <c r="K26" s="45">
        <v>3781.6241086277846</v>
      </c>
      <c r="L26" s="45">
        <v>1447.6529790840718</v>
      </c>
      <c r="M26" s="45">
        <v>2333.9711295437096</v>
      </c>
    </row>
    <row r="27" spans="1:13" x14ac:dyDescent="0.2">
      <c r="A27" s="401" t="s">
        <v>190</v>
      </c>
      <c r="B27" s="45">
        <v>32755.253047869413</v>
      </c>
      <c r="C27" s="45">
        <v>4870.2242693043663</v>
      </c>
      <c r="D27" s="45">
        <v>2174.8711431625625</v>
      </c>
      <c r="E27" s="45">
        <v>2695.3531261416365</v>
      </c>
      <c r="F27" s="45"/>
      <c r="G27" s="45">
        <v>24479.176437568731</v>
      </c>
      <c r="H27" s="45">
        <v>11750.087306223721</v>
      </c>
      <c r="I27" s="45">
        <v>12729.089131351242</v>
      </c>
      <c r="J27" s="45"/>
      <c r="K27" s="45">
        <v>3405.8523410019598</v>
      </c>
      <c r="L27" s="45">
        <v>1259.8968635604599</v>
      </c>
      <c r="M27" s="45">
        <v>2145.9554774415028</v>
      </c>
    </row>
    <row r="28" spans="1:13" x14ac:dyDescent="0.2">
      <c r="A28" s="401" t="s">
        <v>191</v>
      </c>
      <c r="B28" s="45">
        <v>26377.283351685608</v>
      </c>
      <c r="C28" s="45">
        <v>3713.5976404618091</v>
      </c>
      <c r="D28" s="45">
        <v>1976.5922925038674</v>
      </c>
      <c r="E28" s="45">
        <v>1737.0053479579444</v>
      </c>
      <c r="F28" s="45"/>
      <c r="G28" s="45">
        <v>19410.673317609191</v>
      </c>
      <c r="H28" s="45">
        <v>9695.0096353336703</v>
      </c>
      <c r="I28" s="45">
        <v>9715.6636822772889</v>
      </c>
      <c r="J28" s="45"/>
      <c r="K28" s="45">
        <v>3253.0123936192158</v>
      </c>
      <c r="L28" s="45">
        <v>1135.9725818987756</v>
      </c>
      <c r="M28" s="45">
        <v>2117.0398117204431</v>
      </c>
    </row>
    <row r="29" spans="1:13" x14ac:dyDescent="0.2">
      <c r="A29" s="401" t="s">
        <v>192</v>
      </c>
      <c r="B29" s="45">
        <v>17341.13781386043</v>
      </c>
      <c r="C29" s="45">
        <v>2331.8418999340292</v>
      </c>
      <c r="D29" s="45">
        <v>1158.6920335367511</v>
      </c>
      <c r="E29" s="45">
        <v>1173.1498663972809</v>
      </c>
      <c r="F29" s="45"/>
      <c r="G29" s="45">
        <v>12419.278427196963</v>
      </c>
      <c r="H29" s="45">
        <v>6301.549722497135</v>
      </c>
      <c r="I29" s="45">
        <v>6117.7287046989295</v>
      </c>
      <c r="J29" s="45"/>
      <c r="K29" s="45">
        <v>2590.0174867292048</v>
      </c>
      <c r="L29" s="45">
        <v>970.74020634986312</v>
      </c>
      <c r="M29" s="45">
        <v>1619.2772803793443</v>
      </c>
    </row>
    <row r="30" spans="1:13" x14ac:dyDescent="0.2">
      <c r="A30" s="401" t="s">
        <v>193</v>
      </c>
      <c r="B30" s="45">
        <v>9259.8856882771634</v>
      </c>
      <c r="C30" s="45">
        <v>1229.6564050591826</v>
      </c>
      <c r="D30" s="45">
        <v>581.77292282368899</v>
      </c>
      <c r="E30" s="45">
        <v>647.88348223547405</v>
      </c>
      <c r="F30" s="45"/>
      <c r="G30" s="45">
        <v>6636.0310414007927</v>
      </c>
      <c r="H30" s="45">
        <v>3323.1574530988455</v>
      </c>
      <c r="I30" s="45">
        <v>3312.8735883014583</v>
      </c>
      <c r="J30" s="45"/>
      <c r="K30" s="45">
        <v>1394.1982418174032</v>
      </c>
      <c r="L30" s="45">
        <v>499.5020044445792</v>
      </c>
      <c r="M30" s="45">
        <v>894.69623737280494</v>
      </c>
    </row>
    <row r="31" spans="1:13" x14ac:dyDescent="0.2">
      <c r="A31" s="401" t="s">
        <v>194</v>
      </c>
      <c r="B31" s="45">
        <v>6552.2909994791853</v>
      </c>
      <c r="C31" s="45">
        <v>899.10360800025728</v>
      </c>
      <c r="D31" s="45">
        <v>434.86056857528075</v>
      </c>
      <c r="E31" s="45">
        <v>464.24303942496186</v>
      </c>
      <c r="F31" s="45"/>
      <c r="G31" s="45">
        <v>4768.7750189031967</v>
      </c>
      <c r="H31" s="45">
        <v>2450.4980688634178</v>
      </c>
      <c r="I31" s="45">
        <v>2318.2769500398681</v>
      </c>
      <c r="J31" s="45"/>
      <c r="K31" s="45">
        <v>884.41237257541616</v>
      </c>
      <c r="L31" s="45">
        <v>308.51594392165197</v>
      </c>
      <c r="M31" s="45">
        <v>575.89642865375254</v>
      </c>
    </row>
    <row r="32" spans="1:13" x14ac:dyDescent="0.2">
      <c r="A32" s="401" t="s">
        <v>195</v>
      </c>
      <c r="B32" s="45">
        <v>4761.429401190775</v>
      </c>
      <c r="C32" s="45">
        <v>664.04384120279929</v>
      </c>
      <c r="D32" s="45">
        <v>324.67630288897658</v>
      </c>
      <c r="E32" s="45">
        <v>339.36753831381714</v>
      </c>
      <c r="F32" s="45"/>
      <c r="G32" s="45">
        <v>3483.291919229589</v>
      </c>
      <c r="H32" s="45">
        <v>1928.9592112816201</v>
      </c>
      <c r="I32" s="45">
        <v>1554.3327079481714</v>
      </c>
      <c r="J32" s="45"/>
      <c r="K32" s="45">
        <v>614.09364075833946</v>
      </c>
      <c r="L32" s="45">
        <v>174.82570155560288</v>
      </c>
      <c r="M32" s="45">
        <v>439.26793920273292</v>
      </c>
    </row>
    <row r="33" spans="1:13" x14ac:dyDescent="0.2">
      <c r="A33" s="401" t="s">
        <v>196</v>
      </c>
      <c r="B33" s="45">
        <v>3899.0538817525285</v>
      </c>
      <c r="C33" s="45">
        <v>658.16734703286284</v>
      </c>
      <c r="D33" s="45">
        <v>323.20717934649252</v>
      </c>
      <c r="E33" s="45">
        <v>334.96016768636497</v>
      </c>
      <c r="F33" s="45"/>
      <c r="G33" s="45">
        <v>2543.0528520399025</v>
      </c>
      <c r="H33" s="45">
        <v>1372.1613886801415</v>
      </c>
      <c r="I33" s="45">
        <v>1170.8914633598181</v>
      </c>
      <c r="J33" s="45"/>
      <c r="K33" s="45">
        <v>697.83368267993387</v>
      </c>
      <c r="L33" s="45">
        <v>190.98606052292749</v>
      </c>
      <c r="M33" s="45">
        <v>506.84762215699948</v>
      </c>
    </row>
    <row r="34" spans="1:13" x14ac:dyDescent="0.2">
      <c r="A34" s="401" t="s">
        <v>197</v>
      </c>
      <c r="B34" s="45">
        <v>4706.3585486202664</v>
      </c>
      <c r="C34" s="45">
        <v>1689.4620430943799</v>
      </c>
      <c r="D34" s="45">
        <v>859.95140031381902</v>
      </c>
      <c r="E34" s="45">
        <v>829.51064278058743</v>
      </c>
      <c r="F34" s="45"/>
      <c r="G34" s="45">
        <v>1738.3846891299306</v>
      </c>
      <c r="H34" s="45">
        <v>979.54009062294313</v>
      </c>
      <c r="I34" s="45">
        <v>758.8445985070141</v>
      </c>
      <c r="J34" s="45"/>
      <c r="K34" s="45">
        <v>1278.5118163957534</v>
      </c>
      <c r="L34" s="45">
        <v>289.18719656571511</v>
      </c>
      <c r="M34" s="45">
        <v>989.32461983005328</v>
      </c>
    </row>
    <row r="35" spans="1:13" x14ac:dyDescent="0.2">
      <c r="A35" s="399" t="s">
        <v>9</v>
      </c>
      <c r="B35" s="146">
        <v>1097703.0003991278</v>
      </c>
      <c r="C35" s="146">
        <v>240546.49328556904</v>
      </c>
      <c r="D35" s="146">
        <v>117952.99172493162</v>
      </c>
      <c r="E35" s="146">
        <v>122593.50156101478</v>
      </c>
      <c r="F35" s="146"/>
      <c r="G35" s="146">
        <v>239871.26338597818</v>
      </c>
      <c r="H35" s="146">
        <v>115670.31329545338</v>
      </c>
      <c r="I35" s="146">
        <v>124200.95009095602</v>
      </c>
      <c r="J35" s="146"/>
      <c r="K35" s="146">
        <v>617285.24371709803</v>
      </c>
      <c r="L35" s="146">
        <v>293144.58378875966</v>
      </c>
      <c r="M35" s="146">
        <v>324140.65992641961</v>
      </c>
    </row>
    <row r="36" spans="1:13" x14ac:dyDescent="0.2">
      <c r="A36" s="401" t="s">
        <v>185</v>
      </c>
      <c r="B36" s="45">
        <v>230021.46403064844</v>
      </c>
      <c r="C36" s="45">
        <v>68586.930978480508</v>
      </c>
      <c r="D36" s="45">
        <v>33779.548872595486</v>
      </c>
      <c r="E36" s="45">
        <v>34807.382105885343</v>
      </c>
      <c r="F36" s="45"/>
      <c r="G36" s="45">
        <v>9237.1753354786215</v>
      </c>
      <c r="H36" s="45">
        <v>4794.6516938120612</v>
      </c>
      <c r="I36" s="45">
        <v>4442.5236416662938</v>
      </c>
      <c r="J36" s="45"/>
      <c r="K36" s="45">
        <v>152197.35771701558</v>
      </c>
      <c r="L36" s="45">
        <v>78467.453782236145</v>
      </c>
      <c r="M36" s="45">
        <v>73729.903934702379</v>
      </c>
    </row>
    <row r="37" spans="1:13" x14ac:dyDescent="0.2">
      <c r="A37" s="401" t="s">
        <v>186</v>
      </c>
      <c r="B37" s="45">
        <v>183597.66299390068</v>
      </c>
      <c r="C37" s="45">
        <v>72715.394465543883</v>
      </c>
      <c r="D37" s="45">
        <v>35302.264773765644</v>
      </c>
      <c r="E37" s="45">
        <v>37413.129691762777</v>
      </c>
      <c r="F37" s="45"/>
      <c r="G37" s="45">
        <v>12866.949364896456</v>
      </c>
      <c r="H37" s="45">
        <v>6642.8481188582246</v>
      </c>
      <c r="I37" s="45">
        <v>6224.1012460362308</v>
      </c>
      <c r="J37" s="45"/>
      <c r="K37" s="45">
        <v>98015.319163582782</v>
      </c>
      <c r="L37" s="45">
        <v>52524.18161600014</v>
      </c>
      <c r="M37" s="45">
        <v>45491.137547470469</v>
      </c>
    </row>
    <row r="38" spans="1:13" x14ac:dyDescent="0.2">
      <c r="A38" s="401" t="s">
        <v>187</v>
      </c>
      <c r="B38" s="45">
        <v>157596.37136958327</v>
      </c>
      <c r="C38" s="45">
        <v>48533.64891567656</v>
      </c>
      <c r="D38" s="45">
        <v>23465.714225487842</v>
      </c>
      <c r="E38" s="45">
        <v>25067.934690175425</v>
      </c>
      <c r="F38" s="45"/>
      <c r="G38" s="45">
        <v>28826.56066172984</v>
      </c>
      <c r="H38" s="45">
        <v>14006.580017648019</v>
      </c>
      <c r="I38" s="45">
        <v>14819.980644071737</v>
      </c>
      <c r="J38" s="45"/>
      <c r="K38" s="45">
        <v>80236.161792229454</v>
      </c>
      <c r="L38" s="45">
        <v>41266.674088390617</v>
      </c>
      <c r="M38" s="45">
        <v>38969.487703873412</v>
      </c>
    </row>
    <row r="39" spans="1:13" x14ac:dyDescent="0.2">
      <c r="A39" s="401" t="s">
        <v>188</v>
      </c>
      <c r="B39" s="45">
        <v>127184.38198035686</v>
      </c>
      <c r="C39" s="45">
        <v>18026.347613961083</v>
      </c>
      <c r="D39" s="45">
        <v>8956.3585409264397</v>
      </c>
      <c r="E39" s="45">
        <v>9069.9890730366042</v>
      </c>
      <c r="F39" s="45"/>
      <c r="G39" s="45">
        <v>40904.718949039911</v>
      </c>
      <c r="H39" s="45">
        <v>18905.84793249446</v>
      </c>
      <c r="I39" s="45">
        <v>21998.871016535613</v>
      </c>
      <c r="J39" s="45"/>
      <c r="K39" s="45">
        <v>68253.315417336184</v>
      </c>
      <c r="L39" s="45">
        <v>31691.555405540403</v>
      </c>
      <c r="M39" s="45">
        <v>36561.760011785947</v>
      </c>
    </row>
    <row r="40" spans="1:13" x14ac:dyDescent="0.2">
      <c r="A40" s="401" t="s">
        <v>189</v>
      </c>
      <c r="B40" s="45">
        <v>101117.53791426426</v>
      </c>
      <c r="C40" s="45">
        <v>8851.8184513850883</v>
      </c>
      <c r="D40" s="45">
        <v>4529.3130099129658</v>
      </c>
      <c r="E40" s="45">
        <v>4322.5054414723836</v>
      </c>
      <c r="F40" s="45"/>
      <c r="G40" s="45">
        <v>38193.494452889216</v>
      </c>
      <c r="H40" s="45">
        <v>17692.273849556932</v>
      </c>
      <c r="I40" s="45">
        <v>20501.220603322447</v>
      </c>
      <c r="J40" s="45"/>
      <c r="K40" s="45">
        <v>54072.225009976311</v>
      </c>
      <c r="L40" s="45">
        <v>24191.940286263543</v>
      </c>
      <c r="M40" s="45">
        <v>29880.284723702931</v>
      </c>
    </row>
    <row r="41" spans="1:13" x14ac:dyDescent="0.2">
      <c r="A41" s="401" t="s">
        <v>190</v>
      </c>
      <c r="B41" s="45">
        <v>76234.087268880321</v>
      </c>
      <c r="C41" s="45">
        <v>5287.436017565462</v>
      </c>
      <c r="D41" s="45">
        <v>2790.3617420822611</v>
      </c>
      <c r="E41" s="45">
        <v>2497.0742754829416</v>
      </c>
      <c r="F41" s="45"/>
      <c r="G41" s="45">
        <v>29865.751880459717</v>
      </c>
      <c r="H41" s="45">
        <v>14348.36641173094</v>
      </c>
      <c r="I41" s="45">
        <v>15517.385468739752</v>
      </c>
      <c r="J41" s="45"/>
      <c r="K41" s="45">
        <v>41080.899370834741</v>
      </c>
      <c r="L41" s="45">
        <v>17805.85387009144</v>
      </c>
      <c r="M41" s="45">
        <v>23275.045500756827</v>
      </c>
    </row>
    <row r="42" spans="1:13" x14ac:dyDescent="0.2">
      <c r="A42" s="401" t="s">
        <v>191</v>
      </c>
      <c r="B42" s="45">
        <v>59231.675824870777</v>
      </c>
      <c r="C42" s="45">
        <v>3769.363567209567</v>
      </c>
      <c r="D42" s="45">
        <v>1902.2377235068568</v>
      </c>
      <c r="E42" s="45">
        <v>1867.1258437027129</v>
      </c>
      <c r="F42" s="45"/>
      <c r="G42" s="45">
        <v>22985.888843546421</v>
      </c>
      <c r="H42" s="45">
        <v>11128.400493220801</v>
      </c>
      <c r="I42" s="45">
        <v>11857.488350330537</v>
      </c>
      <c r="J42" s="45"/>
      <c r="K42" s="45">
        <v>32476.423414130808</v>
      </c>
      <c r="L42" s="45">
        <v>13245.440304941707</v>
      </c>
      <c r="M42" s="45">
        <v>19230.983109199868</v>
      </c>
    </row>
    <row r="43" spans="1:13" x14ac:dyDescent="0.2">
      <c r="A43" s="401" t="s">
        <v>192</v>
      </c>
      <c r="B43" s="45">
        <v>47613.774419095549</v>
      </c>
      <c r="C43" s="45">
        <v>2988.640592740956</v>
      </c>
      <c r="D43" s="45">
        <v>1499.4838081063829</v>
      </c>
      <c r="E43" s="45">
        <v>1489.1567846345758</v>
      </c>
      <c r="F43" s="45"/>
      <c r="G43" s="45">
        <v>17485.716142465633</v>
      </c>
      <c r="H43" s="45">
        <v>8412.3933201349555</v>
      </c>
      <c r="I43" s="45">
        <v>9073.3228223307506</v>
      </c>
      <c r="J43" s="45"/>
      <c r="K43" s="45">
        <v>27139.417683904463</v>
      </c>
      <c r="L43" s="45">
        <v>11186.231824662933</v>
      </c>
      <c r="M43" s="45">
        <v>15953.185859250105</v>
      </c>
    </row>
    <row r="44" spans="1:13" x14ac:dyDescent="0.2">
      <c r="A44" s="401" t="s">
        <v>193</v>
      </c>
      <c r="B44" s="45">
        <v>27826.669018182758</v>
      </c>
      <c r="C44" s="45">
        <v>2065.5877007326399</v>
      </c>
      <c r="D44" s="45">
        <v>1023.9791091114068</v>
      </c>
      <c r="E44" s="45">
        <v>1041.6085916212162</v>
      </c>
      <c r="F44" s="45"/>
      <c r="G44" s="45">
        <v>10139.890690224738</v>
      </c>
      <c r="H44" s="45">
        <v>4696.7879653214641</v>
      </c>
      <c r="I44" s="45">
        <v>5443.1027249035087</v>
      </c>
      <c r="J44" s="45"/>
      <c r="K44" s="45">
        <v>15621.190627230417</v>
      </c>
      <c r="L44" s="45">
        <v>6176.1953726031943</v>
      </c>
      <c r="M44" s="45">
        <v>9444.9952546300756</v>
      </c>
    </row>
    <row r="45" spans="1:13" x14ac:dyDescent="0.2">
      <c r="A45" s="401" t="s">
        <v>194</v>
      </c>
      <c r="B45" s="45">
        <v>23279.731654196541</v>
      </c>
      <c r="C45" s="45">
        <v>1839.3426751900893</v>
      </c>
      <c r="D45" s="45">
        <v>863.84464298063858</v>
      </c>
      <c r="E45" s="45">
        <v>975.49803220943113</v>
      </c>
      <c r="F45" s="45"/>
      <c r="G45" s="45">
        <v>8622.2860708393546</v>
      </c>
      <c r="H45" s="45">
        <v>4069.4722126806591</v>
      </c>
      <c r="I45" s="45">
        <v>4552.8138581579988</v>
      </c>
      <c r="J45" s="45"/>
      <c r="K45" s="45">
        <v>12818.102908172032</v>
      </c>
      <c r="L45" s="45">
        <v>4831.9473312300233</v>
      </c>
      <c r="M45" s="45">
        <v>7986.155576943901</v>
      </c>
    </row>
    <row r="46" spans="1:13" x14ac:dyDescent="0.2">
      <c r="A46" s="401" t="s">
        <v>195</v>
      </c>
      <c r="B46" s="45">
        <v>17456.125931792223</v>
      </c>
      <c r="C46" s="45">
        <v>1721.8127917913603</v>
      </c>
      <c r="D46" s="45">
        <v>847.68428401331334</v>
      </c>
      <c r="E46" s="45">
        <v>874.12850777802737</v>
      </c>
      <c r="F46" s="45"/>
      <c r="G46" s="45">
        <v>6915.1645144728172</v>
      </c>
      <c r="H46" s="45">
        <v>3377.5150241707493</v>
      </c>
      <c r="I46" s="45">
        <v>3537.6494903014927</v>
      </c>
      <c r="J46" s="45"/>
      <c r="K46" s="45">
        <v>8819.1486255321342</v>
      </c>
      <c r="L46" s="45">
        <v>3170.3686046805215</v>
      </c>
      <c r="M46" s="45">
        <v>5648.7800208513163</v>
      </c>
    </row>
    <row r="47" spans="1:13" x14ac:dyDescent="0.2">
      <c r="A47" s="401" t="s">
        <v>196</v>
      </c>
      <c r="B47" s="45">
        <v>16624.602006746602</v>
      </c>
      <c r="C47" s="45">
        <v>1707.1215563665191</v>
      </c>
      <c r="D47" s="45">
        <v>812.42531899369465</v>
      </c>
      <c r="E47" s="45">
        <v>894.69623737280494</v>
      </c>
      <c r="F47" s="45"/>
      <c r="G47" s="45">
        <v>6255.5280438973487</v>
      </c>
      <c r="H47" s="45">
        <v>3362.8237887459104</v>
      </c>
      <c r="I47" s="45">
        <v>2892.7042551510672</v>
      </c>
      <c r="J47" s="45"/>
      <c r="K47" s="45">
        <v>8661.9524064864072</v>
      </c>
      <c r="L47" s="45">
        <v>2932.3705907981321</v>
      </c>
      <c r="M47" s="45">
        <v>5729.581815687955</v>
      </c>
    </row>
    <row r="48" spans="1:13" x14ac:dyDescent="0.2">
      <c r="A48" s="401" t="s">
        <v>197</v>
      </c>
      <c r="B48" s="45">
        <v>29918.915975529875</v>
      </c>
      <c r="C48" s="45">
        <v>4453.0479591471976</v>
      </c>
      <c r="D48" s="45">
        <v>2179.7756733617889</v>
      </c>
      <c r="E48" s="45">
        <v>2273.2722857852859</v>
      </c>
      <c r="F48" s="45"/>
      <c r="G48" s="45">
        <v>7572.1384363928391</v>
      </c>
      <c r="H48" s="45">
        <v>4232.3524670311763</v>
      </c>
      <c r="I48" s="45">
        <v>3339.7859693602927</v>
      </c>
      <c r="J48" s="45"/>
      <c r="K48" s="45">
        <v>17893.729579986466</v>
      </c>
      <c r="L48" s="45">
        <v>5654.3707117984468</v>
      </c>
      <c r="M48" s="45">
        <v>12239.358868186335</v>
      </c>
    </row>
  </sheetData>
  <mergeCells count="7">
    <mergeCell ref="A1:M1"/>
    <mergeCell ref="A2:A4"/>
    <mergeCell ref="B2:B4"/>
    <mergeCell ref="C2:M2"/>
    <mergeCell ref="C3:E3"/>
    <mergeCell ref="G3:I3"/>
    <mergeCell ref="K3:M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42"/>
  <sheetViews>
    <sheetView workbookViewId="0">
      <selection activeCell="A2" sqref="A2:A3"/>
    </sheetView>
  </sheetViews>
  <sheetFormatPr defaultRowHeight="12" x14ac:dyDescent="0.2"/>
  <cols>
    <col min="1" max="1" width="16.7109375" style="575" customWidth="1"/>
    <col min="2" max="16384" width="9.140625" style="575"/>
  </cols>
  <sheetData>
    <row r="1" spans="1:8" ht="27" customHeight="1" x14ac:dyDescent="0.2">
      <c r="A1" s="754" t="s">
        <v>299</v>
      </c>
      <c r="B1" s="754"/>
      <c r="C1" s="754"/>
      <c r="D1" s="754"/>
      <c r="E1" s="754"/>
      <c r="F1" s="754"/>
      <c r="G1" s="754"/>
      <c r="H1" s="754"/>
    </row>
    <row r="2" spans="1:8" ht="27" customHeight="1" x14ac:dyDescent="0.2">
      <c r="A2" s="755" t="str">
        <f>'Q8.6'!$A$3</f>
        <v>Área de residência, município e comuna</v>
      </c>
      <c r="B2" s="757" t="s">
        <v>300</v>
      </c>
      <c r="C2" s="757"/>
      <c r="D2" s="757"/>
      <c r="E2" s="482"/>
      <c r="F2" s="758" t="s">
        <v>301</v>
      </c>
      <c r="G2" s="758"/>
      <c r="H2" s="758"/>
    </row>
    <row r="3" spans="1:8" x14ac:dyDescent="0.2">
      <c r="A3" s="756"/>
      <c r="B3" s="481" t="s">
        <v>2</v>
      </c>
      <c r="C3" s="481" t="s">
        <v>3</v>
      </c>
      <c r="D3" s="481" t="s">
        <v>4</v>
      </c>
      <c r="E3" s="483"/>
      <c r="F3" s="481" t="s">
        <v>2</v>
      </c>
      <c r="G3" s="481" t="s">
        <v>3</v>
      </c>
      <c r="H3" s="481" t="s">
        <v>4</v>
      </c>
    </row>
    <row r="4" spans="1:8" x14ac:dyDescent="0.2">
      <c r="A4" s="164" t="s">
        <v>32</v>
      </c>
      <c r="B4" s="146">
        <v>728373.28181062581</v>
      </c>
      <c r="C4" s="146">
        <v>363557.61106750858</v>
      </c>
      <c r="D4" s="146">
        <v>364815.67073885928</v>
      </c>
      <c r="E4" s="165"/>
      <c r="F4" s="146">
        <v>395018.03680292604</v>
      </c>
      <c r="G4" s="146">
        <v>204654.4863088688</v>
      </c>
      <c r="H4" s="146">
        <v>190363.55049443909</v>
      </c>
    </row>
    <row r="5" spans="1:8" x14ac:dyDescent="0.2">
      <c r="A5" s="166"/>
      <c r="B5" s="43"/>
      <c r="C5" s="43"/>
      <c r="D5" s="43"/>
      <c r="E5" s="167"/>
      <c r="F5" s="43"/>
      <c r="G5" s="43"/>
      <c r="H5" s="43"/>
    </row>
    <row r="6" spans="1:8" x14ac:dyDescent="0.2">
      <c r="A6" s="165" t="s">
        <v>167</v>
      </c>
      <c r="B6" s="146"/>
      <c r="C6" s="146"/>
      <c r="D6" s="146"/>
      <c r="E6" s="165"/>
      <c r="F6" s="146"/>
      <c r="G6" s="146"/>
      <c r="H6" s="146"/>
    </row>
    <row r="7" spans="1:8" x14ac:dyDescent="0.2">
      <c r="A7" s="168" t="s">
        <v>8</v>
      </c>
      <c r="B7" s="45">
        <v>184431.2851860775</v>
      </c>
      <c r="C7" s="45">
        <v>86398.080883527859</v>
      </c>
      <c r="D7" s="45">
        <v>98033.204302643295</v>
      </c>
      <c r="E7" s="168"/>
      <c r="F7" s="45">
        <v>35146.702409667829</v>
      </c>
      <c r="G7" s="45">
        <v>17157.593313099911</v>
      </c>
      <c r="H7" s="45">
        <v>17989.109096572101</v>
      </c>
    </row>
    <row r="8" spans="1:8" x14ac:dyDescent="0.2">
      <c r="A8" s="168" t="s">
        <v>9</v>
      </c>
      <c r="B8" s="45">
        <v>543941.996620666</v>
      </c>
      <c r="C8" s="45">
        <v>277159.53018418502</v>
      </c>
      <c r="D8" s="45">
        <v>266782.46643646015</v>
      </c>
      <c r="E8" s="168"/>
      <c r="F8" s="45">
        <v>359871.33439331938</v>
      </c>
      <c r="G8" s="45">
        <v>187496.89299581732</v>
      </c>
      <c r="H8" s="45">
        <v>172374.44139791012</v>
      </c>
    </row>
    <row r="9" spans="1:8" x14ac:dyDescent="0.2">
      <c r="A9" s="165" t="s">
        <v>360</v>
      </c>
      <c r="B9" s="146"/>
      <c r="C9" s="146"/>
      <c r="D9" s="146"/>
      <c r="E9" s="165"/>
      <c r="F9" s="146"/>
      <c r="G9" s="146"/>
      <c r="H9" s="146"/>
    </row>
    <row r="10" spans="1:8" x14ac:dyDescent="0.2">
      <c r="A10" s="167" t="s">
        <v>11</v>
      </c>
      <c r="B10" s="43">
        <v>101282.24537911602</v>
      </c>
      <c r="C10" s="43">
        <v>50677.898603860594</v>
      </c>
      <c r="D10" s="43">
        <v>50604.346775190512</v>
      </c>
      <c r="E10" s="167"/>
      <c r="F10" s="43">
        <v>46502.37890146365</v>
      </c>
      <c r="G10" s="43">
        <v>24187.220727032032</v>
      </c>
      <c r="H10" s="43">
        <v>22315.158174438198</v>
      </c>
    </row>
    <row r="11" spans="1:8" x14ac:dyDescent="0.2">
      <c r="A11" s="168" t="s">
        <v>12</v>
      </c>
      <c r="B11" s="45">
        <v>66509.179770861389</v>
      </c>
      <c r="C11" s="45">
        <v>32678.74604135464</v>
      </c>
      <c r="D11" s="45">
        <v>33830.43372951026</v>
      </c>
      <c r="E11" s="168"/>
      <c r="F11" s="45">
        <v>29759.643897946491</v>
      </c>
      <c r="G11" s="45">
        <v>15237.412902019254</v>
      </c>
      <c r="H11" s="45">
        <v>14522.230995930555</v>
      </c>
    </row>
    <row r="12" spans="1:8" x14ac:dyDescent="0.2">
      <c r="A12" s="168" t="s">
        <v>13</v>
      </c>
      <c r="B12" s="45">
        <v>34773.065608193123</v>
      </c>
      <c r="C12" s="45">
        <v>17999.152562512314</v>
      </c>
      <c r="D12" s="45">
        <v>16773.913045686531</v>
      </c>
      <c r="E12" s="168"/>
      <c r="F12" s="45">
        <v>16742.735003523609</v>
      </c>
      <c r="G12" s="45">
        <v>8949.807825013806</v>
      </c>
      <c r="H12" s="45">
        <v>7792.9271785073743</v>
      </c>
    </row>
    <row r="13" spans="1:8" x14ac:dyDescent="0.2">
      <c r="A13" s="167" t="s">
        <v>44</v>
      </c>
      <c r="B13" s="43">
        <v>197284.85167211664</v>
      </c>
      <c r="C13" s="43">
        <v>95504.856524563671</v>
      </c>
      <c r="D13" s="43">
        <v>101779.99514772414</v>
      </c>
      <c r="E13" s="167"/>
      <c r="F13" s="43">
        <v>66236.263479114947</v>
      </c>
      <c r="G13" s="43">
        <v>34009.699830421989</v>
      </c>
      <c r="H13" s="43">
        <v>32226.563648695101</v>
      </c>
    </row>
    <row r="14" spans="1:8" x14ac:dyDescent="0.2">
      <c r="A14" s="168" t="s">
        <v>15</v>
      </c>
      <c r="B14" s="45">
        <v>157077.55074083197</v>
      </c>
      <c r="C14" s="45">
        <v>75146.451727780455</v>
      </c>
      <c r="D14" s="45">
        <v>81931.099013059458</v>
      </c>
      <c r="E14" s="168"/>
      <c r="F14" s="45">
        <v>42793.512900752343</v>
      </c>
      <c r="G14" s="45">
        <v>21812.389617745608</v>
      </c>
      <c r="H14" s="45">
        <v>20981.123283009754</v>
      </c>
    </row>
    <row r="15" spans="1:8" x14ac:dyDescent="0.2">
      <c r="A15" s="168" t="s">
        <v>16</v>
      </c>
      <c r="B15" s="45">
        <v>40207.300931371559</v>
      </c>
      <c r="C15" s="45">
        <v>20358.404796746367</v>
      </c>
      <c r="D15" s="45">
        <v>19848.896134631152</v>
      </c>
      <c r="E15" s="168"/>
      <c r="F15" s="45">
        <v>23442.750578367173</v>
      </c>
      <c r="G15" s="45">
        <v>12197.310212679822</v>
      </c>
      <c r="H15" s="45">
        <v>11245.440365688039</v>
      </c>
    </row>
    <row r="16" spans="1:8" x14ac:dyDescent="0.2">
      <c r="A16" s="167" t="s">
        <v>17</v>
      </c>
      <c r="B16" s="43">
        <v>15204.197677084891</v>
      </c>
      <c r="C16" s="43">
        <v>7739.679806357678</v>
      </c>
      <c r="D16" s="43">
        <v>7464.5178707248651</v>
      </c>
      <c r="E16" s="167"/>
      <c r="F16" s="43">
        <v>11582.525097866401</v>
      </c>
      <c r="G16" s="43">
        <v>5901.0344447950447</v>
      </c>
      <c r="H16" s="43">
        <v>5681.4906530702401</v>
      </c>
    </row>
    <row r="17" spans="1:8" x14ac:dyDescent="0.2">
      <c r="A17" s="168" t="s">
        <v>17</v>
      </c>
      <c r="B17" s="45">
        <v>15204.197677084891</v>
      </c>
      <c r="C17" s="45">
        <v>7739.679806357678</v>
      </c>
      <c r="D17" s="45">
        <v>7464.5178707248651</v>
      </c>
      <c r="E17" s="168"/>
      <c r="F17" s="45">
        <v>11582.525097866401</v>
      </c>
      <c r="G17" s="45">
        <v>5901.0344447950447</v>
      </c>
      <c r="H17" s="45">
        <v>5681.4906530702401</v>
      </c>
    </row>
    <row r="18" spans="1:8" x14ac:dyDescent="0.2">
      <c r="A18" s="167" t="s">
        <v>18</v>
      </c>
      <c r="B18" s="43">
        <v>13904.178976459738</v>
      </c>
      <c r="C18" s="43">
        <v>7117.1108682845515</v>
      </c>
      <c r="D18" s="43">
        <v>6787.0681081733383</v>
      </c>
      <c r="E18" s="167"/>
      <c r="F18" s="43">
        <v>11956.130378748825</v>
      </c>
      <c r="G18" s="43">
        <v>6123.5115521904245</v>
      </c>
      <c r="H18" s="43">
        <v>5832.6188265572364</v>
      </c>
    </row>
    <row r="19" spans="1:8" x14ac:dyDescent="0.2">
      <c r="A19" s="168" t="s">
        <v>18</v>
      </c>
      <c r="B19" s="45">
        <v>13904.178976459738</v>
      </c>
      <c r="C19" s="45">
        <v>7117.1108682845515</v>
      </c>
      <c r="D19" s="45">
        <v>6787.0681081733383</v>
      </c>
      <c r="E19" s="168"/>
      <c r="F19" s="45">
        <v>11956.130378748825</v>
      </c>
      <c r="G19" s="45">
        <v>6123.5115521904245</v>
      </c>
      <c r="H19" s="45">
        <v>5832.6188265572364</v>
      </c>
    </row>
    <row r="20" spans="1:8" x14ac:dyDescent="0.2">
      <c r="A20" s="167" t="s">
        <v>19</v>
      </c>
      <c r="B20" s="43">
        <v>63319.326013103397</v>
      </c>
      <c r="C20" s="43">
        <v>31950.142837342239</v>
      </c>
      <c r="D20" s="43">
        <v>31369.183175766881</v>
      </c>
      <c r="E20" s="167"/>
      <c r="F20" s="43">
        <v>39463.672534445053</v>
      </c>
      <c r="G20" s="43">
        <v>20390.002531399874</v>
      </c>
      <c r="H20" s="43">
        <v>19073.670003051575</v>
      </c>
    </row>
    <row r="21" spans="1:8" x14ac:dyDescent="0.2">
      <c r="A21" s="168" t="s">
        <v>19</v>
      </c>
      <c r="B21" s="45">
        <v>36449.913341729276</v>
      </c>
      <c r="C21" s="45">
        <v>18192.22123472613</v>
      </c>
      <c r="D21" s="45">
        <v>18257.692107008868</v>
      </c>
      <c r="E21" s="168"/>
      <c r="F21" s="45">
        <v>18687.457783652393</v>
      </c>
      <c r="G21" s="45">
        <v>9615.5808710491019</v>
      </c>
      <c r="H21" s="45">
        <v>9071.8769126018433</v>
      </c>
    </row>
    <row r="22" spans="1:8" x14ac:dyDescent="0.2">
      <c r="A22" s="168" t="s">
        <v>20</v>
      </c>
      <c r="B22" s="45">
        <v>26869.412671380604</v>
      </c>
      <c r="C22" s="45">
        <v>13757.921602621056</v>
      </c>
      <c r="D22" s="45">
        <v>13111.491068762747</v>
      </c>
      <c r="E22" s="168"/>
      <c r="F22" s="45">
        <v>20776.214750799045</v>
      </c>
      <c r="G22" s="45">
        <v>10774.421660350134</v>
      </c>
      <c r="H22" s="45">
        <v>10001.793090448427</v>
      </c>
    </row>
    <row r="23" spans="1:8" x14ac:dyDescent="0.2">
      <c r="A23" s="167" t="s">
        <v>21</v>
      </c>
      <c r="B23" s="43">
        <v>31564.196028727976</v>
      </c>
      <c r="C23" s="43">
        <v>15807.040664597554</v>
      </c>
      <c r="D23" s="43">
        <v>15757.155364135637</v>
      </c>
      <c r="E23" s="167"/>
      <c r="F23" s="43">
        <v>16601.552560436172</v>
      </c>
      <c r="G23" s="43">
        <v>8177.1611280586876</v>
      </c>
      <c r="H23" s="43">
        <v>8424.3914323748722</v>
      </c>
    </row>
    <row r="24" spans="1:8" x14ac:dyDescent="0.2">
      <c r="A24" s="168" t="s">
        <v>21</v>
      </c>
      <c r="B24" s="45">
        <v>31564.196028727976</v>
      </c>
      <c r="C24" s="45">
        <v>15807.040664597554</v>
      </c>
      <c r="D24" s="45">
        <v>15757.155364135637</v>
      </c>
      <c r="E24" s="168"/>
      <c r="F24" s="45">
        <v>16601.552560436172</v>
      </c>
      <c r="G24" s="45">
        <v>8177.1611280586876</v>
      </c>
      <c r="H24" s="45">
        <v>8424.3914323748722</v>
      </c>
    </row>
    <row r="25" spans="1:8" x14ac:dyDescent="0.2">
      <c r="A25" s="167" t="s">
        <v>22</v>
      </c>
      <c r="B25" s="43">
        <v>51846.446701606088</v>
      </c>
      <c r="C25" s="43">
        <v>25517.621035713848</v>
      </c>
      <c r="D25" s="43">
        <v>26328.825665896646</v>
      </c>
      <c r="E25" s="167"/>
      <c r="F25" s="43">
        <v>18874.972717948523</v>
      </c>
      <c r="G25" s="43">
        <v>9598.9107955216587</v>
      </c>
      <c r="H25" s="43">
        <v>9276.0619224256261</v>
      </c>
    </row>
    <row r="26" spans="1:8" x14ac:dyDescent="0.2">
      <c r="A26" s="168" t="s">
        <v>22</v>
      </c>
      <c r="B26" s="45">
        <v>51846.446701606088</v>
      </c>
      <c r="C26" s="45">
        <v>25517.621035713848</v>
      </c>
      <c r="D26" s="45">
        <v>26328.825665896646</v>
      </c>
      <c r="E26" s="168"/>
      <c r="F26" s="45">
        <v>18874.972717948523</v>
      </c>
      <c r="G26" s="45">
        <v>9598.9107955216587</v>
      </c>
      <c r="H26" s="45">
        <v>9276.0619224256261</v>
      </c>
    </row>
    <row r="27" spans="1:8" x14ac:dyDescent="0.2">
      <c r="A27" s="167" t="s">
        <v>23</v>
      </c>
      <c r="B27" s="43">
        <v>73217.9614053814</v>
      </c>
      <c r="C27" s="43">
        <v>36877.483022131753</v>
      </c>
      <c r="D27" s="43">
        <v>36340.478383238064</v>
      </c>
      <c r="E27" s="167"/>
      <c r="F27" s="43">
        <v>48456.180836430693</v>
      </c>
      <c r="G27" s="43">
        <v>25454.405274347595</v>
      </c>
      <c r="H27" s="43">
        <v>23001.775562088664</v>
      </c>
    </row>
    <row r="28" spans="1:8" x14ac:dyDescent="0.2">
      <c r="A28" s="168" t="s">
        <v>23</v>
      </c>
      <c r="B28" s="45">
        <v>37888.80952512753</v>
      </c>
      <c r="C28" s="45">
        <v>18815.956248246079</v>
      </c>
      <c r="D28" s="45">
        <v>19072.853276887286</v>
      </c>
      <c r="E28" s="168"/>
      <c r="F28" s="45">
        <v>20993.01792767199</v>
      </c>
      <c r="G28" s="45">
        <v>11143.804990752436</v>
      </c>
      <c r="H28" s="45">
        <v>9849.2129369188988</v>
      </c>
    </row>
    <row r="29" spans="1:8" x14ac:dyDescent="0.2">
      <c r="A29" s="168" t="s">
        <v>24</v>
      </c>
      <c r="B29" s="45">
        <v>35329.151880242352</v>
      </c>
      <c r="C29" s="45">
        <v>18061.526773891572</v>
      </c>
      <c r="D29" s="45">
        <v>17267.625106356787</v>
      </c>
      <c r="E29" s="168"/>
      <c r="F29" s="45">
        <v>27463.1629087646</v>
      </c>
      <c r="G29" s="45">
        <v>14310.600283597361</v>
      </c>
      <c r="H29" s="45">
        <v>13152.562625170625</v>
      </c>
    </row>
    <row r="30" spans="1:8" x14ac:dyDescent="0.2">
      <c r="A30" s="167" t="s">
        <v>25</v>
      </c>
      <c r="B30" s="43">
        <v>8032.3533675046365</v>
      </c>
      <c r="C30" s="43">
        <v>4239.5431264018725</v>
      </c>
      <c r="D30" s="43">
        <v>3792.8102411029436</v>
      </c>
      <c r="E30" s="167"/>
      <c r="F30" s="43">
        <v>7404.3828082144555</v>
      </c>
      <c r="G30" s="43">
        <v>3935.9845493282751</v>
      </c>
      <c r="H30" s="43">
        <v>3468.3982588863569</v>
      </c>
    </row>
    <row r="31" spans="1:8" x14ac:dyDescent="0.2">
      <c r="A31" s="168" t="s">
        <v>25</v>
      </c>
      <c r="B31" s="45">
        <v>8032.3533675046365</v>
      </c>
      <c r="C31" s="45">
        <v>4239.5431264018725</v>
      </c>
      <c r="D31" s="45">
        <v>3792.8102411029436</v>
      </c>
      <c r="E31" s="168"/>
      <c r="F31" s="45">
        <v>7404.3828082144555</v>
      </c>
      <c r="G31" s="45">
        <v>3935.9845493282751</v>
      </c>
      <c r="H31" s="45">
        <v>3468.3982588863569</v>
      </c>
    </row>
    <row r="32" spans="1:8" x14ac:dyDescent="0.2">
      <c r="A32" s="167" t="s">
        <v>26</v>
      </c>
      <c r="B32" s="43">
        <v>3285.9990412115985</v>
      </c>
      <c r="C32" s="43">
        <v>1714.1737798729901</v>
      </c>
      <c r="D32" s="43">
        <v>1571.8252613387133</v>
      </c>
      <c r="E32" s="167"/>
      <c r="F32" s="43">
        <v>2485.8086830871516</v>
      </c>
      <c r="G32" s="43">
        <v>1298.7255340518598</v>
      </c>
      <c r="H32" s="43">
        <v>1187.0831490353362</v>
      </c>
    </row>
    <row r="33" spans="1:8" x14ac:dyDescent="0.2">
      <c r="A33" s="168" t="s">
        <v>26</v>
      </c>
      <c r="B33" s="45">
        <v>3285.9990412115985</v>
      </c>
      <c r="C33" s="45">
        <v>1714.1737798729901</v>
      </c>
      <c r="D33" s="45">
        <v>1571.8252613387133</v>
      </c>
      <c r="E33" s="168"/>
      <c r="F33" s="45">
        <v>2485.8086830871516</v>
      </c>
      <c r="G33" s="45">
        <v>1298.7255340518598</v>
      </c>
      <c r="H33" s="45">
        <v>1187.0831490353362</v>
      </c>
    </row>
    <row r="34" spans="1:8" x14ac:dyDescent="0.2">
      <c r="A34" s="167" t="s">
        <v>27</v>
      </c>
      <c r="B34" s="43">
        <v>16351.720162678756</v>
      </c>
      <c r="C34" s="43">
        <v>8269.2432745051556</v>
      </c>
      <c r="D34" s="43">
        <v>8082.4768881707651</v>
      </c>
      <c r="E34" s="167"/>
      <c r="F34" s="43">
        <v>9755.658518371054</v>
      </c>
      <c r="G34" s="43">
        <v>5050.0445262562271</v>
      </c>
      <c r="H34" s="43">
        <v>4705.613992114424</v>
      </c>
    </row>
    <row r="35" spans="1:8" x14ac:dyDescent="0.2">
      <c r="A35" s="168" t="s">
        <v>27</v>
      </c>
      <c r="B35" s="45">
        <v>16351.720162678756</v>
      </c>
      <c r="C35" s="45">
        <v>8269.2432745051556</v>
      </c>
      <c r="D35" s="45">
        <v>8082.4768881707651</v>
      </c>
      <c r="E35" s="168"/>
      <c r="F35" s="45">
        <v>9755.658518371054</v>
      </c>
      <c r="G35" s="45">
        <v>5050.0445262562271</v>
      </c>
      <c r="H35" s="45">
        <v>4705.613992114424</v>
      </c>
    </row>
    <row r="36" spans="1:8" x14ac:dyDescent="0.2">
      <c r="A36" s="167" t="s">
        <v>28</v>
      </c>
      <c r="B36" s="43">
        <v>37763.469001119316</v>
      </c>
      <c r="C36" s="43">
        <v>19675.846014342435</v>
      </c>
      <c r="D36" s="43">
        <v>18087.62298678216</v>
      </c>
      <c r="E36" s="167"/>
      <c r="F36" s="43">
        <v>28160.633388247341</v>
      </c>
      <c r="G36" s="43">
        <v>15175.462914893786</v>
      </c>
      <c r="H36" s="43">
        <v>12985.170473356573</v>
      </c>
    </row>
    <row r="37" spans="1:8" x14ac:dyDescent="0.2">
      <c r="A37" s="168" t="s">
        <v>28</v>
      </c>
      <c r="B37" s="45">
        <v>37763.469001119316</v>
      </c>
      <c r="C37" s="45">
        <v>19675.846014342435</v>
      </c>
      <c r="D37" s="45">
        <v>18087.62298678216</v>
      </c>
      <c r="E37" s="168"/>
      <c r="F37" s="45">
        <v>28160.633388247341</v>
      </c>
      <c r="G37" s="45">
        <v>15175.462914893786</v>
      </c>
      <c r="H37" s="45">
        <v>12985.170473356573</v>
      </c>
    </row>
    <row r="38" spans="1:8" x14ac:dyDescent="0.2">
      <c r="A38" s="167" t="s">
        <v>29</v>
      </c>
      <c r="B38" s="43">
        <v>81541.454984014839</v>
      </c>
      <c r="C38" s="43">
        <v>41594.524282024388</v>
      </c>
      <c r="D38" s="43">
        <v>39946.930701963836</v>
      </c>
      <c r="E38" s="167"/>
      <c r="F38" s="43">
        <v>66255.724422392144</v>
      </c>
      <c r="G38" s="43">
        <v>34360.900229076629</v>
      </c>
      <c r="H38" s="43">
        <v>31894.824193319899</v>
      </c>
    </row>
    <row r="39" spans="1:8" x14ac:dyDescent="0.2">
      <c r="A39" s="168" t="s">
        <v>30</v>
      </c>
      <c r="B39" s="45">
        <v>49418.064592023547</v>
      </c>
      <c r="C39" s="45">
        <v>25129.015587491922</v>
      </c>
      <c r="D39" s="45">
        <v>24289.049004538345</v>
      </c>
      <c r="E39" s="168"/>
      <c r="F39" s="45">
        <v>41069.836145288944</v>
      </c>
      <c r="G39" s="45">
        <v>21168.212029799019</v>
      </c>
      <c r="H39" s="45">
        <v>19901.624115496488</v>
      </c>
    </row>
    <row r="40" spans="1:8" x14ac:dyDescent="0.2">
      <c r="A40" s="168" t="s">
        <v>29</v>
      </c>
      <c r="B40" s="45">
        <v>32123.390391965153</v>
      </c>
      <c r="C40" s="45">
        <v>16465.50869453932</v>
      </c>
      <c r="D40" s="45">
        <v>15657.881697431703</v>
      </c>
      <c r="E40" s="168"/>
      <c r="F40" s="45">
        <v>25185.888277108039</v>
      </c>
      <c r="G40" s="45">
        <v>13192.688199282547</v>
      </c>
      <c r="H40" s="45">
        <v>11993.200077827491</v>
      </c>
    </row>
    <row r="41" spans="1:8" x14ac:dyDescent="0.2">
      <c r="A41" s="167" t="s">
        <v>31</v>
      </c>
      <c r="B41" s="43">
        <v>33774.881397046782</v>
      </c>
      <c r="C41" s="43">
        <v>16872.447227955297</v>
      </c>
      <c r="D41" s="43">
        <v>16902.434169096807</v>
      </c>
      <c r="E41" s="167"/>
      <c r="F41" s="43">
        <v>21282.152476608055</v>
      </c>
      <c r="G41" s="43">
        <v>10991.422271557089</v>
      </c>
      <c r="H41" s="43">
        <v>10290.73020505058</v>
      </c>
    </row>
    <row r="42" spans="1:8" x14ac:dyDescent="0.2">
      <c r="A42" s="168" t="s">
        <v>31</v>
      </c>
      <c r="B42" s="45">
        <v>33774.881397046782</v>
      </c>
      <c r="C42" s="45">
        <v>16872.447227955297</v>
      </c>
      <c r="D42" s="45">
        <v>16902.434169096807</v>
      </c>
      <c r="E42" s="168"/>
      <c r="F42" s="45">
        <v>21282.152476608055</v>
      </c>
      <c r="G42" s="45">
        <v>10991.422271557089</v>
      </c>
      <c r="H42" s="45">
        <v>10290.73020505058</v>
      </c>
    </row>
  </sheetData>
  <mergeCells count="4">
    <mergeCell ref="A1:H1"/>
    <mergeCell ref="A2:A3"/>
    <mergeCell ref="B2:D2"/>
    <mergeCell ref="F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43"/>
  <sheetViews>
    <sheetView workbookViewId="0">
      <selection activeCell="A2" sqref="A2:A4"/>
    </sheetView>
  </sheetViews>
  <sheetFormatPr defaultRowHeight="12" x14ac:dyDescent="0.2"/>
  <cols>
    <col min="1" max="1" width="20.5703125" style="559" customWidth="1"/>
    <col min="2" max="2" width="9.140625" style="559"/>
    <col min="3" max="3" width="4.5703125" style="559" customWidth="1"/>
    <col min="4" max="6" width="9.140625" style="559"/>
    <col min="7" max="7" width="4.42578125" style="559" customWidth="1"/>
    <col min="8" max="10" width="9.140625" style="559"/>
    <col min="11" max="11" width="5" style="559" customWidth="1"/>
    <col min="12" max="16384" width="9.140625" style="559"/>
  </cols>
  <sheetData>
    <row r="1" spans="1:14" ht="9.75" customHeight="1" x14ac:dyDescent="0.2">
      <c r="A1" s="759" t="s">
        <v>302</v>
      </c>
      <c r="B1" s="759"/>
      <c r="C1" s="759"/>
      <c r="D1" s="759"/>
      <c r="E1" s="759"/>
      <c r="F1" s="759"/>
      <c r="G1" s="759"/>
      <c r="H1" s="759"/>
      <c r="I1" s="759"/>
      <c r="J1" s="759"/>
      <c r="K1" s="759"/>
      <c r="L1" s="759"/>
      <c r="M1" s="759"/>
      <c r="N1" s="759"/>
    </row>
    <row r="2" spans="1:14" x14ac:dyDescent="0.2">
      <c r="A2" s="760" t="str">
        <f>'Q8.6'!$A$3</f>
        <v>Área de residência, município e comuna</v>
      </c>
      <c r="B2" s="763" t="s">
        <v>303</v>
      </c>
      <c r="C2" s="566"/>
      <c r="D2" s="766" t="s">
        <v>284</v>
      </c>
      <c r="E2" s="766"/>
      <c r="F2" s="766"/>
      <c r="G2" s="766"/>
      <c r="H2" s="766"/>
      <c r="I2" s="766"/>
      <c r="J2" s="766"/>
      <c r="K2" s="766"/>
      <c r="L2" s="766"/>
      <c r="M2" s="766"/>
      <c r="N2" s="766"/>
    </row>
    <row r="3" spans="1:14" x14ac:dyDescent="0.2">
      <c r="A3" s="761"/>
      <c r="B3" s="764"/>
      <c r="C3" s="567"/>
      <c r="D3" s="767" t="s">
        <v>286</v>
      </c>
      <c r="E3" s="767"/>
      <c r="F3" s="767"/>
      <c r="G3" s="568"/>
      <c r="H3" s="767" t="s">
        <v>287</v>
      </c>
      <c r="I3" s="767"/>
      <c r="J3" s="767"/>
      <c r="K3" s="568"/>
      <c r="L3" s="768" t="s">
        <v>288</v>
      </c>
      <c r="M3" s="768"/>
      <c r="N3" s="768"/>
    </row>
    <row r="4" spans="1:14" x14ac:dyDescent="0.2">
      <c r="A4" s="762"/>
      <c r="B4" s="765"/>
      <c r="C4" s="569"/>
      <c r="D4" s="547" t="s">
        <v>2</v>
      </c>
      <c r="E4" s="547" t="s">
        <v>3</v>
      </c>
      <c r="F4" s="547" t="s">
        <v>4</v>
      </c>
      <c r="G4" s="570"/>
      <c r="H4" s="547" t="s">
        <v>2</v>
      </c>
      <c r="I4" s="547" t="s">
        <v>3</v>
      </c>
      <c r="J4" s="547" t="s">
        <v>4</v>
      </c>
      <c r="K4" s="570"/>
      <c r="L4" s="547" t="s">
        <v>2</v>
      </c>
      <c r="M4" s="547" t="s">
        <v>3</v>
      </c>
      <c r="N4" s="547" t="s">
        <v>4</v>
      </c>
    </row>
    <row r="5" spans="1:14" x14ac:dyDescent="0.2">
      <c r="A5" s="571" t="s">
        <v>32</v>
      </c>
      <c r="B5" s="532">
        <v>728373.28181062581</v>
      </c>
      <c r="C5" s="532"/>
      <c r="D5" s="532">
        <v>333355.24500343675</v>
      </c>
      <c r="E5" s="532">
        <v>158903.12475903219</v>
      </c>
      <c r="F5" s="532">
        <v>174452.12024479327</v>
      </c>
      <c r="G5" s="532"/>
      <c r="H5" s="532">
        <v>57143.230084225579</v>
      </c>
      <c r="I5" s="532">
        <v>28351.809288863114</v>
      </c>
      <c r="J5" s="532">
        <v>28791.420795360726</v>
      </c>
      <c r="K5" s="532"/>
      <c r="L5" s="532">
        <v>337874.80671876861</v>
      </c>
      <c r="M5" s="532">
        <v>176302.67702008181</v>
      </c>
      <c r="N5" s="532">
        <v>161572.12969915222</v>
      </c>
    </row>
    <row r="6" spans="1:14" x14ac:dyDescent="0.2">
      <c r="A6" s="572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</row>
    <row r="7" spans="1:14" x14ac:dyDescent="0.2">
      <c r="A7" s="573" t="s">
        <v>366</v>
      </c>
      <c r="B7" s="532"/>
      <c r="C7" s="532"/>
      <c r="D7" s="532"/>
      <c r="E7" s="532"/>
      <c r="F7" s="532"/>
      <c r="G7" s="532"/>
      <c r="H7" s="532"/>
      <c r="I7" s="532"/>
      <c r="J7" s="532"/>
      <c r="K7" s="532"/>
      <c r="L7" s="532"/>
      <c r="M7" s="532"/>
      <c r="N7" s="532"/>
    </row>
    <row r="8" spans="1:14" x14ac:dyDescent="0.2">
      <c r="A8" s="572" t="s">
        <v>8</v>
      </c>
      <c r="B8" s="534">
        <v>184431.2851860775</v>
      </c>
      <c r="C8" s="534"/>
      <c r="D8" s="534">
        <v>149284.58277648862</v>
      </c>
      <c r="E8" s="534">
        <v>69240.487570401834</v>
      </c>
      <c r="F8" s="534">
        <v>80044.095206043901</v>
      </c>
      <c r="G8" s="534"/>
      <c r="H8" s="534">
        <v>13653.819683639456</v>
      </c>
      <c r="I8" s="534">
        <v>6404.9052287425548</v>
      </c>
      <c r="J8" s="534">
        <v>7248.9144548958338</v>
      </c>
      <c r="K8" s="534"/>
      <c r="L8" s="534">
        <v>21492.882726030912</v>
      </c>
      <c r="M8" s="534">
        <v>10752.688084355859</v>
      </c>
      <c r="N8" s="534">
        <v>10740.194641675011</v>
      </c>
    </row>
    <row r="9" spans="1:14" x14ac:dyDescent="0.2">
      <c r="A9" s="572" t="s">
        <v>9</v>
      </c>
      <c r="B9" s="534">
        <v>543941.996620666</v>
      </c>
      <c r="C9" s="534"/>
      <c r="D9" s="534">
        <v>184070.66222733536</v>
      </c>
      <c r="E9" s="534">
        <v>89662.637188617548</v>
      </c>
      <c r="F9" s="534">
        <v>94408.025038813343</v>
      </c>
      <c r="G9" s="534"/>
      <c r="H9" s="534">
        <v>43489.410400583976</v>
      </c>
      <c r="I9" s="534">
        <v>21946.904060119909</v>
      </c>
      <c r="J9" s="534">
        <v>21542.506340463766</v>
      </c>
      <c r="K9" s="534"/>
      <c r="L9" s="534">
        <v>316381.92399280163</v>
      </c>
      <c r="M9" s="534">
        <v>165549.98893575196</v>
      </c>
      <c r="N9" s="534">
        <v>150831.93505750442</v>
      </c>
    </row>
    <row r="10" spans="1:14" x14ac:dyDescent="0.2">
      <c r="A10" s="573" t="s">
        <v>360</v>
      </c>
      <c r="B10" s="532"/>
      <c r="C10" s="532"/>
      <c r="D10" s="532"/>
      <c r="E10" s="532"/>
      <c r="F10" s="532"/>
      <c r="G10" s="532"/>
      <c r="H10" s="532"/>
      <c r="I10" s="532"/>
      <c r="J10" s="532"/>
      <c r="K10" s="532"/>
      <c r="L10" s="532"/>
      <c r="M10" s="532"/>
      <c r="N10" s="532"/>
    </row>
    <row r="11" spans="1:14" x14ac:dyDescent="0.2">
      <c r="A11" s="574" t="s">
        <v>11</v>
      </c>
      <c r="B11" s="533">
        <v>101282.24537911602</v>
      </c>
      <c r="C11" s="533"/>
      <c r="D11" s="533">
        <v>54779.866477587595</v>
      </c>
      <c r="E11" s="533">
        <v>26490.677876834834</v>
      </c>
      <c r="F11" s="533">
        <v>28289.188600758793</v>
      </c>
      <c r="G11" s="533"/>
      <c r="H11" s="533">
        <v>8744.510919151222</v>
      </c>
      <c r="I11" s="533">
        <v>4319.4084694841758</v>
      </c>
      <c r="J11" s="533">
        <v>4425.1024496670288</v>
      </c>
      <c r="K11" s="533"/>
      <c r="L11" s="533">
        <v>37757.867982312724</v>
      </c>
      <c r="M11" s="533">
        <v>19867.812257548521</v>
      </c>
      <c r="N11" s="533">
        <v>17890.055724771573</v>
      </c>
    </row>
    <row r="12" spans="1:14" x14ac:dyDescent="0.2">
      <c r="A12" s="934" t="s">
        <v>12</v>
      </c>
      <c r="B12" s="534">
        <v>66509.179770861389</v>
      </c>
      <c r="C12" s="534"/>
      <c r="D12" s="534">
        <v>36749.535872918408</v>
      </c>
      <c r="E12" s="534">
        <v>17441.33313934028</v>
      </c>
      <c r="F12" s="534">
        <v>19308.202733583719</v>
      </c>
      <c r="G12" s="534"/>
      <c r="H12" s="534">
        <v>4992.089497938975</v>
      </c>
      <c r="I12" s="534">
        <v>2443.9838452018098</v>
      </c>
      <c r="J12" s="534">
        <v>2548.1056527372862</v>
      </c>
      <c r="K12" s="534"/>
      <c r="L12" s="534">
        <v>24767.554400007491</v>
      </c>
      <c r="M12" s="534">
        <v>12793.429056816887</v>
      </c>
      <c r="N12" s="534">
        <v>11974.125343192731</v>
      </c>
    </row>
    <row r="13" spans="1:14" x14ac:dyDescent="0.2">
      <c r="A13" s="934" t="s">
        <v>13</v>
      </c>
      <c r="B13" s="534">
        <v>34773.065608193123</v>
      </c>
      <c r="C13" s="534"/>
      <c r="D13" s="534">
        <v>18030.330604675371</v>
      </c>
      <c r="E13" s="534">
        <v>9049.344737496589</v>
      </c>
      <c r="F13" s="534">
        <v>8980.9858671767488</v>
      </c>
      <c r="G13" s="534"/>
      <c r="H13" s="534">
        <v>3752.4214212122329</v>
      </c>
      <c r="I13" s="534">
        <v>1875.4246242824884</v>
      </c>
      <c r="J13" s="534">
        <v>1876.9967969298564</v>
      </c>
      <c r="K13" s="534"/>
      <c r="L13" s="534">
        <v>12990.313582310502</v>
      </c>
      <c r="M13" s="534">
        <v>7074.3832007311712</v>
      </c>
      <c r="N13" s="534">
        <v>5915.9303815776566</v>
      </c>
    </row>
    <row r="14" spans="1:14" x14ac:dyDescent="0.2">
      <c r="A14" s="574" t="s">
        <v>44</v>
      </c>
      <c r="B14" s="533">
        <v>197284.85167211664</v>
      </c>
      <c r="C14" s="533"/>
      <c r="D14" s="533">
        <v>131048.58819316739</v>
      </c>
      <c r="E14" s="533">
        <v>61495.156694083169</v>
      </c>
      <c r="F14" s="533">
        <v>69553.431498969905</v>
      </c>
      <c r="G14" s="533"/>
      <c r="H14" s="533">
        <v>16565.632571251437</v>
      </c>
      <c r="I14" s="533">
        <v>8080.3667936813608</v>
      </c>
      <c r="J14" s="533">
        <v>8485.2657775683238</v>
      </c>
      <c r="K14" s="533"/>
      <c r="L14" s="533">
        <v>49670.630907863138</v>
      </c>
      <c r="M14" s="533">
        <v>25929.333036742039</v>
      </c>
      <c r="N14" s="533">
        <v>23741.297871128168</v>
      </c>
    </row>
    <row r="15" spans="1:14" x14ac:dyDescent="0.2">
      <c r="A15" s="934" t="s">
        <v>15</v>
      </c>
      <c r="B15" s="534">
        <v>157077.55074083197</v>
      </c>
      <c r="C15" s="534"/>
      <c r="D15" s="534">
        <v>114284.03784012754</v>
      </c>
      <c r="E15" s="534">
        <v>53334.062110018989</v>
      </c>
      <c r="F15" s="534">
        <v>60949.975730021259</v>
      </c>
      <c r="G15" s="534"/>
      <c r="H15" s="534">
        <v>12837.306434264285</v>
      </c>
      <c r="I15" s="534">
        <v>6173.5871867131145</v>
      </c>
      <c r="J15" s="534">
        <v>6663.7192475503189</v>
      </c>
      <c r="K15" s="534"/>
      <c r="L15" s="534">
        <v>29956.206466488093</v>
      </c>
      <c r="M15" s="534">
        <v>15638.802431033684</v>
      </c>
      <c r="N15" s="534">
        <v>14317.40403546008</v>
      </c>
    </row>
    <row r="16" spans="1:14" x14ac:dyDescent="0.2">
      <c r="A16" s="934" t="s">
        <v>16</v>
      </c>
      <c r="B16" s="534">
        <v>40207.300931371559</v>
      </c>
      <c r="C16" s="534"/>
      <c r="D16" s="534">
        <v>16764.550353010432</v>
      </c>
      <c r="E16" s="534">
        <v>8161.0945840658496</v>
      </c>
      <c r="F16" s="534">
        <v>8603.4557689419908</v>
      </c>
      <c r="G16" s="534"/>
      <c r="H16" s="534">
        <v>3728.3261369863471</v>
      </c>
      <c r="I16" s="534">
        <v>1906.7796069683834</v>
      </c>
      <c r="J16" s="534">
        <v>1821.5465300180688</v>
      </c>
      <c r="K16" s="534"/>
      <c r="L16" s="534">
        <v>19714.424441381467</v>
      </c>
      <c r="M16" s="534">
        <v>10290.530605710957</v>
      </c>
      <c r="N16" s="534">
        <v>9423.8938356695162</v>
      </c>
    </row>
    <row r="17" spans="1:14" x14ac:dyDescent="0.2">
      <c r="A17" s="574" t="s">
        <v>17</v>
      </c>
      <c r="B17" s="533">
        <v>15204.197677084891</v>
      </c>
      <c r="C17" s="533"/>
      <c r="D17" s="533">
        <v>3621.6725792174375</v>
      </c>
      <c r="E17" s="533">
        <v>1838.6453615627945</v>
      </c>
      <c r="F17" s="533">
        <v>1783.0272176547876</v>
      </c>
      <c r="G17" s="533"/>
      <c r="H17" s="533">
        <v>277.3262095303383</v>
      </c>
      <c r="I17" s="533">
        <v>127.53198848642647</v>
      </c>
      <c r="J17" s="533">
        <v>149.7942210439121</v>
      </c>
      <c r="K17" s="533"/>
      <c r="L17" s="533">
        <v>11305.19888833599</v>
      </c>
      <c r="M17" s="533">
        <v>5773.5024563086272</v>
      </c>
      <c r="N17" s="533">
        <v>5531.6964320263414</v>
      </c>
    </row>
    <row r="18" spans="1:14" x14ac:dyDescent="0.2">
      <c r="A18" s="934" t="s">
        <v>17</v>
      </c>
      <c r="B18" s="534">
        <v>15204.197677084891</v>
      </c>
      <c r="C18" s="534"/>
      <c r="D18" s="534">
        <v>3621.6725792174375</v>
      </c>
      <c r="E18" s="534">
        <v>1838.6453615627945</v>
      </c>
      <c r="F18" s="534">
        <v>1783.0272176547876</v>
      </c>
      <c r="G18" s="534"/>
      <c r="H18" s="534">
        <v>277.3262095303383</v>
      </c>
      <c r="I18" s="534">
        <v>127.53198848642647</v>
      </c>
      <c r="J18" s="534">
        <v>149.7942210439121</v>
      </c>
      <c r="K18" s="534"/>
      <c r="L18" s="534">
        <v>11305.19888833599</v>
      </c>
      <c r="M18" s="534">
        <v>5773.5024563086272</v>
      </c>
      <c r="N18" s="534">
        <v>5531.6964320263414</v>
      </c>
    </row>
    <row r="19" spans="1:14" x14ac:dyDescent="0.2">
      <c r="A19" s="574" t="s">
        <v>18</v>
      </c>
      <c r="B19" s="533">
        <v>13904.178976459738</v>
      </c>
      <c r="C19" s="533"/>
      <c r="D19" s="533">
        <v>1948.0485977104104</v>
      </c>
      <c r="E19" s="533">
        <v>993.59931609421915</v>
      </c>
      <c r="F19" s="533">
        <v>954.44928161619134</v>
      </c>
      <c r="G19" s="533"/>
      <c r="H19" s="533">
        <v>370.26586801131907</v>
      </c>
      <c r="I19" s="533">
        <v>185.1329340056603</v>
      </c>
      <c r="J19" s="533">
        <v>185.1329340056603</v>
      </c>
      <c r="K19" s="533"/>
      <c r="L19" s="533">
        <v>11585.864510737403</v>
      </c>
      <c r="M19" s="533">
        <v>5938.3786181847809</v>
      </c>
      <c r="N19" s="533">
        <v>5647.485892551591</v>
      </c>
    </row>
    <row r="20" spans="1:14" x14ac:dyDescent="0.2">
      <c r="A20" s="934" t="s">
        <v>18</v>
      </c>
      <c r="B20" s="534">
        <v>13904.178976459738</v>
      </c>
      <c r="C20" s="534"/>
      <c r="D20" s="534">
        <v>1948.0485977104104</v>
      </c>
      <c r="E20" s="534">
        <v>993.59931609421915</v>
      </c>
      <c r="F20" s="534">
        <v>954.44928161619134</v>
      </c>
      <c r="G20" s="534"/>
      <c r="H20" s="534">
        <v>370.26586801131907</v>
      </c>
      <c r="I20" s="534">
        <v>185.1329340056603</v>
      </c>
      <c r="J20" s="534">
        <v>185.1329340056603</v>
      </c>
      <c r="K20" s="534"/>
      <c r="L20" s="534">
        <v>11585.864510737403</v>
      </c>
      <c r="M20" s="534">
        <v>5938.3786181847809</v>
      </c>
      <c r="N20" s="534">
        <v>5647.485892551591</v>
      </c>
    </row>
    <row r="21" spans="1:14" x14ac:dyDescent="0.2">
      <c r="A21" s="574" t="s">
        <v>19</v>
      </c>
      <c r="B21" s="533">
        <v>63319.326013103397</v>
      </c>
      <c r="C21" s="533"/>
      <c r="D21" s="533">
        <v>23855.653478664055</v>
      </c>
      <c r="E21" s="533">
        <v>11560.140305946205</v>
      </c>
      <c r="F21" s="533">
        <v>12295.51317271966</v>
      </c>
      <c r="G21" s="533"/>
      <c r="H21" s="533">
        <v>3591.472241693933</v>
      </c>
      <c r="I21" s="533">
        <v>1820.8931490865812</v>
      </c>
      <c r="J21" s="533">
        <v>1770.5790926074596</v>
      </c>
      <c r="K21" s="533"/>
      <c r="L21" s="533">
        <v>35872.200292751593</v>
      </c>
      <c r="M21" s="533">
        <v>18569.109382313669</v>
      </c>
      <c r="N21" s="533">
        <v>17303.090910444716</v>
      </c>
    </row>
    <row r="22" spans="1:14" x14ac:dyDescent="0.2">
      <c r="A22" s="934" t="s">
        <v>19</v>
      </c>
      <c r="B22" s="534">
        <v>36449.913341729276</v>
      </c>
      <c r="C22" s="534"/>
      <c r="D22" s="534">
        <v>17762.455558082591</v>
      </c>
      <c r="E22" s="534">
        <v>8576.6403636752693</v>
      </c>
      <c r="F22" s="534">
        <v>9185.8151944053134</v>
      </c>
      <c r="G22" s="534"/>
      <c r="H22" s="534">
        <v>2328.9679582129811</v>
      </c>
      <c r="I22" s="534">
        <v>1153.7634917916214</v>
      </c>
      <c r="J22" s="534">
        <v>1175.2044664213938</v>
      </c>
      <c r="K22" s="534"/>
      <c r="L22" s="534">
        <v>16358.489825440129</v>
      </c>
      <c r="M22" s="534">
        <v>8461.8173792571379</v>
      </c>
      <c r="N22" s="534">
        <v>7896.6724461802205</v>
      </c>
    </row>
    <row r="23" spans="1:14" x14ac:dyDescent="0.2">
      <c r="A23" s="934" t="s">
        <v>20</v>
      </c>
      <c r="B23" s="534">
        <v>26869.412671380604</v>
      </c>
      <c r="C23" s="534"/>
      <c r="D23" s="534">
        <v>6093.197920583104</v>
      </c>
      <c r="E23" s="534">
        <v>2983.4999422699893</v>
      </c>
      <c r="F23" s="534">
        <v>3109.6979783133161</v>
      </c>
      <c r="G23" s="534"/>
      <c r="H23" s="534">
        <v>1262.5042834810433</v>
      </c>
      <c r="I23" s="534">
        <v>667.12965729496716</v>
      </c>
      <c r="J23" s="534">
        <v>595.37462618607003</v>
      </c>
      <c r="K23" s="534"/>
      <c r="L23" s="534">
        <v>19513.710467318266</v>
      </c>
      <c r="M23" s="534">
        <v>10107.292003054994</v>
      </c>
      <c r="N23" s="534">
        <v>9406.4184642621894</v>
      </c>
    </row>
    <row r="24" spans="1:14" x14ac:dyDescent="0.2">
      <c r="A24" s="574" t="s">
        <v>21</v>
      </c>
      <c r="B24" s="533">
        <v>31564.196028727976</v>
      </c>
      <c r="C24" s="533"/>
      <c r="D24" s="533">
        <v>14962.643468296998</v>
      </c>
      <c r="E24" s="533">
        <v>7629.8795365362721</v>
      </c>
      <c r="F24" s="533">
        <v>7332.7639317583098</v>
      </c>
      <c r="G24" s="533"/>
      <c r="H24" s="533">
        <v>2553.8952441014426</v>
      </c>
      <c r="I24" s="533">
        <v>1220.293842206391</v>
      </c>
      <c r="J24" s="533">
        <v>1333.6014018950946</v>
      </c>
      <c r="K24" s="533"/>
      <c r="L24" s="533">
        <v>14047.657316334167</v>
      </c>
      <c r="M24" s="533">
        <v>6956.8672858523978</v>
      </c>
      <c r="N24" s="533">
        <v>7090.7900304798095</v>
      </c>
    </row>
    <row r="25" spans="1:14" x14ac:dyDescent="0.2">
      <c r="A25" s="934" t="s">
        <v>21</v>
      </c>
      <c r="B25" s="534">
        <v>31564.196028727976</v>
      </c>
      <c r="C25" s="534"/>
      <c r="D25" s="534">
        <v>14962.643468296998</v>
      </c>
      <c r="E25" s="534">
        <v>7629.8795365362721</v>
      </c>
      <c r="F25" s="534">
        <v>7332.7639317583098</v>
      </c>
      <c r="G25" s="534"/>
      <c r="H25" s="534">
        <v>2553.8952441014426</v>
      </c>
      <c r="I25" s="534">
        <v>1220.293842206391</v>
      </c>
      <c r="J25" s="534">
        <v>1333.6014018950946</v>
      </c>
      <c r="K25" s="534"/>
      <c r="L25" s="534">
        <v>14047.657316334167</v>
      </c>
      <c r="M25" s="534">
        <v>6956.8672858523978</v>
      </c>
      <c r="N25" s="534">
        <v>7090.7900304798095</v>
      </c>
    </row>
    <row r="26" spans="1:14" x14ac:dyDescent="0.2">
      <c r="A26" s="574" t="s">
        <v>22</v>
      </c>
      <c r="B26" s="533">
        <v>51846.446701606088</v>
      </c>
      <c r="C26" s="533"/>
      <c r="D26" s="533">
        <v>32971.47398366157</v>
      </c>
      <c r="E26" s="533">
        <v>15918.710240194188</v>
      </c>
      <c r="F26" s="533">
        <v>17052.763743472857</v>
      </c>
      <c r="G26" s="533"/>
      <c r="H26" s="533">
        <v>5694.63727493039</v>
      </c>
      <c r="I26" s="533">
        <v>2851.6642298108854</v>
      </c>
      <c r="J26" s="533">
        <v>2842.9730451196228</v>
      </c>
      <c r="K26" s="533"/>
      <c r="L26" s="533">
        <v>13180.335443017839</v>
      </c>
      <c r="M26" s="533">
        <v>6747.2465657104094</v>
      </c>
      <c r="N26" s="533">
        <v>6433.0888773057468</v>
      </c>
    </row>
    <row r="27" spans="1:14" x14ac:dyDescent="0.2">
      <c r="A27" s="934" t="s">
        <v>22</v>
      </c>
      <c r="B27" s="534">
        <v>51846.446701606088</v>
      </c>
      <c r="C27" s="534"/>
      <c r="D27" s="534">
        <v>32971.47398366157</v>
      </c>
      <c r="E27" s="534">
        <v>15918.710240194188</v>
      </c>
      <c r="F27" s="534">
        <v>17052.763743472857</v>
      </c>
      <c r="G27" s="534"/>
      <c r="H27" s="534">
        <v>5694.63727493039</v>
      </c>
      <c r="I27" s="534">
        <v>2851.6642298108854</v>
      </c>
      <c r="J27" s="534">
        <v>2842.9730451196228</v>
      </c>
      <c r="K27" s="534"/>
      <c r="L27" s="534">
        <v>13180.335443017839</v>
      </c>
      <c r="M27" s="534">
        <v>6747.2465657104094</v>
      </c>
      <c r="N27" s="534">
        <v>6433.0888773057468</v>
      </c>
    </row>
    <row r="28" spans="1:14" x14ac:dyDescent="0.2">
      <c r="A28" s="574" t="s">
        <v>23</v>
      </c>
      <c r="B28" s="533">
        <v>73217.9614053814</v>
      </c>
      <c r="C28" s="533"/>
      <c r="D28" s="533">
        <v>24761.780568939303</v>
      </c>
      <c r="E28" s="533">
        <v>11423.0777477873</v>
      </c>
      <c r="F28" s="533">
        <v>13338.702821153647</v>
      </c>
      <c r="G28" s="533"/>
      <c r="H28" s="533">
        <v>7576.8928416554863</v>
      </c>
      <c r="I28" s="533">
        <v>3848.4872979345323</v>
      </c>
      <c r="J28" s="533">
        <v>3728.4055437210945</v>
      </c>
      <c r="K28" s="533"/>
      <c r="L28" s="533">
        <v>40879.287994775608</v>
      </c>
      <c r="M28" s="533">
        <v>21605.917976413843</v>
      </c>
      <c r="N28" s="533">
        <v>19273.370018368438</v>
      </c>
    </row>
    <row r="29" spans="1:14" x14ac:dyDescent="0.2">
      <c r="A29" s="934" t="s">
        <v>23</v>
      </c>
      <c r="B29" s="534">
        <v>37888.80952512753</v>
      </c>
      <c r="C29" s="534"/>
      <c r="D29" s="534">
        <v>16895.79159746155</v>
      </c>
      <c r="E29" s="534">
        <v>7672.1512574922672</v>
      </c>
      <c r="F29" s="534">
        <v>9223.6403399669671</v>
      </c>
      <c r="G29" s="534"/>
      <c r="H29" s="534">
        <v>4241.43055923052</v>
      </c>
      <c r="I29" s="534">
        <v>2179.1420148256252</v>
      </c>
      <c r="J29" s="534">
        <v>2062.2885444050353</v>
      </c>
      <c r="K29" s="534"/>
      <c r="L29" s="534">
        <v>16751.587368442262</v>
      </c>
      <c r="M29" s="534">
        <v>8964.6629759262487</v>
      </c>
      <c r="N29" s="534">
        <v>7786.9243925134551</v>
      </c>
    </row>
    <row r="30" spans="1:14" x14ac:dyDescent="0.2">
      <c r="A30" s="934" t="s">
        <v>24</v>
      </c>
      <c r="B30" s="534">
        <v>35329.151880242352</v>
      </c>
      <c r="C30" s="534"/>
      <c r="D30" s="534">
        <v>7865.9889714792344</v>
      </c>
      <c r="E30" s="534">
        <v>3750.9264902940463</v>
      </c>
      <c r="F30" s="534">
        <v>4115.0624811853795</v>
      </c>
      <c r="G30" s="534"/>
      <c r="H30" s="534">
        <v>3335.4622824251128</v>
      </c>
      <c r="I30" s="534">
        <v>1669.3452831090272</v>
      </c>
      <c r="J30" s="534">
        <v>1666.1169993161814</v>
      </c>
      <c r="K30" s="534"/>
      <c r="L30" s="534">
        <v>24127.700626339909</v>
      </c>
      <c r="M30" s="534">
        <v>12641.255000487919</v>
      </c>
      <c r="N30" s="534">
        <v>11486.445625854012</v>
      </c>
    </row>
    <row r="31" spans="1:14" x14ac:dyDescent="0.2">
      <c r="A31" s="574" t="s">
        <v>25</v>
      </c>
      <c r="B31" s="533">
        <v>8032.3533675046365</v>
      </c>
      <c r="C31" s="533"/>
      <c r="D31" s="533">
        <v>627.97055929023634</v>
      </c>
      <c r="E31" s="533">
        <v>303.55857707362344</v>
      </c>
      <c r="F31" s="533">
        <v>324.41198221661318</v>
      </c>
      <c r="G31" s="533"/>
      <c r="H31" s="533">
        <v>372.08985615302248</v>
      </c>
      <c r="I31" s="533">
        <v>181.98858871092457</v>
      </c>
      <c r="J31" s="533">
        <v>190.10126744209944</v>
      </c>
      <c r="K31" s="533"/>
      <c r="L31" s="533">
        <v>7032.2929520614625</v>
      </c>
      <c r="M31" s="533">
        <v>3753.9959606173666</v>
      </c>
      <c r="N31" s="533">
        <v>3278.2969914442747</v>
      </c>
    </row>
    <row r="32" spans="1:14" x14ac:dyDescent="0.2">
      <c r="A32" s="934" t="s">
        <v>25</v>
      </c>
      <c r="B32" s="534">
        <v>8032.3533675046365</v>
      </c>
      <c r="C32" s="534"/>
      <c r="D32" s="534">
        <v>627.97055929023634</v>
      </c>
      <c r="E32" s="534">
        <v>303.55857707362344</v>
      </c>
      <c r="F32" s="534">
        <v>324.41198221661318</v>
      </c>
      <c r="G32" s="534"/>
      <c r="H32" s="534">
        <v>372.08985615302248</v>
      </c>
      <c r="I32" s="534">
        <v>181.98858871092457</v>
      </c>
      <c r="J32" s="534">
        <v>190.10126744209944</v>
      </c>
      <c r="K32" s="534"/>
      <c r="L32" s="534">
        <v>7032.2929520614625</v>
      </c>
      <c r="M32" s="534">
        <v>3753.9959606173666</v>
      </c>
      <c r="N32" s="534">
        <v>3278.2969914442747</v>
      </c>
    </row>
    <row r="33" spans="1:14" x14ac:dyDescent="0.2">
      <c r="A33" s="574" t="s">
        <v>26</v>
      </c>
      <c r="B33" s="533">
        <v>3285.9990412115985</v>
      </c>
      <c r="C33" s="533"/>
      <c r="D33" s="533">
        <v>800.19035812450875</v>
      </c>
      <c r="E33" s="533">
        <v>415.44824582113012</v>
      </c>
      <c r="F33" s="533">
        <v>384.74211230337409</v>
      </c>
      <c r="G33" s="533"/>
      <c r="H33" s="533">
        <v>264.41760612229962</v>
      </c>
      <c r="I33" s="533">
        <v>154.01617152404751</v>
      </c>
      <c r="J33" s="533">
        <v>110.40143459825221</v>
      </c>
      <c r="K33" s="533"/>
      <c r="L33" s="533">
        <v>2221.3910769648778</v>
      </c>
      <c r="M33" s="533">
        <v>1144.7093625278123</v>
      </c>
      <c r="N33" s="533">
        <v>1076.6817144370841</v>
      </c>
    </row>
    <row r="34" spans="1:14" ht="16.5" customHeight="1" x14ac:dyDescent="0.2">
      <c r="A34" s="934" t="s">
        <v>26</v>
      </c>
      <c r="B34" s="534">
        <v>3285.9990412115985</v>
      </c>
      <c r="C34" s="534"/>
      <c r="D34" s="534">
        <v>800.19035812450875</v>
      </c>
      <c r="E34" s="534">
        <v>415.44824582113012</v>
      </c>
      <c r="F34" s="534">
        <v>384.74211230337409</v>
      </c>
      <c r="G34" s="534"/>
      <c r="H34" s="534">
        <v>264.41760612229962</v>
      </c>
      <c r="I34" s="534">
        <v>154.01617152404751</v>
      </c>
      <c r="J34" s="534">
        <v>110.40143459825221</v>
      </c>
      <c r="K34" s="534"/>
      <c r="L34" s="534">
        <v>2221.3910769648778</v>
      </c>
      <c r="M34" s="534">
        <v>1144.7093625278123</v>
      </c>
      <c r="N34" s="534">
        <v>1076.6817144370841</v>
      </c>
    </row>
    <row r="35" spans="1:14" x14ac:dyDescent="0.2">
      <c r="A35" s="574" t="s">
        <v>27</v>
      </c>
      <c r="B35" s="533">
        <v>16351.720162678756</v>
      </c>
      <c r="C35" s="533"/>
      <c r="D35" s="533">
        <v>6596.0616443054305</v>
      </c>
      <c r="E35" s="533">
        <v>3219.1987482490858</v>
      </c>
      <c r="F35" s="533">
        <v>3376.8628960565256</v>
      </c>
      <c r="G35" s="533"/>
      <c r="H35" s="533">
        <v>1428.3423897010234</v>
      </c>
      <c r="I35" s="533">
        <v>733.6600077097379</v>
      </c>
      <c r="J35" s="533">
        <v>694.68238199128518</v>
      </c>
      <c r="K35" s="533"/>
      <c r="L35" s="533">
        <v>8327.3161286696086</v>
      </c>
      <c r="M35" s="533">
        <v>4316.3845185465525</v>
      </c>
      <c r="N35" s="533">
        <v>4010.9316101231943</v>
      </c>
    </row>
    <row r="36" spans="1:14" x14ac:dyDescent="0.2">
      <c r="A36" s="934" t="s">
        <v>27</v>
      </c>
      <c r="B36" s="534">
        <v>16351.720162678756</v>
      </c>
      <c r="C36" s="534"/>
      <c r="D36" s="534">
        <v>6596.0616443054305</v>
      </c>
      <c r="E36" s="534">
        <v>3219.1987482490858</v>
      </c>
      <c r="F36" s="534">
        <v>3376.8628960565256</v>
      </c>
      <c r="G36" s="534"/>
      <c r="H36" s="534">
        <v>1428.3423897010234</v>
      </c>
      <c r="I36" s="534">
        <v>733.6600077097379</v>
      </c>
      <c r="J36" s="534">
        <v>694.68238199128518</v>
      </c>
      <c r="K36" s="534"/>
      <c r="L36" s="534">
        <v>8327.3161286696086</v>
      </c>
      <c r="M36" s="534">
        <v>4316.3845185465525</v>
      </c>
      <c r="N36" s="534">
        <v>4010.9316101231943</v>
      </c>
    </row>
    <row r="37" spans="1:14" s="932" customFormat="1" x14ac:dyDescent="0.2">
      <c r="A37" s="935" t="s">
        <v>28</v>
      </c>
      <c r="B37" s="533">
        <v>37763.469001119316</v>
      </c>
      <c r="C37" s="533"/>
      <c r="D37" s="533">
        <v>9602.8356128739251</v>
      </c>
      <c r="E37" s="533">
        <v>4500.3830994488026</v>
      </c>
      <c r="F37" s="533">
        <v>5102.4525134248015</v>
      </c>
      <c r="G37" s="533"/>
      <c r="H37" s="533">
        <v>2731.4804100459396</v>
      </c>
      <c r="I37" s="533">
        <v>1345.0081758638253</v>
      </c>
      <c r="J37" s="533">
        <v>1386.472234182173</v>
      </c>
      <c r="K37" s="533"/>
      <c r="L37" s="533">
        <v>25429.152978201779</v>
      </c>
      <c r="M37" s="533">
        <v>13830.454739029656</v>
      </c>
      <c r="N37" s="533">
        <v>11598.698239174051</v>
      </c>
    </row>
    <row r="38" spans="1:14" x14ac:dyDescent="0.2">
      <c r="A38" s="934" t="s">
        <v>28</v>
      </c>
      <c r="B38" s="534">
        <v>37763.469001119316</v>
      </c>
      <c r="C38" s="534"/>
      <c r="D38" s="534">
        <v>9602.8356128739251</v>
      </c>
      <c r="E38" s="534">
        <v>4500.3830994488026</v>
      </c>
      <c r="F38" s="534">
        <v>5102.4525134248015</v>
      </c>
      <c r="G38" s="534"/>
      <c r="H38" s="534">
        <v>2731.4804100459396</v>
      </c>
      <c r="I38" s="534">
        <v>1345.0081758638253</v>
      </c>
      <c r="J38" s="534">
        <v>1386.472234182173</v>
      </c>
      <c r="K38" s="534"/>
      <c r="L38" s="534">
        <v>25429.152978201779</v>
      </c>
      <c r="M38" s="534">
        <v>13830.454739029656</v>
      </c>
      <c r="N38" s="534">
        <v>11598.698239174051</v>
      </c>
    </row>
    <row r="39" spans="1:14" x14ac:dyDescent="0.2">
      <c r="A39" s="574" t="s">
        <v>29</v>
      </c>
      <c r="B39" s="533">
        <v>81541.454984014839</v>
      </c>
      <c r="C39" s="533"/>
      <c r="D39" s="533">
        <v>15285.730561597113</v>
      </c>
      <c r="E39" s="533">
        <v>7233.6240529493434</v>
      </c>
      <c r="F39" s="533">
        <v>8052.1065086454646</v>
      </c>
      <c r="G39" s="533"/>
      <c r="H39" s="533">
        <v>3882.0904930160332</v>
      </c>
      <c r="I39" s="533">
        <v>1911.6640019067127</v>
      </c>
      <c r="J39" s="533">
        <v>1970.4264911094583</v>
      </c>
      <c r="K39" s="533"/>
      <c r="L39" s="533">
        <v>62373.633929374395</v>
      </c>
      <c r="M39" s="533">
        <v>32449.23622717031</v>
      </c>
      <c r="N39" s="533">
        <v>29924.397702210907</v>
      </c>
    </row>
    <row r="40" spans="1:14" x14ac:dyDescent="0.2">
      <c r="A40" s="934" t="s">
        <v>30</v>
      </c>
      <c r="B40" s="534">
        <v>49418.064592023547</v>
      </c>
      <c r="C40" s="534"/>
      <c r="D40" s="534">
        <v>8348.2284467362151</v>
      </c>
      <c r="E40" s="534">
        <v>3960.8035576937186</v>
      </c>
      <c r="F40" s="534">
        <v>4387.4248890426115</v>
      </c>
      <c r="G40" s="534"/>
      <c r="H40" s="534">
        <v>2230.9443054539997</v>
      </c>
      <c r="I40" s="534">
        <v>1052.5342140565397</v>
      </c>
      <c r="J40" s="534">
        <v>1178.4100913974851</v>
      </c>
      <c r="K40" s="534"/>
      <c r="L40" s="534">
        <v>38838.891839834978</v>
      </c>
      <c r="M40" s="534">
        <v>20115.677815742605</v>
      </c>
      <c r="N40" s="534">
        <v>18723.214024099205</v>
      </c>
    </row>
    <row r="41" spans="1:14" x14ac:dyDescent="0.2">
      <c r="A41" s="934" t="s">
        <v>29</v>
      </c>
      <c r="B41" s="534">
        <v>32123.390391965153</v>
      </c>
      <c r="C41" s="534"/>
      <c r="D41" s="534">
        <v>6937.5021148586593</v>
      </c>
      <c r="E41" s="534">
        <v>3272.8204952558158</v>
      </c>
      <c r="F41" s="534">
        <v>3664.6816196030409</v>
      </c>
      <c r="G41" s="534"/>
      <c r="H41" s="534">
        <v>1651.146187562154</v>
      </c>
      <c r="I41" s="534">
        <v>859.12978785018151</v>
      </c>
      <c r="J41" s="534">
        <v>792.01639971197926</v>
      </c>
      <c r="K41" s="534"/>
      <c r="L41" s="534">
        <v>23534.742089546227</v>
      </c>
      <c r="M41" s="534">
        <v>12333.558411432123</v>
      </c>
      <c r="N41" s="534">
        <v>11201.183678115287</v>
      </c>
    </row>
    <row r="42" spans="1:14" x14ac:dyDescent="0.2">
      <c r="A42" s="574" t="s">
        <v>31</v>
      </c>
      <c r="B42" s="533">
        <v>33774.881397046782</v>
      </c>
      <c r="C42" s="533"/>
      <c r="D42" s="533">
        <v>12492.7289204422</v>
      </c>
      <c r="E42" s="533">
        <v>5881.0249563965372</v>
      </c>
      <c r="F42" s="533">
        <v>6611.7039640443445</v>
      </c>
      <c r="G42" s="533"/>
      <c r="H42" s="533">
        <v>3090.1761588556392</v>
      </c>
      <c r="I42" s="533">
        <v>1571.693638449291</v>
      </c>
      <c r="J42" s="533">
        <v>1518.482520406418</v>
      </c>
      <c r="K42" s="533"/>
      <c r="L42" s="533">
        <v>18191.976317753037</v>
      </c>
      <c r="M42" s="533">
        <v>9419.728633107361</v>
      </c>
      <c r="N42" s="533">
        <v>8772.2476846437639</v>
      </c>
    </row>
    <row r="43" spans="1:14" x14ac:dyDescent="0.2">
      <c r="A43" s="934" t="s">
        <v>31</v>
      </c>
      <c r="B43" s="534">
        <v>33774.881397046782</v>
      </c>
      <c r="C43" s="534"/>
      <c r="D43" s="534">
        <v>12492.7289204422</v>
      </c>
      <c r="E43" s="534">
        <v>5881.0249563965372</v>
      </c>
      <c r="F43" s="534">
        <v>6611.7039640443445</v>
      </c>
      <c r="G43" s="534"/>
      <c r="H43" s="534">
        <v>3090.1761588556392</v>
      </c>
      <c r="I43" s="534">
        <v>1571.693638449291</v>
      </c>
      <c r="J43" s="534">
        <v>1518.482520406418</v>
      </c>
      <c r="K43" s="534"/>
      <c r="L43" s="534">
        <v>18191.976317753037</v>
      </c>
      <c r="M43" s="534">
        <v>9419.728633107361</v>
      </c>
      <c r="N43" s="534">
        <v>8772.2476846437639</v>
      </c>
    </row>
  </sheetData>
  <mergeCells count="7">
    <mergeCell ref="A1:N1"/>
    <mergeCell ref="A2:A4"/>
    <mergeCell ref="B2:B4"/>
    <mergeCell ref="D2:N2"/>
    <mergeCell ref="D3:F3"/>
    <mergeCell ref="H3:J3"/>
    <mergeCell ref="L3:N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43"/>
  <sheetViews>
    <sheetView workbookViewId="0">
      <selection activeCell="A2" sqref="A2:A4"/>
    </sheetView>
  </sheetViews>
  <sheetFormatPr defaultRowHeight="12" x14ac:dyDescent="0.2"/>
  <cols>
    <col min="1" max="1" width="17.85546875" style="559" customWidth="1"/>
    <col min="2" max="16384" width="9.140625" style="559"/>
  </cols>
  <sheetData>
    <row r="1" spans="1:13" ht="27.75" customHeight="1" x14ac:dyDescent="0.2">
      <c r="A1" s="769" t="s">
        <v>304</v>
      </c>
      <c r="B1" s="769"/>
      <c r="C1" s="769"/>
      <c r="D1" s="769"/>
      <c r="E1" s="769"/>
      <c r="F1" s="769"/>
      <c r="G1" s="769"/>
      <c r="H1" s="769"/>
      <c r="I1" s="769"/>
      <c r="J1" s="769"/>
      <c r="K1" s="769"/>
      <c r="L1" s="769"/>
      <c r="M1" s="769"/>
    </row>
    <row r="2" spans="1:13" ht="12" customHeight="1" x14ac:dyDescent="0.2">
      <c r="A2" s="770" t="str">
        <f>'Q8.10'!$A$2</f>
        <v>Área de residência, município e comuna</v>
      </c>
      <c r="B2" s="772" t="s">
        <v>305</v>
      </c>
      <c r="C2" s="766" t="s">
        <v>284</v>
      </c>
      <c r="D2" s="766"/>
      <c r="E2" s="766"/>
      <c r="F2" s="766"/>
      <c r="G2" s="766"/>
      <c r="H2" s="766"/>
      <c r="I2" s="766"/>
      <c r="J2" s="766"/>
      <c r="K2" s="766"/>
      <c r="L2" s="766"/>
      <c r="M2" s="766"/>
    </row>
    <row r="3" spans="1:13" x14ac:dyDescent="0.2">
      <c r="A3" s="936"/>
      <c r="B3" s="773"/>
      <c r="C3" s="775" t="s">
        <v>286</v>
      </c>
      <c r="D3" s="775"/>
      <c r="E3" s="775"/>
      <c r="F3" s="578"/>
      <c r="G3" s="775" t="s">
        <v>287</v>
      </c>
      <c r="H3" s="775"/>
      <c r="I3" s="775"/>
      <c r="J3" s="578"/>
      <c r="K3" s="775" t="s">
        <v>288</v>
      </c>
      <c r="L3" s="775"/>
      <c r="M3" s="775"/>
    </row>
    <row r="4" spans="1:13" x14ac:dyDescent="0.2">
      <c r="A4" s="771"/>
      <c r="B4" s="774"/>
      <c r="C4" s="579" t="s">
        <v>2</v>
      </c>
      <c r="D4" s="579" t="s">
        <v>3</v>
      </c>
      <c r="E4" s="579" t="s">
        <v>4</v>
      </c>
      <c r="F4" s="580"/>
      <c r="G4" s="579" t="s">
        <v>2</v>
      </c>
      <c r="H4" s="579" t="s">
        <v>3</v>
      </c>
      <c r="I4" s="579" t="s">
        <v>4</v>
      </c>
      <c r="J4" s="580"/>
      <c r="K4" s="579" t="s">
        <v>2</v>
      </c>
      <c r="L4" s="579" t="s">
        <v>3</v>
      </c>
      <c r="M4" s="579" t="s">
        <v>4</v>
      </c>
    </row>
    <row r="5" spans="1:13" x14ac:dyDescent="0.2">
      <c r="A5" s="581" t="s">
        <v>32</v>
      </c>
      <c r="B5" s="532">
        <v>399263.72286555881</v>
      </c>
      <c r="C5" s="532">
        <v>173399.27324585253</v>
      </c>
      <c r="D5" s="532">
        <v>83844.544308263823</v>
      </c>
      <c r="E5" s="532">
        <v>89554.728937673746</v>
      </c>
      <c r="F5" s="532"/>
      <c r="G5" s="532">
        <v>17372.285037487025</v>
      </c>
      <c r="H5" s="532">
        <v>8848.8827806798599</v>
      </c>
      <c r="I5" s="532">
        <v>8523.4022568044275</v>
      </c>
      <c r="J5" s="532"/>
      <c r="K5" s="532">
        <v>208492.16458306115</v>
      </c>
      <c r="L5" s="532">
        <v>107787.34845937963</v>
      </c>
      <c r="M5" s="532">
        <v>100704.81612403486</v>
      </c>
    </row>
    <row r="6" spans="1:13" x14ac:dyDescent="0.2">
      <c r="A6" s="582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</row>
    <row r="7" spans="1:13" x14ac:dyDescent="0.2">
      <c r="A7" s="581" t="s">
        <v>167</v>
      </c>
      <c r="B7" s="532"/>
      <c r="C7" s="532"/>
      <c r="D7" s="532"/>
      <c r="E7" s="532"/>
      <c r="F7" s="532"/>
      <c r="G7" s="532"/>
      <c r="H7" s="532"/>
      <c r="I7" s="532"/>
      <c r="J7" s="532"/>
      <c r="K7" s="532"/>
      <c r="L7" s="532"/>
      <c r="M7" s="532"/>
    </row>
    <row r="8" spans="1:13" x14ac:dyDescent="0.2">
      <c r="A8" s="583" t="s">
        <v>8</v>
      </c>
      <c r="B8" s="534">
        <v>92918.027684396191</v>
      </c>
      <c r="C8" s="534">
        <v>74472.227936525669</v>
      </c>
      <c r="D8" s="534">
        <v>35346.042855924286</v>
      </c>
      <c r="E8" s="534">
        <v>39126.185080579206</v>
      </c>
      <c r="F8" s="534"/>
      <c r="G8" s="534">
        <v>3648.8079781809693</v>
      </c>
      <c r="H8" s="534">
        <v>1754.9300760996446</v>
      </c>
      <c r="I8" s="534">
        <v>1893.8779020815045</v>
      </c>
      <c r="J8" s="534"/>
      <c r="K8" s="534">
        <v>14796.991769631477</v>
      </c>
      <c r="L8" s="534">
        <v>7425.1434130847674</v>
      </c>
      <c r="M8" s="534">
        <v>7371.8483565437864</v>
      </c>
    </row>
    <row r="9" spans="1:13" x14ac:dyDescent="0.2">
      <c r="A9" s="583" t="s">
        <v>9</v>
      </c>
      <c r="B9" s="534">
        <v>306345.69518163445</v>
      </c>
      <c r="C9" s="534">
        <v>98927.0453094119</v>
      </c>
      <c r="D9" s="534">
        <v>48498.501452281533</v>
      </c>
      <c r="E9" s="534">
        <v>50428.543857014709</v>
      </c>
      <c r="F9" s="534"/>
      <c r="G9" s="534">
        <v>13723.477059305489</v>
      </c>
      <c r="H9" s="534">
        <v>7093.9527045800996</v>
      </c>
      <c r="I9" s="534">
        <v>6629.5243547229793</v>
      </c>
      <c r="J9" s="534"/>
      <c r="K9" s="534">
        <v>193695.1728134967</v>
      </c>
      <c r="L9" s="534">
        <v>100362.20504627026</v>
      </c>
      <c r="M9" s="534">
        <v>93332.967767466645</v>
      </c>
    </row>
    <row r="10" spans="1:13" x14ac:dyDescent="0.2">
      <c r="A10" s="581" t="s">
        <v>367</v>
      </c>
      <c r="B10" s="532"/>
      <c r="C10" s="532"/>
      <c r="D10" s="532"/>
      <c r="E10" s="532"/>
      <c r="F10" s="532"/>
      <c r="G10" s="532"/>
      <c r="H10" s="532"/>
      <c r="I10" s="532"/>
      <c r="J10" s="532"/>
      <c r="K10" s="532"/>
      <c r="L10" s="532"/>
      <c r="M10" s="532"/>
    </row>
    <row r="11" spans="1:13" x14ac:dyDescent="0.2">
      <c r="A11" s="584" t="s">
        <v>11</v>
      </c>
      <c r="B11" s="533">
        <v>56110.177563255864</v>
      </c>
      <c r="C11" s="533">
        <v>29329.411651425697</v>
      </c>
      <c r="D11" s="533">
        <v>14275.461573480199</v>
      </c>
      <c r="E11" s="533">
        <v>15053.950077954187</v>
      </c>
      <c r="F11" s="533"/>
      <c r="G11" s="533">
        <v>2634.2985090258662</v>
      </c>
      <c r="H11" s="533">
        <v>1332.3764135246731</v>
      </c>
      <c r="I11" s="533">
        <v>1301.9220955012518</v>
      </c>
      <c r="J11" s="533"/>
      <c r="K11" s="533">
        <v>24146.467402817769</v>
      </c>
      <c r="L11" s="533">
        <v>12522.434892256379</v>
      </c>
      <c r="M11" s="533">
        <v>11624.032510565126</v>
      </c>
    </row>
    <row r="12" spans="1:13" x14ac:dyDescent="0.2">
      <c r="A12" s="583" t="s">
        <v>12</v>
      </c>
      <c r="B12" s="534">
        <v>36748.844879877295</v>
      </c>
      <c r="C12" s="534">
        <v>19523.121247889874</v>
      </c>
      <c r="D12" s="534">
        <v>9358.9926075723506</v>
      </c>
      <c r="E12" s="534">
        <v>10164.128640316841</v>
      </c>
      <c r="F12" s="534"/>
      <c r="G12" s="534">
        <v>1499.8751626534906</v>
      </c>
      <c r="H12" s="534">
        <v>749.93758132673963</v>
      </c>
      <c r="I12" s="534">
        <v>749.93758132673963</v>
      </c>
      <c r="J12" s="534"/>
      <c r="K12" s="534">
        <v>15725.848469346161</v>
      </c>
      <c r="L12" s="534">
        <v>8047.5535376883672</v>
      </c>
      <c r="M12" s="534">
        <v>7678.2949316544273</v>
      </c>
    </row>
    <row r="13" spans="1:13" x14ac:dyDescent="0.2">
      <c r="A13" s="583" t="s">
        <v>13</v>
      </c>
      <c r="B13" s="534">
        <v>19361.332683390545</v>
      </c>
      <c r="C13" s="534">
        <v>9806.2904035415122</v>
      </c>
      <c r="D13" s="534">
        <v>4916.4689659057321</v>
      </c>
      <c r="E13" s="534">
        <v>4889.8214376352416</v>
      </c>
      <c r="F13" s="534"/>
      <c r="G13" s="534">
        <v>1134.4233463724343</v>
      </c>
      <c r="H13" s="534">
        <v>582.43883219792212</v>
      </c>
      <c r="I13" s="534">
        <v>551.98451417450076</v>
      </c>
      <c r="J13" s="534"/>
      <c r="K13" s="534">
        <v>8420.6189334753435</v>
      </c>
      <c r="L13" s="534">
        <v>4474.8813545661751</v>
      </c>
      <c r="M13" s="534">
        <v>3945.7375789092921</v>
      </c>
    </row>
    <row r="14" spans="1:13" x14ac:dyDescent="0.2">
      <c r="A14" s="584" t="s">
        <v>44</v>
      </c>
      <c r="B14" s="533">
        <v>102731.93166747538</v>
      </c>
      <c r="C14" s="533">
        <v>66363.765762763578</v>
      </c>
      <c r="D14" s="533">
        <v>31912.318498785578</v>
      </c>
      <c r="E14" s="533">
        <v>34451.447263986818</v>
      </c>
      <c r="F14" s="533"/>
      <c r="G14" s="533">
        <v>4726.1294782593714</v>
      </c>
      <c r="H14" s="533">
        <v>2419.2148879854785</v>
      </c>
      <c r="I14" s="533">
        <v>2306.9145902741257</v>
      </c>
      <c r="J14" s="533"/>
      <c r="K14" s="533">
        <v>31642.036426327875</v>
      </c>
      <c r="L14" s="533">
        <v>16409.1672299969</v>
      </c>
      <c r="M14" s="533">
        <v>15232.869196341851</v>
      </c>
    </row>
    <row r="15" spans="1:13" x14ac:dyDescent="0.2">
      <c r="A15" s="583" t="s">
        <v>15</v>
      </c>
      <c r="B15" s="534">
        <v>80898.089039488303</v>
      </c>
      <c r="C15" s="534">
        <v>57562.467853996903</v>
      </c>
      <c r="D15" s="534">
        <v>27507.862754650894</v>
      </c>
      <c r="E15" s="534">
        <v>30054.605099357985</v>
      </c>
      <c r="F15" s="534"/>
      <c r="G15" s="534">
        <v>3485.116018805099</v>
      </c>
      <c r="H15" s="534">
        <v>1760.6402607290361</v>
      </c>
      <c r="I15" s="534">
        <v>1724.4757580762232</v>
      </c>
      <c r="J15" s="534"/>
      <c r="K15" s="534">
        <v>19850.505166641458</v>
      </c>
      <c r="L15" s="534">
        <v>10291.656097039964</v>
      </c>
      <c r="M15" s="534">
        <v>9558.8490696011249</v>
      </c>
    </row>
    <row r="16" spans="1:13" x14ac:dyDescent="0.2">
      <c r="A16" s="583" t="s">
        <v>16</v>
      </c>
      <c r="B16" s="534">
        <v>21833.84262791559</v>
      </c>
      <c r="C16" s="534">
        <v>8801.297908768247</v>
      </c>
      <c r="D16" s="534">
        <v>4404.4557441370216</v>
      </c>
      <c r="E16" s="534">
        <v>4396.8421646311672</v>
      </c>
      <c r="F16" s="534"/>
      <c r="G16" s="534">
        <v>1241.013459454409</v>
      </c>
      <c r="H16" s="534">
        <v>658.57462725647554</v>
      </c>
      <c r="I16" s="534">
        <v>582.43883219792212</v>
      </c>
      <c r="J16" s="534"/>
      <c r="K16" s="534">
        <v>11791.531259694004</v>
      </c>
      <c r="L16" s="534">
        <v>6117.5111329542688</v>
      </c>
      <c r="M16" s="534">
        <v>5674.0201267382481</v>
      </c>
    </row>
    <row r="17" spans="1:21" x14ac:dyDescent="0.2">
      <c r="A17" s="584" t="s">
        <v>17</v>
      </c>
      <c r="B17" s="533">
        <v>8778.4571702506728</v>
      </c>
      <c r="C17" s="533">
        <v>1764.4470504819637</v>
      </c>
      <c r="D17" s="533">
        <v>883.1752226792081</v>
      </c>
      <c r="E17" s="533">
        <v>881.27182780274427</v>
      </c>
      <c r="F17" s="533"/>
      <c r="G17" s="533">
        <v>102.78332332904552</v>
      </c>
      <c r="H17" s="533">
        <v>45.681477035131309</v>
      </c>
      <c r="I17" s="533">
        <v>57.10184629391415</v>
      </c>
      <c r="J17" s="533"/>
      <c r="K17" s="533">
        <v>6911.2267964395933</v>
      </c>
      <c r="L17" s="533">
        <v>3565.0586036165705</v>
      </c>
      <c r="M17" s="533">
        <v>3346.1681928232556</v>
      </c>
    </row>
    <row r="18" spans="1:21" x14ac:dyDescent="0.2">
      <c r="A18" s="583" t="s">
        <v>17</v>
      </c>
      <c r="B18" s="534">
        <v>8778.4571702506728</v>
      </c>
      <c r="C18" s="534">
        <v>1764.4470504819637</v>
      </c>
      <c r="D18" s="534">
        <v>883.1752226792081</v>
      </c>
      <c r="E18" s="534">
        <v>881.27182780274427</v>
      </c>
      <c r="F18" s="534"/>
      <c r="G18" s="534">
        <v>102.78332332904552</v>
      </c>
      <c r="H18" s="534">
        <v>45.681477035131309</v>
      </c>
      <c r="I18" s="534">
        <v>57.10184629391415</v>
      </c>
      <c r="J18" s="534"/>
      <c r="K18" s="534">
        <v>6911.2267964395933</v>
      </c>
      <c r="L18" s="534">
        <v>3565.0586036165705</v>
      </c>
      <c r="M18" s="534">
        <v>3346.1681928232556</v>
      </c>
    </row>
    <row r="19" spans="1:21" x14ac:dyDescent="0.2">
      <c r="A19" s="584" t="s">
        <v>18</v>
      </c>
      <c r="B19" s="533">
        <v>7752.527331836508</v>
      </c>
      <c r="C19" s="533">
        <v>886.98201243213578</v>
      </c>
      <c r="D19" s="533">
        <v>441.58761133960036</v>
      </c>
      <c r="E19" s="533">
        <v>445.39440109252791</v>
      </c>
      <c r="F19" s="533"/>
      <c r="G19" s="533">
        <v>114.20369258782836</v>
      </c>
      <c r="H19" s="533">
        <v>59.005241170377957</v>
      </c>
      <c r="I19" s="533">
        <v>55.198451417450343</v>
      </c>
      <c r="J19" s="533"/>
      <c r="K19" s="533">
        <v>6751.3416268166502</v>
      </c>
      <c r="L19" s="533">
        <v>3389.9462749819186</v>
      </c>
      <c r="M19" s="533">
        <v>3361.3953518349645</v>
      </c>
    </row>
    <row r="20" spans="1:21" x14ac:dyDescent="0.2">
      <c r="A20" s="583" t="s">
        <v>18</v>
      </c>
      <c r="B20" s="534">
        <v>7752.527331836508</v>
      </c>
      <c r="C20" s="534">
        <v>886.98201243213578</v>
      </c>
      <c r="D20" s="534">
        <v>441.58761133960036</v>
      </c>
      <c r="E20" s="534">
        <v>445.39440109252791</v>
      </c>
      <c r="F20" s="534"/>
      <c r="G20" s="534">
        <v>114.20369258782836</v>
      </c>
      <c r="H20" s="534">
        <v>59.005241170377957</v>
      </c>
      <c r="I20" s="534">
        <v>55.198451417450343</v>
      </c>
      <c r="J20" s="534"/>
      <c r="K20" s="534">
        <v>6751.3416268166502</v>
      </c>
      <c r="L20" s="534">
        <v>3389.9462749819186</v>
      </c>
      <c r="M20" s="534">
        <v>3361.3953518349645</v>
      </c>
    </row>
    <row r="21" spans="1:21" x14ac:dyDescent="0.2">
      <c r="A21" s="584" t="s">
        <v>19</v>
      </c>
      <c r="B21" s="533">
        <v>35871.379841827991</v>
      </c>
      <c r="C21" s="533">
        <v>12756.552462061514</v>
      </c>
      <c r="D21" s="533">
        <v>6187.9367433834223</v>
      </c>
      <c r="E21" s="533">
        <v>6568.6157186761438</v>
      </c>
      <c r="F21" s="533"/>
      <c r="G21" s="533">
        <v>885.07861755567194</v>
      </c>
      <c r="H21" s="533">
        <v>472.04192936302081</v>
      </c>
      <c r="I21" s="533">
        <v>413.03668819264368</v>
      </c>
      <c r="J21" s="533"/>
      <c r="K21" s="533">
        <v>22229.748762219831</v>
      </c>
      <c r="L21" s="533">
        <v>11498.408448718468</v>
      </c>
      <c r="M21" s="533">
        <v>10731.340313503268</v>
      </c>
    </row>
    <row r="22" spans="1:21" x14ac:dyDescent="0.2">
      <c r="A22" s="583" t="s">
        <v>19</v>
      </c>
      <c r="B22" s="534">
        <v>19896.186643676563</v>
      </c>
      <c r="C22" s="534">
        <v>9153.4259609141827</v>
      </c>
      <c r="D22" s="534">
        <v>4450.1372211721482</v>
      </c>
      <c r="E22" s="534">
        <v>4703.2887397418081</v>
      </c>
      <c r="F22" s="534"/>
      <c r="G22" s="534">
        <v>525.33698590400707</v>
      </c>
      <c r="H22" s="534">
        <v>289.31602122249808</v>
      </c>
      <c r="I22" s="534">
        <v>236.020964681512</v>
      </c>
      <c r="J22" s="534"/>
      <c r="K22" s="534">
        <v>10217.423696857848</v>
      </c>
      <c r="L22" s="534">
        <v>5346.6362079865075</v>
      </c>
      <c r="M22" s="534">
        <v>4870.7874888706056</v>
      </c>
    </row>
    <row r="23" spans="1:21" x14ac:dyDescent="0.2">
      <c r="A23" s="583" t="s">
        <v>20</v>
      </c>
      <c r="B23" s="534">
        <v>15975.193198163013</v>
      </c>
      <c r="C23" s="534">
        <v>3603.1265011458427</v>
      </c>
      <c r="D23" s="534">
        <v>1737.79952221147</v>
      </c>
      <c r="E23" s="534">
        <v>1865.326978934547</v>
      </c>
      <c r="F23" s="534"/>
      <c r="G23" s="534">
        <v>359.74163165165788</v>
      </c>
      <c r="H23" s="534">
        <v>182.72590814052541</v>
      </c>
      <c r="I23" s="534">
        <v>177.01572351113398</v>
      </c>
      <c r="J23" s="534"/>
      <c r="K23" s="534">
        <v>12012.325065363888</v>
      </c>
      <c r="L23" s="534">
        <v>6151.7722407306137</v>
      </c>
      <c r="M23" s="534">
        <v>5860.5528246316817</v>
      </c>
    </row>
    <row r="24" spans="1:21" x14ac:dyDescent="0.2">
      <c r="A24" s="584" t="s">
        <v>21</v>
      </c>
      <c r="B24" s="533">
        <v>17469.358176186623</v>
      </c>
      <c r="C24" s="533">
        <v>8072.2976710823941</v>
      </c>
      <c r="D24" s="533">
        <v>3979.998686685637</v>
      </c>
      <c r="E24" s="533">
        <v>4092.2989843969899</v>
      </c>
      <c r="F24" s="533"/>
      <c r="G24" s="533">
        <v>776.58510959723333</v>
      </c>
      <c r="H24" s="533">
        <v>411.1332933161799</v>
      </c>
      <c r="I24" s="533">
        <v>365.45181628104922</v>
      </c>
      <c r="J24" s="533"/>
      <c r="K24" s="533">
        <v>8620.4753955041178</v>
      </c>
      <c r="L24" s="533">
        <v>4351.1606875960406</v>
      </c>
      <c r="M24" s="533">
        <v>4269.3147079081054</v>
      </c>
    </row>
    <row r="25" spans="1:21" x14ac:dyDescent="0.2">
      <c r="A25" s="583" t="s">
        <v>21</v>
      </c>
      <c r="B25" s="534">
        <v>17469.358176186623</v>
      </c>
      <c r="C25" s="534">
        <v>8072.2976710823941</v>
      </c>
      <c r="D25" s="534">
        <v>3979.998686685637</v>
      </c>
      <c r="E25" s="534">
        <v>4092.2989843969899</v>
      </c>
      <c r="F25" s="534"/>
      <c r="G25" s="534">
        <v>776.58510959723333</v>
      </c>
      <c r="H25" s="534">
        <v>411.1332933161799</v>
      </c>
      <c r="I25" s="534">
        <v>365.45181628104922</v>
      </c>
      <c r="J25" s="534"/>
      <c r="K25" s="534">
        <v>8620.4753955041178</v>
      </c>
      <c r="L25" s="534">
        <v>4351.1606875960406</v>
      </c>
      <c r="M25" s="534">
        <v>4269.3147079081054</v>
      </c>
    </row>
    <row r="26" spans="1:21" x14ac:dyDescent="0.2">
      <c r="A26" s="584" t="s">
        <v>22</v>
      </c>
      <c r="B26" s="533">
        <v>27007.269902141205</v>
      </c>
      <c r="C26" s="533">
        <v>16787.942810412977</v>
      </c>
      <c r="D26" s="533">
        <v>8131.302912252766</v>
      </c>
      <c r="E26" s="533">
        <v>8656.6398981569437</v>
      </c>
      <c r="F26" s="533"/>
      <c r="G26" s="533">
        <v>1692.118045176338</v>
      </c>
      <c r="H26" s="533">
        <v>843.20393027346756</v>
      </c>
      <c r="I26" s="533">
        <v>848.91411490285907</v>
      </c>
      <c r="J26" s="533"/>
      <c r="K26" s="533">
        <v>8527.2090465573565</v>
      </c>
      <c r="L26" s="533">
        <v>4280.7350771668871</v>
      </c>
      <c r="M26" s="533">
        <v>4246.4739693905422</v>
      </c>
    </row>
    <row r="27" spans="1:21" x14ac:dyDescent="0.2">
      <c r="A27" s="583" t="s">
        <v>22</v>
      </c>
      <c r="B27" s="534">
        <v>27007.269902141205</v>
      </c>
      <c r="C27" s="534">
        <v>16787.942810412977</v>
      </c>
      <c r="D27" s="534">
        <v>8131.302912252766</v>
      </c>
      <c r="E27" s="534">
        <v>8656.6398981569437</v>
      </c>
      <c r="F27" s="534"/>
      <c r="G27" s="534">
        <v>1692.118045176338</v>
      </c>
      <c r="H27" s="534">
        <v>843.20393027346756</v>
      </c>
      <c r="I27" s="534">
        <v>848.91411490285907</v>
      </c>
      <c r="J27" s="534"/>
      <c r="K27" s="534">
        <v>8527.2090465573565</v>
      </c>
      <c r="L27" s="534">
        <v>4280.7350771668871</v>
      </c>
      <c r="M27" s="534">
        <v>4246.4739693905422</v>
      </c>
    </row>
    <row r="28" spans="1:21" x14ac:dyDescent="0.2">
      <c r="A28" s="584" t="s">
        <v>23</v>
      </c>
      <c r="B28" s="533">
        <v>40837.337074519171</v>
      </c>
      <c r="C28" s="533">
        <v>13234.304576054108</v>
      </c>
      <c r="D28" s="533">
        <v>6264.0725384419666</v>
      </c>
      <c r="E28" s="533">
        <v>6970.2320376099651</v>
      </c>
      <c r="F28" s="533"/>
      <c r="G28" s="533">
        <v>2533.418580573295</v>
      </c>
      <c r="H28" s="533">
        <v>1279.0813569836857</v>
      </c>
      <c r="I28" s="533">
        <v>1254.3372235896559</v>
      </c>
      <c r="J28" s="533"/>
      <c r="K28" s="533">
        <v>25069.613917902177</v>
      </c>
      <c r="L28" s="533">
        <v>13072.516011554624</v>
      </c>
      <c r="M28" s="533">
        <v>11997.097906352172</v>
      </c>
    </row>
    <row r="29" spans="1:21" x14ac:dyDescent="0.2">
      <c r="A29" s="583" t="s">
        <v>23</v>
      </c>
      <c r="B29" s="534">
        <v>20821.236553637435</v>
      </c>
      <c r="C29" s="534">
        <v>9103.9376941261053</v>
      </c>
      <c r="D29" s="534">
        <v>4280.7350771668871</v>
      </c>
      <c r="E29" s="534">
        <v>4823.2026169590154</v>
      </c>
      <c r="F29" s="534"/>
      <c r="G29" s="534">
        <v>1408.5122085832265</v>
      </c>
      <c r="H29" s="534">
        <v>721.3866581797821</v>
      </c>
      <c r="I29" s="534">
        <v>687.12555040343307</v>
      </c>
      <c r="J29" s="534"/>
      <c r="K29" s="534">
        <v>10308.786650928145</v>
      </c>
      <c r="L29" s="534">
        <v>5403.7380542804158</v>
      </c>
      <c r="M29" s="534">
        <v>4905.0485966469505</v>
      </c>
    </row>
    <row r="30" spans="1:21" x14ac:dyDescent="0.2">
      <c r="A30" s="583" t="s">
        <v>24</v>
      </c>
      <c r="B30" s="534">
        <v>20016.100520893713</v>
      </c>
      <c r="C30" s="534">
        <v>4130.3668819262621</v>
      </c>
      <c r="D30" s="534">
        <v>1983.3374612753048</v>
      </c>
      <c r="E30" s="534">
        <v>2147.0294206511826</v>
      </c>
      <c r="F30" s="534"/>
      <c r="G30" s="534">
        <v>1124.9063719901151</v>
      </c>
      <c r="H30" s="534">
        <v>557.69469880389227</v>
      </c>
      <c r="I30" s="534">
        <v>567.21167318621144</v>
      </c>
      <c r="J30" s="534"/>
      <c r="K30" s="534">
        <v>14760.827266978651</v>
      </c>
      <c r="L30" s="534">
        <v>7668.7779572721092</v>
      </c>
      <c r="M30" s="534">
        <v>7092.049309703636</v>
      </c>
      <c r="U30" s="937"/>
    </row>
    <row r="31" spans="1:21" x14ac:dyDescent="0.2">
      <c r="A31" s="584" t="s">
        <v>25</v>
      </c>
      <c r="B31" s="533">
        <v>4246.4739693905422</v>
      </c>
      <c r="C31" s="533">
        <v>281.70244171664297</v>
      </c>
      <c r="D31" s="533">
        <v>133.23764135246643</v>
      </c>
      <c r="E31" s="533">
        <v>148.46480036417688</v>
      </c>
      <c r="F31" s="533"/>
      <c r="G31" s="533">
        <v>93.266348946726481</v>
      </c>
      <c r="H31" s="533">
        <v>45.681477035131309</v>
      </c>
      <c r="I31" s="533">
        <v>47.584871911595116</v>
      </c>
      <c r="J31" s="533"/>
      <c r="K31" s="533">
        <v>3871.5051787272114</v>
      </c>
      <c r="L31" s="533">
        <v>1966.2069073871303</v>
      </c>
      <c r="M31" s="533">
        <v>1905.2982713402876</v>
      </c>
    </row>
    <row r="32" spans="1:21" x14ac:dyDescent="0.2">
      <c r="A32" s="583" t="s">
        <v>25</v>
      </c>
      <c r="B32" s="534">
        <v>4246.4739693905422</v>
      </c>
      <c r="C32" s="534">
        <v>281.70244171664297</v>
      </c>
      <c r="D32" s="534">
        <v>133.23764135246643</v>
      </c>
      <c r="E32" s="534">
        <v>148.46480036417688</v>
      </c>
      <c r="F32" s="534"/>
      <c r="G32" s="534">
        <v>93.266348946726481</v>
      </c>
      <c r="H32" s="534">
        <v>45.681477035131309</v>
      </c>
      <c r="I32" s="534">
        <v>47.584871911595116</v>
      </c>
      <c r="J32" s="534"/>
      <c r="K32" s="534">
        <v>3871.5051787272114</v>
      </c>
      <c r="L32" s="534">
        <v>1966.2069073871303</v>
      </c>
      <c r="M32" s="534">
        <v>1905.2982713402876</v>
      </c>
    </row>
    <row r="33" spans="1:13" x14ac:dyDescent="0.2">
      <c r="A33" s="584" t="s">
        <v>26</v>
      </c>
      <c r="B33" s="533">
        <v>1789.1911838759936</v>
      </c>
      <c r="C33" s="533">
        <v>430.16724208081769</v>
      </c>
      <c r="D33" s="533">
        <v>224.60059542272916</v>
      </c>
      <c r="E33" s="533">
        <v>205.56664665809109</v>
      </c>
      <c r="F33" s="533"/>
      <c r="G33" s="533">
        <v>87.55616431733506</v>
      </c>
      <c r="H33" s="533">
        <v>51.391661664522729</v>
      </c>
      <c r="I33" s="533">
        <v>36.164502652812274</v>
      </c>
      <c r="J33" s="533"/>
      <c r="K33" s="533">
        <v>1271.4677774778304</v>
      </c>
      <c r="L33" s="533">
        <v>628.12030923305417</v>
      </c>
      <c r="M33" s="533">
        <v>643.34746824476485</v>
      </c>
    </row>
    <row r="34" spans="1:13" x14ac:dyDescent="0.2">
      <c r="A34" s="583" t="s">
        <v>26</v>
      </c>
      <c r="B34" s="534">
        <v>1789.1911838759936</v>
      </c>
      <c r="C34" s="534">
        <v>430.16724208081769</v>
      </c>
      <c r="D34" s="534">
        <v>224.60059542272916</v>
      </c>
      <c r="E34" s="534">
        <v>205.56664665809109</v>
      </c>
      <c r="F34" s="534"/>
      <c r="G34" s="534">
        <v>87.55616431733506</v>
      </c>
      <c r="H34" s="534">
        <v>51.391661664522729</v>
      </c>
      <c r="I34" s="534">
        <v>36.164502652812274</v>
      </c>
      <c r="J34" s="534"/>
      <c r="K34" s="534">
        <v>1271.4677774778304</v>
      </c>
      <c r="L34" s="534">
        <v>628.12030923305417</v>
      </c>
      <c r="M34" s="534">
        <v>643.34746824476485</v>
      </c>
    </row>
    <row r="35" spans="1:13" x14ac:dyDescent="0.2">
      <c r="A35" s="584" t="s">
        <v>27</v>
      </c>
      <c r="B35" s="533">
        <v>9338.0552639312409</v>
      </c>
      <c r="C35" s="533">
        <v>3542.2178650990072</v>
      </c>
      <c r="D35" s="533">
        <v>1787.2877889995298</v>
      </c>
      <c r="E35" s="533">
        <v>1754.9300760996446</v>
      </c>
      <c r="F35" s="533"/>
      <c r="G35" s="533">
        <v>555.79130392742843</v>
      </c>
      <c r="H35" s="533">
        <v>293.12281097542564</v>
      </c>
      <c r="I35" s="533">
        <v>262.66849295200518</v>
      </c>
      <c r="J35" s="533"/>
      <c r="K35" s="533">
        <v>5240.0460949045455</v>
      </c>
      <c r="L35" s="533">
        <v>2706.6275143314833</v>
      </c>
      <c r="M35" s="533">
        <v>2533.418580573295</v>
      </c>
    </row>
    <row r="36" spans="1:13" x14ac:dyDescent="0.2">
      <c r="A36" s="583" t="s">
        <v>27</v>
      </c>
      <c r="B36" s="534">
        <v>9338.0552639312409</v>
      </c>
      <c r="C36" s="534">
        <v>3542.2178650990072</v>
      </c>
      <c r="D36" s="534">
        <v>1787.2877889995298</v>
      </c>
      <c r="E36" s="534">
        <v>1754.9300760996446</v>
      </c>
      <c r="F36" s="534"/>
      <c r="G36" s="534">
        <v>555.79130392742843</v>
      </c>
      <c r="H36" s="534">
        <v>293.12281097542564</v>
      </c>
      <c r="I36" s="534">
        <v>262.66849295200518</v>
      </c>
      <c r="J36" s="534"/>
      <c r="K36" s="534">
        <v>5240.0460949045455</v>
      </c>
      <c r="L36" s="534">
        <v>2706.6275143314833</v>
      </c>
      <c r="M36" s="534">
        <v>2533.418580573295</v>
      </c>
    </row>
    <row r="37" spans="1:13" x14ac:dyDescent="0.2">
      <c r="A37" s="584" t="s">
        <v>28</v>
      </c>
      <c r="B37" s="533">
        <v>20771.748286849404</v>
      </c>
      <c r="C37" s="533">
        <v>5007.8319199759853</v>
      </c>
      <c r="D37" s="533">
        <v>2415.4080982325513</v>
      </c>
      <c r="E37" s="533">
        <v>2592.4238217436668</v>
      </c>
      <c r="F37" s="533"/>
      <c r="G37" s="533">
        <v>980.24836137886371</v>
      </c>
      <c r="H37" s="533">
        <v>475.84871911594837</v>
      </c>
      <c r="I37" s="533">
        <v>504.39964226290505</v>
      </c>
      <c r="J37" s="533"/>
      <c r="K37" s="533">
        <v>14783.668005496225</v>
      </c>
      <c r="L37" s="533">
        <v>7819.1461525127343</v>
      </c>
      <c r="M37" s="533">
        <v>6964.5218529805743</v>
      </c>
    </row>
    <row r="38" spans="1:13" x14ac:dyDescent="0.2">
      <c r="A38" s="583" t="s">
        <v>28</v>
      </c>
      <c r="B38" s="534">
        <v>20771.748286849404</v>
      </c>
      <c r="C38" s="534">
        <v>5007.8319199759853</v>
      </c>
      <c r="D38" s="534">
        <v>2415.4080982325513</v>
      </c>
      <c r="E38" s="534">
        <v>2592.4238217436668</v>
      </c>
      <c r="F38" s="534"/>
      <c r="G38" s="534">
        <v>980.24836137886371</v>
      </c>
      <c r="H38" s="534">
        <v>475.84871911594837</v>
      </c>
      <c r="I38" s="534">
        <v>504.39964226290505</v>
      </c>
      <c r="J38" s="534"/>
      <c r="K38" s="534">
        <v>14783.668005496225</v>
      </c>
      <c r="L38" s="534">
        <v>7819.1461525127343</v>
      </c>
      <c r="M38" s="534">
        <v>6964.5218529805743</v>
      </c>
    </row>
    <row r="39" spans="1:13" x14ac:dyDescent="0.2">
      <c r="A39" s="584" t="s">
        <v>29</v>
      </c>
      <c r="B39" s="533">
        <v>47445.92408559766</v>
      </c>
      <c r="C39" s="533">
        <v>8220.7624714465692</v>
      </c>
      <c r="D39" s="533">
        <v>3928.6070250211196</v>
      </c>
      <c r="E39" s="533">
        <v>4292.1554464256687</v>
      </c>
      <c r="F39" s="533"/>
      <c r="G39" s="533">
        <v>1271.4677774778304</v>
      </c>
      <c r="H39" s="533">
        <v>649.05765287415636</v>
      </c>
      <c r="I39" s="533">
        <v>622.41012460366267</v>
      </c>
      <c r="J39" s="533"/>
      <c r="K39" s="533">
        <v>37953.693836678183</v>
      </c>
      <c r="L39" s="533">
        <v>19614.484201960084</v>
      </c>
      <c r="M39" s="533">
        <v>18339.209634730076</v>
      </c>
    </row>
    <row r="40" spans="1:13" x14ac:dyDescent="0.2">
      <c r="A40" s="583" t="s">
        <v>30</v>
      </c>
      <c r="B40" s="534">
        <v>28779.330532127977</v>
      </c>
      <c r="C40" s="534">
        <v>4294.0588413021324</v>
      </c>
      <c r="D40" s="534">
        <v>2074.7004153455655</v>
      </c>
      <c r="E40" s="534">
        <v>2219.3584259567997</v>
      </c>
      <c r="F40" s="534"/>
      <c r="G40" s="534">
        <v>812.7496122500462</v>
      </c>
      <c r="H40" s="534">
        <v>390.19594967507834</v>
      </c>
      <c r="I40" s="534">
        <v>422.55366257496257</v>
      </c>
      <c r="J40" s="534"/>
      <c r="K40" s="534">
        <v>23672.522078578557</v>
      </c>
      <c r="L40" s="534">
        <v>12236.925660786701</v>
      </c>
      <c r="M40" s="534">
        <v>11435.596417795139</v>
      </c>
    </row>
    <row r="41" spans="1:13" x14ac:dyDescent="0.2">
      <c r="A41" s="583" t="s">
        <v>29</v>
      </c>
      <c r="B41" s="534">
        <v>18666.59355348166</v>
      </c>
      <c r="C41" s="534">
        <v>3926.703630144656</v>
      </c>
      <c r="D41" s="534">
        <v>1853.906609675764</v>
      </c>
      <c r="E41" s="534">
        <v>2072.7970204691019</v>
      </c>
      <c r="F41" s="534"/>
      <c r="G41" s="534">
        <v>458.71816522777436</v>
      </c>
      <c r="H41" s="534">
        <v>258.86170319907762</v>
      </c>
      <c r="I41" s="534">
        <v>199.85646202869967</v>
      </c>
      <c r="J41" s="534"/>
      <c r="K41" s="534">
        <v>14281.171758109593</v>
      </c>
      <c r="L41" s="534">
        <v>7377.5585411731772</v>
      </c>
      <c r="M41" s="534">
        <v>6903.6132169337388</v>
      </c>
    </row>
    <row r="42" spans="1:13" x14ac:dyDescent="0.2">
      <c r="A42" s="584" t="s">
        <v>31</v>
      </c>
      <c r="B42" s="533">
        <v>19113.891349450394</v>
      </c>
      <c r="C42" s="533">
        <v>6720.8873087932325</v>
      </c>
      <c r="D42" s="533">
        <v>3279.5493721470293</v>
      </c>
      <c r="E42" s="533">
        <v>3441.337936646436</v>
      </c>
      <c r="F42" s="533"/>
      <c r="G42" s="533">
        <v>919.33972533202098</v>
      </c>
      <c r="H42" s="533">
        <v>472.04192936302081</v>
      </c>
      <c r="I42" s="533">
        <v>447.29779596899169</v>
      </c>
      <c r="J42" s="533"/>
      <c r="K42" s="533">
        <v>11473.664315324429</v>
      </c>
      <c r="L42" s="533">
        <v>5963.3361479607165</v>
      </c>
      <c r="M42" s="533">
        <v>5510.3281673623778</v>
      </c>
    </row>
    <row r="43" spans="1:13" x14ac:dyDescent="0.2">
      <c r="A43" s="583" t="s">
        <v>31</v>
      </c>
      <c r="B43" s="534">
        <v>19113.891349450394</v>
      </c>
      <c r="C43" s="534">
        <v>6720.8873087932325</v>
      </c>
      <c r="D43" s="534">
        <v>3279.5493721470293</v>
      </c>
      <c r="E43" s="534">
        <v>3441.337936646436</v>
      </c>
      <c r="F43" s="534"/>
      <c r="G43" s="534">
        <v>919.33972533202098</v>
      </c>
      <c r="H43" s="534">
        <v>472.04192936302081</v>
      </c>
      <c r="I43" s="534">
        <v>447.29779596899169</v>
      </c>
      <c r="J43" s="534"/>
      <c r="K43" s="534">
        <v>11473.664315324429</v>
      </c>
      <c r="L43" s="534">
        <v>5963.3361479607165</v>
      </c>
      <c r="M43" s="534">
        <v>5510.3281673623778</v>
      </c>
    </row>
  </sheetData>
  <mergeCells count="7">
    <mergeCell ref="A1:M1"/>
    <mergeCell ref="A2:A4"/>
    <mergeCell ref="B2:B4"/>
    <mergeCell ref="C3:E3"/>
    <mergeCell ref="G3:I3"/>
    <mergeCell ref="K3:M3"/>
    <mergeCell ref="C2:M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Y43"/>
  <sheetViews>
    <sheetView workbookViewId="0">
      <selection activeCell="A2" sqref="A2:A4"/>
    </sheetView>
  </sheetViews>
  <sheetFormatPr defaultRowHeight="12" x14ac:dyDescent="0.2"/>
  <cols>
    <col min="1" max="1" width="19.42578125" style="575" customWidth="1"/>
    <col min="2" max="16384" width="9.140625" style="575"/>
  </cols>
  <sheetData>
    <row r="1" spans="1:21" ht="30.75" customHeight="1" x14ac:dyDescent="0.2">
      <c r="A1" s="776" t="s">
        <v>552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  <c r="N1" s="776"/>
      <c r="O1" s="776"/>
      <c r="P1" s="776"/>
      <c r="Q1" s="776"/>
      <c r="R1" s="776"/>
      <c r="S1" s="776"/>
      <c r="T1" s="776"/>
      <c r="U1" s="776"/>
    </row>
    <row r="2" spans="1:21" ht="12" customHeight="1" x14ac:dyDescent="0.2">
      <c r="A2" s="777" t="str">
        <f>'Q8.11'!$A$2</f>
        <v>Área de residência, município e comuna</v>
      </c>
      <c r="B2" s="779" t="s">
        <v>306</v>
      </c>
      <c r="C2" s="782" t="s">
        <v>307</v>
      </c>
      <c r="D2" s="782"/>
      <c r="E2" s="782"/>
      <c r="F2" s="782"/>
      <c r="G2" s="782"/>
      <c r="H2" s="782"/>
      <c r="I2" s="782"/>
      <c r="J2" s="782"/>
      <c r="K2" s="782"/>
      <c r="L2" s="782"/>
      <c r="M2" s="782"/>
      <c r="N2" s="782"/>
      <c r="O2" s="782"/>
      <c r="P2" s="782"/>
      <c r="Q2" s="782"/>
      <c r="R2" s="782"/>
      <c r="S2" s="782"/>
      <c r="T2" s="782"/>
      <c r="U2" s="782"/>
    </row>
    <row r="3" spans="1:21" x14ac:dyDescent="0.2">
      <c r="A3" s="939"/>
      <c r="B3" s="780"/>
      <c r="C3" s="780" t="s">
        <v>308</v>
      </c>
      <c r="D3" s="780"/>
      <c r="E3" s="780"/>
      <c r="F3" s="484"/>
      <c r="G3" s="780" t="s">
        <v>309</v>
      </c>
      <c r="H3" s="780"/>
      <c r="I3" s="780"/>
      <c r="J3" s="484"/>
      <c r="K3" s="780" t="s">
        <v>310</v>
      </c>
      <c r="L3" s="780"/>
      <c r="M3" s="780"/>
      <c r="N3" s="484"/>
      <c r="O3" s="780" t="s">
        <v>311</v>
      </c>
      <c r="P3" s="780"/>
      <c r="Q3" s="780"/>
      <c r="R3" s="484"/>
      <c r="S3" s="780" t="s">
        <v>312</v>
      </c>
      <c r="T3" s="780"/>
      <c r="U3" s="780"/>
    </row>
    <row r="4" spans="1:21" x14ac:dyDescent="0.2">
      <c r="A4" s="778"/>
      <c r="B4" s="781"/>
      <c r="C4" s="486" t="s">
        <v>2</v>
      </c>
      <c r="D4" s="486" t="s">
        <v>3</v>
      </c>
      <c r="E4" s="486" t="s">
        <v>4</v>
      </c>
      <c r="F4" s="485"/>
      <c r="G4" s="486" t="s">
        <v>2</v>
      </c>
      <c r="H4" s="486" t="s">
        <v>3</v>
      </c>
      <c r="I4" s="486" t="s">
        <v>4</v>
      </c>
      <c r="J4" s="485"/>
      <c r="K4" s="486" t="s">
        <v>2</v>
      </c>
      <c r="L4" s="486" t="s">
        <v>3</v>
      </c>
      <c r="M4" s="486" t="s">
        <v>4</v>
      </c>
      <c r="N4" s="485"/>
      <c r="O4" s="486" t="s">
        <v>2</v>
      </c>
      <c r="P4" s="486" t="s">
        <v>3</v>
      </c>
      <c r="Q4" s="486" t="s">
        <v>4</v>
      </c>
      <c r="R4" s="485"/>
      <c r="S4" s="486" t="s">
        <v>2</v>
      </c>
      <c r="T4" s="486" t="s">
        <v>3</v>
      </c>
      <c r="U4" s="486" t="s">
        <v>4</v>
      </c>
    </row>
    <row r="5" spans="1:21" x14ac:dyDescent="0.2">
      <c r="A5" s="169" t="s">
        <v>32</v>
      </c>
      <c r="B5" s="146">
        <v>444938.26548655168</v>
      </c>
      <c r="C5" s="146">
        <v>26903.254680878763</v>
      </c>
      <c r="D5" s="146">
        <v>13575.787139802771</v>
      </c>
      <c r="E5" s="146">
        <v>13327.467541081842</v>
      </c>
      <c r="F5" s="146"/>
      <c r="G5" s="146">
        <v>243683.83246547898</v>
      </c>
      <c r="H5" s="146">
        <v>118357.14713117386</v>
      </c>
      <c r="I5" s="146">
        <v>125326.68533471058</v>
      </c>
      <c r="J5" s="146"/>
      <c r="K5" s="146">
        <v>111878.0837952056</v>
      </c>
      <c r="L5" s="146">
        <v>52475.25495605007</v>
      </c>
      <c r="M5" s="146">
        <v>59402.828839157148</v>
      </c>
      <c r="N5" s="146"/>
      <c r="O5" s="146">
        <v>51173.317050795318</v>
      </c>
      <c r="P5" s="146">
        <v>22885.002348640548</v>
      </c>
      <c r="Q5" s="146">
        <v>28288.314702145115</v>
      </c>
      <c r="R5" s="146"/>
      <c r="S5" s="146">
        <v>11299.777494783553</v>
      </c>
      <c r="T5" s="146">
        <v>5827.3627803344634</v>
      </c>
      <c r="U5" s="146">
        <v>5472.4147144494509</v>
      </c>
    </row>
    <row r="6" spans="1:21" x14ac:dyDescent="0.2">
      <c r="A6" s="170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</row>
    <row r="7" spans="1:21" x14ac:dyDescent="0.2">
      <c r="A7" s="169" t="s">
        <v>167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</row>
    <row r="8" spans="1:21" x14ac:dyDescent="0.2">
      <c r="A8" s="172" t="s">
        <v>8</v>
      </c>
      <c r="B8" s="45">
        <v>204391.77220140339</v>
      </c>
      <c r="C8" s="45">
        <v>8699.2974735344287</v>
      </c>
      <c r="D8" s="45">
        <v>4303.8850407622076</v>
      </c>
      <c r="E8" s="45">
        <v>4395.412432772222</v>
      </c>
      <c r="F8" s="45"/>
      <c r="G8" s="45">
        <v>92025.302224872692</v>
      </c>
      <c r="H8" s="45">
        <v>43179.305098255485</v>
      </c>
      <c r="I8" s="45">
        <v>48845.997126544105</v>
      </c>
      <c r="J8" s="45"/>
      <c r="K8" s="45">
        <v>53344.893039770745</v>
      </c>
      <c r="L8" s="45">
        <v>24652.659877397135</v>
      </c>
      <c r="M8" s="45">
        <v>28692.233162371311</v>
      </c>
      <c r="N8" s="45"/>
      <c r="O8" s="45">
        <v>39825.193173316184</v>
      </c>
      <c r="P8" s="45">
        <v>17651.562886788128</v>
      </c>
      <c r="Q8" s="45">
        <v>22173.630286518637</v>
      </c>
      <c r="R8" s="45"/>
      <c r="S8" s="45">
        <v>10497.086290096575</v>
      </c>
      <c r="T8" s="45">
        <v>5380.1497278287779</v>
      </c>
      <c r="U8" s="45">
        <v>5116.9365622679525</v>
      </c>
    </row>
    <row r="9" spans="1:21" x14ac:dyDescent="0.2">
      <c r="A9" s="172" t="s">
        <v>9</v>
      </c>
      <c r="B9" s="45">
        <v>240546.49328556904</v>
      </c>
      <c r="C9" s="45">
        <v>18203.95720734858</v>
      </c>
      <c r="D9" s="45">
        <v>9271.9020990388235</v>
      </c>
      <c r="E9" s="45">
        <v>8932.0551083078626</v>
      </c>
      <c r="F9" s="45"/>
      <c r="G9" s="45">
        <v>151658.53024090003</v>
      </c>
      <c r="H9" s="45">
        <v>75177.842032821602</v>
      </c>
      <c r="I9" s="45">
        <v>76480.688208049221</v>
      </c>
      <c r="J9" s="45"/>
      <c r="K9" s="45">
        <v>58533.190755436408</v>
      </c>
      <c r="L9" s="45">
        <v>27822.595078650142</v>
      </c>
      <c r="M9" s="45">
        <v>30710.595676782847</v>
      </c>
      <c r="N9" s="45"/>
      <c r="O9" s="45">
        <v>11348.123877473536</v>
      </c>
      <c r="P9" s="45">
        <v>5233.4394618505294</v>
      </c>
      <c r="Q9" s="45">
        <v>6114.6844156235938</v>
      </c>
      <c r="R9" s="45"/>
      <c r="S9" s="45">
        <v>802.69120468713174</v>
      </c>
      <c r="T9" s="45">
        <v>447.21305250565536</v>
      </c>
      <c r="U9" s="45">
        <v>355.47815218147485</v>
      </c>
    </row>
    <row r="10" spans="1:21" x14ac:dyDescent="0.2">
      <c r="A10" s="169" t="s">
        <v>360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</row>
    <row r="11" spans="1:21" x14ac:dyDescent="0.2">
      <c r="A11" s="171" t="s">
        <v>11</v>
      </c>
      <c r="B11" s="43">
        <v>69502.018665044976</v>
      </c>
      <c r="C11" s="43">
        <v>4291.133184707367</v>
      </c>
      <c r="D11" s="43">
        <v>2187.8639599109788</v>
      </c>
      <c r="E11" s="43">
        <v>2103.2692247966193</v>
      </c>
      <c r="F11" s="43"/>
      <c r="G11" s="43">
        <v>40662.676143247896</v>
      </c>
      <c r="H11" s="43">
        <v>20100.942992815173</v>
      </c>
      <c r="I11" s="43">
        <v>20561.733150441745</v>
      </c>
      <c r="J11" s="43"/>
      <c r="K11" s="43">
        <v>16119.389547671568</v>
      </c>
      <c r="L11" s="43">
        <v>7450.2671090828089</v>
      </c>
      <c r="M11" s="43">
        <v>8669.1224385880541</v>
      </c>
      <c r="N11" s="43"/>
      <c r="O11" s="43">
        <v>7342.8595428779536</v>
      </c>
      <c r="P11" s="43">
        <v>3275.6345895964018</v>
      </c>
      <c r="Q11" s="43">
        <v>4067.2249532815013</v>
      </c>
      <c r="R11" s="43"/>
      <c r="S11" s="43">
        <v>1085.9602465324215</v>
      </c>
      <c r="T11" s="43">
        <v>565.55526922222964</v>
      </c>
      <c r="U11" s="43">
        <v>520.40497731019025</v>
      </c>
    </row>
    <row r="12" spans="1:21" x14ac:dyDescent="0.2">
      <c r="A12" s="938" t="s">
        <v>12</v>
      </c>
      <c r="B12" s="45">
        <v>46533.503884970276</v>
      </c>
      <c r="C12" s="45">
        <v>2899.1471863234665</v>
      </c>
      <c r="D12" s="45">
        <v>1445.5412935050745</v>
      </c>
      <c r="E12" s="45">
        <v>1453.6058928184805</v>
      </c>
      <c r="F12" s="45"/>
      <c r="G12" s="45">
        <v>26013.961582884738</v>
      </c>
      <c r="H12" s="45">
        <v>12513.806388617948</v>
      </c>
      <c r="I12" s="45">
        <v>13500.155194270525</v>
      </c>
      <c r="J12" s="45"/>
      <c r="K12" s="45">
        <v>10971.442972113175</v>
      </c>
      <c r="L12" s="45">
        <v>5114.6389989390227</v>
      </c>
      <c r="M12" s="45">
        <v>5856.8039731740837</v>
      </c>
      <c r="N12" s="45"/>
      <c r="O12" s="45">
        <v>5658.654145378845</v>
      </c>
      <c r="P12" s="45">
        <v>2563.6543542177305</v>
      </c>
      <c r="Q12" s="45">
        <v>3094.999791161099</v>
      </c>
      <c r="R12" s="45"/>
      <c r="S12" s="45">
        <v>990.29799827088641</v>
      </c>
      <c r="T12" s="45">
        <v>524.81146501116143</v>
      </c>
      <c r="U12" s="45">
        <v>465.48653325972356</v>
      </c>
    </row>
    <row r="13" spans="1:21" x14ac:dyDescent="0.2">
      <c r="A13" s="938" t="s">
        <v>13</v>
      </c>
      <c r="B13" s="45">
        <v>22968.514780072284</v>
      </c>
      <c r="C13" s="45">
        <v>1391.9859983840536</v>
      </c>
      <c r="D13" s="45">
        <v>742.32266640590956</v>
      </c>
      <c r="E13" s="45">
        <v>649.66333197813401</v>
      </c>
      <c r="F13" s="45"/>
      <c r="G13" s="45">
        <v>14648.714560370858</v>
      </c>
      <c r="H13" s="45">
        <v>7587.1366041970741</v>
      </c>
      <c r="I13" s="45">
        <v>7061.5779561715844</v>
      </c>
      <c r="J13" s="45"/>
      <c r="K13" s="45">
        <v>5147.9465755578067</v>
      </c>
      <c r="L13" s="45">
        <v>2335.6281101438017</v>
      </c>
      <c r="M13" s="45">
        <v>2812.3184654140305</v>
      </c>
      <c r="N13" s="45"/>
      <c r="O13" s="45">
        <v>1684.2053974990956</v>
      </c>
      <c r="P13" s="45">
        <v>711.98023537868346</v>
      </c>
      <c r="Q13" s="45">
        <v>972.22516212041955</v>
      </c>
      <c r="R13" s="45"/>
      <c r="S13" s="45">
        <v>95.662248261534543</v>
      </c>
      <c r="T13" s="45">
        <v>40.743804211068102</v>
      </c>
      <c r="U13" s="45">
        <v>54.918444050466483</v>
      </c>
    </row>
    <row r="14" spans="1:21" x14ac:dyDescent="0.2">
      <c r="A14" s="171" t="s">
        <v>44</v>
      </c>
      <c r="B14" s="43">
        <v>177380.52762095365</v>
      </c>
      <c r="C14" s="43">
        <v>9203.3430005785976</v>
      </c>
      <c r="D14" s="43">
        <v>4632.0570687289201</v>
      </c>
      <c r="E14" s="43">
        <v>4571.2859318494284</v>
      </c>
      <c r="F14" s="43"/>
      <c r="G14" s="43">
        <v>88388.058077674708</v>
      </c>
      <c r="H14" s="43">
        <v>42444.957407707938</v>
      </c>
      <c r="I14" s="43">
        <v>45943.100669920568</v>
      </c>
      <c r="J14" s="43"/>
      <c r="K14" s="43">
        <v>43907.307996724237</v>
      </c>
      <c r="L14" s="43">
        <v>20346.295903738799</v>
      </c>
      <c r="M14" s="43">
        <v>23561.012092982201</v>
      </c>
      <c r="N14" s="43"/>
      <c r="O14" s="43">
        <v>27968.23876806226</v>
      </c>
      <c r="P14" s="43">
        <v>12229.081354835424</v>
      </c>
      <c r="Q14" s="43">
        <v>15739.157413220599</v>
      </c>
      <c r="R14" s="43"/>
      <c r="S14" s="43">
        <v>7913.5797780066787</v>
      </c>
      <c r="T14" s="43">
        <v>3991.5697885473487</v>
      </c>
      <c r="U14" s="43">
        <v>3922.0099894589848</v>
      </c>
    </row>
    <row r="15" spans="1:21" x14ac:dyDescent="0.2">
      <c r="A15" s="938" t="s">
        <v>15</v>
      </c>
      <c r="B15" s="45">
        <v>156234.302781573</v>
      </c>
      <c r="C15" s="45">
        <v>7503.2516746470728</v>
      </c>
      <c r="D15" s="45">
        <v>3818.5230799860101</v>
      </c>
      <c r="E15" s="45">
        <v>3684.7285946612892</v>
      </c>
      <c r="F15" s="45"/>
      <c r="G15" s="45">
        <v>74636.126330079991</v>
      </c>
      <c r="H15" s="45">
        <v>35534.14712687365</v>
      </c>
      <c r="I15" s="45">
        <v>39101.979203192503</v>
      </c>
      <c r="J15" s="45"/>
      <c r="K15" s="45">
        <v>39097.224683198277</v>
      </c>
      <c r="L15" s="45">
        <v>18088.770197274207</v>
      </c>
      <c r="M15" s="45">
        <v>21008.454485920833</v>
      </c>
      <c r="N15" s="45"/>
      <c r="O15" s="45">
        <v>27144.268929052338</v>
      </c>
      <c r="P15" s="45">
        <v>11844.264406863889</v>
      </c>
      <c r="Q15" s="45">
        <v>15300.004522182697</v>
      </c>
      <c r="R15" s="45"/>
      <c r="S15" s="45">
        <v>7853.4311645999769</v>
      </c>
      <c r="T15" s="45">
        <v>3957.4746038516951</v>
      </c>
      <c r="U15" s="45">
        <v>3895.9565607479403</v>
      </c>
    </row>
    <row r="16" spans="1:21" x14ac:dyDescent="0.2">
      <c r="A16" s="938" t="s">
        <v>16</v>
      </c>
      <c r="B16" s="45">
        <v>21146.224839439114</v>
      </c>
      <c r="C16" s="45">
        <v>1700.091325931236</v>
      </c>
      <c r="D16" s="45">
        <v>813.53398874299432</v>
      </c>
      <c r="E16" s="45">
        <v>886.55733718823092</v>
      </c>
      <c r="F16" s="45"/>
      <c r="G16" s="45">
        <v>13751.931747567412</v>
      </c>
      <c r="H16" s="45">
        <v>6910.8102808358844</v>
      </c>
      <c r="I16" s="45">
        <v>6841.1214667296408</v>
      </c>
      <c r="J16" s="45"/>
      <c r="K16" s="45">
        <v>4810.0833135249095</v>
      </c>
      <c r="L16" s="45">
        <v>2257.5257064641373</v>
      </c>
      <c r="M16" s="45">
        <v>2552.5576070608072</v>
      </c>
      <c r="N16" s="45"/>
      <c r="O16" s="45">
        <v>823.96983900960595</v>
      </c>
      <c r="P16" s="45">
        <v>384.81694797161049</v>
      </c>
      <c r="Q16" s="45">
        <v>439.15289103799307</v>
      </c>
      <c r="R16" s="45"/>
      <c r="S16" s="45">
        <v>60.148613406698409</v>
      </c>
      <c r="T16" s="45">
        <v>34.095184695653892</v>
      </c>
      <c r="U16" s="45">
        <v>26.053428711044482</v>
      </c>
    </row>
    <row r="17" spans="1:21" x14ac:dyDescent="0.2">
      <c r="A17" s="171" t="s">
        <v>17</v>
      </c>
      <c r="B17" s="43">
        <v>5774.4411724890824</v>
      </c>
      <c r="C17" s="43">
        <v>365.4436371793268</v>
      </c>
      <c r="D17" s="43">
        <v>159.31759516792914</v>
      </c>
      <c r="E17" s="43">
        <v>206.12604201139916</v>
      </c>
      <c r="F17" s="43"/>
      <c r="G17" s="43">
        <v>2123.528428894148</v>
      </c>
      <c r="H17" s="43">
        <v>1116.5158018677259</v>
      </c>
      <c r="I17" s="43">
        <v>1007.0126270264225</v>
      </c>
      <c r="J17" s="43"/>
      <c r="K17" s="43">
        <v>1964.3313676442415</v>
      </c>
      <c r="L17" s="43">
        <v>1022.2618077620606</v>
      </c>
      <c r="M17" s="43">
        <v>942.06955988218397</v>
      </c>
      <c r="N17" s="43"/>
      <c r="O17" s="43">
        <v>1083.0738211213722</v>
      </c>
      <c r="P17" s="43">
        <v>583.61544439697218</v>
      </c>
      <c r="Q17" s="43">
        <v>499.458376724397</v>
      </c>
      <c r="R17" s="43"/>
      <c r="S17" s="43">
        <v>238.06391765011725</v>
      </c>
      <c r="T17" s="43">
        <v>146.32529583112651</v>
      </c>
      <c r="U17" s="43">
        <v>91.738621818990609</v>
      </c>
    </row>
    <row r="18" spans="1:21" x14ac:dyDescent="0.2">
      <c r="A18" s="938" t="s">
        <v>17</v>
      </c>
      <c r="B18" s="45">
        <v>5774.4411724890824</v>
      </c>
      <c r="C18" s="45">
        <v>365.4436371793268</v>
      </c>
      <c r="D18" s="45">
        <v>159.31759516792914</v>
      </c>
      <c r="E18" s="45">
        <v>206.12604201139916</v>
      </c>
      <c r="F18" s="45"/>
      <c r="G18" s="45">
        <v>2123.528428894148</v>
      </c>
      <c r="H18" s="45">
        <v>1116.5158018677259</v>
      </c>
      <c r="I18" s="45">
        <v>1007.0126270264225</v>
      </c>
      <c r="J18" s="45"/>
      <c r="K18" s="45">
        <v>1964.3313676442415</v>
      </c>
      <c r="L18" s="45">
        <v>1022.2618077620606</v>
      </c>
      <c r="M18" s="45">
        <v>942.06955988218397</v>
      </c>
      <c r="N18" s="45"/>
      <c r="O18" s="45">
        <v>1083.0738211213722</v>
      </c>
      <c r="P18" s="45">
        <v>583.61544439697218</v>
      </c>
      <c r="Q18" s="45">
        <v>499.458376724397</v>
      </c>
      <c r="R18" s="45"/>
      <c r="S18" s="45">
        <v>238.06391765011725</v>
      </c>
      <c r="T18" s="45">
        <v>146.32529583112651</v>
      </c>
      <c r="U18" s="45">
        <v>91.738621818990609</v>
      </c>
    </row>
    <row r="19" spans="1:21" x14ac:dyDescent="0.2">
      <c r="A19" s="171" t="s">
        <v>18</v>
      </c>
      <c r="B19" s="43">
        <v>2892.3492166823312</v>
      </c>
      <c r="C19" s="43">
        <v>221.6089731060934</v>
      </c>
      <c r="D19" s="43">
        <v>149.11795798257114</v>
      </c>
      <c r="E19" s="43">
        <v>72.491015123522217</v>
      </c>
      <c r="F19" s="43"/>
      <c r="G19" s="43">
        <v>1524.9284544406744</v>
      </c>
      <c r="H19" s="43">
        <v>758.23272171357803</v>
      </c>
      <c r="I19" s="43">
        <v>766.69573272709215</v>
      </c>
      <c r="J19" s="43"/>
      <c r="K19" s="43">
        <v>837.09458571939172</v>
      </c>
      <c r="L19" s="43">
        <v>419.55740890999562</v>
      </c>
      <c r="M19" s="43">
        <v>417.5371768093944</v>
      </c>
      <c r="N19" s="43"/>
      <c r="O19" s="43">
        <v>269.4238408400621</v>
      </c>
      <c r="P19" s="43">
        <v>161.10961394917973</v>
      </c>
      <c r="Q19" s="43">
        <v>108.31422689088248</v>
      </c>
      <c r="R19" s="43"/>
      <c r="S19" s="43">
        <v>39.293362576168853</v>
      </c>
      <c r="T19" s="43">
        <v>26.875597718349407</v>
      </c>
      <c r="U19" s="43">
        <v>12.417764857819433</v>
      </c>
    </row>
    <row r="20" spans="1:21" x14ac:dyDescent="0.2">
      <c r="A20" s="938" t="s">
        <v>18</v>
      </c>
      <c r="B20" s="45">
        <v>2892.3492166823312</v>
      </c>
      <c r="C20" s="45">
        <v>221.6089731060934</v>
      </c>
      <c r="D20" s="45">
        <v>149.11795798257114</v>
      </c>
      <c r="E20" s="45">
        <v>72.491015123522217</v>
      </c>
      <c r="F20" s="45"/>
      <c r="G20" s="45">
        <v>1524.9284544406744</v>
      </c>
      <c r="H20" s="45">
        <v>758.23272171357803</v>
      </c>
      <c r="I20" s="45">
        <v>766.69573272709215</v>
      </c>
      <c r="J20" s="45"/>
      <c r="K20" s="45">
        <v>837.09458571939172</v>
      </c>
      <c r="L20" s="45">
        <v>419.55740890999562</v>
      </c>
      <c r="M20" s="45">
        <v>417.5371768093944</v>
      </c>
      <c r="N20" s="45"/>
      <c r="O20" s="45">
        <v>269.4238408400621</v>
      </c>
      <c r="P20" s="45">
        <v>161.10961394917973</v>
      </c>
      <c r="Q20" s="45">
        <v>108.31422689088248</v>
      </c>
      <c r="R20" s="45"/>
      <c r="S20" s="45">
        <v>39.293362576168853</v>
      </c>
      <c r="T20" s="45">
        <v>26.875597718349407</v>
      </c>
      <c r="U20" s="45">
        <v>12.417764857819433</v>
      </c>
    </row>
    <row r="21" spans="1:21" x14ac:dyDescent="0.2">
      <c r="A21" s="171" t="s">
        <v>19</v>
      </c>
      <c r="B21" s="43">
        <v>29388.861647869275</v>
      </c>
      <c r="C21" s="43">
        <v>2810.3800633068145</v>
      </c>
      <c r="D21" s="43">
        <v>1403.0678819179429</v>
      </c>
      <c r="E21" s="43">
        <v>1407.3121813889509</v>
      </c>
      <c r="F21" s="43"/>
      <c r="G21" s="43">
        <v>17634.439974794452</v>
      </c>
      <c r="H21" s="43">
        <v>8586.6852180300848</v>
      </c>
      <c r="I21" s="43">
        <v>9047.7547567623842</v>
      </c>
      <c r="J21" s="43"/>
      <c r="K21" s="43">
        <v>5915.5765690628868</v>
      </c>
      <c r="L21" s="43">
        <v>2801.8879113453158</v>
      </c>
      <c r="M21" s="43">
        <v>3113.6886577174582</v>
      </c>
      <c r="N21" s="43"/>
      <c r="O21" s="43">
        <v>2465.2682786909286</v>
      </c>
      <c r="P21" s="43">
        <v>1128.6506980939043</v>
      </c>
      <c r="Q21" s="43">
        <v>1336.6175805970445</v>
      </c>
      <c r="R21" s="43"/>
      <c r="S21" s="43">
        <v>563.19676201724599</v>
      </c>
      <c r="T21" s="43">
        <v>296.39302283966924</v>
      </c>
      <c r="U21" s="43">
        <v>266.80373917757657</v>
      </c>
    </row>
    <row r="22" spans="1:21" x14ac:dyDescent="0.2">
      <c r="A22" s="938" t="s">
        <v>19</v>
      </c>
      <c r="B22" s="45">
        <v>22029.005972222589</v>
      </c>
      <c r="C22" s="45">
        <v>1652.678205848064</v>
      </c>
      <c r="D22" s="45">
        <v>825.98912919043278</v>
      </c>
      <c r="E22" s="45">
        <v>826.68907665762072</v>
      </c>
      <c r="F22" s="45"/>
      <c r="G22" s="45">
        <v>12712.127901523632</v>
      </c>
      <c r="H22" s="45">
        <v>6181.1561982943595</v>
      </c>
      <c r="I22" s="45">
        <v>6530.9717032278095</v>
      </c>
      <c r="J22" s="45"/>
      <c r="K22" s="45">
        <v>4779.4188101694754</v>
      </c>
      <c r="L22" s="45">
        <v>2237.1473273775573</v>
      </c>
      <c r="M22" s="45">
        <v>2542.2714827919535</v>
      </c>
      <c r="N22" s="45"/>
      <c r="O22" s="45">
        <v>2332.1185220844086</v>
      </c>
      <c r="P22" s="45">
        <v>1057.0665614102998</v>
      </c>
      <c r="Q22" s="45">
        <v>1275.0519606741282</v>
      </c>
      <c r="R22" s="45"/>
      <c r="S22" s="45">
        <v>552.66253259759617</v>
      </c>
      <c r="T22" s="45">
        <v>290.19680875658503</v>
      </c>
      <c r="U22" s="45">
        <v>262.46572384101097</v>
      </c>
    </row>
    <row r="23" spans="1:21" x14ac:dyDescent="0.2">
      <c r="A23" s="938" t="s">
        <v>20</v>
      </c>
      <c r="B23" s="45">
        <v>7359.8556756482076</v>
      </c>
      <c r="C23" s="45">
        <v>1157.7018574588294</v>
      </c>
      <c r="D23" s="45">
        <v>577.07875272749902</v>
      </c>
      <c r="E23" s="45">
        <v>580.6231047313189</v>
      </c>
      <c r="F23" s="45"/>
      <c r="G23" s="45">
        <v>4922.3120732700418</v>
      </c>
      <c r="H23" s="45">
        <v>2405.5290197357699</v>
      </c>
      <c r="I23" s="45">
        <v>2516.7830535344524</v>
      </c>
      <c r="J23" s="45"/>
      <c r="K23" s="45">
        <v>1136.1577588933108</v>
      </c>
      <c r="L23" s="45">
        <v>564.74058396778059</v>
      </c>
      <c r="M23" s="45">
        <v>571.41717492552618</v>
      </c>
      <c r="N23" s="45"/>
      <c r="O23" s="45">
        <v>133.14975660652135</v>
      </c>
      <c r="P23" s="45">
        <v>71.584136683604939</v>
      </c>
      <c r="Q23" s="45">
        <v>61.565619922916497</v>
      </c>
      <c r="R23" s="45"/>
      <c r="S23" s="45">
        <v>10.534229419649872</v>
      </c>
      <c r="T23" s="45">
        <v>6.1962140830842731</v>
      </c>
      <c r="U23" s="45">
        <v>4.3380153365655989</v>
      </c>
    </row>
    <row r="24" spans="1:21" x14ac:dyDescent="0.2">
      <c r="A24" s="171" t="s">
        <v>21</v>
      </c>
      <c r="B24" s="43">
        <v>18748.100034039675</v>
      </c>
      <c r="C24" s="43">
        <v>1352.7318315442233</v>
      </c>
      <c r="D24" s="43">
        <v>692.71038333659681</v>
      </c>
      <c r="E24" s="43">
        <v>660.02144820761555</v>
      </c>
      <c r="F24" s="43"/>
      <c r="G24" s="43">
        <v>12359.363536367397</v>
      </c>
      <c r="H24" s="43">
        <v>6392.3290785350127</v>
      </c>
      <c r="I24" s="43">
        <v>5967.0344578311006</v>
      </c>
      <c r="J24" s="43"/>
      <c r="K24" s="43">
        <v>3325.8125649157796</v>
      </c>
      <c r="L24" s="43">
        <v>1668.8049251483624</v>
      </c>
      <c r="M24" s="43">
        <v>1657.0076397674732</v>
      </c>
      <c r="N24" s="43"/>
      <c r="O24" s="43">
        <v>1414.7610774743825</v>
      </c>
      <c r="P24" s="43">
        <v>722.43825404624954</v>
      </c>
      <c r="Q24" s="43">
        <v>692.32282342813483</v>
      </c>
      <c r="R24" s="43"/>
      <c r="S24" s="43">
        <v>295.43102373806681</v>
      </c>
      <c r="T24" s="43">
        <v>182.98768159216007</v>
      </c>
      <c r="U24" s="43">
        <v>112.4433421459066</v>
      </c>
    </row>
    <row r="25" spans="1:21" x14ac:dyDescent="0.2">
      <c r="A25" s="938" t="s">
        <v>21</v>
      </c>
      <c r="B25" s="45">
        <v>18748.100034039675</v>
      </c>
      <c r="C25" s="45">
        <v>1352.7318315442233</v>
      </c>
      <c r="D25" s="45">
        <v>692.71038333659681</v>
      </c>
      <c r="E25" s="45">
        <v>660.02144820761555</v>
      </c>
      <c r="F25" s="45"/>
      <c r="G25" s="45">
        <v>12359.363536367397</v>
      </c>
      <c r="H25" s="45">
        <v>6392.3290785350127</v>
      </c>
      <c r="I25" s="45">
        <v>5967.0344578311006</v>
      </c>
      <c r="J25" s="45"/>
      <c r="K25" s="45">
        <v>3325.8125649157796</v>
      </c>
      <c r="L25" s="45">
        <v>1668.8049251483624</v>
      </c>
      <c r="M25" s="45">
        <v>1657.0076397674732</v>
      </c>
      <c r="N25" s="45"/>
      <c r="O25" s="45">
        <v>1414.7610774743825</v>
      </c>
      <c r="P25" s="45">
        <v>722.43825404624954</v>
      </c>
      <c r="Q25" s="45">
        <v>692.32282342813483</v>
      </c>
      <c r="R25" s="45"/>
      <c r="S25" s="45">
        <v>295.43102373806681</v>
      </c>
      <c r="T25" s="45">
        <v>182.98768159216007</v>
      </c>
      <c r="U25" s="45">
        <v>112.4433421459066</v>
      </c>
    </row>
    <row r="26" spans="1:21" x14ac:dyDescent="0.2">
      <c r="A26" s="171" t="s">
        <v>22</v>
      </c>
      <c r="B26" s="43">
        <v>44734.841980917154</v>
      </c>
      <c r="C26" s="43">
        <v>1987.4096460179881</v>
      </c>
      <c r="D26" s="43">
        <v>1029.5372119493622</v>
      </c>
      <c r="E26" s="43">
        <v>957.87243406861535</v>
      </c>
      <c r="F26" s="43"/>
      <c r="G26" s="43">
        <v>23284.086021767642</v>
      </c>
      <c r="H26" s="43">
        <v>11416.863102603465</v>
      </c>
      <c r="I26" s="43">
        <v>11867.222919165815</v>
      </c>
      <c r="J26" s="43"/>
      <c r="K26" s="43">
        <v>12332.868795483868</v>
      </c>
      <c r="L26" s="43">
        <v>5926.4118038381775</v>
      </c>
      <c r="M26" s="43">
        <v>6406.4569916457122</v>
      </c>
      <c r="N26" s="43"/>
      <c r="O26" s="43">
        <v>6298.3256461925575</v>
      </c>
      <c r="P26" s="43">
        <v>2782.8839571798771</v>
      </c>
      <c r="Q26" s="43">
        <v>3515.4416890126704</v>
      </c>
      <c r="R26" s="43"/>
      <c r="S26" s="43">
        <v>832.15187145695654</v>
      </c>
      <c r="T26" s="43">
        <v>416.57494232893066</v>
      </c>
      <c r="U26" s="43">
        <v>415.57692912802543</v>
      </c>
    </row>
    <row r="27" spans="1:21" x14ac:dyDescent="0.2">
      <c r="A27" s="938" t="s">
        <v>22</v>
      </c>
      <c r="B27" s="45">
        <v>44734.841980917154</v>
      </c>
      <c r="C27" s="45">
        <v>1987.4096460179881</v>
      </c>
      <c r="D27" s="45">
        <v>1029.5372119493622</v>
      </c>
      <c r="E27" s="45">
        <v>957.87243406861535</v>
      </c>
      <c r="F27" s="45"/>
      <c r="G27" s="45">
        <v>23284.086021767642</v>
      </c>
      <c r="H27" s="45">
        <v>11416.863102603465</v>
      </c>
      <c r="I27" s="45">
        <v>11867.222919165815</v>
      </c>
      <c r="J27" s="45"/>
      <c r="K27" s="45">
        <v>12332.868795483868</v>
      </c>
      <c r="L27" s="45">
        <v>5926.4118038381775</v>
      </c>
      <c r="M27" s="45">
        <v>6406.4569916457122</v>
      </c>
      <c r="N27" s="45"/>
      <c r="O27" s="45">
        <v>6298.3256461925575</v>
      </c>
      <c r="P27" s="45">
        <v>2782.8839571798771</v>
      </c>
      <c r="Q27" s="45">
        <v>3515.4416890126704</v>
      </c>
      <c r="R27" s="45"/>
      <c r="S27" s="45">
        <v>832.15187145695654</v>
      </c>
      <c r="T27" s="45">
        <v>416.57494232893066</v>
      </c>
      <c r="U27" s="45">
        <v>415.57692912802543</v>
      </c>
    </row>
    <row r="28" spans="1:21" x14ac:dyDescent="0.2">
      <c r="A28" s="171" t="s">
        <v>23</v>
      </c>
      <c r="B28" s="43">
        <v>34000.925195587857</v>
      </c>
      <c r="C28" s="43">
        <v>2459.5871675810822</v>
      </c>
      <c r="D28" s="43">
        <v>1224.0678591325375</v>
      </c>
      <c r="E28" s="43">
        <v>1235.5193084485832</v>
      </c>
      <c r="F28" s="43"/>
      <c r="G28" s="43">
        <v>21163.774940074974</v>
      </c>
      <c r="H28" s="43">
        <v>9934.1722262385265</v>
      </c>
      <c r="I28" s="43">
        <v>11229.602713836057</v>
      </c>
      <c r="J28" s="43"/>
      <c r="K28" s="43">
        <v>9154.4415988897563</v>
      </c>
      <c r="L28" s="43">
        <v>4115.0128838598421</v>
      </c>
      <c r="M28" s="43">
        <v>5039.4287150295886</v>
      </c>
      <c r="N28" s="43"/>
      <c r="O28" s="43">
        <v>1150.9695226763208</v>
      </c>
      <c r="P28" s="43">
        <v>504.9728392192842</v>
      </c>
      <c r="Q28" s="43">
        <v>645.99668345703196</v>
      </c>
      <c r="R28" s="43"/>
      <c r="S28" s="43">
        <v>72.151966368832333</v>
      </c>
      <c r="T28" s="43">
        <v>40.122186367539847</v>
      </c>
      <c r="U28" s="43">
        <v>32.029780001292465</v>
      </c>
    </row>
    <row r="29" spans="1:21" x14ac:dyDescent="0.2">
      <c r="A29" s="938" t="s">
        <v>23</v>
      </c>
      <c r="B29" s="45">
        <v>22840.272531794275</v>
      </c>
      <c r="C29" s="45">
        <v>1530.4895066679208</v>
      </c>
      <c r="D29" s="45">
        <v>743.95919599979925</v>
      </c>
      <c r="E29" s="45">
        <v>786.53031066811116</v>
      </c>
      <c r="F29" s="45"/>
      <c r="G29" s="45">
        <v>14498.42359012928</v>
      </c>
      <c r="H29" s="45">
        <v>6795.6984072332061</v>
      </c>
      <c r="I29" s="45">
        <v>7702.7251828940889</v>
      </c>
      <c r="J29" s="45"/>
      <c r="K29" s="45">
        <v>5899.0819470482138</v>
      </c>
      <c r="L29" s="45">
        <v>2549.2128924030062</v>
      </c>
      <c r="M29" s="45">
        <v>3349.8690546450998</v>
      </c>
      <c r="N29" s="45"/>
      <c r="O29" s="45">
        <v>853.13956759141774</v>
      </c>
      <c r="P29" s="45">
        <v>339.22789342278543</v>
      </c>
      <c r="Q29" s="45">
        <v>513.91167416862766</v>
      </c>
      <c r="R29" s="45"/>
      <c r="S29" s="45">
        <v>59.137920359135542</v>
      </c>
      <c r="T29" s="45">
        <v>27.108140357843041</v>
      </c>
      <c r="U29" s="45">
        <v>32.029780001292465</v>
      </c>
    </row>
    <row r="30" spans="1:21" x14ac:dyDescent="0.2">
      <c r="A30" s="938" t="s">
        <v>24</v>
      </c>
      <c r="B30" s="45">
        <v>11160.652663795736</v>
      </c>
      <c r="C30" s="45">
        <v>929.09766091319932</v>
      </c>
      <c r="D30" s="45">
        <v>480.10866313272817</v>
      </c>
      <c r="E30" s="45">
        <v>448.9889977804624</v>
      </c>
      <c r="F30" s="45"/>
      <c r="G30" s="45">
        <v>6665.3513499460105</v>
      </c>
      <c r="H30" s="45">
        <v>3138.4738190049588</v>
      </c>
      <c r="I30" s="45">
        <v>3526.8775309412072</v>
      </c>
      <c r="J30" s="45"/>
      <c r="K30" s="45">
        <v>3255.3596518412883</v>
      </c>
      <c r="L30" s="45">
        <v>1565.7999914568857</v>
      </c>
      <c r="M30" s="45">
        <v>1689.5596603844435</v>
      </c>
      <c r="N30" s="45"/>
      <c r="O30" s="45">
        <v>297.82995508490143</v>
      </c>
      <c r="P30" s="45">
        <v>165.74494579649848</v>
      </c>
      <c r="Q30" s="45">
        <v>132.08500928840283</v>
      </c>
      <c r="R30" s="45"/>
      <c r="S30" s="45">
        <v>13.014046009696797</v>
      </c>
      <c r="T30" s="45">
        <v>13.014046009696797</v>
      </c>
      <c r="U30" s="46">
        <v>0</v>
      </c>
    </row>
    <row r="31" spans="1:21" x14ac:dyDescent="0.2">
      <c r="A31" s="171" t="s">
        <v>25</v>
      </c>
      <c r="B31" s="43">
        <v>907.08165981740547</v>
      </c>
      <c r="C31" s="43">
        <v>188.79468628088492</v>
      </c>
      <c r="D31" s="43">
        <v>90.775161270385027</v>
      </c>
      <c r="E31" s="43">
        <v>98.019525010499876</v>
      </c>
      <c r="F31" s="43"/>
      <c r="G31" s="43">
        <v>430.08310782290908</v>
      </c>
      <c r="H31" s="43">
        <v>224.24715217566691</v>
      </c>
      <c r="I31" s="43">
        <v>205.83595564724411</v>
      </c>
      <c r="J31" s="43"/>
      <c r="K31" s="43">
        <v>270.09896764926253</v>
      </c>
      <c r="L31" s="43">
        <v>120.43049656469097</v>
      </c>
      <c r="M31" s="43">
        <v>149.66847108457159</v>
      </c>
      <c r="N31" s="43"/>
      <c r="O31" s="43">
        <v>18.104898064344543</v>
      </c>
      <c r="P31" s="43">
        <v>2.272610642204175</v>
      </c>
      <c r="Q31" s="43">
        <v>15.832287422140368</v>
      </c>
      <c r="R31" s="43"/>
      <c r="S31" s="44">
        <v>0</v>
      </c>
      <c r="T31" s="44">
        <v>0</v>
      </c>
      <c r="U31" s="44">
        <v>0</v>
      </c>
    </row>
    <row r="32" spans="1:21" x14ac:dyDescent="0.2">
      <c r="A32" s="938" t="s">
        <v>25</v>
      </c>
      <c r="B32" s="45">
        <v>907.08165981740547</v>
      </c>
      <c r="C32" s="45">
        <v>188.79468628088492</v>
      </c>
      <c r="D32" s="45">
        <v>90.775161270385027</v>
      </c>
      <c r="E32" s="45">
        <v>98.019525010499876</v>
      </c>
      <c r="F32" s="45"/>
      <c r="G32" s="45">
        <v>430.08310782290908</v>
      </c>
      <c r="H32" s="45">
        <v>224.24715217566691</v>
      </c>
      <c r="I32" s="45">
        <v>205.83595564724411</v>
      </c>
      <c r="J32" s="45"/>
      <c r="K32" s="45">
        <v>270.09896764926253</v>
      </c>
      <c r="L32" s="45">
        <v>120.43049656469097</v>
      </c>
      <c r="M32" s="45">
        <v>149.66847108457159</v>
      </c>
      <c r="N32" s="45"/>
      <c r="O32" s="45">
        <v>18.104898064344543</v>
      </c>
      <c r="P32" s="45">
        <v>2.272610642204175</v>
      </c>
      <c r="Q32" s="45">
        <v>15.832287422140368</v>
      </c>
      <c r="R32" s="45"/>
      <c r="S32" s="46">
        <v>0</v>
      </c>
      <c r="T32" s="46">
        <v>0</v>
      </c>
      <c r="U32" s="46">
        <v>0</v>
      </c>
    </row>
    <row r="33" spans="1:25" x14ac:dyDescent="0.2">
      <c r="A33" s="171" t="s">
        <v>26</v>
      </c>
      <c r="B33" s="43">
        <v>1076.6268293856822</v>
      </c>
      <c r="C33" s="43">
        <v>74.601615947828776</v>
      </c>
      <c r="D33" s="43">
        <v>38.437113295016452</v>
      </c>
      <c r="E33" s="43">
        <v>36.164502652812274</v>
      </c>
      <c r="F33" s="43"/>
      <c r="G33" s="43">
        <v>759.27212526826372</v>
      </c>
      <c r="H33" s="43">
        <v>402.73104285722025</v>
      </c>
      <c r="I33" s="43">
        <v>356.54108241104024</v>
      </c>
      <c r="J33" s="43"/>
      <c r="K33" s="43">
        <v>205.33058118492937</v>
      </c>
      <c r="L33" s="43">
        <v>128.38233069970741</v>
      </c>
      <c r="M33" s="43">
        <v>76.948250485221948</v>
      </c>
      <c r="N33" s="43"/>
      <c r="O33" s="43">
        <v>25.00474212683719</v>
      </c>
      <c r="P33" s="43">
        <v>25.00474212683719</v>
      </c>
      <c r="Q33" s="44">
        <v>0</v>
      </c>
      <c r="R33" s="43"/>
      <c r="S33" s="43">
        <v>12.417764857819433</v>
      </c>
      <c r="T33" s="43">
        <v>12.417764857819433</v>
      </c>
      <c r="U33" s="44">
        <v>0</v>
      </c>
    </row>
    <row r="34" spans="1:25" x14ac:dyDescent="0.2">
      <c r="A34" s="938" t="s">
        <v>26</v>
      </c>
      <c r="B34" s="45">
        <v>1076.6268293856822</v>
      </c>
      <c r="C34" s="45">
        <v>74.601615947828776</v>
      </c>
      <c r="D34" s="45">
        <v>38.437113295016452</v>
      </c>
      <c r="E34" s="45">
        <v>36.164502652812274</v>
      </c>
      <c r="F34" s="45"/>
      <c r="G34" s="45">
        <v>759.27212526826372</v>
      </c>
      <c r="H34" s="45">
        <v>402.73104285722025</v>
      </c>
      <c r="I34" s="45">
        <v>356.54108241104024</v>
      </c>
      <c r="J34" s="45"/>
      <c r="K34" s="45">
        <v>205.33058118492937</v>
      </c>
      <c r="L34" s="45">
        <v>128.38233069970741</v>
      </c>
      <c r="M34" s="45">
        <v>76.948250485221948</v>
      </c>
      <c r="N34" s="45"/>
      <c r="O34" s="45">
        <v>25.00474212683719</v>
      </c>
      <c r="P34" s="45">
        <v>25.00474212683719</v>
      </c>
      <c r="Q34" s="46">
        <v>0</v>
      </c>
      <c r="R34" s="45"/>
      <c r="S34" s="45">
        <v>12.417764857819433</v>
      </c>
      <c r="T34" s="45">
        <v>12.417764857819433</v>
      </c>
      <c r="U34" s="46">
        <v>0</v>
      </c>
    </row>
    <row r="35" spans="1:25" x14ac:dyDescent="0.2">
      <c r="A35" s="171" t="s">
        <v>27</v>
      </c>
      <c r="B35" s="43">
        <v>8277.5918985023854</v>
      </c>
      <c r="C35" s="43">
        <v>706.65383895314017</v>
      </c>
      <c r="D35" s="43">
        <v>356.92850858601815</v>
      </c>
      <c r="E35" s="43">
        <v>349.72533036711991</v>
      </c>
      <c r="F35" s="43"/>
      <c r="G35" s="43">
        <v>5633.2845211234235</v>
      </c>
      <c r="H35" s="43">
        <v>2789.7232353793038</v>
      </c>
      <c r="I35" s="43">
        <v>2843.5612857442943</v>
      </c>
      <c r="J35" s="43"/>
      <c r="K35" s="43">
        <v>1652.925890227945</v>
      </c>
      <c r="L35" s="43">
        <v>769.88696385409764</v>
      </c>
      <c r="M35" s="43">
        <v>883.03892637385457</v>
      </c>
      <c r="N35" s="43"/>
      <c r="O35" s="43">
        <v>246.69620321641085</v>
      </c>
      <c r="P35" s="43">
        <v>133.98521218029458</v>
      </c>
      <c r="Q35" s="43">
        <v>112.71099103611634</v>
      </c>
      <c r="R35" s="43"/>
      <c r="S35" s="43">
        <v>38.031444981527528</v>
      </c>
      <c r="T35" s="43">
        <v>23.962687325032171</v>
      </c>
      <c r="U35" s="43">
        <v>14.068757656495357</v>
      </c>
    </row>
    <row r="36" spans="1:25" x14ac:dyDescent="0.2">
      <c r="A36" s="938" t="s">
        <v>27</v>
      </c>
      <c r="B36" s="45">
        <v>8277.5918985023854</v>
      </c>
      <c r="C36" s="45">
        <v>706.65383895314017</v>
      </c>
      <c r="D36" s="45">
        <v>356.92850858601815</v>
      </c>
      <c r="E36" s="45">
        <v>349.72533036711991</v>
      </c>
      <c r="F36" s="45"/>
      <c r="G36" s="45">
        <v>5633.2845211234235</v>
      </c>
      <c r="H36" s="45">
        <v>2789.7232353793038</v>
      </c>
      <c r="I36" s="45">
        <v>2843.5612857442943</v>
      </c>
      <c r="J36" s="45"/>
      <c r="K36" s="45">
        <v>1652.925890227945</v>
      </c>
      <c r="L36" s="45">
        <v>769.88696385409764</v>
      </c>
      <c r="M36" s="45">
        <v>883.03892637385457</v>
      </c>
      <c r="N36" s="45"/>
      <c r="O36" s="45">
        <v>246.69620321641085</v>
      </c>
      <c r="P36" s="45">
        <v>133.98521218029458</v>
      </c>
      <c r="Q36" s="45">
        <v>112.71099103611634</v>
      </c>
      <c r="R36" s="45"/>
      <c r="S36" s="45">
        <v>38.031444981527528</v>
      </c>
      <c r="T36" s="45">
        <v>23.962687325032171</v>
      </c>
      <c r="U36" s="45">
        <v>14.068757656495357</v>
      </c>
    </row>
    <row r="37" spans="1:25" x14ac:dyDescent="0.2">
      <c r="A37" s="171" t="s">
        <v>28</v>
      </c>
      <c r="B37" s="43">
        <v>14092.19893815125</v>
      </c>
      <c r="C37" s="43">
        <v>723.03721139721324</v>
      </c>
      <c r="D37" s="43">
        <v>347.40597627565035</v>
      </c>
      <c r="E37" s="43">
        <v>375.63123512156</v>
      </c>
      <c r="F37" s="43"/>
      <c r="G37" s="43">
        <v>7784.5499534535948</v>
      </c>
      <c r="H37" s="43">
        <v>3703.7395924961797</v>
      </c>
      <c r="I37" s="43">
        <v>4080.8103609575915</v>
      </c>
      <c r="J37" s="43"/>
      <c r="K37" s="43">
        <v>4955.9318018274162</v>
      </c>
      <c r="L37" s="43">
        <v>2382.9226224693944</v>
      </c>
      <c r="M37" s="43">
        <v>2573.0091793580123</v>
      </c>
      <c r="N37" s="43"/>
      <c r="O37" s="43">
        <v>591.88510739353967</v>
      </c>
      <c r="P37" s="43">
        <v>287.42466308129679</v>
      </c>
      <c r="Q37" s="43">
        <v>304.46044431224124</v>
      </c>
      <c r="R37" s="43"/>
      <c r="S37" s="43">
        <v>36.79486407853711</v>
      </c>
      <c r="T37" s="43">
        <v>22.104488578513497</v>
      </c>
      <c r="U37" s="43">
        <v>14.690375500023608</v>
      </c>
      <c r="Y37" s="917"/>
    </row>
    <row r="38" spans="1:25" x14ac:dyDescent="0.2">
      <c r="A38" s="938" t="s">
        <v>28</v>
      </c>
      <c r="B38" s="45">
        <v>14092.19893815125</v>
      </c>
      <c r="C38" s="45">
        <v>723.03721139721324</v>
      </c>
      <c r="D38" s="45">
        <v>347.40597627565035</v>
      </c>
      <c r="E38" s="45">
        <v>375.63123512156</v>
      </c>
      <c r="F38" s="45"/>
      <c r="G38" s="45">
        <v>7784.5499534535948</v>
      </c>
      <c r="H38" s="45">
        <v>3703.7395924961797</v>
      </c>
      <c r="I38" s="45">
        <v>4080.8103609575915</v>
      </c>
      <c r="J38" s="45"/>
      <c r="K38" s="45">
        <v>4955.9318018274162</v>
      </c>
      <c r="L38" s="45">
        <v>2382.9226224693944</v>
      </c>
      <c r="M38" s="45">
        <v>2573.0091793580123</v>
      </c>
      <c r="N38" s="45"/>
      <c r="O38" s="45">
        <v>591.88510739353967</v>
      </c>
      <c r="P38" s="45">
        <v>287.42466308129679</v>
      </c>
      <c r="Q38" s="45">
        <v>304.46044431224124</v>
      </c>
      <c r="R38" s="45"/>
      <c r="S38" s="45">
        <v>36.79486407853711</v>
      </c>
      <c r="T38" s="45">
        <v>22.104488578513497</v>
      </c>
      <c r="U38" s="45">
        <v>14.690375500023608</v>
      </c>
    </row>
    <row r="39" spans="1:25" x14ac:dyDescent="0.2">
      <c r="A39" s="171" t="s">
        <v>29</v>
      </c>
      <c r="B39" s="43">
        <v>22086.213363039802</v>
      </c>
      <c r="C39" s="43">
        <v>1598.3975158010596</v>
      </c>
      <c r="D39" s="43">
        <v>799.92867625186784</v>
      </c>
      <c r="E39" s="43">
        <v>798.46883954918133</v>
      </c>
      <c r="F39" s="43"/>
      <c r="G39" s="43">
        <v>11968.063685855099</v>
      </c>
      <c r="H39" s="43">
        <v>5760.1381876601881</v>
      </c>
      <c r="I39" s="43">
        <v>6207.9254981936811</v>
      </c>
      <c r="J39" s="43"/>
      <c r="K39" s="43">
        <v>6908.1215525869329</v>
      </c>
      <c r="L39" s="43">
        <v>3291.8661499482355</v>
      </c>
      <c r="M39" s="43">
        <v>3616.2554026384109</v>
      </c>
      <c r="N39" s="43"/>
      <c r="O39" s="43">
        <v>1513.0867888947407</v>
      </c>
      <c r="P39" s="43">
        <v>624.07043400882139</v>
      </c>
      <c r="Q39" s="43">
        <v>889.0163548859274</v>
      </c>
      <c r="R39" s="43"/>
      <c r="S39" s="43">
        <v>98.543819902273398</v>
      </c>
      <c r="T39" s="43">
        <v>51.861657937601812</v>
      </c>
      <c r="U39" s="43">
        <v>46.682161964671664</v>
      </c>
    </row>
    <row r="40" spans="1:25" x14ac:dyDescent="0.2">
      <c r="A40" s="938" t="s">
        <v>30</v>
      </c>
      <c r="B40" s="45">
        <v>11992.666235237375</v>
      </c>
      <c r="C40" s="45">
        <v>759.03597532037941</v>
      </c>
      <c r="D40" s="45">
        <v>376.70088888213667</v>
      </c>
      <c r="E40" s="45">
        <v>382.33508643823916</v>
      </c>
      <c r="F40" s="45"/>
      <c r="G40" s="45">
        <v>6464.6565140067569</v>
      </c>
      <c r="H40" s="45">
        <v>3106.0927310724601</v>
      </c>
      <c r="I40" s="45">
        <v>3358.5637829344791</v>
      </c>
      <c r="J40" s="45"/>
      <c r="K40" s="45">
        <v>3554.3508655756</v>
      </c>
      <c r="L40" s="45">
        <v>1707.4666138525147</v>
      </c>
      <c r="M40" s="45">
        <v>1846.8842517231358</v>
      </c>
      <c r="N40" s="45"/>
      <c r="O40" s="45">
        <v>1143.3123946014114</v>
      </c>
      <c r="P40" s="45">
        <v>449.86661813850372</v>
      </c>
      <c r="Q40" s="45">
        <v>693.44577646290509</v>
      </c>
      <c r="R40" s="45"/>
      <c r="S40" s="45">
        <v>71.310485732467782</v>
      </c>
      <c r="T40" s="45">
        <v>42.7712153687851</v>
      </c>
      <c r="U40" s="45">
        <v>28.539270363682675</v>
      </c>
    </row>
    <row r="41" spans="1:25" x14ac:dyDescent="0.2">
      <c r="A41" s="938" t="s">
        <v>29</v>
      </c>
      <c r="B41" s="45">
        <v>10093.547127802336</v>
      </c>
      <c r="C41" s="45">
        <v>839.36154048066942</v>
      </c>
      <c r="D41" s="45">
        <v>423.22778736972634</v>
      </c>
      <c r="E41" s="45">
        <v>416.13375311093739</v>
      </c>
      <c r="F41" s="45"/>
      <c r="G41" s="45">
        <v>5503.4071718470987</v>
      </c>
      <c r="H41" s="45">
        <v>2654.0454565879145</v>
      </c>
      <c r="I41" s="45">
        <v>2849.3617152593811</v>
      </c>
      <c r="J41" s="45"/>
      <c r="K41" s="45">
        <v>3353.7706870110487</v>
      </c>
      <c r="L41" s="45">
        <v>1584.3995360957647</v>
      </c>
      <c r="M41" s="45">
        <v>1769.3711509153402</v>
      </c>
      <c r="N41" s="45"/>
      <c r="O41" s="45">
        <v>369.77439429333594</v>
      </c>
      <c r="P41" s="45">
        <v>174.20381587031594</v>
      </c>
      <c r="Q41" s="45">
        <v>195.57057842301981</v>
      </c>
      <c r="R41" s="45"/>
      <c r="S41" s="45">
        <v>27.233334169805669</v>
      </c>
      <c r="T41" s="45">
        <v>9.0904425688166999</v>
      </c>
      <c r="U41" s="45">
        <v>18.142891600988971</v>
      </c>
    </row>
    <row r="42" spans="1:25" x14ac:dyDescent="0.2">
      <c r="A42" s="171" t="s">
        <v>31</v>
      </c>
      <c r="B42" s="43">
        <v>16076.48726477062</v>
      </c>
      <c r="C42" s="43">
        <v>920.13230847998898</v>
      </c>
      <c r="D42" s="43">
        <v>464.57178599546813</v>
      </c>
      <c r="E42" s="43">
        <v>455.56052248451249</v>
      </c>
      <c r="F42" s="43"/>
      <c r="G42" s="43">
        <v>9967.7234949081758</v>
      </c>
      <c r="H42" s="43">
        <v>4725.8693709887966</v>
      </c>
      <c r="I42" s="43">
        <v>5241.8541239188189</v>
      </c>
      <c r="J42" s="43"/>
      <c r="K42" s="43">
        <v>4328.8519756110927</v>
      </c>
      <c r="L42" s="43">
        <v>2031.2666388228297</v>
      </c>
      <c r="M42" s="43">
        <v>2297.5853367883196</v>
      </c>
      <c r="N42" s="43"/>
      <c r="O42" s="43">
        <v>785.61881315296432</v>
      </c>
      <c r="P42" s="43">
        <v>423.85793528193085</v>
      </c>
      <c r="Q42" s="43">
        <v>361.76087787103097</v>
      </c>
      <c r="R42" s="43"/>
      <c r="S42" s="43">
        <v>74.160672617300705</v>
      </c>
      <c r="T42" s="43">
        <v>50.612397187954031</v>
      </c>
      <c r="U42" s="43">
        <v>23.548275429346667</v>
      </c>
    </row>
    <row r="43" spans="1:25" x14ac:dyDescent="0.2">
      <c r="A43" s="938" t="s">
        <v>31</v>
      </c>
      <c r="B43" s="45">
        <v>16076.48726477062</v>
      </c>
      <c r="C43" s="45">
        <v>920.13230847998898</v>
      </c>
      <c r="D43" s="45">
        <v>464.57178599546813</v>
      </c>
      <c r="E43" s="45">
        <v>455.56052248451249</v>
      </c>
      <c r="F43" s="45"/>
      <c r="G43" s="45">
        <v>9967.7234949081758</v>
      </c>
      <c r="H43" s="45">
        <v>4725.8693709887966</v>
      </c>
      <c r="I43" s="45">
        <v>5241.8541239188189</v>
      </c>
      <c r="J43" s="45"/>
      <c r="K43" s="45">
        <v>4328.8519756110927</v>
      </c>
      <c r="L43" s="45">
        <v>2031.2666388228297</v>
      </c>
      <c r="M43" s="45">
        <v>2297.5853367883196</v>
      </c>
      <c r="N43" s="45"/>
      <c r="O43" s="45">
        <v>785.61881315296432</v>
      </c>
      <c r="P43" s="45">
        <v>423.85793528193085</v>
      </c>
      <c r="Q43" s="45">
        <v>361.76087787103097</v>
      </c>
      <c r="R43" s="45"/>
      <c r="S43" s="45">
        <v>74.160672617300705</v>
      </c>
      <c r="T43" s="45">
        <v>50.612397187954031</v>
      </c>
      <c r="U43" s="45">
        <v>23.548275429346667</v>
      </c>
    </row>
  </sheetData>
  <mergeCells count="9">
    <mergeCell ref="A1:U1"/>
    <mergeCell ref="A2:A4"/>
    <mergeCell ref="B2:B4"/>
    <mergeCell ref="C2:U2"/>
    <mergeCell ref="C3:E3"/>
    <mergeCell ref="G3:I3"/>
    <mergeCell ref="K3:M3"/>
    <mergeCell ref="O3:Q3"/>
    <mergeCell ref="S3:U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R43"/>
  <sheetViews>
    <sheetView workbookViewId="0">
      <selection activeCell="A2" sqref="A2:A4"/>
    </sheetView>
  </sheetViews>
  <sheetFormatPr defaultRowHeight="14.25" customHeight="1" x14ac:dyDescent="0.2"/>
  <cols>
    <col min="1" max="1" width="19.140625" style="559" customWidth="1"/>
    <col min="2" max="5" width="9.140625" style="559"/>
    <col min="6" max="6" width="2.140625" style="559" customWidth="1"/>
    <col min="7" max="9" width="9.140625" style="559"/>
    <col min="10" max="10" width="2.85546875" style="559" customWidth="1"/>
    <col min="11" max="16384" width="9.140625" style="559"/>
  </cols>
  <sheetData>
    <row r="1" spans="1:13" ht="14.25" customHeight="1" x14ac:dyDescent="0.2">
      <c r="A1" s="783" t="s">
        <v>313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</row>
    <row r="2" spans="1:13" ht="14.25" customHeight="1" x14ac:dyDescent="0.2">
      <c r="A2" s="784" t="str">
        <f>'Q8.11'!$A$2</f>
        <v>Área de residência, município e comuna</v>
      </c>
      <c r="B2" s="787" t="s">
        <v>292</v>
      </c>
      <c r="C2" s="790" t="s">
        <v>284</v>
      </c>
      <c r="D2" s="790"/>
      <c r="E2" s="790"/>
      <c r="F2" s="790"/>
      <c r="G2" s="790"/>
      <c r="H2" s="790"/>
      <c r="I2" s="790"/>
      <c r="J2" s="790"/>
      <c r="K2" s="790"/>
      <c r="L2" s="790"/>
      <c r="M2" s="790"/>
    </row>
    <row r="3" spans="1:13" ht="14.25" customHeight="1" x14ac:dyDescent="0.2">
      <c r="A3" s="785"/>
      <c r="B3" s="788"/>
      <c r="C3" s="788" t="s">
        <v>286</v>
      </c>
      <c r="D3" s="788"/>
      <c r="E3" s="788"/>
      <c r="F3" s="535"/>
      <c r="G3" s="788" t="s">
        <v>287</v>
      </c>
      <c r="H3" s="788"/>
      <c r="I3" s="788"/>
      <c r="J3" s="535"/>
      <c r="K3" s="788" t="s">
        <v>288</v>
      </c>
      <c r="L3" s="788"/>
      <c r="M3" s="788"/>
    </row>
    <row r="4" spans="1:13" ht="14.25" customHeight="1" x14ac:dyDescent="0.2">
      <c r="A4" s="786"/>
      <c r="B4" s="789"/>
      <c r="C4" s="536" t="s">
        <v>2</v>
      </c>
      <c r="D4" s="537" t="s">
        <v>3</v>
      </c>
      <c r="E4" s="537" t="s">
        <v>4</v>
      </c>
      <c r="F4" s="538"/>
      <c r="G4" s="536" t="s">
        <v>2</v>
      </c>
      <c r="H4" s="537" t="s">
        <v>3</v>
      </c>
      <c r="I4" s="537" t="s">
        <v>4</v>
      </c>
      <c r="J4" s="538"/>
      <c r="K4" s="536" t="s">
        <v>2</v>
      </c>
      <c r="L4" s="537" t="s">
        <v>3</v>
      </c>
      <c r="M4" s="537" t="s">
        <v>4</v>
      </c>
    </row>
    <row r="5" spans="1:13" ht="14.25" customHeight="1" x14ac:dyDescent="0.2">
      <c r="A5" s="539" t="s">
        <v>32</v>
      </c>
      <c r="B5" s="532">
        <v>145084.37106370166</v>
      </c>
      <c r="C5" s="532">
        <v>74969.013999284332</v>
      </c>
      <c r="D5" s="532">
        <v>35365.076804688913</v>
      </c>
      <c r="E5" s="532">
        <v>39603.937194571343</v>
      </c>
      <c r="F5" s="532"/>
      <c r="G5" s="532">
        <v>10611.426436286003</v>
      </c>
      <c r="H5" s="532">
        <v>5449.4195313155424</v>
      </c>
      <c r="I5" s="532">
        <v>5162.0069049695376</v>
      </c>
      <c r="J5" s="532"/>
      <c r="K5" s="532">
        <v>59503.930627988855</v>
      </c>
      <c r="L5" s="532">
        <v>32117.88514544355</v>
      </c>
      <c r="M5" s="532">
        <v>27386.045482557282</v>
      </c>
    </row>
    <row r="6" spans="1:13" ht="14.25" customHeight="1" x14ac:dyDescent="0.2">
      <c r="A6" s="540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</row>
    <row r="7" spans="1:13" ht="14.25" customHeight="1" x14ac:dyDescent="0.2">
      <c r="A7" s="539" t="s">
        <v>167</v>
      </c>
      <c r="B7" s="532"/>
      <c r="C7" s="532"/>
      <c r="D7" s="532"/>
      <c r="E7" s="532"/>
      <c r="F7" s="532"/>
      <c r="G7" s="532"/>
      <c r="H7" s="532"/>
      <c r="I7" s="532"/>
      <c r="J7" s="532"/>
      <c r="K7" s="532"/>
      <c r="L7" s="532"/>
      <c r="M7" s="532"/>
    </row>
    <row r="8" spans="1:13" ht="14.25" customHeight="1" x14ac:dyDescent="0.2">
      <c r="A8" s="541" t="s">
        <v>8</v>
      </c>
      <c r="B8" s="534">
        <v>37810.939220943481</v>
      </c>
      <c r="C8" s="534">
        <v>32593.733864559224</v>
      </c>
      <c r="D8" s="534">
        <v>14781.764610619761</v>
      </c>
      <c r="E8" s="534">
        <v>17811.969253949908</v>
      </c>
      <c r="F8" s="534"/>
      <c r="G8" s="534">
        <v>2230.7787952155813</v>
      </c>
      <c r="H8" s="534">
        <v>1105.8724232254767</v>
      </c>
      <c r="I8" s="534">
        <v>1124.9063719901151</v>
      </c>
      <c r="J8" s="534"/>
      <c r="K8" s="534">
        <v>2986.4265611716337</v>
      </c>
      <c r="L8" s="534">
        <v>1488.4547933947076</v>
      </c>
      <c r="M8" s="534">
        <v>1497.9717677770268</v>
      </c>
    </row>
    <row r="9" spans="1:13" ht="14.25" customHeight="1" x14ac:dyDescent="0.2">
      <c r="A9" s="541" t="s">
        <v>9</v>
      </c>
      <c r="B9" s="534">
        <v>107273.43184273274</v>
      </c>
      <c r="C9" s="534">
        <v>42375.280134701032</v>
      </c>
      <c r="D9" s="534">
        <v>20583.312194079597</v>
      </c>
      <c r="E9" s="534">
        <v>21791.967940633411</v>
      </c>
      <c r="F9" s="534"/>
      <c r="G9" s="534">
        <v>8380.6476410695886</v>
      </c>
      <c r="H9" s="534">
        <v>4343.5471080901862</v>
      </c>
      <c r="I9" s="534">
        <v>4037.1005329795453</v>
      </c>
      <c r="J9" s="534"/>
      <c r="K9" s="534">
        <v>56517.504066818881</v>
      </c>
      <c r="L9" s="534">
        <v>30629.43035204972</v>
      </c>
      <c r="M9" s="534">
        <v>25888.073714781138</v>
      </c>
    </row>
    <row r="10" spans="1:13" ht="14.25" customHeight="1" x14ac:dyDescent="0.2">
      <c r="A10" s="539" t="s">
        <v>360</v>
      </c>
      <c r="B10" s="532"/>
      <c r="C10" s="532"/>
      <c r="D10" s="532"/>
      <c r="E10" s="532"/>
      <c r="F10" s="532"/>
      <c r="G10" s="532"/>
      <c r="H10" s="532"/>
      <c r="I10" s="532"/>
      <c r="J10" s="532"/>
      <c r="K10" s="532"/>
      <c r="L10" s="532"/>
      <c r="M10" s="532"/>
    </row>
    <row r="11" spans="1:13" ht="14.25" customHeight="1" x14ac:dyDescent="0.2">
      <c r="A11" s="542" t="s">
        <v>11</v>
      </c>
      <c r="B11" s="533">
        <v>20332.064070386521</v>
      </c>
      <c r="C11" s="533">
        <v>12351.129353374572</v>
      </c>
      <c r="D11" s="533">
        <v>5953.8191735783985</v>
      </c>
      <c r="E11" s="533">
        <v>6397.3101797944191</v>
      </c>
      <c r="F11" s="533"/>
      <c r="G11" s="533">
        <v>1600.7550911060739</v>
      </c>
      <c r="H11" s="533">
        <v>812.7496122500462</v>
      </c>
      <c r="I11" s="533">
        <v>788.00547885601634</v>
      </c>
      <c r="J11" s="533"/>
      <c r="K11" s="533">
        <v>6380.1796259062467</v>
      </c>
      <c r="L11" s="533">
        <v>3466.0820700404629</v>
      </c>
      <c r="M11" s="533">
        <v>2914.0975558660166</v>
      </c>
    </row>
    <row r="12" spans="1:13" ht="14.25" customHeight="1" x14ac:dyDescent="0.2">
      <c r="A12" s="940" t="s">
        <v>12</v>
      </c>
      <c r="B12" s="534">
        <v>13677.795582270341</v>
      </c>
      <c r="C12" s="534">
        <v>8451.0732514987758</v>
      </c>
      <c r="D12" s="534">
        <v>3995.2258456973459</v>
      </c>
      <c r="E12" s="534">
        <v>4455.847405801539</v>
      </c>
      <c r="F12" s="534"/>
      <c r="G12" s="534">
        <v>888.88540730859961</v>
      </c>
      <c r="H12" s="534">
        <v>473.94532423948459</v>
      </c>
      <c r="I12" s="534">
        <v>414.94008306910746</v>
      </c>
      <c r="J12" s="534"/>
      <c r="K12" s="534">
        <v>4337.8369234607953</v>
      </c>
      <c r="L12" s="534">
        <v>2301.2044056447348</v>
      </c>
      <c r="M12" s="534">
        <v>2036.6325178162922</v>
      </c>
    </row>
    <row r="13" spans="1:13" ht="14.25" customHeight="1" x14ac:dyDescent="0.2">
      <c r="A13" s="940" t="s">
        <v>13</v>
      </c>
      <c r="B13" s="534">
        <v>6654.2684881170062</v>
      </c>
      <c r="C13" s="534">
        <v>3900.0561018741655</v>
      </c>
      <c r="D13" s="534">
        <v>1958.5933278812749</v>
      </c>
      <c r="E13" s="534">
        <v>1941.4627739931004</v>
      </c>
      <c r="F13" s="534"/>
      <c r="G13" s="534">
        <v>711.86968379746293</v>
      </c>
      <c r="H13" s="534">
        <v>338.80428801055632</v>
      </c>
      <c r="I13" s="534">
        <v>373.06539578690433</v>
      </c>
      <c r="J13" s="534"/>
      <c r="K13" s="534">
        <v>2042.3427024456837</v>
      </c>
      <c r="L13" s="534">
        <v>1164.8776643958556</v>
      </c>
      <c r="M13" s="534">
        <v>877.4650380498166</v>
      </c>
    </row>
    <row r="14" spans="1:13" ht="14.25" customHeight="1" x14ac:dyDescent="0.2">
      <c r="A14" s="542" t="s">
        <v>44</v>
      </c>
      <c r="B14" s="533">
        <v>39643.90848697706</v>
      </c>
      <c r="C14" s="533">
        <v>28832.625588668932</v>
      </c>
      <c r="D14" s="533">
        <v>13323.76413524794</v>
      </c>
      <c r="E14" s="533">
        <v>15508.861453429206</v>
      </c>
      <c r="F14" s="533"/>
      <c r="G14" s="533">
        <v>2758.0191759960007</v>
      </c>
      <c r="H14" s="533">
        <v>1433.2563419772564</v>
      </c>
      <c r="I14" s="533">
        <v>1324.7628340188178</v>
      </c>
      <c r="J14" s="533"/>
      <c r="K14" s="533">
        <v>8053.263722317758</v>
      </c>
      <c r="L14" s="533">
        <v>4297.8656310550596</v>
      </c>
      <c r="M14" s="533">
        <v>3755.3980912629313</v>
      </c>
    </row>
    <row r="15" spans="1:13" ht="14.25" customHeight="1" x14ac:dyDescent="0.2">
      <c r="A15" s="940" t="s">
        <v>15</v>
      </c>
      <c r="B15" s="534">
        <v>31453.600333558068</v>
      </c>
      <c r="C15" s="534">
        <v>24936.376276549789</v>
      </c>
      <c r="D15" s="534">
        <v>11437.499812671604</v>
      </c>
      <c r="E15" s="534">
        <v>13498.876463882676</v>
      </c>
      <c r="F15" s="534"/>
      <c r="G15" s="534">
        <v>2027.115543433973</v>
      </c>
      <c r="H15" s="534">
        <v>1029.7366281669233</v>
      </c>
      <c r="I15" s="534">
        <v>997.37891526703822</v>
      </c>
      <c r="J15" s="534"/>
      <c r="K15" s="534">
        <v>4490.108513577884</v>
      </c>
      <c r="L15" s="534">
        <v>2377.3402007032792</v>
      </c>
      <c r="M15" s="534">
        <v>2112.7683128748376</v>
      </c>
    </row>
    <row r="16" spans="1:13" ht="14.25" customHeight="1" x14ac:dyDescent="0.2">
      <c r="A16" s="940" t="s">
        <v>16</v>
      </c>
      <c r="B16" s="534">
        <v>8190.3081534231378</v>
      </c>
      <c r="C16" s="534">
        <v>3896.2493121212383</v>
      </c>
      <c r="D16" s="534">
        <v>1886.2643225756492</v>
      </c>
      <c r="E16" s="534">
        <v>2009.9849895457985</v>
      </c>
      <c r="F16" s="534"/>
      <c r="G16" s="534">
        <v>730.90363256210128</v>
      </c>
      <c r="H16" s="534">
        <v>403.51971381032479</v>
      </c>
      <c r="I16" s="534">
        <v>327.38391875177365</v>
      </c>
      <c r="J16" s="534"/>
      <c r="K16" s="534">
        <v>3563.1552087401069</v>
      </c>
      <c r="L16" s="534">
        <v>1920.5254303519982</v>
      </c>
      <c r="M16" s="534">
        <v>1642.6297783882783</v>
      </c>
    </row>
    <row r="17" spans="1:18" ht="14.25" customHeight="1" x14ac:dyDescent="0.2">
      <c r="A17" s="542" t="s">
        <v>17</v>
      </c>
      <c r="B17" s="533">
        <v>3100.6302537594502</v>
      </c>
      <c r="C17" s="533">
        <v>820.36319175590154</v>
      </c>
      <c r="D17" s="533">
        <v>403.51971381032479</v>
      </c>
      <c r="E17" s="533">
        <v>416.84347794557124</v>
      </c>
      <c r="F17" s="533"/>
      <c r="G17" s="533">
        <v>62.812030923305571</v>
      </c>
      <c r="H17" s="533">
        <v>30.454318023420857</v>
      </c>
      <c r="I17" s="533">
        <v>32.35771289988466</v>
      </c>
      <c r="J17" s="533"/>
      <c r="K17" s="533">
        <v>2217.4550310803361</v>
      </c>
      <c r="L17" s="533">
        <v>1164.8776643958556</v>
      </c>
      <c r="M17" s="533">
        <v>1052.5773666844893</v>
      </c>
    </row>
    <row r="18" spans="1:18" ht="14.25" customHeight="1" x14ac:dyDescent="0.2">
      <c r="A18" s="940" t="s">
        <v>17</v>
      </c>
      <c r="B18" s="534">
        <v>3100.6302537594502</v>
      </c>
      <c r="C18" s="534">
        <v>820.36319175590154</v>
      </c>
      <c r="D18" s="534">
        <v>403.51971381032479</v>
      </c>
      <c r="E18" s="534">
        <v>416.84347794557124</v>
      </c>
      <c r="F18" s="534"/>
      <c r="G18" s="534">
        <v>62.812030923305571</v>
      </c>
      <c r="H18" s="534">
        <v>30.454318023420857</v>
      </c>
      <c r="I18" s="534">
        <v>32.35771289988466</v>
      </c>
      <c r="J18" s="534"/>
      <c r="K18" s="534">
        <v>2217.4550310803361</v>
      </c>
      <c r="L18" s="534">
        <v>1164.8776643958556</v>
      </c>
      <c r="M18" s="534">
        <v>1052.5773666844893</v>
      </c>
    </row>
    <row r="19" spans="1:18" ht="14.25" customHeight="1" x14ac:dyDescent="0.2">
      <c r="A19" s="542" t="s">
        <v>18</v>
      </c>
      <c r="B19" s="533">
        <v>2826.5413915486906</v>
      </c>
      <c r="C19" s="533">
        <v>515.82001152168789</v>
      </c>
      <c r="D19" s="533">
        <v>243.63454418736723</v>
      </c>
      <c r="E19" s="533">
        <v>272.18546733432407</v>
      </c>
      <c r="F19" s="533"/>
      <c r="G19" s="533">
        <v>95.169743823190288</v>
      </c>
      <c r="H19" s="533">
        <v>45.681477035131309</v>
      </c>
      <c r="I19" s="533">
        <v>49.488266788058922</v>
      </c>
      <c r="J19" s="533"/>
      <c r="K19" s="533">
        <v>2215.5516362038725</v>
      </c>
      <c r="L19" s="533">
        <v>1214.3659311839153</v>
      </c>
      <c r="M19" s="533">
        <v>1001.1857050199659</v>
      </c>
      <c r="R19" s="937"/>
    </row>
    <row r="20" spans="1:18" ht="14.25" customHeight="1" x14ac:dyDescent="0.2">
      <c r="A20" s="940" t="s">
        <v>18</v>
      </c>
      <c r="B20" s="534">
        <v>2826.5413915486906</v>
      </c>
      <c r="C20" s="534">
        <v>515.82001152168789</v>
      </c>
      <c r="D20" s="534">
        <v>243.63454418736723</v>
      </c>
      <c r="E20" s="534">
        <v>272.18546733432407</v>
      </c>
      <c r="F20" s="534"/>
      <c r="G20" s="534">
        <v>95.169743823190288</v>
      </c>
      <c r="H20" s="534">
        <v>45.681477035131309</v>
      </c>
      <c r="I20" s="534">
        <v>49.488266788058922</v>
      </c>
      <c r="J20" s="534"/>
      <c r="K20" s="534">
        <v>2215.5516362038725</v>
      </c>
      <c r="L20" s="534">
        <v>1214.3659311839153</v>
      </c>
      <c r="M20" s="534">
        <v>1001.1857050199659</v>
      </c>
    </row>
    <row r="21" spans="1:18" ht="14.25" customHeight="1" x14ac:dyDescent="0.2">
      <c r="A21" s="542" t="s">
        <v>19</v>
      </c>
      <c r="B21" s="533">
        <v>12442.492307444869</v>
      </c>
      <c r="C21" s="533">
        <v>5561.7198290268952</v>
      </c>
      <c r="D21" s="533">
        <v>2605.7475858789121</v>
      </c>
      <c r="E21" s="533">
        <v>2955.972243148216</v>
      </c>
      <c r="F21" s="533"/>
      <c r="G21" s="533">
        <v>666.18820676233088</v>
      </c>
      <c r="H21" s="533">
        <v>338.80428801055632</v>
      </c>
      <c r="I21" s="533">
        <v>327.38391875177365</v>
      </c>
      <c r="J21" s="533"/>
      <c r="K21" s="533">
        <v>6214.5842716539128</v>
      </c>
      <c r="L21" s="533">
        <v>3285.2595567764201</v>
      </c>
      <c r="M21" s="533">
        <v>2929.3247148777255</v>
      </c>
    </row>
    <row r="22" spans="1:18" ht="14.25" customHeight="1" x14ac:dyDescent="0.2">
      <c r="A22" s="940" t="s">
        <v>19</v>
      </c>
      <c r="B22" s="534">
        <v>7347.1042231497595</v>
      </c>
      <c r="C22" s="534">
        <v>4204.5992821083428</v>
      </c>
      <c r="D22" s="534">
        <v>1956.6899330048111</v>
      </c>
      <c r="E22" s="534">
        <v>2247.9093491037538</v>
      </c>
      <c r="F22" s="534"/>
      <c r="G22" s="534">
        <v>409.22989843971612</v>
      </c>
      <c r="H22" s="534">
        <v>207.47004153455489</v>
      </c>
      <c r="I22" s="534">
        <v>201.75985690516347</v>
      </c>
      <c r="J22" s="534"/>
      <c r="K22" s="534">
        <v>2733.2750426019738</v>
      </c>
      <c r="L22" s="534">
        <v>1398.9952342009074</v>
      </c>
      <c r="M22" s="534">
        <v>1334.279808401137</v>
      </c>
    </row>
    <row r="23" spans="1:18" ht="14.25" customHeight="1" x14ac:dyDescent="0.2">
      <c r="A23" s="940" t="s">
        <v>20</v>
      </c>
      <c r="B23" s="534">
        <v>5095.3880842933113</v>
      </c>
      <c r="C23" s="534">
        <v>1357.120546918703</v>
      </c>
      <c r="D23" s="534">
        <v>649.05765287415636</v>
      </c>
      <c r="E23" s="534">
        <v>708.06289404453526</v>
      </c>
      <c r="F23" s="534"/>
      <c r="G23" s="534">
        <v>256.95830832261385</v>
      </c>
      <c r="H23" s="534">
        <v>131.33424647600262</v>
      </c>
      <c r="I23" s="534">
        <v>125.6240618466112</v>
      </c>
      <c r="J23" s="534"/>
      <c r="K23" s="534">
        <v>3481.3092290521718</v>
      </c>
      <c r="L23" s="534">
        <v>1886.2643225756492</v>
      </c>
      <c r="M23" s="534">
        <v>1595.0449064766824</v>
      </c>
    </row>
    <row r="24" spans="1:18" ht="14.25" customHeight="1" x14ac:dyDescent="0.2">
      <c r="A24" s="542" t="s">
        <v>21</v>
      </c>
      <c r="B24" s="533">
        <v>6208.8740870245219</v>
      </c>
      <c r="C24" s="533">
        <v>3435.6277520170452</v>
      </c>
      <c r="D24" s="533">
        <v>1806.3217377641681</v>
      </c>
      <c r="E24" s="533">
        <v>1629.3060142530314</v>
      </c>
      <c r="F24" s="533"/>
      <c r="G24" s="533">
        <v>432.07063695728147</v>
      </c>
      <c r="H24" s="533">
        <v>216.98701591687393</v>
      </c>
      <c r="I24" s="533">
        <v>215.08362104041012</v>
      </c>
      <c r="J24" s="533"/>
      <c r="K24" s="533">
        <v>2341.1756980504706</v>
      </c>
      <c r="L24" s="533">
        <v>1193.4285875428131</v>
      </c>
      <c r="M24" s="533">
        <v>1147.7471105076811</v>
      </c>
    </row>
    <row r="25" spans="1:18" ht="14.25" customHeight="1" x14ac:dyDescent="0.2">
      <c r="A25" s="940" t="s">
        <v>21</v>
      </c>
      <c r="B25" s="534">
        <v>6208.8740870245219</v>
      </c>
      <c r="C25" s="534">
        <v>3435.6277520170452</v>
      </c>
      <c r="D25" s="534">
        <v>1806.3217377641681</v>
      </c>
      <c r="E25" s="534">
        <v>1629.3060142530314</v>
      </c>
      <c r="F25" s="534"/>
      <c r="G25" s="534">
        <v>432.07063695728147</v>
      </c>
      <c r="H25" s="534">
        <v>216.98701591687393</v>
      </c>
      <c r="I25" s="534">
        <v>215.08362104041012</v>
      </c>
      <c r="J25" s="534"/>
      <c r="K25" s="534">
        <v>2341.1756980504706</v>
      </c>
      <c r="L25" s="534">
        <v>1193.4285875428131</v>
      </c>
      <c r="M25" s="534">
        <v>1147.7471105076811</v>
      </c>
    </row>
    <row r="26" spans="1:18" ht="14.25" customHeight="1" x14ac:dyDescent="0.2">
      <c r="A26" s="542" t="s">
        <v>22</v>
      </c>
      <c r="B26" s="533">
        <v>10316.400230434003</v>
      </c>
      <c r="C26" s="533">
        <v>7278.5820075970696</v>
      </c>
      <c r="D26" s="533">
        <v>3584.0925523812066</v>
      </c>
      <c r="E26" s="533">
        <v>3694.4894552160958</v>
      </c>
      <c r="F26" s="533"/>
      <c r="G26" s="533">
        <v>1063.9977359432723</v>
      </c>
      <c r="H26" s="533">
        <v>529.14377565693474</v>
      </c>
      <c r="I26" s="533">
        <v>534.85396028632624</v>
      </c>
      <c r="J26" s="533"/>
      <c r="K26" s="533">
        <v>1973.8204868929856</v>
      </c>
      <c r="L26" s="533">
        <v>1043.0603923021702</v>
      </c>
      <c r="M26" s="533">
        <v>930.76009459080399</v>
      </c>
    </row>
    <row r="27" spans="1:18" ht="14.25" customHeight="1" x14ac:dyDescent="0.2">
      <c r="A27" s="940" t="s">
        <v>22</v>
      </c>
      <c r="B27" s="534">
        <v>10316.400230434003</v>
      </c>
      <c r="C27" s="534">
        <v>7278.5820075970696</v>
      </c>
      <c r="D27" s="534">
        <v>3584.0925523812066</v>
      </c>
      <c r="E27" s="534">
        <v>3694.4894552160958</v>
      </c>
      <c r="F27" s="534"/>
      <c r="G27" s="534">
        <v>1063.9977359432723</v>
      </c>
      <c r="H27" s="534">
        <v>529.14377565693474</v>
      </c>
      <c r="I27" s="534">
        <v>534.85396028632624</v>
      </c>
      <c r="J27" s="534"/>
      <c r="K27" s="534">
        <v>1973.8204868929856</v>
      </c>
      <c r="L27" s="534">
        <v>1043.0603923021702</v>
      </c>
      <c r="M27" s="534">
        <v>930.76009459080399</v>
      </c>
    </row>
    <row r="28" spans="1:18" ht="14.25" customHeight="1" x14ac:dyDescent="0.2">
      <c r="A28" s="542" t="s">
        <v>23</v>
      </c>
      <c r="B28" s="533">
        <v>14684.69147192007</v>
      </c>
      <c r="C28" s="533">
        <v>5668.3099421088573</v>
      </c>
      <c r="D28" s="533">
        <v>2598.1340063730577</v>
      </c>
      <c r="E28" s="533">
        <v>3070.1759357360324</v>
      </c>
      <c r="F28" s="533"/>
      <c r="G28" s="533">
        <v>1579.8177474649717</v>
      </c>
      <c r="H28" s="533">
        <v>824.16998150882921</v>
      </c>
      <c r="I28" s="533">
        <v>755.64776595613114</v>
      </c>
      <c r="J28" s="533"/>
      <c r="K28" s="533">
        <v>7436.5637823435491</v>
      </c>
      <c r="L28" s="533">
        <v>3997.1292405738095</v>
      </c>
      <c r="M28" s="533">
        <v>3439.4345417699724</v>
      </c>
    </row>
    <row r="29" spans="1:18" ht="14.25" customHeight="1" x14ac:dyDescent="0.2">
      <c r="A29" s="940" t="s">
        <v>23</v>
      </c>
      <c r="B29" s="534">
        <v>7720.1696189366266</v>
      </c>
      <c r="C29" s="534">
        <v>3841.0508607037937</v>
      </c>
      <c r="D29" s="534">
        <v>1737.79952221147</v>
      </c>
      <c r="E29" s="534">
        <v>2103.2513384925196</v>
      </c>
      <c r="F29" s="534"/>
      <c r="G29" s="534">
        <v>902.20917144384646</v>
      </c>
      <c r="H29" s="534">
        <v>483.46229862180348</v>
      </c>
      <c r="I29" s="534">
        <v>418.74687282203502</v>
      </c>
      <c r="J29" s="534"/>
      <c r="K29" s="534">
        <v>2976.9095867893157</v>
      </c>
      <c r="L29" s="534">
        <v>1636.9195937588868</v>
      </c>
      <c r="M29" s="534">
        <v>1339.9899930305285</v>
      </c>
    </row>
    <row r="30" spans="1:18" ht="14.25" customHeight="1" x14ac:dyDescent="0.2">
      <c r="A30" s="940" t="s">
        <v>24</v>
      </c>
      <c r="B30" s="534">
        <v>6964.5218529805743</v>
      </c>
      <c r="C30" s="534">
        <v>1827.2590814052703</v>
      </c>
      <c r="D30" s="534">
        <v>860.33448416164208</v>
      </c>
      <c r="E30" s="534">
        <v>966.92459724361686</v>
      </c>
      <c r="F30" s="534"/>
      <c r="G30" s="534">
        <v>677.60857602111389</v>
      </c>
      <c r="H30" s="534">
        <v>340.7076828870201</v>
      </c>
      <c r="I30" s="534">
        <v>336.90089313409254</v>
      </c>
      <c r="J30" s="534"/>
      <c r="K30" s="534">
        <v>4459.6541955544662</v>
      </c>
      <c r="L30" s="534">
        <v>2360.2096468151067</v>
      </c>
      <c r="M30" s="534">
        <v>2099.4445487395924</v>
      </c>
    </row>
    <row r="31" spans="1:18" ht="14.25" customHeight="1" x14ac:dyDescent="0.2">
      <c r="A31" s="542" t="s">
        <v>25</v>
      </c>
      <c r="B31" s="533">
        <v>1602.6584859825377</v>
      </c>
      <c r="C31" s="533">
        <v>167.49874912881495</v>
      </c>
      <c r="D31" s="533">
        <v>74.232400182088412</v>
      </c>
      <c r="E31" s="533">
        <v>93.266348946726481</v>
      </c>
      <c r="F31" s="533"/>
      <c r="G31" s="533">
        <v>79.942584811479833</v>
      </c>
      <c r="H31" s="533">
        <v>51.391661664522729</v>
      </c>
      <c r="I31" s="533">
        <v>28.550923146957054</v>
      </c>
      <c r="J31" s="533"/>
      <c r="K31" s="533">
        <v>1355.2171520422391</v>
      </c>
      <c r="L31" s="533">
        <v>795.61905836187168</v>
      </c>
      <c r="M31" s="533">
        <v>559.5980936803561</v>
      </c>
    </row>
    <row r="32" spans="1:18" ht="14.25" customHeight="1" x14ac:dyDescent="0.2">
      <c r="A32" s="940" t="s">
        <v>25</v>
      </c>
      <c r="B32" s="534">
        <v>1602.6584859825377</v>
      </c>
      <c r="C32" s="534">
        <v>167.49874912881495</v>
      </c>
      <c r="D32" s="534">
        <v>74.232400182088412</v>
      </c>
      <c r="E32" s="534">
        <v>93.266348946726481</v>
      </c>
      <c r="F32" s="534"/>
      <c r="G32" s="534">
        <v>79.942584811479833</v>
      </c>
      <c r="H32" s="534">
        <v>51.391661664522729</v>
      </c>
      <c r="I32" s="534">
        <v>28.550923146957054</v>
      </c>
      <c r="J32" s="534"/>
      <c r="K32" s="534">
        <v>1355.2171520422391</v>
      </c>
      <c r="L32" s="534">
        <v>795.61905836187168</v>
      </c>
      <c r="M32" s="534">
        <v>559.5980936803561</v>
      </c>
    </row>
    <row r="33" spans="1:13" ht="14.25" customHeight="1" x14ac:dyDescent="0.2">
      <c r="A33" s="542" t="s">
        <v>26</v>
      </c>
      <c r="B33" s="533">
        <v>618.603334850735</v>
      </c>
      <c r="C33" s="533">
        <v>146.56140548771307</v>
      </c>
      <c r="D33" s="533">
        <v>59.005241170377957</v>
      </c>
      <c r="E33" s="533">
        <v>87.55616431733506</v>
      </c>
      <c r="F33" s="533"/>
      <c r="G33" s="533">
        <v>49.488266788058922</v>
      </c>
      <c r="H33" s="533">
        <v>26.64752827049325</v>
      </c>
      <c r="I33" s="533">
        <v>22.840738517565644</v>
      </c>
      <c r="J33" s="533"/>
      <c r="K33" s="533">
        <v>422.55366257496257</v>
      </c>
      <c r="L33" s="533">
        <v>241.73114931090342</v>
      </c>
      <c r="M33" s="533">
        <v>180.8225132640616</v>
      </c>
    </row>
    <row r="34" spans="1:13" ht="14.25" customHeight="1" x14ac:dyDescent="0.2">
      <c r="A34" s="940" t="s">
        <v>26</v>
      </c>
      <c r="B34" s="534">
        <v>618.603334850735</v>
      </c>
      <c r="C34" s="534">
        <v>146.56140548771307</v>
      </c>
      <c r="D34" s="534">
        <v>59.005241170377957</v>
      </c>
      <c r="E34" s="534">
        <v>87.55616431733506</v>
      </c>
      <c r="F34" s="534"/>
      <c r="G34" s="534">
        <v>49.488266788058922</v>
      </c>
      <c r="H34" s="534">
        <v>26.64752827049325</v>
      </c>
      <c r="I34" s="534">
        <v>22.840738517565644</v>
      </c>
      <c r="J34" s="534"/>
      <c r="K34" s="534">
        <v>422.55366257496257</v>
      </c>
      <c r="L34" s="534">
        <v>241.73114931090342</v>
      </c>
      <c r="M34" s="534">
        <v>180.8225132640616</v>
      </c>
    </row>
    <row r="35" spans="1:13" ht="14.25" customHeight="1" x14ac:dyDescent="0.2">
      <c r="A35" s="542" t="s">
        <v>27</v>
      </c>
      <c r="B35" s="533">
        <v>3420.4005930053363</v>
      </c>
      <c r="C35" s="533">
        <v>1507.488742159346</v>
      </c>
      <c r="D35" s="533">
        <v>734.71042231502895</v>
      </c>
      <c r="E35" s="533">
        <v>772.77831984430566</v>
      </c>
      <c r="F35" s="533"/>
      <c r="G35" s="533">
        <v>289.31602122249808</v>
      </c>
      <c r="H35" s="533">
        <v>152.27159011710449</v>
      </c>
      <c r="I35" s="533">
        <v>137.04443110539404</v>
      </c>
      <c r="J35" s="533"/>
      <c r="K35" s="533">
        <v>1623.5958296236399</v>
      </c>
      <c r="L35" s="533">
        <v>881.27182780274427</v>
      </c>
      <c r="M35" s="533">
        <v>742.32400182088429</v>
      </c>
    </row>
    <row r="36" spans="1:13" ht="14.25" customHeight="1" x14ac:dyDescent="0.2">
      <c r="A36" s="940" t="s">
        <v>27</v>
      </c>
      <c r="B36" s="534">
        <v>3420.4005930053363</v>
      </c>
      <c r="C36" s="534">
        <v>1507.488742159346</v>
      </c>
      <c r="D36" s="534">
        <v>734.71042231502895</v>
      </c>
      <c r="E36" s="534">
        <v>772.77831984430566</v>
      </c>
      <c r="F36" s="534"/>
      <c r="G36" s="534">
        <v>289.31602122249808</v>
      </c>
      <c r="H36" s="534">
        <v>152.27159011710449</v>
      </c>
      <c r="I36" s="534">
        <v>137.04443110539404</v>
      </c>
      <c r="J36" s="534"/>
      <c r="K36" s="534">
        <v>1623.5958296236399</v>
      </c>
      <c r="L36" s="534">
        <v>881.27182780274427</v>
      </c>
      <c r="M36" s="534">
        <v>742.32400182088429</v>
      </c>
    </row>
    <row r="37" spans="1:13" ht="14.25" customHeight="1" x14ac:dyDescent="0.2">
      <c r="A37" s="542" t="s">
        <v>28</v>
      </c>
      <c r="B37" s="533">
        <v>7244.3208998207247</v>
      </c>
      <c r="C37" s="533">
        <v>2230.7787952155813</v>
      </c>
      <c r="D37" s="533">
        <v>1001.1857050199659</v>
      </c>
      <c r="E37" s="533">
        <v>1229.593090195626</v>
      </c>
      <c r="F37" s="533"/>
      <c r="G37" s="533">
        <v>517.72340639815172</v>
      </c>
      <c r="H37" s="533">
        <v>270.28207245786029</v>
      </c>
      <c r="I37" s="533">
        <v>247.44133394029484</v>
      </c>
      <c r="J37" s="533"/>
      <c r="K37" s="533">
        <v>4495.8186982072748</v>
      </c>
      <c r="L37" s="533">
        <v>2554.3559242143947</v>
      </c>
      <c r="M37" s="533">
        <v>1941.4627739931004</v>
      </c>
    </row>
    <row r="38" spans="1:13" ht="14.25" customHeight="1" x14ac:dyDescent="0.2">
      <c r="A38" s="940" t="s">
        <v>28</v>
      </c>
      <c r="B38" s="534">
        <v>7244.3208998207247</v>
      </c>
      <c r="C38" s="534">
        <v>2230.7787952155813</v>
      </c>
      <c r="D38" s="534">
        <v>1001.1857050199659</v>
      </c>
      <c r="E38" s="534">
        <v>1229.593090195626</v>
      </c>
      <c r="F38" s="534"/>
      <c r="G38" s="534">
        <v>517.72340639815172</v>
      </c>
      <c r="H38" s="534">
        <v>270.28207245786029</v>
      </c>
      <c r="I38" s="534">
        <v>247.44133394029484</v>
      </c>
      <c r="J38" s="534"/>
      <c r="K38" s="534">
        <v>4495.8186982072748</v>
      </c>
      <c r="L38" s="534">
        <v>2554.3559242143947</v>
      </c>
      <c r="M38" s="534">
        <v>1941.4627739931004</v>
      </c>
    </row>
    <row r="39" spans="1:13" ht="14.25" customHeight="1" x14ac:dyDescent="0.2">
      <c r="A39" s="542" t="s">
        <v>29</v>
      </c>
      <c r="B39" s="533">
        <v>16053.232388098058</v>
      </c>
      <c r="C39" s="533">
        <v>3536.5076804696164</v>
      </c>
      <c r="D39" s="533">
        <v>1669.277306658772</v>
      </c>
      <c r="E39" s="533">
        <v>1867.2303738110108</v>
      </c>
      <c r="F39" s="533"/>
      <c r="G39" s="533">
        <v>818.4597968794377</v>
      </c>
      <c r="H39" s="533">
        <v>397.80952918093345</v>
      </c>
      <c r="I39" s="533">
        <v>420.65026769849879</v>
      </c>
      <c r="J39" s="533"/>
      <c r="K39" s="533">
        <v>11698.264910747243</v>
      </c>
      <c r="L39" s="533">
        <v>6323.0777796123384</v>
      </c>
      <c r="M39" s="533">
        <v>5375.1871311334617</v>
      </c>
    </row>
    <row r="40" spans="1:13" ht="14.25" customHeight="1" x14ac:dyDescent="0.2">
      <c r="A40" s="940" t="s">
        <v>30</v>
      </c>
      <c r="B40" s="534">
        <v>9657.8256031772798</v>
      </c>
      <c r="C40" s="534">
        <v>1935.7525893637089</v>
      </c>
      <c r="D40" s="534">
        <v>898.40238169091879</v>
      </c>
      <c r="E40" s="534">
        <v>1037.3502076727787</v>
      </c>
      <c r="F40" s="534"/>
      <c r="G40" s="534">
        <v>479.65550886887593</v>
      </c>
      <c r="H40" s="534">
        <v>213.18022616394632</v>
      </c>
      <c r="I40" s="534">
        <v>266.47528270493274</v>
      </c>
      <c r="J40" s="534"/>
      <c r="K40" s="534">
        <v>7242.4175049442611</v>
      </c>
      <c r="L40" s="534">
        <v>3881.0221531095294</v>
      </c>
      <c r="M40" s="534">
        <v>3361.3953518349645</v>
      </c>
    </row>
    <row r="41" spans="1:13" ht="14.25" customHeight="1" x14ac:dyDescent="0.2">
      <c r="A41" s="940" t="s">
        <v>29</v>
      </c>
      <c r="B41" s="534">
        <v>6395.4067849179555</v>
      </c>
      <c r="C41" s="534">
        <v>1600.7550911060739</v>
      </c>
      <c r="D41" s="534">
        <v>770.87492496784182</v>
      </c>
      <c r="E41" s="534">
        <v>829.88016613822072</v>
      </c>
      <c r="F41" s="534"/>
      <c r="G41" s="534">
        <v>338.80428801055632</v>
      </c>
      <c r="H41" s="534">
        <v>184.62930301698921</v>
      </c>
      <c r="I41" s="534">
        <v>154.1749849935683</v>
      </c>
      <c r="J41" s="534"/>
      <c r="K41" s="534">
        <v>4455.847405801539</v>
      </c>
      <c r="L41" s="534">
        <v>2442.0556265030418</v>
      </c>
      <c r="M41" s="534">
        <v>2013.7917792987262</v>
      </c>
    </row>
    <row r="42" spans="1:13" ht="14.25" customHeight="1" x14ac:dyDescent="0.2">
      <c r="A42" s="542" t="s">
        <v>31</v>
      </c>
      <c r="B42" s="533">
        <v>6589.5530623172435</v>
      </c>
      <c r="C42" s="533">
        <v>2916.0009507424802</v>
      </c>
      <c r="D42" s="533">
        <v>1307.6322801306433</v>
      </c>
      <c r="E42" s="533">
        <v>1608.3686706119292</v>
      </c>
      <c r="F42" s="533"/>
      <c r="G42" s="533">
        <v>597.66599120963281</v>
      </c>
      <c r="H42" s="533">
        <v>319.77033924591854</v>
      </c>
      <c r="I42" s="533">
        <v>277.89565196371541</v>
      </c>
      <c r="J42" s="533"/>
      <c r="K42" s="533">
        <v>3075.8861203654233</v>
      </c>
      <c r="L42" s="533">
        <v>1659.7603322764528</v>
      </c>
      <c r="M42" s="533">
        <v>1416.1257880890819</v>
      </c>
    </row>
    <row r="43" spans="1:13" ht="14.25" customHeight="1" x14ac:dyDescent="0.2">
      <c r="A43" s="940" t="s">
        <v>31</v>
      </c>
      <c r="B43" s="534">
        <v>6589.5530623172435</v>
      </c>
      <c r="C43" s="534">
        <v>2916.0009507424802</v>
      </c>
      <c r="D43" s="534">
        <v>1307.6322801306433</v>
      </c>
      <c r="E43" s="534">
        <v>1608.3686706119292</v>
      </c>
      <c r="F43" s="534"/>
      <c r="G43" s="534">
        <v>597.66599120963281</v>
      </c>
      <c r="H43" s="534">
        <v>319.77033924591854</v>
      </c>
      <c r="I43" s="534">
        <v>277.89565196371541</v>
      </c>
      <c r="J43" s="534"/>
      <c r="K43" s="534">
        <v>3075.8861203654233</v>
      </c>
      <c r="L43" s="534">
        <v>1659.7603322764528</v>
      </c>
      <c r="M43" s="534">
        <v>1416.1257880890819</v>
      </c>
    </row>
  </sheetData>
  <mergeCells count="7">
    <mergeCell ref="A1:M1"/>
    <mergeCell ref="A2:A4"/>
    <mergeCell ref="B2:B4"/>
    <mergeCell ref="C2:M2"/>
    <mergeCell ref="C3:E3"/>
    <mergeCell ref="G3:I3"/>
    <mergeCell ref="K3:M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Z46"/>
  <sheetViews>
    <sheetView workbookViewId="0">
      <selection activeCell="A2" sqref="A2:A4"/>
    </sheetView>
  </sheetViews>
  <sheetFormatPr defaultRowHeight="12" x14ac:dyDescent="0.2"/>
  <cols>
    <col min="1" max="1" width="16.42578125" style="575" customWidth="1"/>
    <col min="2" max="2" width="10.5703125" style="575" customWidth="1"/>
    <col min="3" max="3" width="13.85546875" style="575" customWidth="1"/>
    <col min="4" max="16384" width="9.140625" style="575"/>
  </cols>
  <sheetData>
    <row r="1" spans="1:26" x14ac:dyDescent="0.2">
      <c r="A1" s="792" t="s">
        <v>314</v>
      </c>
      <c r="B1" s="792"/>
      <c r="C1" s="792"/>
      <c r="D1" s="792"/>
      <c r="E1" s="792"/>
      <c r="F1" s="792"/>
      <c r="G1" s="792"/>
      <c r="H1" s="792"/>
      <c r="I1" s="792"/>
      <c r="J1" s="792"/>
      <c r="K1" s="792"/>
      <c r="L1" s="792"/>
      <c r="M1" s="792"/>
      <c r="N1" s="792"/>
      <c r="O1" s="792"/>
      <c r="P1" s="792"/>
      <c r="Q1" s="792"/>
      <c r="R1" s="792"/>
      <c r="S1" s="792"/>
      <c r="T1" s="792"/>
      <c r="U1" s="792"/>
      <c r="V1" s="792"/>
      <c r="W1" s="792"/>
      <c r="X1" s="792"/>
      <c r="Y1" s="792"/>
      <c r="Z1" s="792"/>
    </row>
    <row r="2" spans="1:26" ht="12" customHeight="1" x14ac:dyDescent="0.2">
      <c r="A2" s="784" t="str">
        <f>'Q8.11'!$A$2</f>
        <v>Área de residência, município e comuna</v>
      </c>
      <c r="B2" s="791" t="s">
        <v>315</v>
      </c>
      <c r="C2" s="795" t="s">
        <v>316</v>
      </c>
      <c r="D2" s="791" t="s">
        <v>317</v>
      </c>
      <c r="E2" s="791"/>
      <c r="F2" s="791"/>
      <c r="G2" s="791"/>
      <c r="H2" s="791"/>
      <c r="I2" s="791"/>
      <c r="J2" s="791"/>
      <c r="K2" s="791"/>
      <c r="L2" s="791"/>
      <c r="M2" s="791"/>
      <c r="N2" s="791"/>
      <c r="O2" s="791"/>
      <c r="P2" s="791"/>
      <c r="Q2" s="791"/>
      <c r="R2" s="791"/>
      <c r="S2" s="791"/>
      <c r="T2" s="791"/>
      <c r="U2" s="791"/>
      <c r="V2" s="791"/>
      <c r="W2" s="791"/>
      <c r="X2" s="791"/>
      <c r="Y2" s="791"/>
      <c r="Z2" s="791"/>
    </row>
    <row r="3" spans="1:26" x14ac:dyDescent="0.2">
      <c r="A3" s="785"/>
      <c r="B3" s="793"/>
      <c r="C3" s="796"/>
      <c r="D3" s="791" t="s">
        <v>318</v>
      </c>
      <c r="E3" s="791"/>
      <c r="F3" s="791"/>
      <c r="G3" s="487"/>
      <c r="H3" s="791" t="s">
        <v>310</v>
      </c>
      <c r="I3" s="791"/>
      <c r="J3" s="791"/>
      <c r="K3" s="487"/>
      <c r="L3" s="791" t="s">
        <v>311</v>
      </c>
      <c r="M3" s="791"/>
      <c r="N3" s="791"/>
      <c r="O3" s="487"/>
      <c r="P3" s="791" t="s">
        <v>319</v>
      </c>
      <c r="Q3" s="791"/>
      <c r="R3" s="791"/>
      <c r="S3" s="487"/>
      <c r="T3" s="791" t="s">
        <v>320</v>
      </c>
      <c r="U3" s="791"/>
      <c r="V3" s="791"/>
      <c r="W3" s="487"/>
      <c r="X3" s="791" t="s">
        <v>163</v>
      </c>
      <c r="Y3" s="791"/>
      <c r="Z3" s="791"/>
    </row>
    <row r="4" spans="1:26" x14ac:dyDescent="0.2">
      <c r="A4" s="786"/>
      <c r="B4" s="794"/>
      <c r="C4" s="797"/>
      <c r="D4" s="173" t="s">
        <v>2</v>
      </c>
      <c r="E4" s="174" t="s">
        <v>3</v>
      </c>
      <c r="F4" s="174" t="s">
        <v>4</v>
      </c>
      <c r="G4" s="488"/>
      <c r="H4" s="173" t="s">
        <v>2</v>
      </c>
      <c r="I4" s="174" t="s">
        <v>3</v>
      </c>
      <c r="J4" s="174" t="s">
        <v>4</v>
      </c>
      <c r="K4" s="488"/>
      <c r="L4" s="173" t="s">
        <v>2</v>
      </c>
      <c r="M4" s="174" t="s">
        <v>3</v>
      </c>
      <c r="N4" s="174" t="s">
        <v>4</v>
      </c>
      <c r="O4" s="488"/>
      <c r="P4" s="173" t="s">
        <v>2</v>
      </c>
      <c r="Q4" s="174" t="s">
        <v>3</v>
      </c>
      <c r="R4" s="174" t="s">
        <v>4</v>
      </c>
      <c r="S4" s="488"/>
      <c r="T4" s="173" t="s">
        <v>2</v>
      </c>
      <c r="U4" s="174" t="s">
        <v>3</v>
      </c>
      <c r="V4" s="174" t="s">
        <v>4</v>
      </c>
      <c r="W4" s="488"/>
      <c r="X4" s="173" t="s">
        <v>2</v>
      </c>
      <c r="Y4" s="174" t="s">
        <v>3</v>
      </c>
      <c r="Z4" s="174" t="s">
        <v>4</v>
      </c>
    </row>
    <row r="5" spans="1:26" x14ac:dyDescent="0.2">
      <c r="A5" s="175" t="s">
        <v>32</v>
      </c>
      <c r="B5" s="146">
        <v>807670.401123686</v>
      </c>
      <c r="C5" s="146">
        <v>467093.38215147</v>
      </c>
      <c r="D5" s="146">
        <v>117072.93198140984</v>
      </c>
      <c r="E5" s="146">
        <v>54604.520908368606</v>
      </c>
      <c r="F5" s="146">
        <v>62468.411073007766</v>
      </c>
      <c r="G5" s="146"/>
      <c r="H5" s="146">
        <v>122453.844465104</v>
      </c>
      <c r="I5" s="146">
        <v>58655.42767356152</v>
      </c>
      <c r="J5" s="146">
        <v>63798.416791504664</v>
      </c>
      <c r="K5" s="146"/>
      <c r="L5" s="146">
        <v>79122.832551609928</v>
      </c>
      <c r="M5" s="146">
        <v>40636.7102069834</v>
      </c>
      <c r="N5" s="146">
        <v>38486.122344611591</v>
      </c>
      <c r="O5" s="146"/>
      <c r="P5" s="146">
        <v>12777.824390104459</v>
      </c>
      <c r="Q5" s="146">
        <v>7265.0261789059023</v>
      </c>
      <c r="R5" s="146">
        <v>5512.7982111988713</v>
      </c>
      <c r="S5" s="146"/>
      <c r="T5" s="146">
        <v>135240.97057451177</v>
      </c>
      <c r="U5" s="146">
        <v>62466.543519286686</v>
      </c>
      <c r="V5" s="146">
        <v>72774.427055197448</v>
      </c>
      <c r="W5" s="146"/>
      <c r="X5" s="146">
        <v>424.97819009218227</v>
      </c>
      <c r="Y5" s="146">
        <v>202.26234715617139</v>
      </c>
      <c r="Z5" s="146">
        <v>222.71584293600893</v>
      </c>
    </row>
    <row r="6" spans="1:26" x14ac:dyDescent="0.2">
      <c r="A6" s="176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">
      <c r="A7" s="175" t="s">
        <v>138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spans="1:26" x14ac:dyDescent="0.2">
      <c r="A8" s="177" t="s">
        <v>8</v>
      </c>
      <c r="B8" s="45">
        <v>223871.67421821834</v>
      </c>
      <c r="C8" s="45">
        <v>199824.65239458726</v>
      </c>
      <c r="D8" s="45">
        <v>40080.640597807083</v>
      </c>
      <c r="E8" s="45">
        <v>17586.278811448537</v>
      </c>
      <c r="F8" s="45">
        <v>22494.361786357891</v>
      </c>
      <c r="G8" s="45"/>
      <c r="H8" s="45">
        <v>62375.18498820567</v>
      </c>
      <c r="I8" s="45">
        <v>29425.490766883209</v>
      </c>
      <c r="J8" s="45">
        <v>32949.694221319362</v>
      </c>
      <c r="K8" s="45"/>
      <c r="L8" s="45">
        <v>64812.279884011601</v>
      </c>
      <c r="M8" s="45">
        <v>32911.945979731376</v>
      </c>
      <c r="N8" s="45">
        <v>31900.333904278425</v>
      </c>
      <c r="O8" s="45"/>
      <c r="P8" s="45">
        <v>12040.195964928307</v>
      </c>
      <c r="Q8" s="45">
        <v>6733.9451613330111</v>
      </c>
      <c r="R8" s="45">
        <v>5306.2508035954306</v>
      </c>
      <c r="S8" s="45"/>
      <c r="T8" s="45">
        <v>20425.44653415422</v>
      </c>
      <c r="U8" s="45">
        <v>8190.8083309731519</v>
      </c>
      <c r="V8" s="45">
        <v>12234.638203182587</v>
      </c>
      <c r="W8" s="45"/>
      <c r="X8" s="45">
        <v>90.904425688166995</v>
      </c>
      <c r="Y8" s="45">
        <v>43.179602201879334</v>
      </c>
      <c r="Z8" s="45">
        <v>47.72482348628769</v>
      </c>
    </row>
    <row r="9" spans="1:26" x14ac:dyDescent="0.2">
      <c r="A9" s="177" t="s">
        <v>9</v>
      </c>
      <c r="B9" s="45">
        <v>583798.72690006415</v>
      </c>
      <c r="C9" s="45">
        <v>267268.729757439</v>
      </c>
      <c r="D9" s="45">
        <v>76992.291383578151</v>
      </c>
      <c r="E9" s="45">
        <v>37018.242096919268</v>
      </c>
      <c r="F9" s="45">
        <v>39974.049286648878</v>
      </c>
      <c r="G9" s="45"/>
      <c r="H9" s="45">
        <v>60078.659476860361</v>
      </c>
      <c r="I9" s="45">
        <v>29229.936906676961</v>
      </c>
      <c r="J9" s="45">
        <v>30848.722570182967</v>
      </c>
      <c r="K9" s="45"/>
      <c r="L9" s="45">
        <v>14310.552667584601</v>
      </c>
      <c r="M9" s="45">
        <v>7724.7642272526373</v>
      </c>
      <c r="N9" s="45">
        <v>6585.7884403330918</v>
      </c>
      <c r="O9" s="45"/>
      <c r="P9" s="45">
        <v>737.62842517620743</v>
      </c>
      <c r="Q9" s="45">
        <v>531.0810175727978</v>
      </c>
      <c r="R9" s="45">
        <v>206.54740760340852</v>
      </c>
      <c r="S9" s="45"/>
      <c r="T9" s="45">
        <v>114815.52404036366</v>
      </c>
      <c r="U9" s="45">
        <v>54275.735188314902</v>
      </c>
      <c r="V9" s="45">
        <v>60539.788852010563</v>
      </c>
      <c r="W9" s="45"/>
      <c r="X9" s="45">
        <v>334.0737644040143</v>
      </c>
      <c r="Y9" s="45">
        <v>159.08274495429214</v>
      </c>
      <c r="Z9" s="45">
        <v>174.99101944972134</v>
      </c>
    </row>
    <row r="10" spans="1:26" ht="17.25" customHeight="1" x14ac:dyDescent="0.2">
      <c r="A10" s="231" t="s">
        <v>361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</row>
    <row r="11" spans="1:26" x14ac:dyDescent="0.2">
      <c r="A11" s="176" t="s">
        <v>11</v>
      </c>
      <c r="B11" s="43">
        <v>108857.14979492174</v>
      </c>
      <c r="C11" s="43">
        <v>68866.776471539401</v>
      </c>
      <c r="D11" s="43">
        <v>18620.520080945709</v>
      </c>
      <c r="E11" s="43">
        <v>8280.7462062244176</v>
      </c>
      <c r="F11" s="43">
        <v>10339.773874722343</v>
      </c>
      <c r="G11" s="43"/>
      <c r="H11" s="43">
        <v>16944.207916130104</v>
      </c>
      <c r="I11" s="43">
        <v>7763.3830656854889</v>
      </c>
      <c r="J11" s="43">
        <v>9180.8248504459443</v>
      </c>
      <c r="K11" s="43"/>
      <c r="L11" s="43">
        <v>10953.31256506199</v>
      </c>
      <c r="M11" s="43">
        <v>5363.2426504460855</v>
      </c>
      <c r="N11" s="43">
        <v>5590.0699146161742</v>
      </c>
      <c r="O11" s="43"/>
      <c r="P11" s="43">
        <v>1186.59580725353</v>
      </c>
      <c r="Q11" s="43">
        <v>720.8915757782338</v>
      </c>
      <c r="R11" s="43">
        <v>465.70423147529402</v>
      </c>
      <c r="S11" s="43"/>
      <c r="T11" s="43">
        <v>21132.596163795188</v>
      </c>
      <c r="U11" s="43">
        <v>9374.1934907308842</v>
      </c>
      <c r="V11" s="43">
        <v>11758.402673065952</v>
      </c>
      <c r="W11" s="43"/>
      <c r="X11" s="44">
        <v>29.543938348654272</v>
      </c>
      <c r="Y11" s="44">
        <v>11.363053211020874</v>
      </c>
      <c r="Z11" s="44">
        <v>18.1808851376334</v>
      </c>
    </row>
    <row r="12" spans="1:26" x14ac:dyDescent="0.2">
      <c r="A12" s="941" t="s">
        <v>12</v>
      </c>
      <c r="B12" s="45">
        <v>65433.287295976836</v>
      </c>
      <c r="C12" s="45">
        <v>42723.828200588883</v>
      </c>
      <c r="D12" s="45">
        <v>10711.112300357287</v>
      </c>
      <c r="E12" s="45">
        <v>4731.5316314810498</v>
      </c>
      <c r="F12" s="45">
        <v>5979.5806688763805</v>
      </c>
      <c r="G12" s="45"/>
      <c r="H12" s="45">
        <v>11076.56370634849</v>
      </c>
      <c r="I12" s="45">
        <v>5198.4978544464584</v>
      </c>
      <c r="J12" s="45">
        <v>5878.0658519023655</v>
      </c>
      <c r="K12" s="45"/>
      <c r="L12" s="45">
        <v>8723.1851691567826</v>
      </c>
      <c r="M12" s="45">
        <v>4380.33386736991</v>
      </c>
      <c r="N12" s="45">
        <v>4342.8513017866035</v>
      </c>
      <c r="O12" s="45"/>
      <c r="P12" s="45">
        <v>1124.8738335232947</v>
      </c>
      <c r="Q12" s="45">
        <v>693.3467988795328</v>
      </c>
      <c r="R12" s="45">
        <v>431.52703464376009</v>
      </c>
      <c r="S12" s="45"/>
      <c r="T12" s="45">
        <v>11076.730137992965</v>
      </c>
      <c r="U12" s="45">
        <v>4938.9066104041376</v>
      </c>
      <c r="V12" s="45">
        <v>6137.823527588891</v>
      </c>
      <c r="W12" s="45"/>
      <c r="X12" s="46">
        <v>11.363053211020874</v>
      </c>
      <c r="Y12" s="46">
        <v>6.8178319266125254</v>
      </c>
      <c r="Z12" s="46">
        <v>4.5452212844083499</v>
      </c>
    </row>
    <row r="13" spans="1:26" x14ac:dyDescent="0.2">
      <c r="A13" s="941" t="s">
        <v>13</v>
      </c>
      <c r="B13" s="45">
        <v>43423.862498909642</v>
      </c>
      <c r="C13" s="45">
        <v>26142.948270947829</v>
      </c>
      <c r="D13" s="45">
        <v>7909.4077805894649</v>
      </c>
      <c r="E13" s="45">
        <v>3549.2145747430327</v>
      </c>
      <c r="F13" s="45">
        <v>4360.1932058460879</v>
      </c>
      <c r="G13" s="45"/>
      <c r="H13" s="45">
        <v>5867.6442097824765</v>
      </c>
      <c r="I13" s="45">
        <v>2564.8852112388045</v>
      </c>
      <c r="J13" s="45">
        <v>3302.7589985435293</v>
      </c>
      <c r="K13" s="45"/>
      <c r="L13" s="45">
        <v>2230.1273959055443</v>
      </c>
      <c r="M13" s="45">
        <v>982.90878307607602</v>
      </c>
      <c r="N13" s="45">
        <v>1247.2186128294704</v>
      </c>
      <c r="O13" s="45"/>
      <c r="P13" s="45">
        <v>61.721973730234794</v>
      </c>
      <c r="Q13" s="45">
        <v>27.544776898700739</v>
      </c>
      <c r="R13" s="45">
        <v>34.177196831534019</v>
      </c>
      <c r="S13" s="45"/>
      <c r="T13" s="45">
        <v>10055.866025803889</v>
      </c>
      <c r="U13" s="45">
        <v>4435.2868803264155</v>
      </c>
      <c r="V13" s="45">
        <v>5620.5791454773625</v>
      </c>
      <c r="W13" s="45"/>
      <c r="X13" s="46">
        <v>18.1808851376334</v>
      </c>
      <c r="Y13" s="46">
        <v>4.5452212844083499</v>
      </c>
      <c r="Z13" s="46">
        <v>13.635663853225049</v>
      </c>
    </row>
    <row r="14" spans="1:26" x14ac:dyDescent="0.2">
      <c r="A14" s="176" t="s">
        <v>44</v>
      </c>
      <c r="B14" s="43">
        <v>238705.90938477992</v>
      </c>
      <c r="C14" s="43">
        <v>186761.44900523001</v>
      </c>
      <c r="D14" s="43">
        <v>41512.375567456016</v>
      </c>
      <c r="E14" s="43">
        <v>18750.9932180797</v>
      </c>
      <c r="F14" s="43">
        <v>22761.382349376188</v>
      </c>
      <c r="G14" s="43"/>
      <c r="H14" s="43">
        <v>51421.919666223461</v>
      </c>
      <c r="I14" s="43">
        <v>24402.883666725647</v>
      </c>
      <c r="J14" s="43">
        <v>27019.035999494539</v>
      </c>
      <c r="K14" s="43"/>
      <c r="L14" s="43">
        <v>45865.334073760467</v>
      </c>
      <c r="M14" s="43">
        <v>23210.095457785133</v>
      </c>
      <c r="N14" s="43">
        <v>22655.238615974195</v>
      </c>
      <c r="O14" s="43"/>
      <c r="P14" s="43">
        <v>9447.1593890844488</v>
      </c>
      <c r="Q14" s="43">
        <v>5112.0200271133626</v>
      </c>
      <c r="R14" s="43">
        <v>4335.1393619707005</v>
      </c>
      <c r="S14" s="43"/>
      <c r="T14" s="43">
        <v>38394.211944831892</v>
      </c>
      <c r="U14" s="43">
        <v>17284.084499520497</v>
      </c>
      <c r="V14" s="43">
        <v>21110.127445312606</v>
      </c>
      <c r="W14" s="43"/>
      <c r="X14" s="44">
        <v>120.44836403682122</v>
      </c>
      <c r="Y14" s="44">
        <v>59.08787669730858</v>
      </c>
      <c r="Z14" s="44">
        <v>61.360487339512758</v>
      </c>
    </row>
    <row r="15" spans="1:26" x14ac:dyDescent="0.2">
      <c r="A15" s="941" t="s">
        <v>15</v>
      </c>
      <c r="B15" s="45">
        <v>195239.70785220026</v>
      </c>
      <c r="C15" s="45">
        <v>163396.77157395132</v>
      </c>
      <c r="D15" s="45">
        <v>35099.936399804268</v>
      </c>
      <c r="E15" s="45">
        <v>15663.115598446004</v>
      </c>
      <c r="F15" s="45">
        <v>19436.820801358052</v>
      </c>
      <c r="G15" s="45"/>
      <c r="H15" s="45">
        <v>46629.998247199394</v>
      </c>
      <c r="I15" s="45">
        <v>22117.672423696175</v>
      </c>
      <c r="J15" s="45">
        <v>24512.325823499945</v>
      </c>
      <c r="K15" s="45"/>
      <c r="L15" s="45">
        <v>44804.402638101536</v>
      </c>
      <c r="M15" s="45">
        <v>22622.544156168198</v>
      </c>
      <c r="N15" s="45">
        <v>22181.858481932199</v>
      </c>
      <c r="O15" s="45"/>
      <c r="P15" s="45">
        <v>9385.6148458497337</v>
      </c>
      <c r="Q15" s="45">
        <v>5064.1551663310911</v>
      </c>
      <c r="R15" s="45">
        <v>4321.4596795182379</v>
      </c>
      <c r="S15" s="45"/>
      <c r="T15" s="45">
        <v>27381.369796095401</v>
      </c>
      <c r="U15" s="45">
        <v>11883.782386816709</v>
      </c>
      <c r="V15" s="45">
        <v>15497.587409280321</v>
      </c>
      <c r="W15" s="45"/>
      <c r="X15" s="46">
        <v>95.449646972575337</v>
      </c>
      <c r="Y15" s="46">
        <v>45.452212844083512</v>
      </c>
      <c r="Z15" s="46">
        <v>49.997434128491868</v>
      </c>
    </row>
    <row r="16" spans="1:26" x14ac:dyDescent="0.2">
      <c r="A16" s="941" t="s">
        <v>16</v>
      </c>
      <c r="B16" s="45">
        <v>43466.201532752821</v>
      </c>
      <c r="C16" s="45">
        <v>23364.677431369986</v>
      </c>
      <c r="D16" s="45">
        <v>6412.4391676515497</v>
      </c>
      <c r="E16" s="45">
        <v>3087.8776196335293</v>
      </c>
      <c r="F16" s="45">
        <v>3324.5615480178444</v>
      </c>
      <c r="G16" s="45"/>
      <c r="H16" s="45">
        <v>4791.9214190240664</v>
      </c>
      <c r="I16" s="45">
        <v>2285.2112430294524</v>
      </c>
      <c r="J16" s="45">
        <v>2506.7101759945836</v>
      </c>
      <c r="K16" s="45"/>
      <c r="L16" s="45">
        <v>1060.9314356589834</v>
      </c>
      <c r="M16" s="45">
        <v>587.55130161696832</v>
      </c>
      <c r="N16" s="45">
        <v>473.3801340420124</v>
      </c>
      <c r="O16" s="45"/>
      <c r="P16" s="45">
        <v>61.544543234724266</v>
      </c>
      <c r="Q16" s="45">
        <v>47.864860782263513</v>
      </c>
      <c r="R16" s="45">
        <v>13.679682452460744</v>
      </c>
      <c r="S16" s="45"/>
      <c r="T16" s="45">
        <v>11012.842148737362</v>
      </c>
      <c r="U16" s="45">
        <v>5400.3021127044731</v>
      </c>
      <c r="V16" s="45">
        <v>5612.5400360330577</v>
      </c>
      <c r="W16" s="45"/>
      <c r="X16" s="46">
        <v>24.998717064245923</v>
      </c>
      <c r="Y16" s="46">
        <v>13.635663853225049</v>
      </c>
      <c r="Z16" s="46">
        <v>11.363053211020874</v>
      </c>
    </row>
    <row r="17" spans="1:26" x14ac:dyDescent="0.2">
      <c r="A17" s="176" t="s">
        <v>17</v>
      </c>
      <c r="B17" s="43">
        <v>15100.192777778104</v>
      </c>
      <c r="C17" s="43">
        <v>4941.727107534276</v>
      </c>
      <c r="D17" s="43">
        <v>650.59371044947841</v>
      </c>
      <c r="E17" s="43">
        <v>294.13407243429907</v>
      </c>
      <c r="F17" s="43">
        <v>356.45963801517831</v>
      </c>
      <c r="G17" s="43"/>
      <c r="H17" s="43">
        <v>1863.5281656632947</v>
      </c>
      <c r="I17" s="43">
        <v>1002.0899167092481</v>
      </c>
      <c r="J17" s="43">
        <v>861.43824895404885</v>
      </c>
      <c r="K17" s="43"/>
      <c r="L17" s="43">
        <v>1663.8112733090184</v>
      </c>
      <c r="M17" s="43">
        <v>990.28020201830248</v>
      </c>
      <c r="N17" s="43">
        <v>673.53107129071554</v>
      </c>
      <c r="O17" s="43"/>
      <c r="P17" s="43">
        <v>274.49104186060993</v>
      </c>
      <c r="Q17" s="43">
        <v>179.43175253668244</v>
      </c>
      <c r="R17" s="44">
        <v>95.059289323927246</v>
      </c>
      <c r="S17" s="43"/>
      <c r="T17" s="43">
        <v>482.48508432518901</v>
      </c>
      <c r="U17" s="43">
        <v>281.88707928828381</v>
      </c>
      <c r="V17" s="43">
        <v>200.59800503690565</v>
      </c>
      <c r="W17" s="43"/>
      <c r="X17" s="44">
        <v>6.8178319266125254</v>
      </c>
      <c r="Y17" s="44">
        <v>0</v>
      </c>
      <c r="Z17" s="44">
        <v>6.8178319266125254</v>
      </c>
    </row>
    <row r="18" spans="1:26" x14ac:dyDescent="0.2">
      <c r="A18" s="941" t="s">
        <v>17</v>
      </c>
      <c r="B18" s="45">
        <v>15100.192777778104</v>
      </c>
      <c r="C18" s="45">
        <v>4941.727107534276</v>
      </c>
      <c r="D18" s="45">
        <v>650.59371044947841</v>
      </c>
      <c r="E18" s="45">
        <v>294.13407243429907</v>
      </c>
      <c r="F18" s="45">
        <v>356.45963801517831</v>
      </c>
      <c r="G18" s="45"/>
      <c r="H18" s="45">
        <v>1863.5281656632947</v>
      </c>
      <c r="I18" s="45">
        <v>1002.0899167092481</v>
      </c>
      <c r="J18" s="45">
        <v>861.43824895404885</v>
      </c>
      <c r="K18" s="45"/>
      <c r="L18" s="45">
        <v>1663.8112733090184</v>
      </c>
      <c r="M18" s="45">
        <v>990.28020201830248</v>
      </c>
      <c r="N18" s="45">
        <v>673.53107129071554</v>
      </c>
      <c r="O18" s="45"/>
      <c r="P18" s="45">
        <v>274.49104186060993</v>
      </c>
      <c r="Q18" s="45">
        <v>179.43175253668244</v>
      </c>
      <c r="R18" s="46">
        <v>95.059289323927246</v>
      </c>
      <c r="S18" s="45"/>
      <c r="T18" s="45">
        <v>482.48508432518901</v>
      </c>
      <c r="U18" s="45">
        <v>281.88707928828381</v>
      </c>
      <c r="V18" s="45">
        <v>200.59800503690565</v>
      </c>
      <c r="W18" s="45"/>
      <c r="X18" s="46">
        <v>6.8178319266125254</v>
      </c>
      <c r="Y18" s="46">
        <v>0</v>
      </c>
      <c r="Z18" s="46">
        <v>6.8178319266125254</v>
      </c>
    </row>
    <row r="19" spans="1:26" x14ac:dyDescent="0.2">
      <c r="A19" s="176" t="s">
        <v>18</v>
      </c>
      <c r="B19" s="43">
        <v>15746.488117805102</v>
      </c>
      <c r="C19" s="43">
        <v>3031.0758010375571</v>
      </c>
      <c r="D19" s="43">
        <v>663.05339992349218</v>
      </c>
      <c r="E19" s="43">
        <v>369.10624847674541</v>
      </c>
      <c r="F19" s="43">
        <v>293.94715144674495</v>
      </c>
      <c r="G19" s="43"/>
      <c r="H19" s="43">
        <v>840.0147720970507</v>
      </c>
      <c r="I19" s="43">
        <v>461.26923148781879</v>
      </c>
      <c r="J19" s="43">
        <v>378.74554060922998</v>
      </c>
      <c r="K19" s="43"/>
      <c r="L19" s="43">
        <v>391.92173556225595</v>
      </c>
      <c r="M19" s="43">
        <v>272.02023873695941</v>
      </c>
      <c r="N19" s="43">
        <v>119.90149682529598</v>
      </c>
      <c r="O19" s="43"/>
      <c r="P19" s="43">
        <v>15.545002772431152</v>
      </c>
      <c r="Q19" s="43">
        <v>15.545002772431152</v>
      </c>
      <c r="R19" s="44">
        <v>0</v>
      </c>
      <c r="S19" s="43"/>
      <c r="T19" s="43">
        <v>1115.9956693979461</v>
      </c>
      <c r="U19" s="43">
        <v>566.56124670756719</v>
      </c>
      <c r="V19" s="43">
        <v>549.43442269037462</v>
      </c>
      <c r="W19" s="43"/>
      <c r="X19" s="44">
        <v>4.5452212844083499</v>
      </c>
      <c r="Y19" s="44">
        <v>4.5452212844083499</v>
      </c>
      <c r="Z19" s="44">
        <v>0</v>
      </c>
    </row>
    <row r="20" spans="1:26" x14ac:dyDescent="0.2">
      <c r="A20" s="941" t="s">
        <v>18</v>
      </c>
      <c r="B20" s="45">
        <v>15746.488117805102</v>
      </c>
      <c r="C20" s="45">
        <v>3031.0758010375571</v>
      </c>
      <c r="D20" s="45">
        <v>663.05339992349218</v>
      </c>
      <c r="E20" s="45">
        <v>369.10624847674541</v>
      </c>
      <c r="F20" s="45">
        <v>293.94715144674495</v>
      </c>
      <c r="G20" s="45"/>
      <c r="H20" s="45">
        <v>840.0147720970507</v>
      </c>
      <c r="I20" s="45">
        <v>461.26923148781879</v>
      </c>
      <c r="J20" s="45">
        <v>378.74554060922998</v>
      </c>
      <c r="K20" s="45"/>
      <c r="L20" s="45">
        <v>391.92173556225595</v>
      </c>
      <c r="M20" s="45">
        <v>272.02023873695941</v>
      </c>
      <c r="N20" s="45">
        <v>119.90149682529598</v>
      </c>
      <c r="O20" s="45"/>
      <c r="P20" s="45">
        <v>15.545002772431152</v>
      </c>
      <c r="Q20" s="45">
        <v>15.545002772431152</v>
      </c>
      <c r="R20" s="46">
        <v>0</v>
      </c>
      <c r="S20" s="45"/>
      <c r="T20" s="45">
        <v>1115.9956693979461</v>
      </c>
      <c r="U20" s="45">
        <v>566.56124670756719</v>
      </c>
      <c r="V20" s="45">
        <v>549.43442269037462</v>
      </c>
      <c r="W20" s="45"/>
      <c r="X20" s="46">
        <v>4.5452212844083499</v>
      </c>
      <c r="Y20" s="46">
        <v>4.5452212844083499</v>
      </c>
      <c r="Z20" s="46">
        <v>0</v>
      </c>
    </row>
    <row r="21" spans="1:26" x14ac:dyDescent="0.2">
      <c r="A21" s="176" t="s">
        <v>19</v>
      </c>
      <c r="B21" s="43">
        <v>53718.802084274394</v>
      </c>
      <c r="C21" s="43">
        <v>23507.095854445139</v>
      </c>
      <c r="D21" s="43">
        <v>5627.0902684008242</v>
      </c>
      <c r="E21" s="43">
        <v>2906.6210810749012</v>
      </c>
      <c r="F21" s="43">
        <v>2720.4691873258498</v>
      </c>
      <c r="G21" s="43"/>
      <c r="H21" s="43">
        <v>5419.8186559020096</v>
      </c>
      <c r="I21" s="43">
        <v>2596.1941593493107</v>
      </c>
      <c r="J21" s="43">
        <v>2823.6244965525084</v>
      </c>
      <c r="K21" s="43"/>
      <c r="L21" s="43">
        <v>3500.1723288518888</v>
      </c>
      <c r="M21" s="43">
        <v>1819.2215689615655</v>
      </c>
      <c r="N21" s="43">
        <v>1680.9507598903365</v>
      </c>
      <c r="O21" s="43"/>
      <c r="P21" s="43">
        <v>537.04847918540315</v>
      </c>
      <c r="Q21" s="43">
        <v>343.45055809864101</v>
      </c>
      <c r="R21" s="44">
        <v>193.59792108676257</v>
      </c>
      <c r="S21" s="43"/>
      <c r="T21" s="43">
        <v>8409.3304582524179</v>
      </c>
      <c r="U21" s="43">
        <v>4229.3243866096627</v>
      </c>
      <c r="V21" s="43">
        <v>4180.0060716424368</v>
      </c>
      <c r="W21" s="43"/>
      <c r="X21" s="44">
        <v>13.635663853225049</v>
      </c>
      <c r="Y21" s="44">
        <v>6.8178319266125254</v>
      </c>
      <c r="Z21" s="44">
        <v>6.8178319266125254</v>
      </c>
    </row>
    <row r="22" spans="1:26" x14ac:dyDescent="0.2">
      <c r="A22" s="941" t="s">
        <v>19</v>
      </c>
      <c r="B22" s="45">
        <v>32352.1928645273</v>
      </c>
      <c r="C22" s="45">
        <v>18470.838660000521</v>
      </c>
      <c r="D22" s="45">
        <v>4489.7554974669083</v>
      </c>
      <c r="E22" s="45">
        <v>2267.3727999583916</v>
      </c>
      <c r="F22" s="45">
        <v>2222.3826975085226</v>
      </c>
      <c r="G22" s="45"/>
      <c r="H22" s="45">
        <v>4363.4904615975947</v>
      </c>
      <c r="I22" s="45">
        <v>2048.8794153935055</v>
      </c>
      <c r="J22" s="45">
        <v>2314.611046204071</v>
      </c>
      <c r="K22" s="45"/>
      <c r="L22" s="45">
        <v>3287.0163622514492</v>
      </c>
      <c r="M22" s="45">
        <v>1673.1698983513918</v>
      </c>
      <c r="N22" s="45">
        <v>1613.846463900069</v>
      </c>
      <c r="O22" s="45"/>
      <c r="P22" s="45">
        <v>527.31773686547342</v>
      </c>
      <c r="Q22" s="45">
        <v>333.71981577871134</v>
      </c>
      <c r="R22" s="46">
        <v>193.59792108676257</v>
      </c>
      <c r="S22" s="45"/>
      <c r="T22" s="45">
        <v>5791.8955486088989</v>
      </c>
      <c r="U22" s="45">
        <v>2845.5289234518914</v>
      </c>
      <c r="V22" s="45">
        <v>2946.3666251568743</v>
      </c>
      <c r="W22" s="45"/>
      <c r="X22" s="46">
        <v>11.363053211020874</v>
      </c>
      <c r="Y22" s="46">
        <v>4.5452212844083499</v>
      </c>
      <c r="Z22" s="46">
        <v>6.8178319266125254</v>
      </c>
    </row>
    <row r="23" spans="1:26" x14ac:dyDescent="0.2">
      <c r="A23" s="941" t="s">
        <v>20</v>
      </c>
      <c r="B23" s="45">
        <v>21366.609219745951</v>
      </c>
      <c r="C23" s="45">
        <v>5036.2571944440951</v>
      </c>
      <c r="D23" s="45">
        <v>1137.3347709338534</v>
      </c>
      <c r="E23" s="45">
        <v>639.24828111651993</v>
      </c>
      <c r="F23" s="45">
        <v>498.08648981733012</v>
      </c>
      <c r="G23" s="45"/>
      <c r="H23" s="45">
        <v>1056.3281943042755</v>
      </c>
      <c r="I23" s="45">
        <v>547.31474395582165</v>
      </c>
      <c r="J23" s="45">
        <v>509.01345034845207</v>
      </c>
      <c r="K23" s="45"/>
      <c r="L23" s="45">
        <v>213.15596660044059</v>
      </c>
      <c r="M23" s="45">
        <v>146.05167061017352</v>
      </c>
      <c r="N23" s="45">
        <v>67.10429599026709</v>
      </c>
      <c r="O23" s="45"/>
      <c r="P23" s="45">
        <v>9.7307423199297585</v>
      </c>
      <c r="Q23" s="45">
        <v>9.7307423199297585</v>
      </c>
      <c r="R23" s="46">
        <v>0</v>
      </c>
      <c r="S23" s="45"/>
      <c r="T23" s="45">
        <v>2617.4349096433612</v>
      </c>
      <c r="U23" s="45">
        <v>1383.7954631577945</v>
      </c>
      <c r="V23" s="45">
        <v>1233.6394464855782</v>
      </c>
      <c r="W23" s="45"/>
      <c r="X23" s="46">
        <v>2.272610642204175</v>
      </c>
      <c r="Y23" s="46">
        <v>2.272610642204175</v>
      </c>
      <c r="Z23" s="46">
        <v>0</v>
      </c>
    </row>
    <row r="24" spans="1:26" x14ac:dyDescent="0.2">
      <c r="A24" s="176" t="s">
        <v>21</v>
      </c>
      <c r="B24" s="43">
        <v>32432.888567114569</v>
      </c>
      <c r="C24" s="43">
        <v>17926.728129691794</v>
      </c>
      <c r="D24" s="43">
        <v>4864.3898092637137</v>
      </c>
      <c r="E24" s="43">
        <v>2863.4322605737598</v>
      </c>
      <c r="F24" s="43">
        <v>2000.9575486899075</v>
      </c>
      <c r="G24" s="43"/>
      <c r="H24" s="43">
        <v>3437.9201547911753</v>
      </c>
      <c r="I24" s="43">
        <v>1856.5184195848235</v>
      </c>
      <c r="J24" s="43">
        <v>1581.4017352063984</v>
      </c>
      <c r="K24" s="43"/>
      <c r="L24" s="43">
        <v>2541.3681777552015</v>
      </c>
      <c r="M24" s="43">
        <v>1508.120117627687</v>
      </c>
      <c r="N24" s="43">
        <v>1033.2480601275215</v>
      </c>
      <c r="O24" s="43"/>
      <c r="P24" s="43">
        <v>340.66444091580911</v>
      </c>
      <c r="Q24" s="43">
        <v>251.72535560001384</v>
      </c>
      <c r="R24" s="44">
        <v>88.939085315795666</v>
      </c>
      <c r="S24" s="43"/>
      <c r="T24" s="43">
        <v>6737.840325682484</v>
      </c>
      <c r="U24" s="43">
        <v>3317.7041798084078</v>
      </c>
      <c r="V24" s="43">
        <v>3420.1361458738306</v>
      </c>
      <c r="W24" s="43"/>
      <c r="X24" s="44">
        <v>4.5452212844083499</v>
      </c>
      <c r="Y24" s="44">
        <v>2.272610642204175</v>
      </c>
      <c r="Z24" s="44">
        <v>2.272610642204175</v>
      </c>
    </row>
    <row r="25" spans="1:26" x14ac:dyDescent="0.2">
      <c r="A25" s="941" t="s">
        <v>21</v>
      </c>
      <c r="B25" s="45">
        <v>32432.888567114569</v>
      </c>
      <c r="C25" s="45">
        <v>17926.728129691794</v>
      </c>
      <c r="D25" s="45">
        <v>4864.3898092637137</v>
      </c>
      <c r="E25" s="45">
        <v>2863.4322605737598</v>
      </c>
      <c r="F25" s="45">
        <v>2000.9575486899075</v>
      </c>
      <c r="G25" s="45"/>
      <c r="H25" s="45">
        <v>3437.9201547911753</v>
      </c>
      <c r="I25" s="45">
        <v>1856.5184195848235</v>
      </c>
      <c r="J25" s="45">
        <v>1581.4017352063984</v>
      </c>
      <c r="K25" s="45"/>
      <c r="L25" s="45">
        <v>2541.3681777552015</v>
      </c>
      <c r="M25" s="45">
        <v>1508.120117627687</v>
      </c>
      <c r="N25" s="45">
        <v>1033.2480601275215</v>
      </c>
      <c r="O25" s="45"/>
      <c r="P25" s="45">
        <v>340.66444091580911</v>
      </c>
      <c r="Q25" s="45">
        <v>251.72535560001384</v>
      </c>
      <c r="R25" s="46">
        <v>88.939085315795666</v>
      </c>
      <c r="S25" s="45"/>
      <c r="T25" s="45">
        <v>6737.840325682484</v>
      </c>
      <c r="U25" s="45">
        <v>3317.7041798084078</v>
      </c>
      <c r="V25" s="45">
        <v>3420.1361458738306</v>
      </c>
      <c r="W25" s="45"/>
      <c r="X25" s="46">
        <v>4.5452212844083499</v>
      </c>
      <c r="Y25" s="46">
        <v>2.272610642204175</v>
      </c>
      <c r="Z25" s="46">
        <v>2.272610642204175</v>
      </c>
    </row>
    <row r="26" spans="1:26" x14ac:dyDescent="0.2">
      <c r="A26" s="176" t="s">
        <v>22</v>
      </c>
      <c r="B26" s="43">
        <v>68777.861263091152</v>
      </c>
      <c r="C26" s="43">
        <v>49803.156381485351</v>
      </c>
      <c r="D26" s="43">
        <v>14084.602774315214</v>
      </c>
      <c r="E26" s="43">
        <v>6774.3801553411204</v>
      </c>
      <c r="F26" s="43">
        <v>7310.2226189750018</v>
      </c>
      <c r="G26" s="43"/>
      <c r="H26" s="43">
        <v>14968.384379481091</v>
      </c>
      <c r="I26" s="43">
        <v>7220.0228538220736</v>
      </c>
      <c r="J26" s="43">
        <v>7748.3615256603198</v>
      </c>
      <c r="K26" s="43"/>
      <c r="L26" s="43">
        <v>8476.6900820157753</v>
      </c>
      <c r="M26" s="43">
        <v>4246.085982893449</v>
      </c>
      <c r="N26" s="43">
        <v>4230.6040991220543</v>
      </c>
      <c r="O26" s="43"/>
      <c r="P26" s="43">
        <v>639.57781755834355</v>
      </c>
      <c r="Q26" s="43">
        <v>388.1957693291298</v>
      </c>
      <c r="R26" s="44">
        <v>251.38204822921384</v>
      </c>
      <c r="S26" s="43"/>
      <c r="T26" s="43">
        <v>11581.63128334338</v>
      </c>
      <c r="U26" s="43">
        <v>5394.3644353234595</v>
      </c>
      <c r="V26" s="43">
        <v>6187.2668480201755</v>
      </c>
      <c r="W26" s="43"/>
      <c r="X26" s="44">
        <v>52.270044770696046</v>
      </c>
      <c r="Y26" s="44">
        <v>27.271327706450098</v>
      </c>
      <c r="Z26" s="44">
        <v>24.998717064245923</v>
      </c>
    </row>
    <row r="27" spans="1:26" x14ac:dyDescent="0.2">
      <c r="A27" s="941" t="s">
        <v>22</v>
      </c>
      <c r="B27" s="45">
        <v>68777.861263091152</v>
      </c>
      <c r="C27" s="45">
        <v>49803.156381485351</v>
      </c>
      <c r="D27" s="45">
        <v>14084.602774315214</v>
      </c>
      <c r="E27" s="45">
        <v>6774.3801553411204</v>
      </c>
      <c r="F27" s="45">
        <v>7310.2226189750018</v>
      </c>
      <c r="G27" s="45"/>
      <c r="H27" s="45">
        <v>14968.384379481091</v>
      </c>
      <c r="I27" s="45">
        <v>7220.0228538220736</v>
      </c>
      <c r="J27" s="45">
        <v>7748.3615256603198</v>
      </c>
      <c r="K27" s="45"/>
      <c r="L27" s="45">
        <v>8476.6900820157753</v>
      </c>
      <c r="M27" s="45">
        <v>4246.085982893449</v>
      </c>
      <c r="N27" s="45">
        <v>4230.6040991220543</v>
      </c>
      <c r="O27" s="45"/>
      <c r="P27" s="45">
        <v>639.57781755834355</v>
      </c>
      <c r="Q27" s="45">
        <v>388.1957693291298</v>
      </c>
      <c r="R27" s="46">
        <v>251.38204822921384</v>
      </c>
      <c r="S27" s="45"/>
      <c r="T27" s="45">
        <v>11581.63128334338</v>
      </c>
      <c r="U27" s="45">
        <v>5394.3644353234595</v>
      </c>
      <c r="V27" s="45">
        <v>6187.2668480201755</v>
      </c>
      <c r="W27" s="45"/>
      <c r="X27" s="46">
        <v>52.270044770696046</v>
      </c>
      <c r="Y27" s="46">
        <v>27.271327706450098</v>
      </c>
      <c r="Z27" s="46">
        <v>24.998717064245923</v>
      </c>
    </row>
    <row r="28" spans="1:26" x14ac:dyDescent="0.2">
      <c r="A28" s="176" t="s">
        <v>23</v>
      </c>
      <c r="B28" s="43">
        <v>78692.830608205259</v>
      </c>
      <c r="C28" s="43">
        <v>41932.568666840627</v>
      </c>
      <c r="D28" s="43">
        <v>12821.034097196598</v>
      </c>
      <c r="E28" s="43">
        <v>5656.7719974054544</v>
      </c>
      <c r="F28" s="43">
        <v>7164.2620997918721</v>
      </c>
      <c r="G28" s="43"/>
      <c r="H28" s="43">
        <v>9719.7902153259693</v>
      </c>
      <c r="I28" s="43">
        <v>4478.2063252534472</v>
      </c>
      <c r="J28" s="43">
        <v>5241.5838900722865</v>
      </c>
      <c r="K28" s="43"/>
      <c r="L28" s="43">
        <v>1432.5190125656545</v>
      </c>
      <c r="M28" s="43">
        <v>778.06426405940715</v>
      </c>
      <c r="N28" s="43">
        <v>654.45474850624498</v>
      </c>
      <c r="O28" s="43"/>
      <c r="P28" s="43">
        <v>80.68272912557137</v>
      </c>
      <c r="Q28" s="43">
        <v>71.064500770946921</v>
      </c>
      <c r="R28" s="44">
        <v>9.6182283546244776</v>
      </c>
      <c r="S28" s="43"/>
      <c r="T28" s="43">
        <v>17819.45473593018</v>
      </c>
      <c r="U28" s="43">
        <v>8024.3194232013266</v>
      </c>
      <c r="V28" s="43">
        <v>9795.1353127302536</v>
      </c>
      <c r="W28" s="43"/>
      <c r="X28" s="44">
        <v>59.08787669730858</v>
      </c>
      <c r="Y28" s="44">
        <v>27.271327706450098</v>
      </c>
      <c r="Z28" s="44">
        <v>31.816548990858447</v>
      </c>
    </row>
    <row r="29" spans="1:26" x14ac:dyDescent="0.2">
      <c r="A29" s="941" t="s">
        <v>23</v>
      </c>
      <c r="B29" s="45">
        <v>41992.707673975747</v>
      </c>
      <c r="C29" s="45">
        <v>25801.50188938545</v>
      </c>
      <c r="D29" s="45">
        <v>8813.7119959331194</v>
      </c>
      <c r="E29" s="45">
        <v>3739.0824227089142</v>
      </c>
      <c r="F29" s="45">
        <v>5074.6295732239832</v>
      </c>
      <c r="G29" s="45"/>
      <c r="H29" s="45">
        <v>6010.2095710391814</v>
      </c>
      <c r="I29" s="45">
        <v>2601.1256326301236</v>
      </c>
      <c r="J29" s="45">
        <v>3409.0839384088276</v>
      </c>
      <c r="K29" s="45"/>
      <c r="L29" s="45">
        <v>998.35930824417869</v>
      </c>
      <c r="M29" s="45">
        <v>475.62552473355123</v>
      </c>
      <c r="N29" s="45">
        <v>522.73378351062479</v>
      </c>
      <c r="O29" s="45"/>
      <c r="P29" s="45">
        <v>65.250240318445535</v>
      </c>
      <c r="Q29" s="45">
        <v>55.632011963821057</v>
      </c>
      <c r="R29" s="46">
        <v>9.6182283546244776</v>
      </c>
      <c r="S29" s="45"/>
      <c r="T29" s="45">
        <v>9879.8816142189917</v>
      </c>
      <c r="U29" s="45">
        <v>4506.2836585488121</v>
      </c>
      <c r="V29" s="45">
        <v>5373.5979556700267</v>
      </c>
      <c r="W29" s="45"/>
      <c r="X29" s="46">
        <v>34.089159633062621</v>
      </c>
      <c r="Y29" s="46">
        <v>18.1808851376334</v>
      </c>
      <c r="Z29" s="46">
        <v>15.908274495429223</v>
      </c>
    </row>
    <row r="30" spans="1:26" x14ac:dyDescent="0.2">
      <c r="A30" s="941" t="s">
        <v>24</v>
      </c>
      <c r="B30" s="45">
        <v>36700.122934218452</v>
      </c>
      <c r="C30" s="45">
        <v>16131.066777455142</v>
      </c>
      <c r="D30" s="45">
        <v>4007.3221012640656</v>
      </c>
      <c r="E30" s="45">
        <v>1917.6895746963894</v>
      </c>
      <c r="F30" s="45">
        <v>2089.6325265677115</v>
      </c>
      <c r="G30" s="45"/>
      <c r="H30" s="45">
        <v>3709.580644286596</v>
      </c>
      <c r="I30" s="45">
        <v>1877.0806926233086</v>
      </c>
      <c r="J30" s="45">
        <v>1832.4999516633316</v>
      </c>
      <c r="K30" s="45"/>
      <c r="L30" s="45">
        <v>434.15970432147481</v>
      </c>
      <c r="M30" s="45">
        <v>302.43873932585433</v>
      </c>
      <c r="N30" s="45">
        <v>131.72096499561982</v>
      </c>
      <c r="O30" s="45"/>
      <c r="P30" s="45">
        <v>15.432488807125871</v>
      </c>
      <c r="Q30" s="45">
        <v>15.432488807125871</v>
      </c>
      <c r="R30" s="46">
        <v>0</v>
      </c>
      <c r="S30" s="45"/>
      <c r="T30" s="45">
        <v>7939.573121712654</v>
      </c>
      <c r="U30" s="45">
        <v>3518.0357646520702</v>
      </c>
      <c r="V30" s="45">
        <v>4421.537357060135</v>
      </c>
      <c r="W30" s="45"/>
      <c r="X30" s="46">
        <v>24.998717064245923</v>
      </c>
      <c r="Y30" s="46">
        <v>9.0904425688166999</v>
      </c>
      <c r="Z30" s="46">
        <v>15.908274495429223</v>
      </c>
    </row>
    <row r="31" spans="1:26" x14ac:dyDescent="0.2">
      <c r="A31" s="176" t="s">
        <v>25</v>
      </c>
      <c r="B31" s="43">
        <v>7974.6150898158685</v>
      </c>
      <c r="C31" s="43">
        <v>2170.6406357414858</v>
      </c>
      <c r="D31" s="43">
        <v>655.52323285638079</v>
      </c>
      <c r="E31" s="43">
        <v>337.92936678700482</v>
      </c>
      <c r="F31" s="43">
        <v>317.59386606937477</v>
      </c>
      <c r="G31" s="43"/>
      <c r="H31" s="43">
        <v>427.28813442580946</v>
      </c>
      <c r="I31" s="43">
        <v>225.74812435507519</v>
      </c>
      <c r="J31" s="43">
        <v>201.54001007073404</v>
      </c>
      <c r="K31" s="43"/>
      <c r="L31" s="43">
        <v>81.932693250648285</v>
      </c>
      <c r="M31" s="43">
        <v>67.449523698467445</v>
      </c>
      <c r="N31" s="43">
        <v>14.483169552180858</v>
      </c>
      <c r="O31" s="43"/>
      <c r="P31" s="43">
        <v>4.4073706274521811</v>
      </c>
      <c r="Q31" s="43">
        <v>4.4073706274521811</v>
      </c>
      <c r="R31" s="44">
        <v>0</v>
      </c>
      <c r="S31" s="43"/>
      <c r="T31" s="43">
        <v>992.39876201237621</v>
      </c>
      <c r="U31" s="43">
        <v>471.22773726836863</v>
      </c>
      <c r="V31" s="43">
        <v>521.17102474400531</v>
      </c>
      <c r="W31" s="43"/>
      <c r="X31" s="44">
        <v>9.0904425688166999</v>
      </c>
      <c r="Y31" s="44">
        <v>4.5452212844083499</v>
      </c>
      <c r="Z31" s="44">
        <v>4.5452212844083499</v>
      </c>
    </row>
    <row r="32" spans="1:26" x14ac:dyDescent="0.2">
      <c r="A32" s="941" t="s">
        <v>25</v>
      </c>
      <c r="B32" s="45">
        <v>7974.6150898158685</v>
      </c>
      <c r="C32" s="45">
        <v>2170.6406357414858</v>
      </c>
      <c r="D32" s="45">
        <v>655.52323285638079</v>
      </c>
      <c r="E32" s="45">
        <v>337.92936678700482</v>
      </c>
      <c r="F32" s="45">
        <v>317.59386606937477</v>
      </c>
      <c r="G32" s="45"/>
      <c r="H32" s="45">
        <v>427.28813442580946</v>
      </c>
      <c r="I32" s="45">
        <v>225.74812435507519</v>
      </c>
      <c r="J32" s="45">
        <v>201.54001007073404</v>
      </c>
      <c r="K32" s="45"/>
      <c r="L32" s="45">
        <v>81.932693250648285</v>
      </c>
      <c r="M32" s="45">
        <v>67.449523698467445</v>
      </c>
      <c r="N32" s="45">
        <v>14.483169552180858</v>
      </c>
      <c r="O32" s="45"/>
      <c r="P32" s="45">
        <v>4.4073706274521811</v>
      </c>
      <c r="Q32" s="45">
        <v>4.4073706274521811</v>
      </c>
      <c r="R32" s="46">
        <v>0</v>
      </c>
      <c r="S32" s="45"/>
      <c r="T32" s="45">
        <v>992.39876201237621</v>
      </c>
      <c r="U32" s="45">
        <v>471.22773726836863</v>
      </c>
      <c r="V32" s="45">
        <v>521.17102474400531</v>
      </c>
      <c r="W32" s="45"/>
      <c r="X32" s="46">
        <v>9.0904425688166999</v>
      </c>
      <c r="Y32" s="46">
        <v>4.5452212844083499</v>
      </c>
      <c r="Z32" s="46">
        <v>4.5452212844083499</v>
      </c>
    </row>
    <row r="33" spans="1:26" x14ac:dyDescent="0.2">
      <c r="A33" s="176" t="s">
        <v>26</v>
      </c>
      <c r="B33" s="43">
        <v>3403.1230993603335</v>
      </c>
      <c r="C33" s="43">
        <v>1398.4088395587573</v>
      </c>
      <c r="D33" s="43">
        <v>298.91059366604537</v>
      </c>
      <c r="E33" s="43">
        <v>234.01765145412637</v>
      </c>
      <c r="F33" s="43">
        <v>64.89294221191922</v>
      </c>
      <c r="G33" s="43"/>
      <c r="H33" s="43">
        <v>246.5331253290247</v>
      </c>
      <c r="I33" s="43">
        <v>172.78846254853201</v>
      </c>
      <c r="J33" s="43">
        <v>73.744662780492547</v>
      </c>
      <c r="K33" s="43"/>
      <c r="L33" s="43">
        <v>72.874278255825487</v>
      </c>
      <c r="M33" s="43">
        <v>60.481850089656959</v>
      </c>
      <c r="N33" s="43">
        <v>12.392428166168546</v>
      </c>
      <c r="O33" s="43"/>
      <c r="P33" s="43">
        <v>5.0036517793295454</v>
      </c>
      <c r="Q33" s="43">
        <v>5.0036517793295454</v>
      </c>
      <c r="R33" s="44">
        <v>0</v>
      </c>
      <c r="S33" s="43"/>
      <c r="T33" s="43">
        <v>775.0871905285311</v>
      </c>
      <c r="U33" s="43">
        <v>491.64979811730132</v>
      </c>
      <c r="V33" s="43">
        <v>283.43739241122802</v>
      </c>
      <c r="W33" s="43"/>
      <c r="X33" s="44">
        <v>0</v>
      </c>
      <c r="Y33" s="44">
        <v>0</v>
      </c>
      <c r="Z33" s="44">
        <v>0</v>
      </c>
    </row>
    <row r="34" spans="1:26" x14ac:dyDescent="0.2">
      <c r="A34" s="941" t="s">
        <v>26</v>
      </c>
      <c r="B34" s="45">
        <v>3403.1230993603335</v>
      </c>
      <c r="C34" s="45">
        <v>1398.4088395587573</v>
      </c>
      <c r="D34" s="45">
        <v>298.91059366604537</v>
      </c>
      <c r="E34" s="45">
        <v>234.01765145412637</v>
      </c>
      <c r="F34" s="45">
        <v>64.89294221191922</v>
      </c>
      <c r="G34" s="45"/>
      <c r="H34" s="45">
        <v>246.5331253290247</v>
      </c>
      <c r="I34" s="45">
        <v>172.78846254853201</v>
      </c>
      <c r="J34" s="45">
        <v>73.744662780492547</v>
      </c>
      <c r="K34" s="45"/>
      <c r="L34" s="45">
        <v>72.874278255825487</v>
      </c>
      <c r="M34" s="45">
        <v>60.481850089656959</v>
      </c>
      <c r="N34" s="45">
        <v>12.392428166168546</v>
      </c>
      <c r="O34" s="45"/>
      <c r="P34" s="45">
        <v>5.0036517793295454</v>
      </c>
      <c r="Q34" s="45">
        <v>5.0036517793295454</v>
      </c>
      <c r="R34" s="46">
        <v>0</v>
      </c>
      <c r="S34" s="45"/>
      <c r="T34" s="45">
        <v>775.0871905285311</v>
      </c>
      <c r="U34" s="45">
        <v>491.64979811730132</v>
      </c>
      <c r="V34" s="45">
        <v>283.43739241122802</v>
      </c>
      <c r="W34" s="45"/>
      <c r="X34" s="46">
        <v>0</v>
      </c>
      <c r="Y34" s="46">
        <v>0</v>
      </c>
      <c r="Z34" s="46">
        <v>0</v>
      </c>
    </row>
    <row r="35" spans="1:26" x14ac:dyDescent="0.2">
      <c r="A35" s="176" t="s">
        <v>27</v>
      </c>
      <c r="B35" s="43">
        <v>16856.419947520691</v>
      </c>
      <c r="C35" s="43">
        <v>8974.3583823254594</v>
      </c>
      <c r="D35" s="43">
        <v>2726.1464681038219</v>
      </c>
      <c r="E35" s="43">
        <v>1301.1294732190293</v>
      </c>
      <c r="F35" s="43">
        <v>1425.0169948848054</v>
      </c>
      <c r="G35" s="43"/>
      <c r="H35" s="43">
        <v>1723.150398036104</v>
      </c>
      <c r="I35" s="43">
        <v>874.21916732073669</v>
      </c>
      <c r="J35" s="43">
        <v>848.93123071536718</v>
      </c>
      <c r="K35" s="43"/>
      <c r="L35" s="43">
        <v>416.66282377184245</v>
      </c>
      <c r="M35" s="43">
        <v>278.24720512595439</v>
      </c>
      <c r="N35" s="43">
        <v>138.41561864588795</v>
      </c>
      <c r="O35" s="43"/>
      <c r="P35" s="43">
        <v>30.159761332933439</v>
      </c>
      <c r="Q35" s="43">
        <v>21.414375368915657</v>
      </c>
      <c r="R35" s="44">
        <v>8.7453859640177818</v>
      </c>
      <c r="S35" s="43"/>
      <c r="T35" s="43">
        <v>4069.1484885115415</v>
      </c>
      <c r="U35" s="43">
        <v>1794.3511684328594</v>
      </c>
      <c r="V35" s="43">
        <v>2274.7973200787405</v>
      </c>
      <c r="W35" s="43"/>
      <c r="X35" s="44">
        <v>9.0904425688166999</v>
      </c>
      <c r="Y35" s="44">
        <v>0</v>
      </c>
      <c r="Z35" s="44">
        <v>9.0904425688166999</v>
      </c>
    </row>
    <row r="36" spans="1:26" x14ac:dyDescent="0.2">
      <c r="A36" s="941" t="s">
        <v>27</v>
      </c>
      <c r="B36" s="45">
        <v>16856.419947520691</v>
      </c>
      <c r="C36" s="45">
        <v>8974.3583823254594</v>
      </c>
      <c r="D36" s="45">
        <v>2726.1464681038219</v>
      </c>
      <c r="E36" s="45">
        <v>1301.1294732190293</v>
      </c>
      <c r="F36" s="45">
        <v>1425.0169948848054</v>
      </c>
      <c r="G36" s="45"/>
      <c r="H36" s="45">
        <v>1723.150398036104</v>
      </c>
      <c r="I36" s="45">
        <v>874.21916732073669</v>
      </c>
      <c r="J36" s="45">
        <v>848.93123071536718</v>
      </c>
      <c r="K36" s="45"/>
      <c r="L36" s="45">
        <v>416.66282377184245</v>
      </c>
      <c r="M36" s="45">
        <v>278.24720512595439</v>
      </c>
      <c r="N36" s="45">
        <v>138.41561864588795</v>
      </c>
      <c r="O36" s="45"/>
      <c r="P36" s="45">
        <v>30.159761332933439</v>
      </c>
      <c r="Q36" s="45">
        <v>21.414375368915657</v>
      </c>
      <c r="R36" s="46">
        <v>8.7453859640177818</v>
      </c>
      <c r="S36" s="45"/>
      <c r="T36" s="45">
        <v>4069.1484885115415</v>
      </c>
      <c r="U36" s="45">
        <v>1794.3511684328594</v>
      </c>
      <c r="V36" s="45">
        <v>2274.7973200787405</v>
      </c>
      <c r="W36" s="45"/>
      <c r="X36" s="46">
        <v>9.0904425688166999</v>
      </c>
      <c r="Y36" s="46">
        <v>0</v>
      </c>
      <c r="Z36" s="46">
        <v>9.0904425688166999</v>
      </c>
    </row>
    <row r="37" spans="1:26" x14ac:dyDescent="0.2">
      <c r="A37" s="176" t="s">
        <v>28</v>
      </c>
      <c r="B37" s="43">
        <v>47663.125066686436</v>
      </c>
      <c r="C37" s="43">
        <v>16191.683363455635</v>
      </c>
      <c r="D37" s="43">
        <v>4078.4758521987878</v>
      </c>
      <c r="E37" s="43">
        <v>1822.3442520090612</v>
      </c>
      <c r="F37" s="43">
        <v>2256.1316001897526</v>
      </c>
      <c r="G37" s="43"/>
      <c r="H37" s="43">
        <v>4586.1114813335626</v>
      </c>
      <c r="I37" s="43">
        <v>2247.1763090076861</v>
      </c>
      <c r="J37" s="43">
        <v>2338.9351723258742</v>
      </c>
      <c r="K37" s="43"/>
      <c r="L37" s="43">
        <v>707.68533883052942</v>
      </c>
      <c r="M37" s="43">
        <v>401.78357709945732</v>
      </c>
      <c r="N37" s="43">
        <v>305.90176173107056</v>
      </c>
      <c r="O37" s="43"/>
      <c r="P37" s="43">
        <v>40.016793975686298</v>
      </c>
      <c r="Q37" s="43">
        <v>26.337111523225548</v>
      </c>
      <c r="R37" s="44">
        <v>13.679682452460744</v>
      </c>
      <c r="S37" s="43"/>
      <c r="T37" s="43">
        <v>6722.5786310628673</v>
      </c>
      <c r="U37" s="43">
        <v>3241.821915324545</v>
      </c>
      <c r="V37" s="43">
        <v>3480.7567157380299</v>
      </c>
      <c r="W37" s="43"/>
      <c r="X37" s="44">
        <v>56.815266055104402</v>
      </c>
      <c r="Y37" s="44">
        <v>31.816548990858447</v>
      </c>
      <c r="Z37" s="44">
        <v>24.998717064245923</v>
      </c>
    </row>
    <row r="38" spans="1:26" x14ac:dyDescent="0.2">
      <c r="A38" s="941" t="s">
        <v>28</v>
      </c>
      <c r="B38" s="45">
        <v>47663.125066686436</v>
      </c>
      <c r="C38" s="45">
        <v>16191.683363455635</v>
      </c>
      <c r="D38" s="45">
        <v>4078.4758521987878</v>
      </c>
      <c r="E38" s="45">
        <v>1822.3442520090612</v>
      </c>
      <c r="F38" s="45">
        <v>2256.1316001897526</v>
      </c>
      <c r="G38" s="45"/>
      <c r="H38" s="45">
        <v>4586.1114813335626</v>
      </c>
      <c r="I38" s="45">
        <v>2247.1763090076861</v>
      </c>
      <c r="J38" s="45">
        <v>2338.9351723258742</v>
      </c>
      <c r="K38" s="45"/>
      <c r="L38" s="45">
        <v>707.68533883052942</v>
      </c>
      <c r="M38" s="45">
        <v>401.78357709945732</v>
      </c>
      <c r="N38" s="45">
        <v>305.90176173107056</v>
      </c>
      <c r="O38" s="45"/>
      <c r="P38" s="45">
        <v>40.016793975686298</v>
      </c>
      <c r="Q38" s="45">
        <v>26.337111523225548</v>
      </c>
      <c r="R38" s="46">
        <v>13.679682452460744</v>
      </c>
      <c r="S38" s="45"/>
      <c r="T38" s="45">
        <v>6722.5786310628673</v>
      </c>
      <c r="U38" s="45">
        <v>3241.821915324545</v>
      </c>
      <c r="V38" s="45">
        <v>3480.7567157380299</v>
      </c>
      <c r="W38" s="45"/>
      <c r="X38" s="46">
        <v>56.815266055104402</v>
      </c>
      <c r="Y38" s="46">
        <v>31.816548990858447</v>
      </c>
      <c r="Z38" s="46">
        <v>24.998717064245923</v>
      </c>
    </row>
    <row r="39" spans="1:26" x14ac:dyDescent="0.2">
      <c r="A39" s="176" t="s">
        <v>29</v>
      </c>
      <c r="B39" s="43">
        <v>82492.689761243251</v>
      </c>
      <c r="C39" s="43">
        <v>23400.216749860378</v>
      </c>
      <c r="D39" s="43">
        <v>4959.7915772061651</v>
      </c>
      <c r="E39" s="43">
        <v>2603.0791222478288</v>
      </c>
      <c r="F39" s="43">
        <v>2356.7124549582991</v>
      </c>
      <c r="G39" s="43"/>
      <c r="H39" s="43">
        <v>6959.1815469768017</v>
      </c>
      <c r="I39" s="43">
        <v>3367.0302371637813</v>
      </c>
      <c r="J39" s="43">
        <v>3592.1513098126757</v>
      </c>
      <c r="K39" s="43"/>
      <c r="L39" s="43">
        <v>1708.445080512465</v>
      </c>
      <c r="M39" s="43">
        <v>902.3433538085942</v>
      </c>
      <c r="N39" s="43">
        <v>806.1017267038701</v>
      </c>
      <c r="O39" s="43"/>
      <c r="P39" s="43">
        <v>96.037881143541895</v>
      </c>
      <c r="Q39" s="43">
        <v>62.66417141172807</v>
      </c>
      <c r="R39" s="44">
        <v>33.373709731813896</v>
      </c>
      <c r="S39" s="43"/>
      <c r="T39" s="43">
        <v>9638.1262831047152</v>
      </c>
      <c r="U39" s="43">
        <v>4734.6920672817587</v>
      </c>
      <c r="V39" s="43">
        <v>4903.4342158228292</v>
      </c>
      <c r="W39" s="43"/>
      <c r="X39" s="44">
        <v>38.634380917470978</v>
      </c>
      <c r="Y39" s="44">
        <v>20.453495779837574</v>
      </c>
      <c r="Z39" s="44">
        <v>18.1808851376334</v>
      </c>
    </row>
    <row r="40" spans="1:26" x14ac:dyDescent="0.2">
      <c r="A40" s="941" t="s">
        <v>30</v>
      </c>
      <c r="B40" s="45">
        <v>50814.807690653972</v>
      </c>
      <c r="C40" s="45">
        <v>13610.240630270617</v>
      </c>
      <c r="D40" s="45">
        <v>2893.4569876244764</v>
      </c>
      <c r="E40" s="45">
        <v>1585.917381933682</v>
      </c>
      <c r="F40" s="45">
        <v>1307.5396056908132</v>
      </c>
      <c r="G40" s="45"/>
      <c r="H40" s="45">
        <v>3902.0521181609233</v>
      </c>
      <c r="I40" s="45">
        <v>1836.5866754365397</v>
      </c>
      <c r="J40" s="45">
        <v>2065.4654427244177</v>
      </c>
      <c r="K40" s="45"/>
      <c r="L40" s="45">
        <v>1314.9195203529232</v>
      </c>
      <c r="M40" s="45">
        <v>673.91967205154378</v>
      </c>
      <c r="N40" s="45">
        <v>640.99984830137885</v>
      </c>
      <c r="O40" s="45"/>
      <c r="P40" s="45">
        <v>62.380488599547</v>
      </c>
      <c r="Q40" s="45">
        <v>44.959071962397992</v>
      </c>
      <c r="R40" s="46">
        <v>17.42141663714898</v>
      </c>
      <c r="S40" s="45"/>
      <c r="T40" s="45">
        <v>5426.0684623221996</v>
      </c>
      <c r="U40" s="45">
        <v>2699.0355519359282</v>
      </c>
      <c r="V40" s="45">
        <v>2727.0329103861473</v>
      </c>
      <c r="W40" s="45"/>
      <c r="X40" s="46">
        <v>11.363053211020874</v>
      </c>
      <c r="Y40" s="46">
        <v>9.0904425688166999</v>
      </c>
      <c r="Z40" s="46">
        <v>2.272610642204175</v>
      </c>
    </row>
    <row r="41" spans="1:26" x14ac:dyDescent="0.2">
      <c r="A41" s="941" t="s">
        <v>29</v>
      </c>
      <c r="B41" s="45">
        <v>31677.882070577307</v>
      </c>
      <c r="C41" s="45">
        <v>9789.9761195898463</v>
      </c>
      <c r="D41" s="45">
        <v>2066.3345895816483</v>
      </c>
      <c r="E41" s="45">
        <v>1017.1617403141565</v>
      </c>
      <c r="F41" s="45">
        <v>1049.1728492674963</v>
      </c>
      <c r="G41" s="45"/>
      <c r="H41" s="45">
        <v>3057.1294288155368</v>
      </c>
      <c r="I41" s="45">
        <v>1530.4435617272804</v>
      </c>
      <c r="J41" s="45">
        <v>1526.6858670882941</v>
      </c>
      <c r="K41" s="45"/>
      <c r="L41" s="45">
        <v>393.52556015953996</v>
      </c>
      <c r="M41" s="45">
        <v>228.42368175704945</v>
      </c>
      <c r="N41" s="45">
        <v>165.10187840248997</v>
      </c>
      <c r="O41" s="45"/>
      <c r="P41" s="45">
        <v>33.657392543994966</v>
      </c>
      <c r="Q41" s="45">
        <v>17.705099449330046</v>
      </c>
      <c r="R41" s="46">
        <v>15.952293094664919</v>
      </c>
      <c r="S41" s="45"/>
      <c r="T41" s="45">
        <v>4212.0578207823737</v>
      </c>
      <c r="U41" s="45">
        <v>2035.6565153457966</v>
      </c>
      <c r="V41" s="45">
        <v>2176.4013054366205</v>
      </c>
      <c r="W41" s="45"/>
      <c r="X41" s="46">
        <v>27.271327706450098</v>
      </c>
      <c r="Y41" s="46">
        <v>11.363053211020874</v>
      </c>
      <c r="Z41" s="46">
        <v>15.908274495429223</v>
      </c>
    </row>
    <row r="42" spans="1:26" x14ac:dyDescent="0.2">
      <c r="A42" s="176" t="s">
        <v>31</v>
      </c>
      <c r="B42" s="43">
        <v>37248.305555782637</v>
      </c>
      <c r="C42" s="43">
        <v>18187.496763803985</v>
      </c>
      <c r="D42" s="43">
        <v>5510.4245493907238</v>
      </c>
      <c r="E42" s="43">
        <v>2409.8358030416716</v>
      </c>
      <c r="F42" s="43">
        <v>3100.5887463489548</v>
      </c>
      <c r="G42" s="43"/>
      <c r="H42" s="43">
        <v>3895.9958533483909</v>
      </c>
      <c r="I42" s="43">
        <v>1987.8977345470294</v>
      </c>
      <c r="J42" s="43">
        <v>1908.0981188013923</v>
      </c>
      <c r="K42" s="43"/>
      <c r="L42" s="43">
        <v>1310.1030880932365</v>
      </c>
      <c r="M42" s="43">
        <v>739.27421463368353</v>
      </c>
      <c r="N42" s="43">
        <v>570.82887345955044</v>
      </c>
      <c r="O42" s="43"/>
      <c r="P42" s="43">
        <v>80.434223489540258</v>
      </c>
      <c r="Q42" s="43">
        <v>62.874956195435153</v>
      </c>
      <c r="R42" s="44">
        <v>17.559267294105148</v>
      </c>
      <c r="S42" s="43"/>
      <c r="T42" s="43">
        <v>7370.085553703384</v>
      </c>
      <c r="U42" s="43">
        <v>3260.3620916741634</v>
      </c>
      <c r="V42" s="43">
        <v>4109.7234620287991</v>
      </c>
      <c r="W42" s="43"/>
      <c r="X42" s="44">
        <v>20.453495779837574</v>
      </c>
      <c r="Y42" s="44">
        <v>6.8178319266125254</v>
      </c>
      <c r="Z42" s="44">
        <v>13.635663853225049</v>
      </c>
    </row>
    <row r="43" spans="1:26" x14ac:dyDescent="0.2">
      <c r="A43" s="941" t="s">
        <v>31</v>
      </c>
      <c r="B43" s="45">
        <v>37248.305555782637</v>
      </c>
      <c r="C43" s="45">
        <v>18187.496763803985</v>
      </c>
      <c r="D43" s="45">
        <v>5510.4245493907238</v>
      </c>
      <c r="E43" s="45">
        <v>2409.8358030416716</v>
      </c>
      <c r="F43" s="45">
        <v>3100.5887463489548</v>
      </c>
      <c r="G43" s="45"/>
      <c r="H43" s="45">
        <v>3895.9958533483909</v>
      </c>
      <c r="I43" s="45">
        <v>1987.8977345470294</v>
      </c>
      <c r="J43" s="45">
        <v>1908.0981188013923</v>
      </c>
      <c r="K43" s="45"/>
      <c r="L43" s="45">
        <v>1310.1030880932365</v>
      </c>
      <c r="M43" s="45">
        <v>739.27421463368353</v>
      </c>
      <c r="N43" s="45">
        <v>570.82887345955044</v>
      </c>
      <c r="O43" s="45"/>
      <c r="P43" s="45">
        <v>80.434223489540258</v>
      </c>
      <c r="Q43" s="45">
        <v>62.874956195435153</v>
      </c>
      <c r="R43" s="46">
        <v>17.559267294105148</v>
      </c>
      <c r="S43" s="45"/>
      <c r="T43" s="45">
        <v>7370.085553703384</v>
      </c>
      <c r="U43" s="45">
        <v>3260.3620916741634</v>
      </c>
      <c r="V43" s="45">
        <v>4109.7234620287991</v>
      </c>
      <c r="W43" s="45"/>
      <c r="X43" s="46">
        <v>20.453495779837574</v>
      </c>
      <c r="Y43" s="46">
        <v>6.8178319266125254</v>
      </c>
      <c r="Z43" s="46">
        <v>13.635663853225049</v>
      </c>
    </row>
    <row r="44" spans="1:26" x14ac:dyDescent="0.2">
      <c r="A44" s="917"/>
    </row>
    <row r="46" spans="1:26" x14ac:dyDescent="0.2">
      <c r="C46" s="917"/>
    </row>
  </sheetData>
  <mergeCells count="11">
    <mergeCell ref="X3:Z3"/>
    <mergeCell ref="A1:Z1"/>
    <mergeCell ref="A2:A4"/>
    <mergeCell ref="B2:B4"/>
    <mergeCell ref="C2:C4"/>
    <mergeCell ref="D2:Z2"/>
    <mergeCell ref="D3:F3"/>
    <mergeCell ref="H3:J3"/>
    <mergeCell ref="L3:N3"/>
    <mergeCell ref="P3:R3"/>
    <mergeCell ref="T3:V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D45"/>
  <sheetViews>
    <sheetView workbookViewId="0">
      <selection activeCell="AB37" sqref="AB37:AB38"/>
    </sheetView>
  </sheetViews>
  <sheetFormatPr defaultRowHeight="12" x14ac:dyDescent="0.2"/>
  <cols>
    <col min="1" max="1" width="18" style="559" customWidth="1"/>
    <col min="2" max="4" width="9.140625" style="559"/>
    <col min="5" max="5" width="4.7109375" style="559" customWidth="1"/>
    <col min="6" max="8" width="9.140625" style="559"/>
    <col min="9" max="9" width="4.7109375" style="559" customWidth="1"/>
    <col min="10" max="13" width="9.140625" style="559"/>
    <col min="14" max="14" width="4.42578125" style="559" customWidth="1"/>
    <col min="15" max="17" width="9.140625" style="559"/>
    <col min="18" max="18" width="6" style="559" customWidth="1"/>
    <col min="19" max="21" width="9.140625" style="559"/>
    <col min="22" max="22" width="5.5703125" style="559" customWidth="1"/>
    <col min="23" max="16384" width="9.140625" style="559"/>
  </cols>
  <sheetData>
    <row r="1" spans="1:26" x14ac:dyDescent="0.2">
      <c r="A1" s="800" t="s">
        <v>321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0"/>
      <c r="R1" s="800"/>
      <c r="S1" s="800"/>
      <c r="T1" s="800"/>
      <c r="U1" s="800"/>
      <c r="V1" s="800"/>
      <c r="W1" s="800"/>
      <c r="X1" s="800"/>
      <c r="Y1" s="800"/>
      <c r="Z1" s="800"/>
    </row>
    <row r="2" spans="1:26" ht="24.75" customHeight="1" x14ac:dyDescent="0.2">
      <c r="A2" s="835" t="str">
        <f>'Q8.14'!$A$2</f>
        <v>Área de residência, município e comuna</v>
      </c>
      <c r="B2" s="798" t="s">
        <v>322</v>
      </c>
      <c r="C2" s="798"/>
      <c r="D2" s="798"/>
      <c r="E2" s="489"/>
      <c r="F2" s="798" t="s">
        <v>323</v>
      </c>
      <c r="G2" s="798"/>
      <c r="H2" s="798"/>
      <c r="I2" s="489"/>
      <c r="J2" s="798" t="s">
        <v>324</v>
      </c>
      <c r="K2" s="798"/>
      <c r="L2" s="798"/>
      <c r="M2" s="798" t="s">
        <v>271</v>
      </c>
      <c r="N2" s="798"/>
      <c r="O2" s="801" t="s">
        <v>325</v>
      </c>
      <c r="P2" s="798"/>
      <c r="Q2" s="798"/>
      <c r="R2" s="489"/>
      <c r="S2" s="798" t="s">
        <v>326</v>
      </c>
      <c r="T2" s="798"/>
      <c r="U2" s="798"/>
      <c r="V2" s="489"/>
      <c r="W2" s="798" t="s">
        <v>327</v>
      </c>
      <c r="X2" s="798"/>
      <c r="Y2" s="798"/>
      <c r="Z2" s="798" t="s">
        <v>271</v>
      </c>
    </row>
    <row r="3" spans="1:26" x14ac:dyDescent="0.2">
      <c r="A3" s="836"/>
      <c r="B3" s="178" t="s">
        <v>2</v>
      </c>
      <c r="C3" s="178" t="s">
        <v>3</v>
      </c>
      <c r="D3" s="178" t="s">
        <v>4</v>
      </c>
      <c r="E3" s="490"/>
      <c r="F3" s="179" t="s">
        <v>2</v>
      </c>
      <c r="G3" s="179" t="s">
        <v>3</v>
      </c>
      <c r="H3" s="179" t="s">
        <v>4</v>
      </c>
      <c r="I3" s="490"/>
      <c r="J3" s="179" t="s">
        <v>2</v>
      </c>
      <c r="K3" s="179" t="s">
        <v>3</v>
      </c>
      <c r="L3" s="179" t="s">
        <v>4</v>
      </c>
      <c r="M3" s="799"/>
      <c r="N3" s="799"/>
      <c r="O3" s="179" t="s">
        <v>2</v>
      </c>
      <c r="P3" s="179" t="s">
        <v>3</v>
      </c>
      <c r="Q3" s="179" t="s">
        <v>4</v>
      </c>
      <c r="R3" s="490"/>
      <c r="S3" s="179" t="s">
        <v>2</v>
      </c>
      <c r="T3" s="179" t="s">
        <v>3</v>
      </c>
      <c r="U3" s="179" t="s">
        <v>4</v>
      </c>
      <c r="V3" s="490"/>
      <c r="W3" s="179" t="s">
        <v>2</v>
      </c>
      <c r="X3" s="179" t="s">
        <v>3</v>
      </c>
      <c r="Y3" s="179" t="s">
        <v>4</v>
      </c>
      <c r="Z3" s="799"/>
    </row>
    <row r="4" spans="1:26" x14ac:dyDescent="0.2">
      <c r="A4" s="180" t="s">
        <v>32</v>
      </c>
      <c r="B4" s="402">
        <v>332150.01952174061</v>
      </c>
      <c r="C4" s="402">
        <v>166625.09088054768</v>
      </c>
      <c r="D4" s="402">
        <v>165524.92864195645</v>
      </c>
      <c r="E4" s="403"/>
      <c r="F4" s="402">
        <v>136812.2169306264</v>
      </c>
      <c r="G4" s="402">
        <v>65646.185894334398</v>
      </c>
      <c r="H4" s="402">
        <v>71166.031036097324</v>
      </c>
      <c r="I4" s="402"/>
      <c r="J4" s="404">
        <v>41.189886764827584</v>
      </c>
      <c r="K4" s="404">
        <v>39.397539438673647</v>
      </c>
      <c r="L4" s="404">
        <v>42.994146936067764</v>
      </c>
      <c r="M4" s="405">
        <f>+L4/K4</f>
        <v>1.0912901553913692</v>
      </c>
      <c r="N4" s="405"/>
      <c r="O4" s="402">
        <v>329109.55894070817</v>
      </c>
      <c r="P4" s="402">
        <v>163076.83551976949</v>
      </c>
      <c r="Q4" s="402">
        <v>166032.72342091327</v>
      </c>
      <c r="R4" s="402"/>
      <c r="S4" s="402">
        <v>74821.634548587754</v>
      </c>
      <c r="T4" s="402">
        <v>33236.416265581225</v>
      </c>
      <c r="U4" s="402">
        <v>41585.218283013448</v>
      </c>
      <c r="V4" s="402"/>
      <c r="W4" s="406">
        <v>22.734567415622262</v>
      </c>
      <c r="X4" s="406">
        <v>20.380832237538169</v>
      </c>
      <c r="Y4" s="406">
        <v>25.046398942437985</v>
      </c>
      <c r="Z4" s="407">
        <v>1.2289193419838178</v>
      </c>
    </row>
    <row r="5" spans="1:26" x14ac:dyDescent="0.2">
      <c r="A5" s="181"/>
      <c r="B5" s="408"/>
      <c r="C5" s="408"/>
      <c r="D5" s="408"/>
      <c r="E5" s="409"/>
      <c r="F5" s="408"/>
      <c r="G5" s="408"/>
      <c r="H5" s="408"/>
      <c r="I5" s="408"/>
      <c r="J5" s="410"/>
      <c r="K5" s="410"/>
      <c r="L5" s="410"/>
      <c r="M5" s="411"/>
      <c r="N5" s="411"/>
      <c r="O5" s="408"/>
      <c r="P5" s="408"/>
      <c r="Q5" s="408"/>
      <c r="R5" s="408"/>
      <c r="S5" s="408"/>
      <c r="T5" s="408"/>
      <c r="U5" s="408"/>
      <c r="V5" s="408"/>
      <c r="W5" s="412"/>
      <c r="X5" s="412"/>
      <c r="Y5" s="412"/>
      <c r="Z5" s="413"/>
    </row>
    <row r="6" spans="1:26" x14ac:dyDescent="0.2">
      <c r="A6" s="180" t="s">
        <v>167</v>
      </c>
      <c r="B6" s="402"/>
      <c r="C6" s="402"/>
      <c r="D6" s="402"/>
      <c r="E6" s="403"/>
      <c r="F6" s="402"/>
      <c r="G6" s="402"/>
      <c r="H6" s="402"/>
      <c r="I6" s="402"/>
      <c r="J6" s="404"/>
      <c r="K6" s="404"/>
      <c r="L6" s="404"/>
      <c r="M6" s="405"/>
      <c r="N6" s="405"/>
      <c r="O6" s="402"/>
      <c r="P6" s="402"/>
      <c r="Q6" s="402"/>
      <c r="R6" s="402"/>
      <c r="S6" s="402"/>
      <c r="T6" s="402"/>
      <c r="U6" s="402"/>
      <c r="V6" s="402"/>
      <c r="W6" s="406"/>
      <c r="X6" s="406"/>
      <c r="Y6" s="406"/>
      <c r="Z6" s="407"/>
    </row>
    <row r="7" spans="1:26" x14ac:dyDescent="0.2">
      <c r="A7" s="182" t="s">
        <v>8</v>
      </c>
      <c r="B7" s="414">
        <v>79002.307742524208</v>
      </c>
      <c r="C7" s="414">
        <v>37550.174122868091</v>
      </c>
      <c r="D7" s="414">
        <v>41452.133619616623</v>
      </c>
      <c r="E7" s="415"/>
      <c r="F7" s="414">
        <v>60996.192211135611</v>
      </c>
      <c r="G7" s="414">
        <v>28733.649055092872</v>
      </c>
      <c r="H7" s="414">
        <v>32262.543156054715</v>
      </c>
      <c r="I7" s="414"/>
      <c r="J7" s="416">
        <v>77.208114489481432</v>
      </c>
      <c r="K7" s="416">
        <v>76.520681265222947</v>
      </c>
      <c r="L7" s="416">
        <v>77.830838460844973</v>
      </c>
      <c r="M7" s="417">
        <f t="shared" ref="M7:M42" si="0">+L7/K7</f>
        <v>1.0171216091383319</v>
      </c>
      <c r="N7" s="417"/>
      <c r="O7" s="414">
        <v>91513.257501776185</v>
      </c>
      <c r="P7" s="414">
        <v>41871.964538390166</v>
      </c>
      <c r="Q7" s="414">
        <v>49641.29296338938</v>
      </c>
      <c r="R7" s="414"/>
      <c r="S7" s="414">
        <v>49587.636522030167</v>
      </c>
      <c r="T7" s="414">
        <v>22186.465798514553</v>
      </c>
      <c r="U7" s="414">
        <v>27401.170723509254</v>
      </c>
      <c r="V7" s="414"/>
      <c r="W7" s="418">
        <v>54.186287184741545</v>
      </c>
      <c r="X7" s="418">
        <v>52.986445807121903</v>
      </c>
      <c r="Y7" s="418">
        <v>55.198342121570263</v>
      </c>
      <c r="Z7" s="419">
        <v>1.0417445684600166</v>
      </c>
    </row>
    <row r="8" spans="1:26" x14ac:dyDescent="0.2">
      <c r="A8" s="182" t="s">
        <v>9</v>
      </c>
      <c r="B8" s="414">
        <v>253147.71177958182</v>
      </c>
      <c r="C8" s="414">
        <v>129074.91675781982</v>
      </c>
      <c r="D8" s="414">
        <v>124072.79502245673</v>
      </c>
      <c r="E8" s="415"/>
      <c r="F8" s="414">
        <v>75816.024719313471</v>
      </c>
      <c r="G8" s="414">
        <v>36912.536839253087</v>
      </c>
      <c r="H8" s="414">
        <v>38903.48788003307</v>
      </c>
      <c r="I8" s="414"/>
      <c r="J8" s="416">
        <v>29.949322546263762</v>
      </c>
      <c r="K8" s="416">
        <v>28.597761491113872</v>
      </c>
      <c r="L8" s="416">
        <v>31.355373168625217</v>
      </c>
      <c r="M8" s="417">
        <f t="shared" si="0"/>
        <v>1.0964275360632059</v>
      </c>
      <c r="N8" s="417"/>
      <c r="O8" s="414">
        <v>237596.30143890996</v>
      </c>
      <c r="P8" s="414">
        <v>121204.87098137579</v>
      </c>
      <c r="Q8" s="414">
        <v>116391.43045751905</v>
      </c>
      <c r="R8" s="414"/>
      <c r="S8" s="414">
        <v>25233.998026564353</v>
      </c>
      <c r="T8" s="414">
        <v>11049.950467061853</v>
      </c>
      <c r="U8" s="414">
        <v>14184.047559498134</v>
      </c>
      <c r="V8" s="414"/>
      <c r="W8" s="418">
        <v>10.620534862596211</v>
      </c>
      <c r="X8" s="418">
        <v>9.1167544485563337</v>
      </c>
      <c r="Y8" s="418">
        <v>12.186505057753861</v>
      </c>
      <c r="Z8" s="419">
        <v>1.3367152890339864</v>
      </c>
    </row>
    <row r="9" spans="1:26" x14ac:dyDescent="0.2">
      <c r="A9" s="180" t="s">
        <v>359</v>
      </c>
      <c r="B9" s="402"/>
      <c r="C9" s="402"/>
      <c r="D9" s="402"/>
      <c r="E9" s="403"/>
      <c r="F9" s="402"/>
      <c r="G9" s="402"/>
      <c r="H9" s="402"/>
      <c r="I9" s="402"/>
      <c r="J9" s="404"/>
      <c r="K9" s="404"/>
      <c r="L9" s="404"/>
      <c r="M9" s="405"/>
      <c r="N9" s="405"/>
      <c r="O9" s="402"/>
      <c r="P9" s="402"/>
      <c r="Q9" s="402"/>
      <c r="R9" s="402"/>
      <c r="S9" s="402"/>
      <c r="T9" s="402"/>
      <c r="U9" s="402"/>
      <c r="V9" s="402"/>
      <c r="W9" s="406"/>
      <c r="X9" s="406"/>
      <c r="Y9" s="406"/>
      <c r="Z9" s="407"/>
    </row>
    <row r="10" spans="1:26" x14ac:dyDescent="0.2">
      <c r="A10" s="181" t="s">
        <v>11</v>
      </c>
      <c r="B10" s="408">
        <v>46899.649756052866</v>
      </c>
      <c r="C10" s="408">
        <v>23482.182590932287</v>
      </c>
      <c r="D10" s="408">
        <v>23417.467165132555</v>
      </c>
      <c r="E10" s="409"/>
      <c r="F10" s="408">
        <v>23329.911000815271</v>
      </c>
      <c r="G10" s="408">
        <v>11302.358776442623</v>
      </c>
      <c r="H10" s="408">
        <v>12027.552224375604</v>
      </c>
      <c r="I10" s="408"/>
      <c r="J10" s="410">
        <v>49.744318181839702</v>
      </c>
      <c r="K10" s="410">
        <v>48.131636540489232</v>
      </c>
      <c r="L10" s="410">
        <v>51.361456555314646</v>
      </c>
      <c r="M10" s="411">
        <f t="shared" si="0"/>
        <v>1.0671038893952511</v>
      </c>
      <c r="N10" s="411"/>
      <c r="O10" s="408">
        <v>45172.067815793744</v>
      </c>
      <c r="P10" s="408">
        <v>22547.625724610898</v>
      </c>
      <c r="Q10" s="408">
        <v>22624.442091181223</v>
      </c>
      <c r="R10" s="408"/>
      <c r="S10" s="408">
        <v>11744.022620749764</v>
      </c>
      <c r="T10" s="408">
        <v>5198.0870656198949</v>
      </c>
      <c r="U10" s="408">
        <v>6545.9355551293902</v>
      </c>
      <c r="V10" s="408"/>
      <c r="W10" s="412">
        <v>25.99841713830773</v>
      </c>
      <c r="X10" s="412">
        <v>23.053811204372057</v>
      </c>
      <c r="Y10" s="412">
        <v>28.933025303997056</v>
      </c>
      <c r="Z10" s="413">
        <v>1.255021351893002</v>
      </c>
    </row>
    <row r="11" spans="1:26" x14ac:dyDescent="0.2">
      <c r="A11" s="348" t="s">
        <v>12</v>
      </c>
      <c r="B11" s="414">
        <v>30874.968291113408</v>
      </c>
      <c r="C11" s="414">
        <v>15208.125062947813</v>
      </c>
      <c r="D11" s="414">
        <v>15666.843228175761</v>
      </c>
      <c r="E11" s="415"/>
      <c r="F11" s="414">
        <v>15510.764848305671</v>
      </c>
      <c r="G11" s="414">
        <v>7388.9789104319589</v>
      </c>
      <c r="H11" s="414">
        <v>8121.7859378704479</v>
      </c>
      <c r="I11" s="414"/>
      <c r="J11" s="416">
        <v>50.237346649419827</v>
      </c>
      <c r="K11" s="416">
        <v>48.585732165196603</v>
      </c>
      <c r="L11" s="416">
        <v>51.840602599915933</v>
      </c>
      <c r="M11" s="417">
        <f t="shared" si="0"/>
        <v>1.0669923100809189</v>
      </c>
      <c r="N11" s="417"/>
      <c r="O11" s="414">
        <v>29760.334890985236</v>
      </c>
      <c r="P11" s="414">
        <v>14522.262314769085</v>
      </c>
      <c r="Q11" s="414">
        <v>15238.072576214503</v>
      </c>
      <c r="R11" s="414"/>
      <c r="S11" s="414">
        <v>8753.0068345139025</v>
      </c>
      <c r="T11" s="414">
        <v>3918.1732221763168</v>
      </c>
      <c r="U11" s="414">
        <v>4834.8336123376157</v>
      </c>
      <c r="V11" s="414"/>
      <c r="W11" s="418">
        <v>29.411654359996124</v>
      </c>
      <c r="X11" s="418">
        <v>26.980460325329226</v>
      </c>
      <c r="Y11" s="418">
        <v>31.728642767358362</v>
      </c>
      <c r="Z11" s="419">
        <v>1.1759859685407794</v>
      </c>
    </row>
    <row r="12" spans="1:26" x14ac:dyDescent="0.2">
      <c r="A12" s="349" t="s">
        <v>13</v>
      </c>
      <c r="B12" s="414">
        <v>16024.681464951091</v>
      </c>
      <c r="C12" s="414">
        <v>8274.0575279875757</v>
      </c>
      <c r="D12" s="414">
        <v>7750.6239369600444</v>
      </c>
      <c r="E12" s="415"/>
      <c r="F12" s="414">
        <v>7819.1461525127343</v>
      </c>
      <c r="G12" s="414">
        <v>3913.3798660094108</v>
      </c>
      <c r="H12" s="414">
        <v>3905.7662865035563</v>
      </c>
      <c r="I12" s="414"/>
      <c r="J12" s="416">
        <v>48.794393633437473</v>
      </c>
      <c r="K12" s="416">
        <v>47.296986427423313</v>
      </c>
      <c r="L12" s="416">
        <v>50.392927308450325</v>
      </c>
      <c r="M12" s="417">
        <f t="shared" si="0"/>
        <v>1.0654574660010887</v>
      </c>
      <c r="N12" s="417"/>
      <c r="O12" s="414">
        <v>15411.732924806727</v>
      </c>
      <c r="P12" s="414">
        <v>8025.3634098402608</v>
      </c>
      <c r="Q12" s="414">
        <v>7386.3695149650885</v>
      </c>
      <c r="R12" s="414"/>
      <c r="S12" s="414">
        <v>2991.0157862354645</v>
      </c>
      <c r="T12" s="414">
        <v>1279.9138434436554</v>
      </c>
      <c r="U12" s="414">
        <v>1711.1019427918611</v>
      </c>
      <c r="V12" s="414"/>
      <c r="W12" s="418">
        <v>19.407394358756537</v>
      </c>
      <c r="X12" s="418">
        <v>15.94835994435214</v>
      </c>
      <c r="Y12" s="418">
        <v>23.165669403962426</v>
      </c>
      <c r="Z12" s="419">
        <v>1.4525424234713351</v>
      </c>
    </row>
    <row r="13" spans="1:26" x14ac:dyDescent="0.2">
      <c r="A13" s="181" t="s">
        <v>44</v>
      </c>
      <c r="B13" s="408">
        <v>86773.869023151114</v>
      </c>
      <c r="C13" s="408">
        <v>42740.73195098187</v>
      </c>
      <c r="D13" s="408">
        <v>44033.137072100042</v>
      </c>
      <c r="E13" s="409"/>
      <c r="F13" s="408">
        <v>53376.902520655429</v>
      </c>
      <c r="G13" s="408">
        <v>25492.167580476897</v>
      </c>
      <c r="H13" s="408">
        <v>27884.734940190508</v>
      </c>
      <c r="I13" s="408"/>
      <c r="J13" s="410">
        <v>61.512645594311373</v>
      </c>
      <c r="K13" s="410">
        <v>59.643731908281033</v>
      </c>
      <c r="L13" s="410">
        <v>63.32670528228617</v>
      </c>
      <c r="M13" s="411">
        <f t="shared" si="0"/>
        <v>1.0617495461160738</v>
      </c>
      <c r="N13" s="411"/>
      <c r="O13" s="408">
        <v>94552.920004816653</v>
      </c>
      <c r="P13" s="408">
        <v>44764.155907750122</v>
      </c>
      <c r="Q13" s="408">
        <v>49788.764097066109</v>
      </c>
      <c r="R13" s="408"/>
      <c r="S13" s="408">
        <v>36295.189757360647</v>
      </c>
      <c r="T13" s="408">
        <v>15915.80783985687</v>
      </c>
      <c r="U13" s="408">
        <v>20379.38191749778</v>
      </c>
      <c r="V13" s="408"/>
      <c r="W13" s="412">
        <v>38.386111984165844</v>
      </c>
      <c r="X13" s="412">
        <v>35.554803876243184</v>
      </c>
      <c r="Y13" s="412">
        <v>40.931688679327053</v>
      </c>
      <c r="Z13" s="413">
        <v>1.1512280821966949</v>
      </c>
    </row>
    <row r="14" spans="1:26" x14ac:dyDescent="0.2">
      <c r="A14" s="348" t="s">
        <v>15</v>
      </c>
      <c r="B14" s="414">
        <v>68564.090239962869</v>
      </c>
      <c r="C14" s="414">
        <v>33355.091815144304</v>
      </c>
      <c r="D14" s="414">
        <v>35208.998424818972</v>
      </c>
      <c r="E14" s="415"/>
      <c r="F14" s="414">
        <v>46654.111816989178</v>
      </c>
      <c r="G14" s="414">
        <v>22088.897541361592</v>
      </c>
      <c r="H14" s="414">
        <v>24565.214275639562</v>
      </c>
      <c r="I14" s="414"/>
      <c r="J14" s="416">
        <v>68.044528343801559</v>
      </c>
      <c r="K14" s="416">
        <v>66.223464962362286</v>
      </c>
      <c r="L14" s="416">
        <v>69.769704832976231</v>
      </c>
      <c r="M14" s="417">
        <f t="shared" si="0"/>
        <v>1.0535495971500348</v>
      </c>
      <c r="N14" s="417"/>
      <c r="O14" s="414">
        <v>76179.461701355831</v>
      </c>
      <c r="P14" s="414">
        <v>35586.292615351456</v>
      </c>
      <c r="Q14" s="414">
        <v>40593.169086002104</v>
      </c>
      <c r="R14" s="414"/>
      <c r="S14" s="414">
        <v>33986.880136713269</v>
      </c>
      <c r="T14" s="414">
        <v>14926.389688372568</v>
      </c>
      <c r="U14" s="414">
        <v>19060.490448335095</v>
      </c>
      <c r="V14" s="414"/>
      <c r="W14" s="418">
        <v>44.614229843129849</v>
      </c>
      <c r="X14" s="418">
        <v>41.944211075061467</v>
      </c>
      <c r="Y14" s="418">
        <v>46.954920932512813</v>
      </c>
      <c r="Z14" s="419">
        <v>1.1194612970186615</v>
      </c>
    </row>
    <row r="15" spans="1:26" x14ac:dyDescent="0.2">
      <c r="A15" s="348" t="s">
        <v>16</v>
      </c>
      <c r="B15" s="414">
        <v>18209.778783130612</v>
      </c>
      <c r="C15" s="414">
        <v>9385.6401358428539</v>
      </c>
      <c r="D15" s="414">
        <v>8824.1386472858212</v>
      </c>
      <c r="E15" s="415"/>
      <c r="F15" s="414">
        <v>6722.7907036696961</v>
      </c>
      <c r="G15" s="414">
        <v>3403.2700391171638</v>
      </c>
      <c r="H15" s="414">
        <v>3319.5206645527651</v>
      </c>
      <c r="I15" s="414"/>
      <c r="J15" s="416">
        <v>36.918574265699753</v>
      </c>
      <c r="K15" s="416">
        <v>36.260393429324907</v>
      </c>
      <c r="L15" s="416">
        <v>37.618636755825264</v>
      </c>
      <c r="M15" s="417">
        <f t="shared" si="0"/>
        <v>1.0374580416273671</v>
      </c>
      <c r="N15" s="417"/>
      <c r="O15" s="414">
        <v>18373.458303460815</v>
      </c>
      <c r="P15" s="414">
        <v>9177.8632923969653</v>
      </c>
      <c r="Q15" s="414">
        <v>9195.5950110619742</v>
      </c>
      <c r="R15" s="414"/>
      <c r="S15" s="414">
        <v>2308.3096206463169</v>
      </c>
      <c r="T15" s="414">
        <v>989.41815148424632</v>
      </c>
      <c r="U15" s="414">
        <v>1318.8914691621069</v>
      </c>
      <c r="V15" s="414"/>
      <c r="W15" s="418">
        <v>12.563283310750288</v>
      </c>
      <c r="X15" s="418">
        <v>10.780484737704525</v>
      </c>
      <c r="Y15" s="418">
        <v>14.342644141847595</v>
      </c>
      <c r="Z15" s="419">
        <v>1.3304266450732489</v>
      </c>
    </row>
    <row r="16" spans="1:26" x14ac:dyDescent="0.2">
      <c r="A16" s="181" t="s">
        <v>17</v>
      </c>
      <c r="B16" s="408">
        <v>7288.0989819793876</v>
      </c>
      <c r="C16" s="408">
        <v>3740.1709322512224</v>
      </c>
      <c r="D16" s="408">
        <v>3547.928049728398</v>
      </c>
      <c r="E16" s="409"/>
      <c r="F16" s="408">
        <v>1326.6662288952816</v>
      </c>
      <c r="G16" s="408">
        <v>681.41536577404156</v>
      </c>
      <c r="H16" s="408">
        <v>645.25086312122869</v>
      </c>
      <c r="I16" s="408"/>
      <c r="J16" s="410">
        <v>18.203186210500355</v>
      </c>
      <c r="K16" s="410">
        <v>18.218829516540115</v>
      </c>
      <c r="L16" s="410">
        <v>18.186695278970543</v>
      </c>
      <c r="M16" s="411">
        <f t="shared" si="0"/>
        <v>0.99823620735127916</v>
      </c>
      <c r="N16" s="411"/>
      <c r="O16" s="408">
        <v>6425.7405068321377</v>
      </c>
      <c r="P16" s="408">
        <v>3245.764503027041</v>
      </c>
      <c r="Q16" s="408">
        <v>3179.9760038052291</v>
      </c>
      <c r="R16" s="408"/>
      <c r="S16" s="408">
        <v>1174.135924762697</v>
      </c>
      <c r="T16" s="408">
        <v>603.16514621485203</v>
      </c>
      <c r="U16" s="408">
        <v>570.97077854783925</v>
      </c>
      <c r="V16" s="408"/>
      <c r="W16" s="412">
        <v>18.272383136454099</v>
      </c>
      <c r="X16" s="412">
        <v>18.583145685780103</v>
      </c>
      <c r="Y16" s="412">
        <v>17.95519141857055</v>
      </c>
      <c r="Z16" s="413">
        <v>0.96620839776927181</v>
      </c>
    </row>
    <row r="17" spans="1:30" x14ac:dyDescent="0.2">
      <c r="A17" s="348" t="s">
        <v>17</v>
      </c>
      <c r="B17" s="414">
        <v>7288.0989819793876</v>
      </c>
      <c r="C17" s="414">
        <v>3740.1709322512224</v>
      </c>
      <c r="D17" s="414">
        <v>3547.928049728398</v>
      </c>
      <c r="E17" s="415"/>
      <c r="F17" s="414">
        <v>1326.6662288952816</v>
      </c>
      <c r="G17" s="414">
        <v>681.41536577404156</v>
      </c>
      <c r="H17" s="414">
        <v>645.25086312122869</v>
      </c>
      <c r="I17" s="414"/>
      <c r="J17" s="416">
        <v>18.203186210500355</v>
      </c>
      <c r="K17" s="416">
        <v>18.218829516540115</v>
      </c>
      <c r="L17" s="416">
        <v>18.186695278970543</v>
      </c>
      <c r="M17" s="417">
        <f t="shared" si="0"/>
        <v>0.99823620735127916</v>
      </c>
      <c r="N17" s="417"/>
      <c r="O17" s="414">
        <v>6425.7405068321377</v>
      </c>
      <c r="P17" s="414">
        <v>3245.764503027041</v>
      </c>
      <c r="Q17" s="414">
        <v>3179.9760038052291</v>
      </c>
      <c r="R17" s="414"/>
      <c r="S17" s="414">
        <v>1174.135924762697</v>
      </c>
      <c r="T17" s="414">
        <v>603.16514621485203</v>
      </c>
      <c r="U17" s="414">
        <v>570.97077854783925</v>
      </c>
      <c r="V17" s="414"/>
      <c r="W17" s="418">
        <v>18.272383136454099</v>
      </c>
      <c r="X17" s="418">
        <v>18.583145685780103</v>
      </c>
      <c r="Y17" s="418">
        <v>17.95519141857055</v>
      </c>
      <c r="Z17" s="419">
        <v>0.96620839776927181</v>
      </c>
    </row>
    <row r="18" spans="1:30" x14ac:dyDescent="0.2">
      <c r="A18" s="181" t="s">
        <v>18</v>
      </c>
      <c r="B18" s="408">
        <v>6336.4015437475837</v>
      </c>
      <c r="C18" s="408">
        <v>3184.3796283238489</v>
      </c>
      <c r="D18" s="408">
        <v>3152.0219154239676</v>
      </c>
      <c r="E18" s="409"/>
      <c r="F18" s="408">
        <v>643.34746824476485</v>
      </c>
      <c r="G18" s="408">
        <v>293.12281097542564</v>
      </c>
      <c r="H18" s="408">
        <v>350.22465726933899</v>
      </c>
      <c r="I18" s="408"/>
      <c r="J18" s="410">
        <v>10.153199158907199</v>
      </c>
      <c r="K18" s="410">
        <v>9.2050209205023439</v>
      </c>
      <c r="L18" s="410">
        <v>11.111111111111398</v>
      </c>
      <c r="M18" s="411">
        <f t="shared" si="0"/>
        <v>1.2070707070707052</v>
      </c>
      <c r="N18" s="411"/>
      <c r="O18" s="408">
        <v>6151.6516446213645</v>
      </c>
      <c r="P18" s="408">
        <v>3226.5717407928837</v>
      </c>
      <c r="Q18" s="408">
        <v>2925.0799038286164</v>
      </c>
      <c r="R18" s="408"/>
      <c r="S18" s="408">
        <v>335.18350230725838</v>
      </c>
      <c r="T18" s="408">
        <v>169.24786229910941</v>
      </c>
      <c r="U18" s="408">
        <v>165.93564000814999</v>
      </c>
      <c r="V18" s="408"/>
      <c r="W18" s="412">
        <v>5.4486749522028415</v>
      </c>
      <c r="X18" s="412">
        <v>5.2454393051096169</v>
      </c>
      <c r="Y18" s="412">
        <v>5.672858365029894</v>
      </c>
      <c r="Z18" s="413">
        <v>1.0814839396776406</v>
      </c>
    </row>
    <row r="19" spans="1:30" x14ac:dyDescent="0.2">
      <c r="A19" s="348" t="s">
        <v>18</v>
      </c>
      <c r="B19" s="414">
        <v>6336.4015437475837</v>
      </c>
      <c r="C19" s="414">
        <v>3184.3796283238489</v>
      </c>
      <c r="D19" s="414">
        <v>3152.0219154239676</v>
      </c>
      <c r="E19" s="415"/>
      <c r="F19" s="414">
        <v>643.34746824476485</v>
      </c>
      <c r="G19" s="414">
        <v>293.12281097542564</v>
      </c>
      <c r="H19" s="414">
        <v>350.22465726933899</v>
      </c>
      <c r="I19" s="414"/>
      <c r="J19" s="416">
        <v>10.153199158907199</v>
      </c>
      <c r="K19" s="416">
        <v>9.2050209205023439</v>
      </c>
      <c r="L19" s="416">
        <v>11.111111111111398</v>
      </c>
      <c r="M19" s="417">
        <f t="shared" si="0"/>
        <v>1.2070707070707052</v>
      </c>
      <c r="N19" s="417"/>
      <c r="O19" s="414">
        <v>6151.6516446213645</v>
      </c>
      <c r="P19" s="414">
        <v>3226.5717407928837</v>
      </c>
      <c r="Q19" s="414">
        <v>2925.0799038286164</v>
      </c>
      <c r="R19" s="414"/>
      <c r="S19" s="414">
        <v>335.18350230725838</v>
      </c>
      <c r="T19" s="414">
        <v>169.24786229910941</v>
      </c>
      <c r="U19" s="414">
        <v>165.93564000814999</v>
      </c>
      <c r="V19" s="414"/>
      <c r="W19" s="418">
        <v>5.4486749522028415</v>
      </c>
      <c r="X19" s="418">
        <v>5.2454393051096169</v>
      </c>
      <c r="Y19" s="418">
        <v>5.672858365029894</v>
      </c>
      <c r="Z19" s="419">
        <v>1.0814839396776406</v>
      </c>
    </row>
    <row r="20" spans="1:30" x14ac:dyDescent="0.2">
      <c r="A20" s="181" t="s">
        <v>19</v>
      </c>
      <c r="B20" s="408">
        <v>29557.81903660122</v>
      </c>
      <c r="C20" s="408">
        <v>14915.002251972277</v>
      </c>
      <c r="D20" s="408">
        <v>14642.816784637851</v>
      </c>
      <c r="E20" s="409"/>
      <c r="F20" s="408">
        <v>9417.9978487427506</v>
      </c>
      <c r="G20" s="408">
        <v>4505.3356725895928</v>
      </c>
      <c r="H20" s="408">
        <v>4912.6621761528049</v>
      </c>
      <c r="I20" s="408"/>
      <c r="J20" s="410">
        <v>31.86296606349709</v>
      </c>
      <c r="K20" s="410">
        <v>30.20673813169482</v>
      </c>
      <c r="L20" s="410">
        <v>33.549980501749182</v>
      </c>
      <c r="M20" s="411">
        <f t="shared" si="0"/>
        <v>1.110678695444657</v>
      </c>
      <c r="N20" s="411"/>
      <c r="O20" s="408">
        <v>27447.946171279975</v>
      </c>
      <c r="P20" s="408">
        <v>13791.755715880676</v>
      </c>
      <c r="Q20" s="408">
        <v>13656.190455397807</v>
      </c>
      <c r="R20" s="408"/>
      <c r="S20" s="408">
        <v>4092.3848861484998</v>
      </c>
      <c r="T20" s="408">
        <v>1922.798466569903</v>
      </c>
      <c r="U20" s="408">
        <v>2169.5864195786999</v>
      </c>
      <c r="V20" s="408"/>
      <c r="W20" s="412">
        <v>14.909621509061303</v>
      </c>
      <c r="X20" s="412">
        <v>13.941651129710003</v>
      </c>
      <c r="Y20" s="412">
        <v>15.88720094864501</v>
      </c>
      <c r="Z20" s="413">
        <v>1.139549455142296</v>
      </c>
    </row>
    <row r="21" spans="1:30" x14ac:dyDescent="0.2">
      <c r="A21" s="348" t="s">
        <v>19</v>
      </c>
      <c r="B21" s="414">
        <v>16464.365681414318</v>
      </c>
      <c r="C21" s="414">
        <v>8333.0627691579757</v>
      </c>
      <c r="D21" s="414">
        <v>8131.302912252766</v>
      </c>
      <c r="E21" s="415"/>
      <c r="F21" s="414">
        <v>7063.4983865566819</v>
      </c>
      <c r="G21" s="414">
        <v>3397.559854487773</v>
      </c>
      <c r="H21" s="414">
        <v>3665.9385320691417</v>
      </c>
      <c r="I21" s="414"/>
      <c r="J21" s="416">
        <v>42.901734104037004</v>
      </c>
      <c r="K21" s="416">
        <v>40.772042028325714</v>
      </c>
      <c r="L21" s="416">
        <v>45.084269662923838</v>
      </c>
      <c r="M21" s="417">
        <f t="shared" si="0"/>
        <v>1.1057643282031906</v>
      </c>
      <c r="N21" s="417"/>
      <c r="O21" s="414">
        <v>16553.726698057282</v>
      </c>
      <c r="P21" s="414">
        <v>8106.1317843427996</v>
      </c>
      <c r="Q21" s="414">
        <v>8447.5949137128609</v>
      </c>
      <c r="R21" s="414"/>
      <c r="S21" s="414">
        <v>3806.1950831673471</v>
      </c>
      <c r="T21" s="414">
        <v>1777.1377257446666</v>
      </c>
      <c r="U21" s="414">
        <v>2029.0573574227783</v>
      </c>
      <c r="V21" s="414"/>
      <c r="W21" s="418">
        <v>22.992980085953882</v>
      </c>
      <c r="X21" s="418">
        <v>21.923375699088293</v>
      </c>
      <c r="Y21" s="418">
        <v>24.019349627301146</v>
      </c>
      <c r="Z21" s="419">
        <v>1.0956045253696955</v>
      </c>
    </row>
    <row r="22" spans="1:30" x14ac:dyDescent="0.2">
      <c r="A22" s="348" t="s">
        <v>20</v>
      </c>
      <c r="B22" s="414">
        <v>13093.453355195734</v>
      </c>
      <c r="C22" s="414">
        <v>6581.9394828113891</v>
      </c>
      <c r="D22" s="414">
        <v>6511.5138723822356</v>
      </c>
      <c r="E22" s="415"/>
      <c r="F22" s="414">
        <v>2354.4994621857159</v>
      </c>
      <c r="G22" s="414">
        <v>1107.7758181019406</v>
      </c>
      <c r="H22" s="414">
        <v>1246.7236440838005</v>
      </c>
      <c r="I22" s="414"/>
      <c r="J22" s="416">
        <v>17.98226486407777</v>
      </c>
      <c r="K22" s="416">
        <v>16.830537883170759</v>
      </c>
      <c r="L22" s="416">
        <v>19.146448406900081</v>
      </c>
      <c r="M22" s="417">
        <f t="shared" si="0"/>
        <v>1.137601694004388</v>
      </c>
      <c r="N22" s="417"/>
      <c r="O22" s="414">
        <v>10894.219473221146</v>
      </c>
      <c r="P22" s="414">
        <v>5685.623931536752</v>
      </c>
      <c r="Q22" s="414">
        <v>5208.5955416839097</v>
      </c>
      <c r="R22" s="414"/>
      <c r="S22" s="414">
        <v>286.18980298116827</v>
      </c>
      <c r="T22" s="414">
        <v>145.66074082524</v>
      </c>
      <c r="U22" s="414">
        <v>140.52906215592861</v>
      </c>
      <c r="V22" s="414"/>
      <c r="W22" s="418">
        <v>2.6269876762134743</v>
      </c>
      <c r="X22" s="418">
        <v>2.5619130385549407</v>
      </c>
      <c r="Y22" s="418">
        <v>2.6980221641570661</v>
      </c>
      <c r="Z22" s="419">
        <v>1.053127925715581</v>
      </c>
    </row>
    <row r="23" spans="1:30" x14ac:dyDescent="0.2">
      <c r="A23" s="181" t="s">
        <v>21</v>
      </c>
      <c r="B23" s="408">
        <v>14439.153532856148</v>
      </c>
      <c r="C23" s="408">
        <v>7217.6733715502342</v>
      </c>
      <c r="D23" s="408">
        <v>7221.4801613031614</v>
      </c>
      <c r="E23" s="409"/>
      <c r="F23" s="408">
        <v>6172.7095843717134</v>
      </c>
      <c r="G23" s="408">
        <v>3020.6876689479786</v>
      </c>
      <c r="H23" s="408">
        <v>3152.0219154239676</v>
      </c>
      <c r="I23" s="408"/>
      <c r="J23" s="410">
        <v>42.749802267326835</v>
      </c>
      <c r="K23" s="410">
        <v>41.851265822787887</v>
      </c>
      <c r="L23" s="410">
        <v>43.647865050082054</v>
      </c>
      <c r="M23" s="411">
        <f t="shared" si="0"/>
        <v>1.0429281932570824</v>
      </c>
      <c r="N23" s="411"/>
      <c r="O23" s="408">
        <v>14094.837852545701</v>
      </c>
      <c r="P23" s="408">
        <v>7064.7479969973692</v>
      </c>
      <c r="Q23" s="408">
        <v>7030.0898555472331</v>
      </c>
      <c r="R23" s="408"/>
      <c r="S23" s="408">
        <v>1937.2928379153586</v>
      </c>
      <c r="T23" s="408">
        <v>964.75795658832851</v>
      </c>
      <c r="U23" s="408">
        <v>972.53488132705604</v>
      </c>
      <c r="V23" s="408"/>
      <c r="W23" s="412">
        <v>13.744697584906799</v>
      </c>
      <c r="X23" s="412">
        <v>13.655942957885562</v>
      </c>
      <c r="Y23" s="412">
        <v>13.83388976969694</v>
      </c>
      <c r="Z23" s="413">
        <v>1.013030723133522</v>
      </c>
    </row>
    <row r="24" spans="1:30" x14ac:dyDescent="0.2">
      <c r="A24" s="348" t="s">
        <v>21</v>
      </c>
      <c r="B24" s="414">
        <v>14439.153532856148</v>
      </c>
      <c r="C24" s="414">
        <v>7217.6733715502342</v>
      </c>
      <c r="D24" s="414">
        <v>7221.4801613031614</v>
      </c>
      <c r="E24" s="415"/>
      <c r="F24" s="414">
        <v>6172.7095843717134</v>
      </c>
      <c r="G24" s="414">
        <v>3020.6876689479786</v>
      </c>
      <c r="H24" s="414">
        <v>3152.0219154239676</v>
      </c>
      <c r="I24" s="414"/>
      <c r="J24" s="416">
        <v>42.749802267326835</v>
      </c>
      <c r="K24" s="416">
        <v>41.851265822787887</v>
      </c>
      <c r="L24" s="416">
        <v>43.647865050082054</v>
      </c>
      <c r="M24" s="417">
        <f t="shared" si="0"/>
        <v>1.0429281932570824</v>
      </c>
      <c r="N24" s="417"/>
      <c r="O24" s="414">
        <v>14094.837852545701</v>
      </c>
      <c r="P24" s="414">
        <v>7064.7479969973692</v>
      </c>
      <c r="Q24" s="414">
        <v>7030.0898555472331</v>
      </c>
      <c r="R24" s="414"/>
      <c r="S24" s="414">
        <v>1937.2928379153586</v>
      </c>
      <c r="T24" s="414">
        <v>964.75795658832851</v>
      </c>
      <c r="U24" s="414">
        <v>972.53488132705604</v>
      </c>
      <c r="V24" s="414"/>
      <c r="W24" s="418">
        <v>13.744697584906799</v>
      </c>
      <c r="X24" s="418">
        <v>13.655942957885562</v>
      </c>
      <c r="Y24" s="418">
        <v>13.83388976969694</v>
      </c>
      <c r="Z24" s="419">
        <v>1.013030723133522</v>
      </c>
    </row>
    <row r="25" spans="1:30" x14ac:dyDescent="0.2">
      <c r="A25" s="181" t="s">
        <v>22</v>
      </c>
      <c r="B25" s="408">
        <v>22739.858589111835</v>
      </c>
      <c r="C25" s="408">
        <v>11117.729473425565</v>
      </c>
      <c r="D25" s="408">
        <v>11622.129115688662</v>
      </c>
      <c r="E25" s="409"/>
      <c r="F25" s="408">
        <v>13805.323038993463</v>
      </c>
      <c r="G25" s="408">
        <v>6585.7462725643163</v>
      </c>
      <c r="H25" s="408">
        <v>7219.5767664266978</v>
      </c>
      <c r="I25" s="408"/>
      <c r="J25" s="410">
        <v>60.709801623845088</v>
      </c>
      <c r="K25" s="410">
        <v>59.236432117781625</v>
      </c>
      <c r="L25" s="410">
        <v>62.119226989838104</v>
      </c>
      <c r="M25" s="411">
        <f t="shared" si="0"/>
        <v>1.0486659099644038</v>
      </c>
      <c r="N25" s="411"/>
      <c r="O25" s="408">
        <v>24839.176799468947</v>
      </c>
      <c r="P25" s="408">
        <v>12262.379116020631</v>
      </c>
      <c r="Q25" s="408">
        <v>12576.797683446355</v>
      </c>
      <c r="R25" s="408"/>
      <c r="S25" s="408">
        <v>8889.1119800922406</v>
      </c>
      <c r="T25" s="408">
        <v>4089.2586679071733</v>
      </c>
      <c r="U25" s="408">
        <v>4799.8533121850842</v>
      </c>
      <c r="V25" s="408"/>
      <c r="W25" s="412">
        <v>35.786660934279858</v>
      </c>
      <c r="X25" s="412">
        <v>33.348003916832411</v>
      </c>
      <c r="Y25" s="412">
        <v>38.164351792849295</v>
      </c>
      <c r="Z25" s="413">
        <v>1.1444268714861772</v>
      </c>
      <c r="AD25" s="652"/>
    </row>
    <row r="26" spans="1:30" x14ac:dyDescent="0.2">
      <c r="A26" s="348" t="s">
        <v>22</v>
      </c>
      <c r="B26" s="414">
        <v>22739.858589111835</v>
      </c>
      <c r="C26" s="414">
        <v>11117.729473425565</v>
      </c>
      <c r="D26" s="414">
        <v>11622.129115688662</v>
      </c>
      <c r="E26" s="415"/>
      <c r="F26" s="414">
        <v>13805.323038993463</v>
      </c>
      <c r="G26" s="414">
        <v>6585.7462725643163</v>
      </c>
      <c r="H26" s="414">
        <v>7219.5767664266978</v>
      </c>
      <c r="I26" s="414"/>
      <c r="J26" s="416">
        <v>60.709801623845088</v>
      </c>
      <c r="K26" s="416">
        <v>59.236432117781625</v>
      </c>
      <c r="L26" s="416">
        <v>62.119226989838104</v>
      </c>
      <c r="M26" s="417">
        <f t="shared" si="0"/>
        <v>1.0486659099644038</v>
      </c>
      <c r="N26" s="417"/>
      <c r="O26" s="414">
        <v>24839.176799468947</v>
      </c>
      <c r="P26" s="414">
        <v>12262.379116020631</v>
      </c>
      <c r="Q26" s="414">
        <v>12576.797683446355</v>
      </c>
      <c r="R26" s="414"/>
      <c r="S26" s="414">
        <v>8889.1119800922406</v>
      </c>
      <c r="T26" s="414">
        <v>4089.2586679071733</v>
      </c>
      <c r="U26" s="414">
        <v>4799.8533121850842</v>
      </c>
      <c r="V26" s="414"/>
      <c r="W26" s="418">
        <v>35.786660934279858</v>
      </c>
      <c r="X26" s="418">
        <v>33.348003916832411</v>
      </c>
      <c r="Y26" s="418">
        <v>38.164351792849295</v>
      </c>
      <c r="Z26" s="419">
        <v>1.1444268714861772</v>
      </c>
    </row>
    <row r="27" spans="1:30" x14ac:dyDescent="0.2">
      <c r="A27" s="181" t="s">
        <v>23</v>
      </c>
      <c r="B27" s="408">
        <v>33522.590564273021</v>
      </c>
      <c r="C27" s="408">
        <v>16905.953292753664</v>
      </c>
      <c r="D27" s="408">
        <v>16616.637271531334</v>
      </c>
      <c r="E27" s="409"/>
      <c r="F27" s="408">
        <v>10028.987604087861</v>
      </c>
      <c r="G27" s="408">
        <v>4689.9649756065628</v>
      </c>
      <c r="H27" s="408">
        <v>5339.0226284806531</v>
      </c>
      <c r="I27" s="408"/>
      <c r="J27" s="410">
        <v>29.917101975929665</v>
      </c>
      <c r="K27" s="410">
        <v>27.74149966223354</v>
      </c>
      <c r="L27" s="410">
        <v>32.130584192433716</v>
      </c>
      <c r="M27" s="411">
        <f t="shared" si="0"/>
        <v>1.1582136720667393</v>
      </c>
      <c r="N27" s="411"/>
      <c r="O27" s="408">
        <v>32380.624330849267</v>
      </c>
      <c r="P27" s="408">
        <v>16261.813115156619</v>
      </c>
      <c r="Q27" s="408">
        <v>16118.811215690834</v>
      </c>
      <c r="R27" s="408"/>
      <c r="S27" s="408">
        <v>3232.4202450806092</v>
      </c>
      <c r="T27" s="408">
        <v>1253.6724123736676</v>
      </c>
      <c r="U27" s="408">
        <v>1978.7478327070037</v>
      </c>
      <c r="V27" s="408"/>
      <c r="W27" s="412">
        <v>9.982575419341698</v>
      </c>
      <c r="X27" s="412">
        <v>7.709302791121118</v>
      </c>
      <c r="Y27" s="412">
        <v>12.276015930882147</v>
      </c>
      <c r="Z27" s="413">
        <v>1.5923639612418077</v>
      </c>
    </row>
    <row r="28" spans="1:30" x14ac:dyDescent="0.2">
      <c r="A28" s="348" t="s">
        <v>23</v>
      </c>
      <c r="B28" s="414">
        <v>17151.491231817352</v>
      </c>
      <c r="C28" s="414">
        <v>8597.6346569865436</v>
      </c>
      <c r="D28" s="414">
        <v>8553.8565748278597</v>
      </c>
      <c r="E28" s="415"/>
      <c r="F28" s="414">
        <v>6996.8795658804556</v>
      </c>
      <c r="G28" s="414">
        <v>3283.3561618999565</v>
      </c>
      <c r="H28" s="414">
        <v>3713.5234039807319</v>
      </c>
      <c r="I28" s="414"/>
      <c r="J28" s="416">
        <v>40.794584396840726</v>
      </c>
      <c r="K28" s="416">
        <v>38.189063537748055</v>
      </c>
      <c r="L28" s="416">
        <v>43.413440142413627</v>
      </c>
      <c r="M28" s="417">
        <f t="shared" si="0"/>
        <v>1.1368029514392655</v>
      </c>
      <c r="N28" s="417"/>
      <c r="O28" s="414">
        <v>17067.572971494552</v>
      </c>
      <c r="P28" s="414">
        <v>8410.0964586169521</v>
      </c>
      <c r="Q28" s="414">
        <v>8657.4765128759263</v>
      </c>
      <c r="R28" s="414"/>
      <c r="S28" s="414">
        <v>2264.1073142337441</v>
      </c>
      <c r="T28" s="414">
        <v>839.53092841551756</v>
      </c>
      <c r="U28" s="414">
        <v>1424.5763858182531</v>
      </c>
      <c r="V28" s="414"/>
      <c r="W28" s="418">
        <v>13.265549343279115</v>
      </c>
      <c r="X28" s="418">
        <v>9.9824173545041095</v>
      </c>
      <c r="Y28" s="418">
        <v>16.454868617888167</v>
      </c>
      <c r="Z28" s="419">
        <v>1.6483851589779162</v>
      </c>
    </row>
    <row r="29" spans="1:30" x14ac:dyDescent="0.2">
      <c r="A29" s="348" t="s">
        <v>24</v>
      </c>
      <c r="B29" s="414">
        <v>16371.099332467633</v>
      </c>
      <c r="C29" s="414">
        <v>8308.318635763937</v>
      </c>
      <c r="D29" s="414">
        <v>8062.7806967000761</v>
      </c>
      <c r="E29" s="415"/>
      <c r="F29" s="414">
        <v>3032.1080382067603</v>
      </c>
      <c r="G29" s="414">
        <v>1406.6088137067627</v>
      </c>
      <c r="H29" s="414">
        <v>1625.4992245001038</v>
      </c>
      <c r="I29" s="414"/>
      <c r="J29" s="416">
        <v>18.52110219741617</v>
      </c>
      <c r="K29" s="416">
        <v>16.930126002292344</v>
      </c>
      <c r="L29" s="416">
        <v>20.160528800757252</v>
      </c>
      <c r="M29" s="417">
        <f t="shared" si="0"/>
        <v>1.1908079596116126</v>
      </c>
      <c r="N29" s="417"/>
      <c r="O29" s="414">
        <v>15313.051359352934</v>
      </c>
      <c r="P29" s="414">
        <v>7851.7166565380967</v>
      </c>
      <c r="Q29" s="414">
        <v>7461.3347028134085</v>
      </c>
      <c r="R29" s="414"/>
      <c r="S29" s="414">
        <v>968.31293084692061</v>
      </c>
      <c r="T29" s="414">
        <v>414.14148395815238</v>
      </c>
      <c r="U29" s="414">
        <v>554.17144688876056</v>
      </c>
      <c r="V29" s="414"/>
      <c r="W29" s="418">
        <v>6.3234485937741471</v>
      </c>
      <c r="X29" s="418">
        <v>5.2745342461294609</v>
      </c>
      <c r="Y29" s="418">
        <v>7.4272428320338237</v>
      </c>
      <c r="Z29" s="419">
        <v>1.4081324502697192</v>
      </c>
    </row>
    <row r="30" spans="1:30" x14ac:dyDescent="0.2">
      <c r="A30" s="181" t="s">
        <v>25</v>
      </c>
      <c r="B30" s="408">
        <v>3477.5024392992445</v>
      </c>
      <c r="C30" s="408">
        <v>1785.3843941230659</v>
      </c>
      <c r="D30" s="408">
        <v>1692.118045176338</v>
      </c>
      <c r="E30" s="409"/>
      <c r="F30" s="408">
        <v>161.78856449942353</v>
      </c>
      <c r="G30" s="408">
        <v>78.039189935016026</v>
      </c>
      <c r="H30" s="408">
        <v>83.749374564407447</v>
      </c>
      <c r="I30" s="408"/>
      <c r="J30" s="410">
        <v>4.6524356869186203</v>
      </c>
      <c r="K30" s="410">
        <v>4.3710021321961223</v>
      </c>
      <c r="L30" s="410">
        <v>4.9493813273340397</v>
      </c>
      <c r="M30" s="411">
        <f t="shared" si="0"/>
        <v>1.1323218743998467</v>
      </c>
      <c r="N30" s="411"/>
      <c r="O30" s="408">
        <v>3785.8793981142721</v>
      </c>
      <c r="P30" s="408">
        <v>2094.4171006273382</v>
      </c>
      <c r="Q30" s="408">
        <v>1691.4622974870422</v>
      </c>
      <c r="R30" s="408"/>
      <c r="S30" s="408">
        <v>70.098919963416321</v>
      </c>
      <c r="T30" s="408">
        <v>27.393911226796991</v>
      </c>
      <c r="U30" s="408">
        <v>42.705008736619291</v>
      </c>
      <c r="V30" s="408"/>
      <c r="W30" s="412">
        <v>1.8515888276402102</v>
      </c>
      <c r="X30" s="412">
        <v>1.3079491768183011</v>
      </c>
      <c r="Y30" s="412">
        <v>2.5247390261116025</v>
      </c>
      <c r="Z30" s="413">
        <v>1.9303036164243379</v>
      </c>
    </row>
    <row r="31" spans="1:30" x14ac:dyDescent="0.2">
      <c r="A31" s="348" t="s">
        <v>25</v>
      </c>
      <c r="B31" s="414">
        <v>3477.5024392992445</v>
      </c>
      <c r="C31" s="414">
        <v>1785.3843941230659</v>
      </c>
      <c r="D31" s="414">
        <v>1692.118045176338</v>
      </c>
      <c r="E31" s="415"/>
      <c r="F31" s="414">
        <v>161.78856449942353</v>
      </c>
      <c r="G31" s="414">
        <v>78.039189935016026</v>
      </c>
      <c r="H31" s="414">
        <v>83.749374564407447</v>
      </c>
      <c r="I31" s="414"/>
      <c r="J31" s="416">
        <v>4.6524356869186203</v>
      </c>
      <c r="K31" s="416">
        <v>4.3710021321961223</v>
      </c>
      <c r="L31" s="416">
        <v>4.9493813273340397</v>
      </c>
      <c r="M31" s="417">
        <f t="shared" si="0"/>
        <v>1.1323218743998467</v>
      </c>
      <c r="N31" s="417"/>
      <c r="O31" s="414">
        <v>3785.8793981142721</v>
      </c>
      <c r="P31" s="414">
        <v>2094.4171006273382</v>
      </c>
      <c r="Q31" s="414">
        <v>1691.4622974870422</v>
      </c>
      <c r="R31" s="414"/>
      <c r="S31" s="414">
        <v>70.098919963416321</v>
      </c>
      <c r="T31" s="414">
        <v>27.393911226796991</v>
      </c>
      <c r="U31" s="414">
        <v>42.705008736619291</v>
      </c>
      <c r="V31" s="414"/>
      <c r="W31" s="418">
        <v>1.8515888276402102</v>
      </c>
      <c r="X31" s="418">
        <v>1.3079491768183011</v>
      </c>
      <c r="Y31" s="418">
        <v>2.5247390261116025</v>
      </c>
      <c r="Z31" s="419">
        <v>1.9303036164243379</v>
      </c>
    </row>
    <row r="32" spans="1:30" x14ac:dyDescent="0.2">
      <c r="A32" s="181" t="s">
        <v>26</v>
      </c>
      <c r="B32" s="408">
        <v>1473.2276343829969</v>
      </c>
      <c r="C32" s="408">
        <v>744.22739669734813</v>
      </c>
      <c r="D32" s="408">
        <v>729.00023768563744</v>
      </c>
      <c r="E32" s="409"/>
      <c r="F32" s="408">
        <v>333.09410338116498</v>
      </c>
      <c r="G32" s="408">
        <v>171.30553888174256</v>
      </c>
      <c r="H32" s="408">
        <v>161.78856449942353</v>
      </c>
      <c r="I32" s="408"/>
      <c r="J32" s="410">
        <v>22.609819121446765</v>
      </c>
      <c r="K32" s="410">
        <v>23.017902813299234</v>
      </c>
      <c r="L32" s="410">
        <v>22.193211488250668</v>
      </c>
      <c r="M32" s="411">
        <f t="shared" si="0"/>
        <v>0.96417174354511237</v>
      </c>
      <c r="N32" s="411"/>
      <c r="O32" s="408">
        <v>1496.8078573357141</v>
      </c>
      <c r="P32" s="408">
        <v>810.06121355268112</v>
      </c>
      <c r="Q32" s="408">
        <v>686.74664378303692</v>
      </c>
      <c r="R32" s="408"/>
      <c r="S32" s="408">
        <v>48.167909635026618</v>
      </c>
      <c r="T32" s="408">
        <v>30.953417248740511</v>
      </c>
      <c r="U32" s="408">
        <v>17.214492386286093</v>
      </c>
      <c r="V32" s="408"/>
      <c r="W32" s="412">
        <v>3.2180422756975942</v>
      </c>
      <c r="X32" s="412">
        <v>3.8211207660453566</v>
      </c>
      <c r="Y32" s="412">
        <v>2.5066729545932294</v>
      </c>
      <c r="Z32" s="413">
        <v>0.65600464054097241</v>
      </c>
    </row>
    <row r="33" spans="1:26" x14ac:dyDescent="0.2">
      <c r="A33" s="348" t="s">
        <v>26</v>
      </c>
      <c r="B33" s="414">
        <v>1473.2276343829969</v>
      </c>
      <c r="C33" s="414">
        <v>744.22739669734813</v>
      </c>
      <c r="D33" s="414">
        <v>729.00023768563744</v>
      </c>
      <c r="E33" s="415"/>
      <c r="F33" s="414">
        <v>333.09410338116498</v>
      </c>
      <c r="G33" s="414">
        <v>171.30553888174256</v>
      </c>
      <c r="H33" s="414">
        <v>161.78856449942353</v>
      </c>
      <c r="I33" s="414"/>
      <c r="J33" s="416">
        <v>22.609819121446765</v>
      </c>
      <c r="K33" s="416">
        <v>23.017902813299234</v>
      </c>
      <c r="L33" s="416">
        <v>22.193211488250668</v>
      </c>
      <c r="M33" s="417">
        <f t="shared" si="0"/>
        <v>0.96417174354511237</v>
      </c>
      <c r="N33" s="417"/>
      <c r="O33" s="414">
        <v>1496.8078573357141</v>
      </c>
      <c r="P33" s="414">
        <v>810.06121355268112</v>
      </c>
      <c r="Q33" s="414">
        <v>686.74664378303692</v>
      </c>
      <c r="R33" s="414"/>
      <c r="S33" s="414">
        <v>48.167909635026618</v>
      </c>
      <c r="T33" s="414">
        <v>30.953417248740511</v>
      </c>
      <c r="U33" s="414">
        <v>17.214492386286093</v>
      </c>
      <c r="V33" s="414"/>
      <c r="W33" s="418">
        <v>3.2180422756975942</v>
      </c>
      <c r="X33" s="418">
        <v>3.8211207660453566</v>
      </c>
      <c r="Y33" s="418">
        <v>2.5066729545932294</v>
      </c>
      <c r="Z33" s="419">
        <v>0.65600464054097241</v>
      </c>
    </row>
    <row r="34" spans="1:26" x14ac:dyDescent="0.2">
      <c r="A34" s="181" t="s">
        <v>27</v>
      </c>
      <c r="B34" s="408">
        <v>7558.38105443722</v>
      </c>
      <c r="C34" s="408">
        <v>3873.408573603675</v>
      </c>
      <c r="D34" s="408">
        <v>3684.9724808337778</v>
      </c>
      <c r="E34" s="409"/>
      <c r="F34" s="408">
        <v>2561.9695037202491</v>
      </c>
      <c r="G34" s="408">
        <v>1290.5017262424687</v>
      </c>
      <c r="H34" s="408">
        <v>1271.4677774778304</v>
      </c>
      <c r="I34" s="408"/>
      <c r="J34" s="410">
        <v>33.895744145054806</v>
      </c>
      <c r="K34" s="410">
        <v>33.316953316955164</v>
      </c>
      <c r="L34" s="410">
        <v>34.504132231406757</v>
      </c>
      <c r="M34" s="411">
        <f t="shared" si="0"/>
        <v>1.0356328774470334</v>
      </c>
      <c r="N34" s="411"/>
      <c r="O34" s="408">
        <v>7013.6648987451772</v>
      </c>
      <c r="P34" s="408">
        <v>3482.2051601990906</v>
      </c>
      <c r="Q34" s="408">
        <v>3531.459738546218</v>
      </c>
      <c r="R34" s="408"/>
      <c r="S34" s="408">
        <v>685.27200492383531</v>
      </c>
      <c r="T34" s="408">
        <v>302.90972790548597</v>
      </c>
      <c r="U34" s="408">
        <v>382.3622770183481</v>
      </c>
      <c r="V34" s="408"/>
      <c r="W34" s="412">
        <v>9.7705267476699191</v>
      </c>
      <c r="X34" s="412">
        <v>8.6987903920103129</v>
      </c>
      <c r="Y34" s="412">
        <v>10.827315199004763</v>
      </c>
      <c r="Z34" s="413">
        <v>1.2446920446490426</v>
      </c>
    </row>
    <row r="35" spans="1:26" x14ac:dyDescent="0.2">
      <c r="A35" s="348" t="s">
        <v>27</v>
      </c>
      <c r="B35" s="414">
        <v>7558.38105443722</v>
      </c>
      <c r="C35" s="414">
        <v>3873.408573603675</v>
      </c>
      <c r="D35" s="414">
        <v>3684.9724808337778</v>
      </c>
      <c r="E35" s="415"/>
      <c r="F35" s="414">
        <v>2561.9695037202491</v>
      </c>
      <c r="G35" s="414">
        <v>1290.5017262424687</v>
      </c>
      <c r="H35" s="414">
        <v>1271.4677774778304</v>
      </c>
      <c r="I35" s="414"/>
      <c r="J35" s="416">
        <v>33.895744145054806</v>
      </c>
      <c r="K35" s="416">
        <v>33.316953316955164</v>
      </c>
      <c r="L35" s="416">
        <v>34.504132231406757</v>
      </c>
      <c r="M35" s="417">
        <f t="shared" si="0"/>
        <v>1.0356328774470334</v>
      </c>
      <c r="N35" s="417"/>
      <c r="O35" s="414">
        <v>7013.6648987451772</v>
      </c>
      <c r="P35" s="414">
        <v>3482.2051601990906</v>
      </c>
      <c r="Q35" s="414">
        <v>3531.459738546218</v>
      </c>
      <c r="R35" s="414"/>
      <c r="S35" s="414">
        <v>685.27200492383531</v>
      </c>
      <c r="T35" s="414">
        <v>302.90972790548597</v>
      </c>
      <c r="U35" s="414">
        <v>382.3622770183481</v>
      </c>
      <c r="V35" s="414"/>
      <c r="W35" s="418">
        <v>9.7705267476699191</v>
      </c>
      <c r="X35" s="418">
        <v>8.6987903920103129</v>
      </c>
      <c r="Y35" s="418">
        <v>10.827315199004763</v>
      </c>
      <c r="Z35" s="419">
        <v>1.2446920446490426</v>
      </c>
    </row>
    <row r="36" spans="1:26" x14ac:dyDescent="0.2">
      <c r="A36" s="181" t="s">
        <v>28</v>
      </c>
      <c r="B36" s="408">
        <v>17273.308503910965</v>
      </c>
      <c r="C36" s="408">
        <v>8953.5694988854084</v>
      </c>
      <c r="D36" s="408">
        <v>8319.7390050227241</v>
      </c>
      <c r="E36" s="409"/>
      <c r="F36" s="408">
        <v>4019.9699790913728</v>
      </c>
      <c r="G36" s="408">
        <v>1956.6899330048111</v>
      </c>
      <c r="H36" s="408">
        <v>2063.2800460867838</v>
      </c>
      <c r="I36" s="408"/>
      <c r="J36" s="410">
        <v>23.272727272723998</v>
      </c>
      <c r="K36" s="410">
        <v>21.853741496599845</v>
      </c>
      <c r="L36" s="410">
        <v>24.799816975522635</v>
      </c>
      <c r="M36" s="411">
        <f t="shared" si="0"/>
        <v>1.1348087456503118</v>
      </c>
      <c r="N36" s="411"/>
      <c r="O36" s="408">
        <v>16991.72071427367</v>
      </c>
      <c r="P36" s="408">
        <v>8965.4430444793525</v>
      </c>
      <c r="Q36" s="408">
        <v>8026.277669792792</v>
      </c>
      <c r="R36" s="408"/>
      <c r="S36" s="408">
        <v>1707.6218435046792</v>
      </c>
      <c r="T36" s="408">
        <v>754.37272643661333</v>
      </c>
      <c r="U36" s="408">
        <v>953.24911706808223</v>
      </c>
      <c r="V36" s="408"/>
      <c r="W36" s="412">
        <v>10.049728760373444</v>
      </c>
      <c r="X36" s="412">
        <v>8.4142269678588892</v>
      </c>
      <c r="Y36" s="412">
        <v>11.876602782578381</v>
      </c>
      <c r="Z36" s="413">
        <v>1.4114906607517552</v>
      </c>
    </row>
    <row r="37" spans="1:26" x14ac:dyDescent="0.2">
      <c r="A37" s="348" t="s">
        <v>28</v>
      </c>
      <c r="B37" s="414">
        <v>17273.308503910965</v>
      </c>
      <c r="C37" s="414">
        <v>8953.5694988854084</v>
      </c>
      <c r="D37" s="414">
        <v>8319.7390050227241</v>
      </c>
      <c r="E37" s="415"/>
      <c r="F37" s="414">
        <v>4019.9699790913728</v>
      </c>
      <c r="G37" s="414">
        <v>1956.6899330048111</v>
      </c>
      <c r="H37" s="414">
        <v>2063.2800460867838</v>
      </c>
      <c r="I37" s="414"/>
      <c r="J37" s="416">
        <v>23.272727272723998</v>
      </c>
      <c r="K37" s="416">
        <v>21.853741496599845</v>
      </c>
      <c r="L37" s="416">
        <v>24.799816975522635</v>
      </c>
      <c r="M37" s="417">
        <f t="shared" si="0"/>
        <v>1.1348087456503118</v>
      </c>
      <c r="N37" s="417"/>
      <c r="O37" s="414">
        <v>16991.72071427367</v>
      </c>
      <c r="P37" s="414">
        <v>8965.4430444793525</v>
      </c>
      <c r="Q37" s="414">
        <v>8026.277669792792</v>
      </c>
      <c r="R37" s="414"/>
      <c r="S37" s="414">
        <v>1707.6218435046792</v>
      </c>
      <c r="T37" s="414">
        <v>754.37272643661333</v>
      </c>
      <c r="U37" s="414">
        <v>953.24911706808223</v>
      </c>
      <c r="V37" s="414"/>
      <c r="W37" s="418">
        <v>10.049728760373444</v>
      </c>
      <c r="X37" s="418">
        <v>8.4142269678588892</v>
      </c>
      <c r="Y37" s="418">
        <v>11.876602782578381</v>
      </c>
      <c r="Z37" s="419">
        <v>1.4114906607517552</v>
      </c>
    </row>
    <row r="38" spans="1:26" x14ac:dyDescent="0.2">
      <c r="A38" s="181" t="s">
        <v>29</v>
      </c>
      <c r="B38" s="408">
        <v>38838.772454233338</v>
      </c>
      <c r="C38" s="408">
        <v>19810.533874235742</v>
      </c>
      <c r="D38" s="408">
        <v>19028.238580009573</v>
      </c>
      <c r="E38" s="409"/>
      <c r="F38" s="408">
        <v>6256.4589589361121</v>
      </c>
      <c r="G38" s="408">
        <v>2950.2620585188251</v>
      </c>
      <c r="H38" s="408">
        <v>3306.1969004175198</v>
      </c>
      <c r="I38" s="408"/>
      <c r="J38" s="410">
        <v>16.108796863517238</v>
      </c>
      <c r="K38" s="410">
        <v>14.892390468869833</v>
      </c>
      <c r="L38" s="410">
        <v>17.375212563768148</v>
      </c>
      <c r="M38" s="411">
        <f t="shared" si="0"/>
        <v>1.1667174991206588</v>
      </c>
      <c r="N38" s="411"/>
      <c r="O38" s="408">
        <v>34095.530898388664</v>
      </c>
      <c r="P38" s="408">
        <v>17402.375402175956</v>
      </c>
      <c r="Q38" s="408">
        <v>16693.155496210977</v>
      </c>
      <c r="R38" s="408"/>
      <c r="S38" s="408">
        <v>2385.7748363845985</v>
      </c>
      <c r="T38" s="408">
        <v>1021.8598028822432</v>
      </c>
      <c r="U38" s="408">
        <v>1363.9150335023976</v>
      </c>
      <c r="V38" s="408"/>
      <c r="W38" s="412">
        <v>6.9973242050247535</v>
      </c>
      <c r="X38" s="412">
        <v>5.8719558638785925</v>
      </c>
      <c r="Y38" s="412">
        <v>8.1705045748359755</v>
      </c>
      <c r="Z38" s="413">
        <v>1.3914451614149441</v>
      </c>
    </row>
    <row r="39" spans="1:26" x14ac:dyDescent="0.2">
      <c r="A39" s="348" t="s">
        <v>30</v>
      </c>
      <c r="B39" s="414">
        <v>23461.245247291197</v>
      </c>
      <c r="C39" s="414">
        <v>11993.291116599243</v>
      </c>
      <c r="D39" s="414">
        <v>11467.954130695036</v>
      </c>
      <c r="E39" s="415"/>
      <c r="F39" s="414">
        <v>3340.4580081938648</v>
      </c>
      <c r="G39" s="414">
        <v>1593.1415116002186</v>
      </c>
      <c r="H39" s="414">
        <v>1747.3164965937892</v>
      </c>
      <c r="I39" s="414"/>
      <c r="J39" s="416">
        <v>14.23819568392104</v>
      </c>
      <c r="K39" s="416">
        <v>13.283605776860126</v>
      </c>
      <c r="L39" s="416">
        <v>15.23651452282102</v>
      </c>
      <c r="M39" s="417">
        <f t="shared" si="0"/>
        <v>1.1470164636595011</v>
      </c>
      <c r="N39" s="417"/>
      <c r="O39" s="414">
        <v>20638.734059899594</v>
      </c>
      <c r="P39" s="414">
        <v>10427.193561685748</v>
      </c>
      <c r="Q39" s="414">
        <v>10211.540498211943</v>
      </c>
      <c r="R39" s="414"/>
      <c r="S39" s="414">
        <v>1485.330740158925</v>
      </c>
      <c r="T39" s="414">
        <v>658.04143892991021</v>
      </c>
      <c r="U39" s="414">
        <v>827.28930122902193</v>
      </c>
      <c r="V39" s="414"/>
      <c r="W39" s="418">
        <v>7.1968112765447252</v>
      </c>
      <c r="X39" s="418">
        <v>6.3108202129080295</v>
      </c>
      <c r="Y39" s="418">
        <v>8.1015131984628432</v>
      </c>
      <c r="Z39" s="419">
        <v>1.2837496434920084</v>
      </c>
    </row>
    <row r="40" spans="1:26" x14ac:dyDescent="0.2">
      <c r="A40" s="348" t="s">
        <v>29</v>
      </c>
      <c r="B40" s="414">
        <v>15377.527206953155</v>
      </c>
      <c r="C40" s="414">
        <v>7817.2427576362707</v>
      </c>
      <c r="D40" s="414">
        <v>7560.2844493136836</v>
      </c>
      <c r="E40" s="415"/>
      <c r="F40" s="414">
        <v>2916.0009507424802</v>
      </c>
      <c r="G40" s="414">
        <v>1357.120546918703</v>
      </c>
      <c r="H40" s="414">
        <v>1558.8804038238695</v>
      </c>
      <c r="I40" s="414"/>
      <c r="J40" s="416">
        <v>18.962742913724515</v>
      </c>
      <c r="K40" s="416">
        <v>17.360603847091838</v>
      </c>
      <c r="L40" s="416">
        <v>20.619335347433836</v>
      </c>
      <c r="M40" s="417">
        <f t="shared" si="0"/>
        <v>1.1877084189607774</v>
      </c>
      <c r="N40" s="417"/>
      <c r="O40" s="414">
        <v>13456.79683848762</v>
      </c>
      <c r="P40" s="414">
        <v>6975.1818404886935</v>
      </c>
      <c r="Q40" s="414">
        <v>6481.61499799783</v>
      </c>
      <c r="R40" s="414"/>
      <c r="S40" s="414">
        <v>900.44409622571163</v>
      </c>
      <c r="T40" s="414">
        <v>363.81836395232693</v>
      </c>
      <c r="U40" s="414">
        <v>536.62573227337828</v>
      </c>
      <c r="V40" s="414"/>
      <c r="W40" s="418">
        <v>6.69137022006871</v>
      </c>
      <c r="X40" s="418">
        <v>5.2158979116569872</v>
      </c>
      <c r="Y40" s="418">
        <v>8.2791978918702025</v>
      </c>
      <c r="Z40" s="419">
        <v>1.587300601372404</v>
      </c>
    </row>
    <row r="41" spans="1:26" x14ac:dyDescent="0.2">
      <c r="A41" s="181" t="s">
        <v>31</v>
      </c>
      <c r="B41" s="408">
        <v>15971.386408410084</v>
      </c>
      <c r="C41" s="408">
        <v>8154.1436507703293</v>
      </c>
      <c r="D41" s="408">
        <v>7817.2427576362707</v>
      </c>
      <c r="E41" s="409"/>
      <c r="F41" s="408">
        <v>5377.0905260099253</v>
      </c>
      <c r="G41" s="408">
        <v>2628.5883243964754</v>
      </c>
      <c r="H41" s="408">
        <v>2748.5022016136827</v>
      </c>
      <c r="I41" s="408"/>
      <c r="J41" s="410">
        <v>33.667024192580691</v>
      </c>
      <c r="K41" s="410">
        <v>32.236227824466205</v>
      </c>
      <c r="L41" s="410">
        <v>35.159483808135562</v>
      </c>
      <c r="M41" s="411">
        <f t="shared" si="0"/>
        <v>1.0906823217526309</v>
      </c>
      <c r="N41" s="411"/>
      <c r="O41" s="408">
        <v>14660.990047599969</v>
      </c>
      <c r="P41" s="408">
        <v>7157.5197784821257</v>
      </c>
      <c r="Q41" s="408">
        <v>7503.4702691166567</v>
      </c>
      <c r="R41" s="408"/>
      <c r="S41" s="408">
        <v>2224.9572797557221</v>
      </c>
      <c r="T41" s="408">
        <v>982.1312624441357</v>
      </c>
      <c r="U41" s="408">
        <v>1242.8260173116157</v>
      </c>
      <c r="V41" s="408"/>
      <c r="W41" s="412">
        <v>15.176037037962411</v>
      </c>
      <c r="X41" s="412">
        <v>13.721670255061577</v>
      </c>
      <c r="Y41" s="412">
        <v>16.563349660049074</v>
      </c>
      <c r="Z41" s="413">
        <v>1.2070942787696908</v>
      </c>
    </row>
    <row r="42" spans="1:26" x14ac:dyDescent="0.2">
      <c r="A42" s="348" t="s">
        <v>31</v>
      </c>
      <c r="B42" s="414">
        <v>15971.386408410084</v>
      </c>
      <c r="C42" s="414">
        <v>8154.1436507703293</v>
      </c>
      <c r="D42" s="414">
        <v>7817.2427576362707</v>
      </c>
      <c r="E42" s="415"/>
      <c r="F42" s="414">
        <v>5377.0905260099253</v>
      </c>
      <c r="G42" s="414">
        <v>2628.5883243964754</v>
      </c>
      <c r="H42" s="414">
        <v>2748.5022016136827</v>
      </c>
      <c r="I42" s="414"/>
      <c r="J42" s="416">
        <v>33.667024192580691</v>
      </c>
      <c r="K42" s="416">
        <v>32.236227824466205</v>
      </c>
      <c r="L42" s="416">
        <v>35.159483808135562</v>
      </c>
      <c r="M42" s="417">
        <f t="shared" si="0"/>
        <v>1.0906823217526309</v>
      </c>
      <c r="N42" s="417"/>
      <c r="O42" s="414">
        <v>14660.990047599969</v>
      </c>
      <c r="P42" s="414">
        <v>7157.5197784821257</v>
      </c>
      <c r="Q42" s="414">
        <v>7503.4702691166567</v>
      </c>
      <c r="R42" s="414"/>
      <c r="S42" s="414">
        <v>2224.9572797557221</v>
      </c>
      <c r="T42" s="414">
        <v>982.1312624441357</v>
      </c>
      <c r="U42" s="414">
        <v>1242.8260173116157</v>
      </c>
      <c r="V42" s="414"/>
      <c r="W42" s="418">
        <v>15.176037037962411</v>
      </c>
      <c r="X42" s="418">
        <v>13.721670255061577</v>
      </c>
      <c r="Y42" s="418">
        <v>16.563349660049074</v>
      </c>
      <c r="Z42" s="419">
        <v>1.2070942787696908</v>
      </c>
    </row>
    <row r="43" spans="1:26" x14ac:dyDescent="0.2">
      <c r="A43" s="350"/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1"/>
      <c r="N43" s="351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</row>
    <row r="44" spans="1:26" x14ac:dyDescent="0.2">
      <c r="A44" s="350"/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1"/>
      <c r="N44" s="351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</row>
    <row r="45" spans="1:26" x14ac:dyDescent="0.2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</row>
  </sheetData>
  <mergeCells count="11">
    <mergeCell ref="Z2:Z3"/>
    <mergeCell ref="A1:Z1"/>
    <mergeCell ref="A2:A3"/>
    <mergeCell ref="B2:D2"/>
    <mergeCell ref="F2:H2"/>
    <mergeCell ref="J2:L2"/>
    <mergeCell ref="M2:M3"/>
    <mergeCell ref="N2:N3"/>
    <mergeCell ref="O2:Q2"/>
    <mergeCell ref="S2:U2"/>
    <mergeCell ref="W2:Y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EABD00"/>
  </sheetPr>
  <dimension ref="A1"/>
  <sheetViews>
    <sheetView workbookViewId="0">
      <selection activeCell="M22" sqref="M22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46"/>
  <sheetViews>
    <sheetView workbookViewId="0">
      <selection activeCell="A3" sqref="A3:A4"/>
    </sheetView>
  </sheetViews>
  <sheetFormatPr defaultRowHeight="12" x14ac:dyDescent="0.2"/>
  <cols>
    <col min="1" max="1" width="18.7109375" style="559" customWidth="1"/>
    <col min="2" max="7" width="9.140625" style="559"/>
    <col min="8" max="8" width="11.140625" style="559" customWidth="1"/>
    <col min="9" max="16384" width="9.140625" style="559"/>
  </cols>
  <sheetData>
    <row r="1" spans="1:12" x14ac:dyDescent="0.2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</row>
    <row r="2" spans="1:12" x14ac:dyDescent="0.2">
      <c r="A2" s="802" t="s">
        <v>83</v>
      </c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</row>
    <row r="3" spans="1:12" ht="15" customHeight="1" x14ac:dyDescent="0.2">
      <c r="A3" s="835" t="str">
        <f>'Q8.15'!$A$2</f>
        <v>Área de residência, município e comuna</v>
      </c>
      <c r="B3" s="803" t="s">
        <v>84</v>
      </c>
      <c r="C3" s="805" t="s">
        <v>85</v>
      </c>
      <c r="D3" s="805"/>
      <c r="E3" s="805"/>
      <c r="F3" s="805"/>
      <c r="G3" s="805"/>
      <c r="H3" s="805"/>
      <c r="I3" s="805"/>
      <c r="J3" s="805"/>
      <c r="K3" s="805"/>
      <c r="L3" s="805"/>
    </row>
    <row r="4" spans="1:12" ht="48" x14ac:dyDescent="0.2">
      <c r="A4" s="836"/>
      <c r="B4" s="804"/>
      <c r="C4" s="585" t="s">
        <v>86</v>
      </c>
      <c r="D4" s="586" t="s">
        <v>87</v>
      </c>
      <c r="E4" s="586" t="s">
        <v>88</v>
      </c>
      <c r="F4" s="586" t="s">
        <v>89</v>
      </c>
      <c r="G4" s="586" t="s">
        <v>90</v>
      </c>
      <c r="H4" s="585" t="s">
        <v>91</v>
      </c>
      <c r="I4" s="586" t="s">
        <v>92</v>
      </c>
      <c r="J4" s="586" t="s">
        <v>93</v>
      </c>
      <c r="K4" s="586" t="s">
        <v>94</v>
      </c>
      <c r="L4" s="586" t="s">
        <v>95</v>
      </c>
    </row>
    <row r="5" spans="1:12" ht="13.5" customHeight="1" x14ac:dyDescent="0.2">
      <c r="A5" s="587" t="s">
        <v>32</v>
      </c>
      <c r="B5" s="588">
        <v>261282.84527673907</v>
      </c>
      <c r="C5" s="588">
        <v>49652.736144896</v>
      </c>
      <c r="D5" s="588">
        <v>4415.0536467976726</v>
      </c>
      <c r="E5" s="588">
        <v>4093.0457193965935</v>
      </c>
      <c r="F5" s="588">
        <v>3288.025900893897</v>
      </c>
      <c r="G5" s="588">
        <v>115142.94475582088</v>
      </c>
      <c r="H5" s="588">
        <v>3515.4993908928241</v>
      </c>
      <c r="I5" s="588">
        <v>4386.9887356939089</v>
      </c>
      <c r="J5" s="588">
        <v>68005.710906173073</v>
      </c>
      <c r="K5" s="588">
        <v>8319.0304913896489</v>
      </c>
      <c r="L5" s="589">
        <v>463.80958350437618</v>
      </c>
    </row>
    <row r="6" spans="1:12" ht="13.5" customHeight="1" x14ac:dyDescent="0.2">
      <c r="A6" s="653"/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90"/>
    </row>
    <row r="7" spans="1:12" ht="12.75" customHeight="1" x14ac:dyDescent="0.2">
      <c r="A7" s="587" t="s">
        <v>167</v>
      </c>
      <c r="B7" s="587"/>
      <c r="C7" s="587"/>
      <c r="D7" s="587"/>
      <c r="E7" s="587"/>
      <c r="F7" s="587"/>
      <c r="G7" s="587"/>
      <c r="H7" s="587"/>
      <c r="I7" s="587"/>
      <c r="J7" s="587"/>
      <c r="K7" s="587"/>
      <c r="L7" s="587"/>
    </row>
    <row r="8" spans="1:12" x14ac:dyDescent="0.2">
      <c r="A8" s="591" t="s">
        <v>8</v>
      </c>
      <c r="B8" s="534">
        <v>74088.411112767761</v>
      </c>
      <c r="C8" s="534">
        <v>46180.07267095134</v>
      </c>
      <c r="D8" s="534">
        <v>1590.8373294083249</v>
      </c>
      <c r="E8" s="534">
        <v>960.11537986574808</v>
      </c>
      <c r="F8" s="534">
        <v>838.9931319442228</v>
      </c>
      <c r="G8" s="534">
        <v>19426.826886142455</v>
      </c>
      <c r="H8" s="534">
        <v>893.64585356735006</v>
      </c>
      <c r="I8" s="534">
        <v>1347.1157329808655</v>
      </c>
      <c r="J8" s="534">
        <v>1296.8943131109647</v>
      </c>
      <c r="K8" s="534">
        <v>1518.4594007722915</v>
      </c>
      <c r="L8" s="592">
        <v>35.450414025812023</v>
      </c>
    </row>
    <row r="9" spans="1:12" x14ac:dyDescent="0.2">
      <c r="A9" s="591" t="s">
        <v>9</v>
      </c>
      <c r="B9" s="534">
        <v>187194.43416324173</v>
      </c>
      <c r="C9" s="534">
        <v>3472.6634739449742</v>
      </c>
      <c r="D9" s="534">
        <v>2824.216317389591</v>
      </c>
      <c r="E9" s="534">
        <v>3132.9303395309921</v>
      </c>
      <c r="F9" s="534">
        <v>2449.0327689498022</v>
      </c>
      <c r="G9" s="534">
        <v>95716.117869678739</v>
      </c>
      <c r="H9" s="534">
        <v>2621.8535373256104</v>
      </c>
      <c r="I9" s="534">
        <v>3039.8730027132492</v>
      </c>
      <c r="J9" s="534">
        <v>66708.816593062307</v>
      </c>
      <c r="K9" s="534">
        <v>6800.57109061759</v>
      </c>
      <c r="L9" s="592">
        <v>428.3591694785639</v>
      </c>
    </row>
    <row r="10" spans="1:12" x14ac:dyDescent="0.2">
      <c r="A10" s="593" t="s">
        <v>582</v>
      </c>
      <c r="B10" s="588"/>
      <c r="C10" s="588"/>
      <c r="D10" s="588"/>
      <c r="E10" s="588"/>
      <c r="F10" s="588"/>
      <c r="G10" s="588"/>
      <c r="H10" s="588"/>
      <c r="I10" s="588"/>
      <c r="J10" s="588"/>
      <c r="K10" s="588"/>
      <c r="L10" s="589"/>
    </row>
    <row r="11" spans="1:12" ht="15" customHeight="1" x14ac:dyDescent="0.2">
      <c r="A11" s="653" t="s">
        <v>11</v>
      </c>
      <c r="B11" s="533">
        <v>34100.344091657666</v>
      </c>
      <c r="C11" s="533">
        <v>4748.8783788740202</v>
      </c>
      <c r="D11" s="533">
        <v>555.38981973772457</v>
      </c>
      <c r="E11" s="533">
        <v>496.30579636137077</v>
      </c>
      <c r="F11" s="533">
        <v>319.05372623230937</v>
      </c>
      <c r="G11" s="533">
        <v>18833.032451210191</v>
      </c>
      <c r="H11" s="533">
        <v>310.1911227258563</v>
      </c>
      <c r="I11" s="533">
        <v>403.24845954361354</v>
      </c>
      <c r="J11" s="533">
        <v>7307.2165910697458</v>
      </c>
      <c r="K11" s="533">
        <v>968.97798337220115</v>
      </c>
      <c r="L11" s="590">
        <v>158.04976253174527</v>
      </c>
    </row>
    <row r="12" spans="1:12" ht="15" customHeight="1" x14ac:dyDescent="0.2">
      <c r="A12" s="594" t="s">
        <v>12</v>
      </c>
      <c r="B12" s="534">
        <v>22028.00101528603</v>
      </c>
      <c r="C12" s="534">
        <v>4638.0958350433739</v>
      </c>
      <c r="D12" s="534">
        <v>410.63396246565776</v>
      </c>
      <c r="E12" s="534">
        <v>277.69490986886171</v>
      </c>
      <c r="F12" s="534">
        <v>208.271182401646</v>
      </c>
      <c r="G12" s="534">
        <v>11316.067577154734</v>
      </c>
      <c r="H12" s="534">
        <v>233.38189233659637</v>
      </c>
      <c r="I12" s="534">
        <v>296.8972174661767</v>
      </c>
      <c r="J12" s="534">
        <v>4200.8740620584231</v>
      </c>
      <c r="K12" s="534">
        <v>435.74467240060812</v>
      </c>
      <c r="L12" s="592">
        <v>10.33970409086184</v>
      </c>
    </row>
    <row r="13" spans="1:12" ht="16.5" customHeight="1" x14ac:dyDescent="0.2">
      <c r="A13" s="595" t="s">
        <v>13</v>
      </c>
      <c r="B13" s="534">
        <v>12072.343076371946</v>
      </c>
      <c r="C13" s="534">
        <v>110.78254383066239</v>
      </c>
      <c r="D13" s="534">
        <v>144.75585727206567</v>
      </c>
      <c r="E13" s="534">
        <v>218.61088649250792</v>
      </c>
      <c r="F13" s="534">
        <v>110.78254383066239</v>
      </c>
      <c r="G13" s="534">
        <v>7516.9648740557695</v>
      </c>
      <c r="H13" s="534">
        <v>76.809230389259284</v>
      </c>
      <c r="I13" s="534">
        <v>106.3512420774359</v>
      </c>
      <c r="J13" s="534">
        <v>3106.342529011637</v>
      </c>
      <c r="K13" s="534">
        <v>533.23331097159189</v>
      </c>
      <c r="L13" s="592">
        <v>147.71005844088336</v>
      </c>
    </row>
    <row r="14" spans="1:12" x14ac:dyDescent="0.2">
      <c r="A14" s="653" t="s">
        <v>44</v>
      </c>
      <c r="B14" s="533">
        <v>72729.478575111832</v>
      </c>
      <c r="C14" s="533">
        <v>30999.909964983974</v>
      </c>
      <c r="D14" s="533">
        <v>1110.7796394754503</v>
      </c>
      <c r="E14" s="533">
        <v>1273.2607037604232</v>
      </c>
      <c r="F14" s="533">
        <v>1017.722302657693</v>
      </c>
      <c r="G14" s="533">
        <v>22970.391188138728</v>
      </c>
      <c r="H14" s="533">
        <v>1022.1536044109196</v>
      </c>
      <c r="I14" s="533">
        <v>1420.9707622013077</v>
      </c>
      <c r="J14" s="533">
        <v>10769.540360923545</v>
      </c>
      <c r="K14" s="533">
        <v>2078.2805222632392</v>
      </c>
      <c r="L14" s="590">
        <v>66.469526298397469</v>
      </c>
    </row>
    <row r="15" spans="1:12" x14ac:dyDescent="0.2">
      <c r="A15" s="594" t="s">
        <v>15</v>
      </c>
      <c r="B15" s="534">
        <v>61466.586618996123</v>
      </c>
      <c r="C15" s="534">
        <v>30812.318190764079</v>
      </c>
      <c r="D15" s="534">
        <v>921.71076467111811</v>
      </c>
      <c r="E15" s="534">
        <v>1076.8063260340468</v>
      </c>
      <c r="F15" s="534">
        <v>813.88242200927243</v>
      </c>
      <c r="G15" s="534">
        <v>17425.355594268778</v>
      </c>
      <c r="H15" s="534">
        <v>892.16875298294121</v>
      </c>
      <c r="I15" s="534">
        <v>1237.8102897346109</v>
      </c>
      <c r="J15" s="534">
        <v>6562.7578965278026</v>
      </c>
      <c r="K15" s="534">
        <v>1663.2152580443583</v>
      </c>
      <c r="L15" s="592">
        <v>60.561123960762146</v>
      </c>
    </row>
    <row r="16" spans="1:12" x14ac:dyDescent="0.2">
      <c r="A16" s="594" t="s">
        <v>16</v>
      </c>
      <c r="B16" s="534">
        <v>11262.891956116024</v>
      </c>
      <c r="C16" s="534">
        <v>187.59177421992217</v>
      </c>
      <c r="D16" s="534">
        <v>189.06887480433102</v>
      </c>
      <c r="E16" s="534">
        <v>196.45437772637524</v>
      </c>
      <c r="F16" s="534">
        <v>203.83988064841947</v>
      </c>
      <c r="G16" s="534">
        <v>5545.0355938702651</v>
      </c>
      <c r="H16" s="534">
        <v>129.98485142797722</v>
      </c>
      <c r="I16" s="534">
        <v>183.16047246669564</v>
      </c>
      <c r="J16" s="534">
        <v>4206.7824643960575</v>
      </c>
      <c r="K16" s="534">
        <v>415.06526421888429</v>
      </c>
      <c r="L16" s="592">
        <v>5.9084023376353372</v>
      </c>
    </row>
    <row r="17" spans="1:15" x14ac:dyDescent="0.2">
      <c r="A17" s="653" t="s">
        <v>17</v>
      </c>
      <c r="B17" s="533">
        <v>6311.6507971783376</v>
      </c>
      <c r="C17" s="533">
        <v>1124.0735447351299</v>
      </c>
      <c r="D17" s="533">
        <v>293.94301629735901</v>
      </c>
      <c r="E17" s="533">
        <v>31.01911227258552</v>
      </c>
      <c r="F17" s="533">
        <v>50.22141986990033</v>
      </c>
      <c r="G17" s="533">
        <v>658.78686064634371</v>
      </c>
      <c r="H17" s="533">
        <v>50.22141986990033</v>
      </c>
      <c r="I17" s="533">
        <v>53.175621038717992</v>
      </c>
      <c r="J17" s="533">
        <v>3649.9155440740083</v>
      </c>
      <c r="K17" s="533">
        <v>400.29425837479585</v>
      </c>
      <c r="L17" s="590">
        <v>0</v>
      </c>
    </row>
    <row r="18" spans="1:15" x14ac:dyDescent="0.2">
      <c r="A18" s="594" t="s">
        <v>17</v>
      </c>
      <c r="B18" s="534">
        <v>6311.6507971783376</v>
      </c>
      <c r="C18" s="596">
        <v>1124.0735447351299</v>
      </c>
      <c r="D18" s="534">
        <v>293.94301629735901</v>
      </c>
      <c r="E18" s="534">
        <v>31.01911227258552</v>
      </c>
      <c r="F18" s="534">
        <v>50.22141986990033</v>
      </c>
      <c r="G18" s="534">
        <v>658.78686064634371</v>
      </c>
      <c r="H18" s="534">
        <v>50.22141986990033</v>
      </c>
      <c r="I18" s="534">
        <v>53.175621038717992</v>
      </c>
      <c r="J18" s="534">
        <v>3649.9155440740083</v>
      </c>
      <c r="K18" s="534">
        <v>400.29425837479585</v>
      </c>
      <c r="L18" s="592">
        <v>0</v>
      </c>
    </row>
    <row r="19" spans="1:15" x14ac:dyDescent="0.2">
      <c r="A19" s="653" t="s">
        <v>18</v>
      </c>
      <c r="B19" s="533">
        <v>5462.3179611433825</v>
      </c>
      <c r="C19" s="533">
        <v>246.67579759627597</v>
      </c>
      <c r="D19" s="533">
        <v>63.515325129579807</v>
      </c>
      <c r="E19" s="533">
        <v>44.313017532265008</v>
      </c>
      <c r="F19" s="533">
        <v>44.313017532265008</v>
      </c>
      <c r="G19" s="533">
        <v>2886.254541934753</v>
      </c>
      <c r="H19" s="533">
        <v>57.606922791944484</v>
      </c>
      <c r="I19" s="533">
        <v>53.175621038717992</v>
      </c>
      <c r="J19" s="533">
        <v>1768.0893995373863</v>
      </c>
      <c r="K19" s="533">
        <v>296.8972174661767</v>
      </c>
      <c r="L19" s="590">
        <v>1.4771005844088343</v>
      </c>
    </row>
    <row r="20" spans="1:15" x14ac:dyDescent="0.2">
      <c r="A20" s="594" t="s">
        <v>18</v>
      </c>
      <c r="B20" s="534">
        <v>5462.3179611433825</v>
      </c>
      <c r="C20" s="534">
        <v>246.67579759627597</v>
      </c>
      <c r="D20" s="534">
        <v>63.515325129579807</v>
      </c>
      <c r="E20" s="534">
        <v>44.313017532265008</v>
      </c>
      <c r="F20" s="534">
        <v>44.313017532265008</v>
      </c>
      <c r="G20" s="534">
        <v>2886.254541934753</v>
      </c>
      <c r="H20" s="534">
        <v>57.606922791944484</v>
      </c>
      <c r="I20" s="534">
        <v>53.175621038717992</v>
      </c>
      <c r="J20" s="534">
        <v>1768.0893995373863</v>
      </c>
      <c r="K20" s="534">
        <v>296.8972174661767</v>
      </c>
      <c r="L20" s="592">
        <v>1.4771005844088343</v>
      </c>
    </row>
    <row r="21" spans="1:15" x14ac:dyDescent="0.2">
      <c r="A21" s="653" t="s">
        <v>19</v>
      </c>
      <c r="B21" s="533">
        <v>21072.316937173655</v>
      </c>
      <c r="C21" s="533">
        <v>1815.3566182384693</v>
      </c>
      <c r="D21" s="533">
        <v>355.9812408425305</v>
      </c>
      <c r="E21" s="533">
        <v>192.02307597314871</v>
      </c>
      <c r="F21" s="533">
        <v>197.93147831078409</v>
      </c>
      <c r="G21" s="533">
        <v>10539.112669755801</v>
      </c>
      <c r="H21" s="533">
        <v>230.42769116777868</v>
      </c>
      <c r="I21" s="533">
        <v>206.79408181723716</v>
      </c>
      <c r="J21" s="533">
        <v>6805.0023923708159</v>
      </c>
      <c r="K21" s="533">
        <v>694.23727467215599</v>
      </c>
      <c r="L21" s="590">
        <v>35.450414025812023</v>
      </c>
    </row>
    <row r="22" spans="1:15" x14ac:dyDescent="0.2">
      <c r="A22" s="594" t="s">
        <v>19</v>
      </c>
      <c r="B22" s="534">
        <v>12692.725321823566</v>
      </c>
      <c r="C22" s="534">
        <v>1694.234370316944</v>
      </c>
      <c r="D22" s="534">
        <v>273.26360811563518</v>
      </c>
      <c r="E22" s="534">
        <v>113.73674499948005</v>
      </c>
      <c r="F22" s="534">
        <v>121.12224792152421</v>
      </c>
      <c r="G22" s="534">
        <v>5949.7611539982263</v>
      </c>
      <c r="H22" s="534">
        <v>171.34366779142488</v>
      </c>
      <c r="I22" s="534">
        <v>138.84745493443029</v>
      </c>
      <c r="J22" s="534">
        <v>3782.8545966707838</v>
      </c>
      <c r="K22" s="534">
        <v>412.1110630500666</v>
      </c>
      <c r="L22" s="592">
        <v>35.450414025812023</v>
      </c>
      <c r="O22" s="652"/>
    </row>
    <row r="23" spans="1:15" x14ac:dyDescent="0.2">
      <c r="A23" s="594" t="s">
        <v>20</v>
      </c>
      <c r="B23" s="534">
        <v>8379.5916153504022</v>
      </c>
      <c r="C23" s="534">
        <v>121.12224792152421</v>
      </c>
      <c r="D23" s="534">
        <v>82.717632726894607</v>
      </c>
      <c r="E23" s="534">
        <v>78.286330973668115</v>
      </c>
      <c r="F23" s="534">
        <v>76.809230389259284</v>
      </c>
      <c r="G23" s="534">
        <v>4589.3515157578895</v>
      </c>
      <c r="H23" s="534">
        <v>59.084023376353315</v>
      </c>
      <c r="I23" s="534">
        <v>67.946626882806299</v>
      </c>
      <c r="J23" s="534">
        <v>3022.1477957003458</v>
      </c>
      <c r="K23" s="534">
        <v>282.12621162208825</v>
      </c>
      <c r="L23" s="592">
        <v>0</v>
      </c>
    </row>
    <row r="24" spans="1:15" x14ac:dyDescent="0.2">
      <c r="A24" s="653" t="s">
        <v>21</v>
      </c>
      <c r="B24" s="533">
        <v>11748.858048386459</v>
      </c>
      <c r="C24" s="533">
        <v>1493.3486908373411</v>
      </c>
      <c r="D24" s="533">
        <v>353.02703967371281</v>
      </c>
      <c r="E24" s="533">
        <v>128.50775084356837</v>
      </c>
      <c r="F24" s="533">
        <v>115.21384558388888</v>
      </c>
      <c r="G24" s="533">
        <v>6701.6053514622126</v>
      </c>
      <c r="H24" s="533">
        <v>82.717632726894607</v>
      </c>
      <c r="I24" s="533">
        <v>125.5535496747507</v>
      </c>
      <c r="J24" s="533">
        <v>2342.6815268723817</v>
      </c>
      <c r="K24" s="533">
        <v>397.34005720597816</v>
      </c>
      <c r="L24" s="590">
        <v>8.8626035064530058</v>
      </c>
    </row>
    <row r="25" spans="1:15" x14ac:dyDescent="0.2">
      <c r="A25" s="594" t="s">
        <v>21</v>
      </c>
      <c r="B25" s="534">
        <v>11748.858048386459</v>
      </c>
      <c r="C25" s="534">
        <v>1493.3486908373411</v>
      </c>
      <c r="D25" s="534">
        <v>353.02703967371281</v>
      </c>
      <c r="E25" s="534">
        <v>128.50775084356837</v>
      </c>
      <c r="F25" s="534">
        <v>115.21384558388888</v>
      </c>
      <c r="G25" s="534">
        <v>6701.6053514622126</v>
      </c>
      <c r="H25" s="534">
        <v>82.717632726894607</v>
      </c>
      <c r="I25" s="534">
        <v>125.5535496747507</v>
      </c>
      <c r="J25" s="534">
        <v>2342.6815268723817</v>
      </c>
      <c r="K25" s="534">
        <v>397.34005720597816</v>
      </c>
      <c r="L25" s="592">
        <v>8.8626035064530058</v>
      </c>
    </row>
    <row r="26" spans="1:15" ht="17.25" customHeight="1" x14ac:dyDescent="0.2">
      <c r="A26" s="653" t="s">
        <v>22</v>
      </c>
      <c r="B26" s="533">
        <v>19638.052269712887</v>
      </c>
      <c r="C26" s="533">
        <v>6821.2504987993107</v>
      </c>
      <c r="D26" s="533">
        <v>248.15289818068482</v>
      </c>
      <c r="E26" s="533">
        <v>404.72556012802238</v>
      </c>
      <c r="F26" s="533">
        <v>258.49260227154673</v>
      </c>
      <c r="G26" s="533">
        <v>8245.175462169218</v>
      </c>
      <c r="H26" s="533">
        <v>254.06130051832019</v>
      </c>
      <c r="I26" s="533">
        <v>382.56905136188971</v>
      </c>
      <c r="J26" s="533">
        <v>2413.5823549239954</v>
      </c>
      <c r="K26" s="533">
        <v>553.91271915331572</v>
      </c>
      <c r="L26" s="590">
        <v>56.129822207535653</v>
      </c>
    </row>
    <row r="27" spans="1:15" ht="15.75" customHeight="1" x14ac:dyDescent="0.2">
      <c r="A27" s="594" t="s">
        <v>22</v>
      </c>
      <c r="B27" s="534">
        <v>19638.052269712887</v>
      </c>
      <c r="C27" s="534">
        <v>6821.2504987993107</v>
      </c>
      <c r="D27" s="534">
        <v>248.15289818068482</v>
      </c>
      <c r="E27" s="534">
        <v>404.72556012802238</v>
      </c>
      <c r="F27" s="534">
        <v>258.49260227154673</v>
      </c>
      <c r="G27" s="534">
        <v>8245.175462169218</v>
      </c>
      <c r="H27" s="534">
        <v>254.06130051832019</v>
      </c>
      <c r="I27" s="534">
        <v>382.56905136188971</v>
      </c>
      <c r="J27" s="534">
        <v>2413.5823549239954</v>
      </c>
      <c r="K27" s="534">
        <v>553.91271915331572</v>
      </c>
      <c r="L27" s="592">
        <v>56.129822207535653</v>
      </c>
    </row>
    <row r="28" spans="1:15" x14ac:dyDescent="0.2">
      <c r="A28" s="653" t="s">
        <v>23</v>
      </c>
      <c r="B28" s="533">
        <v>23416.475564630131</v>
      </c>
      <c r="C28" s="533">
        <v>388.47745369952509</v>
      </c>
      <c r="D28" s="533">
        <v>384.04615194629855</v>
      </c>
      <c r="E28" s="533">
        <v>471.1950864264204</v>
      </c>
      <c r="F28" s="533">
        <v>395.86295662156931</v>
      </c>
      <c r="G28" s="533">
        <v>9695.6882360584805</v>
      </c>
      <c r="H28" s="533">
        <v>618.9051448673049</v>
      </c>
      <c r="I28" s="533">
        <v>471.1950864264204</v>
      </c>
      <c r="J28" s="533">
        <v>10032.467169303645</v>
      </c>
      <c r="K28" s="533">
        <v>924.6649658399358</v>
      </c>
      <c r="L28" s="590">
        <v>33.973313441403192</v>
      </c>
    </row>
    <row r="29" spans="1:15" x14ac:dyDescent="0.2">
      <c r="A29" s="594" t="s">
        <v>23</v>
      </c>
      <c r="B29" s="534">
        <v>11791.693965334309</v>
      </c>
      <c r="C29" s="534">
        <v>181.68337188228679</v>
      </c>
      <c r="D29" s="534">
        <v>199.40857889519293</v>
      </c>
      <c r="E29" s="534">
        <v>271.78650753122633</v>
      </c>
      <c r="F29" s="534">
        <v>208.271182401646</v>
      </c>
      <c r="G29" s="534">
        <v>5429.8217482863929</v>
      </c>
      <c r="H29" s="534">
        <v>420.97366655651967</v>
      </c>
      <c r="I29" s="534">
        <v>234.85899292100521</v>
      </c>
      <c r="J29" s="534">
        <v>4435.7330549793933</v>
      </c>
      <c r="K29" s="534">
        <v>404.72556012802238</v>
      </c>
      <c r="L29" s="592">
        <v>4.4313017532265029</v>
      </c>
    </row>
    <row r="30" spans="1:15" x14ac:dyDescent="0.2">
      <c r="A30" s="594" t="s">
        <v>24</v>
      </c>
      <c r="B30" s="534">
        <v>11624.781599296135</v>
      </c>
      <c r="C30" s="534">
        <v>206.79408181723716</v>
      </c>
      <c r="D30" s="534">
        <v>184.63757305110448</v>
      </c>
      <c r="E30" s="534">
        <v>199.40857889519293</v>
      </c>
      <c r="F30" s="534">
        <v>187.59177421992217</v>
      </c>
      <c r="G30" s="534">
        <v>4265.8664877724023</v>
      </c>
      <c r="H30" s="534">
        <v>197.93147831078409</v>
      </c>
      <c r="I30" s="534">
        <v>236.33609350541406</v>
      </c>
      <c r="J30" s="534">
        <v>5596.7341143245667</v>
      </c>
      <c r="K30" s="534">
        <v>519.93940571191229</v>
      </c>
      <c r="L30" s="592">
        <v>29.542011688176686</v>
      </c>
    </row>
    <row r="31" spans="1:15" x14ac:dyDescent="0.2">
      <c r="A31" s="653" t="s">
        <v>25</v>
      </c>
      <c r="B31" s="533">
        <v>2310.1853140153921</v>
      </c>
      <c r="C31" s="533">
        <v>8.8626035064530058</v>
      </c>
      <c r="D31" s="533">
        <v>8.8626035064530058</v>
      </c>
      <c r="E31" s="533">
        <v>13.293905259679509</v>
      </c>
      <c r="F31" s="533">
        <v>5.9084023376353372</v>
      </c>
      <c r="G31" s="533">
        <v>1378.1348452534512</v>
      </c>
      <c r="H31" s="533">
        <v>8.8626035064530058</v>
      </c>
      <c r="I31" s="533">
        <v>16.248106428497177</v>
      </c>
      <c r="J31" s="533">
        <v>810.92822084045474</v>
      </c>
      <c r="K31" s="533">
        <v>54.652721623126823</v>
      </c>
      <c r="L31" s="590">
        <v>4.4313017532265029</v>
      </c>
    </row>
    <row r="32" spans="1:15" x14ac:dyDescent="0.2">
      <c r="A32" s="594" t="s">
        <v>25</v>
      </c>
      <c r="B32" s="534">
        <v>2310.1853140153921</v>
      </c>
      <c r="C32" s="534">
        <v>8.8626035064530058</v>
      </c>
      <c r="D32" s="534">
        <v>8.8626035064530058</v>
      </c>
      <c r="E32" s="534">
        <v>13.293905259679509</v>
      </c>
      <c r="F32" s="534">
        <v>5.9084023376353372</v>
      </c>
      <c r="G32" s="534">
        <v>1378.1348452534512</v>
      </c>
      <c r="H32" s="534">
        <v>8.8626035064530058</v>
      </c>
      <c r="I32" s="534">
        <v>16.248106428497177</v>
      </c>
      <c r="J32" s="534">
        <v>810.92822084045474</v>
      </c>
      <c r="K32" s="534">
        <v>54.652721623126823</v>
      </c>
      <c r="L32" s="592">
        <v>4.4313017532265029</v>
      </c>
    </row>
    <row r="33" spans="1:12" x14ac:dyDescent="0.2">
      <c r="A33" s="653" t="s">
        <v>26</v>
      </c>
      <c r="B33" s="533">
        <v>1218.6079821372959</v>
      </c>
      <c r="C33" s="533">
        <v>10.33970409086184</v>
      </c>
      <c r="D33" s="533">
        <v>16.248106428497177</v>
      </c>
      <c r="E33" s="533">
        <v>16.248106428497177</v>
      </c>
      <c r="F33" s="533">
        <v>13.293905259679509</v>
      </c>
      <c r="G33" s="533">
        <v>726.73348752915058</v>
      </c>
      <c r="H33" s="533">
        <v>13.293905259679509</v>
      </c>
      <c r="I33" s="533">
        <v>17.725207012906012</v>
      </c>
      <c r="J33" s="533">
        <v>400.29425837479585</v>
      </c>
      <c r="K33" s="533">
        <v>4.4313017532265029</v>
      </c>
      <c r="L33" s="590">
        <v>0</v>
      </c>
    </row>
    <row r="34" spans="1:12" ht="14.25" customHeight="1" x14ac:dyDescent="0.2">
      <c r="A34" s="594" t="s">
        <v>26</v>
      </c>
      <c r="B34" s="534">
        <v>1218.6079821372959</v>
      </c>
      <c r="C34" s="534">
        <v>10.33970409086184</v>
      </c>
      <c r="D34" s="534">
        <v>16.248106428497177</v>
      </c>
      <c r="E34" s="534">
        <v>16.248106428497177</v>
      </c>
      <c r="F34" s="534">
        <v>13.293905259679509</v>
      </c>
      <c r="G34" s="534">
        <v>726.73348752915058</v>
      </c>
      <c r="H34" s="534">
        <v>13.293905259679509</v>
      </c>
      <c r="I34" s="534">
        <v>17.725207012906012</v>
      </c>
      <c r="J34" s="534">
        <v>400.29425837479585</v>
      </c>
      <c r="K34" s="534">
        <v>4.4313017532265029</v>
      </c>
      <c r="L34" s="592">
        <v>0</v>
      </c>
    </row>
    <row r="35" spans="1:12" x14ac:dyDescent="0.2">
      <c r="A35" s="594" t="s">
        <v>34</v>
      </c>
      <c r="B35" s="534">
        <v>5655.8181377009114</v>
      </c>
      <c r="C35" s="534">
        <v>45.790118116673838</v>
      </c>
      <c r="D35" s="534">
        <v>88.62603506452993</v>
      </c>
      <c r="E35" s="534">
        <v>85.671833895712268</v>
      </c>
      <c r="F35" s="534">
        <v>78.286330973668115</v>
      </c>
      <c r="G35" s="534">
        <v>2475.6205794691573</v>
      </c>
      <c r="H35" s="534">
        <v>63.515325129579807</v>
      </c>
      <c r="I35" s="534">
        <v>189.06887480433102</v>
      </c>
      <c r="J35" s="534">
        <v>2516.9793958325986</v>
      </c>
      <c r="K35" s="534">
        <v>110.78254383066239</v>
      </c>
      <c r="L35" s="592">
        <v>1.4771005844088343</v>
      </c>
    </row>
    <row r="36" spans="1:12" x14ac:dyDescent="0.2">
      <c r="A36" s="594" t="s">
        <v>27</v>
      </c>
      <c r="B36" s="534">
        <v>5655.8181377009114</v>
      </c>
      <c r="C36" s="534">
        <v>45.790118116673838</v>
      </c>
      <c r="D36" s="534">
        <v>88.62603506452993</v>
      </c>
      <c r="E36" s="534">
        <v>85.671833895712268</v>
      </c>
      <c r="F36" s="534">
        <v>78.286330973668115</v>
      </c>
      <c r="G36" s="534">
        <v>2475.6205794691573</v>
      </c>
      <c r="H36" s="534">
        <v>63.515325129579807</v>
      </c>
      <c r="I36" s="534">
        <v>189.06887480433102</v>
      </c>
      <c r="J36" s="534">
        <v>2516.9793958325986</v>
      </c>
      <c r="K36" s="534">
        <v>110.78254383066239</v>
      </c>
      <c r="L36" s="592">
        <v>1.4771005844088343</v>
      </c>
    </row>
    <row r="37" spans="1:12" x14ac:dyDescent="0.2">
      <c r="A37" s="653" t="s">
        <v>28</v>
      </c>
      <c r="B37" s="533">
        <v>12246.640945332163</v>
      </c>
      <c r="C37" s="533">
        <v>174.29786896024257</v>
      </c>
      <c r="D37" s="533">
        <v>150.66425960970105</v>
      </c>
      <c r="E37" s="533">
        <v>208.271182401646</v>
      </c>
      <c r="F37" s="533">
        <v>146.23295785647451</v>
      </c>
      <c r="G37" s="533">
        <v>5242.2299740664985</v>
      </c>
      <c r="H37" s="533">
        <v>177.25207012906026</v>
      </c>
      <c r="I37" s="533">
        <v>218.61088649250792</v>
      </c>
      <c r="J37" s="533">
        <v>5444.5927541304791</v>
      </c>
      <c r="K37" s="533">
        <v>474.14928759523809</v>
      </c>
      <c r="L37" s="590">
        <v>10.33970409086184</v>
      </c>
    </row>
    <row r="38" spans="1:12" x14ac:dyDescent="0.2">
      <c r="A38" s="594" t="s">
        <v>28</v>
      </c>
      <c r="B38" s="534">
        <v>12246.640945332163</v>
      </c>
      <c r="C38" s="534">
        <v>174.29786896024257</v>
      </c>
      <c r="D38" s="534">
        <v>150.66425960970105</v>
      </c>
      <c r="E38" s="534">
        <v>208.271182401646</v>
      </c>
      <c r="F38" s="534">
        <v>146.23295785647451</v>
      </c>
      <c r="G38" s="534">
        <v>5242.2299740664985</v>
      </c>
      <c r="H38" s="534">
        <v>177.25207012906026</v>
      </c>
      <c r="I38" s="534">
        <v>218.61088649250792</v>
      </c>
      <c r="J38" s="534">
        <v>5444.5927541304791</v>
      </c>
      <c r="K38" s="534">
        <v>474.14928759523809</v>
      </c>
      <c r="L38" s="592">
        <v>10.33970409086184</v>
      </c>
    </row>
    <row r="39" spans="1:12" x14ac:dyDescent="0.2">
      <c r="A39" s="653" t="s">
        <v>29</v>
      </c>
      <c r="B39" s="533">
        <v>33499.164153803358</v>
      </c>
      <c r="C39" s="533">
        <v>494.82869577696192</v>
      </c>
      <c r="D39" s="533">
        <v>614.47384311407836</v>
      </c>
      <c r="E39" s="533">
        <v>531.75621038718305</v>
      </c>
      <c r="F39" s="533">
        <v>499.25999753018846</v>
      </c>
      <c r="G39" s="533">
        <v>18187.539495823625</v>
      </c>
      <c r="H39" s="533">
        <v>480.05768993287347</v>
      </c>
      <c r="I39" s="533">
        <v>620.38224545171374</v>
      </c>
      <c r="J39" s="533">
        <v>10952.700833390214</v>
      </c>
      <c r="K39" s="533">
        <v>1107.8254383066326</v>
      </c>
      <c r="L39" s="590">
        <v>10.33970409086184</v>
      </c>
    </row>
    <row r="40" spans="1:12" x14ac:dyDescent="0.2">
      <c r="A40" s="594" t="s">
        <v>30</v>
      </c>
      <c r="B40" s="534">
        <v>21095.950546524193</v>
      </c>
      <c r="C40" s="534">
        <v>246.67579759627597</v>
      </c>
      <c r="D40" s="534">
        <v>316.09952506349168</v>
      </c>
      <c r="E40" s="534">
        <v>271.78650753122633</v>
      </c>
      <c r="F40" s="534">
        <v>271.78650753122633</v>
      </c>
      <c r="G40" s="534">
        <v>11675.003019166028</v>
      </c>
      <c r="H40" s="534">
        <v>268.83230636240864</v>
      </c>
      <c r="I40" s="534">
        <v>350.07283850489512</v>
      </c>
      <c r="J40" s="534">
        <v>7129.9645209407117</v>
      </c>
      <c r="K40" s="534">
        <v>559.8211214909511</v>
      </c>
      <c r="L40" s="592">
        <v>5.9084023376353372</v>
      </c>
    </row>
    <row r="41" spans="1:12" x14ac:dyDescent="0.2">
      <c r="A41" s="594" t="s">
        <v>29</v>
      </c>
      <c r="B41" s="534">
        <v>12403.213607279476</v>
      </c>
      <c r="C41" s="534">
        <v>248.15289818068482</v>
      </c>
      <c r="D41" s="534">
        <v>298.37431805058554</v>
      </c>
      <c r="E41" s="534">
        <v>259.96970285595557</v>
      </c>
      <c r="F41" s="534">
        <v>227.47348999896099</v>
      </c>
      <c r="G41" s="534">
        <v>6512.5364766579096</v>
      </c>
      <c r="H41" s="534">
        <v>211.22538357046369</v>
      </c>
      <c r="I41" s="534">
        <v>270.30940694681749</v>
      </c>
      <c r="J41" s="534">
        <v>3822.7363124498165</v>
      </c>
      <c r="K41" s="534">
        <v>548.00431681568034</v>
      </c>
      <c r="L41" s="592">
        <v>4.4313017532265029</v>
      </c>
    </row>
    <row r="42" spans="1:12" x14ac:dyDescent="0.2">
      <c r="A42" s="653" t="s">
        <v>31</v>
      </c>
      <c r="B42" s="533">
        <v>11872.934497476783</v>
      </c>
      <c r="C42" s="533">
        <v>1280.6462066824674</v>
      </c>
      <c r="D42" s="533">
        <v>171.34366779142488</v>
      </c>
      <c r="E42" s="533">
        <v>196.45437772637524</v>
      </c>
      <c r="F42" s="533">
        <v>146.23295785647451</v>
      </c>
      <c r="G42" s="533">
        <v>6602.6396123068353</v>
      </c>
      <c r="H42" s="533">
        <v>146.23295785647451</v>
      </c>
      <c r="I42" s="533">
        <v>208.271182401646</v>
      </c>
      <c r="J42" s="533">
        <v>2791.7201045326015</v>
      </c>
      <c r="K42" s="533">
        <v>252.58419993391135</v>
      </c>
      <c r="L42" s="590">
        <v>76.809230389259284</v>
      </c>
    </row>
    <row r="43" spans="1:12" x14ac:dyDescent="0.2">
      <c r="A43" s="594" t="s">
        <v>31</v>
      </c>
      <c r="B43" s="534">
        <v>11872.934497476783</v>
      </c>
      <c r="C43" s="534">
        <v>1280.6462066824674</v>
      </c>
      <c r="D43" s="534">
        <v>171.34366779142488</v>
      </c>
      <c r="E43" s="534">
        <v>196.45437772637524</v>
      </c>
      <c r="F43" s="534">
        <v>146.23295785647451</v>
      </c>
      <c r="G43" s="534">
        <v>6602.6396123068353</v>
      </c>
      <c r="H43" s="534">
        <v>146.23295785647451</v>
      </c>
      <c r="I43" s="534">
        <v>208.271182401646</v>
      </c>
      <c r="J43" s="534">
        <v>2791.7201045326015</v>
      </c>
      <c r="K43" s="534">
        <v>252.58419993391135</v>
      </c>
      <c r="L43" s="592">
        <v>76.809230389259284</v>
      </c>
    </row>
    <row r="44" spans="1:12" x14ac:dyDescent="0.2">
      <c r="A44" s="350"/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</row>
    <row r="45" spans="1:12" x14ac:dyDescent="0.2">
      <c r="A45" s="350"/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</row>
    <row r="46" spans="1:12" x14ac:dyDescent="0.2">
      <c r="A46" s="350"/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</row>
  </sheetData>
  <mergeCells count="4">
    <mergeCell ref="A2:L2"/>
    <mergeCell ref="B3:B4"/>
    <mergeCell ref="C3:L3"/>
    <mergeCell ref="A3:A4"/>
  </mergeCell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44"/>
  <sheetViews>
    <sheetView workbookViewId="0">
      <selection activeCell="A2" sqref="A2:A3"/>
    </sheetView>
  </sheetViews>
  <sheetFormatPr defaultRowHeight="12" x14ac:dyDescent="0.2"/>
  <cols>
    <col min="1" max="1" width="17.5703125" style="575" customWidth="1"/>
    <col min="2" max="2" width="9.140625" style="575"/>
    <col min="3" max="4" width="11.7109375" style="575" customWidth="1"/>
    <col min="5" max="5" width="12.85546875" style="575" customWidth="1"/>
    <col min="6" max="6" width="11.85546875" style="575" customWidth="1"/>
    <col min="7" max="7" width="11.140625" style="575" customWidth="1"/>
    <col min="8" max="8" width="12" style="575" customWidth="1"/>
    <col min="9" max="9" width="11.85546875" style="575" customWidth="1"/>
    <col min="10" max="10" width="11.7109375" style="575" customWidth="1"/>
    <col min="11" max="16384" width="9.140625" style="575"/>
  </cols>
  <sheetData>
    <row r="1" spans="1:13" ht="18.75" customHeight="1" x14ac:dyDescent="0.2">
      <c r="A1" s="806" t="s">
        <v>97</v>
      </c>
      <c r="B1" s="806"/>
      <c r="C1" s="806"/>
      <c r="D1" s="806"/>
      <c r="E1" s="806"/>
      <c r="F1" s="806"/>
      <c r="G1" s="806"/>
      <c r="H1" s="806"/>
      <c r="I1" s="806"/>
      <c r="J1" s="806"/>
    </row>
    <row r="2" spans="1:13" ht="15" customHeight="1" x14ac:dyDescent="0.2">
      <c r="A2" s="942" t="str">
        <f>'Q9.1'!$A$3</f>
        <v>Área de residência, município e comuna</v>
      </c>
      <c r="B2" s="811" t="s">
        <v>84</v>
      </c>
      <c r="C2" s="809" t="s">
        <v>98</v>
      </c>
      <c r="D2" s="809"/>
      <c r="E2" s="809"/>
      <c r="F2" s="809"/>
      <c r="G2" s="809"/>
      <c r="H2" s="809"/>
      <c r="I2" s="809"/>
      <c r="J2" s="809"/>
    </row>
    <row r="3" spans="1:13" ht="36" x14ac:dyDescent="0.2">
      <c r="A3" s="943"/>
      <c r="B3" s="812"/>
      <c r="C3" s="491" t="s">
        <v>99</v>
      </c>
      <c r="D3" s="491" t="s">
        <v>100</v>
      </c>
      <c r="E3" s="491" t="s">
        <v>101</v>
      </c>
      <c r="F3" s="491" t="s">
        <v>102</v>
      </c>
      <c r="G3" s="491" t="s">
        <v>103</v>
      </c>
      <c r="H3" s="491" t="s">
        <v>104</v>
      </c>
      <c r="I3" s="491" t="s">
        <v>105</v>
      </c>
      <c r="J3" s="420" t="s">
        <v>553</v>
      </c>
    </row>
    <row r="4" spans="1:13" x14ac:dyDescent="0.2">
      <c r="A4" s="264" t="s">
        <v>32</v>
      </c>
      <c r="B4" s="42">
        <v>261282.84527673907</v>
      </c>
      <c r="C4" s="42">
        <v>5169.8520454304762</v>
      </c>
      <c r="D4" s="42">
        <v>5728.1960663369337</v>
      </c>
      <c r="E4" s="42">
        <v>51592.169212224515</v>
      </c>
      <c r="F4" s="42">
        <v>4326.4276117331556</v>
      </c>
      <c r="G4" s="42">
        <v>16482.96542141608</v>
      </c>
      <c r="H4" s="42">
        <v>177387.96338325631</v>
      </c>
      <c r="I4" s="42">
        <v>257.01550168713788</v>
      </c>
      <c r="J4" s="42">
        <v>338.25603382962436</v>
      </c>
    </row>
    <row r="5" spans="1:13" x14ac:dyDescent="0.2">
      <c r="A5" s="265"/>
      <c r="B5" s="43"/>
      <c r="C5" s="43"/>
      <c r="D5" s="43"/>
      <c r="E5" s="43"/>
      <c r="F5" s="43"/>
      <c r="G5" s="43"/>
      <c r="H5" s="43"/>
      <c r="I5" s="43"/>
      <c r="J5" s="43"/>
      <c r="M5" s="597"/>
    </row>
    <row r="6" spans="1:13" x14ac:dyDescent="0.2">
      <c r="A6" s="264" t="s">
        <v>167</v>
      </c>
      <c r="B6" s="42"/>
      <c r="C6" s="42"/>
      <c r="D6" s="42"/>
      <c r="E6" s="42"/>
      <c r="F6" s="42"/>
      <c r="G6" s="42"/>
      <c r="H6" s="42"/>
      <c r="I6" s="42"/>
      <c r="J6" s="42"/>
    </row>
    <row r="7" spans="1:13" x14ac:dyDescent="0.2">
      <c r="A7" s="266" t="s">
        <v>8</v>
      </c>
      <c r="B7" s="45">
        <v>74088.411112767761</v>
      </c>
      <c r="C7" s="45">
        <v>1791.7230088879278</v>
      </c>
      <c r="D7" s="45">
        <v>2490.3915853132435</v>
      </c>
      <c r="E7" s="45">
        <v>45900.900660498111</v>
      </c>
      <c r="F7" s="45">
        <v>1239.2873903190198</v>
      </c>
      <c r="G7" s="45">
        <v>12321.973075137003</v>
      </c>
      <c r="H7" s="45">
        <v>10033.944269888054</v>
      </c>
      <c r="I7" s="45">
        <v>118.16804675270654</v>
      </c>
      <c r="J7" s="45">
        <v>192.02307597314871</v>
      </c>
    </row>
    <row r="8" spans="1:13" x14ac:dyDescent="0.2">
      <c r="A8" s="266" t="s">
        <v>9</v>
      </c>
      <c r="B8" s="45">
        <v>187194.43416324173</v>
      </c>
      <c r="C8" s="45">
        <v>3378.1290365428226</v>
      </c>
      <c r="D8" s="45">
        <v>3237.804481024004</v>
      </c>
      <c r="E8" s="45">
        <v>5691.2685517267182</v>
      </c>
      <c r="F8" s="45">
        <v>3087.140221414325</v>
      </c>
      <c r="G8" s="45">
        <v>4160.9923462793904</v>
      </c>
      <c r="H8" s="45">
        <v>167354.01911326972</v>
      </c>
      <c r="I8" s="45">
        <v>138.84745493443029</v>
      </c>
      <c r="J8" s="45">
        <v>146.23295785647451</v>
      </c>
    </row>
    <row r="9" spans="1:13" x14ac:dyDescent="0.2">
      <c r="A9" s="267" t="s">
        <v>96</v>
      </c>
      <c r="B9" s="47"/>
      <c r="C9" s="47"/>
      <c r="D9" s="47"/>
      <c r="E9" s="47"/>
      <c r="F9" s="47"/>
      <c r="G9" s="47"/>
      <c r="H9" s="47"/>
      <c r="I9" s="47"/>
      <c r="J9" s="47"/>
    </row>
    <row r="10" spans="1:13" x14ac:dyDescent="0.2">
      <c r="A10" s="268" t="s">
        <v>11</v>
      </c>
      <c r="B10" s="43">
        <v>34100.344091657666</v>
      </c>
      <c r="C10" s="43">
        <v>503.69129928341499</v>
      </c>
      <c r="D10" s="43">
        <v>481.53479051728232</v>
      </c>
      <c r="E10" s="43">
        <v>6256.9980755552187</v>
      </c>
      <c r="F10" s="43">
        <v>423.92786772533736</v>
      </c>
      <c r="G10" s="43">
        <v>1648.4442522002698</v>
      </c>
      <c r="H10" s="43">
        <v>24639.514848520466</v>
      </c>
      <c r="I10" s="43">
        <v>44.313017532265008</v>
      </c>
      <c r="J10" s="43">
        <v>101.91994032420941</v>
      </c>
    </row>
    <row r="11" spans="1:13" x14ac:dyDescent="0.2">
      <c r="A11" s="347" t="s">
        <v>12</v>
      </c>
      <c r="B11" s="45">
        <v>22028.00101528603</v>
      </c>
      <c r="C11" s="45">
        <v>353.02703967371281</v>
      </c>
      <c r="D11" s="45">
        <v>330.87053090758013</v>
      </c>
      <c r="E11" s="45">
        <v>5991.1199703616676</v>
      </c>
      <c r="F11" s="45">
        <v>314.62242447908284</v>
      </c>
      <c r="G11" s="45">
        <v>1525.8449036943357</v>
      </c>
      <c r="H11" s="45">
        <v>13392.87099883325</v>
      </c>
      <c r="I11" s="45">
        <v>28.064911103767852</v>
      </c>
      <c r="J11" s="45">
        <v>91.580236233347591</v>
      </c>
    </row>
    <row r="12" spans="1:13" ht="16.5" customHeight="1" x14ac:dyDescent="0.2">
      <c r="A12" s="347" t="s">
        <v>13</v>
      </c>
      <c r="B12" s="45">
        <v>12072.343076371946</v>
      </c>
      <c r="C12" s="45">
        <v>150.66425960970105</v>
      </c>
      <c r="D12" s="45">
        <v>150.66425960970105</v>
      </c>
      <c r="E12" s="45">
        <v>265.87810519359095</v>
      </c>
      <c r="F12" s="45">
        <v>109.30544324625356</v>
      </c>
      <c r="G12" s="45">
        <v>122.59934850593304</v>
      </c>
      <c r="H12" s="45">
        <v>11246.643849687529</v>
      </c>
      <c r="I12" s="45">
        <v>16.248106428497177</v>
      </c>
      <c r="J12" s="45">
        <v>10.33970409086184</v>
      </c>
    </row>
    <row r="13" spans="1:13" x14ac:dyDescent="0.2">
      <c r="A13" s="268" t="s">
        <v>44</v>
      </c>
      <c r="B13" s="43">
        <v>72729.478575111832</v>
      </c>
      <c r="C13" s="43">
        <v>1818.310819407287</v>
      </c>
      <c r="D13" s="43">
        <v>2271.7806988207681</v>
      </c>
      <c r="E13" s="43">
        <v>31159.436828100104</v>
      </c>
      <c r="F13" s="43">
        <v>1386.9974487599043</v>
      </c>
      <c r="G13" s="43">
        <v>7852.2667067165257</v>
      </c>
      <c r="H13" s="43">
        <v>28001.39577863448</v>
      </c>
      <c r="I13" s="43">
        <v>57.606922791944484</v>
      </c>
      <c r="J13" s="43">
        <v>181.68337188228679</v>
      </c>
    </row>
    <row r="14" spans="1:13" x14ac:dyDescent="0.2">
      <c r="A14" s="347" t="s">
        <v>15</v>
      </c>
      <c r="B14" s="45">
        <v>61466.586618996123</v>
      </c>
      <c r="C14" s="45">
        <v>1604.1312346680045</v>
      </c>
      <c r="D14" s="45">
        <v>2028.059102393343</v>
      </c>
      <c r="E14" s="45">
        <v>30917.192332257091</v>
      </c>
      <c r="F14" s="45">
        <v>1187.5888698647102</v>
      </c>
      <c r="G14" s="45">
        <v>7636.6100213928676</v>
      </c>
      <c r="H14" s="45">
        <v>17871.439970760181</v>
      </c>
      <c r="I14" s="45">
        <v>51.698520454309161</v>
      </c>
      <c r="J14" s="45">
        <v>169.86656720701603</v>
      </c>
    </row>
    <row r="15" spans="1:13" x14ac:dyDescent="0.2">
      <c r="A15" s="347" t="s">
        <v>16</v>
      </c>
      <c r="B15" s="45">
        <v>11262.891956116024</v>
      </c>
      <c r="C15" s="45">
        <v>214.17958473928138</v>
      </c>
      <c r="D15" s="45">
        <v>243.72159642745828</v>
      </c>
      <c r="E15" s="45">
        <v>242.24449584304944</v>
      </c>
      <c r="F15" s="45">
        <v>199.40857889519293</v>
      </c>
      <c r="G15" s="45">
        <v>215.65668532369023</v>
      </c>
      <c r="H15" s="45">
        <v>10129.955807874614</v>
      </c>
      <c r="I15" s="45">
        <v>5.9084023376353372</v>
      </c>
      <c r="J15" s="45">
        <v>11.816804675270674</v>
      </c>
    </row>
    <row r="16" spans="1:13" x14ac:dyDescent="0.2">
      <c r="A16" s="268" t="s">
        <v>17</v>
      </c>
      <c r="B16" s="43">
        <v>6311.6507971783376</v>
      </c>
      <c r="C16" s="43">
        <v>53.175621038717992</v>
      </c>
      <c r="D16" s="43">
        <v>96.011537986574083</v>
      </c>
      <c r="E16" s="43">
        <v>1032.4933085017815</v>
      </c>
      <c r="F16" s="43">
        <v>38.404615194629685</v>
      </c>
      <c r="G16" s="43">
        <v>159.52686311615412</v>
      </c>
      <c r="H16" s="43">
        <v>4927.6075495874629</v>
      </c>
      <c r="I16" s="43">
        <v>2.9542011688176686</v>
      </c>
      <c r="J16" s="43">
        <v>1.4771005844088343</v>
      </c>
    </row>
    <row r="17" spans="1:10" x14ac:dyDescent="0.2">
      <c r="A17" s="347" t="s">
        <v>17</v>
      </c>
      <c r="B17" s="45">
        <v>6311.6507971783376</v>
      </c>
      <c r="C17" s="45">
        <v>53.175621038717992</v>
      </c>
      <c r="D17" s="45">
        <v>96.011537986574083</v>
      </c>
      <c r="E17" s="45">
        <v>1032.4933085017815</v>
      </c>
      <c r="F17" s="45">
        <v>38.404615194629685</v>
      </c>
      <c r="G17" s="45">
        <v>159.52686311615412</v>
      </c>
      <c r="H17" s="45">
        <v>4927.6075495874629</v>
      </c>
      <c r="I17" s="45">
        <v>2.9542011688176686</v>
      </c>
      <c r="J17" s="45">
        <v>1.4771005844088343</v>
      </c>
    </row>
    <row r="18" spans="1:10" x14ac:dyDescent="0.2">
      <c r="A18" s="268" t="s">
        <v>18</v>
      </c>
      <c r="B18" s="43">
        <v>5462.3179611433825</v>
      </c>
      <c r="C18" s="43">
        <v>73.855029220441622</v>
      </c>
      <c r="D18" s="43">
        <v>161.00396370056296</v>
      </c>
      <c r="E18" s="43">
        <v>153.61846077851874</v>
      </c>
      <c r="F18" s="43">
        <v>63.515325129579807</v>
      </c>
      <c r="G18" s="43">
        <v>73.855029220441622</v>
      </c>
      <c r="H18" s="43">
        <v>4930.5617507562802</v>
      </c>
      <c r="I18" s="43">
        <v>5.9084023376353372</v>
      </c>
      <c r="J18" s="44">
        <v>0</v>
      </c>
    </row>
    <row r="19" spans="1:10" x14ac:dyDescent="0.2">
      <c r="A19" s="347" t="s">
        <v>18</v>
      </c>
      <c r="B19" s="45">
        <v>5462.3179611433825</v>
      </c>
      <c r="C19" s="45">
        <v>73.855029220441622</v>
      </c>
      <c r="D19" s="45">
        <v>161.00396370056296</v>
      </c>
      <c r="E19" s="45">
        <v>153.61846077851874</v>
      </c>
      <c r="F19" s="45">
        <v>63.515325129579807</v>
      </c>
      <c r="G19" s="45">
        <v>73.855029220441622</v>
      </c>
      <c r="H19" s="45">
        <v>4930.5617507562802</v>
      </c>
      <c r="I19" s="45">
        <v>5.9084023376353372</v>
      </c>
      <c r="J19" s="46">
        <v>0</v>
      </c>
    </row>
    <row r="20" spans="1:10" x14ac:dyDescent="0.2">
      <c r="A20" s="268" t="s">
        <v>19</v>
      </c>
      <c r="B20" s="43">
        <v>21072.316937173655</v>
      </c>
      <c r="C20" s="43">
        <v>289.51171454413247</v>
      </c>
      <c r="D20" s="43">
        <v>261.44680344036442</v>
      </c>
      <c r="E20" s="43">
        <v>2301.3227105089404</v>
      </c>
      <c r="F20" s="43">
        <v>225.99638941455214</v>
      </c>
      <c r="G20" s="43">
        <v>692.76017408774715</v>
      </c>
      <c r="H20" s="43">
        <v>17295.37074284082</v>
      </c>
      <c r="I20" s="43">
        <v>4.4313017532265029</v>
      </c>
      <c r="J20" s="43">
        <v>1.4771005844088343</v>
      </c>
    </row>
    <row r="21" spans="1:10" x14ac:dyDescent="0.2">
      <c r="A21" s="347" t="s">
        <v>19</v>
      </c>
      <c r="B21" s="45">
        <v>12692.725321823566</v>
      </c>
      <c r="C21" s="45">
        <v>172.82076837583372</v>
      </c>
      <c r="D21" s="45">
        <v>171.34366779142488</v>
      </c>
      <c r="E21" s="45">
        <v>2131.4561433019494</v>
      </c>
      <c r="F21" s="45">
        <v>147.71005844088336</v>
      </c>
      <c r="G21" s="45">
        <v>584.93183142590146</v>
      </c>
      <c r="H21" s="45">
        <v>9482.9857519036395</v>
      </c>
      <c r="I21" s="46">
        <v>0</v>
      </c>
      <c r="J21" s="45">
        <v>1.4771005844088343</v>
      </c>
    </row>
    <row r="22" spans="1:10" x14ac:dyDescent="0.2">
      <c r="A22" s="347" t="s">
        <v>20</v>
      </c>
      <c r="B22" s="45">
        <v>8379.5916153504022</v>
      </c>
      <c r="C22" s="45">
        <v>116.69094616829771</v>
      </c>
      <c r="D22" s="45">
        <v>90.10313564893876</v>
      </c>
      <c r="E22" s="45">
        <v>169.86656720701603</v>
      </c>
      <c r="F22" s="45">
        <v>78.286330973668115</v>
      </c>
      <c r="G22" s="45">
        <v>107.82834266184473</v>
      </c>
      <c r="H22" s="45">
        <v>7812.3849909374931</v>
      </c>
      <c r="I22" s="45">
        <v>4.4313017532265029</v>
      </c>
      <c r="J22" s="46">
        <v>0</v>
      </c>
    </row>
    <row r="23" spans="1:10" x14ac:dyDescent="0.2">
      <c r="A23" s="268" t="s">
        <v>21</v>
      </c>
      <c r="B23" s="43">
        <v>11748.858048386459</v>
      </c>
      <c r="C23" s="43">
        <v>138.84745493443029</v>
      </c>
      <c r="D23" s="43">
        <v>156.57266194733643</v>
      </c>
      <c r="E23" s="43">
        <v>1608.562536421231</v>
      </c>
      <c r="F23" s="43">
        <v>177.25207012906026</v>
      </c>
      <c r="G23" s="43">
        <v>485.96609227050885</v>
      </c>
      <c r="H23" s="43">
        <v>9163.9320256713781</v>
      </c>
      <c r="I23" s="43">
        <v>4.4313017532265029</v>
      </c>
      <c r="J23" s="43">
        <v>13.293905259679509</v>
      </c>
    </row>
    <row r="24" spans="1:10" x14ac:dyDescent="0.2">
      <c r="A24" s="347" t="s">
        <v>21</v>
      </c>
      <c r="B24" s="45">
        <v>11748.858048386459</v>
      </c>
      <c r="C24" s="45">
        <v>138.84745493443029</v>
      </c>
      <c r="D24" s="45">
        <v>156.57266194733643</v>
      </c>
      <c r="E24" s="45">
        <v>1608.562536421231</v>
      </c>
      <c r="F24" s="45">
        <v>177.25207012906026</v>
      </c>
      <c r="G24" s="45">
        <v>485.96609227050885</v>
      </c>
      <c r="H24" s="45">
        <v>9163.9320256713781</v>
      </c>
      <c r="I24" s="45">
        <v>4.4313017532265029</v>
      </c>
      <c r="J24" s="45">
        <v>13.293905259679509</v>
      </c>
    </row>
    <row r="25" spans="1:10" x14ac:dyDescent="0.2">
      <c r="A25" s="268" t="s">
        <v>22</v>
      </c>
      <c r="B25" s="43">
        <v>19638.052269712887</v>
      </c>
      <c r="C25" s="43">
        <v>438.69887356942581</v>
      </c>
      <c r="D25" s="43">
        <v>540.61881389363612</v>
      </c>
      <c r="E25" s="43">
        <v>5686.8372499734924</v>
      </c>
      <c r="F25" s="43">
        <v>327.91632973876244</v>
      </c>
      <c r="G25" s="43">
        <v>3255.5296880369074</v>
      </c>
      <c r="H25" s="43">
        <v>9307.210782359014</v>
      </c>
      <c r="I25" s="43">
        <v>60.561123960762146</v>
      </c>
      <c r="J25" s="43">
        <v>20.67940818172368</v>
      </c>
    </row>
    <row r="26" spans="1:10" x14ac:dyDescent="0.2">
      <c r="A26" s="347" t="s">
        <v>22</v>
      </c>
      <c r="B26" s="45">
        <v>19638.052269712887</v>
      </c>
      <c r="C26" s="45">
        <v>438.69887356942581</v>
      </c>
      <c r="D26" s="45">
        <v>540.61881389363612</v>
      </c>
      <c r="E26" s="45">
        <v>5686.8372499734924</v>
      </c>
      <c r="F26" s="45">
        <v>327.91632973876244</v>
      </c>
      <c r="G26" s="45">
        <v>3255.5296880369074</v>
      </c>
      <c r="H26" s="45">
        <v>9307.210782359014</v>
      </c>
      <c r="I26" s="45">
        <v>60.561123960762146</v>
      </c>
      <c r="J26" s="45">
        <v>20.67940818172368</v>
      </c>
    </row>
    <row r="27" spans="1:10" x14ac:dyDescent="0.2">
      <c r="A27" s="268" t="s">
        <v>23</v>
      </c>
      <c r="B27" s="43">
        <v>23416.475564630131</v>
      </c>
      <c r="C27" s="43">
        <v>561.29822207535994</v>
      </c>
      <c r="D27" s="43">
        <v>521.41650629632113</v>
      </c>
      <c r="E27" s="43">
        <v>663.21816239957025</v>
      </c>
      <c r="F27" s="43">
        <v>502.21419869900615</v>
      </c>
      <c r="G27" s="43">
        <v>620.38224545171374</v>
      </c>
      <c r="H27" s="43">
        <v>20524.312620358058</v>
      </c>
      <c r="I27" s="43">
        <v>17.725207012906012</v>
      </c>
      <c r="J27" s="43">
        <v>5.9084023376353372</v>
      </c>
    </row>
    <row r="28" spans="1:10" x14ac:dyDescent="0.2">
      <c r="A28" s="347" t="s">
        <v>23</v>
      </c>
      <c r="B28" s="45">
        <v>11791.693965334309</v>
      </c>
      <c r="C28" s="45">
        <v>289.51171454413247</v>
      </c>
      <c r="D28" s="45">
        <v>273.26360811563518</v>
      </c>
      <c r="E28" s="45">
        <v>323.48502798553591</v>
      </c>
      <c r="F28" s="45">
        <v>249.62999876509366</v>
      </c>
      <c r="G28" s="45">
        <v>327.91632973876244</v>
      </c>
      <c r="H28" s="45">
        <v>10314.593380925691</v>
      </c>
      <c r="I28" s="45">
        <v>11.816804675270674</v>
      </c>
      <c r="J28" s="45">
        <v>1.4771005844088343</v>
      </c>
    </row>
    <row r="29" spans="1:10" x14ac:dyDescent="0.2">
      <c r="A29" s="347" t="s">
        <v>24</v>
      </c>
      <c r="B29" s="45">
        <v>11624.781599296135</v>
      </c>
      <c r="C29" s="45">
        <v>271.78650753122633</v>
      </c>
      <c r="D29" s="45">
        <v>248.15289818068482</v>
      </c>
      <c r="E29" s="45">
        <v>339.7331344140332</v>
      </c>
      <c r="F29" s="45">
        <v>252.58419993391135</v>
      </c>
      <c r="G29" s="45">
        <v>292.46591571295016</v>
      </c>
      <c r="H29" s="45">
        <v>10209.719239432679</v>
      </c>
      <c r="I29" s="45">
        <v>5.9084023376353372</v>
      </c>
      <c r="J29" s="45">
        <v>4.4313017532265029</v>
      </c>
    </row>
    <row r="30" spans="1:10" x14ac:dyDescent="0.2">
      <c r="A30" s="268" t="s">
        <v>25</v>
      </c>
      <c r="B30" s="43">
        <v>2310.1853140153921</v>
      </c>
      <c r="C30" s="43">
        <v>7.3855029220441715</v>
      </c>
      <c r="D30" s="43">
        <v>14.771005844088343</v>
      </c>
      <c r="E30" s="43">
        <v>17.725207012906012</v>
      </c>
      <c r="F30" s="43">
        <v>14.771005844088343</v>
      </c>
      <c r="G30" s="43">
        <v>11.816804675270674</v>
      </c>
      <c r="H30" s="43">
        <v>2242.2386871325957</v>
      </c>
      <c r="I30" s="43">
        <v>1.4771005844088343</v>
      </c>
      <c r="J30" s="44">
        <v>0</v>
      </c>
    </row>
    <row r="31" spans="1:10" x14ac:dyDescent="0.2">
      <c r="A31" s="347" t="s">
        <v>25</v>
      </c>
      <c r="B31" s="45">
        <v>2310.1853140153921</v>
      </c>
      <c r="C31" s="45">
        <v>7.3855029220441715</v>
      </c>
      <c r="D31" s="45">
        <v>14.771005844088343</v>
      </c>
      <c r="E31" s="45">
        <v>17.725207012906012</v>
      </c>
      <c r="F31" s="45">
        <v>14.771005844088343</v>
      </c>
      <c r="G31" s="45">
        <v>11.816804675270674</v>
      </c>
      <c r="H31" s="45">
        <v>2242.2386871325957</v>
      </c>
      <c r="I31" s="45">
        <v>1.4771005844088343</v>
      </c>
      <c r="J31" s="46">
        <v>0</v>
      </c>
    </row>
    <row r="32" spans="1:10" x14ac:dyDescent="0.2">
      <c r="A32" s="268" t="s">
        <v>26</v>
      </c>
      <c r="B32" s="43">
        <v>1218.6079821372959</v>
      </c>
      <c r="C32" s="43">
        <v>11.816804675270674</v>
      </c>
      <c r="D32" s="43">
        <v>22.156508766132514</v>
      </c>
      <c r="E32" s="43">
        <v>53.175621038717992</v>
      </c>
      <c r="F32" s="43">
        <v>23.633609350541349</v>
      </c>
      <c r="G32" s="43">
        <v>20.67940818172368</v>
      </c>
      <c r="H32" s="43">
        <v>1087.1460301249087</v>
      </c>
      <c r="I32" s="44">
        <v>0</v>
      </c>
      <c r="J32" s="44">
        <v>0</v>
      </c>
    </row>
    <row r="33" spans="1:10" x14ac:dyDescent="0.2">
      <c r="A33" s="347" t="s">
        <v>26</v>
      </c>
      <c r="B33" s="45">
        <v>1218.6079821372959</v>
      </c>
      <c r="C33" s="45">
        <v>11.816804675270674</v>
      </c>
      <c r="D33" s="45">
        <v>22.156508766132514</v>
      </c>
      <c r="E33" s="45">
        <v>53.175621038717992</v>
      </c>
      <c r="F33" s="45">
        <v>23.633609350541349</v>
      </c>
      <c r="G33" s="45">
        <v>20.67940818172368</v>
      </c>
      <c r="H33" s="45">
        <v>1087.1460301249087</v>
      </c>
      <c r="I33" s="46">
        <v>0</v>
      </c>
      <c r="J33" s="46">
        <v>0</v>
      </c>
    </row>
    <row r="34" spans="1:10" x14ac:dyDescent="0.2">
      <c r="A34" s="268" t="s">
        <v>27</v>
      </c>
      <c r="B34" s="43">
        <v>5655.8181377009114</v>
      </c>
      <c r="C34" s="43">
        <v>98.965739155391745</v>
      </c>
      <c r="D34" s="43">
        <v>73.855029220441622</v>
      </c>
      <c r="E34" s="43">
        <v>162.48106428497181</v>
      </c>
      <c r="F34" s="43">
        <v>94.534437402165253</v>
      </c>
      <c r="G34" s="43">
        <v>137.37035435002144</v>
      </c>
      <c r="H34" s="43">
        <v>5084.1802115347764</v>
      </c>
      <c r="I34" s="43">
        <v>1.4771005844088343</v>
      </c>
      <c r="J34" s="43">
        <v>2.9542011688176686</v>
      </c>
    </row>
    <row r="35" spans="1:10" x14ac:dyDescent="0.2">
      <c r="A35" s="347" t="s">
        <v>27</v>
      </c>
      <c r="B35" s="45">
        <v>5655.8181377009114</v>
      </c>
      <c r="C35" s="45">
        <v>98.965739155391745</v>
      </c>
      <c r="D35" s="45">
        <v>73.855029220441622</v>
      </c>
      <c r="E35" s="45">
        <v>162.48106428497181</v>
      </c>
      <c r="F35" s="45">
        <v>94.534437402165253</v>
      </c>
      <c r="G35" s="45">
        <v>137.37035435002144</v>
      </c>
      <c r="H35" s="45">
        <v>5084.1802115347764</v>
      </c>
      <c r="I35" s="45">
        <v>1.4771005844088343</v>
      </c>
      <c r="J35" s="45">
        <v>2.9542011688176686</v>
      </c>
    </row>
    <row r="36" spans="1:10" x14ac:dyDescent="0.2">
      <c r="A36" s="268" t="s">
        <v>28</v>
      </c>
      <c r="B36" s="43">
        <v>12246.640945332163</v>
      </c>
      <c r="C36" s="43">
        <v>220.08798707691676</v>
      </c>
      <c r="D36" s="43">
        <v>254.06130051832019</v>
      </c>
      <c r="E36" s="43">
        <v>236.33609350541406</v>
      </c>
      <c r="F36" s="43">
        <v>237.8131940898229</v>
      </c>
      <c r="G36" s="43">
        <v>233.38189233659637</v>
      </c>
      <c r="H36" s="43">
        <v>11051.666572545591</v>
      </c>
      <c r="I36" s="43">
        <v>11.816804675270674</v>
      </c>
      <c r="J36" s="43">
        <v>1.4771005844088343</v>
      </c>
    </row>
    <row r="37" spans="1:10" x14ac:dyDescent="0.2">
      <c r="A37" s="347" t="s">
        <v>28</v>
      </c>
      <c r="B37" s="45">
        <v>12246.640945332163</v>
      </c>
      <c r="C37" s="45">
        <v>220.08798707691676</v>
      </c>
      <c r="D37" s="45">
        <v>254.06130051832019</v>
      </c>
      <c r="E37" s="45">
        <v>236.33609350541406</v>
      </c>
      <c r="F37" s="45">
        <v>237.8131940898229</v>
      </c>
      <c r="G37" s="45">
        <v>233.38189233659637</v>
      </c>
      <c r="H37" s="45">
        <v>11051.666572545591</v>
      </c>
      <c r="I37" s="45">
        <v>11.816804675270674</v>
      </c>
      <c r="J37" s="45">
        <v>1.4771005844088343</v>
      </c>
    </row>
    <row r="38" spans="1:10" x14ac:dyDescent="0.2">
      <c r="A38" s="268" t="s">
        <v>29</v>
      </c>
      <c r="B38" s="43">
        <v>33499.164153803358</v>
      </c>
      <c r="C38" s="43">
        <v>706.05407934742675</v>
      </c>
      <c r="D38" s="43">
        <v>658.78686064634371</v>
      </c>
      <c r="E38" s="43">
        <v>1276.2149049292409</v>
      </c>
      <c r="F38" s="43">
        <v>642.53875421784642</v>
      </c>
      <c r="G38" s="43">
        <v>810.92822084045474</v>
      </c>
      <c r="H38" s="43">
        <v>29361.805416874817</v>
      </c>
      <c r="I38" s="43">
        <v>38.404615194629685</v>
      </c>
      <c r="J38" s="43">
        <v>4.4313017532265029</v>
      </c>
    </row>
    <row r="39" spans="1:10" x14ac:dyDescent="0.2">
      <c r="A39" s="347" t="s">
        <v>30</v>
      </c>
      <c r="B39" s="45">
        <v>21095.950546524193</v>
      </c>
      <c r="C39" s="45">
        <v>344.16443616725974</v>
      </c>
      <c r="D39" s="45">
        <v>320.53082681671822</v>
      </c>
      <c r="E39" s="45">
        <v>779.909108567869</v>
      </c>
      <c r="F39" s="45">
        <v>364.84384434898357</v>
      </c>
      <c r="G39" s="45">
        <v>475.62638817964694</v>
      </c>
      <c r="H39" s="45">
        <v>18779.85683017148</v>
      </c>
      <c r="I39" s="45">
        <v>28.064911103767852</v>
      </c>
      <c r="J39" s="45">
        <v>2.9542011688176686</v>
      </c>
    </row>
    <row r="40" spans="1:10" x14ac:dyDescent="0.2">
      <c r="A40" s="347" t="s">
        <v>29</v>
      </c>
      <c r="B40" s="45">
        <v>12403.213607279476</v>
      </c>
      <c r="C40" s="45">
        <v>361.88964318016588</v>
      </c>
      <c r="D40" s="45">
        <v>338.25603382962436</v>
      </c>
      <c r="E40" s="45">
        <v>496.30579636137077</v>
      </c>
      <c r="F40" s="45">
        <v>277.69490986886171</v>
      </c>
      <c r="G40" s="45">
        <v>335.30183266080667</v>
      </c>
      <c r="H40" s="45">
        <v>10581.948586703651</v>
      </c>
      <c r="I40" s="45">
        <v>10.33970409086184</v>
      </c>
      <c r="J40" s="45">
        <v>1.4771005844088343</v>
      </c>
    </row>
    <row r="41" spans="1:10" x14ac:dyDescent="0.2">
      <c r="A41" s="268" t="s">
        <v>31</v>
      </c>
      <c r="B41" s="43">
        <v>11872.934497476783</v>
      </c>
      <c r="C41" s="43">
        <v>248.15289818068482</v>
      </c>
      <c r="D41" s="43">
        <v>214.17958473928138</v>
      </c>
      <c r="E41" s="43">
        <v>983.7489892162896</v>
      </c>
      <c r="F41" s="43">
        <v>166.91236603819834</v>
      </c>
      <c r="G41" s="43">
        <v>480.05768993287347</v>
      </c>
      <c r="H41" s="43">
        <v>9771.02036586332</v>
      </c>
      <c r="I41" s="43">
        <v>5.9084023376353372</v>
      </c>
      <c r="J41" s="43">
        <v>2.9542011688176686</v>
      </c>
    </row>
    <row r="42" spans="1:10" ht="15" customHeight="1" x14ac:dyDescent="0.2">
      <c r="A42" s="347" t="s">
        <v>31</v>
      </c>
      <c r="B42" s="45">
        <v>11872.934497476783</v>
      </c>
      <c r="C42" s="45">
        <v>248.15289818068482</v>
      </c>
      <c r="D42" s="45">
        <v>214.17958473928138</v>
      </c>
      <c r="E42" s="45">
        <v>983.7489892162896</v>
      </c>
      <c r="F42" s="45">
        <v>166.91236603819834</v>
      </c>
      <c r="G42" s="45">
        <v>480.05768993287347</v>
      </c>
      <c r="H42" s="45">
        <v>9771.02036586332</v>
      </c>
      <c r="I42" s="45">
        <v>5.9084023376353372</v>
      </c>
      <c r="J42" s="45">
        <v>2.9542011688176686</v>
      </c>
    </row>
    <row r="43" spans="1:10" ht="15" customHeight="1" x14ac:dyDescent="0.2">
      <c r="A43" s="810"/>
      <c r="B43" s="810"/>
      <c r="C43" s="810"/>
      <c r="D43" s="810"/>
      <c r="E43" s="810"/>
      <c r="F43" s="810"/>
      <c r="G43" s="810"/>
      <c r="H43" s="810"/>
      <c r="I43" s="810"/>
      <c r="J43" s="810"/>
    </row>
    <row r="44" spans="1:10" x14ac:dyDescent="0.2">
      <c r="A44" s="328"/>
      <c r="B44" s="328"/>
      <c r="C44" s="328"/>
      <c r="D44" s="328"/>
      <c r="E44" s="328"/>
      <c r="F44" s="328"/>
      <c r="G44" s="328"/>
      <c r="H44" s="328"/>
      <c r="I44" s="328"/>
      <c r="J44" s="328"/>
    </row>
  </sheetData>
  <mergeCells count="5">
    <mergeCell ref="A1:J1"/>
    <mergeCell ref="A2:A3"/>
    <mergeCell ref="C2:J2"/>
    <mergeCell ref="A43:J43"/>
    <mergeCell ref="B2:B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Q45"/>
  <sheetViews>
    <sheetView zoomScale="120" zoomScaleNormal="120" workbookViewId="0">
      <selection activeCell="A3" sqref="A3:A5"/>
    </sheetView>
  </sheetViews>
  <sheetFormatPr defaultRowHeight="12" x14ac:dyDescent="0.2"/>
  <cols>
    <col min="1" max="1" width="16.42578125" style="575" customWidth="1"/>
    <col min="2" max="2" width="11" style="575" customWidth="1"/>
    <col min="3" max="4" width="9.140625" style="575"/>
    <col min="5" max="5" width="10.85546875" style="575" customWidth="1"/>
    <col min="6" max="6" width="13" style="575" customWidth="1"/>
    <col min="7" max="7" width="13.140625" style="575" customWidth="1"/>
    <col min="8" max="8" width="12.85546875" style="575" customWidth="1"/>
    <col min="9" max="9" width="12.7109375" style="575" customWidth="1"/>
    <col min="10" max="10" width="12.85546875" style="575" customWidth="1"/>
    <col min="11" max="11" width="13" style="575" customWidth="1"/>
    <col min="12" max="12" width="13.5703125" style="575" customWidth="1"/>
    <col min="13" max="13" width="11.28515625" style="575" customWidth="1"/>
    <col min="14" max="14" width="10.5703125" style="575" customWidth="1"/>
    <col min="15" max="16" width="11.42578125" style="575" customWidth="1"/>
    <col min="17" max="17" width="12.42578125" style="575" customWidth="1"/>
    <col min="18" max="16384" width="9.140625" style="575"/>
  </cols>
  <sheetData>
    <row r="1" spans="1:17" x14ac:dyDescent="0.2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x14ac:dyDescent="0.2">
      <c r="A2" s="814" t="s">
        <v>106</v>
      </c>
      <c r="B2" s="814"/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49"/>
    </row>
    <row r="3" spans="1:17" x14ac:dyDescent="0.2">
      <c r="A3" s="815" t="str">
        <f>'Q9.2'!$A$2</f>
        <v>Área de residência, município e comuna</v>
      </c>
      <c r="B3" s="815" t="s">
        <v>84</v>
      </c>
      <c r="C3" s="815" t="s">
        <v>107</v>
      </c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50"/>
    </row>
    <row r="4" spans="1:17" x14ac:dyDescent="0.2">
      <c r="A4" s="816"/>
      <c r="B4" s="816"/>
      <c r="C4" s="815" t="s">
        <v>108</v>
      </c>
      <c r="D4" s="815"/>
      <c r="E4" s="815"/>
      <c r="F4" s="815"/>
      <c r="G4" s="815"/>
      <c r="H4" s="815"/>
      <c r="I4" s="492"/>
      <c r="J4" s="815" t="s">
        <v>109</v>
      </c>
      <c r="K4" s="815"/>
      <c r="L4" s="815"/>
      <c r="M4" s="815"/>
      <c r="N4" s="815"/>
      <c r="O4" s="815"/>
      <c r="P4" s="815"/>
      <c r="Q4" s="50"/>
    </row>
    <row r="5" spans="1:17" ht="60" x14ac:dyDescent="0.2">
      <c r="A5" s="817"/>
      <c r="B5" s="817"/>
      <c r="C5" s="344" t="s">
        <v>110</v>
      </c>
      <c r="D5" s="344" t="s">
        <v>111</v>
      </c>
      <c r="E5" s="344" t="s">
        <v>112</v>
      </c>
      <c r="F5" s="344" t="s">
        <v>113</v>
      </c>
      <c r="G5" s="344" t="s">
        <v>114</v>
      </c>
      <c r="H5" s="344" t="s">
        <v>115</v>
      </c>
      <c r="I5" s="345" t="s">
        <v>116</v>
      </c>
      <c r="J5" s="344" t="s">
        <v>110</v>
      </c>
      <c r="K5" s="344" t="s">
        <v>117</v>
      </c>
      <c r="L5" s="344" t="s">
        <v>118</v>
      </c>
      <c r="M5" s="344" t="s">
        <v>119</v>
      </c>
      <c r="N5" s="344" t="s">
        <v>114</v>
      </c>
      <c r="O5" s="344" t="s">
        <v>120</v>
      </c>
      <c r="P5" s="344" t="s">
        <v>121</v>
      </c>
      <c r="Q5" s="346" t="s">
        <v>116</v>
      </c>
    </row>
    <row r="6" spans="1:17" x14ac:dyDescent="0.2">
      <c r="A6" s="51" t="s">
        <v>32</v>
      </c>
      <c r="B6" s="42">
        <v>261282.84527673907</v>
      </c>
      <c r="C6" s="42">
        <v>7342.6670050955527</v>
      </c>
      <c r="D6" s="42">
        <v>33444.511432180239</v>
      </c>
      <c r="E6" s="42">
        <v>5589.3486114025236</v>
      </c>
      <c r="F6" s="42">
        <v>4683.885953160041</v>
      </c>
      <c r="G6" s="42">
        <v>6268.8148802304877</v>
      </c>
      <c r="H6" s="42">
        <v>465.28668408878502</v>
      </c>
      <c r="I6" s="42">
        <f>+C6+D6+E6+F6+G6+H6</f>
        <v>57794.514566157624</v>
      </c>
      <c r="J6" s="42">
        <v>546.5272162312715</v>
      </c>
      <c r="K6" s="42">
        <v>9143.2526174896575</v>
      </c>
      <c r="L6" s="42">
        <v>688.32887233452061</v>
      </c>
      <c r="M6" s="42">
        <v>81.240532142485776</v>
      </c>
      <c r="N6" s="42">
        <v>2407.6739525863609</v>
      </c>
      <c r="O6" s="42">
        <v>932.05046876198003</v>
      </c>
      <c r="P6" s="42">
        <v>189689.25705033247</v>
      </c>
      <c r="Q6" s="42">
        <f>+J6+K6+L6+M6+N6+O6</f>
        <v>13799.073659546277</v>
      </c>
    </row>
    <row r="7" spans="1:17" x14ac:dyDescent="0.2">
      <c r="A7" s="422"/>
      <c r="B7" s="423"/>
      <c r="C7" s="423"/>
      <c r="D7" s="423"/>
      <c r="E7" s="423"/>
      <c r="F7" s="423"/>
      <c r="G7" s="423"/>
      <c r="H7" s="423"/>
      <c r="I7" s="423"/>
      <c r="J7" s="423"/>
      <c r="K7" s="423"/>
      <c r="L7" s="423"/>
      <c r="M7" s="423"/>
      <c r="N7" s="423"/>
      <c r="O7" s="423"/>
      <c r="P7" s="423"/>
      <c r="Q7" s="423"/>
    </row>
    <row r="8" spans="1:17" x14ac:dyDescent="0.2">
      <c r="A8" s="51" t="s">
        <v>167</v>
      </c>
      <c r="B8" s="42"/>
      <c r="C8" s="42"/>
      <c r="D8" s="42"/>
      <c r="E8" s="42"/>
      <c r="F8" s="42"/>
      <c r="G8" s="42"/>
      <c r="H8" s="42"/>
      <c r="I8" s="42">
        <f t="shared" ref="I8:I44" si="0">+C8+D8+E8+F8+G8</f>
        <v>0</v>
      </c>
      <c r="J8" s="42"/>
      <c r="K8" s="42"/>
      <c r="L8" s="42"/>
      <c r="M8" s="42"/>
      <c r="N8" s="42"/>
      <c r="O8" s="42"/>
      <c r="P8" s="42"/>
      <c r="Q8" s="42"/>
    </row>
    <row r="9" spans="1:17" x14ac:dyDescent="0.2">
      <c r="A9" s="52" t="s">
        <v>8</v>
      </c>
      <c r="B9" s="45">
        <v>74088.411112767761</v>
      </c>
      <c r="C9" s="45">
        <v>3223.0334751799178</v>
      </c>
      <c r="D9" s="45">
        <v>29022.072282460835</v>
      </c>
      <c r="E9" s="45">
        <v>1595.2686311615514</v>
      </c>
      <c r="F9" s="45">
        <v>1366.3180405781804</v>
      </c>
      <c r="G9" s="45">
        <v>2957.1553699863666</v>
      </c>
      <c r="H9" s="45">
        <v>100.44283973980058</v>
      </c>
      <c r="I9" s="45">
        <f t="shared" si="0"/>
        <v>38163.847799366849</v>
      </c>
      <c r="J9" s="45">
        <v>262.92390402477326</v>
      </c>
      <c r="K9" s="45">
        <v>8645.4697205439534</v>
      </c>
      <c r="L9" s="45">
        <v>330.87053090758013</v>
      </c>
      <c r="M9" s="45">
        <v>38.404615194629685</v>
      </c>
      <c r="N9" s="45">
        <v>2180.2004625874338</v>
      </c>
      <c r="O9" s="45">
        <v>375.18354843984548</v>
      </c>
      <c r="P9" s="45">
        <v>23991.067691965083</v>
      </c>
      <c r="Q9" s="43">
        <f t="shared" ref="Q9:Q44" si="1">+J9+K9+L9+M9+N9+O9</f>
        <v>11833.052781698216</v>
      </c>
    </row>
    <row r="10" spans="1:17" x14ac:dyDescent="0.2">
      <c r="A10" s="52" t="s">
        <v>9</v>
      </c>
      <c r="B10" s="45">
        <v>187194.43416324173</v>
      </c>
      <c r="C10" s="45">
        <v>4119.6335299159491</v>
      </c>
      <c r="D10" s="45">
        <v>4422.4391497197157</v>
      </c>
      <c r="E10" s="45">
        <v>3994.0799802412162</v>
      </c>
      <c r="F10" s="45">
        <v>3317.5679125820693</v>
      </c>
      <c r="G10" s="45">
        <v>3311.6595102444348</v>
      </c>
      <c r="H10" s="45">
        <v>364.84384434898357</v>
      </c>
      <c r="I10" s="45">
        <f t="shared" si="0"/>
        <v>19165.380082703385</v>
      </c>
      <c r="J10" s="45">
        <v>283.60331220649709</v>
      </c>
      <c r="K10" s="45">
        <v>497.78289694577961</v>
      </c>
      <c r="L10" s="45">
        <v>357.45834142693934</v>
      </c>
      <c r="M10" s="45">
        <v>42.835916947856177</v>
      </c>
      <c r="N10" s="45">
        <v>227.47348999896099</v>
      </c>
      <c r="O10" s="45">
        <v>556.86692032213341</v>
      </c>
      <c r="P10" s="45">
        <v>165698.18935813135</v>
      </c>
      <c r="Q10" s="43">
        <f t="shared" si="1"/>
        <v>1966.0208778481667</v>
      </c>
    </row>
    <row r="11" spans="1:17" ht="13.5" customHeight="1" x14ac:dyDescent="0.2">
      <c r="A11" s="51" t="s">
        <v>368</v>
      </c>
      <c r="B11" s="42"/>
      <c r="C11" s="42"/>
      <c r="D11" s="42"/>
      <c r="E11" s="42"/>
      <c r="F11" s="42"/>
      <c r="G11" s="42"/>
      <c r="H11" s="42"/>
      <c r="I11" s="47">
        <f t="shared" si="0"/>
        <v>0</v>
      </c>
      <c r="J11" s="42"/>
      <c r="K11" s="42"/>
      <c r="L11" s="42"/>
      <c r="M11" s="42"/>
      <c r="N11" s="42"/>
      <c r="O11" s="42"/>
      <c r="P11" s="42"/>
      <c r="Q11" s="42">
        <f t="shared" si="1"/>
        <v>0</v>
      </c>
    </row>
    <row r="12" spans="1:17" x14ac:dyDescent="0.2">
      <c r="A12" s="141" t="s">
        <v>11</v>
      </c>
      <c r="B12" s="43">
        <v>34100.344091657666</v>
      </c>
      <c r="C12" s="43">
        <v>1069.4208231120026</v>
      </c>
      <c r="D12" s="43">
        <v>3815.3508095277734</v>
      </c>
      <c r="E12" s="43">
        <v>548.00431681568034</v>
      </c>
      <c r="F12" s="43">
        <v>511.07680220545922</v>
      </c>
      <c r="G12" s="43">
        <v>601.17993785439876</v>
      </c>
      <c r="H12" s="43">
        <v>20.67940818172368</v>
      </c>
      <c r="I12" s="43">
        <f t="shared" si="0"/>
        <v>6545.0326895153139</v>
      </c>
      <c r="J12" s="43">
        <v>180.20627129787795</v>
      </c>
      <c r="K12" s="43">
        <v>1208.268278046434</v>
      </c>
      <c r="L12" s="43">
        <v>48.7443192854915</v>
      </c>
      <c r="M12" s="43">
        <v>17.725207012906012</v>
      </c>
      <c r="N12" s="43">
        <v>332.34763149198898</v>
      </c>
      <c r="O12" s="43">
        <v>137.37035435002144</v>
      </c>
      <c r="P12" s="43">
        <v>25609.969932476928</v>
      </c>
      <c r="Q12" s="43">
        <f t="shared" si="1"/>
        <v>1924.6620614847197</v>
      </c>
    </row>
    <row r="13" spans="1:17" x14ac:dyDescent="0.2">
      <c r="A13" s="52" t="s">
        <v>12</v>
      </c>
      <c r="B13" s="45">
        <v>22028.00101528603</v>
      </c>
      <c r="C13" s="45">
        <v>918.75656350230042</v>
      </c>
      <c r="D13" s="45">
        <v>3648.4384434895996</v>
      </c>
      <c r="E13" s="45">
        <v>332.34763149198898</v>
      </c>
      <c r="F13" s="45">
        <v>378.13774960866317</v>
      </c>
      <c r="G13" s="45">
        <v>469.71798584201156</v>
      </c>
      <c r="H13" s="45">
        <v>13.293905259679509</v>
      </c>
      <c r="I13" s="45">
        <f t="shared" si="0"/>
        <v>5747.398373934564</v>
      </c>
      <c r="J13" s="45">
        <v>100.44283973980058</v>
      </c>
      <c r="K13" s="45">
        <v>1106.3483377222237</v>
      </c>
      <c r="L13" s="45">
        <v>39.881715779038515</v>
      </c>
      <c r="M13" s="45">
        <v>13.293905259679509</v>
      </c>
      <c r="N13" s="45">
        <v>311.66822331026515</v>
      </c>
      <c r="O13" s="45">
        <v>113.73674499948005</v>
      </c>
      <c r="P13" s="45">
        <v>14581.936969282187</v>
      </c>
      <c r="Q13" s="45">
        <f t="shared" si="1"/>
        <v>1685.3717668104878</v>
      </c>
    </row>
    <row r="14" spans="1:17" x14ac:dyDescent="0.2">
      <c r="A14" s="52" t="s">
        <v>13</v>
      </c>
      <c r="B14" s="45">
        <v>12072.343076371946</v>
      </c>
      <c r="C14" s="45">
        <v>150.66425960970105</v>
      </c>
      <c r="D14" s="45">
        <v>166.91236603819834</v>
      </c>
      <c r="E14" s="45">
        <v>215.65668532369023</v>
      </c>
      <c r="F14" s="45">
        <v>132.93905259679491</v>
      </c>
      <c r="G14" s="45">
        <v>131.46195201238606</v>
      </c>
      <c r="H14" s="45">
        <v>7.3855029220441715</v>
      </c>
      <c r="I14" s="45">
        <f t="shared" si="0"/>
        <v>797.63431558077059</v>
      </c>
      <c r="J14" s="45">
        <v>79.763431558076945</v>
      </c>
      <c r="K14" s="45">
        <v>101.91994032420941</v>
      </c>
      <c r="L14" s="45">
        <v>8.8626035064530058</v>
      </c>
      <c r="M14" s="45">
        <v>4.4313017532265029</v>
      </c>
      <c r="N14" s="45">
        <v>20.67940818172368</v>
      </c>
      <c r="O14" s="45">
        <v>23.633609350541349</v>
      </c>
      <c r="P14" s="45">
        <v>11028.032963195054</v>
      </c>
      <c r="Q14" s="45">
        <f t="shared" si="1"/>
        <v>239.29029467423089</v>
      </c>
    </row>
    <row r="15" spans="1:17" x14ac:dyDescent="0.2">
      <c r="A15" s="141" t="s">
        <v>44</v>
      </c>
      <c r="B15" s="43">
        <v>72729.478575111832</v>
      </c>
      <c r="C15" s="43">
        <v>2488.9144847288349</v>
      </c>
      <c r="D15" s="43">
        <v>20576.011140812359</v>
      </c>
      <c r="E15" s="43">
        <v>1661.7381574599494</v>
      </c>
      <c r="F15" s="43">
        <v>1484.486087330888</v>
      </c>
      <c r="G15" s="43">
        <v>2447.5556683653936</v>
      </c>
      <c r="H15" s="43">
        <v>221.56508766132561</v>
      </c>
      <c r="I15" s="45">
        <f t="shared" si="0"/>
        <v>28658.705538697424</v>
      </c>
      <c r="J15" s="43">
        <v>137.37035435002144</v>
      </c>
      <c r="K15" s="43">
        <v>5567.1921026363943</v>
      </c>
      <c r="L15" s="43">
        <v>259.96970285595557</v>
      </c>
      <c r="M15" s="43">
        <v>17.725207012906012</v>
      </c>
      <c r="N15" s="43">
        <v>1227.470585643749</v>
      </c>
      <c r="O15" s="43">
        <v>296.8972174661767</v>
      </c>
      <c r="P15" s="43">
        <v>36342.582778789947</v>
      </c>
      <c r="Q15" s="43">
        <f t="shared" si="1"/>
        <v>7506.625169965203</v>
      </c>
    </row>
    <row r="16" spans="1:17" x14ac:dyDescent="0.2">
      <c r="A16" s="52" t="s">
        <v>15</v>
      </c>
      <c r="B16" s="45">
        <v>61466.586618996123</v>
      </c>
      <c r="C16" s="45">
        <v>2197.9256696003372</v>
      </c>
      <c r="D16" s="45">
        <v>20324.904041462894</v>
      </c>
      <c r="E16" s="45">
        <v>1446.0814721362581</v>
      </c>
      <c r="F16" s="45">
        <v>1268.8294020071967</v>
      </c>
      <c r="G16" s="45">
        <v>2223.0363795352837</v>
      </c>
      <c r="H16" s="45">
        <v>217.13378590809907</v>
      </c>
      <c r="I16" s="45">
        <f t="shared" si="0"/>
        <v>27460.776964741966</v>
      </c>
      <c r="J16" s="45">
        <v>128.50775084356837</v>
      </c>
      <c r="K16" s="45">
        <v>5550.9439962078995</v>
      </c>
      <c r="L16" s="45">
        <v>258.49260227154673</v>
      </c>
      <c r="M16" s="45">
        <v>17.725207012906012</v>
      </c>
      <c r="N16" s="45">
        <v>1211.2224792152517</v>
      </c>
      <c r="O16" s="45">
        <v>280.6491110376794</v>
      </c>
      <c r="P16" s="45">
        <v>26341.134721759194</v>
      </c>
      <c r="Q16" s="45">
        <f t="shared" si="1"/>
        <v>7447.541146588851</v>
      </c>
    </row>
    <row r="17" spans="1:17" x14ac:dyDescent="0.2">
      <c r="A17" s="52" t="s">
        <v>16</v>
      </c>
      <c r="B17" s="45">
        <v>11262.891956116024</v>
      </c>
      <c r="C17" s="45">
        <v>290.98881512854132</v>
      </c>
      <c r="D17" s="45">
        <v>251.1070993495025</v>
      </c>
      <c r="E17" s="45">
        <v>215.65668532369023</v>
      </c>
      <c r="F17" s="45">
        <v>215.65668532369023</v>
      </c>
      <c r="G17" s="45">
        <v>224.5192888301433</v>
      </c>
      <c r="H17" s="45">
        <v>4.4313017532265029</v>
      </c>
      <c r="I17" s="45">
        <f t="shared" si="0"/>
        <v>1197.9285739555676</v>
      </c>
      <c r="J17" s="45">
        <v>8.8626035064530058</v>
      </c>
      <c r="K17" s="45">
        <v>16.248106428497177</v>
      </c>
      <c r="L17" s="45">
        <v>1.4771005844088343</v>
      </c>
      <c r="M17" s="46">
        <v>0</v>
      </c>
      <c r="N17" s="45">
        <v>16.248106428497177</v>
      </c>
      <c r="O17" s="45">
        <v>16.248106428497177</v>
      </c>
      <c r="P17" s="45">
        <v>10001.448057031064</v>
      </c>
      <c r="Q17" s="45">
        <f t="shared" si="1"/>
        <v>59.084023376353372</v>
      </c>
    </row>
    <row r="18" spans="1:17" x14ac:dyDescent="0.2">
      <c r="A18" s="141" t="s">
        <v>17</v>
      </c>
      <c r="B18" s="43">
        <v>6311.6507971783376</v>
      </c>
      <c r="C18" s="43">
        <v>60.561123960762146</v>
      </c>
      <c r="D18" s="43">
        <v>799.11141616518398</v>
      </c>
      <c r="E18" s="43">
        <v>212.70248415487254</v>
      </c>
      <c r="F18" s="43">
        <v>62.038224545170976</v>
      </c>
      <c r="G18" s="43">
        <v>50.22141986990033</v>
      </c>
      <c r="H18" s="43">
        <v>2.9542011688176686</v>
      </c>
      <c r="I18" s="45">
        <f t="shared" si="0"/>
        <v>1184.63466869589</v>
      </c>
      <c r="J18" s="43">
        <v>2.9542011688176686</v>
      </c>
      <c r="K18" s="43">
        <v>64.992425713988638</v>
      </c>
      <c r="L18" s="44">
        <v>0</v>
      </c>
      <c r="M18" s="43">
        <v>2.9542011688176686</v>
      </c>
      <c r="N18" s="43">
        <v>171.34366779142488</v>
      </c>
      <c r="O18" s="43">
        <v>1.4771005844088343</v>
      </c>
      <c r="P18" s="43">
        <v>4880.3403308863872</v>
      </c>
      <c r="Q18" s="43">
        <f t="shared" si="1"/>
        <v>243.72159642745768</v>
      </c>
    </row>
    <row r="19" spans="1:17" x14ac:dyDescent="0.2">
      <c r="A19" s="52" t="s">
        <v>17</v>
      </c>
      <c r="B19" s="45">
        <v>6311.6507971783376</v>
      </c>
      <c r="C19" s="45">
        <v>60.561123960762146</v>
      </c>
      <c r="D19" s="45">
        <v>799.11141616518398</v>
      </c>
      <c r="E19" s="45">
        <v>212.70248415487254</v>
      </c>
      <c r="F19" s="45">
        <v>62.038224545170976</v>
      </c>
      <c r="G19" s="45">
        <v>50.22141986990033</v>
      </c>
      <c r="H19" s="45">
        <v>2.9542011688176686</v>
      </c>
      <c r="I19" s="45">
        <f t="shared" si="0"/>
        <v>1184.63466869589</v>
      </c>
      <c r="J19" s="45">
        <v>2.9542011688176686</v>
      </c>
      <c r="K19" s="45">
        <v>64.992425713988638</v>
      </c>
      <c r="L19" s="46">
        <v>0</v>
      </c>
      <c r="M19" s="45">
        <v>2.9542011688176686</v>
      </c>
      <c r="N19" s="45">
        <v>171.34366779142488</v>
      </c>
      <c r="O19" s="45">
        <v>1.4771005844088343</v>
      </c>
      <c r="P19" s="45">
        <v>4880.3403308863872</v>
      </c>
      <c r="Q19" s="45">
        <f t="shared" si="1"/>
        <v>243.72159642745768</v>
      </c>
    </row>
    <row r="20" spans="1:17" x14ac:dyDescent="0.2">
      <c r="A20" s="141" t="s">
        <v>18</v>
      </c>
      <c r="B20" s="43">
        <v>5462.3179611433825</v>
      </c>
      <c r="C20" s="43">
        <v>81.240532142485776</v>
      </c>
      <c r="D20" s="43">
        <v>147.71005844088336</v>
      </c>
      <c r="E20" s="43">
        <v>51.698520454309161</v>
      </c>
      <c r="F20" s="43">
        <v>72.377928636032792</v>
      </c>
      <c r="G20" s="43">
        <v>56.129822207535653</v>
      </c>
      <c r="H20" s="43">
        <v>1.4771005844088343</v>
      </c>
      <c r="I20" s="45">
        <f t="shared" si="0"/>
        <v>409.15686188124675</v>
      </c>
      <c r="J20" s="43">
        <v>5.9084023376353372</v>
      </c>
      <c r="K20" s="43">
        <v>4.4313017532265029</v>
      </c>
      <c r="L20" s="43">
        <v>8.8626035064530058</v>
      </c>
      <c r="M20" s="43">
        <v>1.4771005844088343</v>
      </c>
      <c r="N20" s="43">
        <v>11.816804675270674</v>
      </c>
      <c r="O20" s="43">
        <v>35.450414025812023</v>
      </c>
      <c r="P20" s="43">
        <v>4983.7373717949904</v>
      </c>
      <c r="Q20" s="43">
        <f t="shared" si="1"/>
        <v>67.946626882806385</v>
      </c>
    </row>
    <row r="21" spans="1:17" x14ac:dyDescent="0.2">
      <c r="A21" s="52" t="s">
        <v>18</v>
      </c>
      <c r="B21" s="45">
        <v>5462.3179611433825</v>
      </c>
      <c r="C21" s="45">
        <v>81.240532142485776</v>
      </c>
      <c r="D21" s="45">
        <v>147.71005844088336</v>
      </c>
      <c r="E21" s="45">
        <v>51.698520454309161</v>
      </c>
      <c r="F21" s="45">
        <v>72.377928636032792</v>
      </c>
      <c r="G21" s="45">
        <v>56.129822207535653</v>
      </c>
      <c r="H21" s="45">
        <v>1.4771005844088343</v>
      </c>
      <c r="I21" s="45">
        <f t="shared" si="0"/>
        <v>409.15686188124675</v>
      </c>
      <c r="J21" s="45">
        <v>5.9084023376353372</v>
      </c>
      <c r="K21" s="45">
        <v>4.4313017532265029</v>
      </c>
      <c r="L21" s="45">
        <v>8.8626035064530058</v>
      </c>
      <c r="M21" s="45">
        <v>1.4771005844088343</v>
      </c>
      <c r="N21" s="45">
        <v>11.816804675270674</v>
      </c>
      <c r="O21" s="45">
        <v>35.450414025812023</v>
      </c>
      <c r="P21" s="45">
        <v>4983.7373717949904</v>
      </c>
      <c r="Q21" s="45">
        <f t="shared" si="1"/>
        <v>67.946626882806385</v>
      </c>
    </row>
    <row r="22" spans="1:17" x14ac:dyDescent="0.2">
      <c r="A22" s="141" t="s">
        <v>19</v>
      </c>
      <c r="B22" s="43">
        <v>21072.316937173655</v>
      </c>
      <c r="C22" s="43">
        <v>361.88964318016588</v>
      </c>
      <c r="D22" s="43">
        <v>1332.344727136777</v>
      </c>
      <c r="E22" s="43">
        <v>245.19869701186713</v>
      </c>
      <c r="F22" s="43">
        <v>220.08798707691676</v>
      </c>
      <c r="G22" s="43">
        <v>348.59573792048627</v>
      </c>
      <c r="H22" s="43">
        <v>62.038224545170976</v>
      </c>
      <c r="I22" s="45">
        <f t="shared" si="0"/>
        <v>2508.1167923262128</v>
      </c>
      <c r="J22" s="43">
        <v>31.01911227258552</v>
      </c>
      <c r="K22" s="43">
        <v>437.22177298501697</v>
      </c>
      <c r="L22" s="43">
        <v>14.771005844088343</v>
      </c>
      <c r="M22" s="43">
        <v>2.9542011688176686</v>
      </c>
      <c r="N22" s="43">
        <v>78.286330973668115</v>
      </c>
      <c r="O22" s="43">
        <v>8.8626035064530058</v>
      </c>
      <c r="P22" s="43">
        <v>17929.046893552117</v>
      </c>
      <c r="Q22" s="43">
        <f t="shared" si="1"/>
        <v>573.11502675062957</v>
      </c>
    </row>
    <row r="23" spans="1:17" x14ac:dyDescent="0.2">
      <c r="A23" s="52" t="s">
        <v>19</v>
      </c>
      <c r="B23" s="45">
        <v>12692.725321823566</v>
      </c>
      <c r="C23" s="45">
        <v>252.58419993391135</v>
      </c>
      <c r="D23" s="45">
        <v>1206.7911774620252</v>
      </c>
      <c r="E23" s="45">
        <v>149.1871590252922</v>
      </c>
      <c r="F23" s="45">
        <v>144.75585727206567</v>
      </c>
      <c r="G23" s="45">
        <v>249.62999876509366</v>
      </c>
      <c r="H23" s="45">
        <v>62.038224545170976</v>
      </c>
      <c r="I23" s="45">
        <f t="shared" si="0"/>
        <v>2002.9483924583881</v>
      </c>
      <c r="J23" s="45">
        <v>23.633609350541349</v>
      </c>
      <c r="K23" s="45">
        <v>428.3591694785639</v>
      </c>
      <c r="L23" s="45">
        <v>11.816804675270674</v>
      </c>
      <c r="M23" s="45">
        <v>2.9542011688176686</v>
      </c>
      <c r="N23" s="45">
        <v>67.946626882806299</v>
      </c>
      <c r="O23" s="45">
        <v>8.8626035064530058</v>
      </c>
      <c r="P23" s="45">
        <v>10084.165689757947</v>
      </c>
      <c r="Q23" s="45">
        <f t="shared" si="1"/>
        <v>543.5730150624529</v>
      </c>
    </row>
    <row r="24" spans="1:17" x14ac:dyDescent="0.2">
      <c r="A24" s="52" t="s">
        <v>20</v>
      </c>
      <c r="B24" s="45">
        <v>8379.5916153504022</v>
      </c>
      <c r="C24" s="45">
        <v>109.30544324625356</v>
      </c>
      <c r="D24" s="45">
        <v>125.5535496747507</v>
      </c>
      <c r="E24" s="45">
        <v>96.011537986574083</v>
      </c>
      <c r="F24" s="45">
        <v>75.332129804850453</v>
      </c>
      <c r="G24" s="45">
        <v>98.965739155391745</v>
      </c>
      <c r="H24" s="45">
        <v>0</v>
      </c>
      <c r="I24" s="45">
        <f t="shared" si="0"/>
        <v>505.16839986782054</v>
      </c>
      <c r="J24" s="45">
        <v>7.3855029220441715</v>
      </c>
      <c r="K24" s="45">
        <v>8.8626035064530058</v>
      </c>
      <c r="L24" s="45">
        <v>2.9542011688176686</v>
      </c>
      <c r="M24" s="46">
        <v>0</v>
      </c>
      <c r="N24" s="45">
        <v>10.33970409086184</v>
      </c>
      <c r="O24" s="46">
        <v>0</v>
      </c>
      <c r="P24" s="45">
        <v>7844.8812037944826</v>
      </c>
      <c r="Q24" s="45">
        <f t="shared" si="1"/>
        <v>29.542011688176686</v>
      </c>
    </row>
    <row r="25" spans="1:17" x14ac:dyDescent="0.2">
      <c r="A25" s="141" t="s">
        <v>21</v>
      </c>
      <c r="B25" s="43">
        <v>11748.858048386459</v>
      </c>
      <c r="C25" s="43">
        <v>143.27875668765682</v>
      </c>
      <c r="D25" s="43">
        <v>760.70680097055401</v>
      </c>
      <c r="E25" s="43">
        <v>240.76739525864059</v>
      </c>
      <c r="F25" s="43">
        <v>141.80165610324798</v>
      </c>
      <c r="G25" s="43">
        <v>237.8131940898229</v>
      </c>
      <c r="H25" s="43">
        <v>62.038224545170976</v>
      </c>
      <c r="I25" s="45">
        <f t="shared" si="0"/>
        <v>1524.3678031099223</v>
      </c>
      <c r="J25" s="43">
        <v>11.816804675270674</v>
      </c>
      <c r="K25" s="43">
        <v>404.72556012802238</v>
      </c>
      <c r="L25" s="43">
        <v>75.332129804850453</v>
      </c>
      <c r="M25" s="43">
        <v>1.4771005844088343</v>
      </c>
      <c r="N25" s="43">
        <v>113.73674499948005</v>
      </c>
      <c r="O25" s="43">
        <v>75.332129804850453</v>
      </c>
      <c r="P25" s="43">
        <v>9480.0315507348223</v>
      </c>
      <c r="Q25" s="45">
        <f t="shared" si="1"/>
        <v>682.42046999688284</v>
      </c>
    </row>
    <row r="26" spans="1:17" x14ac:dyDescent="0.2">
      <c r="A26" s="52" t="s">
        <v>21</v>
      </c>
      <c r="B26" s="45">
        <v>11748.858048386459</v>
      </c>
      <c r="C26" s="45">
        <v>143.27875668765682</v>
      </c>
      <c r="D26" s="45">
        <v>760.70680097055401</v>
      </c>
      <c r="E26" s="45">
        <v>240.76739525864059</v>
      </c>
      <c r="F26" s="45">
        <v>141.80165610324798</v>
      </c>
      <c r="G26" s="45">
        <v>237.8131940898229</v>
      </c>
      <c r="H26" s="45">
        <v>62.038224545170976</v>
      </c>
      <c r="I26" s="45">
        <f t="shared" si="0"/>
        <v>1524.3678031099223</v>
      </c>
      <c r="J26" s="45">
        <v>11.816804675270674</v>
      </c>
      <c r="K26" s="45">
        <v>404.72556012802238</v>
      </c>
      <c r="L26" s="45">
        <v>75.332129804850453</v>
      </c>
      <c r="M26" s="45">
        <v>1.4771005844088343</v>
      </c>
      <c r="N26" s="45">
        <v>113.73674499948005</v>
      </c>
      <c r="O26" s="45">
        <v>75.332129804850453</v>
      </c>
      <c r="P26" s="45">
        <v>9480.0315507348223</v>
      </c>
      <c r="Q26" s="43">
        <f t="shared" si="1"/>
        <v>682.42046999688284</v>
      </c>
    </row>
    <row r="27" spans="1:17" x14ac:dyDescent="0.2">
      <c r="A27" s="141" t="s">
        <v>22</v>
      </c>
      <c r="B27" s="43">
        <v>19638.052269712887</v>
      </c>
      <c r="C27" s="43">
        <v>542.09591447804496</v>
      </c>
      <c r="D27" s="43">
        <v>3521.4077932304585</v>
      </c>
      <c r="E27" s="43">
        <v>407.67976129684007</v>
      </c>
      <c r="F27" s="43">
        <v>369.2751461022101</v>
      </c>
      <c r="G27" s="43">
        <v>775.47780681464246</v>
      </c>
      <c r="H27" s="43">
        <v>14.771005844088343</v>
      </c>
      <c r="I27" s="45">
        <f t="shared" si="0"/>
        <v>5615.9364219221961</v>
      </c>
      <c r="J27" s="43">
        <v>48.7443192854915</v>
      </c>
      <c r="K27" s="43">
        <v>1233.3789879813844</v>
      </c>
      <c r="L27" s="43">
        <v>28.064911103767852</v>
      </c>
      <c r="M27" s="43">
        <v>7.3855029220441715</v>
      </c>
      <c r="N27" s="43">
        <v>367.79804551780126</v>
      </c>
      <c r="O27" s="43">
        <v>110.78254383066239</v>
      </c>
      <c r="P27" s="43">
        <v>12211.190531306356</v>
      </c>
      <c r="Q27" s="45">
        <f t="shared" si="1"/>
        <v>1796.1543106411516</v>
      </c>
    </row>
    <row r="28" spans="1:17" x14ac:dyDescent="0.2">
      <c r="A28" s="52" t="s">
        <v>22</v>
      </c>
      <c r="B28" s="45">
        <v>19638.052269712887</v>
      </c>
      <c r="C28" s="45">
        <v>542.09591447804496</v>
      </c>
      <c r="D28" s="45">
        <v>3521.4077932304585</v>
      </c>
      <c r="E28" s="45">
        <v>407.67976129684007</v>
      </c>
      <c r="F28" s="45">
        <v>369.2751461022101</v>
      </c>
      <c r="G28" s="45">
        <v>775.47780681464246</v>
      </c>
      <c r="H28" s="45">
        <v>14.771005844088343</v>
      </c>
      <c r="I28" s="45">
        <f t="shared" si="0"/>
        <v>5615.9364219221961</v>
      </c>
      <c r="J28" s="45">
        <v>48.7443192854915</v>
      </c>
      <c r="K28" s="45">
        <v>1233.3789879813844</v>
      </c>
      <c r="L28" s="45">
        <v>28.064911103767852</v>
      </c>
      <c r="M28" s="45">
        <v>7.3855029220441715</v>
      </c>
      <c r="N28" s="45">
        <v>367.79804551780126</v>
      </c>
      <c r="O28" s="45">
        <v>110.78254383066239</v>
      </c>
      <c r="P28" s="45">
        <v>12211.190531306356</v>
      </c>
      <c r="Q28" s="45">
        <f t="shared" si="1"/>
        <v>1796.1543106411516</v>
      </c>
    </row>
    <row r="29" spans="1:17" x14ac:dyDescent="0.2">
      <c r="A29" s="141" t="s">
        <v>23</v>
      </c>
      <c r="B29" s="43">
        <v>23416.475564630131</v>
      </c>
      <c r="C29" s="43">
        <v>574.59212733503955</v>
      </c>
      <c r="D29" s="43">
        <v>571.63792616622186</v>
      </c>
      <c r="E29" s="43">
        <v>539.14171330922727</v>
      </c>
      <c r="F29" s="43">
        <v>565.72952382858648</v>
      </c>
      <c r="G29" s="43">
        <v>511.07680220545922</v>
      </c>
      <c r="H29" s="43">
        <v>1.4771005844088343</v>
      </c>
      <c r="I29" s="45">
        <f t="shared" si="0"/>
        <v>2762.1780928445341</v>
      </c>
      <c r="J29" s="43">
        <v>32.496212856994354</v>
      </c>
      <c r="K29" s="43">
        <v>10.33970409086184</v>
      </c>
      <c r="L29" s="43">
        <v>7.3855029220441715</v>
      </c>
      <c r="M29" s="43">
        <v>1.4771005844088343</v>
      </c>
      <c r="N29" s="44">
        <v>0</v>
      </c>
      <c r="O29" s="43">
        <v>38.404615194629685</v>
      </c>
      <c r="P29" s="43">
        <v>20562.717235552682</v>
      </c>
      <c r="Q29" s="43">
        <f t="shared" si="1"/>
        <v>90.103135648938874</v>
      </c>
    </row>
    <row r="30" spans="1:17" x14ac:dyDescent="0.2">
      <c r="A30" s="52" t="s">
        <v>23</v>
      </c>
      <c r="B30" s="45">
        <v>11791.693965334309</v>
      </c>
      <c r="C30" s="45">
        <v>305.75982097262977</v>
      </c>
      <c r="D30" s="45">
        <v>289.51171454413247</v>
      </c>
      <c r="E30" s="45">
        <v>268.83230636240864</v>
      </c>
      <c r="F30" s="45">
        <v>301.32851921940323</v>
      </c>
      <c r="G30" s="45">
        <v>261.44680344036442</v>
      </c>
      <c r="H30" s="45">
        <v>1.4771005844088343</v>
      </c>
      <c r="I30" s="45">
        <f t="shared" si="0"/>
        <v>1426.8791645389385</v>
      </c>
      <c r="J30" s="45">
        <v>16.248106428497177</v>
      </c>
      <c r="K30" s="45">
        <v>1.4771005844088343</v>
      </c>
      <c r="L30" s="45">
        <v>1.4771005844088343</v>
      </c>
      <c r="M30" s="45">
        <v>1.4771005844088343</v>
      </c>
      <c r="N30" s="46">
        <v>0</v>
      </c>
      <c r="O30" s="45">
        <v>25.110709934950183</v>
      </c>
      <c r="P30" s="45">
        <v>10317.547582094508</v>
      </c>
      <c r="Q30" s="45">
        <f t="shared" si="1"/>
        <v>45.790118116673867</v>
      </c>
    </row>
    <row r="31" spans="1:17" x14ac:dyDescent="0.2">
      <c r="A31" s="52" t="s">
        <v>24</v>
      </c>
      <c r="B31" s="45">
        <v>11624.781599296135</v>
      </c>
      <c r="C31" s="45">
        <v>268.83230636240864</v>
      </c>
      <c r="D31" s="45">
        <v>282.12621162208825</v>
      </c>
      <c r="E31" s="45">
        <v>270.30940694681749</v>
      </c>
      <c r="F31" s="45">
        <v>264.40100460918211</v>
      </c>
      <c r="G31" s="45">
        <v>249.62999876509366</v>
      </c>
      <c r="H31" s="46">
        <v>0</v>
      </c>
      <c r="I31" s="45">
        <f t="shared" si="0"/>
        <v>1335.2989283055902</v>
      </c>
      <c r="J31" s="45">
        <v>16.248106428497177</v>
      </c>
      <c r="K31" s="45">
        <v>8.8626035064530058</v>
      </c>
      <c r="L31" s="45">
        <v>5.9084023376353372</v>
      </c>
      <c r="M31" s="46">
        <v>0</v>
      </c>
      <c r="N31" s="46">
        <v>0</v>
      </c>
      <c r="O31" s="45">
        <v>13.293905259679509</v>
      </c>
      <c r="P31" s="45">
        <v>10245.169653458486</v>
      </c>
      <c r="Q31" s="43">
        <f t="shared" si="1"/>
        <v>44.313017532265029</v>
      </c>
    </row>
    <row r="32" spans="1:17" x14ac:dyDescent="0.2">
      <c r="A32" s="141" t="s">
        <v>25</v>
      </c>
      <c r="B32" s="43">
        <v>2310.1853140153921</v>
      </c>
      <c r="C32" s="43">
        <v>13.293905259679509</v>
      </c>
      <c r="D32" s="43">
        <v>8.8626035064530058</v>
      </c>
      <c r="E32" s="43">
        <v>14.771005844088343</v>
      </c>
      <c r="F32" s="43">
        <v>14.771005844088343</v>
      </c>
      <c r="G32" s="43">
        <v>10.33970409086184</v>
      </c>
      <c r="H32" s="44">
        <v>0</v>
      </c>
      <c r="I32" s="45">
        <f t="shared" si="0"/>
        <v>62.038224545171033</v>
      </c>
      <c r="J32" s="44">
        <v>0</v>
      </c>
      <c r="K32" s="43">
        <v>1.4771005844088343</v>
      </c>
      <c r="L32" s="44">
        <v>0</v>
      </c>
      <c r="M32" s="44">
        <v>0</v>
      </c>
      <c r="N32" s="44">
        <v>0</v>
      </c>
      <c r="O32" s="43">
        <v>1.4771005844088343</v>
      </c>
      <c r="P32" s="43">
        <v>2245.1928883014129</v>
      </c>
      <c r="Q32" s="45">
        <f t="shared" si="1"/>
        <v>2.9542011688176686</v>
      </c>
    </row>
    <row r="33" spans="1:17" x14ac:dyDescent="0.2">
      <c r="A33" s="52" t="s">
        <v>25</v>
      </c>
      <c r="B33" s="45">
        <v>2310.1853140153921</v>
      </c>
      <c r="C33" s="45">
        <v>13.293905259679509</v>
      </c>
      <c r="D33" s="45">
        <v>8.8626035064530058</v>
      </c>
      <c r="E33" s="45">
        <v>14.771005844088343</v>
      </c>
      <c r="F33" s="45">
        <v>14.771005844088343</v>
      </c>
      <c r="G33" s="45">
        <v>10.33970409086184</v>
      </c>
      <c r="H33" s="46">
        <v>0</v>
      </c>
      <c r="I33" s="45">
        <f t="shared" si="0"/>
        <v>62.038224545171033</v>
      </c>
      <c r="J33" s="46">
        <v>0</v>
      </c>
      <c r="K33" s="45">
        <v>1.4771005844088343</v>
      </c>
      <c r="L33" s="46">
        <v>0</v>
      </c>
      <c r="M33" s="46">
        <v>0</v>
      </c>
      <c r="N33" s="46">
        <v>0</v>
      </c>
      <c r="O33" s="45">
        <v>1.4771005844088343</v>
      </c>
      <c r="P33" s="45">
        <v>2245.1928883014129</v>
      </c>
      <c r="Q33" s="43">
        <f t="shared" si="1"/>
        <v>2.9542011688176686</v>
      </c>
    </row>
    <row r="34" spans="1:17" x14ac:dyDescent="0.2">
      <c r="A34" s="141" t="s">
        <v>26</v>
      </c>
      <c r="B34" s="43">
        <v>1218.6079821372959</v>
      </c>
      <c r="C34" s="43">
        <v>23.633609350541349</v>
      </c>
      <c r="D34" s="43">
        <v>42.835916947856177</v>
      </c>
      <c r="E34" s="43">
        <v>14.771005844088343</v>
      </c>
      <c r="F34" s="43">
        <v>19.202307597314846</v>
      </c>
      <c r="G34" s="43">
        <v>14.771005844088343</v>
      </c>
      <c r="H34" s="43">
        <v>1.4771005844088343</v>
      </c>
      <c r="I34" s="45">
        <f t="shared" si="0"/>
        <v>115.21384558388905</v>
      </c>
      <c r="J34" s="44">
        <v>0</v>
      </c>
      <c r="K34" s="44">
        <v>0</v>
      </c>
      <c r="L34" s="44">
        <v>0</v>
      </c>
      <c r="M34" s="43">
        <v>1.4771005844088343</v>
      </c>
      <c r="N34" s="44">
        <v>0</v>
      </c>
      <c r="O34" s="43">
        <v>4.4313017532265029</v>
      </c>
      <c r="P34" s="43">
        <v>1096.0086336313618</v>
      </c>
      <c r="Q34" s="45">
        <f t="shared" si="1"/>
        <v>5.9084023376353372</v>
      </c>
    </row>
    <row r="35" spans="1:17" x14ac:dyDescent="0.2">
      <c r="A35" s="52" t="s">
        <v>26</v>
      </c>
      <c r="B35" s="45">
        <v>1218.6079821372959</v>
      </c>
      <c r="C35" s="45">
        <v>23.633609350541349</v>
      </c>
      <c r="D35" s="45">
        <v>42.835916947856177</v>
      </c>
      <c r="E35" s="45">
        <v>14.771005844088343</v>
      </c>
      <c r="F35" s="45">
        <v>19.202307597314846</v>
      </c>
      <c r="G35" s="45">
        <v>14.771005844088343</v>
      </c>
      <c r="H35" s="45">
        <v>1.4771005844088343</v>
      </c>
      <c r="I35" s="45">
        <f t="shared" si="0"/>
        <v>115.21384558388905</v>
      </c>
      <c r="J35" s="46">
        <v>0</v>
      </c>
      <c r="K35" s="46">
        <v>0</v>
      </c>
      <c r="L35" s="46">
        <v>0</v>
      </c>
      <c r="M35" s="45">
        <v>1.4771005844088343</v>
      </c>
      <c r="N35" s="46">
        <v>0</v>
      </c>
      <c r="O35" s="45">
        <v>4.4313017532265029</v>
      </c>
      <c r="P35" s="45">
        <v>1096.0086336313618</v>
      </c>
      <c r="Q35" s="45">
        <f t="shared" si="1"/>
        <v>5.9084023376353372</v>
      </c>
    </row>
    <row r="36" spans="1:17" x14ac:dyDescent="0.2">
      <c r="A36" s="141" t="s">
        <v>27</v>
      </c>
      <c r="B36" s="43">
        <v>5655.8181377009114</v>
      </c>
      <c r="C36" s="43">
        <v>82.717632726894607</v>
      </c>
      <c r="D36" s="43">
        <v>103.39704090861824</v>
      </c>
      <c r="E36" s="43">
        <v>174.29786896024257</v>
      </c>
      <c r="F36" s="43">
        <v>88.62603506452993</v>
      </c>
      <c r="G36" s="43">
        <v>122.59934850593304</v>
      </c>
      <c r="H36" s="43">
        <v>44.313017532265008</v>
      </c>
      <c r="I36" s="45">
        <f t="shared" si="0"/>
        <v>571.63792616621834</v>
      </c>
      <c r="J36" s="43">
        <v>2.9542011688176686</v>
      </c>
      <c r="K36" s="43">
        <v>2.9542011688176686</v>
      </c>
      <c r="L36" s="43">
        <v>4.4313017532265029</v>
      </c>
      <c r="M36" s="43">
        <v>1.4771005844088343</v>
      </c>
      <c r="N36" s="43">
        <v>13.293905259679509</v>
      </c>
      <c r="O36" s="43">
        <v>2.9542011688176686</v>
      </c>
      <c r="P36" s="43">
        <v>5011.8022828987541</v>
      </c>
      <c r="Q36" s="45">
        <f t="shared" si="1"/>
        <v>28.064911103767852</v>
      </c>
    </row>
    <row r="37" spans="1:17" x14ac:dyDescent="0.2">
      <c r="A37" s="52" t="s">
        <v>27</v>
      </c>
      <c r="B37" s="45">
        <v>5655.8181377009114</v>
      </c>
      <c r="C37" s="45">
        <v>82.717632726894607</v>
      </c>
      <c r="D37" s="45">
        <v>103.39704090861824</v>
      </c>
      <c r="E37" s="45">
        <v>174.29786896024257</v>
      </c>
      <c r="F37" s="45">
        <v>88.62603506452993</v>
      </c>
      <c r="G37" s="45">
        <v>122.59934850593304</v>
      </c>
      <c r="H37" s="45">
        <v>44.313017532265008</v>
      </c>
      <c r="I37" s="45">
        <f t="shared" si="0"/>
        <v>571.63792616621834</v>
      </c>
      <c r="J37" s="45">
        <v>2.9542011688176686</v>
      </c>
      <c r="K37" s="45">
        <v>2.9542011688176686</v>
      </c>
      <c r="L37" s="45">
        <v>4.4313017532265029</v>
      </c>
      <c r="M37" s="45">
        <v>1.4771005844088343</v>
      </c>
      <c r="N37" s="45">
        <v>13.293905259679509</v>
      </c>
      <c r="O37" s="45">
        <v>2.9542011688176686</v>
      </c>
      <c r="P37" s="45">
        <v>5011.8022828987541</v>
      </c>
      <c r="Q37" s="43">
        <f t="shared" si="1"/>
        <v>28.064911103767852</v>
      </c>
    </row>
    <row r="38" spans="1:17" x14ac:dyDescent="0.2">
      <c r="A38" s="141" t="s">
        <v>28</v>
      </c>
      <c r="B38" s="43">
        <v>12246.640945332163</v>
      </c>
      <c r="C38" s="43">
        <v>307.23692155703861</v>
      </c>
      <c r="D38" s="43">
        <v>259.96970285595557</v>
      </c>
      <c r="E38" s="43">
        <v>257.01550168713788</v>
      </c>
      <c r="F38" s="43">
        <v>231.90479175218752</v>
      </c>
      <c r="G38" s="43">
        <v>227.47348999896099</v>
      </c>
      <c r="H38" s="43">
        <v>4.4313017532265029</v>
      </c>
      <c r="I38" s="45">
        <f t="shared" si="0"/>
        <v>1283.6004078512806</v>
      </c>
      <c r="J38" s="43">
        <v>14.771005844088343</v>
      </c>
      <c r="K38" s="43">
        <v>2.9542011688176686</v>
      </c>
      <c r="L38" s="43">
        <v>7.3855029220441715</v>
      </c>
      <c r="M38" s="43">
        <v>1.4771005844088343</v>
      </c>
      <c r="N38" s="44">
        <v>0</v>
      </c>
      <c r="O38" s="43">
        <v>2.9542011688176686</v>
      </c>
      <c r="P38" s="43">
        <v>10929.067224039676</v>
      </c>
      <c r="Q38" s="45">
        <f t="shared" si="1"/>
        <v>29.542011688176686</v>
      </c>
    </row>
    <row r="39" spans="1:17" x14ac:dyDescent="0.2">
      <c r="A39" s="52" t="s">
        <v>28</v>
      </c>
      <c r="B39" s="45">
        <v>12246.640945332163</v>
      </c>
      <c r="C39" s="45">
        <v>307.23692155703861</v>
      </c>
      <c r="D39" s="45">
        <v>259.96970285595557</v>
      </c>
      <c r="E39" s="45">
        <v>257.01550168713788</v>
      </c>
      <c r="F39" s="45">
        <v>231.90479175218752</v>
      </c>
      <c r="G39" s="45">
        <v>227.47348999896099</v>
      </c>
      <c r="H39" s="45">
        <v>4.4313017532265029</v>
      </c>
      <c r="I39" s="45">
        <f t="shared" si="0"/>
        <v>1283.6004078512806</v>
      </c>
      <c r="J39" s="45">
        <v>14.771005844088343</v>
      </c>
      <c r="K39" s="45">
        <v>2.9542011688176686</v>
      </c>
      <c r="L39" s="45">
        <v>7.3855029220441715</v>
      </c>
      <c r="M39" s="45">
        <v>1.4771005844088343</v>
      </c>
      <c r="N39" s="46">
        <v>0</v>
      </c>
      <c r="O39" s="45">
        <v>2.9542011688176686</v>
      </c>
      <c r="P39" s="45">
        <v>10929.067224039676</v>
      </c>
      <c r="Q39" s="45">
        <f t="shared" si="1"/>
        <v>29.542011688176686</v>
      </c>
    </row>
    <row r="40" spans="1:17" x14ac:dyDescent="0.2">
      <c r="A40" s="141" t="s">
        <v>29</v>
      </c>
      <c r="B40" s="43">
        <v>33499.164153803358</v>
      </c>
      <c r="C40" s="43">
        <v>986.70319038510729</v>
      </c>
      <c r="D40" s="43">
        <v>924.6649658399358</v>
      </c>
      <c r="E40" s="43">
        <v>855.24123837272009</v>
      </c>
      <c r="F40" s="43">
        <v>698.66857642538253</v>
      </c>
      <c r="G40" s="43">
        <v>651.40135772429949</v>
      </c>
      <c r="H40" s="43">
        <v>8.8626035064530058</v>
      </c>
      <c r="I40" s="45">
        <f t="shared" si="0"/>
        <v>4116.6793287474447</v>
      </c>
      <c r="J40" s="43">
        <v>45.790118116673838</v>
      </c>
      <c r="K40" s="43">
        <v>25.110709934950183</v>
      </c>
      <c r="L40" s="43">
        <v>192.02307597314871</v>
      </c>
      <c r="M40" s="43">
        <v>4.4313017532265029</v>
      </c>
      <c r="N40" s="43">
        <v>32.496212856994354</v>
      </c>
      <c r="O40" s="43">
        <v>82.717632726894607</v>
      </c>
      <c r="P40" s="43">
        <v>28991.053170188254</v>
      </c>
      <c r="Q40" s="43">
        <f t="shared" si="1"/>
        <v>382.56905136188811</v>
      </c>
    </row>
    <row r="41" spans="1:17" x14ac:dyDescent="0.2">
      <c r="A41" s="52" t="s">
        <v>30</v>
      </c>
      <c r="B41" s="45">
        <v>21095.950546524193</v>
      </c>
      <c r="C41" s="45">
        <v>586.40893201031031</v>
      </c>
      <c r="D41" s="45">
        <v>509.59970162105037</v>
      </c>
      <c r="E41" s="45">
        <v>511.07680220545922</v>
      </c>
      <c r="F41" s="45">
        <v>395.86295662156931</v>
      </c>
      <c r="G41" s="45">
        <v>357.45834142693934</v>
      </c>
      <c r="H41" s="45">
        <v>7.3855029220441715</v>
      </c>
      <c r="I41" s="45">
        <f t="shared" si="0"/>
        <v>2360.4067338853283</v>
      </c>
      <c r="J41" s="45">
        <v>35.450414025812023</v>
      </c>
      <c r="K41" s="45">
        <v>13.293905259679509</v>
      </c>
      <c r="L41" s="45">
        <v>178.7291707134691</v>
      </c>
      <c r="M41" s="45">
        <v>2.9542011688176686</v>
      </c>
      <c r="N41" s="45">
        <v>28.064911103767852</v>
      </c>
      <c r="O41" s="45">
        <v>28.064911103767852</v>
      </c>
      <c r="P41" s="45">
        <v>18441.600796341907</v>
      </c>
      <c r="Q41" s="45">
        <f t="shared" si="1"/>
        <v>286.55751337531399</v>
      </c>
    </row>
    <row r="42" spans="1:17" x14ac:dyDescent="0.2">
      <c r="A42" s="52" t="s">
        <v>29</v>
      </c>
      <c r="B42" s="45">
        <v>12403.213607279476</v>
      </c>
      <c r="C42" s="45">
        <v>400.29425837479585</v>
      </c>
      <c r="D42" s="45">
        <v>415.06526421888429</v>
      </c>
      <c r="E42" s="45">
        <v>344.16443616725974</v>
      </c>
      <c r="F42" s="45">
        <v>302.80561980381208</v>
      </c>
      <c r="G42" s="45">
        <v>293.94301629735901</v>
      </c>
      <c r="H42" s="45">
        <v>1.4771005844088343</v>
      </c>
      <c r="I42" s="45">
        <f t="shared" si="0"/>
        <v>1756.272594862111</v>
      </c>
      <c r="J42" s="45">
        <v>10.33970409086184</v>
      </c>
      <c r="K42" s="45">
        <v>11.816804675270674</v>
      </c>
      <c r="L42" s="45">
        <v>13.293905259679509</v>
      </c>
      <c r="M42" s="45">
        <v>1.4771005844088343</v>
      </c>
      <c r="N42" s="45">
        <v>4.4313017532265029</v>
      </c>
      <c r="O42" s="45">
        <v>54.652721623126823</v>
      </c>
      <c r="P42" s="45">
        <v>10549.452373846661</v>
      </c>
      <c r="Q42" s="43">
        <f t="shared" si="1"/>
        <v>96.011537986574183</v>
      </c>
    </row>
    <row r="43" spans="1:17" x14ac:dyDescent="0.2">
      <c r="A43" s="141" t="s">
        <v>31</v>
      </c>
      <c r="B43" s="43">
        <v>11872.934497476783</v>
      </c>
      <c r="C43" s="43">
        <v>607.08834019203414</v>
      </c>
      <c r="D43" s="43">
        <v>580.50052967267493</v>
      </c>
      <c r="E43" s="43">
        <v>366.32094493339241</v>
      </c>
      <c r="F43" s="43">
        <v>203.83988064841947</v>
      </c>
      <c r="G43" s="43">
        <v>214.17958473928138</v>
      </c>
      <c r="H43" s="43">
        <v>19.202307597314846</v>
      </c>
      <c r="I43" s="45">
        <f t="shared" si="0"/>
        <v>1971.9292801858023</v>
      </c>
      <c r="J43" s="43">
        <v>32.496212856994354</v>
      </c>
      <c r="K43" s="43">
        <v>180.20627129787795</v>
      </c>
      <c r="L43" s="43">
        <v>41.358816363447346</v>
      </c>
      <c r="M43" s="43">
        <v>19.202307597314846</v>
      </c>
      <c r="N43" s="43">
        <v>59.084023376353315</v>
      </c>
      <c r="O43" s="43">
        <v>132.93905259679491</v>
      </c>
      <c r="P43" s="43">
        <v>9416.5162256052517</v>
      </c>
      <c r="Q43" s="45">
        <f t="shared" si="1"/>
        <v>465.28668408878275</v>
      </c>
    </row>
    <row r="44" spans="1:17" x14ac:dyDescent="0.2">
      <c r="A44" s="52" t="s">
        <v>31</v>
      </c>
      <c r="B44" s="45">
        <v>11872.934497476783</v>
      </c>
      <c r="C44" s="45">
        <v>607.08834019203414</v>
      </c>
      <c r="D44" s="45">
        <v>580.50052967267493</v>
      </c>
      <c r="E44" s="45">
        <v>366.32094493339241</v>
      </c>
      <c r="F44" s="45">
        <v>203.83988064841947</v>
      </c>
      <c r="G44" s="45">
        <v>214.17958473928138</v>
      </c>
      <c r="H44" s="45">
        <v>19.202307597314846</v>
      </c>
      <c r="I44" s="45">
        <f t="shared" si="0"/>
        <v>1971.9292801858023</v>
      </c>
      <c r="J44" s="45">
        <v>32.496212856994354</v>
      </c>
      <c r="K44" s="45">
        <v>180.20627129787795</v>
      </c>
      <c r="L44" s="45">
        <v>41.358816363447346</v>
      </c>
      <c r="M44" s="45">
        <v>19.202307597314846</v>
      </c>
      <c r="N44" s="45">
        <v>59.084023376353315</v>
      </c>
      <c r="O44" s="45">
        <v>132.93905259679491</v>
      </c>
      <c r="P44" s="45">
        <v>9416.5162256052517</v>
      </c>
      <c r="Q44" s="43">
        <f t="shared" si="1"/>
        <v>465.28668408878275</v>
      </c>
    </row>
    <row r="45" spans="1:17" x14ac:dyDescent="0.2">
      <c r="A45" s="813"/>
      <c r="B45" s="813"/>
      <c r="C45" s="813"/>
      <c r="D45" s="813"/>
      <c r="E45" s="813"/>
      <c r="F45" s="813"/>
      <c r="G45" s="813"/>
      <c r="H45" s="813"/>
      <c r="I45" s="813"/>
      <c r="J45" s="813"/>
      <c r="K45" s="813"/>
      <c r="L45" s="813"/>
      <c r="M45" s="813"/>
      <c r="N45" s="813"/>
      <c r="O45" s="813"/>
      <c r="P45" s="813"/>
      <c r="Q45" s="343"/>
    </row>
  </sheetData>
  <mergeCells count="7">
    <mergeCell ref="A45:P45"/>
    <mergeCell ref="A2:P2"/>
    <mergeCell ref="A3:A5"/>
    <mergeCell ref="B3:B5"/>
    <mergeCell ref="C3:P3"/>
    <mergeCell ref="C4:H4"/>
    <mergeCell ref="J4:P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43"/>
  <sheetViews>
    <sheetView zoomScale="120" zoomScaleNormal="120" workbookViewId="0">
      <selection activeCell="A2" sqref="A2:A3"/>
    </sheetView>
  </sheetViews>
  <sheetFormatPr defaultRowHeight="12" x14ac:dyDescent="0.2"/>
  <cols>
    <col min="1" max="1" width="17.42578125" style="575" customWidth="1"/>
    <col min="2" max="2" width="11.42578125" style="575" customWidth="1"/>
    <col min="3" max="3" width="10.7109375" style="575" customWidth="1"/>
    <col min="4" max="4" width="12" style="575" customWidth="1"/>
    <col min="5" max="5" width="10.85546875" style="575" customWidth="1"/>
    <col min="6" max="6" width="10.140625" style="575" customWidth="1"/>
    <col min="7" max="7" width="11.5703125" style="575" customWidth="1"/>
    <col min="8" max="8" width="9.7109375" style="575" customWidth="1"/>
    <col min="9" max="9" width="10.28515625" style="575" customWidth="1"/>
    <col min="10" max="10" width="10.85546875" style="575" customWidth="1"/>
    <col min="11" max="11" width="11.42578125" style="575" customWidth="1"/>
    <col min="12" max="16384" width="9.140625" style="575"/>
  </cols>
  <sheetData>
    <row r="1" spans="1:11" ht="22.5" customHeight="1" x14ac:dyDescent="0.2">
      <c r="A1" s="818" t="s">
        <v>122</v>
      </c>
      <c r="B1" s="818"/>
      <c r="C1" s="818"/>
      <c r="D1" s="818"/>
      <c r="E1" s="818"/>
      <c r="F1" s="818"/>
      <c r="G1" s="818"/>
      <c r="H1" s="818"/>
      <c r="I1" s="818"/>
      <c r="J1" s="818"/>
      <c r="K1" s="818"/>
    </row>
    <row r="2" spans="1:11" ht="15" customHeight="1" x14ac:dyDescent="0.2">
      <c r="A2" s="942" t="str">
        <f>'Q9.2'!$A$2</f>
        <v>Área de residência, município e comuna</v>
      </c>
      <c r="B2" s="819" t="s">
        <v>84</v>
      </c>
      <c r="C2" s="821" t="s">
        <v>123</v>
      </c>
      <c r="D2" s="821"/>
      <c r="E2" s="821"/>
      <c r="F2" s="821"/>
      <c r="G2" s="821"/>
      <c r="H2" s="821"/>
      <c r="I2" s="821"/>
      <c r="J2" s="821"/>
      <c r="K2" s="821"/>
    </row>
    <row r="3" spans="1:11" ht="60" customHeight="1" x14ac:dyDescent="0.2">
      <c r="A3" s="943"/>
      <c r="B3" s="820"/>
      <c r="C3" s="342" t="s">
        <v>124</v>
      </c>
      <c r="D3" s="342" t="s">
        <v>125</v>
      </c>
      <c r="E3" s="342" t="s">
        <v>126</v>
      </c>
      <c r="F3" s="342" t="s">
        <v>127</v>
      </c>
      <c r="G3" s="342" t="s">
        <v>128</v>
      </c>
      <c r="H3" s="342" t="s">
        <v>129</v>
      </c>
      <c r="I3" s="342" t="s">
        <v>130</v>
      </c>
      <c r="J3" s="342" t="s">
        <v>131</v>
      </c>
      <c r="K3" s="342" t="s">
        <v>132</v>
      </c>
    </row>
    <row r="4" spans="1:11" x14ac:dyDescent="0.2">
      <c r="A4" s="53" t="s">
        <v>32</v>
      </c>
      <c r="B4" s="209">
        <v>261282.84527673907</v>
      </c>
      <c r="C4" s="209">
        <v>11121.090300012796</v>
      </c>
      <c r="D4" s="209">
        <v>17078.236956932753</v>
      </c>
      <c r="E4" s="209">
        <v>4113.7251275783146</v>
      </c>
      <c r="F4" s="209">
        <v>3568.6750119315343</v>
      </c>
      <c r="G4" s="209">
        <v>3580.4918166068032</v>
      </c>
      <c r="H4" s="209">
        <v>4623.3248291992877</v>
      </c>
      <c r="I4" s="209">
        <v>194934.44122561914</v>
      </c>
      <c r="J4" s="209">
        <v>21531.695218924735</v>
      </c>
      <c r="K4" s="209">
        <v>731.16478928237711</v>
      </c>
    </row>
    <row r="5" spans="1:11" x14ac:dyDescent="0.2">
      <c r="A5" s="54"/>
      <c r="B5" s="211"/>
      <c r="C5" s="211"/>
      <c r="D5" s="211"/>
      <c r="E5" s="211"/>
      <c r="F5" s="211"/>
      <c r="G5" s="211"/>
      <c r="H5" s="211"/>
      <c r="I5" s="211"/>
      <c r="J5" s="211"/>
      <c r="K5" s="211"/>
    </row>
    <row r="6" spans="1:11" x14ac:dyDescent="0.2">
      <c r="A6" s="53" t="s">
        <v>167</v>
      </c>
      <c r="B6" s="209"/>
      <c r="C6" s="209"/>
      <c r="D6" s="209"/>
      <c r="E6" s="209"/>
      <c r="F6" s="209"/>
      <c r="G6" s="209"/>
      <c r="H6" s="209"/>
      <c r="I6" s="209"/>
      <c r="J6" s="209"/>
      <c r="K6" s="209"/>
    </row>
    <row r="7" spans="1:11" x14ac:dyDescent="0.2">
      <c r="A7" s="55" t="s">
        <v>8</v>
      </c>
      <c r="B7" s="210">
        <v>74088.411112767761</v>
      </c>
      <c r="C7" s="210">
        <v>4986.6915729638076</v>
      </c>
      <c r="D7" s="210">
        <v>12821.233072667115</v>
      </c>
      <c r="E7" s="210">
        <v>901.03135648939428</v>
      </c>
      <c r="F7" s="210">
        <v>1246.672893241064</v>
      </c>
      <c r="G7" s="210">
        <v>974.88638570983653</v>
      </c>
      <c r="H7" s="210">
        <v>898.07715532057659</v>
      </c>
      <c r="I7" s="210">
        <v>48700.006267952442</v>
      </c>
      <c r="J7" s="210">
        <v>3280.6403979718539</v>
      </c>
      <c r="K7" s="210">
        <v>279.17201045327056</v>
      </c>
    </row>
    <row r="8" spans="1:11" x14ac:dyDescent="0.2">
      <c r="A8" s="55" t="s">
        <v>9</v>
      </c>
      <c r="B8" s="210">
        <v>187194.43416324173</v>
      </c>
      <c r="C8" s="210">
        <v>6134.3987270493035</v>
      </c>
      <c r="D8" s="210">
        <v>4257.0038842659505</v>
      </c>
      <c r="E8" s="210">
        <v>3212.6937710890575</v>
      </c>
      <c r="F8" s="210">
        <v>2322.0021186906611</v>
      </c>
      <c r="G8" s="210">
        <v>2605.6054308971156</v>
      </c>
      <c r="H8" s="210">
        <v>3725.2476738788478</v>
      </c>
      <c r="I8" s="210">
        <v>146234.43495718724</v>
      </c>
      <c r="J8" s="210">
        <v>18251.054820953195</v>
      </c>
      <c r="K8" s="210">
        <v>451.99277882910542</v>
      </c>
    </row>
    <row r="9" spans="1:11" x14ac:dyDescent="0.2">
      <c r="A9" s="53" t="s">
        <v>360</v>
      </c>
      <c r="B9" s="209"/>
      <c r="C9" s="209"/>
      <c r="D9" s="209"/>
      <c r="E9" s="209"/>
      <c r="F9" s="209"/>
      <c r="G9" s="209"/>
      <c r="H9" s="209"/>
      <c r="I9" s="209"/>
      <c r="J9" s="209"/>
      <c r="K9" s="209"/>
    </row>
    <row r="10" spans="1:11" x14ac:dyDescent="0.2">
      <c r="A10" s="54" t="s">
        <v>11</v>
      </c>
      <c r="B10" s="211">
        <v>34100.344091657666</v>
      </c>
      <c r="C10" s="211">
        <v>1307.2340172018266</v>
      </c>
      <c r="D10" s="211">
        <v>2669.1207560266862</v>
      </c>
      <c r="E10" s="211">
        <v>341.21023499844205</v>
      </c>
      <c r="F10" s="211">
        <v>524.37070746513882</v>
      </c>
      <c r="G10" s="211">
        <v>435.74467240060812</v>
      </c>
      <c r="H10" s="211">
        <v>462.33248291996733</v>
      </c>
      <c r="I10" s="211">
        <v>26073.779515981234</v>
      </c>
      <c r="J10" s="211">
        <v>2237.8073853793699</v>
      </c>
      <c r="K10" s="211">
        <v>48.7443192854915</v>
      </c>
    </row>
    <row r="11" spans="1:11" x14ac:dyDescent="0.2">
      <c r="A11" s="55" t="s">
        <v>12</v>
      </c>
      <c r="B11" s="210">
        <v>22028.00101528603</v>
      </c>
      <c r="C11" s="210">
        <v>838.9931319442228</v>
      </c>
      <c r="D11" s="210">
        <v>2324.9563198594783</v>
      </c>
      <c r="E11" s="210">
        <v>234.85899292100521</v>
      </c>
      <c r="F11" s="210">
        <v>388.47745369952509</v>
      </c>
      <c r="G11" s="210">
        <v>329.39343032317129</v>
      </c>
      <c r="H11" s="210">
        <v>314.62242447908284</v>
      </c>
      <c r="I11" s="210">
        <v>15945.300808691341</v>
      </c>
      <c r="J11" s="210">
        <v>1611.5167375900487</v>
      </c>
      <c r="K11" s="210">
        <v>39.881715779038515</v>
      </c>
    </row>
    <row r="12" spans="1:11" x14ac:dyDescent="0.2">
      <c r="A12" s="55" t="s">
        <v>13</v>
      </c>
      <c r="B12" s="210">
        <v>12072.343076371946</v>
      </c>
      <c r="C12" s="210">
        <v>468.24088525760271</v>
      </c>
      <c r="D12" s="210">
        <v>344.16443616725974</v>
      </c>
      <c r="E12" s="210">
        <v>106.3512420774359</v>
      </c>
      <c r="F12" s="210">
        <v>135.8932537656126</v>
      </c>
      <c r="G12" s="210">
        <v>106.3512420774359</v>
      </c>
      <c r="H12" s="210">
        <v>147.71005844088336</v>
      </c>
      <c r="I12" s="210">
        <v>10128.478707290205</v>
      </c>
      <c r="J12" s="210">
        <v>626.29064778934912</v>
      </c>
      <c r="K12" s="210">
        <v>8.8626035064530058</v>
      </c>
    </row>
    <row r="13" spans="1:11" x14ac:dyDescent="0.2">
      <c r="A13" s="54" t="s">
        <v>44</v>
      </c>
      <c r="B13" s="211">
        <v>72729.478575111832</v>
      </c>
      <c r="C13" s="211">
        <v>4298.3627006293918</v>
      </c>
      <c r="D13" s="211">
        <v>7867.0377125606119</v>
      </c>
      <c r="E13" s="211">
        <v>1197.9285739555721</v>
      </c>
      <c r="F13" s="211">
        <v>1109.3025388910414</v>
      </c>
      <c r="G13" s="211">
        <v>1091.5773318781353</v>
      </c>
      <c r="H13" s="211">
        <v>1353.0241353185008</v>
      </c>
      <c r="I13" s="211">
        <v>49559.678808078257</v>
      </c>
      <c r="J13" s="211">
        <v>5847.8412136740317</v>
      </c>
      <c r="K13" s="211">
        <v>404.72556012802238</v>
      </c>
    </row>
    <row r="14" spans="1:11" x14ac:dyDescent="0.2">
      <c r="A14" s="55" t="s">
        <v>15</v>
      </c>
      <c r="B14" s="210">
        <v>61466.586618996123</v>
      </c>
      <c r="C14" s="210">
        <v>4087.1373170589591</v>
      </c>
      <c r="D14" s="210">
        <v>7689.7856424315778</v>
      </c>
      <c r="E14" s="210">
        <v>1001.4741962291957</v>
      </c>
      <c r="F14" s="210">
        <v>994.08869330715152</v>
      </c>
      <c r="G14" s="210">
        <v>954.2069775281127</v>
      </c>
      <c r="H14" s="210">
        <v>1053.1727166835053</v>
      </c>
      <c r="I14" s="210">
        <v>41394.266777467419</v>
      </c>
      <c r="J14" s="210">
        <v>4032.4845954358402</v>
      </c>
      <c r="K14" s="210">
        <v>259.96970285595557</v>
      </c>
    </row>
    <row r="15" spans="1:11" x14ac:dyDescent="0.2">
      <c r="A15" s="55" t="s">
        <v>16</v>
      </c>
      <c r="B15" s="210">
        <v>11262.891956116024</v>
      </c>
      <c r="C15" s="210">
        <v>211.22538357046369</v>
      </c>
      <c r="D15" s="210">
        <v>177.25207012906026</v>
      </c>
      <c r="E15" s="210">
        <v>196.45437772637524</v>
      </c>
      <c r="F15" s="210">
        <v>115.21384558388888</v>
      </c>
      <c r="G15" s="210">
        <v>137.37035435002144</v>
      </c>
      <c r="H15" s="210">
        <v>299.85141863499439</v>
      </c>
      <c r="I15" s="210">
        <v>8165.4120306111527</v>
      </c>
      <c r="J15" s="210">
        <v>1815.3566182384693</v>
      </c>
      <c r="K15" s="210">
        <v>144.75585727206567</v>
      </c>
    </row>
    <row r="16" spans="1:11" x14ac:dyDescent="0.2">
      <c r="A16" s="54" t="s">
        <v>17</v>
      </c>
      <c r="B16" s="211">
        <v>6311.6507971783376</v>
      </c>
      <c r="C16" s="211">
        <v>103.39704090861824</v>
      </c>
      <c r="D16" s="211">
        <v>720.8250851915152</v>
      </c>
      <c r="E16" s="211">
        <v>32.496212856994354</v>
      </c>
      <c r="F16" s="211">
        <v>33.973313441403192</v>
      </c>
      <c r="G16" s="211">
        <v>45.790118116673838</v>
      </c>
      <c r="H16" s="211">
        <v>38.404615194629685</v>
      </c>
      <c r="I16" s="211">
        <v>5209.7337612095089</v>
      </c>
      <c r="J16" s="211">
        <v>124.07644909034187</v>
      </c>
      <c r="K16" s="211">
        <v>2.9542011688176686</v>
      </c>
    </row>
    <row r="17" spans="1:11" x14ac:dyDescent="0.2">
      <c r="A17" s="55" t="s">
        <v>17</v>
      </c>
      <c r="B17" s="210">
        <v>6311.6507971783376</v>
      </c>
      <c r="C17" s="210">
        <v>103.39704090861824</v>
      </c>
      <c r="D17" s="210">
        <v>720.8250851915152</v>
      </c>
      <c r="E17" s="210">
        <v>32.496212856994354</v>
      </c>
      <c r="F17" s="210">
        <v>33.973313441403192</v>
      </c>
      <c r="G17" s="210">
        <v>45.790118116673838</v>
      </c>
      <c r="H17" s="210">
        <v>38.404615194629685</v>
      </c>
      <c r="I17" s="210">
        <v>5209.7337612095089</v>
      </c>
      <c r="J17" s="210">
        <v>124.07644909034187</v>
      </c>
      <c r="K17" s="210">
        <v>2.9542011688176686</v>
      </c>
    </row>
    <row r="18" spans="1:11" x14ac:dyDescent="0.2">
      <c r="A18" s="54" t="s">
        <v>18</v>
      </c>
      <c r="B18" s="211">
        <v>5462.3179611433825</v>
      </c>
      <c r="C18" s="211">
        <v>60.561123960762146</v>
      </c>
      <c r="D18" s="211">
        <v>73.855029220441622</v>
      </c>
      <c r="E18" s="211">
        <v>38.404615194629685</v>
      </c>
      <c r="F18" s="211">
        <v>45.790118116673838</v>
      </c>
      <c r="G18" s="211">
        <v>26.587810519359017</v>
      </c>
      <c r="H18" s="211">
        <v>69.42372746721513</v>
      </c>
      <c r="I18" s="211">
        <v>5069.4092056906902</v>
      </c>
      <c r="J18" s="211">
        <v>72.377928636032792</v>
      </c>
      <c r="K18" s="211">
        <v>5.9084023376353372</v>
      </c>
    </row>
    <row r="19" spans="1:11" x14ac:dyDescent="0.2">
      <c r="A19" s="55" t="s">
        <v>18</v>
      </c>
      <c r="B19" s="210">
        <v>5462.3179611433825</v>
      </c>
      <c r="C19" s="210">
        <v>60.561123960762146</v>
      </c>
      <c r="D19" s="210">
        <v>73.855029220441622</v>
      </c>
      <c r="E19" s="210">
        <v>38.404615194629685</v>
      </c>
      <c r="F19" s="210">
        <v>45.790118116673838</v>
      </c>
      <c r="G19" s="210">
        <v>26.587810519359017</v>
      </c>
      <c r="H19" s="210">
        <v>69.42372746721513</v>
      </c>
      <c r="I19" s="210">
        <v>5069.4092056906902</v>
      </c>
      <c r="J19" s="210">
        <v>72.377928636032792</v>
      </c>
      <c r="K19" s="210">
        <v>5.9084023376353372</v>
      </c>
    </row>
    <row r="20" spans="1:11" x14ac:dyDescent="0.2">
      <c r="A20" s="54" t="s">
        <v>19</v>
      </c>
      <c r="B20" s="211">
        <v>21072.316937173655</v>
      </c>
      <c r="C20" s="211">
        <v>401.77135895920469</v>
      </c>
      <c r="D20" s="211">
        <v>1218.6079821372959</v>
      </c>
      <c r="E20" s="211">
        <v>221.56508766132561</v>
      </c>
      <c r="F20" s="211">
        <v>129.98485142797722</v>
      </c>
      <c r="G20" s="211">
        <v>152.14136019410989</v>
      </c>
      <c r="H20" s="211">
        <v>192.02307597314871</v>
      </c>
      <c r="I20" s="211">
        <v>18093.005058421473</v>
      </c>
      <c r="J20" s="211">
        <v>645.49295538666411</v>
      </c>
      <c r="K20" s="211">
        <v>17.725207012906012</v>
      </c>
    </row>
    <row r="21" spans="1:11" x14ac:dyDescent="0.2">
      <c r="A21" s="55" t="s">
        <v>19</v>
      </c>
      <c r="B21" s="210">
        <v>12692.725321823566</v>
      </c>
      <c r="C21" s="210">
        <v>329.39343032317129</v>
      </c>
      <c r="D21" s="210">
        <v>1140.3216511636272</v>
      </c>
      <c r="E21" s="210">
        <v>147.71005844088336</v>
      </c>
      <c r="F21" s="210">
        <v>75.332129804850453</v>
      </c>
      <c r="G21" s="210">
        <v>106.3512420774359</v>
      </c>
      <c r="H21" s="210">
        <v>118.16804675270654</v>
      </c>
      <c r="I21" s="210">
        <v>10326.41018560096</v>
      </c>
      <c r="J21" s="210">
        <v>432.79047123179043</v>
      </c>
      <c r="K21" s="210">
        <v>16.248106428497177</v>
      </c>
    </row>
    <row r="22" spans="1:11" x14ac:dyDescent="0.2">
      <c r="A22" s="55" t="s">
        <v>20</v>
      </c>
      <c r="B22" s="210">
        <v>8379.5916153504022</v>
      </c>
      <c r="C22" s="210">
        <v>72.377928636032792</v>
      </c>
      <c r="D22" s="210">
        <v>78.286330973668115</v>
      </c>
      <c r="E22" s="210">
        <v>73.855029220441622</v>
      </c>
      <c r="F22" s="210">
        <v>54.652721623126823</v>
      </c>
      <c r="G22" s="210">
        <v>45.790118116673838</v>
      </c>
      <c r="H22" s="210">
        <v>73.855029220441622</v>
      </c>
      <c r="I22" s="210">
        <v>7766.5948728208259</v>
      </c>
      <c r="J22" s="210">
        <v>212.70248415487254</v>
      </c>
      <c r="K22" s="210">
        <v>1.4771005844088343</v>
      </c>
    </row>
    <row r="23" spans="1:11" x14ac:dyDescent="0.2">
      <c r="A23" s="54" t="s">
        <v>21</v>
      </c>
      <c r="B23" s="211">
        <v>11748.858048386459</v>
      </c>
      <c r="C23" s="211">
        <v>685.37467116570292</v>
      </c>
      <c r="D23" s="211">
        <v>457.9011811667408</v>
      </c>
      <c r="E23" s="211">
        <v>113.73674499948005</v>
      </c>
      <c r="F23" s="211">
        <v>90.10313564893876</v>
      </c>
      <c r="G23" s="211">
        <v>112.25964441507122</v>
      </c>
      <c r="H23" s="211">
        <v>122.59934850593304</v>
      </c>
      <c r="I23" s="211">
        <v>8955.6608432697631</v>
      </c>
      <c r="J23" s="211">
        <v>1203.8369762932075</v>
      </c>
      <c r="K23" s="211">
        <v>7.3855029220441715</v>
      </c>
    </row>
    <row r="24" spans="1:11" x14ac:dyDescent="0.2">
      <c r="A24" s="55" t="s">
        <v>21</v>
      </c>
      <c r="B24" s="210">
        <v>11748.858048386459</v>
      </c>
      <c r="C24" s="210">
        <v>685.37467116570292</v>
      </c>
      <c r="D24" s="210">
        <v>457.9011811667408</v>
      </c>
      <c r="E24" s="210">
        <v>113.73674499948005</v>
      </c>
      <c r="F24" s="210">
        <v>90.10313564893876</v>
      </c>
      <c r="G24" s="210">
        <v>112.25964441507122</v>
      </c>
      <c r="H24" s="210">
        <v>122.59934850593304</v>
      </c>
      <c r="I24" s="210">
        <v>8955.6608432697631</v>
      </c>
      <c r="J24" s="210">
        <v>1203.8369762932075</v>
      </c>
      <c r="K24" s="210">
        <v>7.3855029220441715</v>
      </c>
    </row>
    <row r="25" spans="1:11" x14ac:dyDescent="0.2">
      <c r="A25" s="54" t="s">
        <v>22</v>
      </c>
      <c r="B25" s="211">
        <v>19638.052269712887</v>
      </c>
      <c r="C25" s="211">
        <v>1166.9094616829864</v>
      </c>
      <c r="D25" s="211">
        <v>1624.8106428497283</v>
      </c>
      <c r="E25" s="211">
        <v>389.95455428393393</v>
      </c>
      <c r="F25" s="211">
        <v>429.83627006297274</v>
      </c>
      <c r="G25" s="211">
        <v>265.87810519359095</v>
      </c>
      <c r="H25" s="211">
        <v>314.62242447908284</v>
      </c>
      <c r="I25" s="211">
        <v>13844.863777662287</v>
      </c>
      <c r="J25" s="211">
        <v>1474.1463832400261</v>
      </c>
      <c r="K25" s="211">
        <v>127.03065025915953</v>
      </c>
    </row>
    <row r="26" spans="1:11" x14ac:dyDescent="0.2">
      <c r="A26" s="55" t="s">
        <v>22</v>
      </c>
      <c r="B26" s="210">
        <v>19638.052269712887</v>
      </c>
      <c r="C26" s="210">
        <v>1166.9094616829864</v>
      </c>
      <c r="D26" s="210">
        <v>1624.8106428497283</v>
      </c>
      <c r="E26" s="210">
        <v>389.95455428393393</v>
      </c>
      <c r="F26" s="210">
        <v>429.83627006297274</v>
      </c>
      <c r="G26" s="210">
        <v>265.87810519359095</v>
      </c>
      <c r="H26" s="210">
        <v>314.62242447908284</v>
      </c>
      <c r="I26" s="210">
        <v>13844.863777662287</v>
      </c>
      <c r="J26" s="210">
        <v>1474.1463832400261</v>
      </c>
      <c r="K26" s="210">
        <v>127.03065025915953</v>
      </c>
    </row>
    <row r="27" spans="1:11" x14ac:dyDescent="0.2">
      <c r="A27" s="54" t="s">
        <v>23</v>
      </c>
      <c r="B27" s="211">
        <v>23416.475564630131</v>
      </c>
      <c r="C27" s="211">
        <v>988.18029096951614</v>
      </c>
      <c r="D27" s="211">
        <v>468.24088525760271</v>
      </c>
      <c r="E27" s="211">
        <v>539.14171330922727</v>
      </c>
      <c r="F27" s="211">
        <v>347.11863733607743</v>
      </c>
      <c r="G27" s="211">
        <v>384.04615194629855</v>
      </c>
      <c r="H27" s="211">
        <v>666.17236356838794</v>
      </c>
      <c r="I27" s="211">
        <v>17382.519677320928</v>
      </c>
      <c r="J27" s="211">
        <v>2589.3573244686208</v>
      </c>
      <c r="K27" s="211">
        <v>51.698520454309161</v>
      </c>
    </row>
    <row r="28" spans="1:11" x14ac:dyDescent="0.2">
      <c r="A28" s="55" t="s">
        <v>23</v>
      </c>
      <c r="B28" s="210">
        <v>11791.693965334309</v>
      </c>
      <c r="C28" s="210">
        <v>688.32887233452061</v>
      </c>
      <c r="D28" s="210">
        <v>186.11467363551333</v>
      </c>
      <c r="E28" s="210">
        <v>301.32851921940323</v>
      </c>
      <c r="F28" s="210">
        <v>184.63757305110448</v>
      </c>
      <c r="G28" s="210">
        <v>158.04976253174527</v>
      </c>
      <c r="H28" s="210">
        <v>401.77135895920469</v>
      </c>
      <c r="I28" s="210">
        <v>8890.6684175557839</v>
      </c>
      <c r="J28" s="210">
        <v>963.06958103456577</v>
      </c>
      <c r="K28" s="210">
        <v>17.725207012906012</v>
      </c>
    </row>
    <row r="29" spans="1:11" x14ac:dyDescent="0.2">
      <c r="A29" s="55" t="s">
        <v>24</v>
      </c>
      <c r="B29" s="210">
        <v>11624.781599296135</v>
      </c>
      <c r="C29" s="210">
        <v>299.85141863499439</v>
      </c>
      <c r="D29" s="210">
        <v>282.12621162208825</v>
      </c>
      <c r="E29" s="210">
        <v>237.8131940898229</v>
      </c>
      <c r="F29" s="210">
        <v>162.48106428497181</v>
      </c>
      <c r="G29" s="210">
        <v>225.99638941455214</v>
      </c>
      <c r="H29" s="210">
        <v>264.40100460918211</v>
      </c>
      <c r="I29" s="210">
        <v>8491.8512597654571</v>
      </c>
      <c r="J29" s="210">
        <v>1626.2877434341372</v>
      </c>
      <c r="K29" s="210">
        <v>33.973313441403192</v>
      </c>
    </row>
    <row r="30" spans="1:11" x14ac:dyDescent="0.2">
      <c r="A30" s="54" t="s">
        <v>25</v>
      </c>
      <c r="B30" s="211">
        <v>2310.1853140153921</v>
      </c>
      <c r="C30" s="211">
        <v>13.293905259679509</v>
      </c>
      <c r="D30" s="211">
        <v>10.33970409086184</v>
      </c>
      <c r="E30" s="211">
        <v>19.202307597314846</v>
      </c>
      <c r="F30" s="211">
        <v>2.9542011688176686</v>
      </c>
      <c r="G30" s="211">
        <v>7.3855029220441715</v>
      </c>
      <c r="H30" s="211">
        <v>84.194733311303438</v>
      </c>
      <c r="I30" s="211">
        <v>2053.1698123282927</v>
      </c>
      <c r="J30" s="211">
        <v>107.82834266184473</v>
      </c>
      <c r="K30" s="211">
        <v>11.816804675270674</v>
      </c>
    </row>
    <row r="31" spans="1:11" x14ac:dyDescent="0.2">
      <c r="A31" s="55" t="s">
        <v>25</v>
      </c>
      <c r="B31" s="210">
        <v>2310.1853140153921</v>
      </c>
      <c r="C31" s="210">
        <v>13.293905259679509</v>
      </c>
      <c r="D31" s="210">
        <v>10.33970409086184</v>
      </c>
      <c r="E31" s="210">
        <v>19.202307597314846</v>
      </c>
      <c r="F31" s="210">
        <v>2.9542011688176686</v>
      </c>
      <c r="G31" s="210">
        <v>7.3855029220441715</v>
      </c>
      <c r="H31" s="210">
        <v>84.194733311303438</v>
      </c>
      <c r="I31" s="210">
        <v>2053.1698123282927</v>
      </c>
      <c r="J31" s="210">
        <v>107.82834266184473</v>
      </c>
      <c r="K31" s="210">
        <v>11.816804675270674</v>
      </c>
    </row>
    <row r="32" spans="1:11" x14ac:dyDescent="0.2">
      <c r="A32" s="54" t="s">
        <v>26</v>
      </c>
      <c r="B32" s="211">
        <v>1218.6079821372959</v>
      </c>
      <c r="C32" s="211">
        <v>70.900828051623961</v>
      </c>
      <c r="D32" s="211">
        <v>23.633609350541349</v>
      </c>
      <c r="E32" s="211">
        <v>14.771005844088343</v>
      </c>
      <c r="F32" s="211">
        <v>17.725207012906012</v>
      </c>
      <c r="G32" s="211">
        <v>16.248106428497177</v>
      </c>
      <c r="H32" s="211">
        <v>45.790118116673838</v>
      </c>
      <c r="I32" s="211">
        <v>1016.2452020732842</v>
      </c>
      <c r="J32" s="211">
        <v>5.9084023376353372</v>
      </c>
      <c r="K32" s="211">
        <v>7.3855029220441715</v>
      </c>
    </row>
    <row r="33" spans="1:11" x14ac:dyDescent="0.2">
      <c r="A33" s="55" t="s">
        <v>26</v>
      </c>
      <c r="B33" s="210">
        <v>1218.6079821372959</v>
      </c>
      <c r="C33" s="210">
        <v>70.900828051623961</v>
      </c>
      <c r="D33" s="210">
        <v>23.633609350541349</v>
      </c>
      <c r="E33" s="210">
        <v>14.771005844088343</v>
      </c>
      <c r="F33" s="210">
        <v>17.725207012906012</v>
      </c>
      <c r="G33" s="210">
        <v>16.248106428497177</v>
      </c>
      <c r="H33" s="210">
        <v>45.790118116673838</v>
      </c>
      <c r="I33" s="210">
        <v>1016.2452020732842</v>
      </c>
      <c r="J33" s="210">
        <v>5.9084023376353372</v>
      </c>
      <c r="K33" s="210">
        <v>7.3855029220441715</v>
      </c>
    </row>
    <row r="34" spans="1:11" x14ac:dyDescent="0.2">
      <c r="A34" s="54" t="s">
        <v>27</v>
      </c>
      <c r="B34" s="211">
        <v>5655.8181377009114</v>
      </c>
      <c r="C34" s="211">
        <v>159.52686311615412</v>
      </c>
      <c r="D34" s="211">
        <v>81.240532142485776</v>
      </c>
      <c r="E34" s="211">
        <v>72.377928636032792</v>
      </c>
      <c r="F34" s="211">
        <v>39.881715779038515</v>
      </c>
      <c r="G34" s="211">
        <v>78.286330973668115</v>
      </c>
      <c r="H34" s="211">
        <v>192.02307597314871</v>
      </c>
      <c r="I34" s="211">
        <v>3847.847022384763</v>
      </c>
      <c r="J34" s="211">
        <v>1184.6346686958925</v>
      </c>
      <c r="K34" s="211">
        <v>0</v>
      </c>
    </row>
    <row r="35" spans="1:11" x14ac:dyDescent="0.2">
      <c r="A35" s="55" t="s">
        <v>27</v>
      </c>
      <c r="B35" s="210">
        <v>5655.8181377009114</v>
      </c>
      <c r="C35" s="210">
        <v>159.52686311615412</v>
      </c>
      <c r="D35" s="210">
        <v>81.240532142485776</v>
      </c>
      <c r="E35" s="210">
        <v>72.377928636032792</v>
      </c>
      <c r="F35" s="210">
        <v>39.881715779038515</v>
      </c>
      <c r="G35" s="210">
        <v>78.286330973668115</v>
      </c>
      <c r="H35" s="210">
        <v>192.02307597314871</v>
      </c>
      <c r="I35" s="210">
        <v>3847.847022384763</v>
      </c>
      <c r="J35" s="210">
        <v>1184.6346686958925</v>
      </c>
      <c r="K35" s="210">
        <v>0</v>
      </c>
    </row>
    <row r="36" spans="1:11" x14ac:dyDescent="0.2">
      <c r="A36" s="54" t="s">
        <v>28</v>
      </c>
      <c r="B36" s="211">
        <v>12246.640945332163</v>
      </c>
      <c r="C36" s="211">
        <v>358.93544201134819</v>
      </c>
      <c r="D36" s="211">
        <v>166.91236603819834</v>
      </c>
      <c r="E36" s="211">
        <v>234.85899292100521</v>
      </c>
      <c r="F36" s="211">
        <v>150.66425960970105</v>
      </c>
      <c r="G36" s="211">
        <v>155.09556136292758</v>
      </c>
      <c r="H36" s="211">
        <v>236.33609350541406</v>
      </c>
      <c r="I36" s="211">
        <v>9784.3142711229975</v>
      </c>
      <c r="J36" s="211">
        <v>1152.1384558388979</v>
      </c>
      <c r="K36" s="211">
        <v>7.3855029220441715</v>
      </c>
    </row>
    <row r="37" spans="1:11" x14ac:dyDescent="0.2">
      <c r="A37" s="55" t="s">
        <v>28</v>
      </c>
      <c r="B37" s="210">
        <v>12246.640945332163</v>
      </c>
      <c r="C37" s="210">
        <v>358.93544201134819</v>
      </c>
      <c r="D37" s="210">
        <v>166.91236603819834</v>
      </c>
      <c r="E37" s="210">
        <v>234.85899292100521</v>
      </c>
      <c r="F37" s="210">
        <v>150.66425960970105</v>
      </c>
      <c r="G37" s="210">
        <v>155.09556136292758</v>
      </c>
      <c r="H37" s="210">
        <v>236.33609350541406</v>
      </c>
      <c r="I37" s="210">
        <v>9784.3142711229975</v>
      </c>
      <c r="J37" s="210">
        <v>1152.1384558388979</v>
      </c>
      <c r="K37" s="210">
        <v>7.3855029220441715</v>
      </c>
    </row>
    <row r="38" spans="1:11" x14ac:dyDescent="0.2">
      <c r="A38" s="54" t="s">
        <v>29</v>
      </c>
      <c r="B38" s="211">
        <v>33499.164153803358</v>
      </c>
      <c r="C38" s="211">
        <v>1155.0926570077156</v>
      </c>
      <c r="D38" s="211">
        <v>877.39774713885276</v>
      </c>
      <c r="E38" s="211">
        <v>570.16082558181301</v>
      </c>
      <c r="F38" s="211">
        <v>456.42408058233195</v>
      </c>
      <c r="G38" s="211">
        <v>638.10745246461988</v>
      </c>
      <c r="H38" s="211">
        <v>546.5272162312715</v>
      </c>
      <c r="I38" s="211">
        <v>25580.427920788756</v>
      </c>
      <c r="J38" s="211">
        <v>3642.5300411519652</v>
      </c>
      <c r="K38" s="211">
        <v>32.496212856994354</v>
      </c>
    </row>
    <row r="39" spans="1:11" x14ac:dyDescent="0.2">
      <c r="A39" s="55" t="s">
        <v>30</v>
      </c>
      <c r="B39" s="210">
        <v>21095.950546524193</v>
      </c>
      <c r="C39" s="210">
        <v>596.74863610117222</v>
      </c>
      <c r="D39" s="210">
        <v>494.82869577696192</v>
      </c>
      <c r="E39" s="210">
        <v>317.57662564790053</v>
      </c>
      <c r="F39" s="210">
        <v>252.58419993391135</v>
      </c>
      <c r="G39" s="210">
        <v>320.53082681671822</v>
      </c>
      <c r="H39" s="210">
        <v>255.53840110272904</v>
      </c>
      <c r="I39" s="210">
        <v>16796.110745310707</v>
      </c>
      <c r="J39" s="210">
        <v>2053.1698123282927</v>
      </c>
      <c r="K39" s="210">
        <v>8.8626035064530058</v>
      </c>
    </row>
    <row r="40" spans="1:11" x14ac:dyDescent="0.2">
      <c r="A40" s="55" t="s">
        <v>29</v>
      </c>
      <c r="B40" s="210">
        <v>12403.213607279476</v>
      </c>
      <c r="C40" s="210">
        <v>558.34402090654226</v>
      </c>
      <c r="D40" s="210">
        <v>382.56905136188971</v>
      </c>
      <c r="E40" s="210">
        <v>252.58419993391135</v>
      </c>
      <c r="F40" s="210">
        <v>203.83988064841947</v>
      </c>
      <c r="G40" s="210">
        <v>317.57662564790053</v>
      </c>
      <c r="H40" s="210">
        <v>290.98881512854132</v>
      </c>
      <c r="I40" s="210">
        <v>8784.3171754783634</v>
      </c>
      <c r="J40" s="210">
        <v>1589.360228823916</v>
      </c>
      <c r="K40" s="210">
        <v>23.633609350541349</v>
      </c>
    </row>
    <row r="41" spans="1:11" x14ac:dyDescent="0.2">
      <c r="A41" s="54" t="s">
        <v>31</v>
      </c>
      <c r="B41" s="211">
        <v>11872.934497476783</v>
      </c>
      <c r="C41" s="211">
        <v>351.54993908930396</v>
      </c>
      <c r="D41" s="211">
        <v>818.31372376249897</v>
      </c>
      <c r="E41" s="211">
        <v>327.91632973876244</v>
      </c>
      <c r="F41" s="211">
        <v>190.54597538873986</v>
      </c>
      <c r="G41" s="211">
        <v>171.34366779142488</v>
      </c>
      <c r="H41" s="211">
        <v>299.85141863499439</v>
      </c>
      <c r="I41" s="211">
        <v>8463.7863486616934</v>
      </c>
      <c r="J41" s="211">
        <v>1243.7186920722463</v>
      </c>
      <c r="K41" s="211">
        <v>5.9084023376353372</v>
      </c>
    </row>
    <row r="42" spans="1:11" x14ac:dyDescent="0.2">
      <c r="A42" s="55" t="s">
        <v>31</v>
      </c>
      <c r="B42" s="210">
        <v>11872.934497476783</v>
      </c>
      <c r="C42" s="210">
        <v>351.54993908930396</v>
      </c>
      <c r="D42" s="210">
        <v>818.31372376249897</v>
      </c>
      <c r="E42" s="210">
        <v>327.91632973876244</v>
      </c>
      <c r="F42" s="210">
        <v>190.54597538873986</v>
      </c>
      <c r="G42" s="210">
        <v>171.34366779142488</v>
      </c>
      <c r="H42" s="210">
        <v>299.85141863499439</v>
      </c>
      <c r="I42" s="210">
        <v>8463.7863486616934</v>
      </c>
      <c r="J42" s="210">
        <v>1243.7186920722463</v>
      </c>
      <c r="K42" s="210">
        <v>5.9084023376353372</v>
      </c>
    </row>
    <row r="43" spans="1:11" x14ac:dyDescent="0.2">
      <c r="A43" s="822"/>
      <c r="B43" s="822"/>
      <c r="C43" s="822"/>
      <c r="D43" s="822"/>
      <c r="E43" s="822"/>
      <c r="F43" s="822"/>
      <c r="G43" s="822"/>
      <c r="H43" s="822"/>
      <c r="I43" s="822"/>
      <c r="J43" s="822"/>
      <c r="K43" s="822"/>
    </row>
  </sheetData>
  <mergeCells count="5">
    <mergeCell ref="A1:K1"/>
    <mergeCell ref="A2:A3"/>
    <mergeCell ref="B2:B3"/>
    <mergeCell ref="C2:K2"/>
    <mergeCell ref="A43:K4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3"/>
  <sheetViews>
    <sheetView zoomScale="120" zoomScaleNormal="120" workbookViewId="0">
      <selection activeCell="A2" sqref="A2:A3"/>
    </sheetView>
  </sheetViews>
  <sheetFormatPr defaultRowHeight="12" x14ac:dyDescent="0.2"/>
  <cols>
    <col min="1" max="1" width="19.7109375" style="575" customWidth="1"/>
    <col min="2" max="2" width="15.5703125" style="575" customWidth="1"/>
    <col min="3" max="3" width="14.42578125" style="575" customWidth="1"/>
    <col min="4" max="4" width="15.85546875" style="575" customWidth="1"/>
    <col min="5" max="16384" width="9.140625" style="575"/>
  </cols>
  <sheetData>
    <row r="1" spans="1:4" ht="30.75" customHeight="1" x14ac:dyDescent="0.2">
      <c r="A1" s="823" t="s">
        <v>134</v>
      </c>
      <c r="B1" s="823"/>
      <c r="C1" s="823"/>
      <c r="D1" s="823"/>
    </row>
    <row r="2" spans="1:4" ht="21.75" customHeight="1" x14ac:dyDescent="0.2">
      <c r="A2" s="942" t="str">
        <f>'Q9.1'!$A$3</f>
        <v>Área de residência, município e comuna</v>
      </c>
      <c r="B2" s="824" t="s">
        <v>84</v>
      </c>
      <c r="C2" s="824" t="s">
        <v>135</v>
      </c>
      <c r="D2" s="824"/>
    </row>
    <row r="3" spans="1:4" x14ac:dyDescent="0.2">
      <c r="A3" s="943"/>
      <c r="B3" s="825"/>
      <c r="C3" s="56" t="s">
        <v>136</v>
      </c>
      <c r="D3" s="56" t="s">
        <v>137</v>
      </c>
    </row>
    <row r="4" spans="1:4" x14ac:dyDescent="0.2">
      <c r="A4" s="57" t="s">
        <v>32</v>
      </c>
      <c r="B4" s="209">
        <v>261282.84527673907</v>
      </c>
      <c r="C4" s="209">
        <v>66019.010620143483</v>
      </c>
      <c r="D4" s="209">
        <v>195263.83465594551</v>
      </c>
    </row>
    <row r="5" spans="1:4" x14ac:dyDescent="0.2">
      <c r="A5" s="424"/>
      <c r="B5" s="425"/>
      <c r="C5" s="425"/>
      <c r="D5" s="425"/>
    </row>
    <row r="6" spans="1:4" x14ac:dyDescent="0.2">
      <c r="A6" s="57" t="s">
        <v>167</v>
      </c>
      <c r="B6" s="209"/>
      <c r="C6" s="209"/>
      <c r="D6" s="209"/>
    </row>
    <row r="7" spans="1:4" x14ac:dyDescent="0.2">
      <c r="A7" s="58" t="s">
        <v>8</v>
      </c>
      <c r="B7" s="210">
        <v>74088.411112767761</v>
      </c>
      <c r="C7" s="210">
        <v>30497.695766285044</v>
      </c>
      <c r="D7" s="210">
        <v>43590.715346483033</v>
      </c>
    </row>
    <row r="8" spans="1:4" x14ac:dyDescent="0.2">
      <c r="A8" s="58" t="s">
        <v>9</v>
      </c>
      <c r="B8" s="210">
        <v>187194.43416324173</v>
      </c>
      <c r="C8" s="210">
        <v>35521.314853858756</v>
      </c>
      <c r="D8" s="210">
        <v>151673.11930903335</v>
      </c>
    </row>
    <row r="9" spans="1:4" x14ac:dyDescent="0.2">
      <c r="A9" s="59" t="s">
        <v>360</v>
      </c>
      <c r="B9" s="209"/>
      <c r="C9" s="209"/>
      <c r="D9" s="209"/>
    </row>
    <row r="10" spans="1:4" x14ac:dyDescent="0.2">
      <c r="A10" s="232" t="s">
        <v>11</v>
      </c>
      <c r="B10" s="211">
        <v>34100.344091657666</v>
      </c>
      <c r="C10" s="211">
        <v>9564.2262840461135</v>
      </c>
      <c r="D10" s="211">
        <v>24536.117807611863</v>
      </c>
    </row>
    <row r="11" spans="1:4" x14ac:dyDescent="0.2">
      <c r="A11" s="58" t="s">
        <v>12</v>
      </c>
      <c r="B11" s="210">
        <v>22028.00101528603</v>
      </c>
      <c r="C11" s="210">
        <v>6590.8228076315663</v>
      </c>
      <c r="D11" s="210">
        <v>15437.178207654777</v>
      </c>
    </row>
    <row r="12" spans="1:4" x14ac:dyDescent="0.2">
      <c r="A12" s="58" t="s">
        <v>13</v>
      </c>
      <c r="B12" s="210">
        <v>12072.343076371946</v>
      </c>
      <c r="C12" s="210">
        <v>2973.4034764148614</v>
      </c>
      <c r="D12" s="210">
        <v>9098.939599957399</v>
      </c>
    </row>
    <row r="13" spans="1:4" x14ac:dyDescent="0.2">
      <c r="A13" s="232" t="s">
        <v>44</v>
      </c>
      <c r="B13" s="211">
        <v>72729.478575111832</v>
      </c>
      <c r="C13" s="211">
        <v>25674.962358190907</v>
      </c>
      <c r="D13" s="211">
        <v>47054.516216921242</v>
      </c>
    </row>
    <row r="14" spans="1:4" x14ac:dyDescent="0.2">
      <c r="A14" s="58" t="s">
        <v>15</v>
      </c>
      <c r="B14" s="210">
        <v>61466.586618996123</v>
      </c>
      <c r="C14" s="210">
        <v>23852.220237030673</v>
      </c>
      <c r="D14" s="210">
        <v>37614.366381965767</v>
      </c>
    </row>
    <row r="15" spans="1:4" x14ac:dyDescent="0.2">
      <c r="A15" s="58" t="s">
        <v>16</v>
      </c>
      <c r="B15" s="210">
        <v>11262.891956116024</v>
      </c>
      <c r="C15" s="210">
        <v>1822.7421211605135</v>
      </c>
      <c r="D15" s="210">
        <v>9440.1498349557896</v>
      </c>
    </row>
    <row r="16" spans="1:4" x14ac:dyDescent="0.2">
      <c r="A16" s="232" t="s">
        <v>17</v>
      </c>
      <c r="B16" s="211">
        <v>6311.6507971783376</v>
      </c>
      <c r="C16" s="211">
        <v>1323.4821236303239</v>
      </c>
      <c r="D16" s="211">
        <v>4988.1686735482162</v>
      </c>
    </row>
    <row r="17" spans="1:4" x14ac:dyDescent="0.2">
      <c r="A17" s="58" t="s">
        <v>17</v>
      </c>
      <c r="B17" s="210">
        <v>6311.6507971783376</v>
      </c>
      <c r="C17" s="210">
        <v>1323.4821236303239</v>
      </c>
      <c r="D17" s="210">
        <v>4988.1686735482162</v>
      </c>
    </row>
    <row r="18" spans="1:4" x14ac:dyDescent="0.2">
      <c r="A18" s="232" t="s">
        <v>18</v>
      </c>
      <c r="B18" s="211">
        <v>5462.3179611433825</v>
      </c>
      <c r="C18" s="211">
        <v>787.29461148991322</v>
      </c>
      <c r="D18" s="211">
        <v>4675.0233496535893</v>
      </c>
    </row>
    <row r="19" spans="1:4" x14ac:dyDescent="0.2">
      <c r="A19" s="58" t="s">
        <v>18</v>
      </c>
      <c r="B19" s="210">
        <v>5462.3179611433825</v>
      </c>
      <c r="C19" s="210">
        <v>787.29461148991322</v>
      </c>
      <c r="D19" s="210">
        <v>4675.0233496535893</v>
      </c>
    </row>
    <row r="20" spans="1:4" x14ac:dyDescent="0.2">
      <c r="A20" s="232" t="s">
        <v>19</v>
      </c>
      <c r="B20" s="211">
        <v>21072.316937173655</v>
      </c>
      <c r="C20" s="211">
        <v>2883.3003407659357</v>
      </c>
      <c r="D20" s="211">
        <v>18189.016596408033</v>
      </c>
    </row>
    <row r="21" spans="1:4" x14ac:dyDescent="0.2">
      <c r="A21" s="58" t="s">
        <v>19</v>
      </c>
      <c r="B21" s="210">
        <v>12692.725321823566</v>
      </c>
      <c r="C21" s="210">
        <v>1558.3411165513303</v>
      </c>
      <c r="D21" s="210">
        <v>11134.384205272474</v>
      </c>
    </row>
    <row r="22" spans="1:4" x14ac:dyDescent="0.2">
      <c r="A22" s="58" t="s">
        <v>20</v>
      </c>
      <c r="B22" s="210">
        <v>8379.5916153504022</v>
      </c>
      <c r="C22" s="210">
        <v>1324.9592242147328</v>
      </c>
      <c r="D22" s="210">
        <v>7054.6323911358722</v>
      </c>
    </row>
    <row r="23" spans="1:4" x14ac:dyDescent="0.2">
      <c r="A23" s="232" t="s">
        <v>21</v>
      </c>
      <c r="B23" s="211">
        <v>11748.858048386459</v>
      </c>
      <c r="C23" s="211">
        <v>4149.1755416041215</v>
      </c>
      <c r="D23" s="211">
        <v>7599.6825067826521</v>
      </c>
    </row>
    <row r="24" spans="1:4" x14ac:dyDescent="0.2">
      <c r="A24" s="58" t="s">
        <v>21</v>
      </c>
      <c r="B24" s="210">
        <v>11748.858048386459</v>
      </c>
      <c r="C24" s="210">
        <v>4149.1755416041215</v>
      </c>
      <c r="D24" s="210">
        <v>7599.6825067826521</v>
      </c>
    </row>
    <row r="25" spans="1:4" x14ac:dyDescent="0.2">
      <c r="A25" s="232" t="s">
        <v>22</v>
      </c>
      <c r="B25" s="211">
        <v>19638.052269712887</v>
      </c>
      <c r="C25" s="211">
        <v>5914.3107399724195</v>
      </c>
      <c r="D25" s="211">
        <v>13723.741529740781</v>
      </c>
    </row>
    <row r="26" spans="1:4" x14ac:dyDescent="0.2">
      <c r="A26" s="58" t="s">
        <v>22</v>
      </c>
      <c r="B26" s="210">
        <v>19638.052269712887</v>
      </c>
      <c r="C26" s="210">
        <v>5914.3107399724195</v>
      </c>
      <c r="D26" s="210">
        <v>13723.741529740781</v>
      </c>
    </row>
    <row r="27" spans="1:4" x14ac:dyDescent="0.2">
      <c r="A27" s="232" t="s">
        <v>23</v>
      </c>
      <c r="B27" s="211">
        <v>23416.475564630131</v>
      </c>
      <c r="C27" s="211">
        <v>4355.9696234213279</v>
      </c>
      <c r="D27" s="211">
        <v>19060.505941209118</v>
      </c>
    </row>
    <row r="28" spans="1:4" x14ac:dyDescent="0.2">
      <c r="A28" s="58" t="s">
        <v>23</v>
      </c>
      <c r="B28" s="210">
        <v>11791.693965334309</v>
      </c>
      <c r="C28" s="210">
        <v>2124.0706403799063</v>
      </c>
      <c r="D28" s="210">
        <v>9667.6233249547167</v>
      </c>
    </row>
    <row r="29" spans="1:4" x14ac:dyDescent="0.2">
      <c r="A29" s="58" t="s">
        <v>24</v>
      </c>
      <c r="B29" s="210">
        <v>11624.781599296135</v>
      </c>
      <c r="C29" s="210">
        <v>2231.8989830417354</v>
      </c>
      <c r="D29" s="210">
        <v>9392.8826162547139</v>
      </c>
    </row>
    <row r="30" spans="1:4" x14ac:dyDescent="0.2">
      <c r="A30" s="232" t="s">
        <v>25</v>
      </c>
      <c r="B30" s="211">
        <v>2310.1853140153921</v>
      </c>
      <c r="C30" s="211">
        <v>137.37035435002144</v>
      </c>
      <c r="D30" s="211">
        <v>2172.8149596653907</v>
      </c>
    </row>
    <row r="31" spans="1:4" x14ac:dyDescent="0.2">
      <c r="A31" s="58" t="s">
        <v>25</v>
      </c>
      <c r="B31" s="210">
        <v>2310.1853140153921</v>
      </c>
      <c r="C31" s="210">
        <v>137.37035435002144</v>
      </c>
      <c r="D31" s="210">
        <v>2172.8149596653907</v>
      </c>
    </row>
    <row r="32" spans="1:4" x14ac:dyDescent="0.2">
      <c r="A32" s="232" t="s">
        <v>26</v>
      </c>
      <c r="B32" s="211">
        <v>1218.6079821372959</v>
      </c>
      <c r="C32" s="211">
        <v>75.332129804850453</v>
      </c>
      <c r="D32" s="211">
        <v>1143.2758523324449</v>
      </c>
    </row>
    <row r="33" spans="1:4" x14ac:dyDescent="0.2">
      <c r="A33" s="58" t="s">
        <v>26</v>
      </c>
      <c r="B33" s="210">
        <v>1218.6079821372959</v>
      </c>
      <c r="C33" s="210">
        <v>75.332129804850453</v>
      </c>
      <c r="D33" s="210">
        <v>1143.2758523324449</v>
      </c>
    </row>
    <row r="34" spans="1:4" x14ac:dyDescent="0.2">
      <c r="A34" s="232" t="s">
        <v>27</v>
      </c>
      <c r="B34" s="211">
        <v>5655.8181377009114</v>
      </c>
      <c r="C34" s="211">
        <v>1257.0125973319259</v>
      </c>
      <c r="D34" s="211">
        <v>4398.8055403691778</v>
      </c>
    </row>
    <row r="35" spans="1:4" x14ac:dyDescent="0.2">
      <c r="A35" s="58" t="s">
        <v>27</v>
      </c>
      <c r="B35" s="210">
        <v>5655.8181377009114</v>
      </c>
      <c r="C35" s="210">
        <v>1257.0125973319259</v>
      </c>
      <c r="D35" s="210">
        <v>4398.8055403691778</v>
      </c>
    </row>
    <row r="36" spans="1:4" x14ac:dyDescent="0.2">
      <c r="A36" s="232" t="s">
        <v>28</v>
      </c>
      <c r="B36" s="211">
        <v>12246.640945332163</v>
      </c>
      <c r="C36" s="211">
        <v>2239.2844859637785</v>
      </c>
      <c r="D36" s="211">
        <v>10007.356459368699</v>
      </c>
    </row>
    <row r="37" spans="1:4" x14ac:dyDescent="0.2">
      <c r="A37" s="233" t="s">
        <v>28</v>
      </c>
      <c r="B37" s="210">
        <v>12246.640945332163</v>
      </c>
      <c r="C37" s="210">
        <v>2239.2844859637785</v>
      </c>
      <c r="D37" s="210">
        <v>10007.356459368699</v>
      </c>
    </row>
    <row r="38" spans="1:4" x14ac:dyDescent="0.2">
      <c r="A38" s="232" t="s">
        <v>29</v>
      </c>
      <c r="B38" s="211">
        <v>33499.164153803358</v>
      </c>
      <c r="C38" s="211">
        <v>4850.7983191982148</v>
      </c>
      <c r="D38" s="211">
        <v>28648.365834605454</v>
      </c>
    </row>
    <row r="39" spans="1:4" x14ac:dyDescent="0.2">
      <c r="A39" s="58" t="s">
        <v>30</v>
      </c>
      <c r="B39" s="210">
        <v>21095.950546524193</v>
      </c>
      <c r="C39" s="210">
        <v>2960.1095711551839</v>
      </c>
      <c r="D39" s="210">
        <v>18135.840975369323</v>
      </c>
    </row>
    <row r="40" spans="1:4" x14ac:dyDescent="0.2">
      <c r="A40" s="58" t="s">
        <v>29</v>
      </c>
      <c r="B40" s="210">
        <v>12403.213607279476</v>
      </c>
      <c r="C40" s="210">
        <v>1890.6887480433204</v>
      </c>
      <c r="D40" s="210">
        <v>10512.524859236446</v>
      </c>
    </row>
    <row r="41" spans="1:4" x14ac:dyDescent="0.2">
      <c r="A41" s="232" t="s">
        <v>31</v>
      </c>
      <c r="B41" s="211">
        <v>11872.934497476783</v>
      </c>
      <c r="C41" s="211">
        <v>2806.4911103766876</v>
      </c>
      <c r="D41" s="211">
        <v>9066.4433871004094</v>
      </c>
    </row>
    <row r="42" spans="1:4" x14ac:dyDescent="0.2">
      <c r="A42" s="58" t="s">
        <v>31</v>
      </c>
      <c r="B42" s="210">
        <v>11872.934497476783</v>
      </c>
      <c r="C42" s="210">
        <v>2806.4911103766876</v>
      </c>
      <c r="D42" s="210">
        <v>9066.4433871004094</v>
      </c>
    </row>
    <row r="43" spans="1:4" x14ac:dyDescent="0.2">
      <c r="A43" s="826"/>
      <c r="B43" s="826"/>
      <c r="C43" s="826"/>
      <c r="D43" s="826"/>
    </row>
  </sheetData>
  <mergeCells count="5">
    <mergeCell ref="A1:D1"/>
    <mergeCell ref="A2:A3"/>
    <mergeCell ref="B2:B3"/>
    <mergeCell ref="C2:D2"/>
    <mergeCell ref="A43:D4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44"/>
  <sheetViews>
    <sheetView zoomScale="120" zoomScaleNormal="120" workbookViewId="0">
      <selection activeCell="A2" sqref="A2:A3"/>
    </sheetView>
  </sheetViews>
  <sheetFormatPr defaultRowHeight="12" x14ac:dyDescent="0.2"/>
  <cols>
    <col min="1" max="1" width="17.42578125" style="575" customWidth="1"/>
    <col min="2" max="2" width="12.85546875" style="575" customWidth="1"/>
    <col min="3" max="3" width="12" style="575" customWidth="1"/>
    <col min="4" max="4" width="12.7109375" style="575" customWidth="1"/>
    <col min="5" max="5" width="13.7109375" style="575" customWidth="1"/>
    <col min="6" max="7" width="11.85546875" style="575" customWidth="1"/>
    <col min="8" max="8" width="17.85546875" style="599" customWidth="1"/>
    <col min="9" max="16384" width="9.140625" style="575"/>
  </cols>
  <sheetData>
    <row r="1" spans="1:8" ht="12.75" thickBot="1" x14ac:dyDescent="0.25">
      <c r="A1" s="830" t="s">
        <v>139</v>
      </c>
      <c r="B1" s="830"/>
      <c r="C1" s="830"/>
      <c r="D1" s="830"/>
      <c r="E1" s="830"/>
      <c r="F1" s="830"/>
      <c r="G1" s="830"/>
      <c r="H1" s="598"/>
    </row>
    <row r="2" spans="1:8" ht="15" customHeight="1" x14ac:dyDescent="0.2">
      <c r="A2" s="944" t="str">
        <f>'Q9.6.1'!$A$2</f>
        <v>Área de residência, município e comuna</v>
      </c>
      <c r="B2" s="831" t="s">
        <v>140</v>
      </c>
      <c r="C2" s="833" t="s">
        <v>141</v>
      </c>
      <c r="D2" s="833"/>
      <c r="E2" s="833"/>
      <c r="F2" s="833"/>
      <c r="G2" s="833"/>
      <c r="H2" s="827" t="s">
        <v>554</v>
      </c>
    </row>
    <row r="3" spans="1:8" ht="36.75" customHeight="1" x14ac:dyDescent="0.2">
      <c r="A3" s="943"/>
      <c r="B3" s="832"/>
      <c r="C3" s="493" t="s">
        <v>142</v>
      </c>
      <c r="D3" s="493"/>
      <c r="E3" s="493" t="s">
        <v>143</v>
      </c>
      <c r="F3" s="493"/>
      <c r="G3" s="493" t="s">
        <v>144</v>
      </c>
      <c r="H3" s="828"/>
    </row>
    <row r="4" spans="1:8" x14ac:dyDescent="0.2">
      <c r="A4" s="60" t="s">
        <v>32</v>
      </c>
      <c r="B4" s="42">
        <v>261282.84527673907</v>
      </c>
      <c r="C4" s="42">
        <v>17477.05411472308</v>
      </c>
      <c r="D4" s="42"/>
      <c r="E4" s="42">
        <v>31382.479016345806</v>
      </c>
      <c r="F4" s="42"/>
      <c r="G4" s="42">
        <v>212423.31214518947</v>
      </c>
      <c r="H4" s="600">
        <f>+C4+E4</f>
        <v>48859.533131068885</v>
      </c>
    </row>
    <row r="5" spans="1:8" x14ac:dyDescent="0.2">
      <c r="A5" s="426"/>
      <c r="B5" s="423"/>
      <c r="C5" s="423"/>
      <c r="D5" s="423"/>
      <c r="E5" s="423"/>
      <c r="F5" s="423"/>
      <c r="G5" s="423"/>
      <c r="H5" s="601"/>
    </row>
    <row r="6" spans="1:8" x14ac:dyDescent="0.2">
      <c r="A6" s="60" t="s">
        <v>7</v>
      </c>
      <c r="B6" s="42"/>
      <c r="C6" s="42"/>
      <c r="D6" s="42"/>
      <c r="E6" s="42"/>
      <c r="F6" s="42"/>
      <c r="G6" s="42"/>
      <c r="H6" s="600"/>
    </row>
    <row r="7" spans="1:8" x14ac:dyDescent="0.2">
      <c r="A7" s="61" t="s">
        <v>8</v>
      </c>
      <c r="B7" s="45">
        <v>74088.411112767761</v>
      </c>
      <c r="C7" s="45">
        <v>7447.5411465885645</v>
      </c>
      <c r="D7" s="45"/>
      <c r="E7" s="45">
        <v>23596.681835927982</v>
      </c>
      <c r="F7" s="45"/>
      <c r="G7" s="45">
        <v>43044.188130251845</v>
      </c>
      <c r="H7" s="602">
        <f t="shared" ref="H7:H42" si="0">+C7+E7</f>
        <v>31044.222982516549</v>
      </c>
    </row>
    <row r="8" spans="1:8" x14ac:dyDescent="0.2">
      <c r="A8" s="61" t="s">
        <v>9</v>
      </c>
      <c r="B8" s="45">
        <v>187194.43416324173</v>
      </c>
      <c r="C8" s="45">
        <v>10029.512968134828</v>
      </c>
      <c r="D8" s="45"/>
      <c r="E8" s="45">
        <v>7785.7971804181379</v>
      </c>
      <c r="F8" s="45"/>
      <c r="G8" s="45">
        <v>169379.12401451389</v>
      </c>
      <c r="H8" s="602">
        <f t="shared" si="0"/>
        <v>17815.310148552966</v>
      </c>
    </row>
    <row r="9" spans="1:8" x14ac:dyDescent="0.2">
      <c r="A9" s="62" t="s">
        <v>96</v>
      </c>
      <c r="B9" s="42"/>
      <c r="C9" s="42"/>
      <c r="D9" s="42"/>
      <c r="E9" s="42"/>
      <c r="F9" s="42"/>
      <c r="G9" s="42"/>
      <c r="H9" s="600">
        <f t="shared" si="0"/>
        <v>0</v>
      </c>
    </row>
    <row r="10" spans="1:8" x14ac:dyDescent="0.2">
      <c r="A10" s="63" t="s">
        <v>11</v>
      </c>
      <c r="B10" s="43">
        <v>34100.344091657666</v>
      </c>
      <c r="C10" s="43">
        <v>2010.3338953804368</v>
      </c>
      <c r="D10" s="43"/>
      <c r="E10" s="43">
        <v>4955.6724606912267</v>
      </c>
      <c r="F10" s="43"/>
      <c r="G10" s="43">
        <v>27134.337735586621</v>
      </c>
      <c r="H10" s="603">
        <f t="shared" si="0"/>
        <v>6966.0063560716635</v>
      </c>
    </row>
    <row r="11" spans="1:8" x14ac:dyDescent="0.2">
      <c r="A11" s="341" t="s">
        <v>12</v>
      </c>
      <c r="B11" s="45">
        <v>22028.00101528603</v>
      </c>
      <c r="C11" s="45">
        <v>1389.951649928722</v>
      </c>
      <c r="D11" s="45"/>
      <c r="E11" s="45">
        <v>4614.462225692836</v>
      </c>
      <c r="F11" s="45"/>
      <c r="G11" s="45">
        <v>16023.587139664998</v>
      </c>
      <c r="H11" s="604">
        <f t="shared" si="0"/>
        <v>6004.413875621558</v>
      </c>
    </row>
    <row r="12" spans="1:8" ht="24" x14ac:dyDescent="0.2">
      <c r="A12" s="341" t="s">
        <v>13</v>
      </c>
      <c r="B12" s="45">
        <v>12072.343076371946</v>
      </c>
      <c r="C12" s="45">
        <v>620.38224545171374</v>
      </c>
      <c r="D12" s="45"/>
      <c r="E12" s="45">
        <v>341.21023499844205</v>
      </c>
      <c r="F12" s="45"/>
      <c r="G12" s="45">
        <v>11110.750595921936</v>
      </c>
      <c r="H12" s="604">
        <f t="shared" si="0"/>
        <v>961.59248045015579</v>
      </c>
    </row>
    <row r="13" spans="1:8" x14ac:dyDescent="0.2">
      <c r="A13" s="63" t="s">
        <v>44</v>
      </c>
      <c r="B13" s="43">
        <v>72729.478575111832</v>
      </c>
      <c r="C13" s="43">
        <v>6778.4145818514608</v>
      </c>
      <c r="D13" s="43"/>
      <c r="E13" s="43">
        <v>18468.188606861262</v>
      </c>
      <c r="F13" s="43"/>
      <c r="G13" s="43">
        <v>47482.875386399741</v>
      </c>
      <c r="H13" s="603">
        <f t="shared" si="0"/>
        <v>25246.603188712725</v>
      </c>
    </row>
    <row r="14" spans="1:8" x14ac:dyDescent="0.2">
      <c r="A14" s="341" t="s">
        <v>15</v>
      </c>
      <c r="B14" s="45">
        <v>61466.586618996123</v>
      </c>
      <c r="C14" s="45">
        <v>6135.8758276337121</v>
      </c>
      <c r="D14" s="45"/>
      <c r="E14" s="45">
        <v>17989.60801751287</v>
      </c>
      <c r="F14" s="45"/>
      <c r="G14" s="45">
        <v>37341.102773850173</v>
      </c>
      <c r="H14" s="604">
        <f t="shared" si="0"/>
        <v>24125.483845146584</v>
      </c>
    </row>
    <row r="15" spans="1:8" x14ac:dyDescent="0.2">
      <c r="A15" s="341" t="s">
        <v>16</v>
      </c>
      <c r="B15" s="45">
        <v>11262.891956116024</v>
      </c>
      <c r="C15" s="45">
        <v>642.53875421784642</v>
      </c>
      <c r="D15" s="45"/>
      <c r="E15" s="45">
        <v>478.58058934846463</v>
      </c>
      <c r="F15" s="45"/>
      <c r="G15" s="45">
        <v>10141.772612549883</v>
      </c>
      <c r="H15" s="604">
        <f t="shared" si="0"/>
        <v>1121.119343566311</v>
      </c>
    </row>
    <row r="16" spans="1:8" x14ac:dyDescent="0.2">
      <c r="A16" s="63" t="s">
        <v>17</v>
      </c>
      <c r="B16" s="43">
        <v>6311.6507971783376</v>
      </c>
      <c r="C16" s="43">
        <v>323.48502798553591</v>
      </c>
      <c r="D16" s="43"/>
      <c r="E16" s="43">
        <v>152.14136019410989</v>
      </c>
      <c r="F16" s="43"/>
      <c r="G16" s="43">
        <v>5836.0244089987627</v>
      </c>
      <c r="H16" s="603">
        <f t="shared" si="0"/>
        <v>475.6263881796458</v>
      </c>
    </row>
    <row r="17" spans="1:8" x14ac:dyDescent="0.2">
      <c r="A17" s="341" t="s">
        <v>17</v>
      </c>
      <c r="B17" s="45">
        <v>6311.6507971783376</v>
      </c>
      <c r="C17" s="45">
        <v>323.48502798553591</v>
      </c>
      <c r="D17" s="45"/>
      <c r="E17" s="45">
        <v>152.14136019410989</v>
      </c>
      <c r="F17" s="45"/>
      <c r="G17" s="45">
        <v>5836.0244089987627</v>
      </c>
      <c r="H17" s="604">
        <f t="shared" si="0"/>
        <v>475.6263881796458</v>
      </c>
    </row>
    <row r="18" spans="1:8" x14ac:dyDescent="0.2">
      <c r="A18" s="63" t="s">
        <v>18</v>
      </c>
      <c r="B18" s="43">
        <v>5462.3179611433825</v>
      </c>
      <c r="C18" s="43">
        <v>248.15289818068482</v>
      </c>
      <c r="D18" s="43"/>
      <c r="E18" s="43">
        <v>197.93147831078409</v>
      </c>
      <c r="F18" s="43"/>
      <c r="G18" s="43">
        <v>5016.23358465198</v>
      </c>
      <c r="H18" s="603">
        <f t="shared" si="0"/>
        <v>446.0843764914689</v>
      </c>
    </row>
    <row r="19" spans="1:8" x14ac:dyDescent="0.2">
      <c r="A19" s="341" t="s">
        <v>18</v>
      </c>
      <c r="B19" s="45">
        <v>5462.3179611433825</v>
      </c>
      <c r="C19" s="45">
        <v>248.15289818068482</v>
      </c>
      <c r="D19" s="45"/>
      <c r="E19" s="45">
        <v>197.93147831078409</v>
      </c>
      <c r="F19" s="45"/>
      <c r="G19" s="45">
        <v>5016.23358465198</v>
      </c>
      <c r="H19" s="604">
        <f t="shared" si="0"/>
        <v>446.0843764914689</v>
      </c>
    </row>
    <row r="20" spans="1:8" x14ac:dyDescent="0.2">
      <c r="A20" s="63" t="s">
        <v>19</v>
      </c>
      <c r="B20" s="43">
        <v>21072.316937173655</v>
      </c>
      <c r="C20" s="43">
        <v>809.4511202560459</v>
      </c>
      <c r="D20" s="43"/>
      <c r="E20" s="43">
        <v>1165.4323610985775</v>
      </c>
      <c r="F20" s="43"/>
      <c r="G20" s="43">
        <v>19097.433455819333</v>
      </c>
      <c r="H20" s="603">
        <f t="shared" si="0"/>
        <v>1974.8834813546234</v>
      </c>
    </row>
    <row r="21" spans="1:8" x14ac:dyDescent="0.2">
      <c r="A21" s="341" t="s">
        <v>19</v>
      </c>
      <c r="B21" s="45">
        <v>12692.725321823566</v>
      </c>
      <c r="C21" s="45">
        <v>564.25242324417763</v>
      </c>
      <c r="D21" s="45"/>
      <c r="E21" s="45">
        <v>999.9970956447869</v>
      </c>
      <c r="F21" s="45"/>
      <c r="G21" s="45">
        <v>11128.47580293484</v>
      </c>
      <c r="H21" s="604">
        <f t="shared" si="0"/>
        <v>1564.2495188889645</v>
      </c>
    </row>
    <row r="22" spans="1:8" x14ac:dyDescent="0.2">
      <c r="A22" s="341" t="s">
        <v>20</v>
      </c>
      <c r="B22" s="45">
        <v>8379.5916153504022</v>
      </c>
      <c r="C22" s="45">
        <v>245.19869701186713</v>
      </c>
      <c r="D22" s="45"/>
      <c r="E22" s="45">
        <v>165.4352654537895</v>
      </c>
      <c r="F22" s="45"/>
      <c r="G22" s="45">
        <v>7968.9576528848065</v>
      </c>
      <c r="H22" s="604">
        <f t="shared" si="0"/>
        <v>410.63396246565662</v>
      </c>
    </row>
    <row r="23" spans="1:8" x14ac:dyDescent="0.2">
      <c r="A23" s="63" t="s">
        <v>21</v>
      </c>
      <c r="B23" s="43">
        <v>11748.858048386459</v>
      </c>
      <c r="C23" s="43">
        <v>478.58058934846463</v>
      </c>
      <c r="D23" s="43"/>
      <c r="E23" s="43">
        <v>285.08041279090594</v>
      </c>
      <c r="F23" s="43"/>
      <c r="G23" s="43">
        <v>10985.197046247204</v>
      </c>
      <c r="H23" s="603">
        <f t="shared" si="0"/>
        <v>763.66100213937057</v>
      </c>
    </row>
    <row r="24" spans="1:8" x14ac:dyDescent="0.2">
      <c r="A24" s="341" t="s">
        <v>21</v>
      </c>
      <c r="B24" s="45">
        <v>11748.858048386459</v>
      </c>
      <c r="C24" s="45">
        <v>478.58058934846463</v>
      </c>
      <c r="D24" s="45"/>
      <c r="E24" s="45">
        <v>285.08041279090594</v>
      </c>
      <c r="F24" s="45"/>
      <c r="G24" s="45">
        <v>10985.197046247204</v>
      </c>
      <c r="H24" s="604">
        <f t="shared" si="0"/>
        <v>763.66100213937057</v>
      </c>
    </row>
    <row r="25" spans="1:8" x14ac:dyDescent="0.2">
      <c r="A25" s="63" t="s">
        <v>22</v>
      </c>
      <c r="B25" s="43">
        <v>19638.052269712887</v>
      </c>
      <c r="C25" s="43">
        <v>1171.3407634362129</v>
      </c>
      <c r="D25" s="43"/>
      <c r="E25" s="43">
        <v>1506.6425960970207</v>
      </c>
      <c r="F25" s="43"/>
      <c r="G25" s="43">
        <v>16960.068910180064</v>
      </c>
      <c r="H25" s="603">
        <f t="shared" si="0"/>
        <v>2677.9833595332339</v>
      </c>
    </row>
    <row r="26" spans="1:8" x14ac:dyDescent="0.2">
      <c r="A26" s="341" t="s">
        <v>22</v>
      </c>
      <c r="B26" s="45">
        <v>19638.052269712887</v>
      </c>
      <c r="C26" s="45">
        <v>1171.3407634362129</v>
      </c>
      <c r="D26" s="45"/>
      <c r="E26" s="45">
        <v>1506.6425960970207</v>
      </c>
      <c r="F26" s="45"/>
      <c r="G26" s="45">
        <v>16960.068910180064</v>
      </c>
      <c r="H26" s="604">
        <f t="shared" si="0"/>
        <v>2677.9833595332339</v>
      </c>
    </row>
    <row r="27" spans="1:8" x14ac:dyDescent="0.2">
      <c r="A27" s="63" t="s">
        <v>23</v>
      </c>
      <c r="B27" s="43">
        <v>23416.475564630131</v>
      </c>
      <c r="C27" s="43">
        <v>1901.0284521341823</v>
      </c>
      <c r="D27" s="43"/>
      <c r="E27" s="43">
        <v>1295.4172125265559</v>
      </c>
      <c r="F27" s="43"/>
      <c r="G27" s="43">
        <v>20220.029899969883</v>
      </c>
      <c r="H27" s="603">
        <f t="shared" si="0"/>
        <v>3196.4456646607382</v>
      </c>
    </row>
    <row r="28" spans="1:8" x14ac:dyDescent="0.2">
      <c r="A28" s="341" t="s">
        <v>23</v>
      </c>
      <c r="B28" s="45">
        <v>11791.693965334309</v>
      </c>
      <c r="C28" s="45">
        <v>979.31768746306307</v>
      </c>
      <c r="D28" s="45"/>
      <c r="E28" s="45">
        <v>565.72952382858648</v>
      </c>
      <c r="F28" s="45"/>
      <c r="G28" s="45">
        <v>10246.646754042895</v>
      </c>
      <c r="H28" s="604">
        <f t="shared" si="0"/>
        <v>1545.0472112916495</v>
      </c>
    </row>
    <row r="29" spans="1:8" x14ac:dyDescent="0.2">
      <c r="A29" s="341" t="s">
        <v>24</v>
      </c>
      <c r="B29" s="45">
        <v>11624.781599296135</v>
      </c>
      <c r="C29" s="45">
        <v>921.71076467111811</v>
      </c>
      <c r="D29" s="45"/>
      <c r="E29" s="45">
        <v>729.68768869796827</v>
      </c>
      <c r="F29" s="45"/>
      <c r="G29" s="45">
        <v>9973.3831459273006</v>
      </c>
      <c r="H29" s="604">
        <f t="shared" si="0"/>
        <v>1651.3984533690864</v>
      </c>
    </row>
    <row r="30" spans="1:8" x14ac:dyDescent="0.2">
      <c r="A30" s="63" t="s">
        <v>25</v>
      </c>
      <c r="B30" s="43">
        <v>2310.1853140153921</v>
      </c>
      <c r="C30" s="43">
        <v>116.69094616829771</v>
      </c>
      <c r="D30" s="43"/>
      <c r="E30" s="43">
        <v>26.587810519359017</v>
      </c>
      <c r="F30" s="43"/>
      <c r="G30" s="43">
        <v>2166.9065573277562</v>
      </c>
      <c r="H30" s="603">
        <f t="shared" si="0"/>
        <v>143.27875668765674</v>
      </c>
    </row>
    <row r="31" spans="1:8" x14ac:dyDescent="0.2">
      <c r="A31" s="341" t="s">
        <v>25</v>
      </c>
      <c r="B31" s="45">
        <v>2310.1853140153921</v>
      </c>
      <c r="C31" s="45">
        <v>116.69094616829771</v>
      </c>
      <c r="D31" s="45"/>
      <c r="E31" s="45">
        <v>26.587810519359017</v>
      </c>
      <c r="F31" s="45"/>
      <c r="G31" s="45">
        <v>2166.9065573277562</v>
      </c>
      <c r="H31" s="604">
        <f t="shared" si="0"/>
        <v>143.27875668765674</v>
      </c>
    </row>
    <row r="32" spans="1:8" x14ac:dyDescent="0.2">
      <c r="A32" s="63" t="s">
        <v>26</v>
      </c>
      <c r="B32" s="43">
        <v>1218.6079821372959</v>
      </c>
      <c r="C32" s="43">
        <v>60.561123960762146</v>
      </c>
      <c r="D32" s="43"/>
      <c r="E32" s="43">
        <v>26.587810519359017</v>
      </c>
      <c r="F32" s="43"/>
      <c r="G32" s="43">
        <v>1131.4590476571741</v>
      </c>
      <c r="H32" s="603">
        <f t="shared" si="0"/>
        <v>87.14893448012117</v>
      </c>
    </row>
    <row r="33" spans="1:9" x14ac:dyDescent="0.2">
      <c r="A33" s="341" t="s">
        <v>26</v>
      </c>
      <c r="B33" s="45">
        <v>1218.6079821372959</v>
      </c>
      <c r="C33" s="45">
        <v>60.561123960762146</v>
      </c>
      <c r="D33" s="45"/>
      <c r="E33" s="45">
        <v>26.587810519359017</v>
      </c>
      <c r="F33" s="45"/>
      <c r="G33" s="45">
        <v>1131.4590476571741</v>
      </c>
      <c r="H33" s="604">
        <f t="shared" si="0"/>
        <v>87.14893448012117</v>
      </c>
    </row>
    <row r="34" spans="1:9" x14ac:dyDescent="0.2">
      <c r="A34" s="63" t="s">
        <v>27</v>
      </c>
      <c r="B34" s="43">
        <v>5655.8181377009114</v>
      </c>
      <c r="C34" s="43">
        <v>360.41254259575703</v>
      </c>
      <c r="D34" s="43"/>
      <c r="E34" s="43">
        <v>217.13378590809907</v>
      </c>
      <c r="F34" s="43"/>
      <c r="G34" s="43">
        <v>5078.2718091971419</v>
      </c>
      <c r="H34" s="603">
        <f t="shared" si="0"/>
        <v>577.5463285038561</v>
      </c>
    </row>
    <row r="35" spans="1:9" x14ac:dyDescent="0.2">
      <c r="A35" s="341" t="s">
        <v>27</v>
      </c>
      <c r="B35" s="45">
        <v>5655.8181377009114</v>
      </c>
      <c r="C35" s="45">
        <v>360.41254259575703</v>
      </c>
      <c r="D35" s="45"/>
      <c r="E35" s="45">
        <v>217.13378590809907</v>
      </c>
      <c r="F35" s="45"/>
      <c r="G35" s="45">
        <v>5078.2718091971419</v>
      </c>
      <c r="H35" s="604">
        <f t="shared" si="0"/>
        <v>577.5463285038561</v>
      </c>
    </row>
    <row r="36" spans="1:9" x14ac:dyDescent="0.2">
      <c r="A36" s="63" t="s">
        <v>28</v>
      </c>
      <c r="B36" s="43">
        <v>12246.640945332163</v>
      </c>
      <c r="C36" s="43">
        <v>583.45473084149262</v>
      </c>
      <c r="D36" s="43"/>
      <c r="E36" s="43">
        <v>494.82869577696192</v>
      </c>
      <c r="F36" s="43"/>
      <c r="G36" s="43">
        <v>11168.357518713872</v>
      </c>
      <c r="H36" s="603">
        <f t="shared" si="0"/>
        <v>1078.2834266184545</v>
      </c>
    </row>
    <row r="37" spans="1:9" x14ac:dyDescent="0.2">
      <c r="A37" s="341" t="s">
        <v>28</v>
      </c>
      <c r="B37" s="45">
        <v>12246.640945332163</v>
      </c>
      <c r="C37" s="45">
        <v>583.45473084149262</v>
      </c>
      <c r="D37" s="45"/>
      <c r="E37" s="45">
        <v>494.82869577696192</v>
      </c>
      <c r="F37" s="45"/>
      <c r="G37" s="45">
        <v>11168.357518713872</v>
      </c>
      <c r="H37" s="604">
        <f t="shared" si="0"/>
        <v>1078.2834266184545</v>
      </c>
    </row>
    <row r="38" spans="1:9" x14ac:dyDescent="0.2">
      <c r="A38" s="63" t="s">
        <v>29</v>
      </c>
      <c r="B38" s="43">
        <v>33499.164153803358</v>
      </c>
      <c r="C38" s="43">
        <v>1686.8488673948998</v>
      </c>
      <c r="D38" s="43"/>
      <c r="E38" s="43">
        <v>1548.0014124604684</v>
      </c>
      <c r="F38" s="43"/>
      <c r="G38" s="43">
        <v>30264.313873948482</v>
      </c>
      <c r="H38" s="603">
        <f t="shared" si="0"/>
        <v>3234.8502798553682</v>
      </c>
    </row>
    <row r="39" spans="1:9" x14ac:dyDescent="0.2">
      <c r="A39" s="341" t="s">
        <v>30</v>
      </c>
      <c r="B39" s="45">
        <v>21095.950546524193</v>
      </c>
      <c r="C39" s="45">
        <v>843.42443369744933</v>
      </c>
      <c r="D39" s="45"/>
      <c r="E39" s="45">
        <v>726.73348752915058</v>
      </c>
      <c r="F39" s="45"/>
      <c r="G39" s="45">
        <v>19525.792625297832</v>
      </c>
      <c r="H39" s="604">
        <f t="shared" si="0"/>
        <v>1570.1579212265999</v>
      </c>
    </row>
    <row r="40" spans="1:9" x14ac:dyDescent="0.2">
      <c r="A40" s="341" t="s">
        <v>29</v>
      </c>
      <c r="B40" s="45">
        <v>12403.213607279476</v>
      </c>
      <c r="C40" s="45">
        <v>843.42443369744933</v>
      </c>
      <c r="D40" s="45"/>
      <c r="E40" s="45">
        <v>821.26792493131666</v>
      </c>
      <c r="F40" s="45"/>
      <c r="G40" s="45">
        <v>10738.521248650964</v>
      </c>
      <c r="H40" s="604">
        <f t="shared" si="0"/>
        <v>1664.692358628766</v>
      </c>
    </row>
    <row r="41" spans="1:9" x14ac:dyDescent="0.2">
      <c r="A41" s="63" t="s">
        <v>31</v>
      </c>
      <c r="B41" s="43">
        <v>11872.934497476783</v>
      </c>
      <c r="C41" s="43">
        <v>948.29857519047732</v>
      </c>
      <c r="D41" s="43"/>
      <c r="E41" s="43">
        <v>1042.8330125926434</v>
      </c>
      <c r="F41" s="43"/>
      <c r="G41" s="43">
        <v>9881.8029096939663</v>
      </c>
      <c r="H41" s="603">
        <f t="shared" si="0"/>
        <v>1991.1315877831207</v>
      </c>
    </row>
    <row r="42" spans="1:9" x14ac:dyDescent="0.2">
      <c r="A42" s="341" t="s">
        <v>31</v>
      </c>
      <c r="B42" s="45">
        <v>11872.934497476783</v>
      </c>
      <c r="C42" s="45">
        <v>948.29857519047732</v>
      </c>
      <c r="D42" s="45"/>
      <c r="E42" s="45">
        <v>1042.8330125926434</v>
      </c>
      <c r="F42" s="45"/>
      <c r="G42" s="45">
        <v>9881.8029096939663</v>
      </c>
      <c r="H42" s="604">
        <f t="shared" si="0"/>
        <v>1991.1315877831207</v>
      </c>
    </row>
    <row r="43" spans="1:9" x14ac:dyDescent="0.2">
      <c r="A43" s="829"/>
      <c r="B43" s="829"/>
      <c r="C43" s="829"/>
      <c r="D43" s="829"/>
      <c r="E43" s="829"/>
      <c r="F43" s="829"/>
      <c r="G43" s="829"/>
      <c r="H43" s="421"/>
      <c r="I43" s="328"/>
    </row>
    <row r="44" spans="1:9" x14ac:dyDescent="0.2">
      <c r="A44" s="328"/>
      <c r="B44" s="328"/>
      <c r="C44" s="328"/>
      <c r="D44" s="328"/>
      <c r="E44" s="328"/>
      <c r="F44" s="328"/>
      <c r="G44" s="328"/>
      <c r="H44" s="333"/>
      <c r="I44" s="328"/>
    </row>
  </sheetData>
  <mergeCells count="6">
    <mergeCell ref="H2:H3"/>
    <mergeCell ref="A43:G43"/>
    <mergeCell ref="A1:G1"/>
    <mergeCell ref="A2:A3"/>
    <mergeCell ref="B2:B3"/>
    <mergeCell ref="C2:G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3"/>
  <sheetViews>
    <sheetView zoomScale="120" zoomScaleNormal="120" workbookViewId="0">
      <selection activeCell="A3" sqref="A3:A4"/>
    </sheetView>
  </sheetViews>
  <sheetFormatPr defaultRowHeight="12" x14ac:dyDescent="0.2"/>
  <cols>
    <col min="1" max="1" width="17.5703125" style="559" customWidth="1"/>
    <col min="2" max="2" width="13.5703125" style="559" customWidth="1"/>
    <col min="3" max="3" width="12.7109375" style="559" customWidth="1"/>
    <col min="4" max="4" width="12.42578125" style="559" customWidth="1"/>
    <col min="5" max="16384" width="9.140625" style="559"/>
  </cols>
  <sheetData>
    <row r="1" spans="1:4" x14ac:dyDescent="0.2">
      <c r="A1" s="330"/>
      <c r="B1" s="330"/>
      <c r="C1" s="330"/>
      <c r="D1" s="330"/>
    </row>
    <row r="2" spans="1:4" ht="24" customHeight="1" thickBot="1" x14ac:dyDescent="0.25">
      <c r="A2" s="834" t="s">
        <v>145</v>
      </c>
      <c r="B2" s="834"/>
      <c r="C2" s="834"/>
      <c r="D2" s="834"/>
    </row>
    <row r="3" spans="1:4" ht="36" customHeight="1" x14ac:dyDescent="0.2">
      <c r="A3" s="944" t="str">
        <f>'Q9.6.1'!$A$2</f>
        <v>Área de residência, município e comuna</v>
      </c>
      <c r="B3" s="835" t="s">
        <v>84</v>
      </c>
      <c r="C3" s="835" t="s">
        <v>146</v>
      </c>
      <c r="D3" s="835"/>
    </row>
    <row r="4" spans="1:4" x14ac:dyDescent="0.2">
      <c r="A4" s="943"/>
      <c r="B4" s="836"/>
      <c r="C4" s="605" t="s">
        <v>147</v>
      </c>
      <c r="D4" s="605" t="s">
        <v>137</v>
      </c>
    </row>
    <row r="5" spans="1:4" x14ac:dyDescent="0.2">
      <c r="A5" s="606" t="s">
        <v>32</v>
      </c>
      <c r="B5" s="588">
        <v>261282.84527673907</v>
      </c>
      <c r="C5" s="588">
        <v>221838.35127030275</v>
      </c>
      <c r="D5" s="588">
        <v>39444.494006048044</v>
      </c>
    </row>
    <row r="6" spans="1:4" x14ac:dyDescent="0.2">
      <c r="A6" s="607" t="s">
        <v>7</v>
      </c>
      <c r="B6" s="533"/>
      <c r="C6" s="533"/>
      <c r="D6" s="533"/>
    </row>
    <row r="7" spans="1:4" x14ac:dyDescent="0.2">
      <c r="A7" s="608" t="s">
        <v>8</v>
      </c>
      <c r="B7" s="534">
        <v>74088.411112767761</v>
      </c>
      <c r="C7" s="534">
        <v>65541.907131379499</v>
      </c>
      <c r="D7" s="534">
        <v>8546.503981388576</v>
      </c>
    </row>
    <row r="8" spans="1:4" x14ac:dyDescent="0.2">
      <c r="A8" s="608" t="s">
        <v>9</v>
      </c>
      <c r="B8" s="534">
        <v>187194.43416324173</v>
      </c>
      <c r="C8" s="534">
        <v>156296.44413827788</v>
      </c>
      <c r="D8" s="534">
        <v>30897.990024659779</v>
      </c>
    </row>
    <row r="9" spans="1:4" x14ac:dyDescent="0.2">
      <c r="A9" s="606" t="s">
        <v>96</v>
      </c>
      <c r="B9" s="588"/>
      <c r="C9" s="588"/>
      <c r="D9" s="588"/>
    </row>
    <row r="10" spans="1:4" x14ac:dyDescent="0.2">
      <c r="A10" s="654" t="s">
        <v>11</v>
      </c>
      <c r="B10" s="533">
        <v>34100.344091657666</v>
      </c>
      <c r="C10" s="533">
        <v>29906.855532521597</v>
      </c>
      <c r="D10" s="533">
        <v>4193.48855913638</v>
      </c>
    </row>
    <row r="11" spans="1:4" x14ac:dyDescent="0.2">
      <c r="A11" s="608" t="s">
        <v>12</v>
      </c>
      <c r="B11" s="534">
        <v>22028.00101528603</v>
      </c>
      <c r="C11" s="534">
        <v>19360.357359844067</v>
      </c>
      <c r="D11" s="534">
        <v>2667.6436554422776</v>
      </c>
    </row>
    <row r="12" spans="1:4" x14ac:dyDescent="0.2">
      <c r="A12" s="608" t="s">
        <v>13</v>
      </c>
      <c r="B12" s="534">
        <v>12072.343076371946</v>
      </c>
      <c r="C12" s="534">
        <v>10546.498172677844</v>
      </c>
      <c r="D12" s="534">
        <v>1525.8449036943357</v>
      </c>
    </row>
    <row r="13" spans="1:4" x14ac:dyDescent="0.2">
      <c r="A13" s="654" t="s">
        <v>44</v>
      </c>
      <c r="B13" s="533">
        <v>72729.478575111832</v>
      </c>
      <c r="C13" s="533">
        <v>63426.699094506359</v>
      </c>
      <c r="D13" s="533">
        <v>9302.7794806057882</v>
      </c>
    </row>
    <row r="14" spans="1:4" x14ac:dyDescent="0.2">
      <c r="A14" s="608" t="s">
        <v>15</v>
      </c>
      <c r="B14" s="534">
        <v>61466.586618996123</v>
      </c>
      <c r="C14" s="534">
        <v>54487.286357665405</v>
      </c>
      <c r="D14" s="534">
        <v>6979.3002613310327</v>
      </c>
    </row>
    <row r="15" spans="1:4" x14ac:dyDescent="0.2">
      <c r="A15" s="608" t="s">
        <v>16</v>
      </c>
      <c r="B15" s="534">
        <v>11262.891956116024</v>
      </c>
      <c r="C15" s="534">
        <v>8939.4127368412683</v>
      </c>
      <c r="D15" s="534">
        <v>2323.4792192750697</v>
      </c>
    </row>
    <row r="16" spans="1:4" x14ac:dyDescent="0.2">
      <c r="A16" s="654" t="s">
        <v>17</v>
      </c>
      <c r="B16" s="533">
        <v>6311.6507971783376</v>
      </c>
      <c r="C16" s="533">
        <v>5573.1005049740288</v>
      </c>
      <c r="D16" s="533">
        <v>738.55029220442134</v>
      </c>
    </row>
    <row r="17" spans="1:11" x14ac:dyDescent="0.2">
      <c r="A17" s="608" t="s">
        <v>17</v>
      </c>
      <c r="B17" s="534">
        <v>6311.6507971783376</v>
      </c>
      <c r="C17" s="534">
        <v>5573.1005049740288</v>
      </c>
      <c r="D17" s="534">
        <v>738.55029220442134</v>
      </c>
    </row>
    <row r="18" spans="1:11" x14ac:dyDescent="0.2">
      <c r="A18" s="608" t="s">
        <v>18</v>
      </c>
      <c r="B18" s="534">
        <v>5462.3179611433825</v>
      </c>
      <c r="C18" s="534">
        <v>4648.4355391342342</v>
      </c>
      <c r="D18" s="534">
        <v>813.88242200927243</v>
      </c>
    </row>
    <row r="19" spans="1:11" x14ac:dyDescent="0.2">
      <c r="A19" s="608" t="s">
        <v>18</v>
      </c>
      <c r="B19" s="534">
        <v>5462.3179611433825</v>
      </c>
      <c r="C19" s="534">
        <v>4648.4355391342342</v>
      </c>
      <c r="D19" s="534">
        <v>813.88242200927243</v>
      </c>
    </row>
    <row r="20" spans="1:11" x14ac:dyDescent="0.2">
      <c r="A20" s="654" t="s">
        <v>19</v>
      </c>
      <c r="B20" s="533">
        <v>21072.316937173655</v>
      </c>
      <c r="C20" s="533">
        <v>18697.139197444598</v>
      </c>
      <c r="D20" s="533">
        <v>2375.1777397293713</v>
      </c>
      <c r="K20" s="652"/>
    </row>
    <row r="21" spans="1:11" x14ac:dyDescent="0.2">
      <c r="A21" s="608" t="s">
        <v>19</v>
      </c>
      <c r="B21" s="534">
        <v>12692.725321823566</v>
      </c>
      <c r="C21" s="534">
        <v>11416.51041689452</v>
      </c>
      <c r="D21" s="534">
        <v>1276.2149049292409</v>
      </c>
    </row>
    <row r="22" spans="1:11" x14ac:dyDescent="0.2">
      <c r="A22" s="608" t="s">
        <v>20</v>
      </c>
      <c r="B22" s="534">
        <v>8379.5916153504022</v>
      </c>
      <c r="C22" s="534">
        <v>7280.6287805503907</v>
      </c>
      <c r="D22" s="534">
        <v>1098.9628348001795</v>
      </c>
    </row>
    <row r="23" spans="1:11" x14ac:dyDescent="0.2">
      <c r="A23" s="654" t="s">
        <v>21</v>
      </c>
      <c r="B23" s="533">
        <v>11748.858048386459</v>
      </c>
      <c r="C23" s="533">
        <v>10484.459948132682</v>
      </c>
      <c r="D23" s="533">
        <v>1264.3981002539701</v>
      </c>
    </row>
    <row r="24" spans="1:11" x14ac:dyDescent="0.2">
      <c r="A24" s="608" t="s">
        <v>21</v>
      </c>
      <c r="B24" s="534">
        <v>11748.858048386459</v>
      </c>
      <c r="C24" s="534">
        <v>10484.459948132682</v>
      </c>
      <c r="D24" s="534">
        <v>1264.3981002539701</v>
      </c>
    </row>
    <row r="25" spans="1:11" x14ac:dyDescent="0.2">
      <c r="A25" s="654" t="s">
        <v>22</v>
      </c>
      <c r="B25" s="533">
        <v>19638.052269712887</v>
      </c>
      <c r="C25" s="533">
        <v>15940.869506938116</v>
      </c>
      <c r="D25" s="533">
        <v>3697.182762775084</v>
      </c>
    </row>
    <row r="26" spans="1:11" x14ac:dyDescent="0.2">
      <c r="A26" s="608" t="s">
        <v>22</v>
      </c>
      <c r="B26" s="534">
        <v>19638.052269712887</v>
      </c>
      <c r="C26" s="534">
        <v>15940.869506938116</v>
      </c>
      <c r="D26" s="534">
        <v>3697.182762775084</v>
      </c>
    </row>
    <row r="27" spans="1:11" x14ac:dyDescent="0.2">
      <c r="A27" s="654" t="s">
        <v>23</v>
      </c>
      <c r="B27" s="533">
        <v>23416.475564630131</v>
      </c>
      <c r="C27" s="533">
        <v>18518.410026731155</v>
      </c>
      <c r="D27" s="533">
        <v>4898.0655378992906</v>
      </c>
    </row>
    <row r="28" spans="1:11" x14ac:dyDescent="0.2">
      <c r="A28" s="608" t="s">
        <v>23</v>
      </c>
      <c r="B28" s="534">
        <v>11791.693965334309</v>
      </c>
      <c r="C28" s="534">
        <v>9259.9435636579383</v>
      </c>
      <c r="D28" s="534">
        <v>2531.7504016766848</v>
      </c>
    </row>
    <row r="29" spans="1:11" x14ac:dyDescent="0.2">
      <c r="A29" s="608" t="s">
        <v>24</v>
      </c>
      <c r="B29" s="534">
        <v>11624.781599296135</v>
      </c>
      <c r="C29" s="534">
        <v>9258.4664630735297</v>
      </c>
      <c r="D29" s="534">
        <v>2366.3151362229196</v>
      </c>
    </row>
    <row r="30" spans="1:11" x14ac:dyDescent="0.2">
      <c r="A30" s="654" t="s">
        <v>25</v>
      </c>
      <c r="B30" s="533">
        <v>2310.1853140153921</v>
      </c>
      <c r="C30" s="533">
        <v>2118.1622380422718</v>
      </c>
      <c r="D30" s="533">
        <v>192.02307597314871</v>
      </c>
    </row>
    <row r="31" spans="1:11" x14ac:dyDescent="0.2">
      <c r="A31" s="608" t="s">
        <v>25</v>
      </c>
      <c r="B31" s="534">
        <v>2310.1853140153921</v>
      </c>
      <c r="C31" s="534">
        <v>2118.1622380422718</v>
      </c>
      <c r="D31" s="534">
        <v>192.02307597314871</v>
      </c>
    </row>
    <row r="32" spans="1:11" x14ac:dyDescent="0.2">
      <c r="A32" s="654" t="s">
        <v>26</v>
      </c>
      <c r="B32" s="533">
        <v>1218.6079821372959</v>
      </c>
      <c r="C32" s="533">
        <v>1138.8445505792183</v>
      </c>
      <c r="D32" s="533">
        <v>79.763431558076945</v>
      </c>
    </row>
    <row r="33" spans="1:4" x14ac:dyDescent="0.2">
      <c r="A33" s="608" t="s">
        <v>26</v>
      </c>
      <c r="B33" s="534">
        <v>1218.6079821372959</v>
      </c>
      <c r="C33" s="534">
        <v>1138.8445505792183</v>
      </c>
      <c r="D33" s="534">
        <v>79.763431558076945</v>
      </c>
    </row>
    <row r="34" spans="1:4" x14ac:dyDescent="0.2">
      <c r="A34" s="654" t="s">
        <v>27</v>
      </c>
      <c r="B34" s="533">
        <v>5655.8181377009114</v>
      </c>
      <c r="C34" s="533">
        <v>4512.5422853686414</v>
      </c>
      <c r="D34" s="533">
        <v>1143.2758523324449</v>
      </c>
    </row>
    <row r="35" spans="1:4" x14ac:dyDescent="0.2">
      <c r="A35" s="608" t="s">
        <v>27</v>
      </c>
      <c r="B35" s="534">
        <v>5655.8181377009114</v>
      </c>
      <c r="C35" s="534">
        <v>4512.5422853686414</v>
      </c>
      <c r="D35" s="534">
        <v>1143.2758523324449</v>
      </c>
    </row>
    <row r="36" spans="1:4" x14ac:dyDescent="0.2">
      <c r="A36" s="654" t="s">
        <v>28</v>
      </c>
      <c r="B36" s="533">
        <v>12246.640945332163</v>
      </c>
      <c r="C36" s="533">
        <v>9289.4855753461106</v>
      </c>
      <c r="D36" s="533">
        <v>2957.1553699863666</v>
      </c>
    </row>
    <row r="37" spans="1:4" x14ac:dyDescent="0.2">
      <c r="A37" s="608" t="s">
        <v>28</v>
      </c>
      <c r="B37" s="534">
        <v>12246.640945332163</v>
      </c>
      <c r="C37" s="534">
        <v>9289.4855753461106</v>
      </c>
      <c r="D37" s="534">
        <v>2957.1553699863666</v>
      </c>
    </row>
    <row r="38" spans="1:4" x14ac:dyDescent="0.2">
      <c r="A38" s="654" t="s">
        <v>29</v>
      </c>
      <c r="B38" s="533">
        <v>33499.164153803358</v>
      </c>
      <c r="C38" s="533">
        <v>27601.101520259745</v>
      </c>
      <c r="D38" s="533">
        <v>5898.0626335439247</v>
      </c>
    </row>
    <row r="39" spans="1:4" x14ac:dyDescent="0.2">
      <c r="A39" s="608" t="s">
        <v>30</v>
      </c>
      <c r="B39" s="534">
        <v>21095.950546524193</v>
      </c>
      <c r="C39" s="534">
        <v>17478.531215307488</v>
      </c>
      <c r="D39" s="534">
        <v>3617.4193312170187</v>
      </c>
    </row>
    <row r="40" spans="1:4" x14ac:dyDescent="0.2">
      <c r="A40" s="608" t="s">
        <v>29</v>
      </c>
      <c r="B40" s="534">
        <v>12403.213607279476</v>
      </c>
      <c r="C40" s="534">
        <v>10122.570304952571</v>
      </c>
      <c r="D40" s="534">
        <v>2280.6433023272198</v>
      </c>
    </row>
    <row r="41" spans="1:4" x14ac:dyDescent="0.2">
      <c r="A41" s="654" t="s">
        <v>31</v>
      </c>
      <c r="B41" s="533">
        <v>11872.934497476783</v>
      </c>
      <c r="C41" s="533">
        <v>9982.2457494337523</v>
      </c>
      <c r="D41" s="533">
        <v>1890.6887480433204</v>
      </c>
    </row>
    <row r="42" spans="1:4" x14ac:dyDescent="0.2">
      <c r="A42" s="608" t="s">
        <v>31</v>
      </c>
      <c r="B42" s="534">
        <v>11872.934497476783</v>
      </c>
      <c r="C42" s="534">
        <v>9982.2457494337523</v>
      </c>
      <c r="D42" s="534">
        <v>1890.6887480433204</v>
      </c>
    </row>
    <row r="43" spans="1:4" x14ac:dyDescent="0.2">
      <c r="A43" s="837"/>
      <c r="B43" s="837"/>
      <c r="C43" s="837"/>
      <c r="D43" s="837"/>
    </row>
  </sheetData>
  <mergeCells count="5">
    <mergeCell ref="A2:D2"/>
    <mergeCell ref="A3:A4"/>
    <mergeCell ref="B3:B4"/>
    <mergeCell ref="C3:D3"/>
    <mergeCell ref="A43:D4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45"/>
  <sheetViews>
    <sheetView zoomScale="120" zoomScaleNormal="120" workbookViewId="0">
      <selection activeCell="A2" sqref="A2:A3"/>
    </sheetView>
  </sheetViews>
  <sheetFormatPr defaultRowHeight="12" x14ac:dyDescent="0.2"/>
  <cols>
    <col min="1" max="1" width="18.28515625" style="575" customWidth="1"/>
    <col min="2" max="4" width="9.140625" style="575"/>
    <col min="5" max="5" width="12.7109375" style="575" customWidth="1"/>
    <col min="6" max="6" width="10.7109375" style="575" customWidth="1"/>
    <col min="7" max="7" width="10.28515625" style="575" customWidth="1"/>
    <col min="8" max="8" width="10.7109375" style="575" customWidth="1"/>
    <col min="9" max="9" width="11.42578125" style="575" customWidth="1"/>
    <col min="10" max="10" width="10.42578125" style="575" customWidth="1"/>
    <col min="11" max="11" width="11.42578125" style="575" customWidth="1"/>
    <col min="12" max="12" width="11.28515625" style="575" customWidth="1"/>
    <col min="13" max="13" width="10.28515625" style="575" customWidth="1"/>
    <col min="14" max="14" width="10" style="575" customWidth="1"/>
    <col min="15" max="16384" width="9.140625" style="575"/>
  </cols>
  <sheetData>
    <row r="1" spans="1:14" ht="12.75" thickBot="1" x14ac:dyDescent="0.25">
      <c r="A1" s="838" t="s">
        <v>148</v>
      </c>
      <c r="B1" s="838"/>
      <c r="C1" s="838"/>
      <c r="D1" s="838"/>
      <c r="E1" s="838"/>
      <c r="F1" s="838"/>
      <c r="G1" s="838"/>
      <c r="H1" s="838"/>
      <c r="I1" s="838"/>
      <c r="J1" s="838"/>
      <c r="K1" s="838"/>
      <c r="L1" s="838"/>
      <c r="M1" s="838"/>
      <c r="N1" s="838"/>
    </row>
    <row r="2" spans="1:14" ht="15" customHeight="1" x14ac:dyDescent="0.2">
      <c r="A2" s="944" t="str">
        <f>'Q9.6.1'!$A$2</f>
        <v>Área de residência, município e comuna</v>
      </c>
      <c r="B2" s="839" t="s">
        <v>84</v>
      </c>
      <c r="C2" s="841" t="s">
        <v>149</v>
      </c>
      <c r="D2" s="841"/>
      <c r="E2" s="841"/>
      <c r="F2" s="841"/>
      <c r="G2" s="841"/>
      <c r="H2" s="841"/>
      <c r="I2" s="841"/>
      <c r="J2" s="841"/>
      <c r="K2" s="841"/>
      <c r="L2" s="841"/>
      <c r="M2" s="841"/>
      <c r="N2" s="841"/>
    </row>
    <row r="3" spans="1:14" ht="63.75" customHeight="1" x14ac:dyDescent="0.2">
      <c r="A3" s="943"/>
      <c r="B3" s="840"/>
      <c r="C3" s="494" t="s">
        <v>150</v>
      </c>
      <c r="D3" s="494" t="s">
        <v>151</v>
      </c>
      <c r="E3" s="494" t="s">
        <v>152</v>
      </c>
      <c r="F3" s="494" t="s">
        <v>153</v>
      </c>
      <c r="G3" s="494" t="s">
        <v>154</v>
      </c>
      <c r="H3" s="494" t="s">
        <v>155</v>
      </c>
      <c r="I3" s="494" t="s">
        <v>156</v>
      </c>
      <c r="J3" s="494" t="s">
        <v>157</v>
      </c>
      <c r="K3" s="494" t="s">
        <v>158</v>
      </c>
      <c r="L3" s="494" t="s">
        <v>159</v>
      </c>
      <c r="M3" s="494" t="s">
        <v>160</v>
      </c>
      <c r="N3" s="494" t="s">
        <v>95</v>
      </c>
    </row>
    <row r="4" spans="1:14" x14ac:dyDescent="0.2">
      <c r="A4" s="64" t="s">
        <v>32</v>
      </c>
      <c r="B4" s="42">
        <v>261282.84527673907</v>
      </c>
      <c r="C4" s="42">
        <v>36793.098457034575</v>
      </c>
      <c r="D4" s="42">
        <v>29341.126008693096</v>
      </c>
      <c r="E4" s="42">
        <v>7509.5793711337265</v>
      </c>
      <c r="F4" s="42">
        <v>19088.570852312881</v>
      </c>
      <c r="G4" s="42">
        <v>7252.563869446627</v>
      </c>
      <c r="H4" s="42">
        <v>24202.293075535516</v>
      </c>
      <c r="I4" s="42">
        <v>55027.905171558959</v>
      </c>
      <c r="J4" s="42">
        <v>550.95851798449803</v>
      </c>
      <c r="K4" s="42">
        <v>2833.0789208960427</v>
      </c>
      <c r="L4" s="42">
        <v>39927.505897149662</v>
      </c>
      <c r="M4" s="42">
        <v>35194.875624704451</v>
      </c>
      <c r="N4" s="42">
        <v>3561.2895090094912</v>
      </c>
    </row>
    <row r="5" spans="1:14" x14ac:dyDescent="0.2">
      <c r="A5" s="65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</row>
    <row r="6" spans="1:14" x14ac:dyDescent="0.2">
      <c r="A6" s="64" t="s">
        <v>167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4" x14ac:dyDescent="0.2">
      <c r="A7" s="66" t="s">
        <v>8</v>
      </c>
      <c r="B7" s="45">
        <v>74088.411112767761</v>
      </c>
      <c r="C7" s="45">
        <v>27645.414537792003</v>
      </c>
      <c r="D7" s="45">
        <v>20680.885282305371</v>
      </c>
      <c r="E7" s="45">
        <v>5784.3258885444611</v>
      </c>
      <c r="F7" s="45">
        <v>6174.2804428283362</v>
      </c>
      <c r="G7" s="45">
        <v>322.00792740112706</v>
      </c>
      <c r="H7" s="45">
        <v>6010.3222779589796</v>
      </c>
      <c r="I7" s="45">
        <v>3602.6483253729325</v>
      </c>
      <c r="J7" s="45">
        <v>70.900828051623961</v>
      </c>
      <c r="K7" s="45">
        <v>76.809230389259284</v>
      </c>
      <c r="L7" s="45">
        <v>1487.4402884997057</v>
      </c>
      <c r="M7" s="45">
        <v>807.97401967163705</v>
      </c>
      <c r="N7" s="45">
        <v>1425.4020639545342</v>
      </c>
    </row>
    <row r="8" spans="1:14" x14ac:dyDescent="0.2">
      <c r="A8" s="66" t="s">
        <v>9</v>
      </c>
      <c r="B8" s="45">
        <v>187194.43416324173</v>
      </c>
      <c r="C8" s="45">
        <v>9147.6839192428833</v>
      </c>
      <c r="D8" s="45">
        <v>8660.2407263880395</v>
      </c>
      <c r="E8" s="45">
        <v>1725.2534825895298</v>
      </c>
      <c r="F8" s="45">
        <v>12914.290409484858</v>
      </c>
      <c r="G8" s="45">
        <v>6930.5559420455484</v>
      </c>
      <c r="H8" s="45">
        <v>18191.970797576851</v>
      </c>
      <c r="I8" s="45">
        <v>51425.256846186341</v>
      </c>
      <c r="J8" s="45">
        <v>480.05768993287347</v>
      </c>
      <c r="K8" s="45">
        <v>2756.2696905067946</v>
      </c>
      <c r="L8" s="45">
        <v>38440.065608650184</v>
      </c>
      <c r="M8" s="45">
        <v>34386.901605032937</v>
      </c>
      <c r="N8" s="45">
        <v>2135.8874450551752</v>
      </c>
    </row>
    <row r="9" spans="1:14" x14ac:dyDescent="0.2">
      <c r="A9" s="64" t="s">
        <v>96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x14ac:dyDescent="0.2">
      <c r="A10" s="655" t="s">
        <v>11</v>
      </c>
      <c r="B10" s="43">
        <v>34100.344091657666</v>
      </c>
      <c r="C10" s="43">
        <v>5508.1080792600496</v>
      </c>
      <c r="D10" s="43">
        <v>3732.6331768008909</v>
      </c>
      <c r="E10" s="43">
        <v>618.9051448673049</v>
      </c>
      <c r="F10" s="43">
        <v>877.39774713885276</v>
      </c>
      <c r="G10" s="43">
        <v>64.992425713988638</v>
      </c>
      <c r="H10" s="43">
        <v>2584.926022715395</v>
      </c>
      <c r="I10" s="43">
        <v>3985.2173767347645</v>
      </c>
      <c r="J10" s="43">
        <v>26.587810519359017</v>
      </c>
      <c r="K10" s="43">
        <v>298.37431805058554</v>
      </c>
      <c r="L10" s="43">
        <v>6861.1322145783433</v>
      </c>
      <c r="M10" s="43">
        <v>9090.0769964509473</v>
      </c>
      <c r="N10" s="43">
        <v>451.99277882910542</v>
      </c>
    </row>
    <row r="11" spans="1:14" x14ac:dyDescent="0.2">
      <c r="A11" s="340" t="s">
        <v>12</v>
      </c>
      <c r="B11" s="45">
        <v>22028.00101528603</v>
      </c>
      <c r="C11" s="45">
        <v>5134.4016314046694</v>
      </c>
      <c r="D11" s="45">
        <v>3376.651935958414</v>
      </c>
      <c r="E11" s="45">
        <v>508.12260103664153</v>
      </c>
      <c r="F11" s="45">
        <v>847.85573545067587</v>
      </c>
      <c r="G11" s="45">
        <v>35.450414025812023</v>
      </c>
      <c r="H11" s="45">
        <v>1106.3483377222237</v>
      </c>
      <c r="I11" s="45">
        <v>1818.310819407287</v>
      </c>
      <c r="J11" s="45">
        <v>5.9084023376353372</v>
      </c>
      <c r="K11" s="45">
        <v>150.66425960970105</v>
      </c>
      <c r="L11" s="45">
        <v>1469.7150814867996</v>
      </c>
      <c r="M11" s="45">
        <v>7282.1058811347993</v>
      </c>
      <c r="N11" s="45">
        <v>292.46591571295016</v>
      </c>
    </row>
    <row r="12" spans="1:14" x14ac:dyDescent="0.2">
      <c r="A12" s="340" t="s">
        <v>13</v>
      </c>
      <c r="B12" s="45">
        <v>12072.343076371946</v>
      </c>
      <c r="C12" s="45">
        <v>373.70644785543664</v>
      </c>
      <c r="D12" s="45">
        <v>355.9812408425305</v>
      </c>
      <c r="E12" s="45">
        <v>110.78254383066239</v>
      </c>
      <c r="F12" s="45">
        <v>29.542011688176686</v>
      </c>
      <c r="G12" s="45">
        <v>29.542011688176686</v>
      </c>
      <c r="H12" s="45">
        <v>1478.5776849932527</v>
      </c>
      <c r="I12" s="45">
        <v>2166.9065573277562</v>
      </c>
      <c r="J12" s="45">
        <v>20.67940818172368</v>
      </c>
      <c r="K12" s="45">
        <v>147.71005844088336</v>
      </c>
      <c r="L12" s="45">
        <v>5391.4171330917688</v>
      </c>
      <c r="M12" s="45">
        <v>1807.9711153164251</v>
      </c>
      <c r="N12" s="45">
        <v>159.52686311615412</v>
      </c>
    </row>
    <row r="13" spans="1:14" x14ac:dyDescent="0.2">
      <c r="A13" s="655" t="s">
        <v>44</v>
      </c>
      <c r="B13" s="43">
        <v>72729.478575111832</v>
      </c>
      <c r="C13" s="43">
        <v>22017.66131119517</v>
      </c>
      <c r="D13" s="43">
        <v>16417.972995702101</v>
      </c>
      <c r="E13" s="43">
        <v>1199.405674539981</v>
      </c>
      <c r="F13" s="43">
        <v>3347.1099242702417</v>
      </c>
      <c r="G13" s="43">
        <v>516.9852045430946</v>
      </c>
      <c r="H13" s="43">
        <v>7255.5180706154442</v>
      </c>
      <c r="I13" s="43">
        <v>10378.108706055262</v>
      </c>
      <c r="J13" s="43">
        <v>181.68337188228679</v>
      </c>
      <c r="K13" s="43">
        <v>903.98555765821197</v>
      </c>
      <c r="L13" s="43">
        <v>8050.1981850272805</v>
      </c>
      <c r="M13" s="43">
        <v>1375.1806440846335</v>
      </c>
      <c r="N13" s="43">
        <v>1085.6689295404999</v>
      </c>
    </row>
    <row r="14" spans="1:14" x14ac:dyDescent="0.2">
      <c r="A14" s="340" t="s">
        <v>15</v>
      </c>
      <c r="B14" s="45">
        <v>61466.586618996123</v>
      </c>
      <c r="C14" s="45">
        <v>21333.76374061398</v>
      </c>
      <c r="D14" s="45">
        <v>15884.739684730588</v>
      </c>
      <c r="E14" s="45">
        <v>1193.4972722023456</v>
      </c>
      <c r="F14" s="45">
        <v>2314.616615768618</v>
      </c>
      <c r="G14" s="45">
        <v>412.1110630500666</v>
      </c>
      <c r="H14" s="45">
        <v>5128.4932290670349</v>
      </c>
      <c r="I14" s="45">
        <v>7008.8422730192051</v>
      </c>
      <c r="J14" s="45">
        <v>121.12224792152421</v>
      </c>
      <c r="K14" s="45">
        <v>391.43165486834278</v>
      </c>
      <c r="L14" s="45">
        <v>6010.3222779589796</v>
      </c>
      <c r="M14" s="45">
        <v>670.60366532161447</v>
      </c>
      <c r="N14" s="45">
        <v>997.04289447596921</v>
      </c>
    </row>
    <row r="15" spans="1:14" x14ac:dyDescent="0.2">
      <c r="A15" s="340" t="s">
        <v>16</v>
      </c>
      <c r="B15" s="45">
        <v>11262.891956116024</v>
      </c>
      <c r="C15" s="45">
        <v>683.89757058129408</v>
      </c>
      <c r="D15" s="45">
        <v>533.23331097159189</v>
      </c>
      <c r="E15" s="45">
        <v>5.9084023376353372</v>
      </c>
      <c r="F15" s="45">
        <v>1032.4933085017815</v>
      </c>
      <c r="G15" s="45">
        <v>104.87414149302707</v>
      </c>
      <c r="H15" s="45">
        <v>2127.0248415487235</v>
      </c>
      <c r="I15" s="45">
        <v>3369.2664330363709</v>
      </c>
      <c r="J15" s="45">
        <v>60.561123960762146</v>
      </c>
      <c r="K15" s="45">
        <v>512.55390278986806</v>
      </c>
      <c r="L15" s="45">
        <v>2039.8759070686137</v>
      </c>
      <c r="M15" s="45">
        <v>704.57697876301791</v>
      </c>
      <c r="N15" s="45">
        <v>88.62603506452993</v>
      </c>
    </row>
    <row r="16" spans="1:14" x14ac:dyDescent="0.2">
      <c r="A16" s="655" t="s">
        <v>17</v>
      </c>
      <c r="B16" s="43">
        <v>6311.6507971783376</v>
      </c>
      <c r="C16" s="43">
        <v>137.37035435002144</v>
      </c>
      <c r="D16" s="43">
        <v>196.45437772637524</v>
      </c>
      <c r="E16" s="43">
        <v>709.00828051624444</v>
      </c>
      <c r="F16" s="43">
        <v>788.77171207432207</v>
      </c>
      <c r="G16" s="43">
        <v>277.69490986886171</v>
      </c>
      <c r="H16" s="43">
        <v>391.43165486834278</v>
      </c>
      <c r="I16" s="43">
        <v>3469.7092727761569</v>
      </c>
      <c r="J16" s="43">
        <v>4.4313017532265029</v>
      </c>
      <c r="K16" s="43">
        <v>42.835916947856177</v>
      </c>
      <c r="L16" s="43">
        <v>59.084023376353315</v>
      </c>
      <c r="M16" s="43">
        <v>225.99638941455214</v>
      </c>
      <c r="N16" s="43">
        <v>8.8626035064530058</v>
      </c>
    </row>
    <row r="17" spans="1:19" x14ac:dyDescent="0.2">
      <c r="A17" s="340" t="s">
        <v>17</v>
      </c>
      <c r="B17" s="45">
        <v>6311.6507971783376</v>
      </c>
      <c r="C17" s="45">
        <v>137.37035435002144</v>
      </c>
      <c r="D17" s="45">
        <v>196.45437772637524</v>
      </c>
      <c r="E17" s="45">
        <v>709.00828051624444</v>
      </c>
      <c r="F17" s="45">
        <v>788.77171207432207</v>
      </c>
      <c r="G17" s="45">
        <v>277.69490986886171</v>
      </c>
      <c r="H17" s="45">
        <v>391.43165486834278</v>
      </c>
      <c r="I17" s="45">
        <v>3469.7092727761569</v>
      </c>
      <c r="J17" s="45">
        <v>4.4313017532265029</v>
      </c>
      <c r="K17" s="45">
        <v>42.835916947856177</v>
      </c>
      <c r="L17" s="45">
        <v>59.084023376353315</v>
      </c>
      <c r="M17" s="45">
        <v>225.99638941455214</v>
      </c>
      <c r="N17" s="45">
        <v>8.8626035064530058</v>
      </c>
    </row>
    <row r="18" spans="1:19" x14ac:dyDescent="0.2">
      <c r="A18" s="655" t="s">
        <v>18</v>
      </c>
      <c r="B18" s="43">
        <v>5462.3179611433825</v>
      </c>
      <c r="C18" s="43">
        <v>289.51171454413247</v>
      </c>
      <c r="D18" s="43">
        <v>243.72159642745828</v>
      </c>
      <c r="E18" s="43">
        <v>1.4771005844088343</v>
      </c>
      <c r="F18" s="43">
        <v>602.6570384388076</v>
      </c>
      <c r="G18" s="43">
        <v>815.35952259368128</v>
      </c>
      <c r="H18" s="43">
        <v>392.90875545275162</v>
      </c>
      <c r="I18" s="43">
        <v>2457.8953724562539</v>
      </c>
      <c r="J18" s="43">
        <v>47.267218701082669</v>
      </c>
      <c r="K18" s="43">
        <v>134.41615318120375</v>
      </c>
      <c r="L18" s="43">
        <v>50.22141986990033</v>
      </c>
      <c r="M18" s="43">
        <v>397.34005720597816</v>
      </c>
      <c r="N18" s="43">
        <v>29.542011688176686</v>
      </c>
    </row>
    <row r="19" spans="1:19" x14ac:dyDescent="0.2">
      <c r="A19" s="340" t="s">
        <v>18</v>
      </c>
      <c r="B19" s="45">
        <v>5462.3179611433825</v>
      </c>
      <c r="C19" s="45">
        <v>289.51171454413247</v>
      </c>
      <c r="D19" s="45">
        <v>243.72159642745828</v>
      </c>
      <c r="E19" s="45">
        <v>1.4771005844088343</v>
      </c>
      <c r="F19" s="45">
        <v>602.6570384388076</v>
      </c>
      <c r="G19" s="45">
        <v>815.35952259368128</v>
      </c>
      <c r="H19" s="45">
        <v>392.90875545275162</v>
      </c>
      <c r="I19" s="45">
        <v>2457.8953724562539</v>
      </c>
      <c r="J19" s="45">
        <v>47.267218701082669</v>
      </c>
      <c r="K19" s="45">
        <v>134.41615318120375</v>
      </c>
      <c r="L19" s="45">
        <v>50.22141986990033</v>
      </c>
      <c r="M19" s="45">
        <v>397.34005720597816</v>
      </c>
      <c r="N19" s="45">
        <v>29.542011688176686</v>
      </c>
    </row>
    <row r="20" spans="1:19" x14ac:dyDescent="0.2">
      <c r="A20" s="655" t="s">
        <v>19</v>
      </c>
      <c r="B20" s="43">
        <v>21072.316937173655</v>
      </c>
      <c r="C20" s="43">
        <v>1344.1615318120478</v>
      </c>
      <c r="D20" s="43">
        <v>923.18786525552696</v>
      </c>
      <c r="E20" s="43">
        <v>406.20266071243122</v>
      </c>
      <c r="F20" s="43">
        <v>7223.0218577584546</v>
      </c>
      <c r="G20" s="43">
        <v>1468.2379809023907</v>
      </c>
      <c r="H20" s="43">
        <v>1710.4824767454413</v>
      </c>
      <c r="I20" s="43">
        <v>4986.6915729638076</v>
      </c>
      <c r="J20" s="43">
        <v>13.293905259679509</v>
      </c>
      <c r="K20" s="43">
        <v>79.763431558076945</v>
      </c>
      <c r="L20" s="43">
        <v>1112.2567400598591</v>
      </c>
      <c r="M20" s="43">
        <v>1624.8106428497283</v>
      </c>
      <c r="N20" s="43">
        <v>180.20627129787795</v>
      </c>
    </row>
    <row r="21" spans="1:19" x14ac:dyDescent="0.2">
      <c r="A21" s="340" t="s">
        <v>19</v>
      </c>
      <c r="B21" s="45">
        <v>12692.725321823566</v>
      </c>
      <c r="C21" s="45">
        <v>1110.7796394754503</v>
      </c>
      <c r="D21" s="45">
        <v>691.2830735033383</v>
      </c>
      <c r="E21" s="45">
        <v>339.7331344140332</v>
      </c>
      <c r="F21" s="45">
        <v>4701.6111601729444</v>
      </c>
      <c r="G21" s="45">
        <v>1094.531533046953</v>
      </c>
      <c r="H21" s="45">
        <v>528.80200921836536</v>
      </c>
      <c r="I21" s="45">
        <v>1398.814253435175</v>
      </c>
      <c r="J21" s="45">
        <v>4.4313017532265029</v>
      </c>
      <c r="K21" s="45">
        <v>11.816804675270674</v>
      </c>
      <c r="L21" s="45">
        <v>1094.531533046953</v>
      </c>
      <c r="M21" s="45">
        <v>1561.295317720148</v>
      </c>
      <c r="N21" s="45">
        <v>155.09556136292758</v>
      </c>
    </row>
    <row r="22" spans="1:19" x14ac:dyDescent="0.2">
      <c r="A22" s="340" t="s">
        <v>20</v>
      </c>
      <c r="B22" s="45">
        <v>8379.5916153504022</v>
      </c>
      <c r="C22" s="45">
        <v>233.38189233659637</v>
      </c>
      <c r="D22" s="45">
        <v>231.90479175218752</v>
      </c>
      <c r="E22" s="45">
        <v>66.469526298397469</v>
      </c>
      <c r="F22" s="45">
        <v>2521.4106975858244</v>
      </c>
      <c r="G22" s="45">
        <v>373.70644785543664</v>
      </c>
      <c r="H22" s="45">
        <v>1181.6804675270748</v>
      </c>
      <c r="I22" s="45">
        <v>3587.8773195288463</v>
      </c>
      <c r="J22" s="45">
        <v>8.8626035064530058</v>
      </c>
      <c r="K22" s="45">
        <v>67.946626882806299</v>
      </c>
      <c r="L22" s="45">
        <v>17.725207012906012</v>
      </c>
      <c r="M22" s="45">
        <v>63.515325129579807</v>
      </c>
      <c r="N22" s="45">
        <v>25.110709934950183</v>
      </c>
      <c r="S22" s="577"/>
    </row>
    <row r="23" spans="1:19" x14ac:dyDescent="0.2">
      <c r="A23" s="655" t="s">
        <v>21</v>
      </c>
      <c r="B23" s="43">
        <v>11748.858048386459</v>
      </c>
      <c r="C23" s="43">
        <v>378.13774960866317</v>
      </c>
      <c r="D23" s="43">
        <v>336.77893324521551</v>
      </c>
      <c r="E23" s="43">
        <v>124.07644909034187</v>
      </c>
      <c r="F23" s="43">
        <v>2007.3796942116192</v>
      </c>
      <c r="G23" s="43">
        <v>158.04976253174527</v>
      </c>
      <c r="H23" s="43">
        <v>1515.5051996034738</v>
      </c>
      <c r="I23" s="43">
        <v>2932.0446600514201</v>
      </c>
      <c r="J23" s="43">
        <v>16.248106428497177</v>
      </c>
      <c r="K23" s="43">
        <v>206.79408181723716</v>
      </c>
      <c r="L23" s="43">
        <v>685.37467116570292</v>
      </c>
      <c r="M23" s="43">
        <v>3019.1935945315286</v>
      </c>
      <c r="N23" s="43">
        <v>369.2751461022101</v>
      </c>
    </row>
    <row r="24" spans="1:19" x14ac:dyDescent="0.2">
      <c r="A24" s="340" t="s">
        <v>21</v>
      </c>
      <c r="B24" s="45">
        <v>11748.858048386459</v>
      </c>
      <c r="C24" s="45">
        <v>378.13774960866317</v>
      </c>
      <c r="D24" s="45">
        <v>336.77893324521551</v>
      </c>
      <c r="E24" s="45">
        <v>124.07644909034187</v>
      </c>
      <c r="F24" s="45">
        <v>2007.3796942116192</v>
      </c>
      <c r="G24" s="45">
        <v>158.04976253174527</v>
      </c>
      <c r="H24" s="45">
        <v>1515.5051996034738</v>
      </c>
      <c r="I24" s="45">
        <v>2932.0446600514201</v>
      </c>
      <c r="J24" s="45">
        <v>16.248106428497177</v>
      </c>
      <c r="K24" s="45">
        <v>206.79408181723716</v>
      </c>
      <c r="L24" s="45">
        <v>685.37467116570292</v>
      </c>
      <c r="M24" s="45">
        <v>3019.1935945315286</v>
      </c>
      <c r="N24" s="45">
        <v>369.2751461022101</v>
      </c>
    </row>
    <row r="25" spans="1:19" x14ac:dyDescent="0.2">
      <c r="A25" s="655" t="s">
        <v>22</v>
      </c>
      <c r="B25" s="43">
        <v>19638.052269712887</v>
      </c>
      <c r="C25" s="43">
        <v>1543.5701107072418</v>
      </c>
      <c r="D25" s="43">
        <v>2259.9638941454991</v>
      </c>
      <c r="E25" s="43">
        <v>3689.7972598530409</v>
      </c>
      <c r="F25" s="43">
        <v>1731.1618849271651</v>
      </c>
      <c r="G25" s="43">
        <v>129.98485142797722</v>
      </c>
      <c r="H25" s="43">
        <v>2754.792589922386</v>
      </c>
      <c r="I25" s="43">
        <v>3644.0071417363738</v>
      </c>
      <c r="J25" s="43">
        <v>41.358816363447346</v>
      </c>
      <c r="K25" s="43">
        <v>141.80165610324798</v>
      </c>
      <c r="L25" s="43">
        <v>3135.8845406998093</v>
      </c>
      <c r="M25" s="43">
        <v>116.69094616829771</v>
      </c>
      <c r="N25" s="43">
        <v>449.03857766028773</v>
      </c>
    </row>
    <row r="26" spans="1:19" x14ac:dyDescent="0.2">
      <c r="A26" s="340" t="s">
        <v>22</v>
      </c>
      <c r="B26" s="45">
        <v>19638.052269712887</v>
      </c>
      <c r="C26" s="45">
        <v>1543.5701107072418</v>
      </c>
      <c r="D26" s="45">
        <v>2259.9638941454991</v>
      </c>
      <c r="E26" s="45">
        <v>3689.7972598530409</v>
      </c>
      <c r="F26" s="45">
        <v>1731.1618849271651</v>
      </c>
      <c r="G26" s="45">
        <v>129.98485142797722</v>
      </c>
      <c r="H26" s="45">
        <v>2754.792589922386</v>
      </c>
      <c r="I26" s="45">
        <v>3644.0071417363738</v>
      </c>
      <c r="J26" s="45">
        <v>41.358816363447346</v>
      </c>
      <c r="K26" s="45">
        <v>141.80165610324798</v>
      </c>
      <c r="L26" s="45">
        <v>3135.8845406998093</v>
      </c>
      <c r="M26" s="45">
        <v>116.69094616829771</v>
      </c>
      <c r="N26" s="45">
        <v>449.03857766028773</v>
      </c>
    </row>
    <row r="27" spans="1:19" x14ac:dyDescent="0.2">
      <c r="A27" s="655" t="s">
        <v>23</v>
      </c>
      <c r="B27" s="43">
        <v>23416.475564630131</v>
      </c>
      <c r="C27" s="43">
        <v>1347.1157329808655</v>
      </c>
      <c r="D27" s="43">
        <v>1406.1997563572193</v>
      </c>
      <c r="E27" s="43">
        <v>135.8932537656126</v>
      </c>
      <c r="F27" s="43">
        <v>661.7410618151614</v>
      </c>
      <c r="G27" s="43">
        <v>1581.9747259018718</v>
      </c>
      <c r="H27" s="43">
        <v>3614.4651300482014</v>
      </c>
      <c r="I27" s="43">
        <v>7258.4722717842615</v>
      </c>
      <c r="J27" s="43">
        <v>149.1871590252922</v>
      </c>
      <c r="K27" s="43">
        <v>338.25603382962436</v>
      </c>
      <c r="L27" s="43">
        <v>4989.6457741326249</v>
      </c>
      <c r="M27" s="43">
        <v>1878.8719433680496</v>
      </c>
      <c r="N27" s="43">
        <v>54.652721623126823</v>
      </c>
    </row>
    <row r="28" spans="1:19" x14ac:dyDescent="0.2">
      <c r="A28" s="340" t="s">
        <v>23</v>
      </c>
      <c r="B28" s="45">
        <v>11791.693965334309</v>
      </c>
      <c r="C28" s="45">
        <v>689.80597291892946</v>
      </c>
      <c r="D28" s="45">
        <v>740.02739278883018</v>
      </c>
      <c r="E28" s="45">
        <v>132.93905259679491</v>
      </c>
      <c r="F28" s="45">
        <v>648.4471565554818</v>
      </c>
      <c r="G28" s="45">
        <v>989.65739155392498</v>
      </c>
      <c r="H28" s="45">
        <v>2020.6735994712988</v>
      </c>
      <c r="I28" s="45">
        <v>3545.0414025809964</v>
      </c>
      <c r="J28" s="45">
        <v>93.057336817756422</v>
      </c>
      <c r="K28" s="45">
        <v>184.63757305110448</v>
      </c>
      <c r="L28" s="45">
        <v>2719.3421758965792</v>
      </c>
      <c r="M28" s="45">
        <v>8.8626035064530058</v>
      </c>
      <c r="N28" s="45">
        <v>19.202307597314846</v>
      </c>
    </row>
    <row r="29" spans="1:19" x14ac:dyDescent="0.2">
      <c r="A29" s="340" t="s">
        <v>24</v>
      </c>
      <c r="B29" s="45">
        <v>11624.781599296135</v>
      </c>
      <c r="C29" s="45">
        <v>657.30976006193487</v>
      </c>
      <c r="D29" s="45">
        <v>666.17236356838794</v>
      </c>
      <c r="E29" s="45">
        <v>2.9542011688176686</v>
      </c>
      <c r="F29" s="45">
        <v>13.293905259679509</v>
      </c>
      <c r="G29" s="45">
        <v>592.31733434794569</v>
      </c>
      <c r="H29" s="45">
        <v>1593.7915305771426</v>
      </c>
      <c r="I29" s="45">
        <v>3713.4308692035788</v>
      </c>
      <c r="J29" s="45">
        <v>56.129822207535653</v>
      </c>
      <c r="K29" s="45">
        <v>153.61846077851874</v>
      </c>
      <c r="L29" s="45">
        <v>2270.3035982363594</v>
      </c>
      <c r="M29" s="45">
        <v>1870.0093398615966</v>
      </c>
      <c r="N29" s="45">
        <v>35.450414025812023</v>
      </c>
    </row>
    <row r="30" spans="1:19" x14ac:dyDescent="0.2">
      <c r="A30" s="655" t="s">
        <v>25</v>
      </c>
      <c r="B30" s="43">
        <v>2310.1853140153921</v>
      </c>
      <c r="C30" s="43">
        <v>26.587810519359017</v>
      </c>
      <c r="D30" s="43">
        <v>35.450414025812023</v>
      </c>
      <c r="E30" s="43">
        <v>1.4771005844088343</v>
      </c>
      <c r="F30" s="43">
        <v>101.91994032420941</v>
      </c>
      <c r="G30" s="43">
        <v>283.60331220649709</v>
      </c>
      <c r="H30" s="43">
        <v>490.39739402373539</v>
      </c>
      <c r="I30" s="43">
        <v>1277.6920055136497</v>
      </c>
      <c r="J30" s="43">
        <v>5.9084023376353372</v>
      </c>
      <c r="K30" s="43">
        <v>79.763431558076945</v>
      </c>
      <c r="L30" s="43">
        <v>2.9542011688176686</v>
      </c>
      <c r="M30" s="44">
        <v>0</v>
      </c>
      <c r="N30" s="43">
        <v>4.4313017532265029</v>
      </c>
    </row>
    <row r="31" spans="1:19" x14ac:dyDescent="0.2">
      <c r="A31" s="340" t="s">
        <v>25</v>
      </c>
      <c r="B31" s="45">
        <v>2310.1853140153921</v>
      </c>
      <c r="C31" s="45">
        <v>26.587810519359017</v>
      </c>
      <c r="D31" s="45">
        <v>35.450414025812023</v>
      </c>
      <c r="E31" s="45">
        <v>1.4771005844088343</v>
      </c>
      <c r="F31" s="45">
        <v>101.91994032420941</v>
      </c>
      <c r="G31" s="45">
        <v>283.60331220649709</v>
      </c>
      <c r="H31" s="45">
        <v>490.39739402373539</v>
      </c>
      <c r="I31" s="45">
        <v>1277.6920055136497</v>
      </c>
      <c r="J31" s="45">
        <v>5.9084023376353372</v>
      </c>
      <c r="K31" s="45">
        <v>79.763431558076945</v>
      </c>
      <c r="L31" s="45">
        <v>2.9542011688176686</v>
      </c>
      <c r="M31" s="46">
        <v>0</v>
      </c>
      <c r="N31" s="45">
        <v>4.4313017532265029</v>
      </c>
    </row>
    <row r="32" spans="1:19" x14ac:dyDescent="0.2">
      <c r="A32" s="655" t="s">
        <v>26</v>
      </c>
      <c r="B32" s="43">
        <v>1218.6079821372959</v>
      </c>
      <c r="C32" s="43">
        <v>36.927514610220854</v>
      </c>
      <c r="D32" s="43">
        <v>60.561123960762146</v>
      </c>
      <c r="E32" s="43">
        <v>2.9542011688176686</v>
      </c>
      <c r="F32" s="43">
        <v>1.4771005844088343</v>
      </c>
      <c r="G32" s="44">
        <v>0</v>
      </c>
      <c r="H32" s="43">
        <v>41.358816363447346</v>
      </c>
      <c r="I32" s="43">
        <v>200.88567947960178</v>
      </c>
      <c r="J32" s="67">
        <v>0</v>
      </c>
      <c r="K32" s="43">
        <v>69.42372746721513</v>
      </c>
      <c r="L32" s="44">
        <v>0</v>
      </c>
      <c r="M32" s="43">
        <v>803.54271791841052</v>
      </c>
      <c r="N32" s="43">
        <v>1.4771005844088343</v>
      </c>
    </row>
    <row r="33" spans="1:14" x14ac:dyDescent="0.2">
      <c r="A33" s="340" t="s">
        <v>26</v>
      </c>
      <c r="B33" s="45">
        <v>1218.6079821372959</v>
      </c>
      <c r="C33" s="45">
        <v>36.927514610220854</v>
      </c>
      <c r="D33" s="45">
        <v>60.561123960762146</v>
      </c>
      <c r="E33" s="45">
        <v>2.9542011688176686</v>
      </c>
      <c r="F33" s="45">
        <v>1.4771005844088343</v>
      </c>
      <c r="G33" s="46">
        <v>0</v>
      </c>
      <c r="H33" s="45">
        <v>41.358816363447346</v>
      </c>
      <c r="I33" s="45">
        <v>200.88567947960178</v>
      </c>
      <c r="J33" s="68">
        <v>0</v>
      </c>
      <c r="K33" s="45">
        <v>69.42372746721513</v>
      </c>
      <c r="L33" s="46">
        <v>0</v>
      </c>
      <c r="M33" s="45">
        <v>803.54271791841052</v>
      </c>
      <c r="N33" s="45">
        <v>1.4771005844088343</v>
      </c>
    </row>
    <row r="34" spans="1:14" x14ac:dyDescent="0.2">
      <c r="A34" s="655" t="s">
        <v>27</v>
      </c>
      <c r="B34" s="43">
        <v>5655.8181377009114</v>
      </c>
      <c r="C34" s="43">
        <v>194.9772771419664</v>
      </c>
      <c r="D34" s="43">
        <v>258.49260227154673</v>
      </c>
      <c r="E34" s="43">
        <v>64.992425713988638</v>
      </c>
      <c r="F34" s="43">
        <v>936.48177051520656</v>
      </c>
      <c r="G34" s="43">
        <v>62.038224545170976</v>
      </c>
      <c r="H34" s="43">
        <v>217.13378590809907</v>
      </c>
      <c r="I34" s="43">
        <v>694.23727467215599</v>
      </c>
      <c r="J34" s="43">
        <v>14.771005844088343</v>
      </c>
      <c r="K34" s="43">
        <v>70.900828051623961</v>
      </c>
      <c r="L34" s="43">
        <v>614.47384311407836</v>
      </c>
      <c r="M34" s="43">
        <v>2395.8571479110919</v>
      </c>
      <c r="N34" s="43">
        <v>131.46195201238606</v>
      </c>
    </row>
    <row r="35" spans="1:14" x14ac:dyDescent="0.2">
      <c r="A35" s="340" t="s">
        <v>27</v>
      </c>
      <c r="B35" s="45">
        <v>5655.8181377009114</v>
      </c>
      <c r="C35" s="45">
        <v>194.9772771419664</v>
      </c>
      <c r="D35" s="45">
        <v>258.49260227154673</v>
      </c>
      <c r="E35" s="45">
        <v>64.992425713988638</v>
      </c>
      <c r="F35" s="45">
        <v>936.48177051520656</v>
      </c>
      <c r="G35" s="45">
        <v>62.038224545170976</v>
      </c>
      <c r="H35" s="45">
        <v>217.13378590809907</v>
      </c>
      <c r="I35" s="45">
        <v>694.23727467215599</v>
      </c>
      <c r="J35" s="45">
        <v>14.771005844088343</v>
      </c>
      <c r="K35" s="45">
        <v>70.900828051623961</v>
      </c>
      <c r="L35" s="45">
        <v>614.47384311407836</v>
      </c>
      <c r="M35" s="45">
        <v>2395.8571479110919</v>
      </c>
      <c r="N35" s="45">
        <v>131.46195201238606</v>
      </c>
    </row>
    <row r="36" spans="1:14" x14ac:dyDescent="0.2">
      <c r="A36" s="655" t="s">
        <v>133</v>
      </c>
      <c r="B36" s="43">
        <v>12246.640945332163</v>
      </c>
      <c r="C36" s="43">
        <v>592.31733434794569</v>
      </c>
      <c r="D36" s="43">
        <v>571.63792616622186</v>
      </c>
      <c r="E36" s="43">
        <v>7.3855029220441715</v>
      </c>
      <c r="F36" s="43">
        <v>94.534437402165253</v>
      </c>
      <c r="G36" s="43">
        <v>48.7443192854915</v>
      </c>
      <c r="H36" s="43">
        <v>1992.6086883675307</v>
      </c>
      <c r="I36" s="43">
        <v>8036.9042797676029</v>
      </c>
      <c r="J36" s="43">
        <v>10.33970409086184</v>
      </c>
      <c r="K36" s="43">
        <v>168.38946662260719</v>
      </c>
      <c r="L36" s="43">
        <v>675.03496707484101</v>
      </c>
      <c r="M36" s="43">
        <v>2.9542011688176686</v>
      </c>
      <c r="N36" s="43">
        <v>45.790118116673838</v>
      </c>
    </row>
    <row r="37" spans="1:14" x14ac:dyDescent="0.2">
      <c r="A37" s="340" t="s">
        <v>28</v>
      </c>
      <c r="B37" s="45">
        <v>12246.640945332163</v>
      </c>
      <c r="C37" s="45">
        <v>592.31733434794569</v>
      </c>
      <c r="D37" s="45">
        <v>571.63792616622186</v>
      </c>
      <c r="E37" s="45">
        <v>7.3855029220441715</v>
      </c>
      <c r="F37" s="45">
        <v>94.534437402165253</v>
      </c>
      <c r="G37" s="45">
        <v>48.7443192854915</v>
      </c>
      <c r="H37" s="45">
        <v>1992.6086883675307</v>
      </c>
      <c r="I37" s="45">
        <v>8036.9042797676029</v>
      </c>
      <c r="J37" s="45">
        <v>10.33970409086184</v>
      </c>
      <c r="K37" s="45">
        <v>168.38946662260719</v>
      </c>
      <c r="L37" s="45">
        <v>675.03496707484101</v>
      </c>
      <c r="M37" s="45">
        <v>2.9542011688176686</v>
      </c>
      <c r="N37" s="45">
        <v>45.790118116673838</v>
      </c>
    </row>
    <row r="38" spans="1:14" x14ac:dyDescent="0.2">
      <c r="A38" s="655" t="s">
        <v>29</v>
      </c>
      <c r="B38" s="43">
        <v>33499.164153803358</v>
      </c>
      <c r="C38" s="43">
        <v>1966.0208778481715</v>
      </c>
      <c r="D38" s="43">
        <v>1865.57803810837</v>
      </c>
      <c r="E38" s="43">
        <v>506.64550045223268</v>
      </c>
      <c r="F38" s="43">
        <v>617.42804428289605</v>
      </c>
      <c r="G38" s="43">
        <v>1744.4557901868448</v>
      </c>
      <c r="H38" s="43">
        <v>1075.329225449638</v>
      </c>
      <c r="I38" s="43">
        <v>5314.6079027025207</v>
      </c>
      <c r="J38" s="43">
        <v>33.973313441403192</v>
      </c>
      <c r="K38" s="43">
        <v>290.98881512854132</v>
      </c>
      <c r="L38" s="43">
        <v>10001.448057031064</v>
      </c>
      <c r="M38" s="43">
        <v>9559.7949822928877</v>
      </c>
      <c r="N38" s="43">
        <v>522.89360688072998</v>
      </c>
    </row>
    <row r="39" spans="1:14" x14ac:dyDescent="0.2">
      <c r="A39" s="340" t="s">
        <v>30</v>
      </c>
      <c r="B39" s="45">
        <v>21095.950546524193</v>
      </c>
      <c r="C39" s="45">
        <v>1019.1994032421019</v>
      </c>
      <c r="D39" s="45">
        <v>902.50845707380313</v>
      </c>
      <c r="E39" s="45">
        <v>419.49656597211083</v>
      </c>
      <c r="F39" s="45">
        <v>209.74828298605485</v>
      </c>
      <c r="G39" s="45">
        <v>768.09230389259824</v>
      </c>
      <c r="H39" s="45">
        <v>855.24123837272009</v>
      </c>
      <c r="I39" s="45">
        <v>4509.5880841998242</v>
      </c>
      <c r="J39" s="45">
        <v>31.01911227258552</v>
      </c>
      <c r="K39" s="45">
        <v>273.26360811563518</v>
      </c>
      <c r="L39" s="45">
        <v>6033.9558873095175</v>
      </c>
      <c r="M39" s="45">
        <v>5784.3258885444611</v>
      </c>
      <c r="N39" s="45">
        <v>289.51171454413247</v>
      </c>
    </row>
    <row r="40" spans="1:14" x14ac:dyDescent="0.2">
      <c r="A40" s="340" t="s">
        <v>29</v>
      </c>
      <c r="B40" s="45">
        <v>12403.213607279476</v>
      </c>
      <c r="C40" s="45">
        <v>946.82147460606848</v>
      </c>
      <c r="D40" s="45">
        <v>963.06958103456577</v>
      </c>
      <c r="E40" s="45">
        <v>87.148934480121099</v>
      </c>
      <c r="F40" s="45">
        <v>407.67976129684007</v>
      </c>
      <c r="G40" s="45">
        <v>976.36348629424538</v>
      </c>
      <c r="H40" s="45">
        <v>220.08798707691676</v>
      </c>
      <c r="I40" s="45">
        <v>805.01981850281936</v>
      </c>
      <c r="J40" s="45">
        <v>2.9542011688176686</v>
      </c>
      <c r="K40" s="45">
        <v>17.725207012906012</v>
      </c>
      <c r="L40" s="45">
        <v>3967.492169721861</v>
      </c>
      <c r="M40" s="45">
        <v>3775.4690937487408</v>
      </c>
      <c r="N40" s="45">
        <v>233.38189233659637</v>
      </c>
    </row>
    <row r="41" spans="1:14" x14ac:dyDescent="0.2">
      <c r="A41" s="655" t="s">
        <v>31</v>
      </c>
      <c r="B41" s="43">
        <v>11872.934497476783</v>
      </c>
      <c r="C41" s="43">
        <v>1410.6310581104458</v>
      </c>
      <c r="D41" s="43">
        <v>1032.4933085017815</v>
      </c>
      <c r="E41" s="43">
        <v>41.358816363447346</v>
      </c>
      <c r="F41" s="43">
        <v>97.488638570982914</v>
      </c>
      <c r="G41" s="43">
        <v>100.44283973980058</v>
      </c>
      <c r="H41" s="43">
        <v>165.4352654537895</v>
      </c>
      <c r="I41" s="43">
        <v>391.43165486834278</v>
      </c>
      <c r="J41" s="43">
        <v>5.9084023376353372</v>
      </c>
      <c r="K41" s="43">
        <v>7.3855029220441715</v>
      </c>
      <c r="L41" s="43">
        <v>3689.7972598530409</v>
      </c>
      <c r="M41" s="43">
        <v>4704.5653613417617</v>
      </c>
      <c r="N41" s="43">
        <v>225.99638941455214</v>
      </c>
    </row>
    <row r="42" spans="1:14" x14ac:dyDescent="0.2">
      <c r="A42" s="340" t="s">
        <v>31</v>
      </c>
      <c r="B42" s="45">
        <v>11872.934497476783</v>
      </c>
      <c r="C42" s="45">
        <v>1410.6310581104458</v>
      </c>
      <c r="D42" s="45">
        <v>1032.4933085017815</v>
      </c>
      <c r="E42" s="45">
        <v>41.358816363447346</v>
      </c>
      <c r="F42" s="45">
        <v>97.488638570982914</v>
      </c>
      <c r="G42" s="45">
        <v>100.44283973980058</v>
      </c>
      <c r="H42" s="45">
        <v>165.4352654537895</v>
      </c>
      <c r="I42" s="45">
        <v>391.43165486834278</v>
      </c>
      <c r="J42" s="45">
        <v>5.9084023376353372</v>
      </c>
      <c r="K42" s="45">
        <v>7.3855029220441715</v>
      </c>
      <c r="L42" s="45">
        <v>3689.7972598530409</v>
      </c>
      <c r="M42" s="45">
        <v>4704.5653613417617</v>
      </c>
      <c r="N42" s="45">
        <v>225.99638941455214</v>
      </c>
    </row>
    <row r="43" spans="1:14" x14ac:dyDescent="0.2">
      <c r="A43" s="842"/>
      <c r="B43" s="842"/>
      <c r="C43" s="842"/>
      <c r="D43" s="842"/>
      <c r="E43" s="842"/>
      <c r="F43" s="842"/>
      <c r="G43" s="842"/>
      <c r="H43" s="842"/>
      <c r="I43" s="842"/>
      <c r="J43" s="842"/>
      <c r="K43" s="842"/>
      <c r="L43" s="842"/>
      <c r="M43" s="842"/>
      <c r="N43" s="842"/>
    </row>
    <row r="44" spans="1:14" x14ac:dyDescent="0.2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</row>
    <row r="45" spans="1:14" x14ac:dyDescent="0.2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</row>
  </sheetData>
  <mergeCells count="5">
    <mergeCell ref="A1:N1"/>
    <mergeCell ref="A2:A3"/>
    <mergeCell ref="B2:B3"/>
    <mergeCell ref="C2:N2"/>
    <mergeCell ref="A43:N4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2"/>
  <sheetViews>
    <sheetView zoomScale="120" zoomScaleNormal="120" workbookViewId="0">
      <selection activeCell="A2" sqref="A2:A3"/>
    </sheetView>
  </sheetViews>
  <sheetFormatPr defaultRowHeight="12" x14ac:dyDescent="0.2"/>
  <cols>
    <col min="1" max="1" width="17.7109375" style="575" customWidth="1"/>
    <col min="2" max="2" width="14.42578125" style="575" customWidth="1"/>
    <col min="3" max="3" width="11.85546875" style="575" customWidth="1"/>
    <col min="4" max="4" width="12" style="575" customWidth="1"/>
    <col min="5" max="5" width="13.85546875" style="575" customWidth="1"/>
    <col min="6" max="16384" width="9.140625" style="575"/>
  </cols>
  <sheetData>
    <row r="1" spans="1:5" ht="27.75" customHeight="1" thickBot="1" x14ac:dyDescent="0.25">
      <c r="A1" s="843" t="s">
        <v>564</v>
      </c>
      <c r="B1" s="843"/>
      <c r="C1" s="843"/>
      <c r="D1" s="843"/>
      <c r="E1" s="843"/>
    </row>
    <row r="2" spans="1:5" ht="25.5" customHeight="1" x14ac:dyDescent="0.2">
      <c r="A2" s="944" t="str">
        <f>'Q9.6.1'!$A$2</f>
        <v>Área de residência, município e comuna</v>
      </c>
      <c r="B2" s="844" t="s">
        <v>84</v>
      </c>
      <c r="C2" s="844" t="s">
        <v>581</v>
      </c>
      <c r="D2" s="844"/>
      <c r="E2" s="844"/>
    </row>
    <row r="3" spans="1:5" x14ac:dyDescent="0.2">
      <c r="A3" s="943"/>
      <c r="B3" s="845"/>
      <c r="C3" s="69" t="s">
        <v>161</v>
      </c>
      <c r="D3" s="69" t="s">
        <v>162</v>
      </c>
      <c r="E3" s="69" t="s">
        <v>163</v>
      </c>
    </row>
    <row r="4" spans="1:5" x14ac:dyDescent="0.2">
      <c r="A4" s="70" t="s">
        <v>32</v>
      </c>
      <c r="B4" s="42">
        <v>261282.84527673907</v>
      </c>
      <c r="C4" s="42">
        <v>141238.88078066809</v>
      </c>
      <c r="D4" s="42">
        <v>119961.24686216179</v>
      </c>
      <c r="E4" s="42">
        <v>82.717632726894607</v>
      </c>
    </row>
    <row r="5" spans="1:5" x14ac:dyDescent="0.2">
      <c r="A5" s="71"/>
      <c r="B5" s="43"/>
      <c r="C5" s="43"/>
      <c r="D5" s="43"/>
      <c r="E5" s="43"/>
    </row>
    <row r="6" spans="1:5" x14ac:dyDescent="0.2">
      <c r="A6" s="72" t="s">
        <v>167</v>
      </c>
      <c r="B6" s="42"/>
      <c r="C6" s="42"/>
      <c r="D6" s="42"/>
      <c r="E6" s="42"/>
    </row>
    <row r="7" spans="1:5" x14ac:dyDescent="0.2">
      <c r="A7" s="73" t="s">
        <v>8</v>
      </c>
      <c r="B7" s="45">
        <v>74088.411112767761</v>
      </c>
      <c r="C7" s="45">
        <v>11460.823434426778</v>
      </c>
      <c r="D7" s="45">
        <v>62599.522767237533</v>
      </c>
      <c r="E7" s="45">
        <v>28.064911103767852</v>
      </c>
    </row>
    <row r="8" spans="1:5" x14ac:dyDescent="0.2">
      <c r="A8" s="73" t="s">
        <v>9</v>
      </c>
      <c r="B8" s="45">
        <v>187194.43416324173</v>
      </c>
      <c r="C8" s="45">
        <v>129778.05734614146</v>
      </c>
      <c r="D8" s="45">
        <v>57361.724094924575</v>
      </c>
      <c r="E8" s="45">
        <v>54.652721623126823</v>
      </c>
    </row>
    <row r="9" spans="1:5" x14ac:dyDescent="0.2">
      <c r="A9" s="72" t="s">
        <v>96</v>
      </c>
      <c r="B9" s="42"/>
      <c r="C9" s="42"/>
      <c r="D9" s="42"/>
      <c r="E9" s="42"/>
    </row>
    <row r="10" spans="1:5" x14ac:dyDescent="0.2">
      <c r="A10" s="183" t="s">
        <v>11</v>
      </c>
      <c r="B10" s="43">
        <v>34100.344091657666</v>
      </c>
      <c r="C10" s="43">
        <v>18951.20049796288</v>
      </c>
      <c r="D10" s="43">
        <v>15143.235191357462</v>
      </c>
      <c r="E10" s="43">
        <v>5.9084023376353372</v>
      </c>
    </row>
    <row r="11" spans="1:5" x14ac:dyDescent="0.2">
      <c r="A11" s="73" t="s">
        <v>12</v>
      </c>
      <c r="B11" s="45">
        <v>22028.00101528603</v>
      </c>
      <c r="C11" s="45">
        <v>10160.974920147195</v>
      </c>
      <c r="D11" s="45">
        <v>11862.594793385922</v>
      </c>
      <c r="E11" s="45">
        <v>4.4313017532265029</v>
      </c>
    </row>
    <row r="12" spans="1:5" x14ac:dyDescent="0.2">
      <c r="A12" s="73" t="s">
        <v>13</v>
      </c>
      <c r="B12" s="45">
        <v>12072.343076371946</v>
      </c>
      <c r="C12" s="45">
        <v>8790.2255778159979</v>
      </c>
      <c r="D12" s="45">
        <v>3280.6403979718539</v>
      </c>
      <c r="E12" s="45">
        <v>1.4771005844088343</v>
      </c>
    </row>
    <row r="13" spans="1:5" x14ac:dyDescent="0.2">
      <c r="A13" s="183" t="s">
        <v>44</v>
      </c>
      <c r="B13" s="43">
        <v>72729.478575111832</v>
      </c>
      <c r="C13" s="43">
        <v>25171.271058907569</v>
      </c>
      <c r="D13" s="43">
        <v>47524.234202763182</v>
      </c>
      <c r="E13" s="43">
        <v>33.973313441403192</v>
      </c>
    </row>
    <row r="14" spans="1:5" x14ac:dyDescent="0.2">
      <c r="A14" s="73" t="s">
        <v>15</v>
      </c>
      <c r="B14" s="45">
        <v>61466.586618996123</v>
      </c>
      <c r="C14" s="45">
        <v>17550.909143943511</v>
      </c>
      <c r="D14" s="45">
        <v>43887.612563949166</v>
      </c>
      <c r="E14" s="45">
        <v>28.064911103767852</v>
      </c>
    </row>
    <row r="15" spans="1:5" x14ac:dyDescent="0.2">
      <c r="A15" s="73" t="s">
        <v>16</v>
      </c>
      <c r="B15" s="45">
        <v>11262.891956116024</v>
      </c>
      <c r="C15" s="45">
        <v>7620.3619149643728</v>
      </c>
      <c r="D15" s="45">
        <v>3636.6216388143307</v>
      </c>
      <c r="E15" s="45">
        <v>5.9084023376353372</v>
      </c>
    </row>
    <row r="16" spans="1:5" x14ac:dyDescent="0.2">
      <c r="A16" s="183" t="s">
        <v>17</v>
      </c>
      <c r="B16" s="43">
        <v>6311.6507971783376</v>
      </c>
      <c r="C16" s="43">
        <v>3539.1330002433619</v>
      </c>
      <c r="D16" s="43">
        <v>2769.5635957664722</v>
      </c>
      <c r="E16" s="43">
        <v>2.9542011688176686</v>
      </c>
    </row>
    <row r="17" spans="1:5" x14ac:dyDescent="0.2">
      <c r="A17" s="73" t="s">
        <v>17</v>
      </c>
      <c r="B17" s="45">
        <v>6311.6507971783376</v>
      </c>
      <c r="C17" s="45">
        <v>3539.1330002433619</v>
      </c>
      <c r="D17" s="45">
        <v>2769.5635957664722</v>
      </c>
      <c r="E17" s="45">
        <v>2.9542011688176686</v>
      </c>
    </row>
    <row r="18" spans="1:5" x14ac:dyDescent="0.2">
      <c r="A18" s="183" t="s">
        <v>18</v>
      </c>
      <c r="B18" s="43">
        <v>5462.3179611433825</v>
      </c>
      <c r="C18" s="43">
        <v>2994.0828845965821</v>
      </c>
      <c r="D18" s="43">
        <v>2468.2350765471142</v>
      </c>
      <c r="E18" s="44">
        <v>0</v>
      </c>
    </row>
    <row r="19" spans="1:5" x14ac:dyDescent="0.2">
      <c r="A19" s="73" t="s">
        <v>18</v>
      </c>
      <c r="B19" s="45">
        <v>5462.3179611433825</v>
      </c>
      <c r="C19" s="45">
        <v>2994.0828845965821</v>
      </c>
      <c r="D19" s="45">
        <v>2468.2350765471142</v>
      </c>
      <c r="E19" s="46">
        <v>0</v>
      </c>
    </row>
    <row r="20" spans="1:5" x14ac:dyDescent="0.2">
      <c r="A20" s="183" t="s">
        <v>19</v>
      </c>
      <c r="B20" s="43">
        <v>21072.316937173655</v>
      </c>
      <c r="C20" s="43">
        <v>15109.261877916064</v>
      </c>
      <c r="D20" s="43">
        <v>5960.1008580890866</v>
      </c>
      <c r="E20" s="43">
        <v>2.9542011688176686</v>
      </c>
    </row>
    <row r="21" spans="1:5" x14ac:dyDescent="0.2">
      <c r="A21" s="73" t="s">
        <v>19</v>
      </c>
      <c r="B21" s="45">
        <v>12692.725321823566</v>
      </c>
      <c r="C21" s="45">
        <v>8429.8130352202952</v>
      </c>
      <c r="D21" s="45">
        <v>4261.4351860191764</v>
      </c>
      <c r="E21" s="45">
        <v>1.4771005844088343</v>
      </c>
    </row>
    <row r="22" spans="1:5" x14ac:dyDescent="0.2">
      <c r="A22" s="73" t="s">
        <v>20</v>
      </c>
      <c r="B22" s="45">
        <v>8379.5916153504022</v>
      </c>
      <c r="C22" s="45">
        <v>6679.4488426960834</v>
      </c>
      <c r="D22" s="45">
        <v>1698.6656720701706</v>
      </c>
      <c r="E22" s="45">
        <v>1.4771005844088343</v>
      </c>
    </row>
    <row r="23" spans="1:5" x14ac:dyDescent="0.2">
      <c r="A23" s="183" t="s">
        <v>21</v>
      </c>
      <c r="B23" s="43">
        <v>11748.858048386459</v>
      </c>
      <c r="C23" s="43">
        <v>7945.3240435342686</v>
      </c>
      <c r="D23" s="43">
        <v>3802.0569042680959</v>
      </c>
      <c r="E23" s="43">
        <v>1.4771005844088343</v>
      </c>
    </row>
    <row r="24" spans="1:5" x14ac:dyDescent="0.2">
      <c r="A24" s="73" t="s">
        <v>21</v>
      </c>
      <c r="B24" s="45">
        <v>11748.858048386459</v>
      </c>
      <c r="C24" s="45">
        <v>7945.3240435342686</v>
      </c>
      <c r="D24" s="45">
        <v>3802.0569042680959</v>
      </c>
      <c r="E24" s="45">
        <v>1.4771005844088343</v>
      </c>
    </row>
    <row r="25" spans="1:5" x14ac:dyDescent="0.2">
      <c r="A25" s="183" t="s">
        <v>22</v>
      </c>
      <c r="B25" s="43">
        <v>19638.052269712887</v>
      </c>
      <c r="C25" s="43">
        <v>7773.980375742869</v>
      </c>
      <c r="D25" s="43">
        <v>11855.209290463879</v>
      </c>
      <c r="E25" s="43">
        <v>8.8626035064530058</v>
      </c>
    </row>
    <row r="26" spans="1:5" x14ac:dyDescent="0.2">
      <c r="A26" s="73" t="s">
        <v>22</v>
      </c>
      <c r="B26" s="45">
        <v>19638.052269712887</v>
      </c>
      <c r="C26" s="45">
        <v>7773.980375742869</v>
      </c>
      <c r="D26" s="45">
        <v>11855.209290463879</v>
      </c>
      <c r="E26" s="45">
        <v>8.8626035064530058</v>
      </c>
    </row>
    <row r="27" spans="1:5" x14ac:dyDescent="0.2">
      <c r="A27" s="183" t="s">
        <v>23</v>
      </c>
      <c r="B27" s="43">
        <v>23416.475564630131</v>
      </c>
      <c r="C27" s="43">
        <v>15081.1969668123</v>
      </c>
      <c r="D27" s="43">
        <v>8330.8472960649178</v>
      </c>
      <c r="E27" s="43">
        <v>4.4313017532265029</v>
      </c>
    </row>
    <row r="28" spans="1:5" x14ac:dyDescent="0.2">
      <c r="A28" s="73" t="s">
        <v>23</v>
      </c>
      <c r="B28" s="45">
        <v>11791.693965334309</v>
      </c>
      <c r="C28" s="45">
        <v>8048.7210844428719</v>
      </c>
      <c r="D28" s="45">
        <v>3738.5415791385253</v>
      </c>
      <c r="E28" s="45">
        <v>4.4313017532265029</v>
      </c>
    </row>
    <row r="29" spans="1:5" x14ac:dyDescent="0.2">
      <c r="A29" s="73" t="s">
        <v>24</v>
      </c>
      <c r="B29" s="45">
        <v>11624.781599296135</v>
      </c>
      <c r="C29" s="45">
        <v>7032.475882369743</v>
      </c>
      <c r="D29" s="45">
        <v>4592.3057169267067</v>
      </c>
      <c r="E29" s="46">
        <v>0</v>
      </c>
    </row>
    <row r="30" spans="1:5" x14ac:dyDescent="0.2">
      <c r="A30" s="183" t="s">
        <v>25</v>
      </c>
      <c r="B30" s="43">
        <v>2310.1853140153921</v>
      </c>
      <c r="C30" s="43">
        <v>1796.1543106411543</v>
      </c>
      <c r="D30" s="43">
        <v>514.03100337427691</v>
      </c>
      <c r="E30" s="44">
        <v>0</v>
      </c>
    </row>
    <row r="31" spans="1:5" x14ac:dyDescent="0.2">
      <c r="A31" s="73" t="s">
        <v>25</v>
      </c>
      <c r="B31" s="45">
        <v>2310.1853140153921</v>
      </c>
      <c r="C31" s="45">
        <v>1796.1543106411543</v>
      </c>
      <c r="D31" s="45">
        <v>514.03100337427691</v>
      </c>
      <c r="E31" s="46">
        <v>0</v>
      </c>
    </row>
    <row r="32" spans="1:5" x14ac:dyDescent="0.2">
      <c r="A32" s="183" t="s">
        <v>26</v>
      </c>
      <c r="B32" s="43">
        <v>1218.6079821372959</v>
      </c>
      <c r="C32" s="43">
        <v>1002.9512968136046</v>
      </c>
      <c r="D32" s="43">
        <v>214.17958473928138</v>
      </c>
      <c r="E32" s="43">
        <v>1.4771005844088343</v>
      </c>
    </row>
    <row r="33" spans="1:5" x14ac:dyDescent="0.2">
      <c r="A33" s="73" t="s">
        <v>26</v>
      </c>
      <c r="B33" s="45">
        <v>1218.6079821372959</v>
      </c>
      <c r="C33" s="45">
        <v>1002.9512968136046</v>
      </c>
      <c r="D33" s="45">
        <v>214.17958473928138</v>
      </c>
      <c r="E33" s="45">
        <v>1.4771005844088343</v>
      </c>
    </row>
    <row r="34" spans="1:5" x14ac:dyDescent="0.2">
      <c r="A34" s="183" t="s">
        <v>27</v>
      </c>
      <c r="B34" s="43">
        <v>5655.8181377009114</v>
      </c>
      <c r="C34" s="43">
        <v>4338.2444164084245</v>
      </c>
      <c r="D34" s="43">
        <v>1316.0966207082797</v>
      </c>
      <c r="E34" s="43">
        <v>1.4771005844088343</v>
      </c>
    </row>
    <row r="35" spans="1:5" x14ac:dyDescent="0.2">
      <c r="A35" s="73" t="s">
        <v>27</v>
      </c>
      <c r="B35" s="45">
        <v>5655.8181377009114</v>
      </c>
      <c r="C35" s="45">
        <v>4338.2444164084245</v>
      </c>
      <c r="D35" s="45">
        <v>1316.0966207082797</v>
      </c>
      <c r="E35" s="45">
        <v>1.4771005844088343</v>
      </c>
    </row>
    <row r="36" spans="1:5" x14ac:dyDescent="0.2">
      <c r="A36" s="183" t="s">
        <v>28</v>
      </c>
      <c r="B36" s="43">
        <v>12246.640945332163</v>
      </c>
      <c r="C36" s="43">
        <v>9158.0236233337437</v>
      </c>
      <c r="D36" s="43">
        <v>3085.6631208299164</v>
      </c>
      <c r="E36" s="43">
        <v>2.9542011688176686</v>
      </c>
    </row>
    <row r="37" spans="1:5" x14ac:dyDescent="0.2">
      <c r="A37" s="73" t="s">
        <v>28</v>
      </c>
      <c r="B37" s="45">
        <v>12246.640945332163</v>
      </c>
      <c r="C37" s="45">
        <v>9158.0236233337437</v>
      </c>
      <c r="D37" s="45">
        <v>3085.6631208299164</v>
      </c>
      <c r="E37" s="45">
        <v>2.9542011688176686</v>
      </c>
    </row>
    <row r="38" spans="1:5" x14ac:dyDescent="0.2">
      <c r="A38" s="183" t="s">
        <v>29</v>
      </c>
      <c r="B38" s="43">
        <v>33499.164153803358</v>
      </c>
      <c r="C38" s="43">
        <v>21945.283382559148</v>
      </c>
      <c r="D38" s="43">
        <v>11539.109765400435</v>
      </c>
      <c r="E38" s="43">
        <v>14.771005844088343</v>
      </c>
    </row>
    <row r="39" spans="1:5" x14ac:dyDescent="0.2">
      <c r="A39" s="73" t="s">
        <v>30</v>
      </c>
      <c r="B39" s="45">
        <v>21095.950546524193</v>
      </c>
      <c r="C39" s="45">
        <v>13144.718100652603</v>
      </c>
      <c r="D39" s="45">
        <v>7945.3240435342686</v>
      </c>
      <c r="E39" s="45">
        <v>5.9084023376353372</v>
      </c>
    </row>
    <row r="40" spans="1:5" x14ac:dyDescent="0.2">
      <c r="A40" s="73" t="s">
        <v>29</v>
      </c>
      <c r="B40" s="45">
        <v>12403.213607279476</v>
      </c>
      <c r="C40" s="45">
        <v>8800.5652819068582</v>
      </c>
      <c r="D40" s="45">
        <v>3593.7857218664808</v>
      </c>
      <c r="E40" s="45">
        <v>8.8626035064530058</v>
      </c>
    </row>
    <row r="41" spans="1:5" x14ac:dyDescent="0.2">
      <c r="A41" s="183" t="s">
        <v>31</v>
      </c>
      <c r="B41" s="43">
        <v>11872.934497476783</v>
      </c>
      <c r="C41" s="43">
        <v>6432.7730450998442</v>
      </c>
      <c r="D41" s="43">
        <v>5438.6843517928446</v>
      </c>
      <c r="E41" s="43">
        <v>1.4771005844088343</v>
      </c>
    </row>
    <row r="42" spans="1:5" x14ac:dyDescent="0.2">
      <c r="A42" s="73" t="s">
        <v>31</v>
      </c>
      <c r="B42" s="45">
        <v>11872.934497476783</v>
      </c>
      <c r="C42" s="45">
        <v>6432.7730450998442</v>
      </c>
      <c r="D42" s="45">
        <v>5438.6843517928446</v>
      </c>
      <c r="E42" s="45">
        <v>1.4771005844088343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47"/>
  <sheetViews>
    <sheetView workbookViewId="0">
      <selection activeCell="A2" sqref="A2:A3"/>
    </sheetView>
  </sheetViews>
  <sheetFormatPr defaultRowHeight="12" x14ac:dyDescent="0.2"/>
  <cols>
    <col min="1" max="1" width="17.85546875" style="575" customWidth="1"/>
    <col min="2" max="2" width="9.140625" style="575"/>
    <col min="3" max="3" width="14.140625" style="575" customWidth="1"/>
    <col min="4" max="4" width="11" style="575" customWidth="1"/>
    <col min="5" max="5" width="9.140625" style="575"/>
    <col min="6" max="6" width="13.140625" style="575" customWidth="1"/>
    <col min="7" max="10" width="9.140625" style="575"/>
    <col min="11" max="11" width="10.140625" style="575" customWidth="1"/>
    <col min="12" max="16384" width="9.140625" style="575"/>
  </cols>
  <sheetData>
    <row r="1" spans="1:12" x14ac:dyDescent="0.2">
      <c r="A1" s="846" t="s">
        <v>430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</row>
    <row r="2" spans="1:12" ht="15" customHeight="1" x14ac:dyDescent="0.2">
      <c r="A2" s="942" t="str">
        <f>'Q9.6'!$A$2</f>
        <v>Área de residência, município e comuna</v>
      </c>
      <c r="B2" s="847" t="s">
        <v>84</v>
      </c>
      <c r="C2" s="847" t="s">
        <v>431</v>
      </c>
      <c r="D2" s="849" t="s">
        <v>432</v>
      </c>
      <c r="E2" s="849"/>
      <c r="F2" s="849"/>
      <c r="G2" s="849"/>
      <c r="H2" s="849"/>
      <c r="I2" s="849"/>
      <c r="J2" s="849"/>
      <c r="K2" s="849"/>
      <c r="L2" s="849"/>
    </row>
    <row r="3" spans="1:12" ht="70.5" customHeight="1" x14ac:dyDescent="0.2">
      <c r="A3" s="943"/>
      <c r="B3" s="848"/>
      <c r="C3" s="848"/>
      <c r="D3" s="495" t="s">
        <v>433</v>
      </c>
      <c r="E3" s="495" t="s">
        <v>434</v>
      </c>
      <c r="F3" s="495" t="s">
        <v>435</v>
      </c>
      <c r="G3" s="495" t="s">
        <v>436</v>
      </c>
      <c r="H3" s="495" t="s">
        <v>437</v>
      </c>
      <c r="I3" s="495" t="s">
        <v>438</v>
      </c>
      <c r="J3" s="495" t="s">
        <v>439</v>
      </c>
      <c r="K3" s="495" t="s">
        <v>440</v>
      </c>
      <c r="L3" s="495" t="s">
        <v>441</v>
      </c>
    </row>
    <row r="4" spans="1:12" x14ac:dyDescent="0.2">
      <c r="A4" s="352" t="s">
        <v>32</v>
      </c>
      <c r="B4" s="42">
        <v>261282.84527673907</v>
      </c>
      <c r="C4" s="42">
        <v>141238.88078066809</v>
      </c>
      <c r="D4" s="42">
        <v>49035.308100613198</v>
      </c>
      <c r="E4" s="42">
        <v>381.09195077748086</v>
      </c>
      <c r="F4" s="42">
        <v>16406.156191026832</v>
      </c>
      <c r="G4" s="42">
        <v>200.88567947960178</v>
      </c>
      <c r="H4" s="42">
        <v>41441.533996168495</v>
      </c>
      <c r="I4" s="42">
        <v>4333.8131146551987</v>
      </c>
      <c r="J4" s="42">
        <v>15915.758797003169</v>
      </c>
      <c r="K4" s="42">
        <v>881.8290488920793</v>
      </c>
      <c r="L4" s="42">
        <v>12642.503901953673</v>
      </c>
    </row>
    <row r="5" spans="1:12" x14ac:dyDescent="0.2">
      <c r="A5" s="35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x14ac:dyDescent="0.2">
      <c r="A6" s="354" t="s">
        <v>167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x14ac:dyDescent="0.2">
      <c r="A7" s="355" t="s">
        <v>8</v>
      </c>
      <c r="B7" s="45">
        <v>74088.411112767761</v>
      </c>
      <c r="C7" s="45">
        <v>11460.823434426778</v>
      </c>
      <c r="D7" s="45">
        <v>1889.2116474589116</v>
      </c>
      <c r="E7" s="45">
        <v>119.64514733711538</v>
      </c>
      <c r="F7" s="45">
        <v>1825.6963223293312</v>
      </c>
      <c r="G7" s="45">
        <v>94.534437402165253</v>
      </c>
      <c r="H7" s="45">
        <v>1401.7684546039927</v>
      </c>
      <c r="I7" s="45">
        <v>1339.7302300588212</v>
      </c>
      <c r="J7" s="45">
        <v>1549.4785130448772</v>
      </c>
      <c r="K7" s="45">
        <v>143.27875668765682</v>
      </c>
      <c r="L7" s="45">
        <v>3097.4799255051853</v>
      </c>
    </row>
    <row r="8" spans="1:12" x14ac:dyDescent="0.2">
      <c r="A8" s="355" t="s">
        <v>9</v>
      </c>
      <c r="B8" s="45">
        <v>187194.43416324173</v>
      </c>
      <c r="C8" s="45">
        <v>129778.05734614146</v>
      </c>
      <c r="D8" s="45">
        <v>47146.096453154576</v>
      </c>
      <c r="E8" s="45">
        <v>261.44680344036442</v>
      </c>
      <c r="F8" s="45">
        <v>14580.459868697779</v>
      </c>
      <c r="G8" s="45">
        <v>106.3512420774359</v>
      </c>
      <c r="H8" s="45">
        <v>40039.765541564717</v>
      </c>
      <c r="I8" s="45">
        <v>2994.0828845965821</v>
      </c>
      <c r="J8" s="45">
        <v>14366.280283958529</v>
      </c>
      <c r="K8" s="45">
        <v>738.55029220442134</v>
      </c>
      <c r="L8" s="45">
        <v>9545.0239764488015</v>
      </c>
    </row>
    <row r="9" spans="1:12" x14ac:dyDescent="0.2">
      <c r="A9" s="354" t="s">
        <v>582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2" x14ac:dyDescent="0.2">
      <c r="A10" s="356" t="s">
        <v>11</v>
      </c>
      <c r="B10" s="43">
        <v>34100.344091657666</v>
      </c>
      <c r="C10" s="43">
        <v>18951.20049796288</v>
      </c>
      <c r="D10" s="43">
        <v>6534.6929854240389</v>
      </c>
      <c r="E10" s="43">
        <v>72.377928636032792</v>
      </c>
      <c r="F10" s="43">
        <v>2627.7619396632449</v>
      </c>
      <c r="G10" s="43">
        <v>13.293905259679509</v>
      </c>
      <c r="H10" s="43">
        <v>5468.226363481017</v>
      </c>
      <c r="I10" s="43">
        <v>797.63431558077514</v>
      </c>
      <c r="J10" s="43">
        <v>2150.6584508992614</v>
      </c>
      <c r="K10" s="43">
        <v>168.38946662260719</v>
      </c>
      <c r="L10" s="43">
        <v>1118.1651423974945</v>
      </c>
    </row>
    <row r="11" spans="1:12" x14ac:dyDescent="0.2">
      <c r="A11" s="357" t="s">
        <v>12</v>
      </c>
      <c r="B11" s="45">
        <v>22028.00101528603</v>
      </c>
      <c r="C11" s="45">
        <v>10160.974920147195</v>
      </c>
      <c r="D11" s="45">
        <v>3234.8502798551867</v>
      </c>
      <c r="E11" s="45">
        <v>56.129822207535653</v>
      </c>
      <c r="F11" s="45">
        <v>1592.3144299927337</v>
      </c>
      <c r="G11" s="45">
        <v>8.8626035064530058</v>
      </c>
      <c r="H11" s="45">
        <v>2865.5751337530323</v>
      </c>
      <c r="I11" s="45">
        <v>488.92029343932654</v>
      </c>
      <c r="J11" s="45">
        <v>976.36348629424538</v>
      </c>
      <c r="K11" s="45">
        <v>150.66425960970105</v>
      </c>
      <c r="L11" s="45">
        <v>787.29461148991322</v>
      </c>
    </row>
    <row r="12" spans="1:12" x14ac:dyDescent="0.2">
      <c r="A12" s="358" t="s">
        <v>13</v>
      </c>
      <c r="B12" s="45">
        <v>12072.343076371946</v>
      </c>
      <c r="C12" s="45">
        <v>8790.2255778159979</v>
      </c>
      <c r="D12" s="45">
        <v>3299.8427055691659</v>
      </c>
      <c r="E12" s="45">
        <v>16.248106428497177</v>
      </c>
      <c r="F12" s="45">
        <v>1035.4475096705992</v>
      </c>
      <c r="G12" s="45">
        <v>4.4313017532265029</v>
      </c>
      <c r="H12" s="45">
        <v>2602.6512297282984</v>
      </c>
      <c r="I12" s="45">
        <v>308.71402214144746</v>
      </c>
      <c r="J12" s="45">
        <v>1174.2949646050306</v>
      </c>
      <c r="K12" s="45">
        <v>17.725207012906012</v>
      </c>
      <c r="L12" s="45">
        <v>330.87053090758013</v>
      </c>
    </row>
    <row r="13" spans="1:12" x14ac:dyDescent="0.2">
      <c r="A13" s="356" t="s">
        <v>44</v>
      </c>
      <c r="B13" s="43">
        <v>72729.478575111832</v>
      </c>
      <c r="C13" s="43">
        <v>25171.271058907569</v>
      </c>
      <c r="D13" s="43">
        <v>7392.8884249654457</v>
      </c>
      <c r="E13" s="43">
        <v>72.377928636032792</v>
      </c>
      <c r="F13" s="43">
        <v>4060.549506539604</v>
      </c>
      <c r="G13" s="43">
        <v>75.332129804850453</v>
      </c>
      <c r="H13" s="43">
        <v>4499.2483801089638</v>
      </c>
      <c r="I13" s="43">
        <v>1669.1236603819937</v>
      </c>
      <c r="J13" s="43">
        <v>3531.7474973213189</v>
      </c>
      <c r="K13" s="43">
        <v>85.671833895712268</v>
      </c>
      <c r="L13" s="43">
        <v>3784.3316972551925</v>
      </c>
    </row>
    <row r="14" spans="1:12" x14ac:dyDescent="0.2">
      <c r="A14" s="357" t="s">
        <v>15</v>
      </c>
      <c r="B14" s="45">
        <v>61466.586618996123</v>
      </c>
      <c r="C14" s="45">
        <v>17550.909143943511</v>
      </c>
      <c r="D14" s="45">
        <v>5075.3176080283247</v>
      </c>
      <c r="E14" s="45">
        <v>70.900828051623961</v>
      </c>
      <c r="F14" s="45">
        <v>2391.4258461578661</v>
      </c>
      <c r="G14" s="45">
        <v>69.42372746721513</v>
      </c>
      <c r="H14" s="45">
        <v>3057.5982097261526</v>
      </c>
      <c r="I14" s="45">
        <v>1166.9094616829864</v>
      </c>
      <c r="J14" s="45">
        <v>2571.6321174557174</v>
      </c>
      <c r="K14" s="45">
        <v>66.469526298397469</v>
      </c>
      <c r="L14" s="45">
        <v>3081.2318190766905</v>
      </c>
    </row>
    <row r="15" spans="1:12" x14ac:dyDescent="0.2">
      <c r="A15" s="357" t="s">
        <v>16</v>
      </c>
      <c r="B15" s="45">
        <v>11262.891956116024</v>
      </c>
      <c r="C15" s="45">
        <v>7620.3619149643728</v>
      </c>
      <c r="D15" s="45">
        <v>2317.5708169374352</v>
      </c>
      <c r="E15" s="45">
        <v>1.4771005844088343</v>
      </c>
      <c r="F15" s="45">
        <v>1669.1236603819937</v>
      </c>
      <c r="G15" s="45">
        <v>5.9084023376353372</v>
      </c>
      <c r="H15" s="45">
        <v>1441.6501703830315</v>
      </c>
      <c r="I15" s="45">
        <v>502.21419869900615</v>
      </c>
      <c r="J15" s="45">
        <v>960.11537986574808</v>
      </c>
      <c r="K15" s="45">
        <v>19.202307597314846</v>
      </c>
      <c r="L15" s="45">
        <v>703.09987817860906</v>
      </c>
    </row>
    <row r="16" spans="1:12" x14ac:dyDescent="0.2">
      <c r="A16" s="356" t="s">
        <v>17</v>
      </c>
      <c r="B16" s="43">
        <v>6311.6507971783376</v>
      </c>
      <c r="C16" s="43">
        <v>3539.1330002433619</v>
      </c>
      <c r="D16" s="43">
        <v>428.3591694785639</v>
      </c>
      <c r="E16" s="43">
        <v>14.771005844088343</v>
      </c>
      <c r="F16" s="43">
        <v>112.25964441507122</v>
      </c>
      <c r="G16" s="43">
        <v>10.33970409086184</v>
      </c>
      <c r="H16" s="43">
        <v>2760.7009922600205</v>
      </c>
      <c r="I16" s="43">
        <v>16.248106428497177</v>
      </c>
      <c r="J16" s="43">
        <v>62.038224545170976</v>
      </c>
      <c r="K16" s="43">
        <v>25.110709934950183</v>
      </c>
      <c r="L16" s="43">
        <v>109.30544324625356</v>
      </c>
    </row>
    <row r="17" spans="1:12" x14ac:dyDescent="0.2">
      <c r="A17" s="357" t="s">
        <v>17</v>
      </c>
      <c r="B17" s="45">
        <v>6311.6507971783376</v>
      </c>
      <c r="C17" s="45">
        <v>3539.1330002433619</v>
      </c>
      <c r="D17" s="45">
        <v>428.3591694785639</v>
      </c>
      <c r="E17" s="45">
        <v>14.771005844088343</v>
      </c>
      <c r="F17" s="45">
        <v>112.25964441507122</v>
      </c>
      <c r="G17" s="45">
        <v>10.33970409086184</v>
      </c>
      <c r="H17" s="45">
        <v>2760.7009922600205</v>
      </c>
      <c r="I17" s="45">
        <v>16.248106428497177</v>
      </c>
      <c r="J17" s="45">
        <v>62.038224545170976</v>
      </c>
      <c r="K17" s="45">
        <v>25.110709934950183</v>
      </c>
      <c r="L17" s="45">
        <v>109.30544324625356</v>
      </c>
    </row>
    <row r="18" spans="1:12" x14ac:dyDescent="0.2">
      <c r="A18" s="356" t="s">
        <v>18</v>
      </c>
      <c r="B18" s="43">
        <v>5462.3179611433825</v>
      </c>
      <c r="C18" s="43">
        <v>2994.0828845965821</v>
      </c>
      <c r="D18" s="43">
        <v>1655.8297551223141</v>
      </c>
      <c r="E18" s="43">
        <v>1.4771005844088343</v>
      </c>
      <c r="F18" s="43">
        <v>233.38189233659637</v>
      </c>
      <c r="G18" s="44">
        <v>0</v>
      </c>
      <c r="H18" s="43">
        <v>790.24881265873091</v>
      </c>
      <c r="I18" s="43">
        <v>29.542011688176686</v>
      </c>
      <c r="J18" s="43">
        <v>73.855029220441622</v>
      </c>
      <c r="K18" s="43">
        <v>19.202307597314846</v>
      </c>
      <c r="L18" s="43">
        <v>190.54597538873986</v>
      </c>
    </row>
    <row r="19" spans="1:12" x14ac:dyDescent="0.2">
      <c r="A19" s="357" t="s">
        <v>18</v>
      </c>
      <c r="B19" s="45">
        <v>5462.3179611433825</v>
      </c>
      <c r="C19" s="45">
        <v>2994.0828845965821</v>
      </c>
      <c r="D19" s="45">
        <v>1655.8297551223141</v>
      </c>
      <c r="E19" s="45">
        <v>1.4771005844088343</v>
      </c>
      <c r="F19" s="45">
        <v>233.38189233659637</v>
      </c>
      <c r="G19" s="46">
        <v>0</v>
      </c>
      <c r="H19" s="45">
        <v>790.24881265873091</v>
      </c>
      <c r="I19" s="45">
        <v>29.542011688176686</v>
      </c>
      <c r="J19" s="45">
        <v>73.855029220441622</v>
      </c>
      <c r="K19" s="45">
        <v>19.202307597314846</v>
      </c>
      <c r="L19" s="45">
        <v>190.54597538873986</v>
      </c>
    </row>
    <row r="20" spans="1:12" x14ac:dyDescent="0.2">
      <c r="A20" s="356" t="s">
        <v>19</v>
      </c>
      <c r="B20" s="43">
        <v>21072.316937173655</v>
      </c>
      <c r="C20" s="43">
        <v>15109.261877916064</v>
      </c>
      <c r="D20" s="43">
        <v>3571.6292131003515</v>
      </c>
      <c r="E20" s="43">
        <v>23.633609350541349</v>
      </c>
      <c r="F20" s="43">
        <v>1514.0280990190649</v>
      </c>
      <c r="G20" s="43">
        <v>25.110709934950183</v>
      </c>
      <c r="H20" s="43">
        <v>7576.0488974321142</v>
      </c>
      <c r="I20" s="43">
        <v>327.91632973876244</v>
      </c>
      <c r="J20" s="43">
        <v>1028.0620067485549</v>
      </c>
      <c r="K20" s="43">
        <v>217.13378590809907</v>
      </c>
      <c r="L20" s="43">
        <v>825.69922668454319</v>
      </c>
    </row>
    <row r="21" spans="1:12" x14ac:dyDescent="0.2">
      <c r="A21" s="357" t="s">
        <v>19</v>
      </c>
      <c r="B21" s="45">
        <v>12692.725321823566</v>
      </c>
      <c r="C21" s="45">
        <v>8429.8130352202952</v>
      </c>
      <c r="D21" s="45">
        <v>2468.2350765471142</v>
      </c>
      <c r="E21" s="45">
        <v>22.156508766132514</v>
      </c>
      <c r="F21" s="45">
        <v>955.68407811252155</v>
      </c>
      <c r="G21" s="45">
        <v>13.293905259679509</v>
      </c>
      <c r="H21" s="45">
        <v>3313.1366108288435</v>
      </c>
      <c r="I21" s="45">
        <v>254.06130051832019</v>
      </c>
      <c r="J21" s="45">
        <v>738.55029220442134</v>
      </c>
      <c r="K21" s="45">
        <v>101.91994032420941</v>
      </c>
      <c r="L21" s="45">
        <v>562.77532265976879</v>
      </c>
    </row>
    <row r="22" spans="1:12" x14ac:dyDescent="0.2">
      <c r="A22" s="357" t="s">
        <v>20</v>
      </c>
      <c r="B22" s="45">
        <v>8379.5916153504022</v>
      </c>
      <c r="C22" s="45">
        <v>6679.4488426960834</v>
      </c>
      <c r="D22" s="45">
        <v>1103.394136553406</v>
      </c>
      <c r="E22" s="45">
        <v>1.4771005844088343</v>
      </c>
      <c r="F22" s="45">
        <v>558.34402090654226</v>
      </c>
      <c r="G22" s="45">
        <v>11.816804675270674</v>
      </c>
      <c r="H22" s="45">
        <v>4262.912286603585</v>
      </c>
      <c r="I22" s="45">
        <v>73.855029220441622</v>
      </c>
      <c r="J22" s="45">
        <v>289.51171454413247</v>
      </c>
      <c r="K22" s="45">
        <v>115.21384558388888</v>
      </c>
      <c r="L22" s="45">
        <v>262.92390402477326</v>
      </c>
    </row>
    <row r="23" spans="1:12" x14ac:dyDescent="0.2">
      <c r="A23" s="356" t="s">
        <v>21</v>
      </c>
      <c r="B23" s="43">
        <v>11748.858048386459</v>
      </c>
      <c r="C23" s="43">
        <v>7945.3240435342686</v>
      </c>
      <c r="D23" s="43">
        <v>2595.2657268062553</v>
      </c>
      <c r="E23" s="43">
        <v>48.7443192854915</v>
      </c>
      <c r="F23" s="43">
        <v>1042.8330125926434</v>
      </c>
      <c r="G23" s="43">
        <v>20.67940818172368</v>
      </c>
      <c r="H23" s="43">
        <v>2719.3421758965792</v>
      </c>
      <c r="I23" s="43">
        <v>290.98881512854132</v>
      </c>
      <c r="J23" s="43">
        <v>649.92425713989064</v>
      </c>
      <c r="K23" s="43">
        <v>57.606922791944484</v>
      </c>
      <c r="L23" s="43">
        <v>519.93940571191229</v>
      </c>
    </row>
    <row r="24" spans="1:12" x14ac:dyDescent="0.2">
      <c r="A24" s="357" t="s">
        <v>21</v>
      </c>
      <c r="B24" s="45">
        <v>11748.858048386459</v>
      </c>
      <c r="C24" s="45">
        <v>7945.3240435342686</v>
      </c>
      <c r="D24" s="45">
        <v>2595.2657268062553</v>
      </c>
      <c r="E24" s="45">
        <v>48.7443192854915</v>
      </c>
      <c r="F24" s="45">
        <v>1042.8330125926434</v>
      </c>
      <c r="G24" s="45">
        <v>20.67940818172368</v>
      </c>
      <c r="H24" s="45">
        <v>2719.3421758965792</v>
      </c>
      <c r="I24" s="45">
        <v>290.98881512854132</v>
      </c>
      <c r="J24" s="45">
        <v>649.92425713989064</v>
      </c>
      <c r="K24" s="45">
        <v>57.606922791944484</v>
      </c>
      <c r="L24" s="45">
        <v>519.93940571191229</v>
      </c>
    </row>
    <row r="25" spans="1:12" ht="15" customHeight="1" x14ac:dyDescent="0.2">
      <c r="A25" s="356" t="s">
        <v>22</v>
      </c>
      <c r="B25" s="43">
        <v>19638.052269712887</v>
      </c>
      <c r="C25" s="43">
        <v>7773.980375742869</v>
      </c>
      <c r="D25" s="43">
        <v>3747.404182644977</v>
      </c>
      <c r="E25" s="43">
        <v>39.881715779038515</v>
      </c>
      <c r="F25" s="43">
        <v>531.75621038718305</v>
      </c>
      <c r="G25" s="43">
        <v>7.3855029220441715</v>
      </c>
      <c r="H25" s="43">
        <v>1010.3367997356488</v>
      </c>
      <c r="I25" s="43">
        <v>119.64514733711538</v>
      </c>
      <c r="J25" s="43">
        <v>1378.1348452534512</v>
      </c>
      <c r="K25" s="43">
        <v>25.110709934950183</v>
      </c>
      <c r="L25" s="43">
        <v>914.32526174907389</v>
      </c>
    </row>
    <row r="26" spans="1:12" ht="13.5" customHeight="1" x14ac:dyDescent="0.2">
      <c r="A26" s="357" t="s">
        <v>22</v>
      </c>
      <c r="B26" s="45">
        <v>19638.052269712887</v>
      </c>
      <c r="C26" s="45">
        <v>7773.980375742869</v>
      </c>
      <c r="D26" s="45">
        <v>3747.404182644977</v>
      </c>
      <c r="E26" s="45">
        <v>39.881715779038515</v>
      </c>
      <c r="F26" s="45">
        <v>531.75621038718305</v>
      </c>
      <c r="G26" s="45">
        <v>7.3855029220441715</v>
      </c>
      <c r="H26" s="45">
        <v>1010.3367997356488</v>
      </c>
      <c r="I26" s="45">
        <v>119.64514733711538</v>
      </c>
      <c r="J26" s="45">
        <v>1378.1348452534512</v>
      </c>
      <c r="K26" s="45">
        <v>25.110709934950183</v>
      </c>
      <c r="L26" s="45">
        <v>914.32526174907389</v>
      </c>
    </row>
    <row r="27" spans="1:12" x14ac:dyDescent="0.2">
      <c r="A27" s="356" t="s">
        <v>23</v>
      </c>
      <c r="B27" s="43">
        <v>23416.475564630131</v>
      </c>
      <c r="C27" s="43">
        <v>15081.1969668123</v>
      </c>
      <c r="D27" s="43">
        <v>5329.3789085466069</v>
      </c>
      <c r="E27" s="43">
        <v>56.129822207535653</v>
      </c>
      <c r="F27" s="43">
        <v>864.10384187917316</v>
      </c>
      <c r="G27" s="43">
        <v>8.8626035064530058</v>
      </c>
      <c r="H27" s="43">
        <v>4887.7258338084303</v>
      </c>
      <c r="I27" s="43">
        <v>279.17201045327056</v>
      </c>
      <c r="J27" s="43">
        <v>2205.3111725223803</v>
      </c>
      <c r="K27" s="43">
        <v>62.038224545170976</v>
      </c>
      <c r="L27" s="43">
        <v>1388.4745493443131</v>
      </c>
    </row>
    <row r="28" spans="1:12" x14ac:dyDescent="0.2">
      <c r="A28" s="357" t="s">
        <v>23</v>
      </c>
      <c r="B28" s="45">
        <v>11791.693965334309</v>
      </c>
      <c r="C28" s="45">
        <v>8048.7210844428719</v>
      </c>
      <c r="D28" s="45">
        <v>2683.8917618707724</v>
      </c>
      <c r="E28" s="45">
        <v>20.67940818172368</v>
      </c>
      <c r="F28" s="45">
        <v>319.05372623230937</v>
      </c>
      <c r="G28" s="45">
        <v>7.3855029220441715</v>
      </c>
      <c r="H28" s="45">
        <v>2415.059455508404</v>
      </c>
      <c r="I28" s="45">
        <v>158.04976253174527</v>
      </c>
      <c r="J28" s="45">
        <v>1639.5816486938168</v>
      </c>
      <c r="K28" s="45">
        <v>31.01911227258552</v>
      </c>
      <c r="L28" s="45">
        <v>774.00070623023362</v>
      </c>
    </row>
    <row r="29" spans="1:12" x14ac:dyDescent="0.2">
      <c r="A29" s="357" t="s">
        <v>24</v>
      </c>
      <c r="B29" s="45">
        <v>11624.781599296135</v>
      </c>
      <c r="C29" s="45">
        <v>7032.475882369743</v>
      </c>
      <c r="D29" s="45">
        <v>2645.4871466761483</v>
      </c>
      <c r="E29" s="45">
        <v>35.450414025812023</v>
      </c>
      <c r="F29" s="45">
        <v>545.05011564686265</v>
      </c>
      <c r="G29" s="45">
        <v>1.4771005844088343</v>
      </c>
      <c r="H29" s="45">
        <v>2472.6663783003401</v>
      </c>
      <c r="I29" s="45">
        <v>121.12224792152421</v>
      </c>
      <c r="J29" s="45">
        <v>565.72952382858648</v>
      </c>
      <c r="K29" s="45">
        <v>31.01911227258552</v>
      </c>
      <c r="L29" s="45">
        <v>614.47384311407836</v>
      </c>
    </row>
    <row r="30" spans="1:12" x14ac:dyDescent="0.2">
      <c r="A30" s="356" t="s">
        <v>25</v>
      </c>
      <c r="B30" s="43">
        <v>2310.1853140153921</v>
      </c>
      <c r="C30" s="43">
        <v>1796.1543106411543</v>
      </c>
      <c r="D30" s="43">
        <v>971.93218454101884</v>
      </c>
      <c r="E30" s="43">
        <v>14.771005844088343</v>
      </c>
      <c r="F30" s="43">
        <v>31.01911227258552</v>
      </c>
      <c r="G30" s="44">
        <v>0</v>
      </c>
      <c r="H30" s="43">
        <v>552.43561856890688</v>
      </c>
      <c r="I30" s="43">
        <v>103.39704090861824</v>
      </c>
      <c r="J30" s="43">
        <v>85.671833895712268</v>
      </c>
      <c r="K30" s="43">
        <v>5.9084023376353372</v>
      </c>
      <c r="L30" s="43">
        <v>31.01911227258552</v>
      </c>
    </row>
    <row r="31" spans="1:12" x14ac:dyDescent="0.2">
      <c r="A31" s="357" t="s">
        <v>25</v>
      </c>
      <c r="B31" s="45">
        <v>2310.1853140153921</v>
      </c>
      <c r="C31" s="45">
        <v>1796.1543106411543</v>
      </c>
      <c r="D31" s="45">
        <v>971.93218454101884</v>
      </c>
      <c r="E31" s="45">
        <v>14.771005844088343</v>
      </c>
      <c r="F31" s="45">
        <v>31.01911227258552</v>
      </c>
      <c r="G31" s="46">
        <v>0</v>
      </c>
      <c r="H31" s="45">
        <v>552.43561856890688</v>
      </c>
      <c r="I31" s="45">
        <v>103.39704090861824</v>
      </c>
      <c r="J31" s="45">
        <v>85.671833895712268</v>
      </c>
      <c r="K31" s="45">
        <v>5.9084023376353372</v>
      </c>
      <c r="L31" s="45">
        <v>31.01911227258552</v>
      </c>
    </row>
    <row r="32" spans="1:12" x14ac:dyDescent="0.2">
      <c r="A32" s="356" t="s">
        <v>26</v>
      </c>
      <c r="B32" s="43">
        <v>1218.6079821372959</v>
      </c>
      <c r="C32" s="43">
        <v>1002.9512968136046</v>
      </c>
      <c r="D32" s="43">
        <v>276.21780928445287</v>
      </c>
      <c r="E32" s="43">
        <v>2.9542011688176686</v>
      </c>
      <c r="F32" s="43">
        <v>44.313017532265008</v>
      </c>
      <c r="G32" s="44">
        <v>0</v>
      </c>
      <c r="H32" s="43">
        <v>483.01189110169116</v>
      </c>
      <c r="I32" s="43">
        <v>20.67940818172368</v>
      </c>
      <c r="J32" s="43">
        <v>128.50775084356837</v>
      </c>
      <c r="K32" s="43">
        <v>1.4771005844088343</v>
      </c>
      <c r="L32" s="43">
        <v>45.790118116673838</v>
      </c>
    </row>
    <row r="33" spans="1:15" x14ac:dyDescent="0.2">
      <c r="A33" s="357" t="s">
        <v>26</v>
      </c>
      <c r="B33" s="45">
        <v>1218.6079821372959</v>
      </c>
      <c r="C33" s="45">
        <v>1002.9512968136046</v>
      </c>
      <c r="D33" s="45">
        <v>276.21780928445287</v>
      </c>
      <c r="E33" s="45">
        <v>2.9542011688176686</v>
      </c>
      <c r="F33" s="45">
        <v>44.313017532265008</v>
      </c>
      <c r="G33" s="46">
        <v>0</v>
      </c>
      <c r="H33" s="45">
        <v>483.01189110169116</v>
      </c>
      <c r="I33" s="45">
        <v>20.67940818172368</v>
      </c>
      <c r="J33" s="45">
        <v>128.50775084356837</v>
      </c>
      <c r="K33" s="45">
        <v>1.4771005844088343</v>
      </c>
      <c r="L33" s="45">
        <v>45.790118116673838</v>
      </c>
    </row>
    <row r="34" spans="1:15" x14ac:dyDescent="0.2">
      <c r="A34" s="356" t="s">
        <v>27</v>
      </c>
      <c r="B34" s="43">
        <v>5655.8181377009114</v>
      </c>
      <c r="C34" s="43">
        <v>4338.2444164084245</v>
      </c>
      <c r="D34" s="43">
        <v>1451.9898744738935</v>
      </c>
      <c r="E34" s="43">
        <v>1.4771005844088343</v>
      </c>
      <c r="F34" s="43">
        <v>239.29029467423175</v>
      </c>
      <c r="G34" s="43">
        <v>5.9084023376353372</v>
      </c>
      <c r="H34" s="43">
        <v>2106.3454333670029</v>
      </c>
      <c r="I34" s="43">
        <v>31.01911227258552</v>
      </c>
      <c r="J34" s="43">
        <v>239.29029467423175</v>
      </c>
      <c r="K34" s="43">
        <v>4.4313017532265029</v>
      </c>
      <c r="L34" s="43">
        <v>258.49260227154673</v>
      </c>
    </row>
    <row r="35" spans="1:15" x14ac:dyDescent="0.2">
      <c r="A35" s="357" t="s">
        <v>27</v>
      </c>
      <c r="B35" s="45">
        <v>5655.8181377009114</v>
      </c>
      <c r="C35" s="45">
        <v>4338.2444164084245</v>
      </c>
      <c r="D35" s="45">
        <v>1451.9898744738935</v>
      </c>
      <c r="E35" s="45">
        <v>1.4771005844088343</v>
      </c>
      <c r="F35" s="45">
        <v>239.29029467423175</v>
      </c>
      <c r="G35" s="45">
        <v>5.9084023376353372</v>
      </c>
      <c r="H35" s="45">
        <v>2106.3454333670029</v>
      </c>
      <c r="I35" s="45">
        <v>31.01911227258552</v>
      </c>
      <c r="J35" s="45">
        <v>239.29029467423175</v>
      </c>
      <c r="K35" s="45">
        <v>4.4313017532265029</v>
      </c>
      <c r="L35" s="45">
        <v>258.49260227154673</v>
      </c>
    </row>
    <row r="36" spans="1:15" x14ac:dyDescent="0.2">
      <c r="A36" s="356" t="s">
        <v>28</v>
      </c>
      <c r="B36" s="43">
        <v>12246.640945332163</v>
      </c>
      <c r="C36" s="43">
        <v>9158.0236233337437</v>
      </c>
      <c r="D36" s="43">
        <v>4553.9011017320827</v>
      </c>
      <c r="E36" s="43">
        <v>4.4313017532265029</v>
      </c>
      <c r="F36" s="43">
        <v>493.35159519255308</v>
      </c>
      <c r="G36" s="43">
        <v>2.9542011688176686</v>
      </c>
      <c r="H36" s="43">
        <v>2565.723715118083</v>
      </c>
      <c r="I36" s="43">
        <v>69.42372746721513</v>
      </c>
      <c r="J36" s="43">
        <v>794.68011441195745</v>
      </c>
      <c r="K36" s="43">
        <v>20.67940818172368</v>
      </c>
      <c r="L36" s="43">
        <v>652.87845830870833</v>
      </c>
    </row>
    <row r="37" spans="1:15" x14ac:dyDescent="0.2">
      <c r="A37" s="357" t="s">
        <v>28</v>
      </c>
      <c r="B37" s="45">
        <v>12246.640945332163</v>
      </c>
      <c r="C37" s="45">
        <v>9158.0236233337437</v>
      </c>
      <c r="D37" s="45">
        <v>4553.9011017320827</v>
      </c>
      <c r="E37" s="45">
        <v>4.4313017532265029</v>
      </c>
      <c r="F37" s="45">
        <v>493.35159519255308</v>
      </c>
      <c r="G37" s="45">
        <v>2.9542011688176686</v>
      </c>
      <c r="H37" s="45">
        <v>2565.723715118083</v>
      </c>
      <c r="I37" s="45">
        <v>69.42372746721513</v>
      </c>
      <c r="J37" s="45">
        <v>794.68011441195745</v>
      </c>
      <c r="K37" s="45">
        <v>20.67940818172368</v>
      </c>
      <c r="L37" s="45">
        <v>652.87845830870833</v>
      </c>
    </row>
    <row r="38" spans="1:15" x14ac:dyDescent="0.2">
      <c r="A38" s="356" t="s">
        <v>29</v>
      </c>
      <c r="B38" s="43">
        <v>33499.164153803358</v>
      </c>
      <c r="C38" s="43">
        <v>21945.283382559148</v>
      </c>
      <c r="D38" s="43">
        <v>7731.1444587950191</v>
      </c>
      <c r="E38" s="43">
        <v>16.248106428497177</v>
      </c>
      <c r="F38" s="43">
        <v>3682.4117569309979</v>
      </c>
      <c r="G38" s="43">
        <v>13.293905259679509</v>
      </c>
      <c r="H38" s="43">
        <v>5116.676424391766</v>
      </c>
      <c r="I38" s="43">
        <v>202.36278006401062</v>
      </c>
      <c r="J38" s="43">
        <v>2880.3461395971185</v>
      </c>
      <c r="K38" s="43">
        <v>119.64514733711538</v>
      </c>
      <c r="L38" s="43">
        <v>2183.154663756251</v>
      </c>
    </row>
    <row r="39" spans="1:15" x14ac:dyDescent="0.2">
      <c r="A39" s="357" t="s">
        <v>30</v>
      </c>
      <c r="B39" s="45">
        <v>21095.950546524193</v>
      </c>
      <c r="C39" s="45">
        <v>13144.718100652603</v>
      </c>
      <c r="D39" s="45">
        <v>3675.0262540089548</v>
      </c>
      <c r="E39" s="45">
        <v>5.9084023376353372</v>
      </c>
      <c r="F39" s="45">
        <v>2416.5365560928126</v>
      </c>
      <c r="G39" s="45">
        <v>11.816804675270674</v>
      </c>
      <c r="H39" s="45">
        <v>3583.4460177756205</v>
      </c>
      <c r="I39" s="45">
        <v>101.91994032420941</v>
      </c>
      <c r="J39" s="45">
        <v>1951.249872004083</v>
      </c>
      <c r="K39" s="45">
        <v>98.965739155391745</v>
      </c>
      <c r="L39" s="45">
        <v>1299.8485142797824</v>
      </c>
    </row>
    <row r="40" spans="1:15" x14ac:dyDescent="0.2">
      <c r="A40" s="357" t="s">
        <v>29</v>
      </c>
      <c r="B40" s="45">
        <v>12403.213607279476</v>
      </c>
      <c r="C40" s="45">
        <v>8800.5652819068582</v>
      </c>
      <c r="D40" s="45">
        <v>4056.1182047863781</v>
      </c>
      <c r="E40" s="45">
        <v>10.33970409086184</v>
      </c>
      <c r="F40" s="45">
        <v>1265.875200838379</v>
      </c>
      <c r="G40" s="45">
        <v>1.4771005844088343</v>
      </c>
      <c r="H40" s="45">
        <v>1533.2304066163799</v>
      </c>
      <c r="I40" s="45">
        <v>100.44283973980058</v>
      </c>
      <c r="J40" s="45">
        <v>929.09626759316234</v>
      </c>
      <c r="K40" s="45">
        <v>20.67940818172368</v>
      </c>
      <c r="L40" s="45">
        <v>883.30614947648814</v>
      </c>
    </row>
    <row r="41" spans="1:15" x14ac:dyDescent="0.2">
      <c r="A41" s="356" t="s">
        <v>31</v>
      </c>
      <c r="B41" s="43">
        <v>11872.934497476783</v>
      </c>
      <c r="C41" s="43">
        <v>6432.7730450998442</v>
      </c>
      <c r="D41" s="43">
        <v>2794.6743057014187</v>
      </c>
      <c r="E41" s="43">
        <v>11.816804675270674</v>
      </c>
      <c r="F41" s="43">
        <v>929.09626759316234</v>
      </c>
      <c r="G41" s="43">
        <v>17.725207012906012</v>
      </c>
      <c r="H41" s="43">
        <v>905.46265824262082</v>
      </c>
      <c r="I41" s="43">
        <v>376.66064902425433</v>
      </c>
      <c r="J41" s="43">
        <v>707.5311799318356</v>
      </c>
      <c r="K41" s="43">
        <v>69.42372746721513</v>
      </c>
      <c r="L41" s="43">
        <v>620.38224545171374</v>
      </c>
    </row>
    <row r="42" spans="1:15" x14ac:dyDescent="0.2">
      <c r="A42" s="357" t="s">
        <v>31</v>
      </c>
      <c r="B42" s="45">
        <v>11872.934497476783</v>
      </c>
      <c r="C42" s="45">
        <v>6432.7730450998442</v>
      </c>
      <c r="D42" s="45">
        <v>2794.6743057014187</v>
      </c>
      <c r="E42" s="45">
        <v>11.816804675270674</v>
      </c>
      <c r="F42" s="45">
        <v>929.09626759316234</v>
      </c>
      <c r="G42" s="45">
        <v>17.725207012906012</v>
      </c>
      <c r="H42" s="45">
        <v>905.46265824262082</v>
      </c>
      <c r="I42" s="45">
        <v>376.66064902425433</v>
      </c>
      <c r="J42" s="45">
        <v>707.5311799318356</v>
      </c>
      <c r="K42" s="45">
        <v>69.42372746721513</v>
      </c>
      <c r="L42" s="45">
        <v>620.38224545171374</v>
      </c>
    </row>
    <row r="43" spans="1:15" x14ac:dyDescent="0.2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</row>
    <row r="44" spans="1:15" x14ac:dyDescent="0.2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</row>
    <row r="45" spans="1:15" x14ac:dyDescent="0.2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</row>
    <row r="46" spans="1:15" x14ac:dyDescent="0.2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</row>
    <row r="47" spans="1:15" x14ac:dyDescent="0.2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44"/>
  <sheetViews>
    <sheetView zoomScale="120" zoomScaleNormal="120" workbookViewId="0">
      <selection activeCell="A2" sqref="A2:A3"/>
    </sheetView>
  </sheetViews>
  <sheetFormatPr defaultRowHeight="11.25" customHeight="1" x14ac:dyDescent="0.2"/>
  <cols>
    <col min="1" max="1" width="17.28515625" style="575" customWidth="1"/>
    <col min="2" max="2" width="10.5703125" style="575" customWidth="1"/>
    <col min="3" max="3" width="15.7109375" style="575" customWidth="1"/>
    <col min="4" max="4" width="18.28515625" style="575" customWidth="1"/>
    <col min="5" max="16384" width="9.140625" style="575"/>
  </cols>
  <sheetData>
    <row r="1" spans="1:4" ht="11.25" customHeight="1" x14ac:dyDescent="0.2">
      <c r="A1" s="850" t="s">
        <v>427</v>
      </c>
      <c r="B1" s="850"/>
      <c r="C1" s="850"/>
      <c r="D1" s="850"/>
    </row>
    <row r="2" spans="1:4" ht="11.25" customHeight="1" x14ac:dyDescent="0.2">
      <c r="A2" s="942" t="str">
        <f>'Q9.6'!$A$2</f>
        <v>Área de residência, município e comuna</v>
      </c>
      <c r="B2" s="851" t="s">
        <v>140</v>
      </c>
      <c r="C2" s="851" t="s">
        <v>428</v>
      </c>
      <c r="D2" s="851"/>
    </row>
    <row r="3" spans="1:4" ht="11.25" customHeight="1" x14ac:dyDescent="0.2">
      <c r="A3" s="943"/>
      <c r="B3" s="852"/>
      <c r="C3" s="319" t="s">
        <v>161</v>
      </c>
      <c r="D3" s="319" t="s">
        <v>162</v>
      </c>
    </row>
    <row r="4" spans="1:4" ht="11.25" customHeight="1" x14ac:dyDescent="0.2">
      <c r="A4" s="320" t="s">
        <v>32</v>
      </c>
      <c r="B4" s="42">
        <v>261282.84527673907</v>
      </c>
      <c r="C4" s="42">
        <v>79600.950493780721</v>
      </c>
      <c r="D4" s="42">
        <v>181681.89478217447</v>
      </c>
    </row>
    <row r="5" spans="1:4" ht="11.25" customHeight="1" x14ac:dyDescent="0.2">
      <c r="A5" s="427"/>
      <c r="B5" s="423"/>
      <c r="C5" s="423"/>
      <c r="D5" s="423"/>
    </row>
    <row r="6" spans="1:4" ht="11.25" customHeight="1" x14ac:dyDescent="0.2">
      <c r="A6" s="354" t="s">
        <v>583</v>
      </c>
      <c r="B6" s="42"/>
      <c r="C6" s="42"/>
      <c r="D6" s="42"/>
    </row>
    <row r="7" spans="1:4" ht="11.25" customHeight="1" x14ac:dyDescent="0.2">
      <c r="A7" s="322" t="s">
        <v>8</v>
      </c>
      <c r="B7" s="45">
        <v>74088.411112767761</v>
      </c>
      <c r="C7" s="45">
        <v>5304.2681986116604</v>
      </c>
      <c r="D7" s="45">
        <v>68784.142914156415</v>
      </c>
    </row>
    <row r="8" spans="1:4" ht="11.25" customHeight="1" x14ac:dyDescent="0.2">
      <c r="A8" s="322" t="s">
        <v>9</v>
      </c>
      <c r="B8" s="45">
        <v>187194.43416324173</v>
      </c>
      <c r="C8" s="45">
        <v>74296.682295169376</v>
      </c>
      <c r="D8" s="45">
        <v>112897.75186751978</v>
      </c>
    </row>
    <row r="9" spans="1:4" ht="11.25" customHeight="1" x14ac:dyDescent="0.2">
      <c r="A9" s="321" t="s">
        <v>582</v>
      </c>
      <c r="B9" s="42"/>
      <c r="C9" s="42"/>
      <c r="D9" s="42"/>
    </row>
    <row r="10" spans="1:4" ht="11.25" customHeight="1" x14ac:dyDescent="0.2">
      <c r="A10" s="323" t="s">
        <v>11</v>
      </c>
      <c r="B10" s="43">
        <v>34100.344091657666</v>
      </c>
      <c r="C10" s="43">
        <v>11976.331538385386</v>
      </c>
      <c r="D10" s="43">
        <v>22124.012553272591</v>
      </c>
    </row>
    <row r="11" spans="1:4" ht="11.25" customHeight="1" x14ac:dyDescent="0.2">
      <c r="A11" s="331" t="s">
        <v>12</v>
      </c>
      <c r="B11" s="45">
        <v>22028.00101528603</v>
      </c>
      <c r="C11" s="45">
        <v>5478.5660675718773</v>
      </c>
      <c r="D11" s="45">
        <v>16549.434947714468</v>
      </c>
    </row>
    <row r="12" spans="1:4" ht="11.25" customHeight="1" x14ac:dyDescent="0.2">
      <c r="A12" s="332" t="s">
        <v>13</v>
      </c>
      <c r="B12" s="45">
        <v>12072.343076371946</v>
      </c>
      <c r="C12" s="45">
        <v>6497.7654708138234</v>
      </c>
      <c r="D12" s="45">
        <v>5574.5776055584374</v>
      </c>
    </row>
    <row r="13" spans="1:4" ht="11.25" customHeight="1" x14ac:dyDescent="0.2">
      <c r="A13" s="323" t="s">
        <v>44</v>
      </c>
      <c r="B13" s="43">
        <v>72729.478575111832</v>
      </c>
      <c r="C13" s="43">
        <v>15714.873117523597</v>
      </c>
      <c r="D13" s="43">
        <v>57014.60545758855</v>
      </c>
    </row>
    <row r="14" spans="1:4" ht="11.25" customHeight="1" x14ac:dyDescent="0.2">
      <c r="A14" s="331" t="s">
        <v>15</v>
      </c>
      <c r="B14" s="45">
        <v>61466.586618996123</v>
      </c>
      <c r="C14" s="45">
        <v>10017.696163459559</v>
      </c>
      <c r="D14" s="45">
        <v>51448.890455536879</v>
      </c>
    </row>
    <row r="15" spans="1:4" ht="11.25" customHeight="1" x14ac:dyDescent="0.2">
      <c r="A15" s="331" t="s">
        <v>16</v>
      </c>
      <c r="B15" s="45">
        <v>11262.891956116024</v>
      </c>
      <c r="C15" s="45">
        <v>5697.1769540643527</v>
      </c>
      <c r="D15" s="45">
        <v>5565.7150020519857</v>
      </c>
    </row>
    <row r="16" spans="1:4" ht="11.25" customHeight="1" x14ac:dyDescent="0.2">
      <c r="A16" s="323" t="s">
        <v>17</v>
      </c>
      <c r="B16" s="43">
        <v>6311.6507971783376</v>
      </c>
      <c r="C16" s="43">
        <v>1812.4024170696516</v>
      </c>
      <c r="D16" s="43">
        <v>4499.2483801089638</v>
      </c>
    </row>
    <row r="17" spans="1:4" ht="11.25" customHeight="1" x14ac:dyDescent="0.2">
      <c r="A17" s="331" t="s">
        <v>17</v>
      </c>
      <c r="B17" s="45">
        <v>6311.6507971783376</v>
      </c>
      <c r="C17" s="45">
        <v>1812.4024170696516</v>
      </c>
      <c r="D17" s="45">
        <v>4499.2483801089638</v>
      </c>
    </row>
    <row r="18" spans="1:4" ht="11.25" customHeight="1" x14ac:dyDescent="0.2">
      <c r="A18" s="323" t="s">
        <v>18</v>
      </c>
      <c r="B18" s="43">
        <v>5462.3179611433825</v>
      </c>
      <c r="C18" s="43">
        <v>2073.8492205100133</v>
      </c>
      <c r="D18" s="43">
        <v>3388.468740633683</v>
      </c>
    </row>
    <row r="19" spans="1:4" ht="11.25" customHeight="1" x14ac:dyDescent="0.2">
      <c r="A19" s="331" t="s">
        <v>18</v>
      </c>
      <c r="B19" s="45">
        <v>5462.3179611433825</v>
      </c>
      <c r="C19" s="45">
        <v>2073.8492205100133</v>
      </c>
      <c r="D19" s="45">
        <v>3388.468740633683</v>
      </c>
    </row>
    <row r="20" spans="1:4" ht="11.25" customHeight="1" x14ac:dyDescent="0.2">
      <c r="A20" s="323" t="s">
        <v>19</v>
      </c>
      <c r="B20" s="43">
        <v>21072.316937173655</v>
      </c>
      <c r="C20" s="43">
        <v>5363.3522219880051</v>
      </c>
      <c r="D20" s="43">
        <v>15708.964715185963</v>
      </c>
    </row>
    <row r="21" spans="1:4" ht="11.25" customHeight="1" x14ac:dyDescent="0.2">
      <c r="A21" s="331" t="s">
        <v>19</v>
      </c>
      <c r="B21" s="45">
        <v>12692.725321823566</v>
      </c>
      <c r="C21" s="45">
        <v>2732.6360811562568</v>
      </c>
      <c r="D21" s="45">
        <v>9960.089240667623</v>
      </c>
    </row>
    <row r="22" spans="1:4" ht="11.25" customHeight="1" x14ac:dyDescent="0.2">
      <c r="A22" s="331" t="s">
        <v>20</v>
      </c>
      <c r="B22" s="45">
        <v>8379.5916153504022</v>
      </c>
      <c r="C22" s="45">
        <v>2630.7161408320621</v>
      </c>
      <c r="D22" s="45">
        <v>5748.8754745186543</v>
      </c>
    </row>
    <row r="23" spans="1:4" ht="11.25" customHeight="1" x14ac:dyDescent="0.2">
      <c r="A23" s="323" t="s">
        <v>21</v>
      </c>
      <c r="B23" s="43">
        <v>11748.858048386459</v>
      </c>
      <c r="C23" s="43">
        <v>3370.7435336207795</v>
      </c>
      <c r="D23" s="43">
        <v>8378.1145147659936</v>
      </c>
    </row>
    <row r="24" spans="1:4" ht="11.25" customHeight="1" x14ac:dyDescent="0.2">
      <c r="A24" s="331" t="s">
        <v>21</v>
      </c>
      <c r="B24" s="45">
        <v>11748.858048386459</v>
      </c>
      <c r="C24" s="45">
        <v>3370.7435336207795</v>
      </c>
      <c r="D24" s="45">
        <v>8378.1145147659936</v>
      </c>
    </row>
    <row r="25" spans="1:4" ht="11.25" customHeight="1" x14ac:dyDescent="0.2">
      <c r="A25" s="323" t="s">
        <v>22</v>
      </c>
      <c r="B25" s="43">
        <v>19638.052269712887</v>
      </c>
      <c r="C25" s="43">
        <v>4392.8971380315434</v>
      </c>
      <c r="D25" s="43">
        <v>15245.155131681657</v>
      </c>
    </row>
    <row r="26" spans="1:4" ht="11.25" customHeight="1" x14ac:dyDescent="0.2">
      <c r="A26" s="331" t="s">
        <v>22</v>
      </c>
      <c r="B26" s="45">
        <v>19638.052269712887</v>
      </c>
      <c r="C26" s="45">
        <v>4392.8971380315434</v>
      </c>
      <c r="D26" s="45">
        <v>15245.155131681657</v>
      </c>
    </row>
    <row r="27" spans="1:4" ht="11.25" customHeight="1" x14ac:dyDescent="0.2">
      <c r="A27" s="323" t="s">
        <v>23</v>
      </c>
      <c r="B27" s="43">
        <v>23416.475564630131</v>
      </c>
      <c r="C27" s="43">
        <v>10205.287937679454</v>
      </c>
      <c r="D27" s="43">
        <v>13211.18762695099</v>
      </c>
    </row>
    <row r="28" spans="1:4" ht="11.25" customHeight="1" x14ac:dyDescent="0.2">
      <c r="A28" s="331" t="s">
        <v>23</v>
      </c>
      <c r="B28" s="45">
        <v>11791.693965334309</v>
      </c>
      <c r="C28" s="45">
        <v>5838.97861016758</v>
      </c>
      <c r="D28" s="45">
        <v>5952.7153551670435</v>
      </c>
    </row>
    <row r="29" spans="1:4" ht="11.25" customHeight="1" x14ac:dyDescent="0.2">
      <c r="A29" s="331" t="s">
        <v>24</v>
      </c>
      <c r="B29" s="45">
        <v>11624.781599296135</v>
      </c>
      <c r="C29" s="45">
        <v>4366.3093275121882</v>
      </c>
      <c r="D29" s="45">
        <v>7258.4722717842615</v>
      </c>
    </row>
    <row r="30" spans="1:4" ht="11.25" customHeight="1" x14ac:dyDescent="0.2">
      <c r="A30" s="323" t="s">
        <v>25</v>
      </c>
      <c r="B30" s="43">
        <v>2310.1853140153921</v>
      </c>
      <c r="C30" s="43">
        <v>1072.3750242808203</v>
      </c>
      <c r="D30" s="43">
        <v>1237.8102897346109</v>
      </c>
    </row>
    <row r="31" spans="1:4" ht="11.25" customHeight="1" x14ac:dyDescent="0.2">
      <c r="A31" s="331" t="s">
        <v>25</v>
      </c>
      <c r="B31" s="45">
        <v>2310.1853140153921</v>
      </c>
      <c r="C31" s="45">
        <v>1072.3750242808203</v>
      </c>
      <c r="D31" s="45">
        <v>1237.8102897346109</v>
      </c>
    </row>
    <row r="32" spans="1:4" ht="11.25" customHeight="1" x14ac:dyDescent="0.2">
      <c r="A32" s="323" t="s">
        <v>26</v>
      </c>
      <c r="B32" s="43">
        <v>1218.6079821372959</v>
      </c>
      <c r="C32" s="43">
        <v>363.36674376457472</v>
      </c>
      <c r="D32" s="43">
        <v>855.24123837272009</v>
      </c>
    </row>
    <row r="33" spans="1:4" ht="11.25" customHeight="1" x14ac:dyDescent="0.2">
      <c r="A33" s="331" t="s">
        <v>26</v>
      </c>
      <c r="B33" s="45">
        <v>1218.6079821372959</v>
      </c>
      <c r="C33" s="45">
        <v>363.36674376457472</v>
      </c>
      <c r="D33" s="45">
        <v>855.24123837272009</v>
      </c>
    </row>
    <row r="34" spans="1:4" ht="11.25" customHeight="1" x14ac:dyDescent="0.2">
      <c r="A34" s="323" t="s">
        <v>27</v>
      </c>
      <c r="B34" s="43">
        <v>5655.8181377009114</v>
      </c>
      <c r="C34" s="43">
        <v>2079.7576228476478</v>
      </c>
      <c r="D34" s="43">
        <v>3576.0605148535774</v>
      </c>
    </row>
    <row r="35" spans="1:4" ht="11.25" customHeight="1" x14ac:dyDescent="0.2">
      <c r="A35" s="331" t="s">
        <v>27</v>
      </c>
      <c r="B35" s="45">
        <v>5655.8181377009114</v>
      </c>
      <c r="C35" s="45">
        <v>2079.7576228476478</v>
      </c>
      <c r="D35" s="45">
        <v>3576.0605148535774</v>
      </c>
    </row>
    <row r="36" spans="1:4" ht="11.25" customHeight="1" x14ac:dyDescent="0.2">
      <c r="A36" s="323" t="s">
        <v>28</v>
      </c>
      <c r="B36" s="43">
        <v>12246.640945332163</v>
      </c>
      <c r="C36" s="43">
        <v>6391.4142287364029</v>
      </c>
      <c r="D36" s="43">
        <v>5855.2267165960748</v>
      </c>
    </row>
    <row r="37" spans="1:4" ht="11.25" customHeight="1" x14ac:dyDescent="0.2">
      <c r="A37" s="331" t="s">
        <v>28</v>
      </c>
      <c r="B37" s="45">
        <v>12246.640945332163</v>
      </c>
      <c r="C37" s="45">
        <v>6391.4142287364029</v>
      </c>
      <c r="D37" s="45">
        <v>5855.2267165960748</v>
      </c>
    </row>
    <row r="38" spans="1:4" ht="11.25" customHeight="1" x14ac:dyDescent="0.2">
      <c r="A38" s="323" t="s">
        <v>29</v>
      </c>
      <c r="B38" s="43">
        <v>33499.164153803358</v>
      </c>
      <c r="C38" s="43">
        <v>10573.085983197199</v>
      </c>
      <c r="D38" s="43">
        <v>22926.07817060647</v>
      </c>
    </row>
    <row r="39" spans="1:4" ht="11.25" customHeight="1" x14ac:dyDescent="0.2">
      <c r="A39" s="331" t="s">
        <v>30</v>
      </c>
      <c r="B39" s="45">
        <v>21095.950546524193</v>
      </c>
      <c r="C39" s="45">
        <v>6098.9483130234967</v>
      </c>
      <c r="D39" s="45">
        <v>14997.002233501009</v>
      </c>
    </row>
    <row r="40" spans="1:4" ht="11.25" customHeight="1" x14ac:dyDescent="0.2">
      <c r="A40" s="331" t="s">
        <v>29</v>
      </c>
      <c r="B40" s="45">
        <v>12403.213607279476</v>
      </c>
      <c r="C40" s="45">
        <v>4474.1376701740173</v>
      </c>
      <c r="D40" s="45">
        <v>7929.0759371057738</v>
      </c>
    </row>
    <row r="41" spans="1:4" ht="11.25" customHeight="1" x14ac:dyDescent="0.2">
      <c r="A41" s="323" t="s">
        <v>31</v>
      </c>
      <c r="B41" s="43">
        <v>11872.934497476783</v>
      </c>
      <c r="C41" s="43">
        <v>4211.2137661492834</v>
      </c>
      <c r="D41" s="43">
        <v>7661.7207313278141</v>
      </c>
    </row>
    <row r="42" spans="1:4" ht="11.25" customHeight="1" x14ac:dyDescent="0.2">
      <c r="A42" s="331" t="s">
        <v>31</v>
      </c>
      <c r="B42" s="45">
        <v>11872.934497476783</v>
      </c>
      <c r="C42" s="45">
        <v>4211.2137661492834</v>
      </c>
      <c r="D42" s="45">
        <v>7661.7207313278141</v>
      </c>
    </row>
    <row r="43" spans="1:4" ht="11.25" customHeight="1" x14ac:dyDescent="0.2">
      <c r="A43" s="328"/>
      <c r="B43" s="328"/>
      <c r="C43" s="328"/>
      <c r="D43" s="328"/>
    </row>
    <row r="44" spans="1:4" ht="11.25" customHeight="1" x14ac:dyDescent="0.2">
      <c r="A44" s="328"/>
      <c r="B44" s="328"/>
      <c r="C44" s="328"/>
      <c r="D44" s="328"/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46"/>
  <sheetViews>
    <sheetView topLeftCell="A13" workbookViewId="0">
      <selection activeCell="A12" sqref="A12:XFD12"/>
    </sheetView>
  </sheetViews>
  <sheetFormatPr defaultRowHeight="12" x14ac:dyDescent="0.2"/>
  <cols>
    <col min="1" max="1" width="16.7109375" style="575" customWidth="1"/>
    <col min="2" max="2" width="9.140625" style="599"/>
    <col min="3" max="3" width="17.140625" style="599" customWidth="1"/>
    <col min="4" max="4" width="12.7109375" style="599" customWidth="1"/>
    <col min="5" max="5" width="9.140625" style="599"/>
    <col min="6" max="6" width="11.85546875" style="599" customWidth="1"/>
    <col min="7" max="7" width="9.140625" style="599"/>
    <col min="8" max="8" width="12.28515625" style="599" customWidth="1"/>
    <col min="9" max="9" width="9.140625" style="599"/>
    <col min="10" max="10" width="14.28515625" style="599" customWidth="1"/>
    <col min="11" max="11" width="9.140625" style="599"/>
    <col min="12" max="12" width="13.42578125" style="599" customWidth="1"/>
    <col min="13" max="16384" width="9.140625" style="575"/>
  </cols>
  <sheetData>
    <row r="1" spans="1:12" ht="18.75" customHeight="1" x14ac:dyDescent="0.2">
      <c r="A1" s="853" t="s">
        <v>421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</row>
    <row r="2" spans="1:12" ht="12" customHeight="1" x14ac:dyDescent="0.2">
      <c r="A2" s="942" t="str">
        <f>'Q9.6'!$A$2</f>
        <v>Área de residência, município e comuna</v>
      </c>
      <c r="B2" s="854" t="s">
        <v>84</v>
      </c>
      <c r="C2" s="854" t="s">
        <v>556</v>
      </c>
      <c r="D2" s="856" t="s">
        <v>555</v>
      </c>
      <c r="E2" s="856"/>
      <c r="F2" s="856"/>
      <c r="G2" s="856"/>
      <c r="H2" s="856"/>
      <c r="I2" s="856"/>
      <c r="J2" s="856"/>
      <c r="K2" s="856"/>
      <c r="L2" s="856"/>
    </row>
    <row r="3" spans="1:12" ht="56.25" customHeight="1" x14ac:dyDescent="0.2">
      <c r="A3" s="943"/>
      <c r="B3" s="855"/>
      <c r="C3" s="855"/>
      <c r="D3" s="496" t="s">
        <v>422</v>
      </c>
      <c r="E3" s="496"/>
      <c r="F3" s="496" t="s">
        <v>423</v>
      </c>
      <c r="G3" s="496"/>
      <c r="H3" s="496" t="s">
        <v>424</v>
      </c>
      <c r="I3" s="496"/>
      <c r="J3" s="496" t="s">
        <v>425</v>
      </c>
      <c r="K3" s="496"/>
      <c r="L3" s="496" t="s">
        <v>426</v>
      </c>
    </row>
    <row r="4" spans="1:12" x14ac:dyDescent="0.2">
      <c r="A4" s="315" t="s">
        <v>32</v>
      </c>
      <c r="B4" s="428">
        <v>261282.84527673907</v>
      </c>
      <c r="C4" s="428">
        <v>79600.950493780721</v>
      </c>
      <c r="D4" s="428">
        <v>49883.163836063744</v>
      </c>
      <c r="E4" s="428"/>
      <c r="F4" s="428">
        <v>65909.705176897245</v>
      </c>
      <c r="G4" s="428"/>
      <c r="H4" s="428">
        <v>53286.403582541199</v>
      </c>
      <c r="I4" s="428"/>
      <c r="J4" s="428">
        <v>7196.4340472390995</v>
      </c>
      <c r="K4" s="428"/>
      <c r="L4" s="428">
        <v>17589.313759138135</v>
      </c>
    </row>
    <row r="5" spans="1:12" x14ac:dyDescent="0.2">
      <c r="A5" s="316"/>
      <c r="B5" s="429"/>
      <c r="C5" s="429"/>
      <c r="D5" s="429"/>
      <c r="E5" s="429"/>
      <c r="F5" s="429"/>
      <c r="G5" s="429"/>
      <c r="H5" s="429"/>
      <c r="I5" s="429"/>
      <c r="J5" s="429"/>
      <c r="K5" s="429"/>
      <c r="L5" s="429"/>
    </row>
    <row r="6" spans="1:12" x14ac:dyDescent="0.2">
      <c r="A6" s="315" t="s">
        <v>167</v>
      </c>
      <c r="B6" s="428"/>
      <c r="C6" s="428"/>
      <c r="D6" s="315"/>
      <c r="E6" s="428"/>
      <c r="F6" s="428"/>
      <c r="G6" s="315"/>
      <c r="H6" s="428"/>
      <c r="I6" s="428"/>
      <c r="J6" s="315"/>
      <c r="K6" s="428"/>
      <c r="L6" s="428"/>
    </row>
    <row r="7" spans="1:12" x14ac:dyDescent="0.2">
      <c r="A7" s="317" t="s">
        <v>8</v>
      </c>
      <c r="B7" s="326">
        <v>74088.411112767761</v>
      </c>
      <c r="C7" s="326">
        <v>5304.2681986116604</v>
      </c>
      <c r="D7" s="326">
        <v>3614.4651300482014</v>
      </c>
      <c r="E7" s="326"/>
      <c r="F7" s="326">
        <v>4375.17193101864</v>
      </c>
      <c r="G7" s="326"/>
      <c r="H7" s="326">
        <v>2809.4453115455049</v>
      </c>
      <c r="I7" s="326"/>
      <c r="J7" s="326">
        <v>658.78686064634371</v>
      </c>
      <c r="K7" s="326"/>
      <c r="L7" s="326">
        <v>765.13810272378055</v>
      </c>
    </row>
    <row r="8" spans="1:12" x14ac:dyDescent="0.2">
      <c r="A8" s="317" t="s">
        <v>9</v>
      </c>
      <c r="B8" s="326">
        <v>187194.43416324173</v>
      </c>
      <c r="C8" s="326">
        <v>74296.682295169376</v>
      </c>
      <c r="D8" s="326">
        <v>46268.698706015857</v>
      </c>
      <c r="E8" s="326"/>
      <c r="F8" s="326">
        <v>61534.53324587892</v>
      </c>
      <c r="G8" s="326"/>
      <c r="H8" s="326">
        <v>50476.958270996009</v>
      </c>
      <c r="I8" s="326"/>
      <c r="J8" s="326">
        <v>6537.6471865928561</v>
      </c>
      <c r="K8" s="326"/>
      <c r="L8" s="326">
        <v>16824.175656414471</v>
      </c>
    </row>
    <row r="9" spans="1:12" x14ac:dyDescent="0.2">
      <c r="A9" s="315" t="s">
        <v>582</v>
      </c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</row>
    <row r="10" spans="1:12" x14ac:dyDescent="0.2">
      <c r="A10" s="316" t="s">
        <v>11</v>
      </c>
      <c r="B10" s="429">
        <v>34100.344091657666</v>
      </c>
      <c r="C10" s="429">
        <v>11976.331538385386</v>
      </c>
      <c r="D10" s="429">
        <v>6974.8689595778069</v>
      </c>
      <c r="E10" s="429"/>
      <c r="F10" s="429">
        <v>10304.253676834831</v>
      </c>
      <c r="G10" s="429"/>
      <c r="H10" s="429">
        <v>9261.4206642423469</v>
      </c>
      <c r="I10" s="429"/>
      <c r="J10" s="429">
        <v>593.79443493235453</v>
      </c>
      <c r="K10" s="429"/>
      <c r="L10" s="429">
        <v>2233.376083626144</v>
      </c>
    </row>
    <row r="11" spans="1:12" ht="18" customHeight="1" x14ac:dyDescent="0.2">
      <c r="A11" s="317" t="s">
        <v>12</v>
      </c>
      <c r="B11" s="326">
        <v>22028.00101528603</v>
      </c>
      <c r="C11" s="326">
        <v>5478.5660675718773</v>
      </c>
      <c r="D11" s="326">
        <v>3546.518503165405</v>
      </c>
      <c r="E11" s="326"/>
      <c r="F11" s="326">
        <v>4435.7330549793933</v>
      </c>
      <c r="G11" s="326"/>
      <c r="H11" s="326">
        <v>4285.0687953697143</v>
      </c>
      <c r="I11" s="326"/>
      <c r="J11" s="326">
        <v>450.51567824469657</v>
      </c>
      <c r="K11" s="326"/>
      <c r="L11" s="326">
        <v>552.43561856890688</v>
      </c>
    </row>
    <row r="12" spans="1:12" ht="12.75" customHeight="1" x14ac:dyDescent="0.2">
      <c r="A12" s="327" t="s">
        <v>13</v>
      </c>
      <c r="B12" s="326">
        <v>12072.343076371946</v>
      </c>
      <c r="C12" s="326">
        <v>6497.7654708138234</v>
      </c>
      <c r="D12" s="326">
        <v>3428.3504564127156</v>
      </c>
      <c r="E12" s="326"/>
      <c r="F12" s="326">
        <v>5868.5206218557523</v>
      </c>
      <c r="G12" s="326"/>
      <c r="H12" s="326">
        <v>4976.3518688729473</v>
      </c>
      <c r="I12" s="326"/>
      <c r="J12" s="326">
        <v>143.27875668765682</v>
      </c>
      <c r="K12" s="326"/>
      <c r="L12" s="326">
        <v>1680.9404650572644</v>
      </c>
    </row>
    <row r="13" spans="1:12" x14ac:dyDescent="0.2">
      <c r="A13" s="316" t="s">
        <v>44</v>
      </c>
      <c r="B13" s="429">
        <v>72729.478575111832</v>
      </c>
      <c r="C13" s="429">
        <v>15714.873117523597</v>
      </c>
      <c r="D13" s="429">
        <v>10412.08201949666</v>
      </c>
      <c r="E13" s="429"/>
      <c r="F13" s="429">
        <v>13983.711232596697</v>
      </c>
      <c r="G13" s="429"/>
      <c r="H13" s="429">
        <v>9914.2991225509559</v>
      </c>
      <c r="I13" s="429"/>
      <c r="J13" s="429">
        <v>509.59970162105037</v>
      </c>
      <c r="K13" s="429"/>
      <c r="L13" s="429">
        <v>2735.590282325074</v>
      </c>
    </row>
    <row r="14" spans="1:12" x14ac:dyDescent="0.2">
      <c r="A14" s="317" t="s">
        <v>15</v>
      </c>
      <c r="B14" s="326">
        <v>61466.586618996123</v>
      </c>
      <c r="C14" s="326">
        <v>10017.696163459559</v>
      </c>
      <c r="D14" s="326">
        <v>6642.5213280858679</v>
      </c>
      <c r="E14" s="326"/>
      <c r="F14" s="326">
        <v>8788.7484772315893</v>
      </c>
      <c r="G14" s="326"/>
      <c r="H14" s="326">
        <v>5570.1463038052116</v>
      </c>
      <c r="I14" s="326"/>
      <c r="J14" s="326">
        <v>372.22934727102779</v>
      </c>
      <c r="K14" s="326"/>
      <c r="L14" s="326">
        <v>2140.3187468084011</v>
      </c>
    </row>
    <row r="15" spans="1:12" x14ac:dyDescent="0.2">
      <c r="A15" s="317" t="s">
        <v>16</v>
      </c>
      <c r="B15" s="326">
        <v>11262.891956116024</v>
      </c>
      <c r="C15" s="326">
        <v>5697.1769540643527</v>
      </c>
      <c r="D15" s="326">
        <v>3769.5606914111063</v>
      </c>
      <c r="E15" s="326"/>
      <c r="F15" s="326">
        <v>5194.9627553654227</v>
      </c>
      <c r="G15" s="326"/>
      <c r="H15" s="326">
        <v>4344.152818746059</v>
      </c>
      <c r="I15" s="326"/>
      <c r="J15" s="326">
        <v>137.37035435002144</v>
      </c>
      <c r="K15" s="326"/>
      <c r="L15" s="326">
        <v>595.27153551676338</v>
      </c>
    </row>
    <row r="16" spans="1:12" x14ac:dyDescent="0.2">
      <c r="A16" s="316" t="s">
        <v>17</v>
      </c>
      <c r="B16" s="429">
        <v>6311.6507971783376</v>
      </c>
      <c r="C16" s="429">
        <v>1812.4024170696516</v>
      </c>
      <c r="D16" s="429">
        <v>949.77567577488617</v>
      </c>
      <c r="E16" s="429"/>
      <c r="F16" s="429">
        <v>1701.6198732389882</v>
      </c>
      <c r="G16" s="429"/>
      <c r="H16" s="429">
        <v>403.24845954361354</v>
      </c>
      <c r="I16" s="429"/>
      <c r="J16" s="429">
        <v>886.26035064530583</v>
      </c>
      <c r="K16" s="429"/>
      <c r="L16" s="429">
        <v>707.5311799318356</v>
      </c>
    </row>
    <row r="17" spans="1:12" x14ac:dyDescent="0.2">
      <c r="A17" s="317" t="s">
        <v>17</v>
      </c>
      <c r="B17" s="326">
        <v>6311.6507971783376</v>
      </c>
      <c r="C17" s="326">
        <v>1812.4024170696516</v>
      </c>
      <c r="D17" s="326">
        <v>949.77567577488617</v>
      </c>
      <c r="E17" s="326"/>
      <c r="F17" s="326">
        <v>1701.6198732389882</v>
      </c>
      <c r="G17" s="326"/>
      <c r="H17" s="326">
        <v>403.24845954361354</v>
      </c>
      <c r="I17" s="326"/>
      <c r="J17" s="326">
        <v>886.26035064530583</v>
      </c>
      <c r="K17" s="326"/>
      <c r="L17" s="326">
        <v>707.5311799318356</v>
      </c>
    </row>
    <row r="18" spans="1:12" x14ac:dyDescent="0.2">
      <c r="A18" s="316" t="s">
        <v>18</v>
      </c>
      <c r="B18" s="429">
        <v>5462.3179611433825</v>
      </c>
      <c r="C18" s="429">
        <v>2073.8492205100133</v>
      </c>
      <c r="D18" s="429">
        <v>1227.470585643749</v>
      </c>
      <c r="E18" s="429"/>
      <c r="F18" s="429">
        <v>1874.4406416148231</v>
      </c>
      <c r="G18" s="429"/>
      <c r="H18" s="429">
        <v>1471.1921820712084</v>
      </c>
      <c r="I18" s="429"/>
      <c r="J18" s="429">
        <v>963.06958103456577</v>
      </c>
      <c r="K18" s="429"/>
      <c r="L18" s="429">
        <v>1085.6689295404999</v>
      </c>
    </row>
    <row r="19" spans="1:12" x14ac:dyDescent="0.2">
      <c r="A19" s="317" t="s">
        <v>18</v>
      </c>
      <c r="B19" s="326">
        <v>5462.3179611433825</v>
      </c>
      <c r="C19" s="326">
        <v>2073.8492205100133</v>
      </c>
      <c r="D19" s="326">
        <v>1227.470585643749</v>
      </c>
      <c r="E19" s="326"/>
      <c r="F19" s="326">
        <v>1874.4406416148231</v>
      </c>
      <c r="G19" s="326"/>
      <c r="H19" s="326">
        <v>1471.1921820712084</v>
      </c>
      <c r="I19" s="326"/>
      <c r="J19" s="326">
        <v>963.06958103456577</v>
      </c>
      <c r="K19" s="326"/>
      <c r="L19" s="326">
        <v>1085.6689295404999</v>
      </c>
    </row>
    <row r="20" spans="1:12" x14ac:dyDescent="0.2">
      <c r="A20" s="316" t="s">
        <v>19</v>
      </c>
      <c r="B20" s="429">
        <v>21072.316937173655</v>
      </c>
      <c r="C20" s="429">
        <v>5363.3522219880051</v>
      </c>
      <c r="D20" s="429">
        <v>2463.8037747938884</v>
      </c>
      <c r="E20" s="429"/>
      <c r="F20" s="429">
        <v>3936.4730574492801</v>
      </c>
      <c r="G20" s="429"/>
      <c r="H20" s="429">
        <v>4013.2822878385282</v>
      </c>
      <c r="I20" s="429"/>
      <c r="J20" s="429">
        <v>1286.5546090201028</v>
      </c>
      <c r="K20" s="429"/>
      <c r="L20" s="429">
        <v>1731.1618849271651</v>
      </c>
    </row>
    <row r="21" spans="1:12" x14ac:dyDescent="0.2">
      <c r="A21" s="317" t="s">
        <v>19</v>
      </c>
      <c r="B21" s="326">
        <v>12692.725321823566</v>
      </c>
      <c r="C21" s="326">
        <v>2732.6360811562568</v>
      </c>
      <c r="D21" s="326">
        <v>1159.5239587609422</v>
      </c>
      <c r="E21" s="326"/>
      <c r="F21" s="326">
        <v>1918.7536591470885</v>
      </c>
      <c r="G21" s="326"/>
      <c r="H21" s="326">
        <v>1964.5437772637626</v>
      </c>
      <c r="I21" s="326"/>
      <c r="J21" s="326">
        <v>463.80958350437618</v>
      </c>
      <c r="K21" s="326"/>
      <c r="L21" s="326">
        <v>660.26396123075256</v>
      </c>
    </row>
    <row r="22" spans="1:12" ht="16.5" customHeight="1" x14ac:dyDescent="0.2">
      <c r="A22" s="317" t="s">
        <v>20</v>
      </c>
      <c r="B22" s="326">
        <v>8379.5916153504022</v>
      </c>
      <c r="C22" s="326">
        <v>2630.7161408320621</v>
      </c>
      <c r="D22" s="326">
        <v>1304.279816033009</v>
      </c>
      <c r="E22" s="326"/>
      <c r="F22" s="326">
        <v>2017.7193983024811</v>
      </c>
      <c r="G22" s="326"/>
      <c r="H22" s="326">
        <v>2048.7385105750668</v>
      </c>
      <c r="I22" s="326"/>
      <c r="J22" s="326">
        <v>822.7450255157255</v>
      </c>
      <c r="K22" s="326"/>
      <c r="L22" s="326">
        <v>1070.8979236964115</v>
      </c>
    </row>
    <row r="23" spans="1:12" x14ac:dyDescent="0.2">
      <c r="A23" s="316" t="s">
        <v>21</v>
      </c>
      <c r="B23" s="429">
        <v>11748.858048386459</v>
      </c>
      <c r="C23" s="429">
        <v>3370.7435336207795</v>
      </c>
      <c r="D23" s="429">
        <v>2367.7922368073282</v>
      </c>
      <c r="E23" s="429"/>
      <c r="F23" s="429">
        <v>2295.4143081713059</v>
      </c>
      <c r="G23" s="429"/>
      <c r="H23" s="429">
        <v>2552.4298098584054</v>
      </c>
      <c r="I23" s="429"/>
      <c r="J23" s="429">
        <v>76.809230389259284</v>
      </c>
      <c r="K23" s="429"/>
      <c r="L23" s="429">
        <v>60.561123960762146</v>
      </c>
    </row>
    <row r="24" spans="1:12" x14ac:dyDescent="0.2">
      <c r="A24" s="317" t="s">
        <v>21</v>
      </c>
      <c r="B24" s="326">
        <v>11748.858048386459</v>
      </c>
      <c r="C24" s="326">
        <v>3370.7435336207795</v>
      </c>
      <c r="D24" s="326">
        <v>2367.7922368073282</v>
      </c>
      <c r="E24" s="326"/>
      <c r="F24" s="326">
        <v>2295.4143081713059</v>
      </c>
      <c r="G24" s="326"/>
      <c r="H24" s="326">
        <v>2552.4298098584054</v>
      </c>
      <c r="I24" s="326"/>
      <c r="J24" s="326">
        <v>76.809230389259284</v>
      </c>
      <c r="K24" s="326"/>
      <c r="L24" s="326">
        <v>60.561123960762146</v>
      </c>
    </row>
    <row r="25" spans="1:12" x14ac:dyDescent="0.2">
      <c r="A25" s="316" t="s">
        <v>22</v>
      </c>
      <c r="B25" s="429">
        <v>19638.052269712887</v>
      </c>
      <c r="C25" s="429">
        <v>4392.8971380315434</v>
      </c>
      <c r="D25" s="429">
        <v>2413.5823549239954</v>
      </c>
      <c r="E25" s="429"/>
      <c r="F25" s="429">
        <v>3765.1293896578804</v>
      </c>
      <c r="G25" s="429"/>
      <c r="H25" s="429">
        <v>1952.7269725884919</v>
      </c>
      <c r="I25" s="429"/>
      <c r="J25" s="429">
        <v>84.194733311303438</v>
      </c>
      <c r="K25" s="429"/>
      <c r="L25" s="429">
        <v>1694.234370316944</v>
      </c>
    </row>
    <row r="26" spans="1:12" ht="18.75" customHeight="1" x14ac:dyDescent="0.2">
      <c r="A26" s="317" t="s">
        <v>22</v>
      </c>
      <c r="B26" s="326">
        <v>19638.052269712887</v>
      </c>
      <c r="C26" s="326">
        <v>4392.8971380315434</v>
      </c>
      <c r="D26" s="326">
        <v>2413.5823549239954</v>
      </c>
      <c r="E26" s="326"/>
      <c r="F26" s="326">
        <v>3765.1293896578804</v>
      </c>
      <c r="G26" s="326"/>
      <c r="H26" s="326">
        <v>1952.7269725884919</v>
      </c>
      <c r="I26" s="326"/>
      <c r="J26" s="326">
        <v>84.194733311303438</v>
      </c>
      <c r="K26" s="326"/>
      <c r="L26" s="326">
        <v>1694.234370316944</v>
      </c>
    </row>
    <row r="27" spans="1:12" x14ac:dyDescent="0.2">
      <c r="A27" s="316" t="s">
        <v>23</v>
      </c>
      <c r="B27" s="429">
        <v>23416.475564630131</v>
      </c>
      <c r="C27" s="429">
        <v>10205.287937679454</v>
      </c>
      <c r="D27" s="429">
        <v>7228.9302600960891</v>
      </c>
      <c r="E27" s="429"/>
      <c r="F27" s="429">
        <v>8197.9082434681422</v>
      </c>
      <c r="G27" s="429"/>
      <c r="H27" s="429">
        <v>7796.1368845089983</v>
      </c>
      <c r="I27" s="429"/>
      <c r="J27" s="429">
        <v>258.49260227154673</v>
      </c>
      <c r="K27" s="429"/>
      <c r="L27" s="429">
        <v>1094.531533046953</v>
      </c>
    </row>
    <row r="28" spans="1:12" x14ac:dyDescent="0.2">
      <c r="A28" s="317" t="s">
        <v>23</v>
      </c>
      <c r="B28" s="326">
        <v>11791.693965334309</v>
      </c>
      <c r="C28" s="326">
        <v>5838.97861016758</v>
      </c>
      <c r="D28" s="326">
        <v>4181.671754461111</v>
      </c>
      <c r="E28" s="326"/>
      <c r="F28" s="326">
        <v>4772.5119882245581</v>
      </c>
      <c r="G28" s="326"/>
      <c r="H28" s="326">
        <v>4181.671754461111</v>
      </c>
      <c r="I28" s="326"/>
      <c r="J28" s="326">
        <v>187.59177421992217</v>
      </c>
      <c r="K28" s="326"/>
      <c r="L28" s="326">
        <v>918.75656350230042</v>
      </c>
    </row>
    <row r="29" spans="1:12" x14ac:dyDescent="0.2">
      <c r="A29" s="317" t="s">
        <v>24</v>
      </c>
      <c r="B29" s="326">
        <v>11624.781599296135</v>
      </c>
      <c r="C29" s="326">
        <v>4366.3093275121882</v>
      </c>
      <c r="D29" s="326">
        <v>3047.2585056352923</v>
      </c>
      <c r="E29" s="326"/>
      <c r="F29" s="326">
        <v>3425.3962552438984</v>
      </c>
      <c r="G29" s="326"/>
      <c r="H29" s="326">
        <v>3614.4651300482014</v>
      </c>
      <c r="I29" s="326"/>
      <c r="J29" s="326">
        <v>70.900828051623961</v>
      </c>
      <c r="K29" s="326"/>
      <c r="L29" s="326">
        <v>175.77496954465141</v>
      </c>
    </row>
    <row r="30" spans="1:12" x14ac:dyDescent="0.2">
      <c r="A30" s="316" t="s">
        <v>25</v>
      </c>
      <c r="B30" s="429">
        <v>2310.1853140153921</v>
      </c>
      <c r="C30" s="429">
        <v>1072.3750242808203</v>
      </c>
      <c r="D30" s="429">
        <v>923.18786525552696</v>
      </c>
      <c r="E30" s="429"/>
      <c r="F30" s="429">
        <v>772.52360564582477</v>
      </c>
      <c r="G30" s="429"/>
      <c r="H30" s="429">
        <v>584.93183142590146</v>
      </c>
      <c r="I30" s="429"/>
      <c r="J30" s="429">
        <v>25.110709934950183</v>
      </c>
      <c r="K30" s="429"/>
      <c r="L30" s="429">
        <v>314.62242447908284</v>
      </c>
    </row>
    <row r="31" spans="1:12" x14ac:dyDescent="0.2">
      <c r="A31" s="317" t="s">
        <v>25</v>
      </c>
      <c r="B31" s="326">
        <v>2310.1853140153921</v>
      </c>
      <c r="C31" s="326">
        <v>1072.3750242808203</v>
      </c>
      <c r="D31" s="326">
        <v>923.18786525552696</v>
      </c>
      <c r="E31" s="326"/>
      <c r="F31" s="326">
        <v>772.52360564582477</v>
      </c>
      <c r="G31" s="326"/>
      <c r="H31" s="326">
        <v>584.93183142590146</v>
      </c>
      <c r="I31" s="326"/>
      <c r="J31" s="326">
        <v>25.110709934950183</v>
      </c>
      <c r="K31" s="326"/>
      <c r="L31" s="326">
        <v>314.62242447908284</v>
      </c>
    </row>
    <row r="32" spans="1:12" x14ac:dyDescent="0.2">
      <c r="A32" s="316" t="s">
        <v>26</v>
      </c>
      <c r="B32" s="429">
        <v>1218.6079821372959</v>
      </c>
      <c r="C32" s="429">
        <v>363.36674376457472</v>
      </c>
      <c r="D32" s="429">
        <v>237.8131940898229</v>
      </c>
      <c r="E32" s="429"/>
      <c r="F32" s="429">
        <v>181.68337188228679</v>
      </c>
      <c r="G32" s="429"/>
      <c r="H32" s="429">
        <v>208.271182401646</v>
      </c>
      <c r="I32" s="429"/>
      <c r="J32" s="429">
        <v>13.293905259679509</v>
      </c>
      <c r="K32" s="429"/>
      <c r="L32" s="429">
        <v>29.542011688176686</v>
      </c>
    </row>
    <row r="33" spans="1:12" ht="18" customHeight="1" x14ac:dyDescent="0.2">
      <c r="A33" s="317" t="s">
        <v>26</v>
      </c>
      <c r="B33" s="326">
        <v>1218.6079821372959</v>
      </c>
      <c r="C33" s="326">
        <v>363.36674376457472</v>
      </c>
      <c r="D33" s="326">
        <v>237.8131940898229</v>
      </c>
      <c r="E33" s="326"/>
      <c r="F33" s="326">
        <v>181.68337188228679</v>
      </c>
      <c r="G33" s="326"/>
      <c r="H33" s="326">
        <v>208.271182401646</v>
      </c>
      <c r="I33" s="326"/>
      <c r="J33" s="326">
        <v>13.293905259679509</v>
      </c>
      <c r="K33" s="326"/>
      <c r="L33" s="326">
        <v>29.542011688176686</v>
      </c>
    </row>
    <row r="34" spans="1:12" x14ac:dyDescent="0.2">
      <c r="A34" s="316" t="s">
        <v>27</v>
      </c>
      <c r="B34" s="429">
        <v>5655.8181377009114</v>
      </c>
      <c r="C34" s="429">
        <v>2079.7576228476478</v>
      </c>
      <c r="D34" s="429">
        <v>1669.1236603819937</v>
      </c>
      <c r="E34" s="429"/>
      <c r="F34" s="429">
        <v>1695.7114709013529</v>
      </c>
      <c r="G34" s="429"/>
      <c r="H34" s="429">
        <v>1601.1770334991868</v>
      </c>
      <c r="I34" s="429"/>
      <c r="J34" s="429">
        <v>28.064911103767852</v>
      </c>
      <c r="K34" s="429"/>
      <c r="L34" s="429">
        <v>38.404615194629685</v>
      </c>
    </row>
    <row r="35" spans="1:12" x14ac:dyDescent="0.2">
      <c r="A35" s="317" t="s">
        <v>27</v>
      </c>
      <c r="B35" s="326">
        <v>5655.8181377009114</v>
      </c>
      <c r="C35" s="326">
        <v>2079.7576228476478</v>
      </c>
      <c r="D35" s="326">
        <v>1669.1236603819937</v>
      </c>
      <c r="E35" s="326"/>
      <c r="F35" s="326">
        <v>1695.7114709013529</v>
      </c>
      <c r="G35" s="326"/>
      <c r="H35" s="326">
        <v>1601.1770334991868</v>
      </c>
      <c r="I35" s="326"/>
      <c r="J35" s="326">
        <v>28.064911103767852</v>
      </c>
      <c r="K35" s="326"/>
      <c r="L35" s="326">
        <v>38.404615194629685</v>
      </c>
    </row>
    <row r="36" spans="1:12" x14ac:dyDescent="0.2">
      <c r="A36" s="316" t="s">
        <v>28</v>
      </c>
      <c r="B36" s="429">
        <v>12246.640945332163</v>
      </c>
      <c r="C36" s="429">
        <v>6391.4142287364029</v>
      </c>
      <c r="D36" s="429">
        <v>4779.8974911466012</v>
      </c>
      <c r="E36" s="429"/>
      <c r="F36" s="429">
        <v>5587.871510818115</v>
      </c>
      <c r="G36" s="429"/>
      <c r="H36" s="429">
        <v>1252.5812955786994</v>
      </c>
      <c r="I36" s="429"/>
      <c r="J36" s="429">
        <v>85.671833895712268</v>
      </c>
      <c r="K36" s="429"/>
      <c r="L36" s="429">
        <v>3388.468740633683</v>
      </c>
    </row>
    <row r="37" spans="1:12" x14ac:dyDescent="0.2">
      <c r="A37" s="317" t="s">
        <v>28</v>
      </c>
      <c r="B37" s="326">
        <v>12246.640945332163</v>
      </c>
      <c r="C37" s="326">
        <v>6391.4142287364029</v>
      </c>
      <c r="D37" s="326">
        <v>4779.8974911466012</v>
      </c>
      <c r="E37" s="326"/>
      <c r="F37" s="326">
        <v>5587.871510818115</v>
      </c>
      <c r="G37" s="326"/>
      <c r="H37" s="326">
        <v>1252.5812955786994</v>
      </c>
      <c r="I37" s="326"/>
      <c r="J37" s="326">
        <v>85.671833895712268</v>
      </c>
      <c r="K37" s="326"/>
      <c r="L37" s="326">
        <v>3388.468740633683</v>
      </c>
    </row>
    <row r="38" spans="1:12" x14ac:dyDescent="0.2">
      <c r="A38" s="316" t="s">
        <v>29</v>
      </c>
      <c r="B38" s="429">
        <v>33499.164153803358</v>
      </c>
      <c r="C38" s="429">
        <v>10573.085983197199</v>
      </c>
      <c r="D38" s="429">
        <v>6143.2613305557552</v>
      </c>
      <c r="E38" s="429"/>
      <c r="F38" s="429">
        <v>7852.2667067165257</v>
      </c>
      <c r="G38" s="429"/>
      <c r="H38" s="429">
        <v>9069.3975882692266</v>
      </c>
      <c r="I38" s="429"/>
      <c r="J38" s="429">
        <v>1729.6847843427563</v>
      </c>
      <c r="K38" s="429"/>
      <c r="L38" s="429">
        <v>1477.1005844088438</v>
      </c>
    </row>
    <row r="39" spans="1:12" x14ac:dyDescent="0.2">
      <c r="A39" s="317" t="s">
        <v>30</v>
      </c>
      <c r="B39" s="326">
        <v>21095.950546524193</v>
      </c>
      <c r="C39" s="326">
        <v>6098.9483130234967</v>
      </c>
      <c r="D39" s="326">
        <v>3539.1330002433619</v>
      </c>
      <c r="E39" s="326"/>
      <c r="F39" s="326">
        <v>4274.729091278854</v>
      </c>
      <c r="G39" s="326"/>
      <c r="H39" s="326">
        <v>5409.1423401046723</v>
      </c>
      <c r="I39" s="326"/>
      <c r="J39" s="326">
        <v>836.03893077540511</v>
      </c>
      <c r="K39" s="326"/>
      <c r="L39" s="326">
        <v>514.03100337427691</v>
      </c>
    </row>
    <row r="40" spans="1:12" x14ac:dyDescent="0.2">
      <c r="A40" s="317" t="s">
        <v>29</v>
      </c>
      <c r="B40" s="326">
        <v>12403.213607279476</v>
      </c>
      <c r="C40" s="326">
        <v>4474.1376701740173</v>
      </c>
      <c r="D40" s="326">
        <v>2604.128330312707</v>
      </c>
      <c r="E40" s="326"/>
      <c r="F40" s="326">
        <v>3577.537615437986</v>
      </c>
      <c r="G40" s="326"/>
      <c r="H40" s="326">
        <v>3660.2552481648686</v>
      </c>
      <c r="I40" s="326"/>
      <c r="J40" s="326">
        <v>893.64585356735006</v>
      </c>
      <c r="K40" s="326"/>
      <c r="L40" s="326">
        <v>963.06958103456577</v>
      </c>
    </row>
    <row r="41" spans="1:12" x14ac:dyDescent="0.2">
      <c r="A41" s="318" t="s">
        <v>31</v>
      </c>
      <c r="B41" s="429">
        <v>11872.934497476783</v>
      </c>
      <c r="C41" s="429">
        <v>4211.2137661492834</v>
      </c>
      <c r="D41" s="429">
        <v>2091.5744275229167</v>
      </c>
      <c r="E41" s="429"/>
      <c r="F41" s="429">
        <v>3760.6980879046546</v>
      </c>
      <c r="G41" s="429"/>
      <c r="H41" s="429">
        <v>3205.3082681670144</v>
      </c>
      <c r="I41" s="429"/>
      <c r="J41" s="429">
        <v>655.83265947752602</v>
      </c>
      <c r="K41" s="429"/>
      <c r="L41" s="429">
        <v>998.51999506037805</v>
      </c>
    </row>
    <row r="42" spans="1:12" x14ac:dyDescent="0.2">
      <c r="A42" s="329" t="s">
        <v>31</v>
      </c>
      <c r="B42" s="326">
        <v>11872.934497476783</v>
      </c>
      <c r="C42" s="326">
        <v>4211.2137661492834</v>
      </c>
      <c r="D42" s="326">
        <v>2091.5744275229167</v>
      </c>
      <c r="E42" s="326"/>
      <c r="F42" s="326">
        <v>3760.6980879046546</v>
      </c>
      <c r="G42" s="326"/>
      <c r="H42" s="326">
        <v>3205.3082681670144</v>
      </c>
      <c r="I42" s="326"/>
      <c r="J42" s="326">
        <v>655.83265947752602</v>
      </c>
      <c r="K42" s="326"/>
      <c r="L42" s="326">
        <v>998.51999506037805</v>
      </c>
    </row>
    <row r="43" spans="1:12" x14ac:dyDescent="0.2">
      <c r="A43" s="328"/>
      <c r="B43" s="333"/>
      <c r="C43" s="333"/>
      <c r="D43" s="333"/>
      <c r="E43" s="333"/>
      <c r="F43" s="333"/>
      <c r="G43" s="333"/>
      <c r="H43" s="333"/>
      <c r="I43" s="333"/>
      <c r="J43" s="333"/>
      <c r="K43" s="333"/>
      <c r="L43" s="333"/>
    </row>
    <row r="44" spans="1:12" x14ac:dyDescent="0.2">
      <c r="A44" s="328"/>
      <c r="B44" s="333"/>
      <c r="C44" s="333"/>
      <c r="D44" s="333"/>
      <c r="E44" s="333"/>
      <c r="F44" s="333"/>
      <c r="G44" s="333"/>
      <c r="H44" s="333"/>
      <c r="I44" s="333"/>
      <c r="J44" s="333"/>
      <c r="K44" s="333"/>
      <c r="L44" s="333"/>
    </row>
    <row r="45" spans="1:12" x14ac:dyDescent="0.2">
      <c r="A45" s="328"/>
      <c r="B45" s="333"/>
      <c r="C45" s="333"/>
      <c r="D45" s="333"/>
      <c r="E45" s="333"/>
      <c r="F45" s="333"/>
      <c r="G45" s="333"/>
      <c r="H45" s="333"/>
      <c r="I45" s="333"/>
      <c r="J45" s="333"/>
      <c r="K45" s="333"/>
      <c r="L45" s="333"/>
    </row>
    <row r="46" spans="1:12" x14ac:dyDescent="0.2">
      <c r="A46" s="328"/>
      <c r="B46" s="333"/>
      <c r="C46" s="333"/>
      <c r="D46" s="333"/>
      <c r="E46" s="333"/>
      <c r="F46" s="333"/>
      <c r="G46" s="333"/>
      <c r="H46" s="333"/>
      <c r="I46" s="333"/>
      <c r="J46" s="333"/>
      <c r="K46" s="333"/>
      <c r="L46" s="333"/>
    </row>
  </sheetData>
  <mergeCells count="5">
    <mergeCell ref="A1:L1"/>
    <mergeCell ref="A2:A3"/>
    <mergeCell ref="B2:B3"/>
    <mergeCell ref="C2:C3"/>
    <mergeCell ref="D2:L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J47"/>
  <sheetViews>
    <sheetView workbookViewId="0">
      <selection activeCell="N39" sqref="N39"/>
    </sheetView>
  </sheetViews>
  <sheetFormatPr defaultRowHeight="12" x14ac:dyDescent="0.2"/>
  <cols>
    <col min="1" max="1" width="19.85546875" style="575" customWidth="1"/>
    <col min="2" max="2" width="14.140625" style="575" customWidth="1"/>
    <col min="3" max="3" width="19.28515625" style="599" customWidth="1"/>
    <col min="4" max="5" width="16.140625" style="575" customWidth="1"/>
    <col min="6" max="6" width="13.85546875" style="575" customWidth="1"/>
    <col min="7" max="16384" width="9.140625" style="575"/>
  </cols>
  <sheetData>
    <row r="1" spans="1:10" ht="31.5" customHeight="1" x14ac:dyDescent="0.2">
      <c r="A1" s="857" t="s">
        <v>419</v>
      </c>
      <c r="B1" s="857"/>
      <c r="C1" s="857"/>
      <c r="D1" s="857"/>
      <c r="E1" s="857"/>
      <c r="F1" s="857"/>
    </row>
    <row r="2" spans="1:10" ht="30" customHeight="1" x14ac:dyDescent="0.2">
      <c r="A2" s="942" t="str">
        <f>'Q9.6'!$A$2</f>
        <v>Área de residência, município e comuna</v>
      </c>
      <c r="B2" s="858" t="s">
        <v>140</v>
      </c>
      <c r="C2" s="858" t="s">
        <v>557</v>
      </c>
      <c r="D2" s="860" t="s">
        <v>558</v>
      </c>
      <c r="E2" s="860"/>
      <c r="F2" s="860"/>
    </row>
    <row r="3" spans="1:10" ht="37.5" customHeight="1" x14ac:dyDescent="0.2">
      <c r="A3" s="943"/>
      <c r="B3" s="859"/>
      <c r="C3" s="859"/>
      <c r="D3" s="497" t="s">
        <v>559</v>
      </c>
      <c r="E3" s="497" t="s">
        <v>562</v>
      </c>
      <c r="F3" s="497" t="s">
        <v>420</v>
      </c>
    </row>
    <row r="4" spans="1:10" x14ac:dyDescent="0.2">
      <c r="A4" s="312" t="s">
        <v>32</v>
      </c>
      <c r="B4" s="42">
        <v>261282.84527673907</v>
      </c>
      <c r="C4" s="42">
        <v>3268.8235932965849</v>
      </c>
      <c r="D4" s="42">
        <v>2153.6126520680787</v>
      </c>
      <c r="E4" s="42">
        <v>1163.9552605141675</v>
      </c>
      <c r="F4" s="42">
        <v>1032.4933085017815</v>
      </c>
      <c r="G4" s="609"/>
    </row>
    <row r="5" spans="1:10" x14ac:dyDescent="0.2">
      <c r="A5" s="430"/>
      <c r="B5" s="423"/>
      <c r="C5" s="423"/>
      <c r="D5" s="423"/>
      <c r="E5" s="423"/>
      <c r="F5" s="423"/>
    </row>
    <row r="6" spans="1:10" x14ac:dyDescent="0.2">
      <c r="A6" s="313" t="s">
        <v>167</v>
      </c>
      <c r="B6" s="42"/>
      <c r="C6" s="42"/>
      <c r="D6" s="42"/>
      <c r="E6" s="42"/>
      <c r="F6" s="42"/>
    </row>
    <row r="7" spans="1:10" x14ac:dyDescent="0.2">
      <c r="A7" s="314" t="s">
        <v>8</v>
      </c>
      <c r="B7" s="45">
        <v>74088.411112767761</v>
      </c>
      <c r="C7" s="45">
        <v>248.15289818068482</v>
      </c>
      <c r="D7" s="45">
        <v>104.87414149302707</v>
      </c>
      <c r="E7" s="45">
        <v>101.91994032420948</v>
      </c>
      <c r="F7" s="45">
        <v>109.30544324625356</v>
      </c>
    </row>
    <row r="8" spans="1:10" x14ac:dyDescent="0.2">
      <c r="A8" s="314" t="s">
        <v>9</v>
      </c>
      <c r="B8" s="45">
        <v>187194.43416324173</v>
      </c>
      <c r="C8" s="45">
        <v>3020.6706951159372</v>
      </c>
      <c r="D8" s="45">
        <v>2048.7385105750668</v>
      </c>
      <c r="E8" s="45">
        <v>1062.0353201899572</v>
      </c>
      <c r="F8" s="45">
        <v>923.18786525552696</v>
      </c>
    </row>
    <row r="9" spans="1:10" x14ac:dyDescent="0.2">
      <c r="A9" s="313" t="s">
        <v>582</v>
      </c>
      <c r="B9" s="42"/>
      <c r="C9" s="42"/>
      <c r="D9" s="42"/>
      <c r="E9" s="42"/>
      <c r="F9" s="42"/>
    </row>
    <row r="10" spans="1:10" x14ac:dyDescent="0.2">
      <c r="A10" s="992" t="s">
        <v>11</v>
      </c>
      <c r="B10" s="43">
        <v>34100.344091657666</v>
      </c>
      <c r="C10" s="43">
        <v>581.97763025708377</v>
      </c>
      <c r="D10" s="43">
        <v>254.06130051832019</v>
      </c>
      <c r="E10" s="43">
        <v>240.76739525863974</v>
      </c>
      <c r="F10" s="43">
        <v>194.9772771419664</v>
      </c>
    </row>
    <row r="11" spans="1:10" x14ac:dyDescent="0.2">
      <c r="A11" s="338" t="s">
        <v>12</v>
      </c>
      <c r="B11" s="45">
        <v>22028.00101528603</v>
      </c>
      <c r="C11" s="45">
        <v>384.04615194629855</v>
      </c>
      <c r="D11" s="45">
        <v>168.38946662260719</v>
      </c>
      <c r="E11" s="45">
        <v>131.46195201238612</v>
      </c>
      <c r="F11" s="45">
        <v>162.48106428497181</v>
      </c>
    </row>
    <row r="12" spans="1:10" ht="15.75" customHeight="1" x14ac:dyDescent="0.2">
      <c r="A12" s="339" t="s">
        <v>13</v>
      </c>
      <c r="B12" s="45">
        <v>12072.343076371946</v>
      </c>
      <c r="C12" s="45">
        <v>197.93147831078409</v>
      </c>
      <c r="D12" s="45">
        <v>85.671833895712268</v>
      </c>
      <c r="E12" s="45">
        <v>109.30544324625359</v>
      </c>
      <c r="F12" s="45">
        <v>32.496212856994354</v>
      </c>
    </row>
    <row r="13" spans="1:10" x14ac:dyDescent="0.2">
      <c r="A13" s="992" t="s">
        <v>44</v>
      </c>
      <c r="B13" s="43">
        <v>72729.478575111832</v>
      </c>
      <c r="C13" s="43">
        <v>466.76378467319387</v>
      </c>
      <c r="D13" s="43">
        <v>353.02703967371281</v>
      </c>
      <c r="E13" s="43">
        <v>62.038224545171026</v>
      </c>
      <c r="F13" s="43">
        <v>88.62603506452993</v>
      </c>
    </row>
    <row r="14" spans="1:10" x14ac:dyDescent="0.2">
      <c r="A14" s="338" t="s">
        <v>15</v>
      </c>
      <c r="B14" s="45">
        <v>61466.586618996123</v>
      </c>
      <c r="C14" s="45">
        <v>360.41254259575703</v>
      </c>
      <c r="D14" s="45">
        <v>274.74070870004402</v>
      </c>
      <c r="E14" s="45">
        <v>48.744319285491528</v>
      </c>
      <c r="F14" s="45">
        <v>66.469526298397469</v>
      </c>
    </row>
    <row r="15" spans="1:10" x14ac:dyDescent="0.2">
      <c r="A15" s="338" t="s">
        <v>16</v>
      </c>
      <c r="B15" s="45">
        <v>11262.891956116024</v>
      </c>
      <c r="C15" s="45">
        <v>106.3512420774359</v>
      </c>
      <c r="D15" s="45">
        <v>78.286330973668115</v>
      </c>
      <c r="E15" s="45">
        <v>13.293905259679509</v>
      </c>
      <c r="F15" s="45">
        <v>22.156508766132514</v>
      </c>
      <c r="J15" s="577"/>
    </row>
    <row r="16" spans="1:10" x14ac:dyDescent="0.2">
      <c r="A16" s="992" t="s">
        <v>17</v>
      </c>
      <c r="B16" s="43">
        <v>6311.6507971783376</v>
      </c>
      <c r="C16" s="43">
        <v>20.67940818172368</v>
      </c>
      <c r="D16" s="43">
        <v>14.771005844088343</v>
      </c>
      <c r="E16" s="43">
        <v>2.9542011688176686</v>
      </c>
      <c r="F16" s="43">
        <v>8.8626035064530058</v>
      </c>
    </row>
    <row r="17" spans="1:6" x14ac:dyDescent="0.2">
      <c r="A17" s="338" t="s">
        <v>17</v>
      </c>
      <c r="B17" s="45">
        <v>6311.6507971783376</v>
      </c>
      <c r="C17" s="45">
        <v>20.67940818172368</v>
      </c>
      <c r="D17" s="45">
        <v>14.771005844088343</v>
      </c>
      <c r="E17" s="45">
        <v>2.9542011688176686</v>
      </c>
      <c r="F17" s="45">
        <v>8.8626035064530058</v>
      </c>
    </row>
    <row r="18" spans="1:6" x14ac:dyDescent="0.2">
      <c r="A18" s="992" t="s">
        <v>18</v>
      </c>
      <c r="B18" s="43">
        <v>5462.3179611433825</v>
      </c>
      <c r="C18" s="43">
        <v>45.790118116673838</v>
      </c>
      <c r="D18" s="43">
        <v>41.358816363447346</v>
      </c>
      <c r="E18" s="43">
        <v>8.8626035064530058</v>
      </c>
      <c r="F18" s="43">
        <v>4.4313017532265029</v>
      </c>
    </row>
    <row r="19" spans="1:6" x14ac:dyDescent="0.2">
      <c r="A19" s="338" t="s">
        <v>18</v>
      </c>
      <c r="B19" s="45">
        <v>5462.3179611433825</v>
      </c>
      <c r="C19" s="45">
        <v>45.790118116673838</v>
      </c>
      <c r="D19" s="45">
        <v>41.358816363447346</v>
      </c>
      <c r="E19" s="45">
        <v>8.8626035064530058</v>
      </c>
      <c r="F19" s="45">
        <v>4.4313017532265029</v>
      </c>
    </row>
    <row r="20" spans="1:6" x14ac:dyDescent="0.2">
      <c r="A20" s="992" t="s">
        <v>19</v>
      </c>
      <c r="B20" s="43">
        <v>21072.316937173655</v>
      </c>
      <c r="C20" s="43">
        <v>161.00396370056296</v>
      </c>
      <c r="D20" s="43">
        <v>90.10313564893876</v>
      </c>
      <c r="E20" s="43">
        <v>119.64514733711546</v>
      </c>
      <c r="F20" s="43">
        <v>112.25964441507122</v>
      </c>
    </row>
    <row r="21" spans="1:6" x14ac:dyDescent="0.2">
      <c r="A21" s="338" t="s">
        <v>19</v>
      </c>
      <c r="B21" s="45">
        <v>12692.725321823566</v>
      </c>
      <c r="C21" s="45">
        <v>129.98485142797722</v>
      </c>
      <c r="D21" s="45">
        <v>90.10313564893876</v>
      </c>
      <c r="E21" s="45">
        <v>118.16804675270663</v>
      </c>
      <c r="F21" s="45">
        <v>82.717632726894607</v>
      </c>
    </row>
    <row r="22" spans="1:6" ht="12.75" customHeight="1" x14ac:dyDescent="0.2">
      <c r="A22" s="338" t="s">
        <v>20</v>
      </c>
      <c r="B22" s="45">
        <v>8379.5916153504022</v>
      </c>
      <c r="C22" s="45">
        <v>31.01911227258552</v>
      </c>
      <c r="D22" s="46">
        <v>0</v>
      </c>
      <c r="E22" s="45">
        <v>1.4771005844088343</v>
      </c>
      <c r="F22" s="45">
        <v>29.542011688176686</v>
      </c>
    </row>
    <row r="23" spans="1:6" x14ac:dyDescent="0.2">
      <c r="A23" s="992" t="s">
        <v>21</v>
      </c>
      <c r="B23" s="43">
        <v>11748.858048386459</v>
      </c>
      <c r="C23" s="43">
        <v>202.36278006401062</v>
      </c>
      <c r="D23" s="43">
        <v>165.4352654537895</v>
      </c>
      <c r="E23" s="43">
        <v>32.496212856994354</v>
      </c>
      <c r="F23" s="43">
        <v>41.358816363447346</v>
      </c>
    </row>
    <row r="24" spans="1:6" x14ac:dyDescent="0.2">
      <c r="A24" s="993" t="s">
        <v>21</v>
      </c>
      <c r="B24" s="45">
        <v>11748.858048386459</v>
      </c>
      <c r="C24" s="45">
        <v>202.36278006401062</v>
      </c>
      <c r="D24" s="45">
        <v>165.4352654537895</v>
      </c>
      <c r="E24" s="45">
        <v>32.496212856994354</v>
      </c>
      <c r="F24" s="45">
        <v>41.358816363447346</v>
      </c>
    </row>
    <row r="25" spans="1:6" ht="15" customHeight="1" x14ac:dyDescent="0.2">
      <c r="A25" s="992" t="s">
        <v>22</v>
      </c>
      <c r="B25" s="43">
        <v>19638.052269712887</v>
      </c>
      <c r="C25" s="43">
        <v>62.038224545170976</v>
      </c>
      <c r="D25" s="43">
        <v>20.67940818172368</v>
      </c>
      <c r="E25" s="43">
        <v>28.064911103767852</v>
      </c>
      <c r="F25" s="43">
        <v>41.358816363447346</v>
      </c>
    </row>
    <row r="26" spans="1:6" ht="12" customHeight="1" x14ac:dyDescent="0.2">
      <c r="A26" s="338" t="s">
        <v>22</v>
      </c>
      <c r="B26" s="45">
        <v>19638.052269712887</v>
      </c>
      <c r="C26" s="45">
        <v>62.038224545170976</v>
      </c>
      <c r="D26" s="45">
        <v>20.67940818172368</v>
      </c>
      <c r="E26" s="45">
        <v>28.064911103767852</v>
      </c>
      <c r="F26" s="45">
        <v>41.358816363447346</v>
      </c>
    </row>
    <row r="27" spans="1:6" x14ac:dyDescent="0.2">
      <c r="A27" s="992" t="s">
        <v>23</v>
      </c>
      <c r="B27" s="43">
        <v>23416.475564630131</v>
      </c>
      <c r="C27" s="43">
        <v>237.8131940898229</v>
      </c>
      <c r="D27" s="43">
        <v>220.08798707691676</v>
      </c>
      <c r="E27" s="43">
        <v>25.110709934950183</v>
      </c>
      <c r="F27" s="43">
        <v>20.67940818172368</v>
      </c>
    </row>
    <row r="28" spans="1:6" x14ac:dyDescent="0.2">
      <c r="A28" s="338" t="s">
        <v>23</v>
      </c>
      <c r="B28" s="45">
        <v>11791.693965334309</v>
      </c>
      <c r="C28" s="45">
        <v>64.992425713988638</v>
      </c>
      <c r="D28" s="45">
        <v>60.561123960762146</v>
      </c>
      <c r="E28" s="45">
        <v>14.771005844088343</v>
      </c>
      <c r="F28" s="45">
        <v>8.8626035064530058</v>
      </c>
    </row>
    <row r="29" spans="1:6" x14ac:dyDescent="0.2">
      <c r="A29" s="338" t="s">
        <v>24</v>
      </c>
      <c r="B29" s="45">
        <v>11624.781599296135</v>
      </c>
      <c r="C29" s="45">
        <v>172.82076837583372</v>
      </c>
      <c r="D29" s="45">
        <v>159.52686311615412</v>
      </c>
      <c r="E29" s="45">
        <v>10.33970409086184</v>
      </c>
      <c r="F29" s="45">
        <v>11.816804675270674</v>
      </c>
    </row>
    <row r="30" spans="1:6" x14ac:dyDescent="0.2">
      <c r="A30" s="992" t="s">
        <v>25</v>
      </c>
      <c r="B30" s="43">
        <v>2310.1853140153921</v>
      </c>
      <c r="C30" s="43">
        <v>7.3855029220441715</v>
      </c>
      <c r="D30" s="43">
        <v>5.9084023376353372</v>
      </c>
      <c r="E30" s="44">
        <v>0</v>
      </c>
      <c r="F30" s="43">
        <v>1.4771005844088343</v>
      </c>
    </row>
    <row r="31" spans="1:6" x14ac:dyDescent="0.2">
      <c r="A31" s="338" t="s">
        <v>25</v>
      </c>
      <c r="B31" s="45">
        <v>2310.1853140153921</v>
      </c>
      <c r="C31" s="45">
        <v>7.3855029220441715</v>
      </c>
      <c r="D31" s="45">
        <v>5.9084023376353372</v>
      </c>
      <c r="E31" s="46">
        <v>0</v>
      </c>
      <c r="F31" s="45">
        <v>1.4771005844088343</v>
      </c>
    </row>
    <row r="32" spans="1:6" x14ac:dyDescent="0.2">
      <c r="A32" s="992" t="s">
        <v>26</v>
      </c>
      <c r="B32" s="43">
        <v>1218.6079821372959</v>
      </c>
      <c r="C32" s="43">
        <v>242.24449584304944</v>
      </c>
      <c r="D32" s="43">
        <v>205.31698123282831</v>
      </c>
      <c r="E32" s="43">
        <v>214.17958473928064</v>
      </c>
      <c r="F32" s="43">
        <v>101.91994032420941</v>
      </c>
    </row>
    <row r="33" spans="1:7" ht="12" customHeight="1" x14ac:dyDescent="0.2">
      <c r="A33" s="338" t="s">
        <v>26</v>
      </c>
      <c r="B33" s="45">
        <v>1218.6079821372959</v>
      </c>
      <c r="C33" s="45">
        <v>242.24449584304944</v>
      </c>
      <c r="D33" s="45">
        <v>205.31698123282831</v>
      </c>
      <c r="E33" s="45">
        <v>214.17958473928064</v>
      </c>
      <c r="F33" s="45">
        <v>101.91994032420941</v>
      </c>
    </row>
    <row r="34" spans="1:7" x14ac:dyDescent="0.2">
      <c r="A34" s="992" t="s">
        <v>27</v>
      </c>
      <c r="B34" s="43">
        <v>5655.8181377009114</v>
      </c>
      <c r="C34" s="43">
        <v>163.95816486938065</v>
      </c>
      <c r="D34" s="43">
        <v>110.78254383066239</v>
      </c>
      <c r="E34" s="43">
        <v>35.450414025812023</v>
      </c>
      <c r="F34" s="43">
        <v>31.01911227258552</v>
      </c>
    </row>
    <row r="35" spans="1:7" x14ac:dyDescent="0.2">
      <c r="A35" s="338" t="s">
        <v>27</v>
      </c>
      <c r="B35" s="45">
        <v>5655.8181377009114</v>
      </c>
      <c r="C35" s="45">
        <v>163.95816486938065</v>
      </c>
      <c r="D35" s="45">
        <v>110.78254383066239</v>
      </c>
      <c r="E35" s="45">
        <v>35.450414025812023</v>
      </c>
      <c r="F35" s="45">
        <v>31.01911227258552</v>
      </c>
    </row>
    <row r="36" spans="1:7" x14ac:dyDescent="0.2">
      <c r="A36" s="992" t="s">
        <v>28</v>
      </c>
      <c r="B36" s="43">
        <v>12246.640945332163</v>
      </c>
      <c r="C36" s="43">
        <v>112.25964441507122</v>
      </c>
      <c r="D36" s="43">
        <v>4.4313017532265029</v>
      </c>
      <c r="E36" s="43">
        <v>7.3855029220441715</v>
      </c>
      <c r="F36" s="43">
        <v>91.580236233347591</v>
      </c>
    </row>
    <row r="37" spans="1:7" x14ac:dyDescent="0.2">
      <c r="A37" s="338" t="s">
        <v>28</v>
      </c>
      <c r="B37" s="45">
        <v>12246.640945332163</v>
      </c>
      <c r="C37" s="45">
        <v>112.25964441507122</v>
      </c>
      <c r="D37" s="45">
        <v>4.4313017532265029</v>
      </c>
      <c r="E37" s="45">
        <v>7.3855029220441715</v>
      </c>
      <c r="F37" s="45">
        <v>91.580236233347591</v>
      </c>
    </row>
    <row r="38" spans="1:7" x14ac:dyDescent="0.2">
      <c r="A38" s="992" t="s">
        <v>29</v>
      </c>
      <c r="B38" s="43">
        <v>33499.164153803358</v>
      </c>
      <c r="C38" s="43">
        <v>614.47384311407836</v>
      </c>
      <c r="D38" s="43">
        <v>412.1110630500666</v>
      </c>
      <c r="E38" s="43">
        <v>322.00792740112593</v>
      </c>
      <c r="F38" s="43">
        <v>249.62999876509366</v>
      </c>
    </row>
    <row r="39" spans="1:7" x14ac:dyDescent="0.2">
      <c r="A39" s="338" t="s">
        <v>30</v>
      </c>
      <c r="B39" s="45">
        <v>21095.950546524193</v>
      </c>
      <c r="C39" s="45">
        <v>255.53840110272904</v>
      </c>
      <c r="D39" s="45">
        <v>217.13378590809907</v>
      </c>
      <c r="E39" s="45">
        <v>200.88567947960115</v>
      </c>
      <c r="F39" s="45">
        <v>106.3512420774359</v>
      </c>
    </row>
    <row r="40" spans="1:7" x14ac:dyDescent="0.2">
      <c r="A40" s="338" t="s">
        <v>29</v>
      </c>
      <c r="B40" s="45">
        <v>12403.213607279476</v>
      </c>
      <c r="C40" s="45">
        <v>358.93544201134819</v>
      </c>
      <c r="D40" s="45">
        <v>194.9772771419664</v>
      </c>
      <c r="E40" s="45">
        <v>121.12224792152428</v>
      </c>
      <c r="F40" s="45">
        <v>143.27875668765682</v>
      </c>
    </row>
    <row r="41" spans="1:7" x14ac:dyDescent="0.2">
      <c r="A41" s="992" t="s">
        <v>31</v>
      </c>
      <c r="B41" s="43">
        <v>11872.934497476783</v>
      </c>
      <c r="C41" s="43">
        <v>350.07283850489512</v>
      </c>
      <c r="D41" s="43">
        <v>255.53840110272904</v>
      </c>
      <c r="E41" s="43">
        <v>64.992425713988652</v>
      </c>
      <c r="F41" s="43">
        <v>44.313017532265008</v>
      </c>
    </row>
    <row r="42" spans="1:7" x14ac:dyDescent="0.2">
      <c r="A42" s="338" t="s">
        <v>31</v>
      </c>
      <c r="B42" s="45">
        <v>11872.934497476783</v>
      </c>
      <c r="C42" s="326">
        <v>350.07283850489512</v>
      </c>
      <c r="D42" s="45">
        <v>255.53840110272904</v>
      </c>
      <c r="E42" s="45">
        <v>64.992425713988652</v>
      </c>
      <c r="F42" s="45">
        <v>44.313017532265008</v>
      </c>
    </row>
    <row r="43" spans="1:7" x14ac:dyDescent="0.2">
      <c r="A43" s="328"/>
      <c r="B43" s="328"/>
      <c r="C43" s="333"/>
      <c r="D43" s="328"/>
      <c r="E43" s="328"/>
      <c r="F43" s="328"/>
      <c r="G43" s="328"/>
    </row>
    <row r="44" spans="1:7" x14ac:dyDescent="0.2">
      <c r="A44" s="328"/>
      <c r="B44" s="328"/>
      <c r="C44" s="333"/>
      <c r="D44" s="328"/>
      <c r="E44" s="328"/>
      <c r="F44" s="328"/>
      <c r="G44" s="328"/>
    </row>
    <row r="45" spans="1:7" x14ac:dyDescent="0.2">
      <c r="A45" s="328"/>
      <c r="B45" s="328"/>
      <c r="C45" s="333"/>
      <c r="D45" s="328"/>
      <c r="E45" s="328"/>
      <c r="F45" s="328"/>
      <c r="G45" s="328"/>
    </row>
    <row r="46" spans="1:7" x14ac:dyDescent="0.2">
      <c r="A46" s="328"/>
      <c r="B46" s="328"/>
      <c r="C46" s="333"/>
      <c r="D46" s="328"/>
      <c r="E46" s="328"/>
      <c r="F46" s="328"/>
      <c r="G46" s="328"/>
    </row>
    <row r="47" spans="1:7" x14ac:dyDescent="0.2">
      <c r="A47" s="328"/>
      <c r="B47" s="328"/>
      <c r="C47" s="333"/>
      <c r="D47" s="328"/>
      <c r="E47" s="328"/>
      <c r="F47" s="328"/>
      <c r="G47" s="328"/>
    </row>
  </sheetData>
  <mergeCells count="5">
    <mergeCell ref="A1:F1"/>
    <mergeCell ref="A2:A3"/>
    <mergeCell ref="B2:B3"/>
    <mergeCell ref="C2:C3"/>
    <mergeCell ref="D2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L43"/>
  <sheetViews>
    <sheetView zoomScale="120" zoomScaleNormal="120" workbookViewId="0">
      <selection activeCell="O26" sqref="O26"/>
    </sheetView>
  </sheetViews>
  <sheetFormatPr defaultRowHeight="12" x14ac:dyDescent="0.2"/>
  <cols>
    <col min="1" max="1" width="16" style="575" customWidth="1"/>
    <col min="2" max="8" width="9.140625" style="575"/>
    <col min="9" max="9" width="11.7109375" style="575" customWidth="1"/>
    <col min="10" max="10" width="10.5703125" style="575" customWidth="1"/>
    <col min="11" max="11" width="9.140625" style="575"/>
    <col min="12" max="12" width="11.140625" style="575" customWidth="1"/>
    <col min="13" max="16384" width="9.140625" style="575"/>
  </cols>
  <sheetData>
    <row r="1" spans="1:12" x14ac:dyDescent="0.2">
      <c r="A1" s="861" t="s">
        <v>408</v>
      </c>
      <c r="B1" s="861"/>
      <c r="C1" s="861"/>
      <c r="D1" s="861"/>
      <c r="E1" s="861"/>
      <c r="F1" s="861"/>
      <c r="G1" s="861"/>
      <c r="H1" s="861"/>
      <c r="I1" s="861"/>
      <c r="J1" s="861"/>
      <c r="K1" s="861"/>
      <c r="L1" s="861"/>
    </row>
    <row r="2" spans="1:12" ht="15" customHeight="1" x14ac:dyDescent="0.2">
      <c r="A2" s="942" t="str">
        <f>'Q9.6'!$A$2</f>
        <v>Área de residência, município e comuna</v>
      </c>
      <c r="B2" s="862" t="s">
        <v>84</v>
      </c>
      <c r="C2" s="862" t="s">
        <v>560</v>
      </c>
      <c r="D2" s="862"/>
      <c r="E2" s="862"/>
      <c r="F2" s="862"/>
      <c r="G2" s="862"/>
      <c r="H2" s="862"/>
      <c r="I2" s="862"/>
      <c r="J2" s="862"/>
      <c r="K2" s="862"/>
      <c r="L2" s="862"/>
    </row>
    <row r="3" spans="1:12" ht="36" x14ac:dyDescent="0.2">
      <c r="A3" s="943"/>
      <c r="B3" s="863"/>
      <c r="C3" s="336" t="s">
        <v>409</v>
      </c>
      <c r="D3" s="306" t="s">
        <v>410</v>
      </c>
      <c r="E3" s="336" t="s">
        <v>411</v>
      </c>
      <c r="F3" s="336" t="s">
        <v>412</v>
      </c>
      <c r="G3" s="306" t="s">
        <v>413</v>
      </c>
      <c r="H3" s="306" t="s">
        <v>414</v>
      </c>
      <c r="I3" s="306" t="s">
        <v>415</v>
      </c>
      <c r="J3" s="306" t="s">
        <v>416</v>
      </c>
      <c r="K3" s="306" t="s">
        <v>417</v>
      </c>
      <c r="L3" s="306" t="s">
        <v>418</v>
      </c>
    </row>
    <row r="4" spans="1:12" x14ac:dyDescent="0.2">
      <c r="A4" s="307" t="s">
        <v>32</v>
      </c>
      <c r="B4" s="42">
        <v>261282.84527673907</v>
      </c>
      <c r="C4" s="42">
        <v>69852.086636683845</v>
      </c>
      <c r="D4" s="42">
        <v>48534.571002498677</v>
      </c>
      <c r="E4" s="42">
        <v>17478.531215307488</v>
      </c>
      <c r="F4" s="42">
        <v>12958.603427017117</v>
      </c>
      <c r="G4" s="42">
        <v>18481.48251212094</v>
      </c>
      <c r="H4" s="42">
        <v>14604.093478048317</v>
      </c>
      <c r="I4" s="42">
        <v>17350.023464463939</v>
      </c>
      <c r="J4" s="42">
        <v>29419.412339666753</v>
      </c>
      <c r="K4" s="42">
        <v>15980.751222717148</v>
      </c>
      <c r="L4" s="42">
        <v>36035.345857232955</v>
      </c>
    </row>
    <row r="5" spans="1:12" x14ac:dyDescent="0.2">
      <c r="A5" s="308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</row>
    <row r="6" spans="1:12" x14ac:dyDescent="0.2">
      <c r="A6" s="309" t="s">
        <v>167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</row>
    <row r="7" spans="1:12" x14ac:dyDescent="0.2">
      <c r="A7" s="310" t="s">
        <v>8</v>
      </c>
      <c r="B7" s="45">
        <v>74088.411112767761</v>
      </c>
      <c r="C7" s="45">
        <v>21084.133741848924</v>
      </c>
      <c r="D7" s="45">
        <v>37717.76342287437</v>
      </c>
      <c r="E7" s="45">
        <v>5426.8675471175757</v>
      </c>
      <c r="F7" s="45">
        <v>4936.4701530939146</v>
      </c>
      <c r="G7" s="45">
        <v>10370.723203133219</v>
      </c>
      <c r="H7" s="45">
        <v>6518.4448789955441</v>
      </c>
      <c r="I7" s="45">
        <v>8333.8014972337351</v>
      </c>
      <c r="J7" s="45">
        <v>10797.605272027309</v>
      </c>
      <c r="K7" s="45">
        <v>4087.1373170589591</v>
      </c>
      <c r="L7" s="45">
        <v>27367.719627923183</v>
      </c>
    </row>
    <row r="8" spans="1:12" x14ac:dyDescent="0.2">
      <c r="A8" s="310" t="s">
        <v>9</v>
      </c>
      <c r="B8" s="45">
        <v>187194.43416324173</v>
      </c>
      <c r="C8" s="45">
        <v>48767.952894835238</v>
      </c>
      <c r="D8" s="45">
        <v>10816.807579624621</v>
      </c>
      <c r="E8" s="45">
        <v>12051.663668190226</v>
      </c>
      <c r="F8" s="45">
        <v>8022.1332739235168</v>
      </c>
      <c r="G8" s="45">
        <v>8110.7593089880338</v>
      </c>
      <c r="H8" s="45">
        <v>8085.6485990530873</v>
      </c>
      <c r="I8" s="45">
        <v>9016.2219672305164</v>
      </c>
      <c r="J8" s="45">
        <v>18621.807067639758</v>
      </c>
      <c r="K8" s="45">
        <v>11893.613905658503</v>
      </c>
      <c r="L8" s="45">
        <v>8667.6262293100826</v>
      </c>
    </row>
    <row r="9" spans="1:12" x14ac:dyDescent="0.2">
      <c r="A9" s="309" t="s">
        <v>582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</row>
    <row r="10" spans="1:12" x14ac:dyDescent="0.2">
      <c r="A10" s="311" t="s">
        <v>11</v>
      </c>
      <c r="B10" s="43">
        <v>34100.344091657666</v>
      </c>
      <c r="C10" s="43">
        <v>10087.119890926764</v>
      </c>
      <c r="D10" s="43">
        <v>5401.7568371826292</v>
      </c>
      <c r="E10" s="43">
        <v>2172.8149596653907</v>
      </c>
      <c r="F10" s="43">
        <v>1189.065970449119</v>
      </c>
      <c r="G10" s="43">
        <v>1771.043600706204</v>
      </c>
      <c r="H10" s="43">
        <v>1333.8218277211859</v>
      </c>
      <c r="I10" s="43">
        <v>1899.5513515497735</v>
      </c>
      <c r="J10" s="43">
        <v>3460.8466692697052</v>
      </c>
      <c r="K10" s="43">
        <v>1787.2917071347013</v>
      </c>
      <c r="L10" s="43">
        <v>3717.8621709568047</v>
      </c>
    </row>
    <row r="11" spans="1:12" ht="16.5" customHeight="1" x14ac:dyDescent="0.2">
      <c r="A11" s="337" t="s">
        <v>12</v>
      </c>
      <c r="B11" s="45">
        <v>22028.00101528603</v>
      </c>
      <c r="C11" s="45">
        <v>6296.8797913342514</v>
      </c>
      <c r="D11" s="45">
        <v>4895.1113367304733</v>
      </c>
      <c r="E11" s="45">
        <v>1200.8827751243898</v>
      </c>
      <c r="F11" s="45">
        <v>874.44354597003507</v>
      </c>
      <c r="G11" s="45">
        <v>1444.6043715518492</v>
      </c>
      <c r="H11" s="45">
        <v>989.65739155392498</v>
      </c>
      <c r="I11" s="45">
        <v>1412.1081586948546</v>
      </c>
      <c r="J11" s="45">
        <v>2694.2314659616327</v>
      </c>
      <c r="K11" s="45">
        <v>1036.924610255008</v>
      </c>
      <c r="L11" s="45">
        <v>3366.3122318675537</v>
      </c>
    </row>
    <row r="12" spans="1:12" ht="14.25" customHeight="1" x14ac:dyDescent="0.2">
      <c r="A12" s="337" t="s">
        <v>13</v>
      </c>
      <c r="B12" s="45">
        <v>12072.343076371946</v>
      </c>
      <c r="C12" s="45">
        <v>3790.2400995928269</v>
      </c>
      <c r="D12" s="45">
        <v>506.64550045223268</v>
      </c>
      <c r="E12" s="45">
        <v>971.93218454101884</v>
      </c>
      <c r="F12" s="45">
        <v>314.62242447908284</v>
      </c>
      <c r="G12" s="45">
        <v>326.4392291543536</v>
      </c>
      <c r="H12" s="45">
        <v>344.16443616725974</v>
      </c>
      <c r="I12" s="45">
        <v>487.4431928549177</v>
      </c>
      <c r="J12" s="45">
        <v>766.61520330818939</v>
      </c>
      <c r="K12" s="45">
        <v>750.3670968796921</v>
      </c>
      <c r="L12" s="45">
        <v>351.54993908930396</v>
      </c>
    </row>
    <row r="13" spans="1:12" ht="15.75" customHeight="1" x14ac:dyDescent="0.2">
      <c r="A13" s="311" t="s">
        <v>44</v>
      </c>
      <c r="B13" s="43">
        <v>72729.478575111832</v>
      </c>
      <c r="C13" s="43">
        <v>24446.014671962937</v>
      </c>
      <c r="D13" s="43">
        <v>26682.344956757584</v>
      </c>
      <c r="E13" s="43">
        <v>5589.3486114025236</v>
      </c>
      <c r="F13" s="43">
        <v>4939.4243542627319</v>
      </c>
      <c r="G13" s="43">
        <v>9029.5158724901939</v>
      </c>
      <c r="H13" s="43">
        <v>6160.9865375686586</v>
      </c>
      <c r="I13" s="43">
        <v>7441.63274425093</v>
      </c>
      <c r="J13" s="43">
        <v>9641.0355144353616</v>
      </c>
      <c r="K13" s="43">
        <v>4923.1762478342371</v>
      </c>
      <c r="L13" s="43">
        <v>20971.874097433869</v>
      </c>
    </row>
    <row r="14" spans="1:12" x14ac:dyDescent="0.2">
      <c r="A14" s="337" t="s">
        <v>15</v>
      </c>
      <c r="B14" s="45">
        <v>61466.586618996123</v>
      </c>
      <c r="C14" s="45">
        <v>19528.74682646665</v>
      </c>
      <c r="D14" s="45">
        <v>26041.283303124244</v>
      </c>
      <c r="E14" s="45">
        <v>4858.1838221202579</v>
      </c>
      <c r="F14" s="45">
        <v>4401.7597415379951</v>
      </c>
      <c r="G14" s="45">
        <v>8480.0344550901882</v>
      </c>
      <c r="H14" s="45">
        <v>5607.073818415427</v>
      </c>
      <c r="I14" s="45">
        <v>6887.7200250976985</v>
      </c>
      <c r="J14" s="45">
        <v>8475.6031533369624</v>
      </c>
      <c r="K14" s="45">
        <v>4165.4236480326163</v>
      </c>
      <c r="L14" s="45">
        <v>20434.209484709132</v>
      </c>
    </row>
    <row r="15" spans="1:12" x14ac:dyDescent="0.2">
      <c r="A15" s="337" t="s">
        <v>16</v>
      </c>
      <c r="B15" s="45">
        <v>11262.891956116024</v>
      </c>
      <c r="C15" s="45">
        <v>4917.2678454966026</v>
      </c>
      <c r="D15" s="45">
        <v>641.06165363343757</v>
      </c>
      <c r="E15" s="45">
        <v>731.16478928237711</v>
      </c>
      <c r="F15" s="45">
        <v>537.66461272481843</v>
      </c>
      <c r="G15" s="45">
        <v>549.48141740008919</v>
      </c>
      <c r="H15" s="45">
        <v>553.91271915331572</v>
      </c>
      <c r="I15" s="45">
        <v>553.91271915331572</v>
      </c>
      <c r="J15" s="45">
        <v>1165.4323610985775</v>
      </c>
      <c r="K15" s="45">
        <v>757.75259980173632</v>
      </c>
      <c r="L15" s="45">
        <v>537.66461272481843</v>
      </c>
    </row>
    <row r="16" spans="1:12" x14ac:dyDescent="0.2">
      <c r="A16" s="311" t="s">
        <v>17</v>
      </c>
      <c r="B16" s="43">
        <v>6311.6507971783376</v>
      </c>
      <c r="C16" s="43">
        <v>977.84058687865422</v>
      </c>
      <c r="D16" s="43">
        <v>1069.4208231120026</v>
      </c>
      <c r="E16" s="43">
        <v>172.82076837583372</v>
      </c>
      <c r="F16" s="43">
        <v>134.41615318120375</v>
      </c>
      <c r="G16" s="43">
        <v>273.26360811563518</v>
      </c>
      <c r="H16" s="43">
        <v>121.12224792152421</v>
      </c>
      <c r="I16" s="43">
        <v>156.57266194733643</v>
      </c>
      <c r="J16" s="43">
        <v>657.30976006193487</v>
      </c>
      <c r="K16" s="43">
        <v>171.34366779142488</v>
      </c>
      <c r="L16" s="43">
        <v>573.1150267506307</v>
      </c>
    </row>
    <row r="17" spans="1:12" x14ac:dyDescent="0.2">
      <c r="A17" s="337" t="s">
        <v>17</v>
      </c>
      <c r="B17" s="45">
        <v>6311.6507971783376</v>
      </c>
      <c r="C17" s="45">
        <v>977.84058687865422</v>
      </c>
      <c r="D17" s="45">
        <v>1069.4208231120026</v>
      </c>
      <c r="E17" s="45">
        <v>172.82076837583372</v>
      </c>
      <c r="F17" s="45">
        <v>134.41615318120375</v>
      </c>
      <c r="G17" s="45">
        <v>273.26360811563518</v>
      </c>
      <c r="H17" s="45">
        <v>121.12224792152421</v>
      </c>
      <c r="I17" s="45">
        <v>156.57266194733643</v>
      </c>
      <c r="J17" s="45">
        <v>657.30976006193487</v>
      </c>
      <c r="K17" s="45">
        <v>171.34366779142488</v>
      </c>
      <c r="L17" s="45">
        <v>573.1150267506307</v>
      </c>
    </row>
    <row r="18" spans="1:12" x14ac:dyDescent="0.2">
      <c r="A18" s="311" t="s">
        <v>18</v>
      </c>
      <c r="B18" s="43">
        <v>5462.3179611433825</v>
      </c>
      <c r="C18" s="43">
        <v>760.70680097055401</v>
      </c>
      <c r="D18" s="43">
        <v>286.55751337531478</v>
      </c>
      <c r="E18" s="43">
        <v>271.78650753122633</v>
      </c>
      <c r="F18" s="43">
        <v>171.34366779142488</v>
      </c>
      <c r="G18" s="43">
        <v>200.88567947960178</v>
      </c>
      <c r="H18" s="43">
        <v>175.77496954465141</v>
      </c>
      <c r="I18" s="43">
        <v>196.45437772637524</v>
      </c>
      <c r="J18" s="43">
        <v>751.84419746410094</v>
      </c>
      <c r="K18" s="43">
        <v>163.95816486938065</v>
      </c>
      <c r="L18" s="43">
        <v>192.02307597314871</v>
      </c>
    </row>
    <row r="19" spans="1:12" x14ac:dyDescent="0.2">
      <c r="A19" s="337" t="s">
        <v>18</v>
      </c>
      <c r="B19" s="45">
        <v>5462.3179611433825</v>
      </c>
      <c r="C19" s="45">
        <v>760.70680097055401</v>
      </c>
      <c r="D19" s="45">
        <v>286.55751337531478</v>
      </c>
      <c r="E19" s="45">
        <v>271.78650753122633</v>
      </c>
      <c r="F19" s="45">
        <v>171.34366779142488</v>
      </c>
      <c r="G19" s="45">
        <v>200.88567947960178</v>
      </c>
      <c r="H19" s="45">
        <v>175.77496954465141</v>
      </c>
      <c r="I19" s="45">
        <v>196.45437772637524</v>
      </c>
      <c r="J19" s="45">
        <v>751.84419746410094</v>
      </c>
      <c r="K19" s="45">
        <v>163.95816486938065</v>
      </c>
      <c r="L19" s="45">
        <v>192.02307597314871</v>
      </c>
    </row>
    <row r="20" spans="1:12" x14ac:dyDescent="0.2">
      <c r="A20" s="311" t="s">
        <v>19</v>
      </c>
      <c r="B20" s="43">
        <v>21072.316937173655</v>
      </c>
      <c r="C20" s="43">
        <v>2208.2653736911975</v>
      </c>
      <c r="D20" s="43">
        <v>2283.597503496037</v>
      </c>
      <c r="E20" s="43">
        <v>856.71833895712894</v>
      </c>
      <c r="F20" s="43">
        <v>744.45869454205672</v>
      </c>
      <c r="G20" s="43">
        <v>895.1229541517589</v>
      </c>
      <c r="H20" s="43">
        <v>831.60762902217857</v>
      </c>
      <c r="I20" s="43">
        <v>892.16875298294121</v>
      </c>
      <c r="J20" s="43">
        <v>2150.6584508992614</v>
      </c>
      <c r="K20" s="43">
        <v>673.55786649043216</v>
      </c>
      <c r="L20" s="43">
        <v>1561.295317720148</v>
      </c>
    </row>
    <row r="21" spans="1:12" x14ac:dyDescent="0.2">
      <c r="A21" s="337" t="s">
        <v>19</v>
      </c>
      <c r="B21" s="45">
        <v>12692.725321823566</v>
      </c>
      <c r="C21" s="45">
        <v>1432.7875668765785</v>
      </c>
      <c r="D21" s="45">
        <v>1979.3147831078511</v>
      </c>
      <c r="E21" s="45">
        <v>618.9051448673049</v>
      </c>
      <c r="F21" s="45">
        <v>502.21419869900615</v>
      </c>
      <c r="G21" s="45">
        <v>677.9891682436587</v>
      </c>
      <c r="H21" s="45">
        <v>587.88603259471915</v>
      </c>
      <c r="I21" s="45">
        <v>630.72194954257566</v>
      </c>
      <c r="J21" s="45">
        <v>1333.8218277211859</v>
      </c>
      <c r="K21" s="45">
        <v>437.22177298501697</v>
      </c>
      <c r="L21" s="45">
        <v>1296.8943131109647</v>
      </c>
    </row>
    <row r="22" spans="1:12" ht="17.25" customHeight="1" x14ac:dyDescent="0.2">
      <c r="A22" s="337" t="s">
        <v>20</v>
      </c>
      <c r="B22" s="45">
        <v>8379.5916153504022</v>
      </c>
      <c r="C22" s="45">
        <v>775.47780681464246</v>
      </c>
      <c r="D22" s="45">
        <v>304.28272038822092</v>
      </c>
      <c r="E22" s="45">
        <v>237.8131940898229</v>
      </c>
      <c r="F22" s="45">
        <v>242.24449584304944</v>
      </c>
      <c r="G22" s="45">
        <v>217.13378590809907</v>
      </c>
      <c r="H22" s="45">
        <v>243.72159642745828</v>
      </c>
      <c r="I22" s="45">
        <v>261.44680344036442</v>
      </c>
      <c r="J22" s="45">
        <v>816.83662317809012</v>
      </c>
      <c r="K22" s="45">
        <v>236.33609350541406</v>
      </c>
      <c r="L22" s="45">
        <v>264.40100460918211</v>
      </c>
    </row>
    <row r="23" spans="1:12" x14ac:dyDescent="0.2">
      <c r="A23" s="311" t="s">
        <v>21</v>
      </c>
      <c r="B23" s="43">
        <v>11748.858048386459</v>
      </c>
      <c r="C23" s="43">
        <v>2054.6469129127013</v>
      </c>
      <c r="D23" s="43">
        <v>1364.8409399937716</v>
      </c>
      <c r="E23" s="43">
        <v>527.32490863395651</v>
      </c>
      <c r="F23" s="43">
        <v>355.9812408425305</v>
      </c>
      <c r="G23" s="43">
        <v>497.78289694577961</v>
      </c>
      <c r="H23" s="43">
        <v>361.88964318016588</v>
      </c>
      <c r="I23" s="43">
        <v>443.13017532265235</v>
      </c>
      <c r="J23" s="43">
        <v>1511.0738978502472</v>
      </c>
      <c r="K23" s="43">
        <v>530.2791098027742</v>
      </c>
      <c r="L23" s="43">
        <v>858.19543954153778</v>
      </c>
    </row>
    <row r="24" spans="1:12" x14ac:dyDescent="0.2">
      <c r="A24" s="337" t="s">
        <v>21</v>
      </c>
      <c r="B24" s="45">
        <v>11748.858048386459</v>
      </c>
      <c r="C24" s="45">
        <v>2054.6469129127013</v>
      </c>
      <c r="D24" s="45">
        <v>1364.8409399937716</v>
      </c>
      <c r="E24" s="45">
        <v>527.32490863395651</v>
      </c>
      <c r="F24" s="45">
        <v>355.9812408425305</v>
      </c>
      <c r="G24" s="45">
        <v>497.78289694577961</v>
      </c>
      <c r="H24" s="45">
        <v>361.88964318016588</v>
      </c>
      <c r="I24" s="45">
        <v>443.13017532265235</v>
      </c>
      <c r="J24" s="45">
        <v>1511.0738978502472</v>
      </c>
      <c r="K24" s="45">
        <v>530.2791098027742</v>
      </c>
      <c r="L24" s="45">
        <v>858.19543954153778</v>
      </c>
    </row>
    <row r="25" spans="1:12" ht="16.5" customHeight="1" x14ac:dyDescent="0.2">
      <c r="A25" s="311" t="s">
        <v>22</v>
      </c>
      <c r="B25" s="43">
        <v>19638.052269712887</v>
      </c>
      <c r="C25" s="43">
        <v>7035.4300835385602</v>
      </c>
      <c r="D25" s="43">
        <v>5425.3904465331671</v>
      </c>
      <c r="E25" s="43">
        <v>1558.3411165513303</v>
      </c>
      <c r="F25" s="43">
        <v>1013.2910009044665</v>
      </c>
      <c r="G25" s="43">
        <v>1360.4096382405451</v>
      </c>
      <c r="H25" s="43">
        <v>1166.9094616829864</v>
      </c>
      <c r="I25" s="43">
        <v>1406.1997563572193</v>
      </c>
      <c r="J25" s="43">
        <v>1961.589576094945</v>
      </c>
      <c r="K25" s="43">
        <v>1465.2837797335731</v>
      </c>
      <c r="L25" s="43">
        <v>3212.6937710890575</v>
      </c>
    </row>
    <row r="26" spans="1:12" ht="15.75" customHeight="1" x14ac:dyDescent="0.2">
      <c r="A26" s="337" t="s">
        <v>22</v>
      </c>
      <c r="B26" s="45">
        <v>19638.052269712887</v>
      </c>
      <c r="C26" s="45">
        <v>7035.4300835385602</v>
      </c>
      <c r="D26" s="45">
        <v>5425.3904465331671</v>
      </c>
      <c r="E26" s="45">
        <v>1558.3411165513303</v>
      </c>
      <c r="F26" s="45">
        <v>1013.2910009044665</v>
      </c>
      <c r="G26" s="45">
        <v>1360.4096382405451</v>
      </c>
      <c r="H26" s="45">
        <v>1166.9094616829864</v>
      </c>
      <c r="I26" s="45">
        <v>1406.1997563572193</v>
      </c>
      <c r="J26" s="45">
        <v>1961.589576094945</v>
      </c>
      <c r="K26" s="45">
        <v>1465.2837797335731</v>
      </c>
      <c r="L26" s="45">
        <v>3212.6937710890575</v>
      </c>
    </row>
    <row r="27" spans="1:12" x14ac:dyDescent="0.2">
      <c r="A27" s="311" t="s">
        <v>23</v>
      </c>
      <c r="B27" s="43">
        <v>23416.475564630131</v>
      </c>
      <c r="C27" s="43">
        <v>7255.5180706154442</v>
      </c>
      <c r="D27" s="43">
        <v>1499.2570931749765</v>
      </c>
      <c r="E27" s="43">
        <v>1655.8297551223141</v>
      </c>
      <c r="F27" s="43">
        <v>1350.0699341496831</v>
      </c>
      <c r="G27" s="43">
        <v>1330.8676265523682</v>
      </c>
      <c r="H27" s="43">
        <v>1296.8943131109647</v>
      </c>
      <c r="I27" s="43">
        <v>1449.0356733050758</v>
      </c>
      <c r="J27" s="43">
        <v>2710.4795723901275</v>
      </c>
      <c r="K27" s="43">
        <v>2028.059102393343</v>
      </c>
      <c r="L27" s="43">
        <v>1409.1539575260369</v>
      </c>
    </row>
    <row r="28" spans="1:12" x14ac:dyDescent="0.2">
      <c r="A28" s="337" t="s">
        <v>23</v>
      </c>
      <c r="B28" s="45">
        <v>11791.693965334309</v>
      </c>
      <c r="C28" s="45">
        <v>3793.1943007616442</v>
      </c>
      <c r="D28" s="45">
        <v>796.15721499636629</v>
      </c>
      <c r="E28" s="45">
        <v>850.80993661949356</v>
      </c>
      <c r="F28" s="45">
        <v>700.14567700979137</v>
      </c>
      <c r="G28" s="45">
        <v>688.32887233452061</v>
      </c>
      <c r="H28" s="45">
        <v>694.23727467215599</v>
      </c>
      <c r="I28" s="45">
        <v>738.55029220442134</v>
      </c>
      <c r="J28" s="45">
        <v>1354.5012359029097</v>
      </c>
      <c r="K28" s="45">
        <v>939.43597168402425</v>
      </c>
      <c r="L28" s="45">
        <v>711.96248168506213</v>
      </c>
    </row>
    <row r="29" spans="1:12" x14ac:dyDescent="0.2">
      <c r="A29" s="337" t="s">
        <v>24</v>
      </c>
      <c r="B29" s="45">
        <v>11624.781599296135</v>
      </c>
      <c r="C29" s="45">
        <v>3462.3237698541138</v>
      </c>
      <c r="D29" s="45">
        <v>703.09987817860906</v>
      </c>
      <c r="E29" s="45">
        <v>805.01981850281936</v>
      </c>
      <c r="F29" s="45">
        <v>649.92425713989064</v>
      </c>
      <c r="G29" s="45">
        <v>642.53875421784642</v>
      </c>
      <c r="H29" s="45">
        <v>602.6570384388076</v>
      </c>
      <c r="I29" s="45">
        <v>710.48538110065329</v>
      </c>
      <c r="J29" s="45">
        <v>1355.9783364873185</v>
      </c>
      <c r="K29" s="45">
        <v>1088.6231307093176</v>
      </c>
      <c r="L29" s="45">
        <v>697.19147584097368</v>
      </c>
    </row>
    <row r="30" spans="1:12" x14ac:dyDescent="0.2">
      <c r="A30" s="311" t="s">
        <v>25</v>
      </c>
      <c r="B30" s="43">
        <v>2310.1853140153921</v>
      </c>
      <c r="C30" s="43">
        <v>387.00035311511624</v>
      </c>
      <c r="D30" s="43">
        <v>36.927514610220854</v>
      </c>
      <c r="E30" s="43">
        <v>35.450414025812023</v>
      </c>
      <c r="F30" s="43">
        <v>32.496212856994354</v>
      </c>
      <c r="G30" s="43">
        <v>31.01911227258552</v>
      </c>
      <c r="H30" s="43">
        <v>33.973313441403192</v>
      </c>
      <c r="I30" s="43">
        <v>38.404615194629685</v>
      </c>
      <c r="J30" s="43">
        <v>258.49260227154673</v>
      </c>
      <c r="K30" s="43">
        <v>54.652721623126823</v>
      </c>
      <c r="L30" s="43">
        <v>29.542011688176686</v>
      </c>
    </row>
    <row r="31" spans="1:12" x14ac:dyDescent="0.2">
      <c r="A31" s="337" t="s">
        <v>25</v>
      </c>
      <c r="B31" s="45">
        <v>2310.1853140153921</v>
      </c>
      <c r="C31" s="45">
        <v>387.00035311511624</v>
      </c>
      <c r="D31" s="45">
        <v>36.927514610220854</v>
      </c>
      <c r="E31" s="45">
        <v>35.450414025812023</v>
      </c>
      <c r="F31" s="45">
        <v>32.496212856994354</v>
      </c>
      <c r="G31" s="45">
        <v>31.01911227258552</v>
      </c>
      <c r="H31" s="45">
        <v>33.973313441403192</v>
      </c>
      <c r="I31" s="45">
        <v>38.404615194629685</v>
      </c>
      <c r="J31" s="45">
        <v>258.49260227154673</v>
      </c>
      <c r="K31" s="45">
        <v>54.652721623126823</v>
      </c>
      <c r="L31" s="45">
        <v>29.542011688176686</v>
      </c>
    </row>
    <row r="32" spans="1:12" x14ac:dyDescent="0.2">
      <c r="A32" s="311" t="s">
        <v>26</v>
      </c>
      <c r="B32" s="43">
        <v>1218.6079821372959</v>
      </c>
      <c r="C32" s="43">
        <v>463.80958350437618</v>
      </c>
      <c r="D32" s="43">
        <v>62.038224545170976</v>
      </c>
      <c r="E32" s="43">
        <v>48.7443192854915</v>
      </c>
      <c r="F32" s="43">
        <v>31.01911227258552</v>
      </c>
      <c r="G32" s="43">
        <v>56.129822207535653</v>
      </c>
      <c r="H32" s="43">
        <v>51.698520454309161</v>
      </c>
      <c r="I32" s="43">
        <v>50.22141986990033</v>
      </c>
      <c r="J32" s="43">
        <v>144.75585727206567</v>
      </c>
      <c r="K32" s="43">
        <v>57.606922791944484</v>
      </c>
      <c r="L32" s="43">
        <v>45.790118116673838</v>
      </c>
    </row>
    <row r="33" spans="1:12" ht="17.25" customHeight="1" x14ac:dyDescent="0.2">
      <c r="A33" s="337" t="s">
        <v>26</v>
      </c>
      <c r="B33" s="45">
        <v>1218.6079821372959</v>
      </c>
      <c r="C33" s="45">
        <v>463.80958350437618</v>
      </c>
      <c r="D33" s="45">
        <v>62.038224545170976</v>
      </c>
      <c r="E33" s="45">
        <v>48.7443192854915</v>
      </c>
      <c r="F33" s="45">
        <v>31.01911227258552</v>
      </c>
      <c r="G33" s="45">
        <v>56.129822207535653</v>
      </c>
      <c r="H33" s="45">
        <v>51.698520454309161</v>
      </c>
      <c r="I33" s="45">
        <v>50.22141986990033</v>
      </c>
      <c r="J33" s="45">
        <v>144.75585727206567</v>
      </c>
      <c r="K33" s="45">
        <v>57.606922791944484</v>
      </c>
      <c r="L33" s="45">
        <v>45.790118116673838</v>
      </c>
    </row>
    <row r="34" spans="1:12" x14ac:dyDescent="0.2">
      <c r="A34" s="311" t="s">
        <v>27</v>
      </c>
      <c r="B34" s="43">
        <v>5655.8181377009114</v>
      </c>
      <c r="C34" s="43">
        <v>1228.9476862281579</v>
      </c>
      <c r="D34" s="43">
        <v>292.46591571295016</v>
      </c>
      <c r="E34" s="43">
        <v>372.22934727102779</v>
      </c>
      <c r="F34" s="43">
        <v>252.58419993391135</v>
      </c>
      <c r="G34" s="43">
        <v>205.31698123282831</v>
      </c>
      <c r="H34" s="43">
        <v>243.72159642745828</v>
      </c>
      <c r="I34" s="43">
        <v>231.90479175218752</v>
      </c>
      <c r="J34" s="43">
        <v>494.82869577696192</v>
      </c>
      <c r="K34" s="43">
        <v>906.93975882702966</v>
      </c>
      <c r="L34" s="43">
        <v>220.08798707691676</v>
      </c>
    </row>
    <row r="35" spans="1:12" x14ac:dyDescent="0.2">
      <c r="A35" s="337" t="s">
        <v>27</v>
      </c>
      <c r="B35" s="45">
        <v>5655.8181377009114</v>
      </c>
      <c r="C35" s="45">
        <v>1228.9476862281579</v>
      </c>
      <c r="D35" s="45">
        <v>292.46591571295016</v>
      </c>
      <c r="E35" s="45">
        <v>372.22934727102779</v>
      </c>
      <c r="F35" s="45">
        <v>252.58419993391135</v>
      </c>
      <c r="G35" s="45">
        <v>205.31698123282831</v>
      </c>
      <c r="H35" s="45">
        <v>243.72159642745828</v>
      </c>
      <c r="I35" s="45">
        <v>231.90479175218752</v>
      </c>
      <c r="J35" s="45">
        <v>494.82869577696192</v>
      </c>
      <c r="K35" s="45">
        <v>906.93975882702966</v>
      </c>
      <c r="L35" s="45">
        <v>220.08798707691676</v>
      </c>
    </row>
    <row r="36" spans="1:12" x14ac:dyDescent="0.2">
      <c r="A36" s="311" t="s">
        <v>28</v>
      </c>
      <c r="B36" s="43">
        <v>12246.640945332163</v>
      </c>
      <c r="C36" s="43">
        <v>3750.3583838137943</v>
      </c>
      <c r="D36" s="43">
        <v>642.53875421784642</v>
      </c>
      <c r="E36" s="43">
        <v>1025.1078055797373</v>
      </c>
      <c r="F36" s="43">
        <v>586.40893201031031</v>
      </c>
      <c r="G36" s="43">
        <v>552.43561856890688</v>
      </c>
      <c r="H36" s="43">
        <v>596.74863610117222</v>
      </c>
      <c r="I36" s="43">
        <v>612.99674252966952</v>
      </c>
      <c r="J36" s="43">
        <v>652.87845830870833</v>
      </c>
      <c r="K36" s="43">
        <v>660.26396123075256</v>
      </c>
      <c r="L36" s="43">
        <v>580.50052967267493</v>
      </c>
    </row>
    <row r="37" spans="1:12" x14ac:dyDescent="0.2">
      <c r="A37" s="337" t="s">
        <v>28</v>
      </c>
      <c r="B37" s="45">
        <v>12246.640945332163</v>
      </c>
      <c r="C37" s="45">
        <v>3750.3583838137943</v>
      </c>
      <c r="D37" s="45">
        <v>642.53875421784642</v>
      </c>
      <c r="E37" s="45">
        <v>1025.1078055797373</v>
      </c>
      <c r="F37" s="45">
        <v>586.40893201031031</v>
      </c>
      <c r="G37" s="45">
        <v>552.43561856890688</v>
      </c>
      <c r="H37" s="45">
        <v>596.74863610117222</v>
      </c>
      <c r="I37" s="45">
        <v>612.99674252966952</v>
      </c>
      <c r="J37" s="45">
        <v>652.87845830870833</v>
      </c>
      <c r="K37" s="45">
        <v>660.26396123075256</v>
      </c>
      <c r="L37" s="45">
        <v>580.50052967267493</v>
      </c>
    </row>
    <row r="38" spans="1:12" x14ac:dyDescent="0.2">
      <c r="A38" s="311" t="s">
        <v>29</v>
      </c>
      <c r="B38" s="43">
        <v>33499.164153803358</v>
      </c>
      <c r="C38" s="43">
        <v>6449.021151528339</v>
      </c>
      <c r="D38" s="43">
        <v>2125.5477409643149</v>
      </c>
      <c r="E38" s="43">
        <v>2299.8456099245318</v>
      </c>
      <c r="F38" s="43">
        <v>1651.3984533690875</v>
      </c>
      <c r="G38" s="43">
        <v>1722.2992814207121</v>
      </c>
      <c r="H38" s="43">
        <v>1725.2534825895298</v>
      </c>
      <c r="I38" s="43">
        <v>1818.310819407287</v>
      </c>
      <c r="J38" s="43">
        <v>3612.9880294637928</v>
      </c>
      <c r="K38" s="43">
        <v>1765.1351983685686</v>
      </c>
      <c r="L38" s="43">
        <v>1785.8146065502924</v>
      </c>
    </row>
    <row r="39" spans="1:12" x14ac:dyDescent="0.2">
      <c r="A39" s="337" t="s">
        <v>30</v>
      </c>
      <c r="B39" s="45">
        <v>21095.950546524193</v>
      </c>
      <c r="C39" s="45">
        <v>4361.8780257589624</v>
      </c>
      <c r="D39" s="45">
        <v>1141.798751748036</v>
      </c>
      <c r="E39" s="45">
        <v>1174.2949646050306</v>
      </c>
      <c r="F39" s="45">
        <v>859.67254012594663</v>
      </c>
      <c r="G39" s="45">
        <v>889.21455181412352</v>
      </c>
      <c r="H39" s="45">
        <v>906.93975882702966</v>
      </c>
      <c r="I39" s="45">
        <v>992.61159272274267</v>
      </c>
      <c r="J39" s="45">
        <v>2199.4027701847458</v>
      </c>
      <c r="K39" s="45">
        <v>912.84816116466504</v>
      </c>
      <c r="L39" s="45">
        <v>909.89395999584735</v>
      </c>
    </row>
    <row r="40" spans="1:12" x14ac:dyDescent="0.2">
      <c r="A40" s="337" t="s">
        <v>29</v>
      </c>
      <c r="B40" s="45">
        <v>12403.213607279476</v>
      </c>
      <c r="C40" s="45">
        <v>2087.1431257696909</v>
      </c>
      <c r="D40" s="45">
        <v>983.7489892162896</v>
      </c>
      <c r="E40" s="45">
        <v>1125.5506453195387</v>
      </c>
      <c r="F40" s="45">
        <v>791.72591324313976</v>
      </c>
      <c r="G40" s="45">
        <v>833.08472960658742</v>
      </c>
      <c r="H40" s="45">
        <v>818.31372376249897</v>
      </c>
      <c r="I40" s="45">
        <v>825.69922668454319</v>
      </c>
      <c r="J40" s="45">
        <v>1413.5852592792635</v>
      </c>
      <c r="K40" s="45">
        <v>852.2870372039024</v>
      </c>
      <c r="L40" s="45">
        <v>875.92064655444392</v>
      </c>
    </row>
    <row r="41" spans="1:12" x14ac:dyDescent="0.2">
      <c r="A41" s="311" t="s">
        <v>31</v>
      </c>
      <c r="B41" s="43">
        <v>11872.934497476783</v>
      </c>
      <c r="C41" s="43">
        <v>2747.4070870003429</v>
      </c>
      <c r="D41" s="43">
        <v>1361.8867388249539</v>
      </c>
      <c r="E41" s="43">
        <v>892.16875298294121</v>
      </c>
      <c r="F41" s="43">
        <v>506.64550045223268</v>
      </c>
      <c r="G41" s="43">
        <v>555.38981973772457</v>
      </c>
      <c r="H41" s="43">
        <v>503.69129928341499</v>
      </c>
      <c r="I41" s="43">
        <v>713.43958226947098</v>
      </c>
      <c r="J41" s="43">
        <v>1410.6310581104458</v>
      </c>
      <c r="K41" s="43">
        <v>793.2030138275486</v>
      </c>
      <c r="L41" s="43">
        <v>877.39774713885276</v>
      </c>
    </row>
    <row r="42" spans="1:12" x14ac:dyDescent="0.2">
      <c r="A42" s="337" t="s">
        <v>31</v>
      </c>
      <c r="B42" s="45">
        <v>11872.934497476783</v>
      </c>
      <c r="C42" s="45">
        <v>2747.4070870003429</v>
      </c>
      <c r="D42" s="45">
        <v>1361.8867388249539</v>
      </c>
      <c r="E42" s="45">
        <v>892.16875298294121</v>
      </c>
      <c r="F42" s="45">
        <v>506.64550045223268</v>
      </c>
      <c r="G42" s="45">
        <v>555.38981973772457</v>
      </c>
      <c r="H42" s="45">
        <v>503.69129928341499</v>
      </c>
      <c r="I42" s="45">
        <v>713.43958226947098</v>
      </c>
      <c r="J42" s="45">
        <v>1410.6310581104458</v>
      </c>
      <c r="K42" s="45">
        <v>793.2030138275486</v>
      </c>
      <c r="L42" s="45">
        <v>877.39774713885276</v>
      </c>
    </row>
    <row r="43" spans="1:12" x14ac:dyDescent="0.2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</row>
  </sheetData>
  <mergeCells count="4">
    <mergeCell ref="A1:L1"/>
    <mergeCell ref="A2:A3"/>
    <mergeCell ref="C2:L2"/>
    <mergeCell ref="B2:B3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44"/>
  <sheetViews>
    <sheetView topLeftCell="A2" workbookViewId="0">
      <selection activeCell="A42" activeCellId="16" sqref="G17 A11:A12 A14:A15 A17 A19 A21:A22 A24 A26 A28 A29 A31 A33 A35 A37 A39 A40 A42"/>
    </sheetView>
  </sheetViews>
  <sheetFormatPr defaultRowHeight="12" x14ac:dyDescent="0.2"/>
  <cols>
    <col min="1" max="1" width="17.5703125" style="575" customWidth="1"/>
    <col min="2" max="2" width="9.140625" style="575"/>
    <col min="3" max="3" width="13.7109375" style="575" customWidth="1"/>
    <col min="4" max="4" width="14.28515625" style="575" customWidth="1"/>
    <col min="5" max="16384" width="9.140625" style="575"/>
  </cols>
  <sheetData>
    <row r="1" spans="1:5" ht="38.25" customHeight="1" x14ac:dyDescent="0.2">
      <c r="A1" s="865" t="s">
        <v>404</v>
      </c>
      <c r="B1" s="865"/>
      <c r="C1" s="865"/>
      <c r="D1" s="865"/>
      <c r="E1" s="865"/>
    </row>
    <row r="2" spans="1:5" ht="25.5" customHeight="1" x14ac:dyDescent="0.2">
      <c r="A2" s="942" t="str">
        <f>'Q9.6'!$A$2</f>
        <v>Área de residência, município e comuna</v>
      </c>
      <c r="B2" s="866" t="s">
        <v>84</v>
      </c>
      <c r="C2" s="868" t="s">
        <v>405</v>
      </c>
      <c r="D2" s="868"/>
      <c r="E2" s="868" t="s">
        <v>163</v>
      </c>
    </row>
    <row r="3" spans="1:5" ht="24.75" customHeight="1" x14ac:dyDescent="0.2">
      <c r="A3" s="943"/>
      <c r="B3" s="867"/>
      <c r="C3" s="302" t="s">
        <v>406</v>
      </c>
      <c r="D3" s="302" t="s">
        <v>407</v>
      </c>
      <c r="E3" s="869"/>
    </row>
    <row r="4" spans="1:5" x14ac:dyDescent="0.2">
      <c r="A4" s="303" t="s">
        <v>32</v>
      </c>
      <c r="B4" s="42">
        <v>261282.84527673907</v>
      </c>
      <c r="C4" s="42">
        <v>57778.266459727805</v>
      </c>
      <c r="D4" s="42">
        <v>203377.54816618198</v>
      </c>
      <c r="E4" s="42">
        <v>127.03065025915953</v>
      </c>
    </row>
    <row r="5" spans="1:5" x14ac:dyDescent="0.2">
      <c r="A5" s="304"/>
      <c r="B5" s="43"/>
      <c r="C5" s="43"/>
      <c r="D5" s="43"/>
      <c r="E5" s="43"/>
    </row>
    <row r="6" spans="1:5" ht="15" customHeight="1" x14ac:dyDescent="0.2">
      <c r="A6" s="303" t="s">
        <v>167</v>
      </c>
      <c r="B6" s="303"/>
      <c r="C6" s="303"/>
      <c r="D6" s="303"/>
      <c r="E6" s="303"/>
    </row>
    <row r="7" spans="1:5" x14ac:dyDescent="0.2">
      <c r="A7" s="305" t="s">
        <v>8</v>
      </c>
      <c r="B7" s="45">
        <v>74088.411112767761</v>
      </c>
      <c r="C7" s="45">
        <v>8750.3438620369652</v>
      </c>
      <c r="D7" s="45">
        <v>65304.093937289712</v>
      </c>
      <c r="E7" s="45">
        <v>33.973313441403192</v>
      </c>
    </row>
    <row r="8" spans="1:5" x14ac:dyDescent="0.2">
      <c r="A8" s="305" t="s">
        <v>9</v>
      </c>
      <c r="B8" s="45">
        <v>187194.43416324173</v>
      </c>
      <c r="C8" s="45">
        <v>49027.922597691155</v>
      </c>
      <c r="D8" s="45">
        <v>138073.45422824923</v>
      </c>
      <c r="E8" s="45">
        <v>93.057336817756422</v>
      </c>
    </row>
    <row r="9" spans="1:5" x14ac:dyDescent="0.2">
      <c r="A9" s="303" t="s">
        <v>584</v>
      </c>
      <c r="B9" s="42"/>
      <c r="C9" s="42"/>
      <c r="D9" s="42"/>
      <c r="E9" s="42"/>
    </row>
    <row r="10" spans="1:5" x14ac:dyDescent="0.2">
      <c r="A10" s="994" t="s">
        <v>11</v>
      </c>
      <c r="B10" s="43">
        <v>34100.344091657666</v>
      </c>
      <c r="C10" s="43">
        <v>11754.766450724093</v>
      </c>
      <c r="D10" s="43">
        <v>22332.283735674206</v>
      </c>
      <c r="E10" s="43">
        <v>13.293905259679509</v>
      </c>
    </row>
    <row r="11" spans="1:5" ht="12" customHeight="1" x14ac:dyDescent="0.2">
      <c r="A11" s="305" t="s">
        <v>12</v>
      </c>
      <c r="B11" s="45">
        <v>22028.00101528603</v>
      </c>
      <c r="C11" s="45">
        <v>7319.0333957450148</v>
      </c>
      <c r="D11" s="45">
        <v>14703.059217203694</v>
      </c>
      <c r="E11" s="45">
        <v>5.9084023376353372</v>
      </c>
    </row>
    <row r="12" spans="1:5" ht="12.75" customHeight="1" x14ac:dyDescent="0.2">
      <c r="A12" s="335" t="s">
        <v>13</v>
      </c>
      <c r="B12" s="45">
        <v>12072.343076371946</v>
      </c>
      <c r="C12" s="45">
        <v>4435.7330549793933</v>
      </c>
      <c r="D12" s="45">
        <v>7629.2245184708245</v>
      </c>
      <c r="E12" s="45">
        <v>7.3855029220441715</v>
      </c>
    </row>
    <row r="13" spans="1:5" ht="14.25" customHeight="1" x14ac:dyDescent="0.2">
      <c r="A13" s="994" t="s">
        <v>44</v>
      </c>
      <c r="B13" s="43">
        <v>72729.478575111832</v>
      </c>
      <c r="C13" s="43">
        <v>3735.5873779697081</v>
      </c>
      <c r="D13" s="43">
        <v>68956.963682532223</v>
      </c>
      <c r="E13" s="43">
        <v>36.927514610220854</v>
      </c>
    </row>
    <row r="14" spans="1:5" x14ac:dyDescent="0.2">
      <c r="A14" s="305" t="s">
        <v>15</v>
      </c>
      <c r="B14" s="45">
        <v>61466.586618996123</v>
      </c>
      <c r="C14" s="45">
        <v>3149.1784459594869</v>
      </c>
      <c r="D14" s="45">
        <v>58287.866161348778</v>
      </c>
      <c r="E14" s="45">
        <v>29.542011688176686</v>
      </c>
    </row>
    <row r="15" spans="1:5" x14ac:dyDescent="0.2">
      <c r="A15" s="305" t="s">
        <v>16</v>
      </c>
      <c r="B15" s="45">
        <v>11262.891956116024</v>
      </c>
      <c r="C15" s="45">
        <v>586.40893201031031</v>
      </c>
      <c r="D15" s="45">
        <v>10669.097521183759</v>
      </c>
      <c r="E15" s="45">
        <v>7.3855029220441715</v>
      </c>
    </row>
    <row r="16" spans="1:5" x14ac:dyDescent="0.2">
      <c r="A16" s="994" t="s">
        <v>17</v>
      </c>
      <c r="B16" s="43">
        <v>6311.6507971783376</v>
      </c>
      <c r="C16" s="43">
        <v>2620.3764367412018</v>
      </c>
      <c r="D16" s="43">
        <v>3685.3659580998151</v>
      </c>
      <c r="E16" s="43">
        <v>5.9084023376353372</v>
      </c>
    </row>
    <row r="17" spans="1:7" x14ac:dyDescent="0.2">
      <c r="A17" s="305" t="s">
        <v>17</v>
      </c>
      <c r="B17" s="45">
        <v>6311.6507971783376</v>
      </c>
      <c r="C17" s="45">
        <v>2620.3764367412018</v>
      </c>
      <c r="D17" s="45">
        <v>3685.3659580998151</v>
      </c>
      <c r="E17" s="45">
        <v>5.9084023376353372</v>
      </c>
      <c r="G17" s="917"/>
    </row>
    <row r="18" spans="1:7" x14ac:dyDescent="0.2">
      <c r="A18" s="994" t="s">
        <v>18</v>
      </c>
      <c r="B18" s="43">
        <v>5462.3179611433825</v>
      </c>
      <c r="C18" s="43">
        <v>1709.0053761610325</v>
      </c>
      <c r="D18" s="43">
        <v>3753.3125849826115</v>
      </c>
      <c r="E18" s="44">
        <v>0</v>
      </c>
    </row>
    <row r="19" spans="1:7" x14ac:dyDescent="0.2">
      <c r="A19" s="305" t="s">
        <v>18</v>
      </c>
      <c r="B19" s="45">
        <v>5462.3179611433825</v>
      </c>
      <c r="C19" s="45">
        <v>1709.0053761610325</v>
      </c>
      <c r="D19" s="45">
        <v>3753.3125849826115</v>
      </c>
      <c r="E19" s="46">
        <v>0</v>
      </c>
    </row>
    <row r="20" spans="1:7" x14ac:dyDescent="0.2">
      <c r="A20" s="994" t="s">
        <v>19</v>
      </c>
      <c r="B20" s="43">
        <v>21072.316937173655</v>
      </c>
      <c r="C20" s="43">
        <v>1630.7190451873637</v>
      </c>
      <c r="D20" s="43">
        <v>19437.166590233315</v>
      </c>
      <c r="E20" s="43">
        <v>4.4313017532265029</v>
      </c>
    </row>
    <row r="21" spans="1:7" x14ac:dyDescent="0.2">
      <c r="A21" s="305" t="s">
        <v>19</v>
      </c>
      <c r="B21" s="45">
        <v>12692.725321823566</v>
      </c>
      <c r="C21" s="45">
        <v>1172.8178640206218</v>
      </c>
      <c r="D21" s="45">
        <v>11515.476156049897</v>
      </c>
      <c r="E21" s="45">
        <v>4.4313017532265029</v>
      </c>
    </row>
    <row r="22" spans="1:7" ht="15.75" customHeight="1" x14ac:dyDescent="0.2">
      <c r="A22" s="305" t="s">
        <v>20</v>
      </c>
      <c r="B22" s="45">
        <v>8379.5916153504022</v>
      </c>
      <c r="C22" s="45">
        <v>457.9011811667408</v>
      </c>
      <c r="D22" s="45">
        <v>7921.6904341837308</v>
      </c>
      <c r="E22" s="46">
        <v>0</v>
      </c>
    </row>
    <row r="23" spans="1:7" x14ac:dyDescent="0.2">
      <c r="A23" s="994" t="s">
        <v>21</v>
      </c>
      <c r="B23" s="43">
        <v>11748.858048386459</v>
      </c>
      <c r="C23" s="43">
        <v>576.06922791944839</v>
      </c>
      <c r="D23" s="43">
        <v>11168.357518713872</v>
      </c>
      <c r="E23" s="43">
        <v>4.4313017532265029</v>
      </c>
    </row>
    <row r="24" spans="1:7" x14ac:dyDescent="0.2">
      <c r="A24" s="305" t="s">
        <v>21</v>
      </c>
      <c r="B24" s="45">
        <v>11748.858048386459</v>
      </c>
      <c r="C24" s="45">
        <v>576.06922791944839</v>
      </c>
      <c r="D24" s="45">
        <v>11168.357518713872</v>
      </c>
      <c r="E24" s="45">
        <v>4.4313017532265029</v>
      </c>
    </row>
    <row r="25" spans="1:7" ht="18.75" customHeight="1" x14ac:dyDescent="0.2">
      <c r="A25" s="994" t="s">
        <v>22</v>
      </c>
      <c r="B25" s="43">
        <v>19638.052269712887</v>
      </c>
      <c r="C25" s="43">
        <v>8742.9583591149221</v>
      </c>
      <c r="D25" s="43">
        <v>10880.322904754192</v>
      </c>
      <c r="E25" s="43">
        <v>14.771005844088343</v>
      </c>
    </row>
    <row r="26" spans="1:7" ht="15" customHeight="1" x14ac:dyDescent="0.2">
      <c r="A26" s="305" t="s">
        <v>22</v>
      </c>
      <c r="B26" s="45">
        <v>19638.052269712887</v>
      </c>
      <c r="C26" s="45">
        <v>8742.9583591149221</v>
      </c>
      <c r="D26" s="45">
        <v>10880.322904754192</v>
      </c>
      <c r="E26" s="45">
        <v>14.771005844088343</v>
      </c>
    </row>
    <row r="27" spans="1:7" x14ac:dyDescent="0.2">
      <c r="A27" s="994" t="s">
        <v>23</v>
      </c>
      <c r="B27" s="43">
        <v>23416.475564630131</v>
      </c>
      <c r="C27" s="43">
        <v>1579.0205247330541</v>
      </c>
      <c r="D27" s="43">
        <v>21831.546637559684</v>
      </c>
      <c r="E27" s="43">
        <v>5.9084023376353372</v>
      </c>
    </row>
    <row r="28" spans="1:7" x14ac:dyDescent="0.2">
      <c r="A28" s="305" t="s">
        <v>23</v>
      </c>
      <c r="B28" s="45">
        <v>11791.693965334309</v>
      </c>
      <c r="C28" s="45">
        <v>878.87484772326161</v>
      </c>
      <c r="D28" s="45">
        <v>10906.910715273547</v>
      </c>
      <c r="E28" s="45">
        <v>5.9084023376353372</v>
      </c>
    </row>
    <row r="29" spans="1:7" x14ac:dyDescent="0.2">
      <c r="A29" s="305" t="s">
        <v>24</v>
      </c>
      <c r="B29" s="45">
        <v>11624.781599296135</v>
      </c>
      <c r="C29" s="45">
        <v>700.14567700979137</v>
      </c>
      <c r="D29" s="45">
        <v>10924.63592228645</v>
      </c>
      <c r="E29" s="46">
        <v>0</v>
      </c>
    </row>
    <row r="30" spans="1:7" x14ac:dyDescent="0.2">
      <c r="A30" s="994" t="s">
        <v>25</v>
      </c>
      <c r="B30" s="43">
        <v>2310.1853140153921</v>
      </c>
      <c r="C30" s="43">
        <v>33.973313441403192</v>
      </c>
      <c r="D30" s="43">
        <v>2274.7348999895853</v>
      </c>
      <c r="E30" s="43">
        <v>1.4771005844088343</v>
      </c>
    </row>
    <row r="31" spans="1:7" x14ac:dyDescent="0.2">
      <c r="A31" s="305" t="s">
        <v>25</v>
      </c>
      <c r="B31" s="45">
        <v>2310.1853140153921</v>
      </c>
      <c r="C31" s="45">
        <v>33.973313441403192</v>
      </c>
      <c r="D31" s="45">
        <v>2274.7348999895853</v>
      </c>
      <c r="E31" s="45">
        <v>1.4771005844088343</v>
      </c>
    </row>
    <row r="32" spans="1:7" x14ac:dyDescent="0.2">
      <c r="A32" s="994" t="s">
        <v>26</v>
      </c>
      <c r="B32" s="43">
        <v>1218.6079821372959</v>
      </c>
      <c r="C32" s="43">
        <v>211.22538357046369</v>
      </c>
      <c r="D32" s="43">
        <v>1005.9054979824223</v>
      </c>
      <c r="E32" s="43">
        <v>1.4771005844088343</v>
      </c>
    </row>
    <row r="33" spans="1:5" ht="15.75" customHeight="1" x14ac:dyDescent="0.2">
      <c r="A33" s="305" t="s">
        <v>26</v>
      </c>
      <c r="B33" s="45">
        <v>1218.6079821372959</v>
      </c>
      <c r="C33" s="45">
        <v>211.22538357046369</v>
      </c>
      <c r="D33" s="45">
        <v>1005.9054979824223</v>
      </c>
      <c r="E33" s="45">
        <v>1.4771005844088343</v>
      </c>
    </row>
    <row r="34" spans="1:5" x14ac:dyDescent="0.2">
      <c r="A34" s="994" t="s">
        <v>27</v>
      </c>
      <c r="B34" s="43">
        <v>5655.8181377009114</v>
      </c>
      <c r="C34" s="43">
        <v>327.91632973876244</v>
      </c>
      <c r="D34" s="43">
        <v>5324.9476067933811</v>
      </c>
      <c r="E34" s="43">
        <v>2.9542011688176686</v>
      </c>
    </row>
    <row r="35" spans="1:5" x14ac:dyDescent="0.2">
      <c r="A35" s="305" t="s">
        <v>27</v>
      </c>
      <c r="B35" s="45">
        <v>5655.8181377009114</v>
      </c>
      <c r="C35" s="45">
        <v>327.91632973876244</v>
      </c>
      <c r="D35" s="45">
        <v>5324.9476067933811</v>
      </c>
      <c r="E35" s="45">
        <v>2.9542011688176686</v>
      </c>
    </row>
    <row r="36" spans="1:5" x14ac:dyDescent="0.2">
      <c r="A36" s="994" t="s">
        <v>28</v>
      </c>
      <c r="B36" s="43">
        <v>12246.640945332163</v>
      </c>
      <c r="C36" s="43">
        <v>8246.6525627536266</v>
      </c>
      <c r="D36" s="43">
        <v>3989.6486784879903</v>
      </c>
      <c r="E36" s="43">
        <v>10.33970409086184</v>
      </c>
    </row>
    <row r="37" spans="1:5" x14ac:dyDescent="0.2">
      <c r="A37" s="305" t="s">
        <v>28</v>
      </c>
      <c r="B37" s="45">
        <v>12246.640945332163</v>
      </c>
      <c r="C37" s="45">
        <v>8246.6525627536266</v>
      </c>
      <c r="D37" s="45">
        <v>3989.6486784879903</v>
      </c>
      <c r="E37" s="45">
        <v>10.33970409086184</v>
      </c>
    </row>
    <row r="38" spans="1:5" x14ac:dyDescent="0.2">
      <c r="A38" s="994" t="s">
        <v>29</v>
      </c>
      <c r="B38" s="43">
        <v>33499.164153803358</v>
      </c>
      <c r="C38" s="43">
        <v>12732.607037602598</v>
      </c>
      <c r="D38" s="43">
        <v>20750.309009772576</v>
      </c>
      <c r="E38" s="43">
        <v>16.248106428497177</v>
      </c>
    </row>
    <row r="39" spans="1:5" x14ac:dyDescent="0.2">
      <c r="A39" s="305" t="s">
        <v>30</v>
      </c>
      <c r="B39" s="45">
        <v>21095.950546524193</v>
      </c>
      <c r="C39" s="45">
        <v>6697.1740497089868</v>
      </c>
      <c r="D39" s="45">
        <v>14392.868094477884</v>
      </c>
      <c r="E39" s="45">
        <v>5.9084023376353372</v>
      </c>
    </row>
    <row r="40" spans="1:5" x14ac:dyDescent="0.2">
      <c r="A40" s="305" t="s">
        <v>29</v>
      </c>
      <c r="B40" s="45">
        <v>12403.213607279476</v>
      </c>
      <c r="C40" s="45">
        <v>6035.4329878939261</v>
      </c>
      <c r="D40" s="45">
        <v>6357.4409152950047</v>
      </c>
      <c r="E40" s="45">
        <v>10.33970409086184</v>
      </c>
    </row>
    <row r="41" spans="1:5" x14ac:dyDescent="0.2">
      <c r="A41" s="994" t="s">
        <v>31</v>
      </c>
      <c r="B41" s="43">
        <v>11872.934497476783</v>
      </c>
      <c r="C41" s="43">
        <v>3877.3890340729354</v>
      </c>
      <c r="D41" s="43">
        <v>7986.6828598977099</v>
      </c>
      <c r="E41" s="43">
        <v>8.8626035064530058</v>
      </c>
    </row>
    <row r="42" spans="1:5" x14ac:dyDescent="0.2">
      <c r="A42" s="995" t="s">
        <v>31</v>
      </c>
      <c r="B42" s="45">
        <v>11872.934497476783</v>
      </c>
      <c r="C42" s="45">
        <v>3877.3890340729354</v>
      </c>
      <c r="D42" s="45">
        <v>7986.6828598977099</v>
      </c>
      <c r="E42" s="45">
        <v>8.8626035064530058</v>
      </c>
    </row>
    <row r="43" spans="1:5" x14ac:dyDescent="0.2">
      <c r="A43" s="864"/>
      <c r="B43" s="864"/>
      <c r="C43" s="864"/>
      <c r="D43" s="864"/>
      <c r="E43" s="864"/>
    </row>
    <row r="44" spans="1:5" x14ac:dyDescent="0.2">
      <c r="A44" s="328"/>
      <c r="B44" s="328"/>
      <c r="C44" s="328"/>
      <c r="D44" s="328"/>
      <c r="E44" s="328"/>
    </row>
  </sheetData>
  <mergeCells count="6">
    <mergeCell ref="A43:E43"/>
    <mergeCell ref="A1:E1"/>
    <mergeCell ref="A2:A3"/>
    <mergeCell ref="B2:B3"/>
    <mergeCell ref="C2:D2"/>
    <mergeCell ref="E2:E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44"/>
  <sheetViews>
    <sheetView topLeftCell="A7" zoomScale="120" zoomScaleNormal="120" workbookViewId="0">
      <selection activeCell="K23" sqref="K23"/>
    </sheetView>
  </sheetViews>
  <sheetFormatPr defaultRowHeight="12" x14ac:dyDescent="0.2"/>
  <cols>
    <col min="1" max="1" width="17.85546875" style="575" customWidth="1"/>
    <col min="2" max="6" width="9.140625" style="575"/>
    <col min="7" max="7" width="19.5703125" style="575" customWidth="1"/>
    <col min="8" max="16384" width="9.140625" style="575"/>
  </cols>
  <sheetData>
    <row r="1" spans="1:7" ht="30" customHeight="1" x14ac:dyDescent="0.2">
      <c r="A1" s="871" t="s">
        <v>398</v>
      </c>
      <c r="B1" s="871"/>
      <c r="C1" s="871"/>
      <c r="D1" s="871"/>
      <c r="E1" s="871"/>
      <c r="F1" s="871"/>
      <c r="G1" s="871"/>
    </row>
    <row r="2" spans="1:7" ht="15" customHeight="1" x14ac:dyDescent="0.2">
      <c r="A2" s="942" t="str">
        <f>'Q9.6'!$A$2</f>
        <v>Área de residência, município e comuna</v>
      </c>
      <c r="B2" s="872" t="s">
        <v>84</v>
      </c>
      <c r="C2" s="872" t="s">
        <v>399</v>
      </c>
      <c r="D2" s="498"/>
      <c r="E2" s="874" t="s">
        <v>400</v>
      </c>
      <c r="F2" s="874"/>
      <c r="G2" s="874"/>
    </row>
    <row r="3" spans="1:7" ht="72" x14ac:dyDescent="0.2">
      <c r="A3" s="943"/>
      <c r="B3" s="873"/>
      <c r="C3" s="873"/>
      <c r="D3" s="499"/>
      <c r="E3" s="499" t="s">
        <v>401</v>
      </c>
      <c r="F3" s="499" t="s">
        <v>402</v>
      </c>
      <c r="G3" s="298" t="s">
        <v>403</v>
      </c>
    </row>
    <row r="4" spans="1:7" x14ac:dyDescent="0.2">
      <c r="A4" s="299" t="s">
        <v>32</v>
      </c>
      <c r="B4" s="42">
        <v>261282.84527673907</v>
      </c>
      <c r="C4" s="42">
        <v>57778.266459727805</v>
      </c>
      <c r="D4" s="42"/>
      <c r="E4" s="42">
        <v>45469.587289850795</v>
      </c>
      <c r="F4" s="42">
        <v>372.22934727102779</v>
      </c>
      <c r="G4" s="42">
        <v>11936.449822606353</v>
      </c>
    </row>
    <row r="5" spans="1:7" x14ac:dyDescent="0.2">
      <c r="A5" s="300"/>
      <c r="B5" s="43"/>
      <c r="C5" s="43"/>
      <c r="D5" s="43"/>
      <c r="E5" s="43"/>
      <c r="F5" s="43"/>
      <c r="G5" s="43"/>
    </row>
    <row r="6" spans="1:7" x14ac:dyDescent="0.2">
      <c r="A6" s="299" t="s">
        <v>167</v>
      </c>
      <c r="B6" s="299"/>
      <c r="C6" s="299"/>
      <c r="D6" s="299"/>
      <c r="E6" s="299"/>
      <c r="F6" s="299"/>
      <c r="G6" s="299"/>
    </row>
    <row r="7" spans="1:7" x14ac:dyDescent="0.2">
      <c r="A7" s="301" t="s">
        <v>8</v>
      </c>
      <c r="B7" s="45">
        <v>74088.411112767761</v>
      </c>
      <c r="C7" s="45">
        <v>8750.3438620369652</v>
      </c>
      <c r="D7" s="997"/>
      <c r="E7" s="997">
        <v>5506.630978675641</v>
      </c>
      <c r="F7" s="997">
        <v>36.927514610220854</v>
      </c>
      <c r="G7" s="997">
        <v>3206.785368751423</v>
      </c>
    </row>
    <row r="8" spans="1:7" x14ac:dyDescent="0.2">
      <c r="A8" s="301" t="s">
        <v>9</v>
      </c>
      <c r="B8" s="45">
        <v>187194.43416324173</v>
      </c>
      <c r="C8" s="45">
        <v>49027.922597691155</v>
      </c>
      <c r="D8" s="997"/>
      <c r="E8" s="997">
        <v>39962.956311175469</v>
      </c>
      <c r="F8" s="997">
        <v>335.30183266080667</v>
      </c>
      <c r="G8" s="997">
        <v>8729.6644538552446</v>
      </c>
    </row>
    <row r="9" spans="1:7" x14ac:dyDescent="0.2">
      <c r="A9" s="299" t="s">
        <v>582</v>
      </c>
      <c r="B9" s="42"/>
      <c r="C9" s="42"/>
      <c r="D9" s="998"/>
      <c r="E9" s="998"/>
      <c r="F9" s="998"/>
      <c r="G9" s="998"/>
    </row>
    <row r="10" spans="1:7" ht="16.5" customHeight="1" x14ac:dyDescent="0.2">
      <c r="A10" s="996" t="s">
        <v>11</v>
      </c>
      <c r="B10" s="43">
        <v>34100.344091657666</v>
      </c>
      <c r="C10" s="43">
        <v>11754.766450724093</v>
      </c>
      <c r="D10" s="999"/>
      <c r="E10" s="999">
        <v>10675.005923521394</v>
      </c>
      <c r="F10" s="999">
        <v>19.202307597314846</v>
      </c>
      <c r="G10" s="999">
        <v>1060.5582196055495</v>
      </c>
    </row>
    <row r="11" spans="1:7" ht="15" customHeight="1" x14ac:dyDescent="0.2">
      <c r="A11" s="301" t="s">
        <v>12</v>
      </c>
      <c r="B11" s="45">
        <v>22028.00101528603</v>
      </c>
      <c r="C11" s="45">
        <v>7319.0333957450148</v>
      </c>
      <c r="D11" s="997"/>
      <c r="E11" s="997">
        <v>6577.5289023718888</v>
      </c>
      <c r="F11" s="997">
        <v>17.725207012906012</v>
      </c>
      <c r="G11" s="997">
        <v>723.77928636033289</v>
      </c>
    </row>
    <row r="12" spans="1:7" x14ac:dyDescent="0.2">
      <c r="A12" s="1000" t="s">
        <v>13</v>
      </c>
      <c r="B12" s="45">
        <v>12072.343076371946</v>
      </c>
      <c r="C12" s="45">
        <v>4435.7330549793933</v>
      </c>
      <c r="D12" s="997"/>
      <c r="E12" s="997">
        <v>4097.4770211498198</v>
      </c>
      <c r="F12" s="997">
        <v>1.4771005844088343</v>
      </c>
      <c r="G12" s="997">
        <v>336.77893324521551</v>
      </c>
    </row>
    <row r="13" spans="1:7" x14ac:dyDescent="0.2">
      <c r="A13" s="996" t="s">
        <v>44</v>
      </c>
      <c r="B13" s="43">
        <v>72729.478575111832</v>
      </c>
      <c r="C13" s="43">
        <v>3735.5873779697081</v>
      </c>
      <c r="D13" s="999"/>
      <c r="E13" s="999">
        <v>96.011537986574083</v>
      </c>
      <c r="F13" s="999">
        <v>33.973313441403192</v>
      </c>
      <c r="G13" s="999">
        <v>3605.6025265417497</v>
      </c>
    </row>
    <row r="14" spans="1:7" x14ac:dyDescent="0.2">
      <c r="A14" s="301" t="s">
        <v>15</v>
      </c>
      <c r="B14" s="45">
        <v>61466.586618996123</v>
      </c>
      <c r="C14" s="45">
        <v>3149.1784459594869</v>
      </c>
      <c r="D14" s="997"/>
      <c r="E14" s="997">
        <v>94.534437402165253</v>
      </c>
      <c r="F14" s="997">
        <v>31.01911227258552</v>
      </c>
      <c r="G14" s="997">
        <v>3023.6248962847544</v>
      </c>
    </row>
    <row r="15" spans="1:7" x14ac:dyDescent="0.2">
      <c r="A15" s="301" t="s">
        <v>16</v>
      </c>
      <c r="B15" s="45">
        <v>11262.891956116024</v>
      </c>
      <c r="C15" s="45">
        <v>586.40893201031031</v>
      </c>
      <c r="D15" s="997"/>
      <c r="E15" s="997">
        <v>1.4771005844088343</v>
      </c>
      <c r="F15" s="997">
        <v>2.9542011688176686</v>
      </c>
      <c r="G15" s="997">
        <v>581.97763025708377</v>
      </c>
    </row>
    <row r="16" spans="1:7" x14ac:dyDescent="0.2">
      <c r="A16" s="996" t="s">
        <v>17</v>
      </c>
      <c r="B16" s="43">
        <v>6311.6507971783376</v>
      </c>
      <c r="C16" s="43">
        <v>2620.3764367412018</v>
      </c>
      <c r="D16" s="999"/>
      <c r="E16" s="999">
        <v>2471.1892777159314</v>
      </c>
      <c r="F16" s="999">
        <v>1.4771005844088343</v>
      </c>
      <c r="G16" s="999">
        <v>147.71005844088336</v>
      </c>
    </row>
    <row r="17" spans="1:11" x14ac:dyDescent="0.2">
      <c r="A17" s="301" t="s">
        <v>17</v>
      </c>
      <c r="B17" s="45">
        <v>6311.6507971783376</v>
      </c>
      <c r="C17" s="45">
        <v>2620.3764367412018</v>
      </c>
      <c r="D17" s="997"/>
      <c r="E17" s="997">
        <v>2471.1892777159314</v>
      </c>
      <c r="F17" s="997">
        <v>1.4771005844088343</v>
      </c>
      <c r="G17" s="997">
        <v>147.71005844088336</v>
      </c>
    </row>
    <row r="18" spans="1:11" x14ac:dyDescent="0.2">
      <c r="A18" s="996" t="s">
        <v>18</v>
      </c>
      <c r="B18" s="43">
        <v>5462.3179611433825</v>
      </c>
      <c r="C18" s="43">
        <v>1709.0053761610325</v>
      </c>
      <c r="D18" s="999"/>
      <c r="E18" s="999">
        <v>1531.7533060319711</v>
      </c>
      <c r="F18" s="999">
        <v>2.9542011688176686</v>
      </c>
      <c r="G18" s="999">
        <v>174.29786896024257</v>
      </c>
    </row>
    <row r="19" spans="1:11" x14ac:dyDescent="0.2">
      <c r="A19" s="301" t="s">
        <v>18</v>
      </c>
      <c r="B19" s="45">
        <v>5462.3179611433825</v>
      </c>
      <c r="C19" s="45">
        <v>1709.0053761610325</v>
      </c>
      <c r="D19" s="997"/>
      <c r="E19" s="997">
        <v>1531.7533060319711</v>
      </c>
      <c r="F19" s="997">
        <v>2.9542011688176686</v>
      </c>
      <c r="G19" s="997">
        <v>174.29786896024257</v>
      </c>
    </row>
    <row r="20" spans="1:11" x14ac:dyDescent="0.2">
      <c r="A20" s="996" t="s">
        <v>19</v>
      </c>
      <c r="B20" s="43">
        <v>21072.316937173655</v>
      </c>
      <c r="C20" s="43">
        <v>1630.7190451873637</v>
      </c>
      <c r="D20" s="999"/>
      <c r="E20" s="999">
        <v>602.6570384388076</v>
      </c>
      <c r="F20" s="999">
        <v>140.32455551883913</v>
      </c>
      <c r="G20" s="999">
        <v>887.73745122971468</v>
      </c>
    </row>
    <row r="21" spans="1:11" x14ac:dyDescent="0.2">
      <c r="A21" s="301" t="s">
        <v>19</v>
      </c>
      <c r="B21" s="45">
        <v>12692.725321823566</v>
      </c>
      <c r="C21" s="45">
        <v>1172.8178640206218</v>
      </c>
      <c r="D21" s="997"/>
      <c r="E21" s="997">
        <v>518.46230512750344</v>
      </c>
      <c r="F21" s="997">
        <v>131.46195201238606</v>
      </c>
      <c r="G21" s="997">
        <v>522.89360688072998</v>
      </c>
    </row>
    <row r="22" spans="1:11" x14ac:dyDescent="0.2">
      <c r="A22" s="301" t="s">
        <v>20</v>
      </c>
      <c r="B22" s="45">
        <v>8379.5916153504022</v>
      </c>
      <c r="C22" s="45">
        <v>457.9011811667408</v>
      </c>
      <c r="D22" s="997"/>
      <c r="E22" s="997">
        <v>84.194733311303438</v>
      </c>
      <c r="F22" s="997">
        <v>8.8626035064530058</v>
      </c>
      <c r="G22" s="997">
        <v>364.84384434898357</v>
      </c>
    </row>
    <row r="23" spans="1:11" x14ac:dyDescent="0.2">
      <c r="A23" s="996" t="s">
        <v>21</v>
      </c>
      <c r="B23" s="43">
        <v>11748.858048386459</v>
      </c>
      <c r="C23" s="43">
        <v>576.06922791944839</v>
      </c>
      <c r="D23" s="999"/>
      <c r="E23" s="999">
        <v>180.20627129787795</v>
      </c>
      <c r="F23" s="999">
        <v>5.9084023376353372</v>
      </c>
      <c r="G23" s="999">
        <v>389.95455428393393</v>
      </c>
    </row>
    <row r="24" spans="1:11" x14ac:dyDescent="0.2">
      <c r="A24" s="301" t="s">
        <v>21</v>
      </c>
      <c r="B24" s="45">
        <v>11748.858048386459</v>
      </c>
      <c r="C24" s="45">
        <v>576.06922791944839</v>
      </c>
      <c r="D24" s="997"/>
      <c r="E24" s="997">
        <v>180.20627129787795</v>
      </c>
      <c r="F24" s="997">
        <v>5.9084023376353372</v>
      </c>
      <c r="G24" s="997">
        <v>389.95455428393393</v>
      </c>
    </row>
    <row r="25" spans="1:11" ht="10.5" customHeight="1" x14ac:dyDescent="0.2">
      <c r="A25" s="996" t="s">
        <v>22</v>
      </c>
      <c r="B25" s="43">
        <v>19638.052269712887</v>
      </c>
      <c r="C25" s="43">
        <v>8742.9583591149221</v>
      </c>
      <c r="D25" s="999"/>
      <c r="E25" s="999">
        <v>7878.8545172358808</v>
      </c>
      <c r="F25" s="999">
        <v>5.9084023376353372</v>
      </c>
      <c r="G25" s="999">
        <v>858.19543954153778</v>
      </c>
    </row>
    <row r="26" spans="1:11" ht="14.25" customHeight="1" x14ac:dyDescent="0.2">
      <c r="A26" s="301" t="s">
        <v>22</v>
      </c>
      <c r="B26" s="45">
        <v>19638.052269712887</v>
      </c>
      <c r="C26" s="45">
        <v>8742.9583591149221</v>
      </c>
      <c r="D26" s="997"/>
      <c r="E26" s="997">
        <v>7878.8545172358808</v>
      </c>
      <c r="F26" s="997">
        <v>5.9084023376353372</v>
      </c>
      <c r="G26" s="997">
        <v>858.19543954153778</v>
      </c>
    </row>
    <row r="27" spans="1:11" x14ac:dyDescent="0.2">
      <c r="A27" s="996" t="s">
        <v>23</v>
      </c>
      <c r="B27" s="43">
        <v>23416.475564630131</v>
      </c>
      <c r="C27" s="43">
        <v>1579.0205247330541</v>
      </c>
      <c r="D27" s="999"/>
      <c r="E27" s="999">
        <v>36.927514610220854</v>
      </c>
      <c r="F27" s="999">
        <v>2.9542011688176686</v>
      </c>
      <c r="G27" s="999">
        <v>1539.1388089540153</v>
      </c>
    </row>
    <row r="28" spans="1:11" x14ac:dyDescent="0.2">
      <c r="A28" s="301" t="s">
        <v>23</v>
      </c>
      <c r="B28" s="45">
        <v>11791.693965334309</v>
      </c>
      <c r="C28" s="45">
        <v>878.87484772326161</v>
      </c>
      <c r="D28" s="997"/>
      <c r="E28" s="997">
        <v>32.496212856994354</v>
      </c>
      <c r="F28" s="997">
        <v>1.4771005844088343</v>
      </c>
      <c r="G28" s="997">
        <v>844.90153428185818</v>
      </c>
    </row>
    <row r="29" spans="1:11" x14ac:dyDescent="0.2">
      <c r="A29" s="301" t="s">
        <v>24</v>
      </c>
      <c r="B29" s="45">
        <v>11624.781599296135</v>
      </c>
      <c r="C29" s="45">
        <v>700.14567700979137</v>
      </c>
      <c r="D29" s="997"/>
      <c r="E29" s="997">
        <v>4.4313017532265029</v>
      </c>
      <c r="F29" s="997">
        <v>1.4771005844088343</v>
      </c>
      <c r="G29" s="997">
        <v>694.23727467215599</v>
      </c>
    </row>
    <row r="30" spans="1:11" x14ac:dyDescent="0.2">
      <c r="A30" s="996" t="s">
        <v>25</v>
      </c>
      <c r="B30" s="43">
        <v>2310.1853140153921</v>
      </c>
      <c r="C30" s="43">
        <v>33.973313441403192</v>
      </c>
      <c r="D30" s="999"/>
      <c r="E30" s="999">
        <v>0</v>
      </c>
      <c r="F30" s="999">
        <v>0</v>
      </c>
      <c r="G30" s="999">
        <v>33.973313441403192</v>
      </c>
      <c r="K30" s="917"/>
    </row>
    <row r="31" spans="1:11" x14ac:dyDescent="0.2">
      <c r="A31" s="301" t="s">
        <v>25</v>
      </c>
      <c r="B31" s="45">
        <v>2310.1853140153921</v>
      </c>
      <c r="C31" s="45">
        <v>33.973313441403192</v>
      </c>
      <c r="D31" s="997"/>
      <c r="E31" s="997">
        <v>0</v>
      </c>
      <c r="F31" s="997">
        <v>0</v>
      </c>
      <c r="G31" s="997">
        <v>33.973313441403192</v>
      </c>
    </row>
    <row r="32" spans="1:11" x14ac:dyDescent="0.2">
      <c r="A32" s="996" t="s">
        <v>26</v>
      </c>
      <c r="B32" s="43">
        <v>1218.6079821372959</v>
      </c>
      <c r="C32" s="43">
        <v>211.22538357046369</v>
      </c>
      <c r="D32" s="999"/>
      <c r="E32" s="999">
        <v>0</v>
      </c>
      <c r="F32" s="999">
        <v>2.9542011688176686</v>
      </c>
      <c r="G32" s="999">
        <v>208.271182401646</v>
      </c>
    </row>
    <row r="33" spans="1:7" ht="12.75" customHeight="1" x14ac:dyDescent="0.2">
      <c r="A33" s="301" t="s">
        <v>26</v>
      </c>
      <c r="B33" s="45">
        <v>1218.6079821372959</v>
      </c>
      <c r="C33" s="45">
        <v>211.22538357046369</v>
      </c>
      <c r="D33" s="997"/>
      <c r="E33" s="997">
        <v>0</v>
      </c>
      <c r="F33" s="997">
        <v>2.9542011688176686</v>
      </c>
      <c r="G33" s="997">
        <v>208.271182401646</v>
      </c>
    </row>
    <row r="34" spans="1:7" x14ac:dyDescent="0.2">
      <c r="A34" s="996" t="s">
        <v>27</v>
      </c>
      <c r="B34" s="43">
        <v>5655.8181377009114</v>
      </c>
      <c r="C34" s="43">
        <v>327.91632973876244</v>
      </c>
      <c r="D34" s="999"/>
      <c r="E34" s="999">
        <v>23.633609350541349</v>
      </c>
      <c r="F34" s="999">
        <v>59.084023376353315</v>
      </c>
      <c r="G34" s="999">
        <v>245.19869701186713</v>
      </c>
    </row>
    <row r="35" spans="1:7" x14ac:dyDescent="0.2">
      <c r="A35" s="301" t="s">
        <v>27</v>
      </c>
      <c r="B35" s="45">
        <v>5655.8181377009114</v>
      </c>
      <c r="C35" s="45">
        <v>327.91632973876244</v>
      </c>
      <c r="D35" s="997"/>
      <c r="E35" s="997">
        <v>23.633609350541349</v>
      </c>
      <c r="F35" s="997">
        <v>59.084023376353315</v>
      </c>
      <c r="G35" s="997">
        <v>245.19869701186713</v>
      </c>
    </row>
    <row r="36" spans="1:7" x14ac:dyDescent="0.2">
      <c r="A36" s="996" t="s">
        <v>28</v>
      </c>
      <c r="B36" s="43">
        <v>12246.640945332163</v>
      </c>
      <c r="C36" s="43">
        <v>8246.6525627536266</v>
      </c>
      <c r="D36" s="999"/>
      <c r="E36" s="999">
        <v>7627.7474178864159</v>
      </c>
      <c r="F36" s="999">
        <v>10.33970409086184</v>
      </c>
      <c r="G36" s="999">
        <v>608.56544077644298</v>
      </c>
    </row>
    <row r="37" spans="1:7" x14ac:dyDescent="0.2">
      <c r="A37" s="301" t="s">
        <v>28</v>
      </c>
      <c r="B37" s="45">
        <v>12246.640945332163</v>
      </c>
      <c r="C37" s="45">
        <v>8246.6525627536266</v>
      </c>
      <c r="D37" s="997"/>
      <c r="E37" s="997">
        <v>7627.7474178864159</v>
      </c>
      <c r="F37" s="997">
        <v>10.33970409086184</v>
      </c>
      <c r="G37" s="997">
        <v>608.56544077644298</v>
      </c>
    </row>
    <row r="38" spans="1:7" x14ac:dyDescent="0.2">
      <c r="A38" s="996" t="s">
        <v>29</v>
      </c>
      <c r="B38" s="43">
        <v>33499.164153803358</v>
      </c>
      <c r="C38" s="43">
        <v>12732.607037602598</v>
      </c>
      <c r="D38" s="999"/>
      <c r="E38" s="999">
        <v>10983.719945662795</v>
      </c>
      <c r="F38" s="999">
        <v>66.469526298397469</v>
      </c>
      <c r="G38" s="999">
        <v>1682.4175656416733</v>
      </c>
    </row>
    <row r="39" spans="1:7" x14ac:dyDescent="0.2">
      <c r="A39" s="301" t="s">
        <v>30</v>
      </c>
      <c r="B39" s="45">
        <v>21095.950546524193</v>
      </c>
      <c r="C39" s="45">
        <v>6697.1740497089868</v>
      </c>
      <c r="D39" s="997"/>
      <c r="E39" s="997">
        <v>5728.1960663369337</v>
      </c>
      <c r="F39" s="997">
        <v>48.7443192854915</v>
      </c>
      <c r="G39" s="997">
        <v>920.23366408670927</v>
      </c>
    </row>
    <row r="40" spans="1:7" x14ac:dyDescent="0.2">
      <c r="A40" s="301" t="s">
        <v>29</v>
      </c>
      <c r="B40" s="45">
        <v>12403.213607279476</v>
      </c>
      <c r="C40" s="45">
        <v>6035.4329878939261</v>
      </c>
      <c r="D40" s="997"/>
      <c r="E40" s="997">
        <v>5255.523879326176</v>
      </c>
      <c r="F40" s="997">
        <v>17.725207012906012</v>
      </c>
      <c r="G40" s="997">
        <v>762.18390155496286</v>
      </c>
    </row>
    <row r="41" spans="1:7" x14ac:dyDescent="0.2">
      <c r="A41" s="996" t="s">
        <v>31</v>
      </c>
      <c r="B41" s="43">
        <v>11872.934497476783</v>
      </c>
      <c r="C41" s="43">
        <v>3877.3890340729354</v>
      </c>
      <c r="D41" s="999"/>
      <c r="E41" s="999">
        <v>3361.8809301143278</v>
      </c>
      <c r="F41" s="999">
        <v>20.67940818172368</v>
      </c>
      <c r="G41" s="999">
        <v>494.82869577696192</v>
      </c>
    </row>
    <row r="42" spans="1:7" x14ac:dyDescent="0.2">
      <c r="A42" s="301" t="s">
        <v>31</v>
      </c>
      <c r="B42" s="45">
        <v>11872.934497476783</v>
      </c>
      <c r="C42" s="45">
        <v>3877.3890340729354</v>
      </c>
      <c r="D42" s="997"/>
      <c r="E42" s="997">
        <v>3361.8809301143278</v>
      </c>
      <c r="F42" s="997">
        <v>20.67940818172368</v>
      </c>
      <c r="G42" s="997">
        <v>494.82869577696192</v>
      </c>
    </row>
    <row r="43" spans="1:7" x14ac:dyDescent="0.2">
      <c r="A43" s="870"/>
      <c r="B43" s="870"/>
      <c r="C43" s="870"/>
      <c r="D43" s="870"/>
      <c r="E43" s="870"/>
      <c r="F43" s="870"/>
      <c r="G43" s="870"/>
    </row>
    <row r="44" spans="1:7" x14ac:dyDescent="0.2">
      <c r="A44" s="328"/>
      <c r="B44" s="328"/>
      <c r="C44" s="328"/>
      <c r="D44" s="328"/>
      <c r="E44" s="328"/>
      <c r="F44" s="328"/>
      <c r="G44" s="328"/>
    </row>
  </sheetData>
  <mergeCells count="6">
    <mergeCell ref="A43:G43"/>
    <mergeCell ref="A1:G1"/>
    <mergeCell ref="A2:A3"/>
    <mergeCell ref="B2:B3"/>
    <mergeCell ref="C2:C3"/>
    <mergeCell ref="E2:G2"/>
  </mergeCells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42"/>
  <sheetViews>
    <sheetView workbookViewId="0">
      <selection activeCell="I25" sqref="I25"/>
    </sheetView>
  </sheetViews>
  <sheetFormatPr defaultRowHeight="12" x14ac:dyDescent="0.2"/>
  <cols>
    <col min="1" max="1" width="16.42578125" style="575" customWidth="1"/>
    <col min="2" max="2" width="13" style="575" customWidth="1"/>
    <col min="3" max="3" width="9.140625" style="575"/>
    <col min="4" max="4" width="10" style="575" customWidth="1"/>
    <col min="5" max="16384" width="9.140625" style="575"/>
  </cols>
  <sheetData>
    <row r="1" spans="1:4" ht="39" customHeight="1" x14ac:dyDescent="0.2">
      <c r="A1" s="875" t="s">
        <v>396</v>
      </c>
      <c r="B1" s="875"/>
      <c r="C1" s="875"/>
      <c r="D1" s="875"/>
    </row>
    <row r="2" spans="1:4" ht="15" customHeight="1" x14ac:dyDescent="0.2">
      <c r="A2" s="942" t="str">
        <f>'Q9.6'!$A$2</f>
        <v>Área de residência, município e comuna</v>
      </c>
      <c r="B2" s="876" t="s">
        <v>84</v>
      </c>
      <c r="C2" s="876" t="s">
        <v>397</v>
      </c>
      <c r="D2" s="876"/>
    </row>
    <row r="3" spans="1:4" ht="30.75" customHeight="1" x14ac:dyDescent="0.2">
      <c r="A3" s="943"/>
      <c r="B3" s="877"/>
      <c r="C3" s="292" t="s">
        <v>3</v>
      </c>
      <c r="D3" s="292" t="s">
        <v>4</v>
      </c>
    </row>
    <row r="4" spans="1:4" x14ac:dyDescent="0.2">
      <c r="A4" s="293" t="s">
        <v>32</v>
      </c>
      <c r="B4" s="42">
        <v>261282.84527673907</v>
      </c>
      <c r="C4" s="42">
        <v>136984.83109752936</v>
      </c>
      <c r="D4" s="42">
        <v>124298.01417798549</v>
      </c>
    </row>
    <row r="5" spans="1:4" x14ac:dyDescent="0.2">
      <c r="A5" s="294"/>
      <c r="B5" s="43"/>
      <c r="C5" s="43"/>
      <c r="D5" s="43"/>
    </row>
    <row r="6" spans="1:4" x14ac:dyDescent="0.2">
      <c r="A6" s="293" t="s">
        <v>167</v>
      </c>
      <c r="B6" s="293"/>
      <c r="C6" s="293"/>
      <c r="D6" s="293"/>
    </row>
    <row r="7" spans="1:4" x14ac:dyDescent="0.2">
      <c r="A7" s="295" t="s">
        <v>8</v>
      </c>
      <c r="B7" s="45">
        <v>74088.411112767761</v>
      </c>
      <c r="C7" s="45">
        <v>42813.760439084101</v>
      </c>
      <c r="D7" s="45">
        <v>31274.650673683976</v>
      </c>
    </row>
    <row r="8" spans="1:4" x14ac:dyDescent="0.2">
      <c r="A8" s="295" t="s">
        <v>9</v>
      </c>
      <c r="B8" s="45">
        <v>187194.43416324173</v>
      </c>
      <c r="C8" s="45">
        <v>94171.070658387325</v>
      </c>
      <c r="D8" s="45">
        <v>93023.363504301829</v>
      </c>
    </row>
    <row r="9" spans="1:4" x14ac:dyDescent="0.2">
      <c r="A9" s="296" t="s">
        <v>582</v>
      </c>
      <c r="B9" s="42"/>
      <c r="C9" s="42"/>
      <c r="D9" s="42"/>
    </row>
    <row r="10" spans="1:4" x14ac:dyDescent="0.2">
      <c r="A10" s="297" t="s">
        <v>11</v>
      </c>
      <c r="B10" s="43">
        <v>34100.344091657666</v>
      </c>
      <c r="C10" s="43">
        <v>15098.922173825204</v>
      </c>
      <c r="D10" s="43">
        <v>19001.421917832773</v>
      </c>
    </row>
    <row r="11" spans="1:4" x14ac:dyDescent="0.2">
      <c r="A11" s="295" t="s">
        <v>12</v>
      </c>
      <c r="B11" s="45">
        <v>22028.00101528603</v>
      </c>
      <c r="C11" s="45">
        <v>10707.502136378384</v>
      </c>
      <c r="D11" s="45">
        <v>11320.49887890796</v>
      </c>
    </row>
    <row r="12" spans="1:4" ht="16.5" customHeight="1" x14ac:dyDescent="0.2">
      <c r="A12" s="334" t="s">
        <v>13</v>
      </c>
      <c r="B12" s="45">
        <v>12072.343076371946</v>
      </c>
      <c r="C12" s="45">
        <v>4391.4200374471347</v>
      </c>
      <c r="D12" s="45">
        <v>7680.9230389251261</v>
      </c>
    </row>
    <row r="13" spans="1:4" x14ac:dyDescent="0.2">
      <c r="A13" s="297" t="s">
        <v>44</v>
      </c>
      <c r="B13" s="43">
        <v>72729.478575111832</v>
      </c>
      <c r="C13" s="43">
        <v>41992.492514152909</v>
      </c>
      <c r="D13" s="43">
        <v>30736.98606095924</v>
      </c>
    </row>
    <row r="14" spans="1:4" x14ac:dyDescent="0.2">
      <c r="A14" s="295" t="s">
        <v>15</v>
      </c>
      <c r="B14" s="45">
        <v>61466.586618996123</v>
      </c>
      <c r="C14" s="45">
        <v>35767.990651454995</v>
      </c>
      <c r="D14" s="45">
        <v>25698.595967541445</v>
      </c>
    </row>
    <row r="15" spans="1:4" x14ac:dyDescent="0.2">
      <c r="A15" s="295" t="s">
        <v>16</v>
      </c>
      <c r="B15" s="45">
        <v>11262.891956116024</v>
      </c>
      <c r="C15" s="45">
        <v>6224.5018626982292</v>
      </c>
      <c r="D15" s="45">
        <v>5038.3900934181092</v>
      </c>
    </row>
    <row r="16" spans="1:4" x14ac:dyDescent="0.2">
      <c r="A16" s="297" t="s">
        <v>17</v>
      </c>
      <c r="B16" s="43">
        <v>6311.6507971783376</v>
      </c>
      <c r="C16" s="43">
        <v>3502.2054856331465</v>
      </c>
      <c r="D16" s="43">
        <v>2809.4453115455049</v>
      </c>
    </row>
    <row r="17" spans="1:4" x14ac:dyDescent="0.2">
      <c r="A17" s="295" t="s">
        <v>17</v>
      </c>
      <c r="B17" s="45">
        <v>6311.6507971783376</v>
      </c>
      <c r="C17" s="45">
        <v>3502.2054856331465</v>
      </c>
      <c r="D17" s="45">
        <v>2809.4453115455049</v>
      </c>
    </row>
    <row r="18" spans="1:4" x14ac:dyDescent="0.2">
      <c r="A18" s="297" t="s">
        <v>18</v>
      </c>
      <c r="B18" s="43">
        <v>5462.3179611433825</v>
      </c>
      <c r="C18" s="43">
        <v>3412.1023499842208</v>
      </c>
      <c r="D18" s="43">
        <v>2050.2156111594754</v>
      </c>
    </row>
    <row r="19" spans="1:4" x14ac:dyDescent="0.2">
      <c r="A19" s="295" t="s">
        <v>18</v>
      </c>
      <c r="B19" s="45">
        <v>5462.3179611433825</v>
      </c>
      <c r="C19" s="45">
        <v>3412.1023499842208</v>
      </c>
      <c r="D19" s="45">
        <v>2050.2156111594754</v>
      </c>
    </row>
    <row r="20" spans="1:4" x14ac:dyDescent="0.2">
      <c r="A20" s="297" t="s">
        <v>19</v>
      </c>
      <c r="B20" s="43">
        <v>21072.316937173655</v>
      </c>
      <c r="C20" s="43">
        <v>9654.3294196950392</v>
      </c>
      <c r="D20" s="43">
        <v>11417.987517478929</v>
      </c>
    </row>
    <row r="21" spans="1:4" x14ac:dyDescent="0.2">
      <c r="A21" s="295" t="s">
        <v>19</v>
      </c>
      <c r="B21" s="45">
        <v>12692.725321823566</v>
      </c>
      <c r="C21" s="45">
        <v>5906.9252370503764</v>
      </c>
      <c r="D21" s="45">
        <v>6785.8000847735038</v>
      </c>
    </row>
    <row r="22" spans="1:4" ht="16.5" customHeight="1" x14ac:dyDescent="0.2">
      <c r="A22" s="295" t="s">
        <v>20</v>
      </c>
      <c r="B22" s="45">
        <v>8379.5916153504022</v>
      </c>
      <c r="C22" s="45">
        <v>3747.404182644977</v>
      </c>
      <c r="D22" s="45">
        <v>4632.1874327057394</v>
      </c>
    </row>
    <row r="23" spans="1:4" x14ac:dyDescent="0.2">
      <c r="A23" s="297" t="s">
        <v>21</v>
      </c>
      <c r="B23" s="43">
        <v>11748.858048386459</v>
      </c>
      <c r="C23" s="43">
        <v>6932.033042629957</v>
      </c>
      <c r="D23" s="43">
        <v>4816.8250057568166</v>
      </c>
    </row>
    <row r="24" spans="1:4" x14ac:dyDescent="0.2">
      <c r="A24" s="295" t="s">
        <v>21</v>
      </c>
      <c r="B24" s="45">
        <v>11748.858048386459</v>
      </c>
      <c r="C24" s="45">
        <v>6932.033042629957</v>
      </c>
      <c r="D24" s="45">
        <v>4816.8250057568166</v>
      </c>
    </row>
    <row r="25" spans="1:4" ht="18.75" customHeight="1" x14ac:dyDescent="0.2">
      <c r="A25" s="297" t="s">
        <v>22</v>
      </c>
      <c r="B25" s="43">
        <v>19638.052269712887</v>
      </c>
      <c r="C25" s="43">
        <v>11525.815860140758</v>
      </c>
      <c r="D25" s="43">
        <v>8112.2364095724424</v>
      </c>
    </row>
    <row r="26" spans="1:4" ht="17.25" customHeight="1" x14ac:dyDescent="0.2">
      <c r="A26" s="295" t="s">
        <v>22</v>
      </c>
      <c r="B26" s="45">
        <v>19638.052269712887</v>
      </c>
      <c r="C26" s="45">
        <v>11525.815860140758</v>
      </c>
      <c r="D26" s="45">
        <v>8112.2364095724424</v>
      </c>
    </row>
    <row r="27" spans="1:4" x14ac:dyDescent="0.2">
      <c r="A27" s="297" t="s">
        <v>23</v>
      </c>
      <c r="B27" s="43">
        <v>23416.475564630131</v>
      </c>
      <c r="C27" s="43">
        <v>11556.834972413339</v>
      </c>
      <c r="D27" s="43">
        <v>11859.640592217105</v>
      </c>
    </row>
    <row r="28" spans="1:4" x14ac:dyDescent="0.2">
      <c r="A28" s="295" t="s">
        <v>23</v>
      </c>
      <c r="B28" s="45">
        <v>11791.693965334309</v>
      </c>
      <c r="C28" s="45">
        <v>5695.6998534799441</v>
      </c>
      <c r="D28" s="45">
        <v>6095.9941118546794</v>
      </c>
    </row>
    <row r="29" spans="1:4" x14ac:dyDescent="0.2">
      <c r="A29" s="295" t="s">
        <v>24</v>
      </c>
      <c r="B29" s="45">
        <v>11624.781599296135</v>
      </c>
      <c r="C29" s="45">
        <v>5861.1351189337092</v>
      </c>
      <c r="D29" s="45">
        <v>5763.6464803627405</v>
      </c>
    </row>
    <row r="30" spans="1:4" x14ac:dyDescent="0.2">
      <c r="A30" s="297" t="s">
        <v>25</v>
      </c>
      <c r="B30" s="43">
        <v>2310.1853140153921</v>
      </c>
      <c r="C30" s="43">
        <v>1506.6425960970207</v>
      </c>
      <c r="D30" s="43">
        <v>803.54271791841052</v>
      </c>
    </row>
    <row r="31" spans="1:4" x14ac:dyDescent="0.2">
      <c r="A31" s="295" t="s">
        <v>25</v>
      </c>
      <c r="B31" s="45">
        <v>2310.1853140153921</v>
      </c>
      <c r="C31" s="45">
        <v>1506.6425960970207</v>
      </c>
      <c r="D31" s="45">
        <v>803.54271791841052</v>
      </c>
    </row>
    <row r="32" spans="1:4" x14ac:dyDescent="0.2">
      <c r="A32" s="297" t="s">
        <v>26</v>
      </c>
      <c r="B32" s="43">
        <v>1218.6079821372959</v>
      </c>
      <c r="C32" s="43">
        <v>847.85573545067587</v>
      </c>
      <c r="D32" s="43">
        <v>370.75224668661895</v>
      </c>
    </row>
    <row r="33" spans="1:4" ht="15" customHeight="1" x14ac:dyDescent="0.2">
      <c r="A33" s="295" t="s">
        <v>26</v>
      </c>
      <c r="B33" s="45">
        <v>1218.6079821372959</v>
      </c>
      <c r="C33" s="45">
        <v>847.85573545067587</v>
      </c>
      <c r="D33" s="45">
        <v>370.75224668661895</v>
      </c>
    </row>
    <row r="34" spans="1:4" x14ac:dyDescent="0.2">
      <c r="A34" s="297" t="s">
        <v>27</v>
      </c>
      <c r="B34" s="43">
        <v>5655.8181377009114</v>
      </c>
      <c r="C34" s="43">
        <v>2734.1131817406654</v>
      </c>
      <c r="D34" s="43">
        <v>2921.7049559605598</v>
      </c>
    </row>
    <row r="35" spans="1:4" x14ac:dyDescent="0.2">
      <c r="A35" s="295" t="s">
        <v>27</v>
      </c>
      <c r="B35" s="45">
        <v>5655.8181377009114</v>
      </c>
      <c r="C35" s="45">
        <v>2734.1131817406654</v>
      </c>
      <c r="D35" s="45">
        <v>2921.7049559605598</v>
      </c>
    </row>
    <row r="36" spans="1:4" x14ac:dyDescent="0.2">
      <c r="A36" s="297" t="s">
        <v>28</v>
      </c>
      <c r="B36" s="43">
        <v>12246.640945332163</v>
      </c>
      <c r="C36" s="43">
        <v>6961.5750543181293</v>
      </c>
      <c r="D36" s="43">
        <v>5285.0658910143484</v>
      </c>
    </row>
    <row r="37" spans="1:4" x14ac:dyDescent="0.2">
      <c r="A37" s="295" t="s">
        <v>28</v>
      </c>
      <c r="B37" s="45">
        <v>12246.640945332163</v>
      </c>
      <c r="C37" s="45">
        <v>6961.5750543181293</v>
      </c>
      <c r="D37" s="45">
        <v>5285.0658910143484</v>
      </c>
    </row>
    <row r="38" spans="1:4" x14ac:dyDescent="0.2">
      <c r="A38" s="297" t="s">
        <v>29</v>
      </c>
      <c r="B38" s="43">
        <v>33499.164153803358</v>
      </c>
      <c r="C38" s="43">
        <v>15704.533413432737</v>
      </c>
      <c r="D38" s="43">
        <v>17794.630740370932</v>
      </c>
    </row>
    <row r="39" spans="1:4" x14ac:dyDescent="0.2">
      <c r="A39" s="295" t="s">
        <v>30</v>
      </c>
      <c r="B39" s="45">
        <v>21095.950546524193</v>
      </c>
      <c r="C39" s="45">
        <v>10178.700127160098</v>
      </c>
      <c r="D39" s="45">
        <v>10917.250419364407</v>
      </c>
    </row>
    <row r="40" spans="1:4" x14ac:dyDescent="0.2">
      <c r="A40" s="295" t="s">
        <v>29</v>
      </c>
      <c r="B40" s="45">
        <v>12403.213607279476</v>
      </c>
      <c r="C40" s="45">
        <v>5525.833286272953</v>
      </c>
      <c r="D40" s="45">
        <v>6877.3803210068381</v>
      </c>
    </row>
    <row r="41" spans="1:4" x14ac:dyDescent="0.2">
      <c r="A41" s="297" t="s">
        <v>31</v>
      </c>
      <c r="B41" s="43">
        <v>11872.934497476783</v>
      </c>
      <c r="C41" s="43">
        <v>5555.3752979611254</v>
      </c>
      <c r="D41" s="43">
        <v>6317.5591995159721</v>
      </c>
    </row>
    <row r="42" spans="1:4" x14ac:dyDescent="0.2">
      <c r="A42" s="295" t="s">
        <v>31</v>
      </c>
      <c r="B42" s="45">
        <v>11872.934497476783</v>
      </c>
      <c r="C42" s="45">
        <v>5555.3752979611254</v>
      </c>
      <c r="D42" s="45">
        <v>6317.5591995159721</v>
      </c>
    </row>
  </sheetData>
  <mergeCells count="4">
    <mergeCell ref="A1:D1"/>
    <mergeCell ref="A2:A3"/>
    <mergeCell ref="B2:B3"/>
    <mergeCell ref="C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23"/>
  <sheetViews>
    <sheetView zoomScale="120" zoomScaleNormal="120" workbookViewId="0">
      <selection activeCell="O25" sqref="O25"/>
    </sheetView>
  </sheetViews>
  <sheetFormatPr defaultRowHeight="12" x14ac:dyDescent="0.2"/>
  <cols>
    <col min="1" max="1" width="14.140625" style="575" customWidth="1"/>
    <col min="2" max="16384" width="9.140625" style="575"/>
  </cols>
  <sheetData>
    <row r="1" spans="1:10" ht="22.5" customHeight="1" x14ac:dyDescent="0.2">
      <c r="A1" s="880" t="s">
        <v>574</v>
      </c>
      <c r="B1" s="880"/>
      <c r="C1" s="880"/>
      <c r="D1" s="880"/>
      <c r="E1" s="880"/>
      <c r="F1" s="880"/>
      <c r="G1" s="880"/>
      <c r="H1" s="880"/>
      <c r="I1" s="880"/>
      <c r="J1" s="880"/>
    </row>
    <row r="2" spans="1:10" ht="15" customHeight="1" x14ac:dyDescent="0.2">
      <c r="A2" s="807" t="s">
        <v>429</v>
      </c>
      <c r="B2" s="878" t="s">
        <v>84</v>
      </c>
      <c r="C2" s="878" t="s">
        <v>387</v>
      </c>
      <c r="D2" s="878"/>
      <c r="E2" s="878"/>
      <c r="F2" s="878"/>
      <c r="G2" s="878"/>
      <c r="H2" s="878"/>
      <c r="I2" s="878"/>
      <c r="J2" s="878"/>
    </row>
    <row r="3" spans="1:10" ht="72" x14ac:dyDescent="0.2">
      <c r="A3" s="808"/>
      <c r="B3" s="879"/>
      <c r="C3" s="284" t="s">
        <v>388</v>
      </c>
      <c r="D3" s="283" t="s">
        <v>389</v>
      </c>
      <c r="E3" s="283" t="s">
        <v>390</v>
      </c>
      <c r="F3" s="284" t="s">
        <v>391</v>
      </c>
      <c r="G3" s="283" t="s">
        <v>392</v>
      </c>
      <c r="H3" s="284" t="s">
        <v>393</v>
      </c>
      <c r="I3" s="284" t="s">
        <v>394</v>
      </c>
      <c r="J3" s="283" t="s">
        <v>395</v>
      </c>
    </row>
    <row r="4" spans="1:10" x14ac:dyDescent="0.2">
      <c r="A4" s="285" t="s">
        <v>32</v>
      </c>
      <c r="B4" s="286">
        <v>261282.84527673907</v>
      </c>
      <c r="C4" s="431">
        <v>16.14232654369091</v>
      </c>
      <c r="D4" s="431">
        <v>1.9707274053124644</v>
      </c>
      <c r="E4" s="431">
        <v>2.768402783653459</v>
      </c>
      <c r="F4" s="431">
        <v>19.426306892924298</v>
      </c>
      <c r="G4" s="431">
        <v>16.43516555572446</v>
      </c>
      <c r="H4" s="431">
        <v>15.181837197269241</v>
      </c>
      <c r="I4" s="431">
        <v>17.478757865017769</v>
      </c>
      <c r="J4" s="431">
        <v>10.596475755934073</v>
      </c>
    </row>
    <row r="5" spans="1:10" x14ac:dyDescent="0.2">
      <c r="A5" s="287"/>
      <c r="B5" s="288"/>
      <c r="C5" s="432"/>
      <c r="D5" s="432"/>
      <c r="E5" s="432"/>
      <c r="F5" s="432"/>
      <c r="G5" s="432"/>
      <c r="H5" s="432"/>
      <c r="I5" s="432"/>
      <c r="J5" s="432"/>
    </row>
    <row r="6" spans="1:10" ht="14.25" customHeight="1" x14ac:dyDescent="0.2">
      <c r="A6" s="285" t="s">
        <v>167</v>
      </c>
      <c r="B6" s="286"/>
      <c r="C6" s="431"/>
      <c r="D6" s="431"/>
      <c r="E6" s="431"/>
      <c r="F6" s="431"/>
      <c r="G6" s="431"/>
      <c r="H6" s="431"/>
      <c r="I6" s="431"/>
      <c r="J6" s="431"/>
    </row>
    <row r="7" spans="1:10" x14ac:dyDescent="0.2">
      <c r="A7" s="289" t="s">
        <v>8</v>
      </c>
      <c r="B7" s="290">
        <v>74088.411112767761</v>
      </c>
      <c r="C7" s="433">
        <v>21.121256828428194</v>
      </c>
      <c r="D7" s="433">
        <v>2.4143705889392875</v>
      </c>
      <c r="E7" s="433">
        <v>1.870090513976066</v>
      </c>
      <c r="F7" s="433">
        <v>20.050639977676155</v>
      </c>
      <c r="G7" s="433">
        <v>17.94928027433788</v>
      </c>
      <c r="H7" s="433">
        <v>12.107739543046478</v>
      </c>
      <c r="I7" s="433">
        <v>15.30762789585286</v>
      </c>
      <c r="J7" s="433">
        <v>9.178994377767614</v>
      </c>
    </row>
    <row r="8" spans="1:10" x14ac:dyDescent="0.2">
      <c r="A8" s="289" t="s">
        <v>9</v>
      </c>
      <c r="B8" s="290">
        <v>187194.43416324173</v>
      </c>
      <c r="C8" s="433">
        <v>14.17174961134441</v>
      </c>
      <c r="D8" s="433">
        <v>1.7951408889644687</v>
      </c>
      <c r="E8" s="433">
        <v>3.1239396832572499</v>
      </c>
      <c r="F8" s="433">
        <v>19.179206350408844</v>
      </c>
      <c r="G8" s="433">
        <v>15.835904395883787</v>
      </c>
      <c r="H8" s="433">
        <v>16.398513386579175</v>
      </c>
      <c r="I8" s="433">
        <v>18.338054619579552</v>
      </c>
      <c r="J8" s="433">
        <v>11.157491063719744</v>
      </c>
    </row>
    <row r="9" spans="1:10" x14ac:dyDescent="0.2">
      <c r="A9" s="291" t="s">
        <v>96</v>
      </c>
      <c r="B9" s="286"/>
      <c r="C9" s="431"/>
      <c r="D9" s="431"/>
      <c r="E9" s="431"/>
      <c r="F9" s="431"/>
      <c r="G9" s="431"/>
      <c r="H9" s="431"/>
      <c r="I9" s="431"/>
      <c r="J9" s="431"/>
    </row>
    <row r="10" spans="1:10" ht="11.25" customHeight="1" x14ac:dyDescent="0.2">
      <c r="A10" s="945" t="s">
        <v>11</v>
      </c>
      <c r="B10" s="290">
        <v>34100.344091657666</v>
      </c>
      <c r="C10" s="433">
        <v>14.220739842329781</v>
      </c>
      <c r="D10" s="433">
        <v>1.6156978255221848</v>
      </c>
      <c r="E10" s="433">
        <v>2.8848652863210651</v>
      </c>
      <c r="F10" s="433">
        <v>14.467642727195065</v>
      </c>
      <c r="G10" s="433">
        <v>15.992376331977415</v>
      </c>
      <c r="H10" s="433">
        <v>14.18608680585746</v>
      </c>
      <c r="I10" s="433">
        <v>23.308498657198975</v>
      </c>
      <c r="J10" s="433">
        <v>13.324092523608487</v>
      </c>
    </row>
    <row r="11" spans="1:10" ht="12" customHeight="1" x14ac:dyDescent="0.2">
      <c r="A11" s="945" t="s">
        <v>44</v>
      </c>
      <c r="B11" s="290">
        <v>72729.478575111832</v>
      </c>
      <c r="C11" s="433">
        <v>19.556033957517847</v>
      </c>
      <c r="D11" s="433">
        <v>1.9801779113695159</v>
      </c>
      <c r="E11" s="433">
        <v>2.2401397294775314</v>
      </c>
      <c r="F11" s="433">
        <v>18.337462935136283</v>
      </c>
      <c r="G11" s="433">
        <v>18.87769608839211</v>
      </c>
      <c r="H11" s="433">
        <v>11.093058207077895</v>
      </c>
      <c r="I11" s="433">
        <v>18.126243957923482</v>
      </c>
      <c r="J11" s="433">
        <v>9.7891872131296225</v>
      </c>
    </row>
    <row r="12" spans="1:10" x14ac:dyDescent="0.2">
      <c r="A12" s="945" t="s">
        <v>17</v>
      </c>
      <c r="B12" s="290">
        <v>6311.6507971783376</v>
      </c>
      <c r="C12" s="433">
        <v>13.807629300258611</v>
      </c>
      <c r="D12" s="433">
        <v>2.6679148139483067</v>
      </c>
      <c r="E12" s="433">
        <v>3.0423589983621042</v>
      </c>
      <c r="F12" s="433">
        <v>25.579218347767267</v>
      </c>
      <c r="G12" s="433">
        <v>6.1549262813017949</v>
      </c>
      <c r="H12" s="433">
        <v>29.838520945474421</v>
      </c>
      <c r="I12" s="433">
        <v>8.5186051954138922</v>
      </c>
      <c r="J12" s="433">
        <v>10.390826117482877</v>
      </c>
    </row>
    <row r="13" spans="1:10" x14ac:dyDescent="0.2">
      <c r="A13" s="945" t="s">
        <v>18</v>
      </c>
      <c r="B13" s="290">
        <v>5462.3179611433825</v>
      </c>
      <c r="C13" s="433">
        <v>14.277988101677755</v>
      </c>
      <c r="D13" s="433">
        <v>2.8664142779883597</v>
      </c>
      <c r="E13" s="433">
        <v>4.4348296376423679</v>
      </c>
      <c r="F13" s="433">
        <v>22.147106544079374</v>
      </c>
      <c r="G13" s="433">
        <v>12.520281233100073</v>
      </c>
      <c r="H13" s="433">
        <v>22.796106003246518</v>
      </c>
      <c r="I13" s="433">
        <v>10.194699837751052</v>
      </c>
      <c r="J13" s="433">
        <v>10.762574364522331</v>
      </c>
    </row>
    <row r="14" spans="1:10" x14ac:dyDescent="0.2">
      <c r="A14" s="945" t="s">
        <v>19</v>
      </c>
      <c r="B14" s="290">
        <v>21072.316937173655</v>
      </c>
      <c r="C14" s="433">
        <v>11.40473853918569</v>
      </c>
      <c r="D14" s="433">
        <v>1.3528669564000111</v>
      </c>
      <c r="E14" s="433">
        <v>2.8459273797844795</v>
      </c>
      <c r="F14" s="433">
        <v>23.804850693959295</v>
      </c>
      <c r="G14" s="433">
        <v>14.713304360018594</v>
      </c>
      <c r="H14" s="433">
        <v>23.110893032386336</v>
      </c>
      <c r="I14" s="433">
        <v>12.764615168934927</v>
      </c>
      <c r="J14" s="433">
        <v>10.002803869341049</v>
      </c>
    </row>
    <row r="15" spans="1:10" x14ac:dyDescent="0.2">
      <c r="A15" s="945" t="s">
        <v>21</v>
      </c>
      <c r="B15" s="290">
        <v>11748.858048386459</v>
      </c>
      <c r="C15" s="433">
        <v>14.558712597436907</v>
      </c>
      <c r="D15" s="433">
        <v>2.7281870756855198</v>
      </c>
      <c r="E15" s="433">
        <v>2.6527533316573484</v>
      </c>
      <c r="F15" s="433">
        <v>29.595172240384976</v>
      </c>
      <c r="G15" s="433">
        <v>14.093537842596495</v>
      </c>
      <c r="H15" s="433">
        <v>16.281116419413564</v>
      </c>
      <c r="I15" s="433">
        <v>10.812169977370926</v>
      </c>
      <c r="J15" s="433">
        <v>9.2783505154648562</v>
      </c>
    </row>
    <row r="16" spans="1:10" ht="15.75" customHeight="1" x14ac:dyDescent="0.2">
      <c r="A16" s="945" t="s">
        <v>22</v>
      </c>
      <c r="B16" s="290">
        <v>19638.052269712887</v>
      </c>
      <c r="C16" s="433">
        <v>18.21737495299169</v>
      </c>
      <c r="D16" s="433">
        <v>2.6927416321929076</v>
      </c>
      <c r="E16" s="433">
        <v>2.1286197818731645</v>
      </c>
      <c r="F16" s="433">
        <v>19.59383226777166</v>
      </c>
      <c r="G16" s="433">
        <v>18.066942459573113</v>
      </c>
      <c r="H16" s="433">
        <v>11.132004512976323</v>
      </c>
      <c r="I16" s="433">
        <v>18.157201955624259</v>
      </c>
      <c r="J16" s="433">
        <v>10.011282437007711</v>
      </c>
    </row>
    <row r="17" spans="1:10" x14ac:dyDescent="0.2">
      <c r="A17" s="945" t="s">
        <v>23</v>
      </c>
      <c r="B17" s="290">
        <v>23416.475564630131</v>
      </c>
      <c r="C17" s="433">
        <v>14.577682457580602</v>
      </c>
      <c r="D17" s="506">
        <v>0.89572951491843211</v>
      </c>
      <c r="E17" s="433">
        <v>2.8511953573459925</v>
      </c>
      <c r="F17" s="433">
        <v>16.350217624425969</v>
      </c>
      <c r="G17" s="433">
        <v>17.504573266891104</v>
      </c>
      <c r="H17" s="433">
        <v>14.413675644989928</v>
      </c>
      <c r="I17" s="433">
        <v>23.585441241407359</v>
      </c>
      <c r="J17" s="433">
        <v>9.8214848924507674</v>
      </c>
    </row>
    <row r="18" spans="1:10" x14ac:dyDescent="0.2">
      <c r="A18" s="945" t="s">
        <v>25</v>
      </c>
      <c r="B18" s="290">
        <v>2310.1853140153921</v>
      </c>
      <c r="C18" s="433">
        <v>5.1790281329923866</v>
      </c>
      <c r="D18" s="433">
        <v>1.9181585677749575</v>
      </c>
      <c r="E18" s="433">
        <v>2.7493606138107727</v>
      </c>
      <c r="F18" s="433">
        <v>29.219948849105155</v>
      </c>
      <c r="G18" s="433">
        <v>20.71611253196955</v>
      </c>
      <c r="H18" s="433">
        <v>12.787723785166389</v>
      </c>
      <c r="I18" s="433">
        <v>16.176470588235482</v>
      </c>
      <c r="J18" s="433">
        <v>11.253196930946423</v>
      </c>
    </row>
    <row r="19" spans="1:10" ht="12.75" customHeight="1" x14ac:dyDescent="0.2">
      <c r="A19" s="945" t="s">
        <v>26</v>
      </c>
      <c r="B19" s="290">
        <v>1218.6079821372959</v>
      </c>
      <c r="C19" s="433">
        <v>13.333333333333261</v>
      </c>
      <c r="D19" s="433">
        <v>4.1212121212120971</v>
      </c>
      <c r="E19" s="433">
        <v>1.5757575757575655</v>
      </c>
      <c r="F19" s="433">
        <v>39.151515151514943</v>
      </c>
      <c r="G19" s="433">
        <v>12.484848484848417</v>
      </c>
      <c r="H19" s="433">
        <v>15.151515151515069</v>
      </c>
      <c r="I19" s="433">
        <v>5.0909090909090624</v>
      </c>
      <c r="J19" s="433">
        <v>9.0909090909090402</v>
      </c>
    </row>
    <row r="20" spans="1:10" x14ac:dyDescent="0.2">
      <c r="A20" s="945" t="s">
        <v>27</v>
      </c>
      <c r="B20" s="290">
        <v>5655.8181377009114</v>
      </c>
      <c r="C20" s="433">
        <v>11.804648733351819</v>
      </c>
      <c r="D20" s="433">
        <v>1.8281535648996194</v>
      </c>
      <c r="E20" s="433">
        <v>3.0556281013322213</v>
      </c>
      <c r="F20" s="433">
        <v>20.762601201359516</v>
      </c>
      <c r="G20" s="433">
        <v>15.669887699139396</v>
      </c>
      <c r="H20" s="433">
        <v>19.61347610342267</v>
      </c>
      <c r="I20" s="433">
        <v>18.386001566990128</v>
      </c>
      <c r="J20" s="433">
        <v>8.8796030295124382</v>
      </c>
    </row>
    <row r="21" spans="1:10" x14ac:dyDescent="0.2">
      <c r="A21" s="945" t="s">
        <v>28</v>
      </c>
      <c r="B21" s="290">
        <v>12246.640945332163</v>
      </c>
      <c r="C21" s="433">
        <v>13.930768302980729</v>
      </c>
      <c r="D21" s="433">
        <v>1.4714750934750316</v>
      </c>
      <c r="E21" s="433">
        <v>2.0865999276326268</v>
      </c>
      <c r="F21" s="433">
        <v>16.958147388736887</v>
      </c>
      <c r="G21" s="433">
        <v>19.87697503317111</v>
      </c>
      <c r="H21" s="433">
        <v>10.963695573514535</v>
      </c>
      <c r="I21" s="433">
        <v>23.965745989630118</v>
      </c>
      <c r="J21" s="433">
        <v>10.746592690870667</v>
      </c>
    </row>
    <row r="22" spans="1:10" x14ac:dyDescent="0.2">
      <c r="A22" s="945" t="s">
        <v>29</v>
      </c>
      <c r="B22" s="290">
        <v>33499.164153803358</v>
      </c>
      <c r="C22" s="433">
        <v>17.641871334716804</v>
      </c>
      <c r="D22" s="433">
        <v>2.6500286608760319</v>
      </c>
      <c r="E22" s="433">
        <v>3.8714229022448072</v>
      </c>
      <c r="F22" s="433">
        <v>20.8783456060704</v>
      </c>
      <c r="G22" s="433">
        <v>13.840998280348579</v>
      </c>
      <c r="H22" s="433">
        <v>18.872084307070555</v>
      </c>
      <c r="I22" s="433">
        <v>10.80294545615001</v>
      </c>
      <c r="J22" s="433">
        <v>11.442303452534324</v>
      </c>
    </row>
    <row r="23" spans="1:10" x14ac:dyDescent="0.2">
      <c r="A23" s="945" t="s">
        <v>31</v>
      </c>
      <c r="B23" s="290">
        <v>11872.934497476783</v>
      </c>
      <c r="C23" s="433">
        <v>15.01617317740906</v>
      </c>
      <c r="D23" s="433">
        <v>1.8785767603883838</v>
      </c>
      <c r="E23" s="433">
        <v>3.2097536700675695</v>
      </c>
      <c r="F23" s="433">
        <v>17.65364518537169</v>
      </c>
      <c r="G23" s="433">
        <v>14.28215974123078</v>
      </c>
      <c r="H23" s="433">
        <v>17.143568051756276</v>
      </c>
      <c r="I23" s="433">
        <v>19.917890022396211</v>
      </c>
      <c r="J23" s="433">
        <v>10.898233391391949</v>
      </c>
    </row>
  </sheetData>
  <mergeCells count="4">
    <mergeCell ref="A2:A3"/>
    <mergeCell ref="B2:B3"/>
    <mergeCell ref="C2:J2"/>
    <mergeCell ref="A1:J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12"/>
  <sheetViews>
    <sheetView workbookViewId="0">
      <selection activeCell="B2" sqref="B2:B3"/>
    </sheetView>
  </sheetViews>
  <sheetFormatPr defaultRowHeight="12" x14ac:dyDescent="0.2"/>
  <cols>
    <col min="1" max="1" width="13.7109375" style="575" customWidth="1"/>
    <col min="2" max="2" width="12.28515625" style="575" customWidth="1"/>
    <col min="3" max="3" width="12" style="575" bestFit="1" customWidth="1"/>
    <col min="4" max="4" width="9.28515625" style="575" bestFit="1" customWidth="1"/>
    <col min="5" max="5" width="9.140625" style="575"/>
    <col min="6" max="6" width="12" style="575" bestFit="1" customWidth="1"/>
    <col min="7" max="7" width="9.28515625" style="575" bestFit="1" customWidth="1"/>
    <col min="8" max="16384" width="9.140625" style="575"/>
  </cols>
  <sheetData>
    <row r="1" spans="1:7" x14ac:dyDescent="0.2">
      <c r="A1" s="881" t="s">
        <v>381</v>
      </c>
      <c r="B1" s="881"/>
      <c r="C1" s="881"/>
      <c r="D1" s="881"/>
      <c r="E1" s="881"/>
      <c r="F1" s="881"/>
      <c r="G1" s="881"/>
    </row>
    <row r="2" spans="1:7" x14ac:dyDescent="0.2">
      <c r="A2" s="882" t="s">
        <v>84</v>
      </c>
      <c r="B2" s="884" t="s">
        <v>2</v>
      </c>
      <c r="C2" s="884" t="s">
        <v>3</v>
      </c>
      <c r="D2" s="884"/>
      <c r="E2" s="500"/>
      <c r="F2" s="884" t="s">
        <v>4</v>
      </c>
      <c r="G2" s="884"/>
    </row>
    <row r="3" spans="1:7" ht="29.25" customHeight="1" x14ac:dyDescent="0.2">
      <c r="A3" s="883"/>
      <c r="B3" s="885"/>
      <c r="C3" s="279" t="s">
        <v>382</v>
      </c>
      <c r="D3" s="279" t="s">
        <v>233</v>
      </c>
      <c r="E3" s="501"/>
      <c r="F3" s="279" t="s">
        <v>382</v>
      </c>
      <c r="G3" s="279" t="s">
        <v>233</v>
      </c>
    </row>
    <row r="4" spans="1:7" x14ac:dyDescent="0.2">
      <c r="A4" s="280" t="s">
        <v>32</v>
      </c>
      <c r="B4" s="206">
        <v>261282.84527673907</v>
      </c>
      <c r="C4" s="206">
        <v>136984.83109752936</v>
      </c>
      <c r="D4" s="206">
        <v>100</v>
      </c>
      <c r="E4" s="206"/>
      <c r="F4" s="206">
        <v>124298.01417798549</v>
      </c>
      <c r="G4" s="206">
        <v>100</v>
      </c>
    </row>
    <row r="5" spans="1:7" ht="15.75" customHeight="1" x14ac:dyDescent="0.2">
      <c r="A5" s="434"/>
      <c r="B5" s="435"/>
      <c r="C5" s="435"/>
      <c r="D5" s="435"/>
      <c r="E5" s="435"/>
      <c r="F5" s="435"/>
      <c r="G5" s="435"/>
    </row>
    <row r="6" spans="1:7" x14ac:dyDescent="0.2">
      <c r="A6" s="280" t="s">
        <v>265</v>
      </c>
      <c r="B6" s="206"/>
      <c r="C6" s="206"/>
      <c r="D6" s="206"/>
      <c r="E6" s="206"/>
      <c r="F6" s="206"/>
      <c r="G6" s="206"/>
    </row>
    <row r="7" spans="1:7" x14ac:dyDescent="0.2">
      <c r="A7" s="281" t="s">
        <v>383</v>
      </c>
      <c r="B7" s="208">
        <v>24389.88484975541</v>
      </c>
      <c r="C7" s="208">
        <v>9562.7491834617049</v>
      </c>
      <c r="D7" s="208">
        <v>6.9808818296482009</v>
      </c>
      <c r="E7" s="208"/>
      <c r="F7" s="208">
        <v>14827.135666294018</v>
      </c>
      <c r="G7" s="208">
        <v>11.928698752228387</v>
      </c>
    </row>
    <row r="8" spans="1:7" x14ac:dyDescent="0.2">
      <c r="A8" s="282" t="s">
        <v>384</v>
      </c>
      <c r="B8" s="207">
        <v>64188.882996061206</v>
      </c>
      <c r="C8" s="207">
        <v>35284.978760353377</v>
      </c>
      <c r="D8" s="207">
        <v>25.758310958701305</v>
      </c>
      <c r="E8" s="207"/>
      <c r="F8" s="207">
        <v>28903.904235708145</v>
      </c>
      <c r="G8" s="207">
        <v>23.253713606654976</v>
      </c>
    </row>
    <row r="9" spans="1:7" x14ac:dyDescent="0.2">
      <c r="A9" s="282" t="s">
        <v>385</v>
      </c>
      <c r="B9" s="207">
        <v>59262.752547058466</v>
      </c>
      <c r="C9" s="207">
        <v>34776.856159316812</v>
      </c>
      <c r="D9" s="207">
        <v>25.387377478720008</v>
      </c>
      <c r="E9" s="207"/>
      <c r="F9" s="207">
        <v>24485.89638774197</v>
      </c>
      <c r="G9" s="207">
        <v>19.699346405228962</v>
      </c>
    </row>
    <row r="10" spans="1:7" x14ac:dyDescent="0.2">
      <c r="A10" s="282" t="s">
        <v>386</v>
      </c>
      <c r="B10" s="207">
        <v>44082.589841091103</v>
      </c>
      <c r="C10" s="207">
        <v>23911.304260407018</v>
      </c>
      <c r="D10" s="207">
        <v>17.455439459119997</v>
      </c>
      <c r="E10" s="207"/>
      <c r="F10" s="207">
        <v>20171.285580684398</v>
      </c>
      <c r="G10" s="207">
        <v>16.228163992870087</v>
      </c>
    </row>
    <row r="11" spans="1:7" x14ac:dyDescent="0.2">
      <c r="A11" s="282" t="s">
        <v>354</v>
      </c>
      <c r="B11" s="207">
        <v>31865.490907447424</v>
      </c>
      <c r="C11" s="207">
        <v>16500.690628428983</v>
      </c>
      <c r="D11" s="207">
        <v>12.045633444392799</v>
      </c>
      <c r="E11" s="207"/>
      <c r="F11" s="207">
        <v>15364.800279018755</v>
      </c>
      <c r="G11" s="207">
        <v>12.361259655377523</v>
      </c>
    </row>
    <row r="12" spans="1:7" x14ac:dyDescent="0.2">
      <c r="A12" s="282" t="s">
        <v>197</v>
      </c>
      <c r="B12" s="207">
        <v>37493.24413404426</v>
      </c>
      <c r="C12" s="207">
        <v>16948.252105504795</v>
      </c>
      <c r="D12" s="207">
        <v>12.372356829376322</v>
      </c>
      <c r="E12" s="207"/>
      <c r="F12" s="207">
        <v>20544.992028539778</v>
      </c>
      <c r="G12" s="207">
        <v>16.528817587641328</v>
      </c>
    </row>
  </sheetData>
  <mergeCells count="5">
    <mergeCell ref="A1:G1"/>
    <mergeCell ref="A2:A3"/>
    <mergeCell ref="B2:B3"/>
    <mergeCell ref="C2:D2"/>
    <mergeCell ref="F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25"/>
  <sheetViews>
    <sheetView tabSelected="1" workbookViewId="0">
      <selection activeCell="I33" sqref="I28:I33"/>
    </sheetView>
  </sheetViews>
  <sheetFormatPr defaultRowHeight="12" x14ac:dyDescent="0.2"/>
  <cols>
    <col min="1" max="1" width="15.7109375" style="575" customWidth="1"/>
    <col min="2" max="9" width="9.140625" style="575"/>
    <col min="10" max="10" width="10.7109375" style="575" customWidth="1"/>
    <col min="11" max="16384" width="9.140625" style="575"/>
  </cols>
  <sheetData>
    <row r="1" spans="1:10" ht="23.25" customHeight="1" x14ac:dyDescent="0.2">
      <c r="A1" s="886" t="s">
        <v>575</v>
      </c>
      <c r="B1" s="886"/>
      <c r="C1" s="886"/>
      <c r="D1" s="886"/>
      <c r="E1" s="886"/>
      <c r="F1" s="886"/>
      <c r="G1" s="886"/>
      <c r="H1" s="886"/>
      <c r="I1" s="886"/>
      <c r="J1" s="886"/>
    </row>
    <row r="2" spans="1:10" ht="23.25" customHeight="1" x14ac:dyDescent="0.2">
      <c r="A2" s="807" t="s">
        <v>429</v>
      </c>
      <c r="B2" s="887" t="s">
        <v>84</v>
      </c>
      <c r="C2" s="889" t="s">
        <v>372</v>
      </c>
      <c r="D2" s="889"/>
      <c r="E2" s="889"/>
      <c r="F2" s="889"/>
      <c r="G2" s="889"/>
      <c r="H2" s="889"/>
      <c r="I2" s="889"/>
      <c r="J2" s="887" t="s">
        <v>373</v>
      </c>
    </row>
    <row r="3" spans="1:10" ht="27.75" customHeight="1" x14ac:dyDescent="0.2">
      <c r="A3" s="808"/>
      <c r="B3" s="888"/>
      <c r="C3" s="502" t="s">
        <v>374</v>
      </c>
      <c r="D3" s="502" t="s">
        <v>375</v>
      </c>
      <c r="E3" s="502" t="s">
        <v>376</v>
      </c>
      <c r="F3" s="502" t="s">
        <v>377</v>
      </c>
      <c r="G3" s="502" t="s">
        <v>378</v>
      </c>
      <c r="H3" s="502" t="s">
        <v>379</v>
      </c>
      <c r="I3" s="502" t="s">
        <v>380</v>
      </c>
      <c r="J3" s="888"/>
    </row>
    <row r="4" spans="1:10" x14ac:dyDescent="0.2">
      <c r="A4" s="269" t="s">
        <v>32</v>
      </c>
      <c r="B4" s="42">
        <v>261282.84527673907</v>
      </c>
      <c r="C4" s="436">
        <v>16.142326543685584</v>
      </c>
      <c r="D4" s="436">
        <v>7.8190277518287132</v>
      </c>
      <c r="E4" s="436">
        <v>11.11148799524204</v>
      </c>
      <c r="F4" s="436">
        <v>12.347291239078155</v>
      </c>
      <c r="G4" s="436">
        <v>11.841889546493761</v>
      </c>
      <c r="H4" s="436">
        <v>10.574428031086363</v>
      </c>
      <c r="I4" s="436">
        <v>30.163548892095154</v>
      </c>
      <c r="J4" s="270">
        <v>5.217062677708995</v>
      </c>
    </row>
    <row r="5" spans="1:10" x14ac:dyDescent="0.2">
      <c r="A5" s="271"/>
      <c r="B5" s="43"/>
      <c r="C5" s="1001"/>
      <c r="D5" s="1001"/>
      <c r="E5" s="1001"/>
      <c r="F5" s="1001"/>
      <c r="G5" s="1001"/>
      <c r="H5" s="1001"/>
      <c r="I5" s="1001"/>
      <c r="J5" s="272"/>
    </row>
    <row r="6" spans="1:10" ht="12.75" customHeight="1" x14ac:dyDescent="0.2">
      <c r="A6" s="269" t="s">
        <v>591</v>
      </c>
      <c r="B6" s="269"/>
      <c r="C6" s="269"/>
      <c r="D6" s="269"/>
      <c r="E6" s="269"/>
      <c r="F6" s="269"/>
      <c r="G6" s="269"/>
      <c r="H6" s="269"/>
      <c r="I6" s="269"/>
      <c r="J6" s="269"/>
    </row>
    <row r="7" spans="1:10" x14ac:dyDescent="0.2">
      <c r="A7" s="273" t="s">
        <v>8</v>
      </c>
      <c r="B7" s="45">
        <v>74088.411112767761</v>
      </c>
      <c r="C7" s="274">
        <v>5.9890665897530022</v>
      </c>
      <c r="D7" s="274">
        <v>2.622548603913998</v>
      </c>
      <c r="E7" s="274">
        <v>3.2070959754265975</v>
      </c>
      <c r="F7" s="274">
        <v>3.4699726947238498</v>
      </c>
      <c r="G7" s="274">
        <v>3.2065306491485388</v>
      </c>
      <c r="H7" s="274">
        <v>2.8368072632982098</v>
      </c>
      <c r="I7" s="274">
        <v>7.0236136786002534</v>
      </c>
      <c r="J7" s="275">
        <v>4.6004824753813605</v>
      </c>
    </row>
    <row r="8" spans="1:10" x14ac:dyDescent="0.2">
      <c r="A8" s="273" t="s">
        <v>9</v>
      </c>
      <c r="B8" s="45">
        <v>187194.43416324173</v>
      </c>
      <c r="C8" s="274">
        <v>10.153259953932702</v>
      </c>
      <c r="D8" s="274">
        <v>5.1964791479148351</v>
      </c>
      <c r="E8" s="274">
        <v>7.9043920198155631</v>
      </c>
      <c r="F8" s="274">
        <v>8.8773185443544254</v>
      </c>
      <c r="G8" s="274">
        <v>8.6353588973453412</v>
      </c>
      <c r="H8" s="274">
        <v>7.7376207677882736</v>
      </c>
      <c r="I8" s="274">
        <v>23.139935213495022</v>
      </c>
      <c r="J8" s="275">
        <v>5.46109475975575</v>
      </c>
    </row>
    <row r="9" spans="1:10" x14ac:dyDescent="0.2">
      <c r="A9" s="276" t="s">
        <v>96</v>
      </c>
      <c r="B9" s="47"/>
      <c r="C9" s="277"/>
      <c r="D9" s="277"/>
      <c r="E9" s="277"/>
      <c r="F9" s="277"/>
      <c r="G9" s="277"/>
      <c r="H9" s="277"/>
      <c r="I9" s="277"/>
      <c r="J9" s="278"/>
    </row>
    <row r="10" spans="1:10" ht="15" customHeight="1" x14ac:dyDescent="0.2">
      <c r="A10" s="946" t="s">
        <v>11</v>
      </c>
      <c r="B10" s="45">
        <v>34100.344091657666</v>
      </c>
      <c r="C10" s="274">
        <v>1.8559661708665269</v>
      </c>
      <c r="D10" s="274">
        <v>0.99836620705162005</v>
      </c>
      <c r="E10" s="274">
        <v>1.3573483936188355</v>
      </c>
      <c r="F10" s="274">
        <v>1.5145090989191281</v>
      </c>
      <c r="G10" s="274">
        <v>1.5823482522861612</v>
      </c>
      <c r="H10" s="274">
        <v>1.4274488520981028</v>
      </c>
      <c r="I10" s="274">
        <v>4.3151354804214668</v>
      </c>
      <c r="J10" s="275">
        <v>5.5226977388913685</v>
      </c>
    </row>
    <row r="11" spans="1:10" ht="13.5" customHeight="1" x14ac:dyDescent="0.2">
      <c r="A11" s="946" t="s">
        <v>44</v>
      </c>
      <c r="B11" s="45">
        <v>72729.478575111832</v>
      </c>
      <c r="C11" s="274">
        <v>5.4435267314264459</v>
      </c>
      <c r="D11" s="274">
        <v>2.1516318142911781</v>
      </c>
      <c r="E11" s="274">
        <v>2.773490720155646</v>
      </c>
      <c r="F11" s="274">
        <v>3.1092945293224585</v>
      </c>
      <c r="G11" s="274">
        <v>3.0476739650140701</v>
      </c>
      <c r="H11" s="274">
        <v>2.8611162932547298</v>
      </c>
      <c r="I11" s="274">
        <v>8.448801225586001</v>
      </c>
      <c r="J11" s="275">
        <v>5.1503107356144806</v>
      </c>
    </row>
    <row r="12" spans="1:10" x14ac:dyDescent="0.2">
      <c r="A12" s="946" t="s">
        <v>17</v>
      </c>
      <c r="B12" s="45">
        <v>6311.6507971783376</v>
      </c>
      <c r="C12" s="274">
        <v>0.33354250405462899</v>
      </c>
      <c r="D12" s="274">
        <v>0.34145707194745067</v>
      </c>
      <c r="E12" s="274">
        <v>0.44038917060772215</v>
      </c>
      <c r="F12" s="274">
        <v>0.36350479679173975</v>
      </c>
      <c r="G12" s="274">
        <v>0.30697216898587038</v>
      </c>
      <c r="H12" s="274">
        <v>0.21708529077453803</v>
      </c>
      <c r="I12" s="274">
        <v>0.41268818298284615</v>
      </c>
      <c r="J12" s="275">
        <v>4.2377720571029727</v>
      </c>
    </row>
    <row r="13" spans="1:10" x14ac:dyDescent="0.2">
      <c r="A13" s="946" t="s">
        <v>18</v>
      </c>
      <c r="B13" s="45">
        <v>5462.3179611433825</v>
      </c>
      <c r="C13" s="274">
        <v>0.29849227481498997</v>
      </c>
      <c r="D13" s="274">
        <v>0.21312800682812719</v>
      </c>
      <c r="E13" s="274">
        <v>0.30414553759557689</v>
      </c>
      <c r="F13" s="274">
        <v>0.30471086387363561</v>
      </c>
      <c r="G13" s="274">
        <v>0.25213552001417705</v>
      </c>
      <c r="H13" s="274">
        <v>0.18881897687160334</v>
      </c>
      <c r="I13" s="274">
        <v>0.52914539626293711</v>
      </c>
      <c r="J13" s="275">
        <v>4.8331530557060001</v>
      </c>
    </row>
    <row r="14" spans="1:10" x14ac:dyDescent="0.2">
      <c r="A14" s="946" t="s">
        <v>19</v>
      </c>
      <c r="B14" s="45">
        <v>21072.316937173655</v>
      </c>
      <c r="C14" s="274">
        <v>0.91978585440147376</v>
      </c>
      <c r="D14" s="274">
        <v>0.60150715985444991</v>
      </c>
      <c r="E14" s="274">
        <v>1.0345470888473709</v>
      </c>
      <c r="F14" s="274">
        <v>1.1651374590789092</v>
      </c>
      <c r="G14" s="274">
        <v>1.1594841962983231</v>
      </c>
      <c r="H14" s="274">
        <v>0.97744913476345163</v>
      </c>
      <c r="I14" s="274">
        <v>2.207033789540922</v>
      </c>
      <c r="J14" s="275">
        <v>5.0508201317819346</v>
      </c>
    </row>
    <row r="15" spans="1:10" x14ac:dyDescent="0.2">
      <c r="A15" s="946" t="s">
        <v>21</v>
      </c>
      <c r="B15" s="45">
        <v>11748.858048386459</v>
      </c>
      <c r="C15" s="274">
        <v>0.65464782999196713</v>
      </c>
      <c r="D15" s="274">
        <v>0.39855502603137877</v>
      </c>
      <c r="E15" s="274">
        <v>0.58341671895657166</v>
      </c>
      <c r="F15" s="274">
        <v>0.62807749492320852</v>
      </c>
      <c r="G15" s="274">
        <v>0.56532627805869351</v>
      </c>
      <c r="H15" s="274">
        <v>0.49635647213553286</v>
      </c>
      <c r="I15" s="274">
        <v>1.1702253955814366</v>
      </c>
      <c r="J15" s="275">
        <v>4.8982901684688445</v>
      </c>
    </row>
    <row r="16" spans="1:10" ht="13.5" customHeight="1" x14ac:dyDescent="0.2">
      <c r="A16" s="946" t="s">
        <v>22</v>
      </c>
      <c r="B16" s="45">
        <v>19638.052269712887</v>
      </c>
      <c r="C16" s="274">
        <v>1.3692202454580662</v>
      </c>
      <c r="D16" s="274">
        <v>0.61620564308397596</v>
      </c>
      <c r="E16" s="274">
        <v>0.76432112793535378</v>
      </c>
      <c r="F16" s="274">
        <v>0.86155724776143716</v>
      </c>
      <c r="G16" s="274">
        <v>0.80106733600916624</v>
      </c>
      <c r="H16" s="274">
        <v>0.7157030680223061</v>
      </c>
      <c r="I16" s="274">
        <v>2.3879381985196759</v>
      </c>
      <c r="J16" s="275">
        <v>5.298006769462317</v>
      </c>
    </row>
    <row r="17" spans="1:11" x14ac:dyDescent="0.2">
      <c r="A17" s="946" t="s">
        <v>23</v>
      </c>
      <c r="B17" s="45">
        <v>23416.475564630131</v>
      </c>
      <c r="C17" s="274">
        <v>1.3064690285935607</v>
      </c>
      <c r="D17" s="274">
        <v>0.3782032800212658</v>
      </c>
      <c r="E17" s="274">
        <v>0.74453470820329948</v>
      </c>
      <c r="F17" s="274">
        <v>1.0181526267836714</v>
      </c>
      <c r="G17" s="274">
        <v>1.1001249371021693</v>
      </c>
      <c r="H17" s="274">
        <v>1.0452882881304844</v>
      </c>
      <c r="I17" s="274">
        <v>3.3693446172294177</v>
      </c>
      <c r="J17" s="275">
        <v>5.9227906389961733</v>
      </c>
    </row>
    <row r="18" spans="1:11" x14ac:dyDescent="0.2">
      <c r="A18" s="946" t="s">
        <v>25</v>
      </c>
      <c r="B18" s="45">
        <v>2310.1853140153921</v>
      </c>
      <c r="C18" s="274">
        <v>4.5791428522753801E-2</v>
      </c>
      <c r="D18" s="274">
        <v>5.9924585474221123E-2</v>
      </c>
      <c r="E18" s="274">
        <v>8.9321551933273208E-2</v>
      </c>
      <c r="F18" s="274">
        <v>0.11306525561173834</v>
      </c>
      <c r="G18" s="274">
        <v>0.1170225395581492</v>
      </c>
      <c r="H18" s="274">
        <v>0.11306525561173834</v>
      </c>
      <c r="I18" s="274">
        <v>0.34597968217192027</v>
      </c>
      <c r="J18" s="275">
        <v>6.2487212276215409</v>
      </c>
    </row>
    <row r="19" spans="1:11" ht="14.25" customHeight="1" x14ac:dyDescent="0.2">
      <c r="A19" s="946" t="s">
        <v>26</v>
      </c>
      <c r="B19" s="45">
        <v>1218.6079821372959</v>
      </c>
      <c r="C19" s="274">
        <v>6.2185890586455898E-2</v>
      </c>
      <c r="D19" s="274">
        <v>4.1268818298284292E-2</v>
      </c>
      <c r="E19" s="274">
        <v>5.6532627805868957E-2</v>
      </c>
      <c r="F19" s="274">
        <v>6.0489911752279815E-2</v>
      </c>
      <c r="G19" s="274">
        <v>6.4447195698690674E-2</v>
      </c>
      <c r="H19" s="274">
        <v>5.8793932918103732E-2</v>
      </c>
      <c r="I19" s="274">
        <v>0.12267580233873615</v>
      </c>
      <c r="J19" s="275">
        <v>4.9236363636363167</v>
      </c>
    </row>
    <row r="20" spans="1:11" x14ac:dyDescent="0.2">
      <c r="A20" s="946" t="s">
        <v>27</v>
      </c>
      <c r="B20" s="45">
        <v>5655.8181377009114</v>
      </c>
      <c r="C20" s="274">
        <v>0.2555274776825292</v>
      </c>
      <c r="D20" s="274">
        <v>0.14359287462690781</v>
      </c>
      <c r="E20" s="274">
        <v>0.23291442656018146</v>
      </c>
      <c r="F20" s="274">
        <v>0.30979880037616386</v>
      </c>
      <c r="G20" s="274">
        <v>0.28153248647322915</v>
      </c>
      <c r="H20" s="274">
        <v>0.25891943535088141</v>
      </c>
      <c r="I20" s="274">
        <v>0.68234881761684318</v>
      </c>
      <c r="J20" s="275">
        <v>5.401932619483178</v>
      </c>
    </row>
    <row r="21" spans="1:11" x14ac:dyDescent="0.2">
      <c r="A21" s="946" t="s">
        <v>28</v>
      </c>
      <c r="B21" s="45">
        <v>12246.640945332163</v>
      </c>
      <c r="C21" s="274">
        <v>0.65295185115779109</v>
      </c>
      <c r="D21" s="274">
        <v>0.22726116377959452</v>
      </c>
      <c r="E21" s="274">
        <v>0.40929622531449394</v>
      </c>
      <c r="F21" s="274">
        <v>0.49239918818912198</v>
      </c>
      <c r="G21" s="274">
        <v>0.48787657796465245</v>
      </c>
      <c r="H21" s="274">
        <v>0.48844190424271111</v>
      </c>
      <c r="I21" s="274">
        <v>1.9288932607360871</v>
      </c>
      <c r="J21" s="275">
        <v>6.1861054155110189</v>
      </c>
    </row>
    <row r="22" spans="1:11" x14ac:dyDescent="0.2">
      <c r="A22" s="946" t="s">
        <v>29</v>
      </c>
      <c r="B22" s="45">
        <v>33499.164153803358</v>
      </c>
      <c r="C22" s="274">
        <v>2.2618704385126067</v>
      </c>
      <c r="D22" s="274">
        <v>1.3126876176522055</v>
      </c>
      <c r="E22" s="274">
        <v>1.8339184460222413</v>
      </c>
      <c r="F22" s="274">
        <v>1.8514435606420581</v>
      </c>
      <c r="G22" s="274">
        <v>1.516205077753304</v>
      </c>
      <c r="H22" s="274">
        <v>1.2380645489484694</v>
      </c>
      <c r="I22" s="274">
        <v>2.8068449705611038</v>
      </c>
      <c r="J22" s="275">
        <v>4.4779311257116872</v>
      </c>
    </row>
    <row r="23" spans="1:11" x14ac:dyDescent="0.2">
      <c r="A23" s="946" t="s">
        <v>31</v>
      </c>
      <c r="B23" s="45">
        <v>11872.934497476783</v>
      </c>
      <c r="C23" s="274">
        <v>0.68234881761684318</v>
      </c>
      <c r="D23" s="274">
        <v>0.33523848288880509</v>
      </c>
      <c r="E23" s="274">
        <v>0.48731125168659373</v>
      </c>
      <c r="F23" s="274">
        <v>0.555150405053637</v>
      </c>
      <c r="G23" s="274">
        <v>0.55967301527810653</v>
      </c>
      <c r="H23" s="274">
        <v>0.48787657796465245</v>
      </c>
      <c r="I23" s="274">
        <v>1.4364940725470403</v>
      </c>
      <c r="J23" s="275">
        <v>5.3573028116448347</v>
      </c>
    </row>
    <row r="24" spans="1:11" x14ac:dyDescent="0.2">
      <c r="A24" s="328"/>
      <c r="B24" s="328"/>
      <c r="C24" s="328"/>
      <c r="D24" s="328"/>
      <c r="E24" s="328"/>
      <c r="F24" s="328"/>
      <c r="G24" s="328"/>
      <c r="H24" s="328"/>
      <c r="I24" s="328"/>
      <c r="J24" s="333"/>
      <c r="K24" s="328"/>
    </row>
    <row r="25" spans="1:11" x14ac:dyDescent="0.2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</row>
  </sheetData>
  <mergeCells count="5">
    <mergeCell ref="A1:J1"/>
    <mergeCell ref="A2:A3"/>
    <mergeCell ref="B2:B3"/>
    <mergeCell ref="C2:I2"/>
    <mergeCell ref="J2:J3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EABD00"/>
  </sheetPr>
  <dimension ref="A1"/>
  <sheetViews>
    <sheetView topLeftCell="A4" workbookViewId="0">
      <selection activeCell="M24" sqref="M24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42"/>
  <sheetViews>
    <sheetView workbookViewId="0">
      <selection activeCell="J12" sqref="J12"/>
    </sheetView>
  </sheetViews>
  <sheetFormatPr defaultRowHeight="12" x14ac:dyDescent="0.2"/>
  <cols>
    <col min="1" max="1" width="21.28515625" style="577" customWidth="1"/>
    <col min="2" max="2" width="14.85546875" style="575" customWidth="1"/>
    <col min="3" max="3" width="14.140625" style="575" customWidth="1"/>
    <col min="4" max="4" width="15.7109375" style="575" customWidth="1"/>
    <col min="5" max="5" width="16.7109375" style="575" customWidth="1"/>
    <col min="6" max="6" width="14.42578125" style="575" customWidth="1"/>
    <col min="7" max="16384" width="9.140625" style="575"/>
  </cols>
  <sheetData>
    <row r="1" spans="1:6" ht="12.75" thickBot="1" x14ac:dyDescent="0.25">
      <c r="A1" s="890" t="s">
        <v>33</v>
      </c>
      <c r="B1" s="890"/>
      <c r="C1" s="890"/>
      <c r="D1" s="890"/>
      <c r="E1" s="890"/>
      <c r="F1" s="890"/>
    </row>
    <row r="2" spans="1:6" ht="12" customHeight="1" x14ac:dyDescent="0.2">
      <c r="A2" s="907" t="str">
        <f>'Q9.14'!$A$2</f>
        <v>Área de residência, município e comuna</v>
      </c>
      <c r="B2" s="907" t="s">
        <v>35</v>
      </c>
      <c r="C2" s="956" t="s">
        <v>36</v>
      </c>
      <c r="D2" s="956"/>
      <c r="E2" s="956"/>
      <c r="F2" s="956"/>
    </row>
    <row r="3" spans="1:6" ht="31.5" customHeight="1" x14ac:dyDescent="0.2">
      <c r="A3" s="947"/>
      <c r="B3" s="947"/>
      <c r="C3" s="957" t="s">
        <v>37</v>
      </c>
      <c r="D3" s="957" t="s">
        <v>38</v>
      </c>
      <c r="E3" s="957" t="s">
        <v>39</v>
      </c>
      <c r="F3" s="957" t="s">
        <v>40</v>
      </c>
    </row>
    <row r="4" spans="1:6" x14ac:dyDescent="0.2">
      <c r="A4" s="948" t="s">
        <v>32</v>
      </c>
      <c r="B4" s="613">
        <v>1806416.5354377932</v>
      </c>
      <c r="C4" s="613">
        <v>313219.4008611099</v>
      </c>
      <c r="D4" s="613">
        <v>544348.09392911044</v>
      </c>
      <c r="E4" s="613">
        <v>914223.76609676029</v>
      </c>
      <c r="F4" s="613">
        <v>34625.274524151828</v>
      </c>
    </row>
    <row r="5" spans="1:6" x14ac:dyDescent="0.2">
      <c r="A5" s="949"/>
      <c r="B5" s="9"/>
      <c r="C5" s="9"/>
      <c r="D5" s="9"/>
      <c r="E5" s="9"/>
      <c r="F5" s="9"/>
    </row>
    <row r="6" spans="1:6" x14ac:dyDescent="0.2">
      <c r="A6" s="950" t="s">
        <v>41</v>
      </c>
      <c r="B6" s="11"/>
      <c r="C6" s="11"/>
      <c r="D6" s="11"/>
      <c r="E6" s="11"/>
      <c r="F6" s="11"/>
    </row>
    <row r="7" spans="1:6" x14ac:dyDescent="0.2">
      <c r="A7" s="951" t="s">
        <v>42</v>
      </c>
      <c r="B7" s="207">
        <v>460652.75562272436</v>
      </c>
      <c r="C7" s="207">
        <v>65158.621468795332</v>
      </c>
      <c r="D7" s="207">
        <v>130728.96690547223</v>
      </c>
      <c r="E7" s="207">
        <v>260058.80870128638</v>
      </c>
      <c r="F7" s="207">
        <v>4706.3585486202664</v>
      </c>
    </row>
    <row r="8" spans="1:6" x14ac:dyDescent="0.2">
      <c r="A8" s="951" t="s">
        <v>9</v>
      </c>
      <c r="B8" s="207">
        <v>1345763.7797983042</v>
      </c>
      <c r="C8" s="207">
        <v>248060.77939284907</v>
      </c>
      <c r="D8" s="207">
        <v>413619.12702378561</v>
      </c>
      <c r="E8" s="207">
        <v>654164.95738980162</v>
      </c>
      <c r="F8" s="207">
        <v>29918.915975529875</v>
      </c>
    </row>
    <row r="9" spans="1:6" x14ac:dyDescent="0.2">
      <c r="A9" s="952" t="s">
        <v>43</v>
      </c>
      <c r="B9" s="215"/>
      <c r="C9" s="215"/>
      <c r="D9" s="215"/>
      <c r="E9" s="215"/>
      <c r="F9" s="215"/>
    </row>
    <row r="10" spans="1:6" x14ac:dyDescent="0.2">
      <c r="A10" s="953" t="s">
        <v>11</v>
      </c>
      <c r="B10" s="208">
        <v>247337.52183330798</v>
      </c>
      <c r="C10" s="208">
        <v>42981.315728609407</v>
      </c>
      <c r="D10" s="208">
        <v>76442.241633672093</v>
      </c>
      <c r="E10" s="208">
        <v>122092.16959289678</v>
      </c>
      <c r="F10" s="208">
        <v>5821.7948782312906</v>
      </c>
    </row>
    <row r="11" spans="1:6" x14ac:dyDescent="0.2">
      <c r="A11" s="960" t="s">
        <v>12</v>
      </c>
      <c r="B11" s="207">
        <v>155253.79728274111</v>
      </c>
      <c r="C11" s="207">
        <v>26933.644543876304</v>
      </c>
      <c r="D11" s="207">
        <v>50426.640462138246</v>
      </c>
      <c r="E11" s="207">
        <v>75157.105608338155</v>
      </c>
      <c r="F11" s="207">
        <v>2736.4066682551666</v>
      </c>
    </row>
    <row r="12" spans="1:6" x14ac:dyDescent="0.2">
      <c r="A12" s="960" t="s">
        <v>13</v>
      </c>
      <c r="B12" s="207">
        <v>92083.724550850049</v>
      </c>
      <c r="C12" s="207">
        <v>16047.671184733108</v>
      </c>
      <c r="D12" s="207">
        <v>26015.601171504139</v>
      </c>
      <c r="E12" s="207">
        <v>46935.063984548062</v>
      </c>
      <c r="F12" s="207">
        <v>3085.3882099754287</v>
      </c>
    </row>
    <row r="13" spans="1:6" x14ac:dyDescent="0.2">
      <c r="A13" s="953" t="s">
        <v>44</v>
      </c>
      <c r="B13" s="208">
        <v>500288.17298726831</v>
      </c>
      <c r="C13" s="208">
        <v>77025.790965103966</v>
      </c>
      <c r="D13" s="208">
        <v>142375.8401545056</v>
      </c>
      <c r="E13" s="208">
        <v>272447.92901315802</v>
      </c>
      <c r="F13" s="208">
        <v>8438.6128561784008</v>
      </c>
    </row>
    <row r="14" spans="1:6" x14ac:dyDescent="0.2">
      <c r="A14" s="960" t="s">
        <v>15</v>
      </c>
      <c r="B14" s="207">
        <v>401981.02633469191</v>
      </c>
      <c r="C14" s="207">
        <v>60222.333566598158</v>
      </c>
      <c r="D14" s="207">
        <v>112351.68937315463</v>
      </c>
      <c r="E14" s="207">
        <v>223184.04282043531</v>
      </c>
      <c r="F14" s="207">
        <v>6222.9605757229747</v>
      </c>
    </row>
    <row r="15" spans="1:6" x14ac:dyDescent="0.2">
      <c r="A15" s="960" t="s">
        <v>16</v>
      </c>
      <c r="B15" s="207">
        <v>98307.146653200427</v>
      </c>
      <c r="C15" s="207">
        <v>16803.457398461687</v>
      </c>
      <c r="D15" s="207">
        <v>30024.150781334582</v>
      </c>
      <c r="E15" s="207">
        <v>49263.886192838254</v>
      </c>
      <c r="F15" s="207">
        <v>2215.6522804545261</v>
      </c>
    </row>
    <row r="16" spans="1:6" x14ac:dyDescent="0.2">
      <c r="A16" s="953" t="s">
        <v>17</v>
      </c>
      <c r="B16" s="208">
        <v>35716.78375064482</v>
      </c>
      <c r="C16" s="208">
        <v>6266.0170301106164</v>
      </c>
      <c r="D16" s="208">
        <v>11879.087424011372</v>
      </c>
      <c r="E16" s="208">
        <v>17134.636991942622</v>
      </c>
      <c r="F16" s="208">
        <v>437.04230458427628</v>
      </c>
    </row>
    <row r="17" spans="1:19" x14ac:dyDescent="0.2">
      <c r="A17" s="960" t="s">
        <v>17</v>
      </c>
      <c r="B17" s="207">
        <v>35716.78375064482</v>
      </c>
      <c r="C17" s="207">
        <v>6266.0170301106164</v>
      </c>
      <c r="D17" s="207">
        <v>11879.087424011372</v>
      </c>
      <c r="E17" s="207">
        <v>17134.636991942622</v>
      </c>
      <c r="F17" s="207">
        <v>437.04230458427628</v>
      </c>
    </row>
    <row r="18" spans="1:19" x14ac:dyDescent="0.2">
      <c r="A18" s="953" t="s">
        <v>18</v>
      </c>
      <c r="B18" s="208">
        <v>35425.088734110926</v>
      </c>
      <c r="C18" s="208">
        <v>6663.7992478624992</v>
      </c>
      <c r="D18" s="208">
        <v>10579.068723386106</v>
      </c>
      <c r="E18" s="208">
        <v>17691.907132597549</v>
      </c>
      <c r="F18" s="208">
        <v>490.31363026743435</v>
      </c>
    </row>
    <row r="19" spans="1:19" x14ac:dyDescent="0.2">
      <c r="A19" s="960" t="s">
        <v>18</v>
      </c>
      <c r="B19" s="207">
        <v>35425.088734110926</v>
      </c>
      <c r="C19" s="207">
        <v>6663.7992478624992</v>
      </c>
      <c r="D19" s="207">
        <v>10579.068723386106</v>
      </c>
      <c r="E19" s="207">
        <v>17691.907132597549</v>
      </c>
      <c r="F19" s="207">
        <v>490.31363026743435</v>
      </c>
    </row>
    <row r="20" spans="1:19" x14ac:dyDescent="0.2">
      <c r="A20" s="953" t="s">
        <v>19</v>
      </c>
      <c r="B20" s="208">
        <v>140924.93463951405</v>
      </c>
      <c r="C20" s="208">
        <v>27113.593642383108</v>
      </c>
      <c r="D20" s="208">
        <v>48313.872149264651</v>
      </c>
      <c r="E20" s="208">
        <v>63240.504110577102</v>
      </c>
      <c r="F20" s="208">
        <v>2256.964737106769</v>
      </c>
    </row>
    <row r="21" spans="1:19" x14ac:dyDescent="0.2">
      <c r="A21" s="960" t="s">
        <v>19</v>
      </c>
      <c r="B21" s="207">
        <v>81990.080576239649</v>
      </c>
      <c r="C21" s="207">
        <v>15136.560485977605</v>
      </c>
      <c r="D21" s="207">
        <v>27243.290866822579</v>
      </c>
      <c r="E21" s="207">
        <v>38287.14344060258</v>
      </c>
      <c r="F21" s="207">
        <v>1323.0857827836996</v>
      </c>
    </row>
    <row r="22" spans="1:19" x14ac:dyDescent="0.2">
      <c r="A22" s="961" t="s">
        <v>20</v>
      </c>
      <c r="B22" s="207">
        <v>58934.85406314618</v>
      </c>
      <c r="C22" s="207">
        <v>11977.033156405507</v>
      </c>
      <c r="D22" s="207">
        <v>21070.581282454048</v>
      </c>
      <c r="E22" s="207">
        <v>24953.360669971051</v>
      </c>
      <c r="F22" s="207">
        <v>933.87895432309574</v>
      </c>
      <c r="S22" s="577"/>
    </row>
    <row r="23" spans="1:19" x14ac:dyDescent="0.2">
      <c r="A23" s="954" t="s">
        <v>21</v>
      </c>
      <c r="B23" s="208">
        <v>76581.61095664317</v>
      </c>
      <c r="C23" s="208">
        <v>14403.504684691992</v>
      </c>
      <c r="D23" s="208">
        <v>23678.232263207945</v>
      </c>
      <c r="E23" s="208">
        <v>37460.539572933332</v>
      </c>
      <c r="F23" s="208">
        <v>1039.3344357775052</v>
      </c>
    </row>
    <row r="24" spans="1:19" x14ac:dyDescent="0.2">
      <c r="A24" s="960" t="s">
        <v>21</v>
      </c>
      <c r="B24" s="207">
        <v>76581.61095664317</v>
      </c>
      <c r="C24" s="207">
        <v>14403.504684691992</v>
      </c>
      <c r="D24" s="207">
        <v>23678.232263207945</v>
      </c>
      <c r="E24" s="207">
        <v>37460.539572933332</v>
      </c>
      <c r="F24" s="207">
        <v>1039.3344357775052</v>
      </c>
    </row>
    <row r="25" spans="1:19" x14ac:dyDescent="0.2">
      <c r="A25" s="953" t="s">
        <v>22</v>
      </c>
      <c r="B25" s="208">
        <v>138858.55921428325</v>
      </c>
      <c r="C25" s="208">
        <v>21798.465532803188</v>
      </c>
      <c r="D25" s="208">
        <v>37323.67013256903</v>
      </c>
      <c r="E25" s="208">
        <v>77069.595754873168</v>
      </c>
      <c r="F25" s="208">
        <v>2666.8277938934943</v>
      </c>
    </row>
    <row r="26" spans="1:19" x14ac:dyDescent="0.2">
      <c r="A26" s="960" t="s">
        <v>22</v>
      </c>
      <c r="B26" s="207">
        <v>138858.55921428325</v>
      </c>
      <c r="C26" s="207">
        <v>21798.465532803188</v>
      </c>
      <c r="D26" s="207">
        <v>37323.67013256903</v>
      </c>
      <c r="E26" s="207">
        <v>77069.595754873168</v>
      </c>
      <c r="F26" s="207">
        <v>2666.8277938934943</v>
      </c>
    </row>
    <row r="27" spans="1:19" x14ac:dyDescent="0.2">
      <c r="A27" s="953" t="s">
        <v>23</v>
      </c>
      <c r="B27" s="614">
        <v>181968.51821309913</v>
      </c>
      <c r="C27" s="614">
        <v>34033.110030228956</v>
      </c>
      <c r="D27" s="614">
        <v>55522.02854642889</v>
      </c>
      <c r="E27" s="614">
        <v>88020.126022353536</v>
      </c>
      <c r="F27" s="614">
        <v>4393.2536139926106</v>
      </c>
    </row>
    <row r="28" spans="1:19" x14ac:dyDescent="0.2">
      <c r="A28" s="960" t="s">
        <v>23</v>
      </c>
      <c r="B28" s="210">
        <v>94966.722711823459</v>
      </c>
      <c r="C28" s="210">
        <v>17187.980208955174</v>
      </c>
      <c r="D28" s="210">
        <v>28541.406172570139</v>
      </c>
      <c r="E28" s="210">
        <v>46672.702508027774</v>
      </c>
      <c r="F28" s="210">
        <v>2564.6338221747883</v>
      </c>
    </row>
    <row r="29" spans="1:19" x14ac:dyDescent="0.2">
      <c r="A29" s="960" t="s">
        <v>24</v>
      </c>
      <c r="B29" s="210">
        <v>87001.79550134801</v>
      </c>
      <c r="C29" s="210">
        <v>16845.129821273789</v>
      </c>
      <c r="D29" s="210">
        <v>26980.622373870727</v>
      </c>
      <c r="E29" s="210">
        <v>41347.423514315291</v>
      </c>
      <c r="F29" s="210">
        <v>1828.6197918177243</v>
      </c>
    </row>
    <row r="30" spans="1:19" x14ac:dyDescent="0.2">
      <c r="A30" s="953" t="s">
        <v>25</v>
      </c>
      <c r="B30" s="211">
        <v>19163.095179749704</v>
      </c>
      <c r="C30" s="211">
        <v>3663.3848053911538</v>
      </c>
      <c r="D30" s="211">
        <v>5849.1324553729</v>
      </c>
      <c r="E30" s="211">
        <v>9358.1292126839926</v>
      </c>
      <c r="F30" s="211">
        <v>292.44870630141867</v>
      </c>
    </row>
    <row r="31" spans="1:19" x14ac:dyDescent="0.2">
      <c r="A31" s="960" t="s">
        <v>25</v>
      </c>
      <c r="B31" s="611">
        <v>19163.095179749704</v>
      </c>
      <c r="C31" s="611">
        <v>3663.3848053911538</v>
      </c>
      <c r="D31" s="611">
        <v>5849.1324553729</v>
      </c>
      <c r="E31" s="611">
        <v>9358.1292126839926</v>
      </c>
      <c r="F31" s="611">
        <v>292.44870630141867</v>
      </c>
    </row>
    <row r="32" spans="1:19" x14ac:dyDescent="0.2">
      <c r="A32" s="953" t="s">
        <v>26</v>
      </c>
      <c r="B32" s="615">
        <v>7995.64233107988</v>
      </c>
      <c r="C32" s="615">
        <v>1521.0434326417273</v>
      </c>
      <c r="D32" s="615">
        <v>2407.7945187266969</v>
      </c>
      <c r="E32" s="615">
        <v>3954.8258787857317</v>
      </c>
      <c r="F32" s="615">
        <v>111.97850092582195</v>
      </c>
    </row>
    <row r="33" spans="1:6" x14ac:dyDescent="0.2">
      <c r="A33" s="960" t="s">
        <v>26</v>
      </c>
      <c r="B33" s="611">
        <v>7995.64233107988</v>
      </c>
      <c r="C33" s="611">
        <v>1521.0434326417273</v>
      </c>
      <c r="D33" s="611">
        <v>2407.7945187266969</v>
      </c>
      <c r="E33" s="611">
        <v>3954.8258787857317</v>
      </c>
      <c r="F33" s="611">
        <v>111.97850092582195</v>
      </c>
    </row>
    <row r="34" spans="1:6" x14ac:dyDescent="0.2">
      <c r="A34" s="953" t="s">
        <v>27</v>
      </c>
      <c r="B34" s="615">
        <v>40256.755679905276</v>
      </c>
      <c r="C34" s="615">
        <v>7792.743065863081</v>
      </c>
      <c r="D34" s="615">
        <v>12758.455856937979</v>
      </c>
      <c r="E34" s="615">
        <v>18882.569133799865</v>
      </c>
      <c r="F34" s="615">
        <v>822.98762330918066</v>
      </c>
    </row>
    <row r="35" spans="1:6" x14ac:dyDescent="0.2">
      <c r="A35" s="960" t="s">
        <v>27</v>
      </c>
      <c r="B35" s="512">
        <v>40256.755679905276</v>
      </c>
      <c r="C35" s="512">
        <v>7792.743065863081</v>
      </c>
      <c r="D35" s="512">
        <v>12758.455856937979</v>
      </c>
      <c r="E35" s="512">
        <v>18882.569133799865</v>
      </c>
      <c r="F35" s="512">
        <v>822.98762330918066</v>
      </c>
    </row>
    <row r="36" spans="1:6" x14ac:dyDescent="0.2">
      <c r="A36" s="953" t="s">
        <v>28</v>
      </c>
      <c r="B36" s="616">
        <v>99995.993903484006</v>
      </c>
      <c r="C36" s="616">
        <v>16924.686264824166</v>
      </c>
      <c r="D36" s="616">
        <v>28016.069186666435</v>
      </c>
      <c r="E36" s="616">
        <v>52788.489185566395</v>
      </c>
      <c r="F36" s="616">
        <v>2266.7492663138792</v>
      </c>
    </row>
    <row r="37" spans="1:6" x14ac:dyDescent="0.2">
      <c r="A37" s="960" t="s">
        <v>28</v>
      </c>
      <c r="B37" s="512">
        <v>99995.993903484006</v>
      </c>
      <c r="C37" s="512">
        <v>16924.686264824166</v>
      </c>
      <c r="D37" s="512">
        <v>28016.069186666435</v>
      </c>
      <c r="E37" s="512">
        <v>52788.489185566395</v>
      </c>
      <c r="F37" s="512">
        <v>2266.7492663138792</v>
      </c>
    </row>
    <row r="38" spans="1:6" x14ac:dyDescent="0.2">
      <c r="A38" s="953" t="s">
        <v>29</v>
      </c>
      <c r="B38" s="616">
        <v>198400.29871794613</v>
      </c>
      <c r="C38" s="616">
        <v>38620.864941634005</v>
      </c>
      <c r="D38" s="616">
        <v>63499.156473684059</v>
      </c>
      <c r="E38" s="616">
        <v>92615.427529533074</v>
      </c>
      <c r="F38" s="616">
        <v>3664.84977301873</v>
      </c>
    </row>
    <row r="39" spans="1:6" x14ac:dyDescent="0.2">
      <c r="A39" s="960" t="s">
        <v>30</v>
      </c>
      <c r="B39" s="512">
        <v>121590.06075357214</v>
      </c>
      <c r="C39" s="512">
        <v>24005.209740807681</v>
      </c>
      <c r="D39" s="512">
        <v>38437.156135299709</v>
      </c>
      <c r="E39" s="512">
        <v>57117.948651770639</v>
      </c>
      <c r="F39" s="512">
        <v>2029.746225519433</v>
      </c>
    </row>
    <row r="40" spans="1:6" x14ac:dyDescent="0.2">
      <c r="A40" s="960" t="s">
        <v>29</v>
      </c>
      <c r="B40" s="512">
        <v>76810.237964506712</v>
      </c>
      <c r="C40" s="512">
        <v>14615.65520082633</v>
      </c>
      <c r="D40" s="512">
        <v>25062.000338396327</v>
      </c>
      <c r="E40" s="512">
        <v>35497.478877750487</v>
      </c>
      <c r="F40" s="512">
        <v>1635.1035474993234</v>
      </c>
    </row>
    <row r="41" spans="1:6" x14ac:dyDescent="0.2">
      <c r="A41" s="955" t="s">
        <v>31</v>
      </c>
      <c r="B41" s="616">
        <v>83503.559262522846</v>
      </c>
      <c r="C41" s="616">
        <v>14411.081488839647</v>
      </c>
      <c r="D41" s="616">
        <v>25703.444411764256</v>
      </c>
      <c r="E41" s="616">
        <v>41466.916957621033</v>
      </c>
      <c r="F41" s="616">
        <v>1922.1164042412213</v>
      </c>
    </row>
    <row r="42" spans="1:6" ht="12.75" thickBot="1" x14ac:dyDescent="0.25">
      <c r="A42" s="962" t="s">
        <v>31</v>
      </c>
      <c r="B42" s="612">
        <v>83503.559262522846</v>
      </c>
      <c r="C42" s="612">
        <v>14411.081488839647</v>
      </c>
      <c r="D42" s="612">
        <v>25703.444411764256</v>
      </c>
      <c r="E42" s="612">
        <v>41466.916957621033</v>
      </c>
      <c r="F42" s="612">
        <v>1922.1164042412213</v>
      </c>
    </row>
  </sheetData>
  <mergeCells count="4">
    <mergeCell ref="A1:F1"/>
    <mergeCell ref="A2:A3"/>
    <mergeCell ref="B2:B3"/>
    <mergeCell ref="C2:F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43"/>
  <sheetViews>
    <sheetView workbookViewId="0">
      <selection activeCell="M36" sqref="M36"/>
    </sheetView>
  </sheetViews>
  <sheetFormatPr defaultRowHeight="12" x14ac:dyDescent="0.2"/>
  <cols>
    <col min="1" max="1" width="16.5703125" style="575" customWidth="1"/>
    <col min="2" max="2" width="14.5703125" style="575" customWidth="1"/>
    <col min="3" max="7" width="9.140625" style="575"/>
    <col min="8" max="8" width="14.85546875" style="575" customWidth="1"/>
    <col min="9" max="16384" width="9.140625" style="575"/>
  </cols>
  <sheetData>
    <row r="1" spans="1:8" ht="12.75" thickBot="1" x14ac:dyDescent="0.25">
      <c r="A1" s="894" t="s">
        <v>45</v>
      </c>
      <c r="B1" s="894"/>
      <c r="C1" s="894"/>
      <c r="D1" s="894"/>
      <c r="E1" s="894"/>
      <c r="F1" s="894"/>
      <c r="G1" s="894"/>
      <c r="H1" s="894"/>
    </row>
    <row r="2" spans="1:8" ht="15" customHeight="1" x14ac:dyDescent="0.2">
      <c r="A2" s="907" t="str">
        <f>'Q9.14'!$A$2</f>
        <v>Área de residência, município e comuna</v>
      </c>
      <c r="B2" s="891" t="s">
        <v>46</v>
      </c>
      <c r="C2" s="893" t="s">
        <v>47</v>
      </c>
      <c r="D2" s="893"/>
      <c r="E2" s="893"/>
      <c r="F2" s="893"/>
      <c r="G2" s="893"/>
      <c r="H2" s="893"/>
    </row>
    <row r="3" spans="1:8" ht="36" x14ac:dyDescent="0.2">
      <c r="A3" s="947"/>
      <c r="B3" s="892"/>
      <c r="C3" s="17" t="s">
        <v>48</v>
      </c>
      <c r="D3" s="17" t="s">
        <v>49</v>
      </c>
      <c r="E3" s="17" t="s">
        <v>50</v>
      </c>
      <c r="F3" s="17" t="s">
        <v>51</v>
      </c>
      <c r="G3" s="17" t="s">
        <v>52</v>
      </c>
      <c r="H3" s="17" t="s">
        <v>53</v>
      </c>
    </row>
    <row r="4" spans="1:8" x14ac:dyDescent="0.2">
      <c r="A4" s="7" t="s">
        <v>32</v>
      </c>
      <c r="B4" s="18">
        <v>260570.8827950471</v>
      </c>
      <c r="C4" s="19">
        <v>13156.534905327871</v>
      </c>
      <c r="D4" s="19">
        <v>85453.223009207664</v>
      </c>
      <c r="E4" s="19">
        <v>500.7370981145973</v>
      </c>
      <c r="F4" s="19">
        <v>149578.5906803213</v>
      </c>
      <c r="G4" s="19">
        <v>11859.640592217105</v>
      </c>
      <c r="H4" s="19">
        <v>22.156508766132514</v>
      </c>
    </row>
    <row r="5" spans="1:8" x14ac:dyDescent="0.2">
      <c r="A5" s="8"/>
      <c r="B5" s="20"/>
      <c r="C5" s="21"/>
      <c r="D5" s="21"/>
      <c r="E5" s="21"/>
      <c r="F5" s="21"/>
      <c r="G5" s="21"/>
      <c r="H5" s="21"/>
    </row>
    <row r="6" spans="1:8" x14ac:dyDescent="0.2">
      <c r="A6" s="10" t="s">
        <v>41</v>
      </c>
      <c r="B6" s="22"/>
      <c r="C6" s="23"/>
      <c r="D6" s="23"/>
      <c r="E6" s="23"/>
      <c r="F6" s="23"/>
      <c r="G6" s="23"/>
      <c r="H6" s="23"/>
    </row>
    <row r="7" spans="1:8" x14ac:dyDescent="0.2">
      <c r="A7" s="12" t="s">
        <v>42</v>
      </c>
      <c r="B7" s="24">
        <v>73979.105669521523</v>
      </c>
      <c r="C7" s="21">
        <v>5022.1419869896145</v>
      </c>
      <c r="D7" s="21">
        <v>57349.907290249306</v>
      </c>
      <c r="E7" s="21">
        <v>488.92029343932654</v>
      </c>
      <c r="F7" s="21">
        <v>4577.5347110826206</v>
      </c>
      <c r="G7" s="21">
        <v>6531.7387842552216</v>
      </c>
      <c r="H7" s="21">
        <v>8.8626035064530058</v>
      </c>
    </row>
    <row r="8" spans="1:8" x14ac:dyDescent="0.2">
      <c r="A8" s="12" t="s">
        <v>9</v>
      </c>
      <c r="B8" s="24">
        <v>186591.77712479708</v>
      </c>
      <c r="C8" s="21">
        <v>8134.3929183385717</v>
      </c>
      <c r="D8" s="21">
        <v>28103.315718958675</v>
      </c>
      <c r="E8" s="21">
        <v>11.816804675270674</v>
      </c>
      <c r="F8" s="21">
        <v>145001.0559691939</v>
      </c>
      <c r="G8" s="21">
        <v>5327.9018079621983</v>
      </c>
      <c r="H8" s="21">
        <v>13.293905259679509</v>
      </c>
    </row>
    <row r="9" spans="1:8" x14ac:dyDescent="0.2">
      <c r="A9" s="13" t="s">
        <v>43</v>
      </c>
      <c r="B9" s="22">
        <v>1534.7075072007888</v>
      </c>
      <c r="C9" s="23">
        <v>12307.202069292916</v>
      </c>
      <c r="D9" s="23">
        <v>10.33970409086184</v>
      </c>
      <c r="E9" s="23">
        <v>18872.914166989223</v>
      </c>
      <c r="F9" s="23">
        <v>1296.8943131109647</v>
      </c>
      <c r="G9" s="23">
        <v>2.9542011688176686</v>
      </c>
      <c r="H9" s="23">
        <v>34025.011961852826</v>
      </c>
    </row>
    <row r="10" spans="1:8" x14ac:dyDescent="0.2">
      <c r="A10" s="14" t="s">
        <v>11</v>
      </c>
      <c r="B10" s="20">
        <v>34025.011961852826</v>
      </c>
      <c r="C10" s="25">
        <v>1534.7075072007888</v>
      </c>
      <c r="D10" s="25">
        <v>12307.202069292916</v>
      </c>
      <c r="E10" s="25">
        <v>10.33970409086184</v>
      </c>
      <c r="F10" s="25">
        <v>18872.914166989223</v>
      </c>
      <c r="G10" s="25">
        <v>1296.8943131109647</v>
      </c>
      <c r="H10" s="25">
        <v>2.9542011688176686</v>
      </c>
    </row>
    <row r="11" spans="1:8" x14ac:dyDescent="0.2">
      <c r="A11" s="963" t="s">
        <v>12</v>
      </c>
      <c r="B11" s="24">
        <v>21954.1459860656</v>
      </c>
      <c r="C11" s="21">
        <v>1192.0201716179367</v>
      </c>
      <c r="D11" s="21">
        <v>8825.6759918418047</v>
      </c>
      <c r="E11" s="21">
        <v>10.33970409086184</v>
      </c>
      <c r="F11" s="21">
        <v>11059.052075467634</v>
      </c>
      <c r="G11" s="21">
        <v>864.10384187917316</v>
      </c>
      <c r="H11" s="21">
        <v>2.9542011688176686</v>
      </c>
    </row>
    <row r="12" spans="1:8" x14ac:dyDescent="0.2">
      <c r="A12" s="963" t="s">
        <v>13</v>
      </c>
      <c r="B12" s="24">
        <v>12070.865975787538</v>
      </c>
      <c r="C12" s="21">
        <v>342.68733558285089</v>
      </c>
      <c r="D12" s="21">
        <v>3481.5260774514259</v>
      </c>
      <c r="E12" s="21">
        <v>0</v>
      </c>
      <c r="F12" s="21">
        <v>7813.8620915219017</v>
      </c>
      <c r="G12" s="21">
        <v>432.79047123179043</v>
      </c>
      <c r="H12" s="21">
        <v>0</v>
      </c>
    </row>
    <row r="13" spans="1:8" x14ac:dyDescent="0.2">
      <c r="A13" s="14" t="s">
        <v>44</v>
      </c>
      <c r="B13" s="20">
        <v>72558.134907320433</v>
      </c>
      <c r="C13" s="25">
        <v>4098.9541217342285</v>
      </c>
      <c r="D13" s="25">
        <v>41304.163641818493</v>
      </c>
      <c r="E13" s="25">
        <v>483.01189110169116</v>
      </c>
      <c r="F13" s="25">
        <v>21285.019421328496</v>
      </c>
      <c r="G13" s="25">
        <v>5376.6461272476827</v>
      </c>
      <c r="H13" s="25">
        <v>10.33970409086184</v>
      </c>
    </row>
    <row r="14" spans="1:8" x14ac:dyDescent="0.2">
      <c r="A14" s="963" t="s">
        <v>15</v>
      </c>
      <c r="B14" s="24">
        <v>61296.720051789132</v>
      </c>
      <c r="C14" s="21">
        <v>3571.6292131003515</v>
      </c>
      <c r="D14" s="21">
        <v>39137.257084491052</v>
      </c>
      <c r="E14" s="21">
        <v>483.01189110169116</v>
      </c>
      <c r="F14" s="21">
        <v>12816.801770913889</v>
      </c>
      <c r="G14" s="21">
        <v>5277.6803880923053</v>
      </c>
      <c r="H14" s="21">
        <v>10.33970409086184</v>
      </c>
    </row>
    <row r="15" spans="1:8" x14ac:dyDescent="0.2">
      <c r="A15" s="963" t="s">
        <v>16</v>
      </c>
      <c r="B15" s="24">
        <v>11261.414855531615</v>
      </c>
      <c r="C15" s="21">
        <v>527.32490863395651</v>
      </c>
      <c r="D15" s="21">
        <v>2166.9065573277562</v>
      </c>
      <c r="E15" s="21">
        <v>0</v>
      </c>
      <c r="F15" s="21">
        <v>8468.2176504149193</v>
      </c>
      <c r="G15" s="21">
        <v>98.965739155391745</v>
      </c>
      <c r="H15" s="21">
        <v>0</v>
      </c>
    </row>
    <row r="16" spans="1:8" x14ac:dyDescent="0.2">
      <c r="A16" s="14" t="s">
        <v>17</v>
      </c>
      <c r="B16" s="20">
        <v>6308.6965960095204</v>
      </c>
      <c r="C16" s="25">
        <v>180.20627129787795</v>
      </c>
      <c r="D16" s="25">
        <v>1539.1388089540153</v>
      </c>
      <c r="E16" s="25">
        <v>0</v>
      </c>
      <c r="F16" s="25">
        <v>4571.6263087449861</v>
      </c>
      <c r="G16" s="25">
        <v>17.725207012906012</v>
      </c>
      <c r="H16" s="25">
        <v>0</v>
      </c>
    </row>
    <row r="17" spans="1:8" x14ac:dyDescent="0.2">
      <c r="A17" s="963" t="s">
        <v>17</v>
      </c>
      <c r="B17" s="24">
        <v>6308.6965960095204</v>
      </c>
      <c r="C17" s="21">
        <v>180.20627129787795</v>
      </c>
      <c r="D17" s="21">
        <v>1539.1388089540153</v>
      </c>
      <c r="E17" s="21">
        <v>0</v>
      </c>
      <c r="F17" s="21">
        <v>4571.6263087449861</v>
      </c>
      <c r="G17" s="21">
        <v>17.725207012906012</v>
      </c>
      <c r="H17" s="21">
        <v>0</v>
      </c>
    </row>
    <row r="18" spans="1:8" x14ac:dyDescent="0.2">
      <c r="A18" s="14" t="s">
        <v>18</v>
      </c>
      <c r="B18" s="20">
        <v>5391.4171330917688</v>
      </c>
      <c r="C18" s="25">
        <v>168.38946662260719</v>
      </c>
      <c r="D18" s="25">
        <v>642.53875421784642</v>
      </c>
      <c r="E18" s="25">
        <v>0</v>
      </c>
      <c r="F18" s="25">
        <v>4333.8131146551987</v>
      </c>
      <c r="G18" s="25">
        <v>245.19869701186713</v>
      </c>
      <c r="H18" s="25">
        <v>1.4771005844088343</v>
      </c>
    </row>
    <row r="19" spans="1:8" x14ac:dyDescent="0.2">
      <c r="A19" s="963" t="s">
        <v>18</v>
      </c>
      <c r="B19" s="24">
        <v>5391.4171330917688</v>
      </c>
      <c r="C19" s="21">
        <v>168.38946662260719</v>
      </c>
      <c r="D19" s="21">
        <v>642.53875421784642</v>
      </c>
      <c r="E19" s="21">
        <v>0</v>
      </c>
      <c r="F19" s="21">
        <v>4333.8131146551987</v>
      </c>
      <c r="G19" s="21">
        <v>245.19869701186713</v>
      </c>
      <c r="H19" s="21">
        <v>1.4771005844088343</v>
      </c>
    </row>
    <row r="20" spans="1:8" x14ac:dyDescent="0.2">
      <c r="A20" s="14" t="s">
        <v>19</v>
      </c>
      <c r="B20" s="20">
        <v>21064.931434251612</v>
      </c>
      <c r="C20" s="25">
        <v>868.53514363239969</v>
      </c>
      <c r="D20" s="25">
        <v>3481.5260774514259</v>
      </c>
      <c r="E20" s="25">
        <v>1.4771005844088343</v>
      </c>
      <c r="F20" s="25">
        <v>16028.018441418224</v>
      </c>
      <c r="G20" s="25">
        <v>685.37467116570292</v>
      </c>
      <c r="H20" s="25">
        <v>0</v>
      </c>
    </row>
    <row r="21" spans="1:8" x14ac:dyDescent="0.2">
      <c r="A21" s="963" t="s">
        <v>19</v>
      </c>
      <c r="B21" s="24">
        <v>12688.29402007034</v>
      </c>
      <c r="C21" s="21">
        <v>639.58455304902873</v>
      </c>
      <c r="D21" s="21">
        <v>3076.8005173234646</v>
      </c>
      <c r="E21" s="21">
        <v>1.4771005844088343</v>
      </c>
      <c r="F21" s="21">
        <v>8428.3359346358866</v>
      </c>
      <c r="G21" s="21">
        <v>542.09591447804496</v>
      </c>
      <c r="H21" s="21">
        <v>0</v>
      </c>
    </row>
    <row r="22" spans="1:8" x14ac:dyDescent="0.2">
      <c r="A22" s="964" t="s">
        <v>20</v>
      </c>
      <c r="B22" s="26">
        <v>8376.637414181585</v>
      </c>
      <c r="C22" s="21">
        <v>228.95059058336983</v>
      </c>
      <c r="D22" s="21">
        <v>404.72556012802238</v>
      </c>
      <c r="E22" s="21">
        <v>0</v>
      </c>
      <c r="F22" s="21">
        <v>7599.6825067826521</v>
      </c>
      <c r="G22" s="21">
        <v>143.27875668765682</v>
      </c>
      <c r="H22" s="21">
        <v>0</v>
      </c>
    </row>
    <row r="23" spans="1:8" x14ac:dyDescent="0.2">
      <c r="A23" s="15" t="s">
        <v>21</v>
      </c>
      <c r="B23" s="27">
        <v>11732.609941957964</v>
      </c>
      <c r="C23" s="25">
        <v>454.94697999792311</v>
      </c>
      <c r="D23" s="25">
        <v>3602.6483253729325</v>
      </c>
      <c r="E23" s="25">
        <v>0</v>
      </c>
      <c r="F23" s="25">
        <v>7612.9764120423297</v>
      </c>
      <c r="G23" s="25">
        <v>62.038224545170976</v>
      </c>
      <c r="H23" s="25">
        <v>0</v>
      </c>
    </row>
    <row r="24" spans="1:8" x14ac:dyDescent="0.2">
      <c r="A24" s="963" t="s">
        <v>21</v>
      </c>
      <c r="B24" s="24">
        <v>11732.609941957964</v>
      </c>
      <c r="C24" s="21">
        <v>454.94697999792311</v>
      </c>
      <c r="D24" s="21">
        <v>3602.6483253729325</v>
      </c>
      <c r="E24" s="21">
        <v>0</v>
      </c>
      <c r="F24" s="21">
        <v>7612.9764120423297</v>
      </c>
      <c r="G24" s="21">
        <v>62.038224545170976</v>
      </c>
      <c r="H24" s="21">
        <v>0</v>
      </c>
    </row>
    <row r="25" spans="1:8" x14ac:dyDescent="0.2">
      <c r="A25" s="14" t="s">
        <v>22</v>
      </c>
      <c r="B25" s="20">
        <v>19626.235465037618</v>
      </c>
      <c r="C25" s="25">
        <v>1333.8218277211859</v>
      </c>
      <c r="D25" s="25">
        <v>9050.1952806719146</v>
      </c>
      <c r="E25" s="25">
        <v>1.4771005844088343</v>
      </c>
      <c r="F25" s="25">
        <v>7911.3507300928704</v>
      </c>
      <c r="G25" s="25">
        <v>1329.3905259679593</v>
      </c>
      <c r="H25" s="25">
        <v>0</v>
      </c>
    </row>
    <row r="26" spans="1:8" x14ac:dyDescent="0.2">
      <c r="A26" s="963" t="s">
        <v>22</v>
      </c>
      <c r="B26" s="24">
        <v>19626.235465037618</v>
      </c>
      <c r="C26" s="21">
        <v>1333.8218277211859</v>
      </c>
      <c r="D26" s="21">
        <v>9050.1952806719146</v>
      </c>
      <c r="E26" s="21">
        <v>1.4771005844088343</v>
      </c>
      <c r="F26" s="21">
        <v>7911.3507300928704</v>
      </c>
      <c r="G26" s="21">
        <v>1329.3905259679593</v>
      </c>
      <c r="H26" s="21">
        <v>0</v>
      </c>
    </row>
    <row r="27" spans="1:8" x14ac:dyDescent="0.2">
      <c r="A27" s="14" t="s">
        <v>23</v>
      </c>
      <c r="B27" s="20">
        <v>23194.910476968838</v>
      </c>
      <c r="C27" s="20">
        <v>1395.8600522663573</v>
      </c>
      <c r="D27" s="20">
        <v>3663.2094493336858</v>
      </c>
      <c r="E27" s="20">
        <v>1.4771005844088343</v>
      </c>
      <c r="F27" s="20">
        <v>17983.699615175236</v>
      </c>
      <c r="G27" s="20">
        <v>150.66425960970105</v>
      </c>
      <c r="H27" s="20">
        <v>0</v>
      </c>
    </row>
    <row r="28" spans="1:8" x14ac:dyDescent="0.2">
      <c r="A28" s="963" t="s">
        <v>23</v>
      </c>
      <c r="B28" s="24">
        <v>11586.376984101511</v>
      </c>
      <c r="C28" s="21">
        <v>719.34798460710635</v>
      </c>
      <c r="D28" s="21">
        <v>1451.9898744738935</v>
      </c>
      <c r="E28" s="21">
        <v>1.4771005844088343</v>
      </c>
      <c r="F28" s="21">
        <v>9341.1840958004123</v>
      </c>
      <c r="G28" s="21">
        <v>72.377928636032792</v>
      </c>
      <c r="H28" s="21">
        <v>0</v>
      </c>
    </row>
    <row r="29" spans="1:8" x14ac:dyDescent="0.2">
      <c r="A29" s="963" t="s">
        <v>24</v>
      </c>
      <c r="B29" s="24">
        <v>11608.53349286764</v>
      </c>
      <c r="C29" s="21">
        <v>676.51206765924985</v>
      </c>
      <c r="D29" s="21">
        <v>2211.2195748600147</v>
      </c>
      <c r="E29" s="21">
        <v>0</v>
      </c>
      <c r="F29" s="21">
        <v>8642.5155193751361</v>
      </c>
      <c r="G29" s="21">
        <v>78.286330973668115</v>
      </c>
      <c r="H29" s="21">
        <v>0</v>
      </c>
    </row>
    <row r="30" spans="1:8" x14ac:dyDescent="0.2">
      <c r="A30" s="14" t="s">
        <v>25</v>
      </c>
      <c r="B30" s="20">
        <v>2307.2311128465749</v>
      </c>
      <c r="C30" s="25">
        <v>23.633609350541349</v>
      </c>
      <c r="D30" s="25">
        <v>42.835916947856177</v>
      </c>
      <c r="E30" s="25">
        <v>0</v>
      </c>
      <c r="F30" s="25">
        <v>2236.3302847949612</v>
      </c>
      <c r="G30" s="25">
        <v>4.4313017532265029</v>
      </c>
      <c r="H30" s="25">
        <v>0</v>
      </c>
    </row>
    <row r="31" spans="1:8" x14ac:dyDescent="0.2">
      <c r="A31" s="963" t="s">
        <v>25</v>
      </c>
      <c r="B31" s="24">
        <v>2307.2311128465749</v>
      </c>
      <c r="C31" s="21">
        <v>23.633609350541349</v>
      </c>
      <c r="D31" s="21">
        <v>42.835916947856177</v>
      </c>
      <c r="E31" s="21">
        <v>0</v>
      </c>
      <c r="F31" s="21">
        <v>2236.3302847949612</v>
      </c>
      <c r="G31" s="21">
        <v>4.4313017532265029</v>
      </c>
      <c r="H31" s="21">
        <v>0</v>
      </c>
    </row>
    <row r="32" spans="1:8" x14ac:dyDescent="0.2">
      <c r="A32" s="14" t="s">
        <v>26</v>
      </c>
      <c r="B32" s="20">
        <v>1209.7453786308429</v>
      </c>
      <c r="C32" s="25">
        <v>47.267218701082669</v>
      </c>
      <c r="D32" s="25">
        <v>98.965739155391745</v>
      </c>
      <c r="E32" s="25">
        <v>0</v>
      </c>
      <c r="F32" s="25">
        <v>1060.5582196055495</v>
      </c>
      <c r="G32" s="25">
        <v>2.9542011688176686</v>
      </c>
      <c r="H32" s="25">
        <v>0</v>
      </c>
    </row>
    <row r="33" spans="1:8" x14ac:dyDescent="0.2">
      <c r="A33" s="963" t="s">
        <v>26</v>
      </c>
      <c r="B33" s="24">
        <v>1209.7453786308429</v>
      </c>
      <c r="C33" s="21">
        <v>47.267218701082669</v>
      </c>
      <c r="D33" s="21">
        <v>98.965739155391745</v>
      </c>
      <c r="E33" s="21">
        <v>0</v>
      </c>
      <c r="F33" s="21">
        <v>1060.5582196055495</v>
      </c>
      <c r="G33" s="21">
        <v>2.9542011688176686</v>
      </c>
      <c r="H33" s="21">
        <v>0</v>
      </c>
    </row>
    <row r="34" spans="1:8" x14ac:dyDescent="0.2">
      <c r="A34" s="14" t="s">
        <v>27</v>
      </c>
      <c r="B34" s="20">
        <v>5655.8181377009114</v>
      </c>
      <c r="C34" s="25">
        <v>217.13378590809907</v>
      </c>
      <c r="D34" s="25">
        <v>376.66064902425433</v>
      </c>
      <c r="E34" s="25">
        <v>1.4771005844088343</v>
      </c>
      <c r="F34" s="25">
        <v>4995.5541764702593</v>
      </c>
      <c r="G34" s="25">
        <v>63.515325129579807</v>
      </c>
      <c r="H34" s="25">
        <v>1.4771005844088343</v>
      </c>
    </row>
    <row r="35" spans="1:8" x14ac:dyDescent="0.2">
      <c r="A35" s="963" t="s">
        <v>27</v>
      </c>
      <c r="B35" s="24">
        <v>5655.8181377009114</v>
      </c>
      <c r="C35" s="21">
        <v>217.13378590809907</v>
      </c>
      <c r="D35" s="21">
        <v>376.66064902425433</v>
      </c>
      <c r="E35" s="21">
        <v>1.4771005844088343</v>
      </c>
      <c r="F35" s="21">
        <v>4995.5541764702593</v>
      </c>
      <c r="G35" s="21">
        <v>63.515325129579807</v>
      </c>
      <c r="H35" s="21">
        <v>1.4771005844088343</v>
      </c>
    </row>
    <row r="36" spans="1:8" x14ac:dyDescent="0.2">
      <c r="A36" s="14" t="s">
        <v>28</v>
      </c>
      <c r="B36" s="20">
        <v>12239.25544241012</v>
      </c>
      <c r="C36" s="25">
        <v>614.47384311407836</v>
      </c>
      <c r="D36" s="25">
        <v>927.61916700875349</v>
      </c>
      <c r="E36" s="25">
        <v>0</v>
      </c>
      <c r="F36" s="25">
        <v>10474.120244041822</v>
      </c>
      <c r="G36" s="25">
        <v>223.04218824573445</v>
      </c>
      <c r="H36" s="25">
        <v>0</v>
      </c>
    </row>
    <row r="37" spans="1:8" x14ac:dyDescent="0.2">
      <c r="A37" s="963" t="s">
        <v>28</v>
      </c>
      <c r="B37" s="24">
        <v>12239.25544241012</v>
      </c>
      <c r="C37" s="21">
        <v>614.47384311407836</v>
      </c>
      <c r="D37" s="21">
        <v>927.61916700875349</v>
      </c>
      <c r="E37" s="21">
        <v>0</v>
      </c>
      <c r="F37" s="21">
        <v>10474.120244041822</v>
      </c>
      <c r="G37" s="21">
        <v>223.04218824573445</v>
      </c>
      <c r="H37" s="21">
        <v>0</v>
      </c>
    </row>
    <row r="38" spans="1:8" x14ac:dyDescent="0.2">
      <c r="A38" s="14" t="s">
        <v>29</v>
      </c>
      <c r="B38" s="20">
        <v>33472.576343284003</v>
      </c>
      <c r="C38" s="25">
        <v>1672.0778615508113</v>
      </c>
      <c r="D38" s="25">
        <v>5660.2494394541372</v>
      </c>
      <c r="E38" s="25">
        <v>0</v>
      </c>
      <c r="F38" s="25">
        <v>24663.148457871004</v>
      </c>
      <c r="G38" s="25">
        <v>1474.1463832400261</v>
      </c>
      <c r="H38" s="25">
        <v>2.9542011688176686</v>
      </c>
    </row>
    <row r="39" spans="1:8" x14ac:dyDescent="0.2">
      <c r="A39" s="963" t="s">
        <v>30</v>
      </c>
      <c r="B39" s="24">
        <v>21082.656641264515</v>
      </c>
      <c r="C39" s="21">
        <v>864.10384187917316</v>
      </c>
      <c r="D39" s="21">
        <v>3601.1712247885239</v>
      </c>
      <c r="E39" s="21">
        <v>0</v>
      </c>
      <c r="F39" s="21">
        <v>15463.766018174132</v>
      </c>
      <c r="G39" s="21">
        <v>1150.6613552544891</v>
      </c>
      <c r="H39" s="21">
        <v>2.9542011688176686</v>
      </c>
    </row>
    <row r="40" spans="1:8" x14ac:dyDescent="0.2">
      <c r="A40" s="963" t="s">
        <v>29</v>
      </c>
      <c r="B40" s="24">
        <v>12389.919702019799</v>
      </c>
      <c r="C40" s="21">
        <v>807.97401967163705</v>
      </c>
      <c r="D40" s="21">
        <v>2059.0782146659271</v>
      </c>
      <c r="E40" s="21">
        <v>0</v>
      </c>
      <c r="F40" s="21">
        <v>9199.382439697185</v>
      </c>
      <c r="G40" s="21">
        <v>323.48502798553591</v>
      </c>
      <c r="H40" s="21">
        <v>0</v>
      </c>
    </row>
    <row r="41" spans="1:8" x14ac:dyDescent="0.2">
      <c r="A41" s="16" t="s">
        <v>31</v>
      </c>
      <c r="B41" s="28">
        <v>11784.308462412266</v>
      </c>
      <c r="C41" s="25">
        <v>546.5272162312715</v>
      </c>
      <c r="D41" s="25">
        <v>2756.2696905067946</v>
      </c>
      <c r="E41" s="25">
        <v>1.4771005844088343</v>
      </c>
      <c r="F41" s="25">
        <v>7549.4610869127591</v>
      </c>
      <c r="G41" s="25">
        <v>927.61916700875349</v>
      </c>
      <c r="H41" s="25">
        <v>2.9542011688176686</v>
      </c>
    </row>
    <row r="42" spans="1:8" ht="12.75" thickBot="1" x14ac:dyDescent="0.25">
      <c r="A42" s="962" t="s">
        <v>31</v>
      </c>
      <c r="B42" s="29">
        <v>11784.308462412266</v>
      </c>
      <c r="C42" s="30">
        <v>546.5272162312715</v>
      </c>
      <c r="D42" s="30">
        <v>2756.2696905067946</v>
      </c>
      <c r="E42" s="30">
        <v>1.4771005844088343</v>
      </c>
      <c r="F42" s="30">
        <v>7549.4610869127591</v>
      </c>
      <c r="G42" s="30">
        <v>927.61916700875349</v>
      </c>
      <c r="H42" s="30">
        <v>2.9542011688176686</v>
      </c>
    </row>
    <row r="43" spans="1:8" x14ac:dyDescent="0.2">
      <c r="A43" s="917"/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J42"/>
  <sheetViews>
    <sheetView workbookViewId="0">
      <selection activeCell="A42" activeCellId="14" sqref="J19 A11:A12 A14:A15 A17 A19 A21:A22 A24 A26 A28:A29 A31 A33 A35 A37 A39:A40 A42"/>
    </sheetView>
  </sheetViews>
  <sheetFormatPr defaultRowHeight="12" x14ac:dyDescent="0.2"/>
  <cols>
    <col min="1" max="1" width="16.140625" style="575" customWidth="1"/>
    <col min="2" max="2" width="14.5703125" style="575" customWidth="1"/>
    <col min="3" max="3" width="13.85546875" style="575" customWidth="1"/>
    <col min="4" max="4" width="13.5703125" style="575" customWidth="1"/>
    <col min="5" max="5" width="16.5703125" style="575" customWidth="1"/>
    <col min="6" max="16384" width="9.140625" style="575"/>
  </cols>
  <sheetData>
    <row r="1" spans="1:5" ht="29.25" customHeight="1" thickBot="1" x14ac:dyDescent="0.25">
      <c r="A1" s="896" t="s">
        <v>576</v>
      </c>
      <c r="B1" s="896"/>
      <c r="C1" s="896"/>
      <c r="D1" s="896"/>
      <c r="E1" s="896"/>
    </row>
    <row r="2" spans="1:5" ht="15" customHeight="1" x14ac:dyDescent="0.2">
      <c r="A2" s="907" t="str">
        <f>'Q9.14'!$A$2</f>
        <v>Área de residência, município e comuna</v>
      </c>
      <c r="B2" s="897" t="s">
        <v>54</v>
      </c>
      <c r="C2" s="893" t="s">
        <v>55</v>
      </c>
      <c r="D2" s="893"/>
      <c r="E2" s="893"/>
    </row>
    <row r="3" spans="1:5" ht="36" x14ac:dyDescent="0.2">
      <c r="A3" s="947"/>
      <c r="B3" s="898"/>
      <c r="C3" s="31" t="s">
        <v>56</v>
      </c>
      <c r="D3" s="31" t="s">
        <v>57</v>
      </c>
      <c r="E3" s="31" t="s">
        <v>58</v>
      </c>
    </row>
    <row r="4" spans="1:5" x14ac:dyDescent="0.2">
      <c r="A4" s="7" t="s">
        <v>32</v>
      </c>
      <c r="B4" s="261">
        <v>260570.8827950471</v>
      </c>
      <c r="C4" s="262">
        <v>258994.81647146758</v>
      </c>
      <c r="D4" s="262">
        <v>1478.5776849932527</v>
      </c>
      <c r="E4" s="262">
        <v>97.488638570982914</v>
      </c>
    </row>
    <row r="5" spans="1:5" x14ac:dyDescent="0.2">
      <c r="A5" s="8"/>
      <c r="B5" s="253"/>
      <c r="C5" s="263"/>
      <c r="D5" s="250"/>
      <c r="E5" s="250"/>
    </row>
    <row r="6" spans="1:5" x14ac:dyDescent="0.2">
      <c r="A6" s="7" t="s">
        <v>41</v>
      </c>
      <c r="B6" s="254"/>
      <c r="C6" s="255"/>
      <c r="D6" s="251"/>
      <c r="E6" s="251"/>
    </row>
    <row r="7" spans="1:5" x14ac:dyDescent="0.2">
      <c r="A7" s="32" t="s">
        <v>42</v>
      </c>
      <c r="B7" s="257">
        <v>73979.105669521494</v>
      </c>
      <c r="C7" s="258">
        <v>73024.898691993556</v>
      </c>
      <c r="D7" s="257">
        <v>930.57336817757118</v>
      </c>
      <c r="E7" s="258">
        <v>23.633609350541349</v>
      </c>
    </row>
    <row r="8" spans="1:5" x14ac:dyDescent="0.2">
      <c r="A8" s="32" t="s">
        <v>9</v>
      </c>
      <c r="B8" s="257">
        <v>186591.77712479708</v>
      </c>
      <c r="C8" s="258">
        <v>185969.91777875493</v>
      </c>
      <c r="D8" s="257">
        <v>548.00431681568034</v>
      </c>
      <c r="E8" s="258">
        <v>73.855029220441622</v>
      </c>
    </row>
    <row r="9" spans="1:5" x14ac:dyDescent="0.2">
      <c r="A9" s="33" t="s">
        <v>43</v>
      </c>
      <c r="B9" s="254"/>
      <c r="C9" s="255"/>
      <c r="D9" s="251"/>
      <c r="E9" s="251"/>
    </row>
    <row r="10" spans="1:5" x14ac:dyDescent="0.2">
      <c r="A10" s="617" t="s">
        <v>11</v>
      </c>
      <c r="B10" s="257">
        <v>34025.011961852826</v>
      </c>
      <c r="C10" s="258">
        <v>33914.22941802218</v>
      </c>
      <c r="D10" s="252">
        <v>97.488638570982914</v>
      </c>
      <c r="E10" s="252">
        <v>13.293905259679509</v>
      </c>
    </row>
    <row r="11" spans="1:5" x14ac:dyDescent="0.2">
      <c r="A11" s="965" t="s">
        <v>12</v>
      </c>
      <c r="B11" s="253">
        <v>21954.1459860656</v>
      </c>
      <c r="C11" s="256">
        <v>21859.611548663448</v>
      </c>
      <c r="D11" s="249">
        <v>84.194733311303438</v>
      </c>
      <c r="E11" s="249">
        <v>10.33970409086184</v>
      </c>
    </row>
    <row r="12" spans="1:5" x14ac:dyDescent="0.2">
      <c r="A12" s="965" t="s">
        <v>13</v>
      </c>
      <c r="B12" s="257">
        <v>12070.865975787538</v>
      </c>
      <c r="C12" s="257">
        <v>12054.617869359043</v>
      </c>
      <c r="D12" s="257">
        <v>13.293905259679509</v>
      </c>
      <c r="E12" s="257">
        <v>2.9542011688176686</v>
      </c>
    </row>
    <row r="13" spans="1:5" x14ac:dyDescent="0.2">
      <c r="A13" s="617" t="s">
        <v>44</v>
      </c>
      <c r="B13" s="253">
        <v>72558.134907320433</v>
      </c>
      <c r="C13" s="253">
        <v>71928.890058362362</v>
      </c>
      <c r="D13" s="253">
        <v>602.6570384388076</v>
      </c>
      <c r="E13" s="253">
        <v>26.587810519359017</v>
      </c>
    </row>
    <row r="14" spans="1:5" x14ac:dyDescent="0.2">
      <c r="A14" s="965" t="s">
        <v>15</v>
      </c>
      <c r="B14" s="253">
        <v>61296.720051789132</v>
      </c>
      <c r="C14" s="253">
        <v>60674.860705753104</v>
      </c>
      <c r="D14" s="253">
        <v>595.27153551676338</v>
      </c>
      <c r="E14" s="253">
        <v>26.587810519359017</v>
      </c>
    </row>
    <row r="15" spans="1:5" x14ac:dyDescent="0.2">
      <c r="A15" s="965" t="s">
        <v>16</v>
      </c>
      <c r="B15" s="257">
        <v>11261.414855531615</v>
      </c>
      <c r="C15" s="257">
        <v>11254.029352609572</v>
      </c>
      <c r="D15" s="257">
        <v>7.3855029220441715</v>
      </c>
      <c r="E15" s="257">
        <v>0</v>
      </c>
    </row>
    <row r="16" spans="1:5" x14ac:dyDescent="0.2">
      <c r="A16" s="617" t="s">
        <v>17</v>
      </c>
      <c r="B16" s="253">
        <v>6308.6965960095204</v>
      </c>
      <c r="C16" s="253">
        <v>6280.6316849057566</v>
      </c>
      <c r="D16" s="253">
        <v>25.110709934950183</v>
      </c>
      <c r="E16" s="253">
        <v>2.9542011688176686</v>
      </c>
    </row>
    <row r="17" spans="1:10" x14ac:dyDescent="0.2">
      <c r="A17" s="965" t="s">
        <v>17</v>
      </c>
      <c r="B17" s="257">
        <v>6308.6965960095204</v>
      </c>
      <c r="C17" s="257">
        <v>6280.6316849057566</v>
      </c>
      <c r="D17" s="257">
        <v>25.110709934950183</v>
      </c>
      <c r="E17" s="257">
        <v>2.9542011688176686</v>
      </c>
    </row>
    <row r="18" spans="1:10" x14ac:dyDescent="0.2">
      <c r="A18" s="617" t="s">
        <v>18</v>
      </c>
      <c r="B18" s="214">
        <v>5391.4171330917688</v>
      </c>
      <c r="C18" s="214">
        <v>5373.6919260788654</v>
      </c>
      <c r="D18" s="214">
        <v>7.3855029220441715</v>
      </c>
      <c r="E18" s="214">
        <v>10.33970409086184</v>
      </c>
    </row>
    <row r="19" spans="1:10" x14ac:dyDescent="0.2">
      <c r="A19" s="965" t="s">
        <v>18</v>
      </c>
      <c r="B19" s="618">
        <v>5391.4171330917688</v>
      </c>
      <c r="C19" s="618">
        <v>5373.6919260788654</v>
      </c>
      <c r="D19" s="618">
        <v>7.3855029220441715</v>
      </c>
      <c r="E19" s="618">
        <v>10.33970409086184</v>
      </c>
      <c r="J19" s="917"/>
    </row>
    <row r="20" spans="1:10" x14ac:dyDescent="0.2">
      <c r="A20" s="617" t="s">
        <v>19</v>
      </c>
      <c r="B20" s="214">
        <v>21064.931434251612</v>
      </c>
      <c r="C20" s="214">
        <v>20883.248062369352</v>
      </c>
      <c r="D20" s="214">
        <v>172.82076837583372</v>
      </c>
      <c r="E20" s="214">
        <v>8.8626035064530058</v>
      </c>
    </row>
    <row r="21" spans="1:10" x14ac:dyDescent="0.2">
      <c r="A21" s="965" t="s">
        <v>19</v>
      </c>
      <c r="B21" s="214">
        <v>12688.29402007034</v>
      </c>
      <c r="C21" s="214">
        <v>12519.904553447757</v>
      </c>
      <c r="D21" s="214">
        <v>165.4352654537895</v>
      </c>
      <c r="E21" s="214">
        <v>2.9542011688176686</v>
      </c>
    </row>
    <row r="22" spans="1:10" x14ac:dyDescent="0.2">
      <c r="A22" s="965" t="s">
        <v>20</v>
      </c>
      <c r="B22" s="618">
        <v>8376.637414181585</v>
      </c>
      <c r="C22" s="618">
        <v>8363.3435089219074</v>
      </c>
      <c r="D22" s="618">
        <v>7.3855029220441715</v>
      </c>
      <c r="E22" s="618">
        <v>5.9084023376353372</v>
      </c>
    </row>
    <row r="23" spans="1:10" x14ac:dyDescent="0.2">
      <c r="A23" s="617" t="s">
        <v>21</v>
      </c>
      <c r="B23" s="214">
        <v>11732.609941957964</v>
      </c>
      <c r="C23" s="214">
        <v>11675.003019166028</v>
      </c>
      <c r="D23" s="214">
        <v>53.175621038717992</v>
      </c>
      <c r="E23" s="214">
        <v>4.4313017532265029</v>
      </c>
    </row>
    <row r="24" spans="1:10" x14ac:dyDescent="0.2">
      <c r="A24" s="965" t="s">
        <v>21</v>
      </c>
      <c r="B24" s="618">
        <v>11732.609941957964</v>
      </c>
      <c r="C24" s="618">
        <v>11675.003019166028</v>
      </c>
      <c r="D24" s="618">
        <v>53.175621038717992</v>
      </c>
      <c r="E24" s="618">
        <v>4.4313017532265029</v>
      </c>
    </row>
    <row r="25" spans="1:10" x14ac:dyDescent="0.2">
      <c r="A25" s="617" t="s">
        <v>22</v>
      </c>
      <c r="B25" s="214">
        <v>19626.235465037618</v>
      </c>
      <c r="C25" s="214">
        <v>19360.357359844067</v>
      </c>
      <c r="D25" s="214">
        <v>259.96970285595557</v>
      </c>
      <c r="E25" s="214">
        <v>5.9084023376353372</v>
      </c>
    </row>
    <row r="26" spans="1:10" x14ac:dyDescent="0.2">
      <c r="A26" s="965" t="s">
        <v>22</v>
      </c>
      <c r="B26" s="618">
        <v>19626.235465037618</v>
      </c>
      <c r="C26" s="618">
        <v>19360.357359844067</v>
      </c>
      <c r="D26" s="618">
        <v>259.96970285595557</v>
      </c>
      <c r="E26" s="618">
        <v>5.9084023376353372</v>
      </c>
    </row>
    <row r="27" spans="1:10" x14ac:dyDescent="0.2">
      <c r="A27" s="617" t="s">
        <v>23</v>
      </c>
      <c r="B27" s="214">
        <v>23194.910476968838</v>
      </c>
      <c r="C27" s="214">
        <v>23138.780654761311</v>
      </c>
      <c r="D27" s="214">
        <v>50.22141986990033</v>
      </c>
      <c r="E27" s="214">
        <v>5.9084023376353372</v>
      </c>
    </row>
    <row r="28" spans="1:10" x14ac:dyDescent="0.2">
      <c r="A28" s="965" t="s">
        <v>23</v>
      </c>
      <c r="B28" s="214">
        <v>11586.376984101511</v>
      </c>
      <c r="C28" s="214">
        <v>11567.174676504199</v>
      </c>
      <c r="D28" s="214">
        <v>14.771005844088343</v>
      </c>
      <c r="E28" s="214">
        <v>4.4313017532265029</v>
      </c>
    </row>
    <row r="29" spans="1:10" x14ac:dyDescent="0.2">
      <c r="A29" s="965" t="s">
        <v>24</v>
      </c>
      <c r="B29" s="618">
        <v>11608.53349286764</v>
      </c>
      <c r="C29" s="618">
        <v>11571.605978257425</v>
      </c>
      <c r="D29" s="618">
        <v>35.450414025812023</v>
      </c>
      <c r="E29" s="618">
        <v>1.4771005844088343</v>
      </c>
    </row>
    <row r="30" spans="1:10" x14ac:dyDescent="0.2">
      <c r="A30" s="617" t="s">
        <v>25</v>
      </c>
      <c r="B30" s="214">
        <v>2307.2311128465749</v>
      </c>
      <c r="C30" s="214">
        <v>2302.799811093349</v>
      </c>
      <c r="D30" s="214">
        <v>4.4313017532265029</v>
      </c>
      <c r="E30" s="643">
        <v>0</v>
      </c>
    </row>
    <row r="31" spans="1:10" x14ac:dyDescent="0.2">
      <c r="A31" s="965" t="s">
        <v>25</v>
      </c>
      <c r="B31" s="618">
        <v>2307.2311128465749</v>
      </c>
      <c r="C31" s="618">
        <v>2302.799811093349</v>
      </c>
      <c r="D31" s="618">
        <v>4.4313017532265029</v>
      </c>
      <c r="E31" s="644">
        <v>0</v>
      </c>
    </row>
    <row r="32" spans="1:10" x14ac:dyDescent="0.2">
      <c r="A32" s="617" t="s">
        <v>26</v>
      </c>
      <c r="B32" s="214">
        <v>1209.7453786308429</v>
      </c>
      <c r="C32" s="214">
        <v>1196.4514733711633</v>
      </c>
      <c r="D32" s="214">
        <v>13.293905259679509</v>
      </c>
      <c r="E32" s="643">
        <v>0</v>
      </c>
    </row>
    <row r="33" spans="1:5" x14ac:dyDescent="0.2">
      <c r="A33" s="966" t="s">
        <v>26</v>
      </c>
      <c r="B33" s="618">
        <v>1209.7453786308429</v>
      </c>
      <c r="C33" s="618">
        <v>1196.4514733711633</v>
      </c>
      <c r="D33" s="618">
        <v>13.293905259679509</v>
      </c>
      <c r="E33" s="644">
        <v>0</v>
      </c>
    </row>
    <row r="34" spans="1:5" x14ac:dyDescent="0.2">
      <c r="A34" s="35" t="s">
        <v>27</v>
      </c>
      <c r="B34" s="214">
        <v>5655.8181377009114</v>
      </c>
      <c r="C34" s="214">
        <v>5646.9555341944597</v>
      </c>
      <c r="D34" s="214">
        <v>8.8626035064530058</v>
      </c>
      <c r="E34" s="643">
        <v>0</v>
      </c>
    </row>
    <row r="35" spans="1:5" x14ac:dyDescent="0.2">
      <c r="A35" s="967" t="s">
        <v>27</v>
      </c>
      <c r="B35" s="618">
        <v>5655.8181377009114</v>
      </c>
      <c r="C35" s="618">
        <v>5646.9555341944597</v>
      </c>
      <c r="D35" s="618">
        <v>8.8626035064530058</v>
      </c>
      <c r="E35" s="644">
        <v>0</v>
      </c>
    </row>
    <row r="36" spans="1:5" x14ac:dyDescent="0.2">
      <c r="A36" s="36" t="s">
        <v>28</v>
      </c>
      <c r="B36" s="214">
        <v>12239.25544241012</v>
      </c>
      <c r="C36" s="214">
        <v>12227.438637734851</v>
      </c>
      <c r="D36" s="214">
        <v>11.816804675270674</v>
      </c>
      <c r="E36" s="643">
        <v>0</v>
      </c>
    </row>
    <row r="37" spans="1:5" x14ac:dyDescent="0.2">
      <c r="A37" s="967" t="s">
        <v>28</v>
      </c>
      <c r="B37" s="618">
        <v>12239.25544241012</v>
      </c>
      <c r="C37" s="618">
        <v>12227.438637734851</v>
      </c>
      <c r="D37" s="618">
        <v>11.816804675270674</v>
      </c>
      <c r="E37" s="644">
        <v>0</v>
      </c>
    </row>
    <row r="38" spans="1:5" x14ac:dyDescent="0.2">
      <c r="A38" s="36" t="s">
        <v>29</v>
      </c>
      <c r="B38" s="214">
        <v>33472.576343284003</v>
      </c>
      <c r="C38" s="214">
        <v>33366.225101206583</v>
      </c>
      <c r="D38" s="214">
        <v>96.011537986574083</v>
      </c>
      <c r="E38" s="214">
        <v>10.33970409086184</v>
      </c>
    </row>
    <row r="39" spans="1:5" x14ac:dyDescent="0.2">
      <c r="A39" s="967" t="s">
        <v>30</v>
      </c>
      <c r="B39" s="214">
        <v>21082.656641264515</v>
      </c>
      <c r="C39" s="214">
        <v>20996.984807368815</v>
      </c>
      <c r="D39" s="214">
        <v>78.286330973668115</v>
      </c>
      <c r="E39" s="214">
        <v>7.3855029220441715</v>
      </c>
    </row>
    <row r="40" spans="1:5" x14ac:dyDescent="0.2">
      <c r="A40" s="967" t="s">
        <v>29</v>
      </c>
      <c r="B40" s="618">
        <v>12389.919702019799</v>
      </c>
      <c r="C40" s="618">
        <v>12369.240293838078</v>
      </c>
      <c r="D40" s="618">
        <v>17.725207012906012</v>
      </c>
      <c r="E40" s="618">
        <v>2.9542011688176686</v>
      </c>
    </row>
    <row r="41" spans="1:5" x14ac:dyDescent="0.2">
      <c r="A41" s="36" t="s">
        <v>31</v>
      </c>
      <c r="B41" s="214">
        <v>11784.308462412266</v>
      </c>
      <c r="C41" s="214">
        <v>11700.113729100975</v>
      </c>
      <c r="D41" s="214">
        <v>75.332129804850453</v>
      </c>
      <c r="E41" s="214">
        <v>8.8626035064530058</v>
      </c>
    </row>
    <row r="42" spans="1:5" ht="12.75" thickBot="1" x14ac:dyDescent="0.25">
      <c r="A42" s="968" t="s">
        <v>31</v>
      </c>
      <c r="B42" s="610">
        <v>11784.308462412266</v>
      </c>
      <c r="C42" s="610">
        <v>11700.113729100975</v>
      </c>
      <c r="D42" s="610">
        <v>75.332129804850453</v>
      </c>
      <c r="E42" s="610">
        <v>8.8626035064530058</v>
      </c>
    </row>
  </sheetData>
  <mergeCells count="4">
    <mergeCell ref="A1:E1"/>
    <mergeCell ref="A2:A3"/>
    <mergeCell ref="B2:B3"/>
    <mergeCell ref="C2:E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J42"/>
  <sheetViews>
    <sheetView workbookViewId="0">
      <selection activeCell="M28" sqref="M28"/>
    </sheetView>
  </sheetViews>
  <sheetFormatPr defaultRowHeight="12" x14ac:dyDescent="0.2"/>
  <cols>
    <col min="1" max="1" width="18.42578125" style="559" customWidth="1"/>
    <col min="2" max="2" width="12" style="559" bestFit="1" customWidth="1"/>
    <col min="3" max="3" width="9.28515625" style="559" bestFit="1" customWidth="1"/>
    <col min="4" max="4" width="11.140625" style="559" bestFit="1" customWidth="1"/>
    <col min="5" max="5" width="9.28515625" style="559" bestFit="1" customWidth="1"/>
    <col min="6" max="6" width="10.28515625" style="559" bestFit="1" customWidth="1"/>
    <col min="7" max="7" width="9.28515625" style="559" bestFit="1" customWidth="1"/>
    <col min="8" max="8" width="10.28515625" style="559" bestFit="1" customWidth="1"/>
    <col min="9" max="9" width="11.85546875" style="559" bestFit="1" customWidth="1"/>
    <col min="10" max="10" width="11" style="559" bestFit="1" customWidth="1"/>
    <col min="11" max="16384" width="9.140625" style="559"/>
  </cols>
  <sheetData>
    <row r="1" spans="1:10" ht="27" customHeight="1" thickBot="1" x14ac:dyDescent="0.25">
      <c r="A1" s="899" t="s">
        <v>577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2" customHeight="1" x14ac:dyDescent="0.2">
      <c r="A2" s="907" t="str">
        <f>'Q9.14'!$A$2</f>
        <v>Área de residência, município e comuna</v>
      </c>
      <c r="B2" s="900" t="s">
        <v>54</v>
      </c>
      <c r="C2" s="902" t="s">
        <v>59</v>
      </c>
      <c r="D2" s="902"/>
      <c r="E2" s="902"/>
      <c r="F2" s="902"/>
      <c r="G2" s="902"/>
      <c r="H2" s="902"/>
      <c r="I2" s="902"/>
      <c r="J2" s="902"/>
    </row>
    <row r="3" spans="1:10" x14ac:dyDescent="0.2">
      <c r="A3" s="947"/>
      <c r="B3" s="901"/>
      <c r="C3" s="237" t="s">
        <v>60</v>
      </c>
      <c r="D3" s="237" t="s">
        <v>61</v>
      </c>
      <c r="E3" s="237" t="s">
        <v>62</v>
      </c>
      <c r="F3" s="237" t="s">
        <v>63</v>
      </c>
      <c r="G3" s="237" t="s">
        <v>64</v>
      </c>
      <c r="H3" s="237" t="s">
        <v>65</v>
      </c>
      <c r="I3" s="237" t="s">
        <v>66</v>
      </c>
      <c r="J3" s="237" t="s">
        <v>53</v>
      </c>
    </row>
    <row r="4" spans="1:10" x14ac:dyDescent="0.2">
      <c r="A4" s="238" t="s">
        <v>32</v>
      </c>
      <c r="B4" s="645">
        <v>260570.8827950471</v>
      </c>
      <c r="C4" s="260">
        <v>593.79443493235453</v>
      </c>
      <c r="D4" s="260">
        <v>73345.429518810226</v>
      </c>
      <c r="E4" s="260">
        <v>618.9051448673049</v>
      </c>
      <c r="F4" s="260">
        <v>4434.2559543949847</v>
      </c>
      <c r="G4" s="260">
        <v>392.90875545275162</v>
      </c>
      <c r="H4" s="260">
        <v>11638.075504555813</v>
      </c>
      <c r="I4" s="260">
        <v>142600.76751950625</v>
      </c>
      <c r="J4" s="260">
        <v>26946.745961366727</v>
      </c>
    </row>
    <row r="5" spans="1:10" x14ac:dyDescent="0.2">
      <c r="A5" s="239"/>
      <c r="B5" s="646"/>
      <c r="C5" s="647"/>
      <c r="D5" s="647"/>
      <c r="E5" s="647"/>
      <c r="F5" s="647"/>
      <c r="G5" s="647"/>
      <c r="H5" s="647"/>
      <c r="I5" s="647"/>
      <c r="J5" s="647"/>
    </row>
    <row r="6" spans="1:10" x14ac:dyDescent="0.2">
      <c r="A6" s="240" t="s">
        <v>41</v>
      </c>
      <c r="B6" s="648"/>
      <c r="C6" s="649"/>
      <c r="D6" s="649"/>
      <c r="E6" s="649"/>
      <c r="F6" s="649"/>
      <c r="G6" s="649"/>
      <c r="H6" s="649"/>
      <c r="I6" s="649"/>
      <c r="J6" s="649"/>
    </row>
    <row r="7" spans="1:10" x14ac:dyDescent="0.2">
      <c r="A7" s="241" t="s">
        <v>42</v>
      </c>
      <c r="B7" s="646">
        <v>73979.105669521523</v>
      </c>
      <c r="C7" s="647">
        <v>426.88206889415505</v>
      </c>
      <c r="D7" s="647">
        <v>54376.503813834759</v>
      </c>
      <c r="E7" s="647">
        <v>457.9011811667408</v>
      </c>
      <c r="F7" s="647">
        <v>2279.1662017428112</v>
      </c>
      <c r="G7" s="647">
        <v>240.76739525864059</v>
      </c>
      <c r="H7" s="647">
        <v>7519.9190752245868</v>
      </c>
      <c r="I7" s="647">
        <v>3028.0561980379803</v>
      </c>
      <c r="J7" s="647">
        <v>5649.9097353632769</v>
      </c>
    </row>
    <row r="8" spans="1:10" x14ac:dyDescent="0.2">
      <c r="A8" s="241" t="s">
        <v>9</v>
      </c>
      <c r="B8" s="646">
        <v>186591.77712479708</v>
      </c>
      <c r="C8" s="647">
        <v>166.91236603819834</v>
      </c>
      <c r="D8" s="647">
        <v>18968.925704975783</v>
      </c>
      <c r="E8" s="647">
        <v>161.00396370056296</v>
      </c>
      <c r="F8" s="647">
        <v>2155.0897526524873</v>
      </c>
      <c r="G8" s="647">
        <v>152.14136019410989</v>
      </c>
      <c r="H8" s="647">
        <v>4118.1564293315405</v>
      </c>
      <c r="I8" s="647">
        <v>139572.71132143875</v>
      </c>
      <c r="J8" s="647">
        <v>21296.836226003765</v>
      </c>
    </row>
    <row r="9" spans="1:10" x14ac:dyDescent="0.2">
      <c r="A9" s="240" t="s">
        <v>43</v>
      </c>
      <c r="B9" s="649"/>
      <c r="C9" s="649"/>
      <c r="D9" s="649"/>
      <c r="E9" s="649"/>
      <c r="F9" s="649"/>
      <c r="G9" s="649"/>
      <c r="H9" s="649"/>
      <c r="I9" s="649"/>
      <c r="J9" s="649"/>
    </row>
    <row r="10" spans="1:10" x14ac:dyDescent="0.2">
      <c r="A10" s="234" t="s">
        <v>11</v>
      </c>
      <c r="B10" s="646">
        <v>34025.011961852826</v>
      </c>
      <c r="C10" s="972">
        <v>57.606922791944484</v>
      </c>
      <c r="D10" s="972">
        <v>8932.0272339192252</v>
      </c>
      <c r="E10" s="972">
        <v>96.011537986574083</v>
      </c>
      <c r="F10" s="972">
        <v>943.86727343725079</v>
      </c>
      <c r="G10" s="972">
        <v>5.9084023376353372</v>
      </c>
      <c r="H10" s="972">
        <v>1664.6923586287671</v>
      </c>
      <c r="I10" s="972">
        <v>17308.664648100497</v>
      </c>
      <c r="J10" s="646">
        <v>5016.23358465198</v>
      </c>
    </row>
    <row r="11" spans="1:10" x14ac:dyDescent="0.2">
      <c r="A11" s="624" t="s">
        <v>12</v>
      </c>
      <c r="B11" s="647">
        <v>21954.1459860656</v>
      </c>
      <c r="C11" s="973">
        <v>41.358816363447346</v>
      </c>
      <c r="D11" s="973">
        <v>8101.8967054815821</v>
      </c>
      <c r="E11" s="973">
        <v>94.534437402165253</v>
      </c>
      <c r="F11" s="973">
        <v>781.38620915227784</v>
      </c>
      <c r="G11" s="973">
        <v>4.4313017532265029</v>
      </c>
      <c r="H11" s="973">
        <v>1285.077508435694</v>
      </c>
      <c r="I11" s="973">
        <v>10038.37557164128</v>
      </c>
      <c r="J11" s="647">
        <v>1607.0854358368222</v>
      </c>
    </row>
    <row r="12" spans="1:10" x14ac:dyDescent="0.2">
      <c r="A12" s="624" t="s">
        <v>13</v>
      </c>
      <c r="B12" s="647">
        <v>12070.865975787538</v>
      </c>
      <c r="C12" s="973">
        <v>16.248106428497177</v>
      </c>
      <c r="D12" s="973">
        <v>830.13052843776973</v>
      </c>
      <c r="E12" s="973">
        <v>1.4771005844088343</v>
      </c>
      <c r="F12" s="973">
        <v>162.48106428497181</v>
      </c>
      <c r="G12" s="973">
        <v>1.4771005844088343</v>
      </c>
      <c r="H12" s="973">
        <v>379.61485019307202</v>
      </c>
      <c r="I12" s="973">
        <v>7270.2890764595304</v>
      </c>
      <c r="J12" s="647">
        <v>3409.1481488154036</v>
      </c>
    </row>
    <row r="13" spans="1:10" x14ac:dyDescent="0.2">
      <c r="A13" s="234" t="s">
        <v>44</v>
      </c>
      <c r="B13" s="646">
        <v>72558.134907320433</v>
      </c>
      <c r="C13" s="972">
        <v>295.42011688176785</v>
      </c>
      <c r="D13" s="972">
        <v>37559.713660342648</v>
      </c>
      <c r="E13" s="972">
        <v>277.69490986886171</v>
      </c>
      <c r="F13" s="972">
        <v>66.469526298397469</v>
      </c>
      <c r="G13" s="972">
        <v>240.76739525864059</v>
      </c>
      <c r="H13" s="972">
        <v>5775.4632850380094</v>
      </c>
      <c r="I13" s="972">
        <v>20222.9841011387</v>
      </c>
      <c r="J13" s="646">
        <v>8119.6219124944855</v>
      </c>
    </row>
    <row r="14" spans="1:10" x14ac:dyDescent="0.2">
      <c r="A14" s="624" t="s">
        <v>15</v>
      </c>
      <c r="B14" s="647">
        <v>61296.720051789132</v>
      </c>
      <c r="C14" s="973">
        <v>295.42011688176785</v>
      </c>
      <c r="D14" s="973">
        <v>36444.502719114142</v>
      </c>
      <c r="E14" s="973">
        <v>273.26360811563518</v>
      </c>
      <c r="F14" s="973">
        <v>64.992425713988638</v>
      </c>
      <c r="G14" s="973">
        <v>237.8131940898229</v>
      </c>
      <c r="H14" s="973">
        <v>5623.3219248439218</v>
      </c>
      <c r="I14" s="973">
        <v>11880.320000398826</v>
      </c>
      <c r="J14" s="647">
        <v>6477.0860626321028</v>
      </c>
    </row>
    <row r="15" spans="1:10" x14ac:dyDescent="0.2">
      <c r="A15" s="624" t="s">
        <v>16</v>
      </c>
      <c r="B15" s="647">
        <v>11261.414855531615</v>
      </c>
      <c r="C15" s="973">
        <v>0</v>
      </c>
      <c r="D15" s="973">
        <v>1115.2109412286768</v>
      </c>
      <c r="E15" s="973">
        <v>4.4313017532265029</v>
      </c>
      <c r="F15" s="973">
        <v>1.4771005844088343</v>
      </c>
      <c r="G15" s="973">
        <v>2.9542011688176686</v>
      </c>
      <c r="H15" s="973">
        <v>152.14136019410989</v>
      </c>
      <c r="I15" s="973">
        <v>8342.6641007401868</v>
      </c>
      <c r="J15" s="647">
        <v>1642.5358498626344</v>
      </c>
    </row>
    <row r="16" spans="1:10" x14ac:dyDescent="0.2">
      <c r="A16" s="234" t="s">
        <v>17</v>
      </c>
      <c r="B16" s="646">
        <v>6308.6965960095204</v>
      </c>
      <c r="C16" s="972">
        <v>0</v>
      </c>
      <c r="D16" s="972">
        <v>1066.4666219431849</v>
      </c>
      <c r="E16" s="972">
        <v>7.3855029220441715</v>
      </c>
      <c r="F16" s="972">
        <v>553.91271915331572</v>
      </c>
      <c r="G16" s="972">
        <v>2.9542011688176686</v>
      </c>
      <c r="H16" s="972">
        <v>41.358816363447346</v>
      </c>
      <c r="I16" s="972">
        <v>4363.355126343371</v>
      </c>
      <c r="J16" s="646">
        <v>273.26360811563518</v>
      </c>
    </row>
    <row r="17" spans="1:10" x14ac:dyDescent="0.2">
      <c r="A17" s="624" t="s">
        <v>17</v>
      </c>
      <c r="B17" s="647">
        <v>6308.6965960095204</v>
      </c>
      <c r="C17" s="973">
        <v>0</v>
      </c>
      <c r="D17" s="973">
        <v>1066.4666219431849</v>
      </c>
      <c r="E17" s="973">
        <v>7.3855029220441715</v>
      </c>
      <c r="F17" s="973">
        <v>553.91271915331572</v>
      </c>
      <c r="G17" s="973">
        <v>2.9542011688176686</v>
      </c>
      <c r="H17" s="973">
        <v>41.358816363447346</v>
      </c>
      <c r="I17" s="973">
        <v>4363.355126343371</v>
      </c>
      <c r="J17" s="647">
        <v>273.26360811563518</v>
      </c>
    </row>
    <row r="18" spans="1:10" x14ac:dyDescent="0.2">
      <c r="A18" s="234" t="s">
        <v>18</v>
      </c>
      <c r="B18" s="646">
        <v>5391.4171330917688</v>
      </c>
      <c r="C18" s="972">
        <v>16.248106428497177</v>
      </c>
      <c r="D18" s="972">
        <v>552.43561856890688</v>
      </c>
      <c r="E18" s="972">
        <v>8.8626035064530058</v>
      </c>
      <c r="F18" s="972">
        <v>132.93905259679491</v>
      </c>
      <c r="G18" s="972">
        <v>0</v>
      </c>
      <c r="H18" s="972">
        <v>50.22141986990033</v>
      </c>
      <c r="I18" s="972">
        <v>4261.4351860191764</v>
      </c>
      <c r="J18" s="646">
        <v>369.2751461022101</v>
      </c>
    </row>
    <row r="19" spans="1:10" x14ac:dyDescent="0.2">
      <c r="A19" s="624" t="s">
        <v>18</v>
      </c>
      <c r="B19" s="647">
        <v>5391.4171330917688</v>
      </c>
      <c r="C19" s="973">
        <v>16.248106428497177</v>
      </c>
      <c r="D19" s="973">
        <v>552.43561856890688</v>
      </c>
      <c r="E19" s="973">
        <v>8.8626035064530058</v>
      </c>
      <c r="F19" s="973">
        <v>132.93905259679491</v>
      </c>
      <c r="G19" s="973">
        <v>0</v>
      </c>
      <c r="H19" s="973">
        <v>50.22141986990033</v>
      </c>
      <c r="I19" s="973">
        <v>4261.4351860191764</v>
      </c>
      <c r="J19" s="647">
        <v>369.2751461022101</v>
      </c>
    </row>
    <row r="20" spans="1:10" x14ac:dyDescent="0.2">
      <c r="A20" s="234" t="s">
        <v>19</v>
      </c>
      <c r="B20" s="646">
        <v>21064.931434251612</v>
      </c>
      <c r="C20" s="972">
        <v>62.038224545170976</v>
      </c>
      <c r="D20" s="972">
        <v>3214.1708716734661</v>
      </c>
      <c r="E20" s="972">
        <v>116.69094616829771</v>
      </c>
      <c r="F20" s="972">
        <v>782.86330973668669</v>
      </c>
      <c r="G20" s="972">
        <v>0</v>
      </c>
      <c r="H20" s="972">
        <v>527.32490863395651</v>
      </c>
      <c r="I20" s="972">
        <v>15321.964362070905</v>
      </c>
      <c r="J20" s="646">
        <v>1039.8788114238257</v>
      </c>
    </row>
    <row r="21" spans="1:10" x14ac:dyDescent="0.2">
      <c r="A21" s="624" t="s">
        <v>19</v>
      </c>
      <c r="B21" s="647">
        <v>12688.29402007034</v>
      </c>
      <c r="C21" s="973">
        <v>60.561123960762146</v>
      </c>
      <c r="D21" s="973">
        <v>2714.9108741433533</v>
      </c>
      <c r="E21" s="973">
        <v>103.39704090861824</v>
      </c>
      <c r="F21" s="973">
        <v>685.37467116570292</v>
      </c>
      <c r="G21" s="973">
        <v>0</v>
      </c>
      <c r="H21" s="973">
        <v>468.24088525760271</v>
      </c>
      <c r="I21" s="973">
        <v>7782.8429792493207</v>
      </c>
      <c r="J21" s="647">
        <v>872.96644538562623</v>
      </c>
    </row>
    <row r="22" spans="1:10" x14ac:dyDescent="0.2">
      <c r="A22" s="624" t="s">
        <v>20</v>
      </c>
      <c r="B22" s="647">
        <v>8376.637414181585</v>
      </c>
      <c r="C22" s="973">
        <v>1.4771005844088343</v>
      </c>
      <c r="D22" s="973">
        <v>499.25999753018846</v>
      </c>
      <c r="E22" s="973">
        <v>13.293905259679509</v>
      </c>
      <c r="F22" s="973">
        <v>97.488638570982914</v>
      </c>
      <c r="G22" s="973">
        <v>0</v>
      </c>
      <c r="H22" s="973">
        <v>59.084023376353315</v>
      </c>
      <c r="I22" s="973">
        <v>7539.1213828218988</v>
      </c>
      <c r="J22" s="647">
        <v>166.91236603819834</v>
      </c>
    </row>
    <row r="23" spans="1:10" x14ac:dyDescent="0.2">
      <c r="A23" s="234" t="s">
        <v>21</v>
      </c>
      <c r="B23" s="646">
        <v>11732.609941957964</v>
      </c>
      <c r="C23" s="972">
        <v>1.4771005844088343</v>
      </c>
      <c r="D23" s="972">
        <v>2206.7882731067889</v>
      </c>
      <c r="E23" s="972">
        <v>11.816804675270674</v>
      </c>
      <c r="F23" s="972">
        <v>1288.0317096045117</v>
      </c>
      <c r="G23" s="972">
        <v>4.4313017532265029</v>
      </c>
      <c r="H23" s="972">
        <v>107.82834266184473</v>
      </c>
      <c r="I23" s="972">
        <v>7127.0103197718945</v>
      </c>
      <c r="J23" s="646">
        <v>985.22608980069845</v>
      </c>
    </row>
    <row r="24" spans="1:10" x14ac:dyDescent="0.2">
      <c r="A24" s="624" t="s">
        <v>21</v>
      </c>
      <c r="B24" s="647">
        <v>11732.609941957964</v>
      </c>
      <c r="C24" s="973">
        <v>1.4771005844088343</v>
      </c>
      <c r="D24" s="973">
        <v>2206.7882731067889</v>
      </c>
      <c r="E24" s="973">
        <v>11.816804675270674</v>
      </c>
      <c r="F24" s="973">
        <v>1288.0317096045117</v>
      </c>
      <c r="G24" s="973">
        <v>4.4313017532265029</v>
      </c>
      <c r="H24" s="973">
        <v>107.82834266184473</v>
      </c>
      <c r="I24" s="973">
        <v>7127.0103197718945</v>
      </c>
      <c r="J24" s="647">
        <v>985.22608980069845</v>
      </c>
    </row>
    <row r="25" spans="1:10" x14ac:dyDescent="0.2">
      <c r="A25" s="234" t="s">
        <v>22</v>
      </c>
      <c r="B25" s="646">
        <v>19626.235465037618</v>
      </c>
      <c r="C25" s="972">
        <v>42.835916947856177</v>
      </c>
      <c r="D25" s="972">
        <v>8966.0005473606234</v>
      </c>
      <c r="E25" s="972">
        <v>5.9084023376353372</v>
      </c>
      <c r="F25" s="972">
        <v>271.78650753122633</v>
      </c>
      <c r="G25" s="972">
        <v>0</v>
      </c>
      <c r="H25" s="972">
        <v>1861.1467363551435</v>
      </c>
      <c r="I25" s="972">
        <v>6968.9605572401724</v>
      </c>
      <c r="J25" s="646">
        <v>1509.5967972658384</v>
      </c>
    </row>
    <row r="26" spans="1:10" x14ac:dyDescent="0.2">
      <c r="A26" s="624" t="s">
        <v>22</v>
      </c>
      <c r="B26" s="647">
        <v>19626.235465037618</v>
      </c>
      <c r="C26" s="973">
        <v>42.835916947856177</v>
      </c>
      <c r="D26" s="973">
        <v>8966.0005473606234</v>
      </c>
      <c r="E26" s="973">
        <v>5.9084023376353372</v>
      </c>
      <c r="F26" s="973">
        <v>271.78650753122633</v>
      </c>
      <c r="G26" s="973">
        <v>0</v>
      </c>
      <c r="H26" s="973">
        <v>1861.1467363551435</v>
      </c>
      <c r="I26" s="973">
        <v>6968.9605572401724</v>
      </c>
      <c r="J26" s="647">
        <v>1509.5967972658384</v>
      </c>
    </row>
    <row r="27" spans="1:10" x14ac:dyDescent="0.2">
      <c r="A27" s="234" t="s">
        <v>23</v>
      </c>
      <c r="B27" s="646">
        <v>23194.910476968838</v>
      </c>
      <c r="C27" s="972">
        <v>4.4313017532265029</v>
      </c>
      <c r="D27" s="972">
        <v>2753.3154893379774</v>
      </c>
      <c r="E27" s="972">
        <v>0</v>
      </c>
      <c r="F27" s="972">
        <v>4.4313017532265029</v>
      </c>
      <c r="G27" s="972">
        <v>127.03065025915953</v>
      </c>
      <c r="H27" s="972">
        <v>172.82076837583372</v>
      </c>
      <c r="I27" s="972">
        <v>17791.676539202115</v>
      </c>
      <c r="J27" s="646">
        <v>2341.2044262879731</v>
      </c>
    </row>
    <row r="28" spans="1:10" x14ac:dyDescent="0.2">
      <c r="A28" s="624" t="s">
        <v>23</v>
      </c>
      <c r="B28" s="647">
        <v>11586.376984101511</v>
      </c>
      <c r="C28" s="973">
        <v>2.9542011688176686</v>
      </c>
      <c r="D28" s="973">
        <v>1416.5394604480812</v>
      </c>
      <c r="E28" s="973">
        <v>0</v>
      </c>
      <c r="F28" s="973">
        <v>2.9542011688176686</v>
      </c>
      <c r="G28" s="973">
        <v>127.03065025915953</v>
      </c>
      <c r="H28" s="973">
        <v>113.73674499948005</v>
      </c>
      <c r="I28" s="973">
        <v>9225.9702502165401</v>
      </c>
      <c r="J28" s="647">
        <v>697.19147584097368</v>
      </c>
    </row>
    <row r="29" spans="1:10" x14ac:dyDescent="0.2">
      <c r="A29" s="624" t="s">
        <v>24</v>
      </c>
      <c r="B29" s="647">
        <v>11608.53349286764</v>
      </c>
      <c r="C29" s="973">
        <v>1.4771005844088343</v>
      </c>
      <c r="D29" s="973">
        <v>1336.7760288900035</v>
      </c>
      <c r="E29" s="973">
        <v>0</v>
      </c>
      <c r="F29" s="973">
        <v>1.4771005844088343</v>
      </c>
      <c r="G29" s="973">
        <v>0</v>
      </c>
      <c r="H29" s="973">
        <v>59.084023376353315</v>
      </c>
      <c r="I29" s="973">
        <v>8565.706288985888</v>
      </c>
      <c r="J29" s="647">
        <v>1644.0129504470433</v>
      </c>
    </row>
    <row r="30" spans="1:10" x14ac:dyDescent="0.2">
      <c r="A30" s="234" t="s">
        <v>25</v>
      </c>
      <c r="B30" s="646">
        <v>2307.2311128465749</v>
      </c>
      <c r="C30" s="972">
        <v>1.4771005844088343</v>
      </c>
      <c r="D30" s="972">
        <v>62.038224545170976</v>
      </c>
      <c r="E30" s="972">
        <v>0</v>
      </c>
      <c r="F30" s="972">
        <v>1.4771005844088343</v>
      </c>
      <c r="G30" s="972">
        <v>0</v>
      </c>
      <c r="H30" s="972">
        <v>11.816804675270674</v>
      </c>
      <c r="I30" s="972">
        <v>2220.0821783664665</v>
      </c>
      <c r="J30" s="646">
        <v>10.33970409086184</v>
      </c>
    </row>
    <row r="31" spans="1:10" x14ac:dyDescent="0.2">
      <c r="A31" s="624" t="s">
        <v>25</v>
      </c>
      <c r="B31" s="647">
        <v>2307.2311128465749</v>
      </c>
      <c r="C31" s="973">
        <v>1.4771005844088343</v>
      </c>
      <c r="D31" s="973">
        <v>62.038224545170976</v>
      </c>
      <c r="E31" s="973">
        <v>0</v>
      </c>
      <c r="F31" s="973">
        <v>1.4771005844088343</v>
      </c>
      <c r="G31" s="973">
        <v>0</v>
      </c>
      <c r="H31" s="973">
        <v>11.816804675270674</v>
      </c>
      <c r="I31" s="973">
        <v>2220.0821783664665</v>
      </c>
      <c r="J31" s="647">
        <v>10.33970409086184</v>
      </c>
    </row>
    <row r="32" spans="1:10" x14ac:dyDescent="0.2">
      <c r="A32" s="234" t="s">
        <v>26</v>
      </c>
      <c r="B32" s="646">
        <v>1209.7453786308429</v>
      </c>
      <c r="C32" s="972">
        <v>0</v>
      </c>
      <c r="D32" s="972">
        <v>110.78254383066239</v>
      </c>
      <c r="E32" s="972">
        <v>20.67940818172368</v>
      </c>
      <c r="F32" s="972">
        <v>26.587810519359017</v>
      </c>
      <c r="G32" s="972">
        <v>0</v>
      </c>
      <c r="H32" s="972">
        <v>2.9542011688176686</v>
      </c>
      <c r="I32" s="972">
        <v>1036.924610255008</v>
      </c>
      <c r="J32" s="646">
        <v>11.816804675270674</v>
      </c>
    </row>
    <row r="33" spans="1:10" x14ac:dyDescent="0.2">
      <c r="A33" s="969" t="s">
        <v>26</v>
      </c>
      <c r="B33" s="647">
        <v>1209.7453786308429</v>
      </c>
      <c r="C33" s="973">
        <v>0</v>
      </c>
      <c r="D33" s="973">
        <v>110.78254383066239</v>
      </c>
      <c r="E33" s="973">
        <v>20.67940818172368</v>
      </c>
      <c r="F33" s="973">
        <v>26.587810519359017</v>
      </c>
      <c r="G33" s="973">
        <v>0</v>
      </c>
      <c r="H33" s="973">
        <v>2.9542011688176686</v>
      </c>
      <c r="I33" s="973">
        <v>1036.924610255008</v>
      </c>
      <c r="J33" s="647">
        <v>11.816804675270674</v>
      </c>
    </row>
    <row r="34" spans="1:10" x14ac:dyDescent="0.2">
      <c r="A34" s="235" t="s">
        <v>27</v>
      </c>
      <c r="B34" s="646">
        <v>5655.8181377009114</v>
      </c>
      <c r="C34" s="972">
        <v>0</v>
      </c>
      <c r="D34" s="972">
        <v>552.43561856890688</v>
      </c>
      <c r="E34" s="972">
        <v>1.4771005844088343</v>
      </c>
      <c r="F34" s="972">
        <v>0</v>
      </c>
      <c r="G34" s="972">
        <v>0</v>
      </c>
      <c r="H34" s="972">
        <v>66.469526298397469</v>
      </c>
      <c r="I34" s="972">
        <v>4949.7640583535922</v>
      </c>
      <c r="J34" s="646">
        <v>85.671833895712268</v>
      </c>
    </row>
    <row r="35" spans="1:10" x14ac:dyDescent="0.2">
      <c r="A35" s="970" t="s">
        <v>27</v>
      </c>
      <c r="B35" s="647">
        <v>5655.8181377009114</v>
      </c>
      <c r="C35" s="973">
        <v>0</v>
      </c>
      <c r="D35" s="973">
        <v>552.43561856890688</v>
      </c>
      <c r="E35" s="973">
        <v>1.4771005844088343</v>
      </c>
      <c r="F35" s="973">
        <v>0</v>
      </c>
      <c r="G35" s="973">
        <v>0</v>
      </c>
      <c r="H35" s="973">
        <v>66.469526298397469</v>
      </c>
      <c r="I35" s="973">
        <v>4949.7640583535922</v>
      </c>
      <c r="J35" s="647">
        <v>85.671833895712268</v>
      </c>
    </row>
    <row r="36" spans="1:10" x14ac:dyDescent="0.2">
      <c r="A36" s="236" t="s">
        <v>28</v>
      </c>
      <c r="B36" s="646">
        <v>12239.25544241012</v>
      </c>
      <c r="C36" s="972">
        <v>13.293905259679509</v>
      </c>
      <c r="D36" s="972">
        <v>1178.7262663582571</v>
      </c>
      <c r="E36" s="972">
        <v>0</v>
      </c>
      <c r="F36" s="972">
        <v>17.725207012906012</v>
      </c>
      <c r="G36" s="972">
        <v>1.4771005844088343</v>
      </c>
      <c r="H36" s="972">
        <v>96.011537986574083</v>
      </c>
      <c r="I36" s="972">
        <v>10288.005570406336</v>
      </c>
      <c r="J36" s="646">
        <v>644.01585480225526</v>
      </c>
    </row>
    <row r="37" spans="1:10" x14ac:dyDescent="0.2">
      <c r="A37" s="970" t="s">
        <v>28</v>
      </c>
      <c r="B37" s="647">
        <v>12239.25544241012</v>
      </c>
      <c r="C37" s="973">
        <v>13.293905259679509</v>
      </c>
      <c r="D37" s="973">
        <v>1178.7262663582571</v>
      </c>
      <c r="E37" s="973">
        <v>0</v>
      </c>
      <c r="F37" s="973">
        <v>17.725207012906012</v>
      </c>
      <c r="G37" s="973">
        <v>1.4771005844088343</v>
      </c>
      <c r="H37" s="973">
        <v>96.011537986574083</v>
      </c>
      <c r="I37" s="973">
        <v>10288.005570406336</v>
      </c>
      <c r="J37" s="647">
        <v>644.01585480225526</v>
      </c>
    </row>
    <row r="38" spans="1:10" x14ac:dyDescent="0.2">
      <c r="A38" s="236" t="s">
        <v>29</v>
      </c>
      <c r="B38" s="646">
        <v>33472.576343284003</v>
      </c>
      <c r="C38" s="972">
        <v>25.110709934950183</v>
      </c>
      <c r="D38" s="972">
        <v>3824.2134130342251</v>
      </c>
      <c r="E38" s="972">
        <v>16.248106428497177</v>
      </c>
      <c r="F38" s="972">
        <v>79.763431558076945</v>
      </c>
      <c r="G38" s="972">
        <v>8.8626035064530058</v>
      </c>
      <c r="H38" s="972">
        <v>644.01585480225526</v>
      </c>
      <c r="I38" s="972">
        <v>23830.063728264544</v>
      </c>
      <c r="J38" s="646">
        <v>5044.2984957557437</v>
      </c>
    </row>
    <row r="39" spans="1:10" x14ac:dyDescent="0.2">
      <c r="A39" s="970" t="s">
        <v>30</v>
      </c>
      <c r="B39" s="647">
        <v>21082.656641264515</v>
      </c>
      <c r="C39" s="973">
        <v>17.725207012906012</v>
      </c>
      <c r="D39" s="973">
        <v>2078.2805222632392</v>
      </c>
      <c r="E39" s="973">
        <v>8.8626035064530058</v>
      </c>
      <c r="F39" s="973">
        <v>64.992425713988638</v>
      </c>
      <c r="G39" s="973">
        <v>8.8626035064530058</v>
      </c>
      <c r="H39" s="973">
        <v>313.14532389467399</v>
      </c>
      <c r="I39" s="973">
        <v>15144.712291941871</v>
      </c>
      <c r="J39" s="647">
        <v>3446.075663425619</v>
      </c>
    </row>
    <row r="40" spans="1:10" x14ac:dyDescent="0.2">
      <c r="A40" s="970" t="s">
        <v>29</v>
      </c>
      <c r="B40" s="647">
        <v>12389.919702019799</v>
      </c>
      <c r="C40" s="973">
        <v>7.3855029220441715</v>
      </c>
      <c r="D40" s="973">
        <v>1745.9328907712536</v>
      </c>
      <c r="E40" s="973">
        <v>7.3855029220441715</v>
      </c>
      <c r="F40" s="973">
        <v>14.771005844088343</v>
      </c>
      <c r="G40" s="973">
        <v>0</v>
      </c>
      <c r="H40" s="973">
        <v>330.87053090758013</v>
      </c>
      <c r="I40" s="973">
        <v>8685.351436322986</v>
      </c>
      <c r="J40" s="647">
        <v>1598.2228323303691</v>
      </c>
    </row>
    <row r="41" spans="1:10" x14ac:dyDescent="0.2">
      <c r="A41" s="236" t="s">
        <v>31</v>
      </c>
      <c r="B41" s="646">
        <v>11784.308462412266</v>
      </c>
      <c r="C41" s="972">
        <v>73.855029220441622</v>
      </c>
      <c r="D41" s="972">
        <v>2366.3151362229196</v>
      </c>
      <c r="E41" s="972">
        <v>56.129822207535653</v>
      </c>
      <c r="F41" s="972">
        <v>264.40100460918211</v>
      </c>
      <c r="G41" s="972">
        <v>1.4771005844088343</v>
      </c>
      <c r="H41" s="972">
        <v>615.95094369848721</v>
      </c>
      <c r="I41" s="972">
        <v>6909.8765338638277</v>
      </c>
      <c r="J41" s="646">
        <v>1496.3028920061588</v>
      </c>
    </row>
    <row r="42" spans="1:10" ht="12.75" thickBot="1" x14ac:dyDescent="0.25">
      <c r="A42" s="971" t="s">
        <v>31</v>
      </c>
      <c r="B42" s="650">
        <v>11784.308462412266</v>
      </c>
      <c r="C42" s="974">
        <v>73.855029220441622</v>
      </c>
      <c r="D42" s="974">
        <v>2366.3151362229196</v>
      </c>
      <c r="E42" s="974">
        <v>56.129822207535653</v>
      </c>
      <c r="F42" s="974">
        <v>264.40100460918211</v>
      </c>
      <c r="G42" s="974">
        <v>1.4771005844088343</v>
      </c>
      <c r="H42" s="974">
        <v>615.95094369848721</v>
      </c>
      <c r="I42" s="974">
        <v>6909.8765338638277</v>
      </c>
      <c r="J42" s="650">
        <v>1496.3028920061588</v>
      </c>
    </row>
  </sheetData>
  <mergeCells count="4">
    <mergeCell ref="A1:J1"/>
    <mergeCell ref="A2:A3"/>
    <mergeCell ref="B2:B3"/>
    <mergeCell ref="C2:J2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42"/>
  <sheetViews>
    <sheetView workbookViewId="0">
      <selection activeCell="B4" sqref="B4:H42"/>
    </sheetView>
  </sheetViews>
  <sheetFormatPr defaultRowHeight="12" x14ac:dyDescent="0.2"/>
  <cols>
    <col min="1" max="1" width="15.28515625" style="575" customWidth="1"/>
    <col min="2" max="2" width="12" style="575" bestFit="1" customWidth="1"/>
    <col min="3" max="3" width="9.28515625" style="575" customWidth="1"/>
    <col min="4" max="5" width="10.28515625" style="575" bestFit="1" customWidth="1"/>
    <col min="6" max="6" width="11.140625" style="575" bestFit="1" customWidth="1"/>
    <col min="7" max="7" width="12.42578125" style="575" bestFit="1" customWidth="1"/>
    <col min="8" max="8" width="11" style="575" bestFit="1" customWidth="1"/>
    <col min="9" max="16384" width="9.140625" style="575"/>
  </cols>
  <sheetData>
    <row r="1" spans="1:11" ht="27" customHeight="1" thickBot="1" x14ac:dyDescent="0.25">
      <c r="A1" s="903" t="s">
        <v>578</v>
      </c>
      <c r="B1" s="903"/>
      <c r="C1" s="903"/>
      <c r="D1" s="903"/>
      <c r="E1" s="903"/>
      <c r="F1" s="903"/>
      <c r="G1" s="903"/>
      <c r="H1" s="903"/>
    </row>
    <row r="2" spans="1:11" ht="12" customHeight="1" x14ac:dyDescent="0.2">
      <c r="A2" s="907" t="str">
        <f>'Q9.14'!$A$2</f>
        <v>Área de residência, município e comuna</v>
      </c>
      <c r="B2" s="904" t="s">
        <v>54</v>
      </c>
      <c r="C2" s="905" t="s">
        <v>67</v>
      </c>
      <c r="D2" s="905"/>
      <c r="E2" s="905"/>
      <c r="F2" s="905"/>
      <c r="G2" s="905"/>
      <c r="H2" s="905"/>
    </row>
    <row r="3" spans="1:11" ht="36" x14ac:dyDescent="0.2">
      <c r="A3" s="947"/>
      <c r="B3" s="898"/>
      <c r="C3" s="17" t="s">
        <v>68</v>
      </c>
      <c r="D3" s="17" t="s">
        <v>69</v>
      </c>
      <c r="E3" s="17" t="s">
        <v>70</v>
      </c>
      <c r="F3" s="17" t="s">
        <v>65</v>
      </c>
      <c r="G3" s="17" t="s">
        <v>71</v>
      </c>
      <c r="H3" s="17" t="s">
        <v>53</v>
      </c>
    </row>
    <row r="4" spans="1:11" x14ac:dyDescent="0.2">
      <c r="A4" s="620" t="s">
        <v>32</v>
      </c>
      <c r="B4" s="975">
        <v>260570.8827950471</v>
      </c>
      <c r="C4" s="976">
        <v>8.8626035064530058</v>
      </c>
      <c r="D4" s="976">
        <v>5920.2191423100539</v>
      </c>
      <c r="E4" s="976">
        <v>5810.9136990638162</v>
      </c>
      <c r="F4" s="976">
        <v>84750.123131029162</v>
      </c>
      <c r="G4" s="976">
        <v>141962.66006703544</v>
      </c>
      <c r="H4" s="976">
        <v>22118.104150934956</v>
      </c>
    </row>
    <row r="5" spans="1:11" x14ac:dyDescent="0.2">
      <c r="A5" s="34"/>
      <c r="B5" s="977"/>
      <c r="C5" s="978"/>
      <c r="D5" s="979"/>
      <c r="E5" s="979"/>
      <c r="F5" s="979"/>
      <c r="G5" s="979"/>
      <c r="H5" s="979"/>
    </row>
    <row r="6" spans="1:11" x14ac:dyDescent="0.2">
      <c r="A6" s="621" t="s">
        <v>41</v>
      </c>
      <c r="B6" s="980"/>
      <c r="C6" s="981"/>
      <c r="D6" s="981"/>
      <c r="E6" s="981"/>
      <c r="F6" s="981"/>
      <c r="G6" s="982"/>
      <c r="H6" s="981"/>
    </row>
    <row r="7" spans="1:11" x14ac:dyDescent="0.2">
      <c r="A7" s="363" t="s">
        <v>42</v>
      </c>
      <c r="B7" s="977">
        <v>73979.105669521523</v>
      </c>
      <c r="C7" s="983">
        <v>4.4313017532265029</v>
      </c>
      <c r="D7" s="983">
        <v>1754.7954942777067</v>
      </c>
      <c r="E7" s="983">
        <v>1803.5398135631985</v>
      </c>
      <c r="F7" s="983">
        <v>64634.967372552608</v>
      </c>
      <c r="G7" s="983">
        <v>2824.216317389591</v>
      </c>
      <c r="H7" s="977">
        <v>2957.1553699863666</v>
      </c>
    </row>
    <row r="8" spans="1:11" x14ac:dyDescent="0.2">
      <c r="A8" s="363" t="s">
        <v>9</v>
      </c>
      <c r="B8" s="977">
        <v>186591.77712479708</v>
      </c>
      <c r="C8" s="983">
        <v>4.4313017532265029</v>
      </c>
      <c r="D8" s="983">
        <v>4165.4236480326163</v>
      </c>
      <c r="E8" s="983">
        <v>4007.3738855008937</v>
      </c>
      <c r="F8" s="983">
        <v>20115.155758476871</v>
      </c>
      <c r="G8" s="983">
        <v>139138.44374961834</v>
      </c>
      <c r="H8" s="977">
        <v>19160.948780948904</v>
      </c>
    </row>
    <row r="9" spans="1:11" x14ac:dyDescent="0.2">
      <c r="A9" s="621" t="s">
        <v>43</v>
      </c>
      <c r="B9" s="980"/>
      <c r="C9" s="981"/>
      <c r="D9" s="981"/>
      <c r="E9" s="981"/>
      <c r="F9" s="981"/>
      <c r="G9" s="981"/>
      <c r="H9" s="980"/>
    </row>
    <row r="10" spans="1:11" x14ac:dyDescent="0.2">
      <c r="A10" s="617" t="s">
        <v>11</v>
      </c>
      <c r="B10" s="984">
        <v>34025.011961852826</v>
      </c>
      <c r="C10" s="985">
        <v>0</v>
      </c>
      <c r="D10" s="985">
        <v>601.17993785439876</v>
      </c>
      <c r="E10" s="985">
        <v>540.61881389363612</v>
      </c>
      <c r="F10" s="985">
        <v>11029.510063779462</v>
      </c>
      <c r="G10" s="985">
        <v>17339.683760373078</v>
      </c>
      <c r="H10" s="984">
        <v>4514.01938595305</v>
      </c>
    </row>
    <row r="11" spans="1:11" x14ac:dyDescent="0.2">
      <c r="A11" s="965" t="s">
        <v>12</v>
      </c>
      <c r="B11" s="977">
        <v>21954.1459860656</v>
      </c>
      <c r="C11" s="983">
        <v>0</v>
      </c>
      <c r="D11" s="977">
        <v>447.56147707587888</v>
      </c>
      <c r="E11" s="977">
        <v>378.13774960866317</v>
      </c>
      <c r="F11" s="977">
        <v>10121.093204368162</v>
      </c>
      <c r="G11" s="977">
        <v>9503.6651600853602</v>
      </c>
      <c r="H11" s="977">
        <v>1503.688394928203</v>
      </c>
    </row>
    <row r="12" spans="1:11" x14ac:dyDescent="0.2">
      <c r="A12" s="965" t="s">
        <v>13</v>
      </c>
      <c r="B12" s="977">
        <v>12070.865975787538</v>
      </c>
      <c r="C12" s="983">
        <v>0</v>
      </c>
      <c r="D12" s="977">
        <v>153.61846077851874</v>
      </c>
      <c r="E12" s="977">
        <v>162.48106428497181</v>
      </c>
      <c r="F12" s="977">
        <v>908.41685941143851</v>
      </c>
      <c r="G12" s="977">
        <v>7836.0186002880309</v>
      </c>
      <c r="H12" s="977">
        <v>3010.3309910250769</v>
      </c>
    </row>
    <row r="13" spans="1:11" x14ac:dyDescent="0.2">
      <c r="A13" s="617" t="s">
        <v>44</v>
      </c>
      <c r="B13" s="984">
        <v>72558.134907320433</v>
      </c>
      <c r="C13" s="985">
        <v>4.4313017532265029</v>
      </c>
      <c r="D13" s="984">
        <v>1909.8910556406354</v>
      </c>
      <c r="E13" s="984">
        <v>1855.2383340175081</v>
      </c>
      <c r="F13" s="984">
        <v>41776.835828829251</v>
      </c>
      <c r="G13" s="984">
        <v>20745.87770801935</v>
      </c>
      <c r="H13" s="984">
        <v>6265.8606790616705</v>
      </c>
    </row>
    <row r="14" spans="1:11" x14ac:dyDescent="0.2">
      <c r="A14" s="965" t="s">
        <v>15</v>
      </c>
      <c r="B14" s="977">
        <v>61296.720051789132</v>
      </c>
      <c r="C14" s="983">
        <v>4.4313017532265029</v>
      </c>
      <c r="D14" s="977">
        <v>1610.0396370056399</v>
      </c>
      <c r="E14" s="977">
        <v>1630.7190451873637</v>
      </c>
      <c r="F14" s="977">
        <v>41290.869736558816</v>
      </c>
      <c r="G14" s="977">
        <v>12329.358578059046</v>
      </c>
      <c r="H14" s="977">
        <v>4431.3017532261674</v>
      </c>
    </row>
    <row r="15" spans="1:11" x14ac:dyDescent="0.2">
      <c r="A15" s="965" t="s">
        <v>16</v>
      </c>
      <c r="B15" s="977">
        <v>11261.414855531615</v>
      </c>
      <c r="C15" s="983">
        <v>0</v>
      </c>
      <c r="D15" s="977">
        <v>299.85141863499439</v>
      </c>
      <c r="E15" s="977">
        <v>224.5192888301433</v>
      </c>
      <c r="F15" s="977">
        <v>485.96609227050885</v>
      </c>
      <c r="G15" s="977">
        <v>8416.5191299606176</v>
      </c>
      <c r="H15" s="977">
        <v>1834.5589258357843</v>
      </c>
    </row>
    <row r="16" spans="1:11" x14ac:dyDescent="0.2">
      <c r="A16" s="617" t="s">
        <v>17</v>
      </c>
      <c r="B16" s="984">
        <v>6308.6965960095204</v>
      </c>
      <c r="C16" s="985">
        <v>0</v>
      </c>
      <c r="D16" s="984">
        <v>60.561123960762146</v>
      </c>
      <c r="E16" s="984">
        <v>107.82834266184473</v>
      </c>
      <c r="F16" s="984">
        <v>1483.0089867464792</v>
      </c>
      <c r="G16" s="984">
        <v>4522.8819894595017</v>
      </c>
      <c r="H16" s="984">
        <v>134.41615318120375</v>
      </c>
      <c r="K16" s="917"/>
    </row>
    <row r="17" spans="1:8" x14ac:dyDescent="0.2">
      <c r="A17" s="965" t="s">
        <v>17</v>
      </c>
      <c r="B17" s="977">
        <v>6308.6965960095204</v>
      </c>
      <c r="C17" s="983">
        <v>0</v>
      </c>
      <c r="D17" s="977">
        <v>60.561123960762146</v>
      </c>
      <c r="E17" s="977">
        <v>107.82834266184473</v>
      </c>
      <c r="F17" s="977">
        <v>1483.0089867464792</v>
      </c>
      <c r="G17" s="977">
        <v>4522.8819894595017</v>
      </c>
      <c r="H17" s="977">
        <v>134.41615318120375</v>
      </c>
    </row>
    <row r="18" spans="1:8" x14ac:dyDescent="0.2">
      <c r="A18" s="617" t="s">
        <v>18</v>
      </c>
      <c r="B18" s="984">
        <v>5391.4171330917688</v>
      </c>
      <c r="C18" s="985">
        <v>0</v>
      </c>
      <c r="D18" s="984">
        <v>87.148934480121099</v>
      </c>
      <c r="E18" s="984">
        <v>79.763431558076945</v>
      </c>
      <c r="F18" s="984">
        <v>555.38981973772457</v>
      </c>
      <c r="G18" s="984">
        <v>4474.1376701740173</v>
      </c>
      <c r="H18" s="984">
        <v>194.9772771419664</v>
      </c>
    </row>
    <row r="19" spans="1:8" x14ac:dyDescent="0.2">
      <c r="A19" s="965" t="s">
        <v>18</v>
      </c>
      <c r="B19" s="977">
        <v>5391.4171330917688</v>
      </c>
      <c r="C19" s="983">
        <v>0</v>
      </c>
      <c r="D19" s="977">
        <v>87.148934480121099</v>
      </c>
      <c r="E19" s="977">
        <v>79.763431558076945</v>
      </c>
      <c r="F19" s="977">
        <v>555.38981973772457</v>
      </c>
      <c r="G19" s="977">
        <v>4474.1376701740173</v>
      </c>
      <c r="H19" s="977">
        <v>194.9772771419664</v>
      </c>
    </row>
    <row r="20" spans="1:8" x14ac:dyDescent="0.2">
      <c r="A20" s="617" t="s">
        <v>19</v>
      </c>
      <c r="B20" s="984">
        <v>21064.931434251612</v>
      </c>
      <c r="C20" s="985">
        <v>0</v>
      </c>
      <c r="D20" s="984">
        <v>329.39343032317129</v>
      </c>
      <c r="E20" s="984">
        <v>319.05372623230937</v>
      </c>
      <c r="F20" s="984">
        <v>5218.5963647159606</v>
      </c>
      <c r="G20" s="984">
        <v>14726.692826554232</v>
      </c>
      <c r="H20" s="984">
        <v>471.1950864264204</v>
      </c>
    </row>
    <row r="21" spans="1:8" x14ac:dyDescent="0.2">
      <c r="A21" s="965" t="s">
        <v>19</v>
      </c>
      <c r="B21" s="977">
        <v>12688.29402007034</v>
      </c>
      <c r="C21" s="983">
        <v>0</v>
      </c>
      <c r="D21" s="983">
        <v>202.36278006401062</v>
      </c>
      <c r="E21" s="977">
        <v>205.31698123282831</v>
      </c>
      <c r="F21" s="977">
        <v>4843.4128162761717</v>
      </c>
      <c r="G21" s="977">
        <v>7088.6057045772704</v>
      </c>
      <c r="H21" s="977">
        <v>348.59573792048627</v>
      </c>
    </row>
    <row r="22" spans="1:8" x14ac:dyDescent="0.2">
      <c r="A22" s="965" t="s">
        <v>20</v>
      </c>
      <c r="B22" s="977">
        <v>8376.637414181585</v>
      </c>
      <c r="C22" s="983">
        <v>0</v>
      </c>
      <c r="D22" s="983">
        <v>127.03065025915953</v>
      </c>
      <c r="E22" s="977">
        <v>113.73674499948005</v>
      </c>
      <c r="F22" s="977">
        <v>375.18354843984548</v>
      </c>
      <c r="G22" s="977">
        <v>7638.0871219772762</v>
      </c>
      <c r="H22" s="977">
        <v>122.59934850593304</v>
      </c>
    </row>
    <row r="23" spans="1:8" x14ac:dyDescent="0.2">
      <c r="A23" s="617" t="s">
        <v>21</v>
      </c>
      <c r="B23" s="984">
        <v>11732.609941957964</v>
      </c>
      <c r="C23" s="985">
        <v>0</v>
      </c>
      <c r="D23" s="985">
        <v>169.86656720701603</v>
      </c>
      <c r="E23" s="984">
        <v>199.40857889519293</v>
      </c>
      <c r="F23" s="984">
        <v>3028.0561980379803</v>
      </c>
      <c r="G23" s="984">
        <v>7296.8768869788855</v>
      </c>
      <c r="H23" s="984">
        <v>1038.4017108394169</v>
      </c>
    </row>
    <row r="24" spans="1:8" x14ac:dyDescent="0.2">
      <c r="A24" s="965" t="s">
        <v>21</v>
      </c>
      <c r="B24" s="977">
        <v>11732.609941957964</v>
      </c>
      <c r="C24" s="978">
        <v>0</v>
      </c>
      <c r="D24" s="983">
        <v>169.86656720701603</v>
      </c>
      <c r="E24" s="977">
        <v>199.40857889519293</v>
      </c>
      <c r="F24" s="977">
        <v>3028.0561980379803</v>
      </c>
      <c r="G24" s="977">
        <v>7296.8768869788855</v>
      </c>
      <c r="H24" s="977">
        <v>1038.4017108394169</v>
      </c>
    </row>
    <row r="25" spans="1:8" x14ac:dyDescent="0.2">
      <c r="A25" s="617" t="s">
        <v>22</v>
      </c>
      <c r="B25" s="984">
        <v>19626.235465037618</v>
      </c>
      <c r="C25" s="985">
        <v>0</v>
      </c>
      <c r="D25" s="985">
        <v>446.08437649147004</v>
      </c>
      <c r="E25" s="984">
        <v>477.10348876405578</v>
      </c>
      <c r="F25" s="984">
        <v>10093.028293264399</v>
      </c>
      <c r="G25" s="984">
        <v>7274.7203782127563</v>
      </c>
      <c r="H25" s="984">
        <v>1335.2989283055947</v>
      </c>
    </row>
    <row r="26" spans="1:8" x14ac:dyDescent="0.2">
      <c r="A26" s="965" t="s">
        <v>22</v>
      </c>
      <c r="B26" s="977">
        <v>19626.235465037618</v>
      </c>
      <c r="C26" s="983">
        <v>0</v>
      </c>
      <c r="D26" s="983">
        <v>446.08437649147004</v>
      </c>
      <c r="E26" s="977">
        <v>477.10348876405578</v>
      </c>
      <c r="F26" s="977">
        <v>10093.028293264399</v>
      </c>
      <c r="G26" s="977">
        <v>7274.7203782127563</v>
      </c>
      <c r="H26" s="977">
        <v>1335.2989283055947</v>
      </c>
    </row>
    <row r="27" spans="1:8" x14ac:dyDescent="0.2">
      <c r="A27" s="617" t="s">
        <v>23</v>
      </c>
      <c r="B27" s="984">
        <v>23194.910476968838</v>
      </c>
      <c r="C27" s="984">
        <v>1.4771005844088343</v>
      </c>
      <c r="D27" s="984">
        <v>772.52360564582477</v>
      </c>
      <c r="E27" s="984">
        <v>679.46626882806754</v>
      </c>
      <c r="F27" s="984">
        <v>1001.4741962291957</v>
      </c>
      <c r="G27" s="984">
        <v>17991.085118097279</v>
      </c>
      <c r="H27" s="984">
        <v>2748.8841875847515</v>
      </c>
    </row>
    <row r="28" spans="1:8" x14ac:dyDescent="0.2">
      <c r="A28" s="965" t="s">
        <v>23</v>
      </c>
      <c r="B28" s="977">
        <v>11586.376984101511</v>
      </c>
      <c r="C28" s="983">
        <v>0</v>
      </c>
      <c r="D28" s="983">
        <v>457.9011811667408</v>
      </c>
      <c r="E28" s="977">
        <v>369.2751461022101</v>
      </c>
      <c r="F28" s="977">
        <v>438.69887356942581</v>
      </c>
      <c r="G28" s="977">
        <v>9330.8443917095519</v>
      </c>
      <c r="H28" s="977">
        <v>989.65739155392498</v>
      </c>
    </row>
    <row r="29" spans="1:8" x14ac:dyDescent="0.2">
      <c r="A29" s="965" t="s">
        <v>24</v>
      </c>
      <c r="B29" s="977">
        <v>11608.53349286764</v>
      </c>
      <c r="C29" s="983">
        <v>1.4771005844088343</v>
      </c>
      <c r="D29" s="983">
        <v>314.62242447908284</v>
      </c>
      <c r="E29" s="977">
        <v>310.1911227258563</v>
      </c>
      <c r="F29" s="977">
        <v>562.77532265976879</v>
      </c>
      <c r="G29" s="977">
        <v>8660.2407263880395</v>
      </c>
      <c r="H29" s="977">
        <v>1759.2267960309332</v>
      </c>
    </row>
    <row r="30" spans="1:8" x14ac:dyDescent="0.2">
      <c r="A30" s="617" t="s">
        <v>25</v>
      </c>
      <c r="B30" s="984">
        <v>2307.2311128465749</v>
      </c>
      <c r="C30" s="985">
        <v>0</v>
      </c>
      <c r="D30" s="985">
        <v>19.202307597314846</v>
      </c>
      <c r="E30" s="985">
        <v>19.202307597314846</v>
      </c>
      <c r="F30" s="984">
        <v>22.156508766132514</v>
      </c>
      <c r="G30" s="984">
        <v>2223.0363795352837</v>
      </c>
      <c r="H30" s="984">
        <v>23.633609350541349</v>
      </c>
    </row>
    <row r="31" spans="1:8" x14ac:dyDescent="0.2">
      <c r="A31" s="965" t="s">
        <v>25</v>
      </c>
      <c r="B31" s="977">
        <v>2307.2311128465749</v>
      </c>
      <c r="C31" s="983">
        <v>0</v>
      </c>
      <c r="D31" s="983">
        <v>19.202307597314846</v>
      </c>
      <c r="E31" s="983">
        <v>19.202307597314846</v>
      </c>
      <c r="F31" s="977">
        <v>22.156508766132514</v>
      </c>
      <c r="G31" s="977">
        <v>2223.0363795352837</v>
      </c>
      <c r="H31" s="977">
        <v>23.633609350541349</v>
      </c>
    </row>
    <row r="32" spans="1:8" x14ac:dyDescent="0.2">
      <c r="A32" s="617" t="s">
        <v>26</v>
      </c>
      <c r="B32" s="984">
        <v>1209.7453786308429</v>
      </c>
      <c r="C32" s="985">
        <v>0</v>
      </c>
      <c r="D32" s="985">
        <v>31.01911227258552</v>
      </c>
      <c r="E32" s="985">
        <v>23.633609350541349</v>
      </c>
      <c r="F32" s="984">
        <v>125.5535496747507</v>
      </c>
      <c r="G32" s="984">
        <v>1002.9512968136046</v>
      </c>
      <c r="H32" s="984">
        <v>26.587810519359017</v>
      </c>
    </row>
    <row r="33" spans="1:8" x14ac:dyDescent="0.2">
      <c r="A33" s="966" t="s">
        <v>26</v>
      </c>
      <c r="B33" s="977">
        <v>1209.7453786308429</v>
      </c>
      <c r="C33" s="983">
        <v>0</v>
      </c>
      <c r="D33" s="983">
        <v>31.01911227258552</v>
      </c>
      <c r="E33" s="983">
        <v>23.633609350541349</v>
      </c>
      <c r="F33" s="977">
        <v>125.5535496747507</v>
      </c>
      <c r="G33" s="977">
        <v>1002.9512968136046</v>
      </c>
      <c r="H33" s="977">
        <v>26.587810519359017</v>
      </c>
    </row>
    <row r="34" spans="1:8" x14ac:dyDescent="0.2">
      <c r="A34" s="35" t="s">
        <v>27</v>
      </c>
      <c r="B34" s="984">
        <v>5655.8181377009114</v>
      </c>
      <c r="C34" s="985">
        <v>0</v>
      </c>
      <c r="D34" s="985">
        <v>121.12224792152421</v>
      </c>
      <c r="E34" s="985">
        <v>104.87414149302707</v>
      </c>
      <c r="F34" s="984">
        <v>282.12621162208825</v>
      </c>
      <c r="G34" s="984">
        <v>4999.9854782234852</v>
      </c>
      <c r="H34" s="984">
        <v>147.71005844088336</v>
      </c>
    </row>
    <row r="35" spans="1:8" x14ac:dyDescent="0.2">
      <c r="A35" s="967" t="s">
        <v>27</v>
      </c>
      <c r="B35" s="977">
        <v>5655.8181377009114</v>
      </c>
      <c r="C35" s="983">
        <v>0</v>
      </c>
      <c r="D35" s="983">
        <v>121.12224792152421</v>
      </c>
      <c r="E35" s="983">
        <v>104.87414149302707</v>
      </c>
      <c r="F35" s="983">
        <v>282.12621162208825</v>
      </c>
      <c r="G35" s="986">
        <v>4999.9854782234852</v>
      </c>
      <c r="H35" s="983">
        <v>147.71005844088336</v>
      </c>
    </row>
    <row r="36" spans="1:8" x14ac:dyDescent="0.2">
      <c r="A36" s="36" t="s">
        <v>28</v>
      </c>
      <c r="B36" s="984">
        <v>12239.25544241012</v>
      </c>
      <c r="C36" s="985">
        <v>0</v>
      </c>
      <c r="D36" s="985">
        <v>286.55751337531478</v>
      </c>
      <c r="E36" s="985">
        <v>307.23692155703861</v>
      </c>
      <c r="F36" s="985">
        <v>385.5232525307074</v>
      </c>
      <c r="G36" s="987">
        <v>10596.719592547737</v>
      </c>
      <c r="H36" s="985">
        <v>663.21816239957025</v>
      </c>
    </row>
    <row r="37" spans="1:8" x14ac:dyDescent="0.2">
      <c r="A37" s="967" t="s">
        <v>28</v>
      </c>
      <c r="B37" s="977">
        <v>12239.25544241012</v>
      </c>
      <c r="C37" s="983">
        <v>0</v>
      </c>
      <c r="D37" s="983">
        <v>286.55751337531478</v>
      </c>
      <c r="E37" s="983">
        <v>307.23692155703861</v>
      </c>
      <c r="F37" s="983">
        <v>385.5232525307074</v>
      </c>
      <c r="G37" s="986">
        <v>10596.719592547737</v>
      </c>
      <c r="H37" s="983">
        <v>663.21816239957025</v>
      </c>
    </row>
    <row r="38" spans="1:8" x14ac:dyDescent="0.2">
      <c r="A38" s="36" t="s">
        <v>29</v>
      </c>
      <c r="B38" s="984">
        <v>33472.576343284003</v>
      </c>
      <c r="C38" s="985">
        <v>1.4771005844088343</v>
      </c>
      <c r="D38" s="985">
        <v>849.33283603508471</v>
      </c>
      <c r="E38" s="985">
        <v>837.51603135981395</v>
      </c>
      <c r="F38" s="985">
        <v>6658.7694345143627</v>
      </c>
      <c r="G38" s="987">
        <v>21437.160781522583</v>
      </c>
      <c r="H38" s="985">
        <v>3688.3201592686323</v>
      </c>
    </row>
    <row r="39" spans="1:8" x14ac:dyDescent="0.2">
      <c r="A39" s="967" t="s">
        <v>30</v>
      </c>
      <c r="B39" s="977">
        <v>21082.656641264515</v>
      </c>
      <c r="C39" s="983">
        <v>1.4771005844088343</v>
      </c>
      <c r="D39" s="983">
        <v>435.74467240060812</v>
      </c>
      <c r="E39" s="983">
        <v>453.46987941351426</v>
      </c>
      <c r="F39" s="983">
        <v>2667.6436554422776</v>
      </c>
      <c r="G39" s="986">
        <v>15026.544245189181</v>
      </c>
      <c r="H39" s="983">
        <v>2497.7770882352866</v>
      </c>
    </row>
    <row r="40" spans="1:8" x14ac:dyDescent="0.2">
      <c r="A40" s="967" t="s">
        <v>29</v>
      </c>
      <c r="B40" s="977">
        <v>12389.919702019799</v>
      </c>
      <c r="C40" s="983">
        <v>0</v>
      </c>
      <c r="D40" s="983">
        <v>413.58816363447545</v>
      </c>
      <c r="E40" s="983">
        <v>384.04615194629855</v>
      </c>
      <c r="F40" s="983">
        <v>3991.1257790723989</v>
      </c>
      <c r="G40" s="986">
        <v>6410.616536333715</v>
      </c>
      <c r="H40" s="983">
        <v>1190.5430710335279</v>
      </c>
    </row>
    <row r="41" spans="1:8" x14ac:dyDescent="0.2">
      <c r="A41" s="36" t="s">
        <v>31</v>
      </c>
      <c r="B41" s="984">
        <v>11784.308462412266</v>
      </c>
      <c r="C41" s="985">
        <v>1.4771005844088343</v>
      </c>
      <c r="D41" s="985">
        <v>236.33609350541406</v>
      </c>
      <c r="E41" s="985">
        <v>259.96970285595557</v>
      </c>
      <c r="F41" s="985">
        <v>3090.0944225831422</v>
      </c>
      <c r="G41" s="987">
        <v>7330.8502004202837</v>
      </c>
      <c r="H41" s="985">
        <v>865.58094246358201</v>
      </c>
    </row>
    <row r="42" spans="1:8" ht="12.75" thickBot="1" x14ac:dyDescent="0.25">
      <c r="A42" s="968" t="s">
        <v>31</v>
      </c>
      <c r="B42" s="988">
        <v>11784.308462412266</v>
      </c>
      <c r="C42" s="989">
        <v>1.4771005844088343</v>
      </c>
      <c r="D42" s="989">
        <v>236.33609350541406</v>
      </c>
      <c r="E42" s="989">
        <v>259.96970285595557</v>
      </c>
      <c r="F42" s="989">
        <v>3090.0944225831422</v>
      </c>
      <c r="G42" s="990">
        <v>7330.8502004202837</v>
      </c>
      <c r="H42" s="989">
        <v>865.58094246358201</v>
      </c>
    </row>
  </sheetData>
  <mergeCells count="4">
    <mergeCell ref="A1:H1"/>
    <mergeCell ref="A2:A3"/>
    <mergeCell ref="B2:B3"/>
    <mergeCell ref="C2:H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42"/>
  <sheetViews>
    <sheetView workbookViewId="0">
      <selection activeCell="A42" activeCellId="14" sqref="S17:S18 A11:A12 A14:A15 A17 A19 A21:A22 A24 A26 A28:A29 A31 A33 A35 A37 A39:A40 A42"/>
    </sheetView>
  </sheetViews>
  <sheetFormatPr defaultRowHeight="12" x14ac:dyDescent="0.2"/>
  <cols>
    <col min="1" max="1" width="16.28515625" style="575" customWidth="1"/>
    <col min="2" max="2" width="12" style="575" bestFit="1" customWidth="1"/>
    <col min="3" max="3" width="11.85546875" style="575" bestFit="1" customWidth="1"/>
    <col min="4" max="5" width="11.140625" style="575" bestFit="1" customWidth="1"/>
    <col min="6" max="9" width="9.28515625" style="575" bestFit="1" customWidth="1"/>
    <col min="10" max="10" width="10.28515625" style="575" bestFit="1" customWidth="1"/>
    <col min="11" max="16384" width="9.140625" style="575"/>
  </cols>
  <sheetData>
    <row r="1" spans="1:10" ht="22.5" customHeight="1" thickBot="1" x14ac:dyDescent="0.25">
      <c r="A1" s="896" t="s">
        <v>579</v>
      </c>
      <c r="B1" s="896"/>
      <c r="C1" s="896"/>
      <c r="D1" s="896"/>
      <c r="E1" s="896"/>
      <c r="F1" s="896"/>
      <c r="G1" s="896"/>
      <c r="H1" s="896"/>
      <c r="I1" s="896"/>
      <c r="J1" s="896"/>
    </row>
    <row r="2" spans="1:10" ht="15" customHeight="1" x14ac:dyDescent="0.2">
      <c r="A2" s="907" t="str">
        <f>'Q9.14'!$A$2</f>
        <v>Área de residência, município e comuna</v>
      </c>
      <c r="B2" s="907" t="s">
        <v>561</v>
      </c>
      <c r="C2" s="893" t="s">
        <v>72</v>
      </c>
      <c r="D2" s="893"/>
      <c r="E2" s="893"/>
      <c r="F2" s="893"/>
      <c r="G2" s="893"/>
      <c r="H2" s="893"/>
      <c r="I2" s="893"/>
      <c r="J2" s="893"/>
    </row>
    <row r="3" spans="1:10" ht="24" x14ac:dyDescent="0.2">
      <c r="A3" s="947"/>
      <c r="B3" s="908"/>
      <c r="C3" s="462" t="s">
        <v>73</v>
      </c>
      <c r="D3" s="462" t="s">
        <v>74</v>
      </c>
      <c r="E3" s="462" t="s">
        <v>75</v>
      </c>
      <c r="F3" s="462" t="s">
        <v>369</v>
      </c>
      <c r="G3" s="462" t="s">
        <v>370</v>
      </c>
      <c r="H3" s="462" t="s">
        <v>371</v>
      </c>
      <c r="I3" s="462" t="s">
        <v>63</v>
      </c>
      <c r="J3" s="462" t="s">
        <v>53</v>
      </c>
    </row>
    <row r="4" spans="1:10" x14ac:dyDescent="0.2">
      <c r="A4" s="622" t="s">
        <v>32</v>
      </c>
      <c r="B4" s="463">
        <v>260570.8827950471</v>
      </c>
      <c r="C4" s="464">
        <v>188531.2101921447</v>
      </c>
      <c r="D4" s="464">
        <v>47559.684616788989</v>
      </c>
      <c r="E4" s="464">
        <v>19190.490792637076</v>
      </c>
      <c r="F4" s="464">
        <v>35.450414025812023</v>
      </c>
      <c r="G4" s="464">
        <v>39.881715779038515</v>
      </c>
      <c r="H4" s="464">
        <v>788.77171207432207</v>
      </c>
      <c r="I4" s="464">
        <v>706.05407934742675</v>
      </c>
      <c r="J4" s="464">
        <v>3719.3392715412133</v>
      </c>
    </row>
    <row r="5" spans="1:10" x14ac:dyDescent="0.2">
      <c r="A5" s="34"/>
      <c r="B5" s="449"/>
      <c r="C5" s="465"/>
      <c r="D5" s="465"/>
      <c r="E5" s="465"/>
      <c r="F5" s="465"/>
      <c r="G5" s="465"/>
      <c r="H5" s="465"/>
      <c r="I5" s="465"/>
      <c r="J5" s="465"/>
    </row>
    <row r="6" spans="1:10" x14ac:dyDescent="0.2">
      <c r="A6" s="621" t="s">
        <v>41</v>
      </c>
      <c r="B6" s="450"/>
      <c r="C6" s="450"/>
      <c r="D6" s="450"/>
      <c r="E6" s="450"/>
      <c r="F6" s="450"/>
      <c r="G6" s="450"/>
      <c r="H6" s="450"/>
      <c r="I6" s="450"/>
      <c r="J6" s="450"/>
    </row>
    <row r="7" spans="1:10" x14ac:dyDescent="0.2">
      <c r="A7" s="363" t="s">
        <v>8</v>
      </c>
      <c r="B7" s="449">
        <v>73979.105669521523</v>
      </c>
      <c r="C7" s="449">
        <v>19304.22753763654</v>
      </c>
      <c r="D7" s="448">
        <v>38561.187856571691</v>
      </c>
      <c r="E7" s="448">
        <v>13669.088808117662</v>
      </c>
      <c r="F7" s="455">
        <v>32.496212856994354</v>
      </c>
      <c r="G7" s="456">
        <v>8.8626035064530058</v>
      </c>
      <c r="H7" s="456">
        <v>604.13413902321645</v>
      </c>
      <c r="I7" s="456">
        <v>121.12224792152421</v>
      </c>
      <c r="J7" s="449">
        <v>1677.9862638884467</v>
      </c>
    </row>
    <row r="8" spans="1:10" x14ac:dyDescent="0.2">
      <c r="A8" s="363" t="s">
        <v>9</v>
      </c>
      <c r="B8" s="449">
        <v>186591.77712479708</v>
      </c>
      <c r="C8" s="449">
        <v>169226.9826543183</v>
      </c>
      <c r="D8" s="449">
        <v>8998.496760217613</v>
      </c>
      <c r="E8" s="449">
        <v>5521.4019845197272</v>
      </c>
      <c r="F8" s="456">
        <v>2.9542011688176686</v>
      </c>
      <c r="G8" s="456">
        <v>31.01911227258552</v>
      </c>
      <c r="H8" s="456">
        <v>184.63757305110448</v>
      </c>
      <c r="I8" s="456">
        <v>584.93183142590146</v>
      </c>
      <c r="J8" s="452">
        <v>2041.3530076530226</v>
      </c>
    </row>
    <row r="9" spans="1:10" x14ac:dyDescent="0.2">
      <c r="A9" s="621" t="s">
        <v>43</v>
      </c>
      <c r="B9" s="450"/>
      <c r="C9" s="450"/>
      <c r="D9" s="450"/>
      <c r="E9" s="450"/>
      <c r="F9" s="457"/>
      <c r="G9" s="457"/>
      <c r="H9" s="457"/>
      <c r="I9" s="457"/>
      <c r="J9" s="466"/>
    </row>
    <row r="10" spans="1:10" x14ac:dyDescent="0.2">
      <c r="A10" s="623" t="s">
        <v>11</v>
      </c>
      <c r="B10" s="451">
        <v>34025.011961852826</v>
      </c>
      <c r="C10" s="451">
        <v>25329.320821439291</v>
      </c>
      <c r="D10" s="451">
        <v>6646.9526298390938</v>
      </c>
      <c r="E10" s="451">
        <v>1534.7075072007888</v>
      </c>
      <c r="F10" s="458">
        <v>0</v>
      </c>
      <c r="G10" s="458">
        <v>0</v>
      </c>
      <c r="H10" s="458">
        <v>1.4771005844088343</v>
      </c>
      <c r="I10" s="458">
        <v>56.129822207535653</v>
      </c>
      <c r="J10" s="453">
        <v>456.42408058233195</v>
      </c>
    </row>
    <row r="11" spans="1:10" x14ac:dyDescent="0.2">
      <c r="A11" s="965" t="s">
        <v>12</v>
      </c>
      <c r="B11" s="449">
        <v>21954.1459860656</v>
      </c>
      <c r="C11" s="449">
        <v>14172.780107401</v>
      </c>
      <c r="D11" s="449">
        <v>6205.2995551009171</v>
      </c>
      <c r="E11" s="449">
        <v>1310.1882183706443</v>
      </c>
      <c r="F11" s="456">
        <v>0</v>
      </c>
      <c r="G11" s="459">
        <v>0</v>
      </c>
      <c r="H11" s="459">
        <v>1.4771005844088343</v>
      </c>
      <c r="I11" s="459">
        <v>29.542011688176686</v>
      </c>
      <c r="J11" s="452">
        <v>234.85899292100521</v>
      </c>
    </row>
    <row r="12" spans="1:10" x14ac:dyDescent="0.2">
      <c r="A12" s="965" t="s">
        <v>13</v>
      </c>
      <c r="B12" s="449">
        <v>12070.865975787538</v>
      </c>
      <c r="C12" s="449">
        <v>11156.540714038603</v>
      </c>
      <c r="D12" s="449">
        <v>441.6530747382435</v>
      </c>
      <c r="E12" s="449">
        <v>224.5192888301433</v>
      </c>
      <c r="F12" s="456">
        <v>0</v>
      </c>
      <c r="G12" s="459">
        <v>0</v>
      </c>
      <c r="H12" s="459">
        <v>0</v>
      </c>
      <c r="I12" s="459">
        <v>26.587810519359017</v>
      </c>
      <c r="J12" s="452">
        <v>221.56508766132561</v>
      </c>
    </row>
    <row r="13" spans="1:10" x14ac:dyDescent="0.2">
      <c r="A13" s="623" t="s">
        <v>44</v>
      </c>
      <c r="B13" s="451">
        <v>72558.134907320433</v>
      </c>
      <c r="C13" s="451">
        <v>34784.241662238855</v>
      </c>
      <c r="D13" s="451">
        <v>23880.285148134437</v>
      </c>
      <c r="E13" s="451">
        <v>11245.16674910312</v>
      </c>
      <c r="F13" s="458">
        <v>8.8626035064530058</v>
      </c>
      <c r="G13" s="460">
        <v>7.3855029220441715</v>
      </c>
      <c r="H13" s="460">
        <v>614.47384311407836</v>
      </c>
      <c r="I13" s="460">
        <v>187.59177421992217</v>
      </c>
      <c r="J13" s="453">
        <v>1830.1276240825578</v>
      </c>
    </row>
    <row r="14" spans="1:10" x14ac:dyDescent="0.2">
      <c r="A14" s="965" t="s">
        <v>15</v>
      </c>
      <c r="B14" s="449">
        <v>61296.720051789132</v>
      </c>
      <c r="C14" s="449">
        <v>24726.663783000575</v>
      </c>
      <c r="D14" s="449">
        <v>23463.742783331207</v>
      </c>
      <c r="E14" s="449">
        <v>10865.551898910106</v>
      </c>
      <c r="F14" s="456">
        <v>8.8626035064530058</v>
      </c>
      <c r="G14" s="459">
        <v>7.3855029220441715</v>
      </c>
      <c r="H14" s="459">
        <v>614.47384311407836</v>
      </c>
      <c r="I14" s="459">
        <v>98.965739155391745</v>
      </c>
      <c r="J14" s="452">
        <v>1511.0738978502472</v>
      </c>
    </row>
    <row r="15" spans="1:10" x14ac:dyDescent="0.2">
      <c r="A15" s="965" t="s">
        <v>16</v>
      </c>
      <c r="B15" s="449">
        <v>11261.414855531615</v>
      </c>
      <c r="C15" s="449">
        <v>10057.577879238592</v>
      </c>
      <c r="D15" s="449">
        <v>416.54236480329314</v>
      </c>
      <c r="E15" s="449">
        <v>379.61485019307202</v>
      </c>
      <c r="F15" s="456">
        <v>0</v>
      </c>
      <c r="G15" s="459">
        <v>0</v>
      </c>
      <c r="H15" s="459">
        <v>0</v>
      </c>
      <c r="I15" s="459">
        <v>88.62603506452993</v>
      </c>
      <c r="J15" s="452">
        <v>319.05372623230937</v>
      </c>
    </row>
    <row r="16" spans="1:10" x14ac:dyDescent="0.2">
      <c r="A16" s="623" t="s">
        <v>17</v>
      </c>
      <c r="B16" s="451">
        <v>6308.6965960095204</v>
      </c>
      <c r="C16" s="451">
        <v>4982.2602712105818</v>
      </c>
      <c r="D16" s="451">
        <v>989.65739155392498</v>
      </c>
      <c r="E16" s="451">
        <v>305.75982097262977</v>
      </c>
      <c r="F16" s="458">
        <v>0</v>
      </c>
      <c r="G16" s="460">
        <v>1.4771005844088343</v>
      </c>
      <c r="H16" s="460">
        <v>0</v>
      </c>
      <c r="I16" s="460">
        <v>19.202307597314846</v>
      </c>
      <c r="J16" s="453">
        <v>10.33970409086184</v>
      </c>
    </row>
    <row r="17" spans="1:19" x14ac:dyDescent="0.2">
      <c r="A17" s="965" t="s">
        <v>17</v>
      </c>
      <c r="B17" s="449">
        <v>6308.6965960095204</v>
      </c>
      <c r="C17" s="449">
        <v>4982.2602712105818</v>
      </c>
      <c r="D17" s="449">
        <v>989.65739155392498</v>
      </c>
      <c r="E17" s="449">
        <v>305.75982097262977</v>
      </c>
      <c r="F17" s="456">
        <v>0</v>
      </c>
      <c r="G17" s="459">
        <v>1.4771005844088343</v>
      </c>
      <c r="H17" s="459">
        <v>0</v>
      </c>
      <c r="I17" s="459">
        <v>19.202307597314846</v>
      </c>
      <c r="J17" s="452">
        <v>10.33970409086184</v>
      </c>
      <c r="S17" s="917"/>
    </row>
    <row r="18" spans="1:19" x14ac:dyDescent="0.2">
      <c r="A18" s="623" t="s">
        <v>18</v>
      </c>
      <c r="B18" s="451">
        <v>5391.4171330917688</v>
      </c>
      <c r="C18" s="451">
        <v>4849.3212186138062</v>
      </c>
      <c r="D18" s="451">
        <v>347.11863733607743</v>
      </c>
      <c r="E18" s="451">
        <v>132.93905259679491</v>
      </c>
      <c r="F18" s="458">
        <v>0</v>
      </c>
      <c r="G18" s="460">
        <v>0</v>
      </c>
      <c r="H18" s="460">
        <v>4.4313017532265029</v>
      </c>
      <c r="I18" s="460">
        <v>4.4313017532265029</v>
      </c>
      <c r="J18" s="453">
        <v>53.175621038717992</v>
      </c>
      <c r="S18" s="917"/>
    </row>
    <row r="19" spans="1:19" x14ac:dyDescent="0.2">
      <c r="A19" s="965" t="s">
        <v>18</v>
      </c>
      <c r="B19" s="449">
        <v>5391.4171330917688</v>
      </c>
      <c r="C19" s="449">
        <v>4849.3212186138062</v>
      </c>
      <c r="D19" s="449">
        <v>347.11863733607743</v>
      </c>
      <c r="E19" s="449">
        <v>132.93905259679491</v>
      </c>
      <c r="F19" s="456">
        <v>0</v>
      </c>
      <c r="G19" s="459">
        <v>0</v>
      </c>
      <c r="H19" s="459">
        <v>4.4313017532265029</v>
      </c>
      <c r="I19" s="459">
        <v>4.4313017532265029</v>
      </c>
      <c r="J19" s="452">
        <v>53.175621038717992</v>
      </c>
    </row>
    <row r="20" spans="1:19" x14ac:dyDescent="0.2">
      <c r="A20" s="623" t="s">
        <v>19</v>
      </c>
      <c r="B20" s="451">
        <v>21064.931434251612</v>
      </c>
      <c r="C20" s="451">
        <v>17499.210623489209</v>
      </c>
      <c r="D20" s="451">
        <v>2338.2502251191559</v>
      </c>
      <c r="E20" s="451">
        <v>779.909108567869</v>
      </c>
      <c r="F20" s="458">
        <v>0</v>
      </c>
      <c r="G20" s="460">
        <v>1.4771005844088343</v>
      </c>
      <c r="H20" s="460">
        <v>1.4771005844088343</v>
      </c>
      <c r="I20" s="460">
        <v>57.606922791944484</v>
      </c>
      <c r="J20" s="453">
        <v>387.00035311511624</v>
      </c>
    </row>
    <row r="21" spans="1:19" x14ac:dyDescent="0.2">
      <c r="A21" s="965" t="s">
        <v>19</v>
      </c>
      <c r="B21" s="449">
        <v>12688.29402007034</v>
      </c>
      <c r="C21" s="449">
        <v>9543.5468758643929</v>
      </c>
      <c r="D21" s="449">
        <v>2088.6202263540995</v>
      </c>
      <c r="E21" s="449">
        <v>615.95094369848721</v>
      </c>
      <c r="F21" s="456">
        <v>0</v>
      </c>
      <c r="G21" s="459">
        <v>1.4771005844088343</v>
      </c>
      <c r="H21" s="459">
        <v>1.4771005844088343</v>
      </c>
      <c r="I21" s="459">
        <v>54.652721623126823</v>
      </c>
      <c r="J21" s="452">
        <v>382.56905136188971</v>
      </c>
    </row>
    <row r="22" spans="1:19" x14ac:dyDescent="0.2">
      <c r="A22" s="965" t="s">
        <v>20</v>
      </c>
      <c r="B22" s="449">
        <v>8376.637414181585</v>
      </c>
      <c r="C22" s="449">
        <v>7955.663747625129</v>
      </c>
      <c r="D22" s="449">
        <v>249.62999876509366</v>
      </c>
      <c r="E22" s="449">
        <v>163.95816486938065</v>
      </c>
      <c r="F22" s="456">
        <v>0</v>
      </c>
      <c r="G22" s="456">
        <v>0</v>
      </c>
      <c r="H22" s="459">
        <v>0</v>
      </c>
      <c r="I22" s="459">
        <v>2.9542011688176686</v>
      </c>
      <c r="J22" s="452">
        <v>4.4313017532265029</v>
      </c>
    </row>
    <row r="23" spans="1:19" x14ac:dyDescent="0.2">
      <c r="A23" s="623" t="s">
        <v>21</v>
      </c>
      <c r="B23" s="451">
        <v>11732.609941957964</v>
      </c>
      <c r="C23" s="451">
        <v>9410.6078232676173</v>
      </c>
      <c r="D23" s="451">
        <v>1579.0205247330541</v>
      </c>
      <c r="E23" s="451">
        <v>341.21023499844205</v>
      </c>
      <c r="F23" s="458">
        <v>1.4771005844088343</v>
      </c>
      <c r="G23" s="458">
        <v>13.293905259679509</v>
      </c>
      <c r="H23" s="458">
        <v>0</v>
      </c>
      <c r="I23" s="458">
        <v>206.79408181723716</v>
      </c>
      <c r="J23" s="451">
        <v>180.20627129787795</v>
      </c>
    </row>
    <row r="24" spans="1:19" x14ac:dyDescent="0.2">
      <c r="A24" s="965" t="s">
        <v>21</v>
      </c>
      <c r="B24" s="449">
        <v>11732.609941957964</v>
      </c>
      <c r="C24" s="448">
        <v>9410.6078232676173</v>
      </c>
      <c r="D24" s="449">
        <v>1579.0205247330541</v>
      </c>
      <c r="E24" s="449">
        <v>341.21023499844205</v>
      </c>
      <c r="F24" s="456">
        <v>1.4771005844088343</v>
      </c>
      <c r="G24" s="455">
        <v>13.293905259679509</v>
      </c>
      <c r="H24" s="456">
        <v>0</v>
      </c>
      <c r="I24" s="456">
        <v>206.79408181723716</v>
      </c>
      <c r="J24" s="456">
        <v>180.20627129787795</v>
      </c>
    </row>
    <row r="25" spans="1:19" x14ac:dyDescent="0.2">
      <c r="A25" s="623" t="s">
        <v>22</v>
      </c>
      <c r="B25" s="451">
        <v>19626.235465037618</v>
      </c>
      <c r="C25" s="451">
        <v>10596.719592547737</v>
      </c>
      <c r="D25" s="451">
        <v>6550.9410918525336</v>
      </c>
      <c r="E25" s="451">
        <v>1805.0169141476074</v>
      </c>
      <c r="F25" s="458">
        <v>23.633609350541349</v>
      </c>
      <c r="G25" s="458">
        <v>7.3855029220441715</v>
      </c>
      <c r="H25" s="458">
        <v>5.9084023376353372</v>
      </c>
      <c r="I25" s="458">
        <v>35.450414025812023</v>
      </c>
      <c r="J25" s="458">
        <v>601.17993785439876</v>
      </c>
    </row>
    <row r="26" spans="1:19" x14ac:dyDescent="0.2">
      <c r="A26" s="965" t="s">
        <v>22</v>
      </c>
      <c r="B26" s="449">
        <v>19626.235465037618</v>
      </c>
      <c r="C26" s="449">
        <v>10596.719592547737</v>
      </c>
      <c r="D26" s="449">
        <v>6550.9410918525336</v>
      </c>
      <c r="E26" s="449">
        <v>1805.0169141476074</v>
      </c>
      <c r="F26" s="456">
        <v>23.633609350541349</v>
      </c>
      <c r="G26" s="456">
        <v>7.3855029220441715</v>
      </c>
      <c r="H26" s="456">
        <v>5.9084023376353372</v>
      </c>
      <c r="I26" s="456">
        <v>35.450414025812023</v>
      </c>
      <c r="J26" s="456">
        <v>601.17993785439876</v>
      </c>
    </row>
    <row r="27" spans="1:19" x14ac:dyDescent="0.2">
      <c r="A27" s="623" t="s">
        <v>23</v>
      </c>
      <c r="B27" s="451">
        <v>23194.910476968838</v>
      </c>
      <c r="C27" s="451">
        <v>21186.053682173118</v>
      </c>
      <c r="D27" s="451">
        <v>1020.6765038265107</v>
      </c>
      <c r="E27" s="451">
        <v>911.3710605802562</v>
      </c>
      <c r="F27" s="458">
        <v>0</v>
      </c>
      <c r="G27" s="458">
        <v>8.8626035064530058</v>
      </c>
      <c r="H27" s="458">
        <v>2.9542011688176686</v>
      </c>
      <c r="I27" s="458">
        <v>5.9084023376353372</v>
      </c>
      <c r="J27" s="458">
        <v>59.084023376353315</v>
      </c>
    </row>
    <row r="28" spans="1:19" x14ac:dyDescent="0.2">
      <c r="A28" s="965" t="s">
        <v>23</v>
      </c>
      <c r="B28" s="449">
        <v>11586.376984101511</v>
      </c>
      <c r="C28" s="449">
        <v>10558.314977353113</v>
      </c>
      <c r="D28" s="449">
        <v>497.78289694577961</v>
      </c>
      <c r="E28" s="449">
        <v>472.67218701082925</v>
      </c>
      <c r="F28" s="456">
        <v>0</v>
      </c>
      <c r="G28" s="456">
        <v>2.9542011688176686</v>
      </c>
      <c r="H28" s="456">
        <v>2.9542011688176686</v>
      </c>
      <c r="I28" s="456">
        <v>1.4771005844088343</v>
      </c>
      <c r="J28" s="456">
        <v>50.22141986990033</v>
      </c>
    </row>
    <row r="29" spans="1:19" x14ac:dyDescent="0.2">
      <c r="A29" s="965" t="s">
        <v>24</v>
      </c>
      <c r="B29" s="449">
        <v>11608.53349286764</v>
      </c>
      <c r="C29" s="449">
        <v>10627.738704820318</v>
      </c>
      <c r="D29" s="449">
        <v>522.89360688072998</v>
      </c>
      <c r="E29" s="449">
        <v>438.69887356942581</v>
      </c>
      <c r="F29" s="456">
        <v>0</v>
      </c>
      <c r="G29" s="456">
        <v>5.9084023376353372</v>
      </c>
      <c r="H29" s="456">
        <v>0</v>
      </c>
      <c r="I29" s="456">
        <v>4.4313017532265029</v>
      </c>
      <c r="J29" s="456">
        <v>8.8626035064530058</v>
      </c>
    </row>
    <row r="30" spans="1:19" x14ac:dyDescent="0.2">
      <c r="A30" s="623" t="s">
        <v>25</v>
      </c>
      <c r="B30" s="451">
        <v>2307.2311128465749</v>
      </c>
      <c r="C30" s="451">
        <v>2246.6699888858216</v>
      </c>
      <c r="D30" s="451">
        <v>19.202307597314846</v>
      </c>
      <c r="E30" s="451">
        <v>29.542011688176686</v>
      </c>
      <c r="F30" s="458">
        <v>0</v>
      </c>
      <c r="G30" s="458">
        <v>0</v>
      </c>
      <c r="H30" s="458">
        <v>0</v>
      </c>
      <c r="I30" s="458">
        <v>10.33970409086184</v>
      </c>
      <c r="J30" s="458">
        <v>1.4771005844088343</v>
      </c>
    </row>
    <row r="31" spans="1:19" x14ac:dyDescent="0.2">
      <c r="A31" s="965" t="s">
        <v>25</v>
      </c>
      <c r="B31" s="449">
        <v>2307.2311128465749</v>
      </c>
      <c r="C31" s="449">
        <v>2246.6699888858216</v>
      </c>
      <c r="D31" s="449">
        <v>19.202307597314846</v>
      </c>
      <c r="E31" s="449">
        <v>29.542011688176686</v>
      </c>
      <c r="F31" s="456">
        <v>0</v>
      </c>
      <c r="G31" s="456">
        <v>0</v>
      </c>
      <c r="H31" s="456">
        <v>0</v>
      </c>
      <c r="I31" s="456">
        <v>10.33970409086184</v>
      </c>
      <c r="J31" s="456">
        <v>1.4771005844088343</v>
      </c>
    </row>
    <row r="32" spans="1:19" x14ac:dyDescent="0.2">
      <c r="A32" s="623" t="s">
        <v>26</v>
      </c>
      <c r="B32" s="451">
        <v>1209.7453786308429</v>
      </c>
      <c r="C32" s="451">
        <v>1103.394136553406</v>
      </c>
      <c r="D32" s="451">
        <v>54.652721623126823</v>
      </c>
      <c r="E32" s="451">
        <v>45.790118116673838</v>
      </c>
      <c r="F32" s="458">
        <v>0</v>
      </c>
      <c r="G32" s="458">
        <v>0</v>
      </c>
      <c r="H32" s="458">
        <v>0</v>
      </c>
      <c r="I32" s="458">
        <v>5.9084023376353372</v>
      </c>
      <c r="J32" s="458">
        <v>0</v>
      </c>
    </row>
    <row r="33" spans="1:10" x14ac:dyDescent="0.2">
      <c r="A33" s="966" t="s">
        <v>26</v>
      </c>
      <c r="B33" s="449">
        <v>1209.7453786308429</v>
      </c>
      <c r="C33" s="449">
        <v>1103.394136553406</v>
      </c>
      <c r="D33" s="449">
        <v>54.652721623126823</v>
      </c>
      <c r="E33" s="449">
        <v>45.790118116673838</v>
      </c>
      <c r="F33" s="456">
        <v>0</v>
      </c>
      <c r="G33" s="456">
        <v>0</v>
      </c>
      <c r="H33" s="456">
        <v>0</v>
      </c>
      <c r="I33" s="456">
        <v>5.9084023376353372</v>
      </c>
      <c r="J33" s="456">
        <v>0</v>
      </c>
    </row>
    <row r="34" spans="1:10" x14ac:dyDescent="0.2">
      <c r="A34" s="247" t="s">
        <v>27</v>
      </c>
      <c r="B34" s="451">
        <v>5655.8181377009114</v>
      </c>
      <c r="C34" s="451">
        <v>5187.5772524433796</v>
      </c>
      <c r="D34" s="451">
        <v>242.24449584304944</v>
      </c>
      <c r="E34" s="451">
        <v>169.86656720701603</v>
      </c>
      <c r="F34" s="458">
        <v>0</v>
      </c>
      <c r="G34" s="458">
        <v>0</v>
      </c>
      <c r="H34" s="458">
        <v>4.4313017532265029</v>
      </c>
      <c r="I34" s="458">
        <v>42.835916947856177</v>
      </c>
      <c r="J34" s="458">
        <v>8.8626035064530058</v>
      </c>
    </row>
    <row r="35" spans="1:10" x14ac:dyDescent="0.2">
      <c r="A35" s="967" t="s">
        <v>27</v>
      </c>
      <c r="B35" s="449">
        <v>5655.8181377009114</v>
      </c>
      <c r="C35" s="449">
        <v>5187.5772524433796</v>
      </c>
      <c r="D35" s="449">
        <v>242.24449584304944</v>
      </c>
      <c r="E35" s="449">
        <v>169.86656720701603</v>
      </c>
      <c r="F35" s="456">
        <v>0</v>
      </c>
      <c r="G35" s="456">
        <v>0</v>
      </c>
      <c r="H35" s="456">
        <v>4.4313017532265029</v>
      </c>
      <c r="I35" s="456">
        <v>42.835916947856177</v>
      </c>
      <c r="J35" s="456">
        <v>8.8626035064530058</v>
      </c>
    </row>
    <row r="36" spans="1:10" x14ac:dyDescent="0.2">
      <c r="A36" s="248" t="s">
        <v>28</v>
      </c>
      <c r="B36" s="451">
        <v>12239.25544241012</v>
      </c>
      <c r="C36" s="451">
        <v>11158.017814623012</v>
      </c>
      <c r="D36" s="451">
        <v>474.14928759523809</v>
      </c>
      <c r="E36" s="451">
        <v>339.7331344140332</v>
      </c>
      <c r="F36" s="458">
        <v>1.4771005844088343</v>
      </c>
      <c r="G36" s="458">
        <v>0</v>
      </c>
      <c r="H36" s="458">
        <v>152.14136019410989</v>
      </c>
      <c r="I36" s="458">
        <v>11.816804675270674</v>
      </c>
      <c r="J36" s="458">
        <v>101.91994032420941</v>
      </c>
    </row>
    <row r="37" spans="1:10" x14ac:dyDescent="0.2">
      <c r="A37" s="967" t="s">
        <v>28</v>
      </c>
      <c r="B37" s="449">
        <v>12239.25544241012</v>
      </c>
      <c r="C37" s="449">
        <v>11158.017814623012</v>
      </c>
      <c r="D37" s="449">
        <v>474.14928759523809</v>
      </c>
      <c r="E37" s="449">
        <v>339.7331344140332</v>
      </c>
      <c r="F37" s="456">
        <v>1.4771005844088343</v>
      </c>
      <c r="G37" s="456">
        <v>0</v>
      </c>
      <c r="H37" s="456">
        <v>152.14136019410989</v>
      </c>
      <c r="I37" s="456">
        <v>11.816804675270674</v>
      </c>
      <c r="J37" s="456">
        <v>101.91994032420941</v>
      </c>
    </row>
    <row r="38" spans="1:10" x14ac:dyDescent="0.2">
      <c r="A38" s="248" t="s">
        <v>29</v>
      </c>
      <c r="B38" s="451">
        <v>33472.576343284003</v>
      </c>
      <c r="C38" s="451">
        <v>30508.035470375904</v>
      </c>
      <c r="D38" s="451">
        <v>1772.5207012906128</v>
      </c>
      <c r="E38" s="451">
        <v>1150.6613552544891</v>
      </c>
      <c r="F38" s="458">
        <v>0</v>
      </c>
      <c r="G38" s="458">
        <v>0</v>
      </c>
      <c r="H38" s="458">
        <v>1.4771005844088343</v>
      </c>
      <c r="I38" s="458">
        <v>20.67940818172368</v>
      </c>
      <c r="J38" s="458">
        <v>19.202307597314846</v>
      </c>
    </row>
    <row r="39" spans="1:10" x14ac:dyDescent="0.2">
      <c r="A39" s="967" t="s">
        <v>30</v>
      </c>
      <c r="B39" s="449">
        <v>21082.656641264515</v>
      </c>
      <c r="C39" s="449">
        <v>19454.891797246219</v>
      </c>
      <c r="D39" s="449">
        <v>1010.3367997356488</v>
      </c>
      <c r="E39" s="449">
        <v>589.363133179128</v>
      </c>
      <c r="F39" s="456">
        <v>0</v>
      </c>
      <c r="G39" s="456">
        <v>0</v>
      </c>
      <c r="H39" s="456">
        <v>0</v>
      </c>
      <c r="I39" s="456">
        <v>13.293905259679509</v>
      </c>
      <c r="J39" s="449">
        <v>14.771005844088343</v>
      </c>
    </row>
    <row r="40" spans="1:10" x14ac:dyDescent="0.2">
      <c r="A40" s="967" t="s">
        <v>29</v>
      </c>
      <c r="B40" s="449">
        <v>12389.919702019799</v>
      </c>
      <c r="C40" s="449">
        <v>11053.14367313</v>
      </c>
      <c r="D40" s="449">
        <v>762.18390155496286</v>
      </c>
      <c r="E40" s="449">
        <v>561.29822207535994</v>
      </c>
      <c r="F40" s="456">
        <v>0</v>
      </c>
      <c r="G40" s="456">
        <v>0</v>
      </c>
      <c r="H40" s="456">
        <v>1.4771005844088343</v>
      </c>
      <c r="I40" s="456">
        <v>7.3855029220441715</v>
      </c>
      <c r="J40" s="449">
        <v>4.4313017532265029</v>
      </c>
    </row>
    <row r="41" spans="1:10" x14ac:dyDescent="0.2">
      <c r="A41" s="248" t="s">
        <v>31</v>
      </c>
      <c r="B41" s="451">
        <v>11784.308462412266</v>
      </c>
      <c r="C41" s="451">
        <v>9689.779833720846</v>
      </c>
      <c r="D41" s="451">
        <v>1644.0129504470433</v>
      </c>
      <c r="E41" s="451">
        <v>398.817157790387</v>
      </c>
      <c r="F41" s="458">
        <v>0</v>
      </c>
      <c r="G41" s="458">
        <v>0</v>
      </c>
      <c r="H41" s="458">
        <v>0</v>
      </c>
      <c r="I41" s="458">
        <v>41.358816363447346</v>
      </c>
      <c r="J41" s="451">
        <v>10.33970409086184</v>
      </c>
    </row>
    <row r="42" spans="1:10" ht="12.75" thickBot="1" x14ac:dyDescent="0.25">
      <c r="A42" s="968" t="s">
        <v>31</v>
      </c>
      <c r="B42" s="454">
        <v>11784.308462412266</v>
      </c>
      <c r="C42" s="454">
        <v>9689.779833720846</v>
      </c>
      <c r="D42" s="454">
        <v>1644.0129504470433</v>
      </c>
      <c r="E42" s="454">
        <v>398.817157790387</v>
      </c>
      <c r="F42" s="461">
        <v>0</v>
      </c>
      <c r="G42" s="461">
        <v>0</v>
      </c>
      <c r="H42" s="461">
        <v>0</v>
      </c>
      <c r="I42" s="461">
        <v>41.358816363447346</v>
      </c>
      <c r="J42" s="454">
        <v>10.33970409086184</v>
      </c>
    </row>
  </sheetData>
  <mergeCells count="4">
    <mergeCell ref="A2:A3"/>
    <mergeCell ref="B2:B3"/>
    <mergeCell ref="A1:J1"/>
    <mergeCell ref="C2:J2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3"/>
  <sheetViews>
    <sheetView workbookViewId="0">
      <selection activeCell="O10" sqref="O10"/>
    </sheetView>
  </sheetViews>
  <sheetFormatPr defaultRowHeight="15" x14ac:dyDescent="0.25"/>
  <cols>
    <col min="1" max="1" width="12" style="1" customWidth="1"/>
    <col min="2" max="2" width="12" style="1" bestFit="1" customWidth="1"/>
    <col min="3" max="5" width="9.140625" style="1"/>
    <col min="6" max="6" width="14.7109375" style="1" customWidth="1"/>
    <col min="7" max="16384" width="9.140625" style="1"/>
  </cols>
  <sheetData>
    <row r="1" spans="1:6" ht="37.5" customHeight="1" thickBot="1" x14ac:dyDescent="0.3">
      <c r="A1" s="909" t="s">
        <v>580</v>
      </c>
      <c r="B1" s="909"/>
      <c r="C1" s="909"/>
      <c r="D1" s="909"/>
      <c r="E1" s="909"/>
      <c r="F1" s="909"/>
    </row>
    <row r="2" spans="1:6" ht="24.75" customHeight="1" thickBot="1" x14ac:dyDescent="0.3">
      <c r="A2" s="895" t="s">
        <v>429</v>
      </c>
      <c r="B2" s="910" t="s">
        <v>561</v>
      </c>
      <c r="C2" s="912" t="s">
        <v>76</v>
      </c>
      <c r="D2" s="912"/>
      <c r="E2" s="912" t="s">
        <v>77</v>
      </c>
      <c r="F2" s="912"/>
    </row>
    <row r="3" spans="1:6" ht="60.75" thickBot="1" x14ac:dyDescent="0.3">
      <c r="A3" s="906"/>
      <c r="B3" s="911"/>
      <c r="C3" s="205" t="s">
        <v>78</v>
      </c>
      <c r="D3" s="205" t="s">
        <v>79</v>
      </c>
      <c r="E3" s="205" t="s">
        <v>80</v>
      </c>
      <c r="F3" s="37" t="s">
        <v>81</v>
      </c>
    </row>
    <row r="4" spans="1:6" x14ac:dyDescent="0.25">
      <c r="A4" s="242" t="s">
        <v>32</v>
      </c>
      <c r="B4" s="243">
        <v>260570.8827950471</v>
      </c>
      <c r="C4" s="437">
        <v>3.4221997993181352</v>
      </c>
      <c r="D4" s="437">
        <v>1.5238065264201495</v>
      </c>
      <c r="E4" s="438">
        <v>2.0838742226739408</v>
      </c>
      <c r="F4" s="438">
        <v>2.5024400859584146</v>
      </c>
    </row>
    <row r="5" spans="1:6" x14ac:dyDescent="0.25">
      <c r="A5" s="138"/>
      <c r="B5" s="140"/>
      <c r="C5" s="439"/>
      <c r="D5" s="439"/>
      <c r="E5" s="440"/>
      <c r="F5" s="440"/>
    </row>
    <row r="6" spans="1:6" x14ac:dyDescent="0.25">
      <c r="A6" s="242" t="s">
        <v>41</v>
      </c>
      <c r="B6" s="139"/>
      <c r="C6" s="38"/>
      <c r="D6" s="38"/>
      <c r="E6" s="39"/>
      <c r="F6" s="39"/>
    </row>
    <row r="7" spans="1:6" ht="12.75" customHeight="1" x14ac:dyDescent="0.25">
      <c r="A7" s="624" t="s">
        <v>8</v>
      </c>
      <c r="B7" s="140">
        <v>73979.105669521523</v>
      </c>
      <c r="C7" s="991">
        <v>2.8321420014399314</v>
      </c>
      <c r="D7" s="444">
        <v>1.624829919982989</v>
      </c>
      <c r="E7" s="440">
        <v>1.8437425125791955</v>
      </c>
      <c r="F7" s="440">
        <v>2.4958740334857055</v>
      </c>
    </row>
    <row r="8" spans="1:6" x14ac:dyDescent="0.25">
      <c r="A8" s="624" t="s">
        <v>9</v>
      </c>
      <c r="B8" s="140">
        <v>186591.77712479708</v>
      </c>
      <c r="C8" s="991">
        <v>3.65614337847708</v>
      </c>
      <c r="D8" s="444">
        <v>1.4927802015775176</v>
      </c>
      <c r="E8" s="440">
        <v>2.1790806108133971</v>
      </c>
      <c r="F8" s="440">
        <v>2.5046427481551738</v>
      </c>
    </row>
    <row r="9" spans="1:6" x14ac:dyDescent="0.25">
      <c r="A9" s="242" t="s">
        <v>82</v>
      </c>
      <c r="B9" s="245"/>
      <c r="C9" s="40"/>
      <c r="D9" s="442"/>
      <c r="E9" s="41"/>
      <c r="F9" s="41"/>
    </row>
    <row r="10" spans="1:6" x14ac:dyDescent="0.25">
      <c r="A10" s="138" t="s">
        <v>11</v>
      </c>
      <c r="B10" s="244">
        <v>34025.011961852826</v>
      </c>
      <c r="C10" s="443">
        <v>3.8329498589104229</v>
      </c>
      <c r="D10" s="441">
        <v>1.4418973406429065</v>
      </c>
      <c r="E10" s="440">
        <v>2.2975472107662518</v>
      </c>
      <c r="F10" s="440">
        <v>2.4054871135976938</v>
      </c>
    </row>
    <row r="11" spans="1:6" x14ac:dyDescent="0.25">
      <c r="A11" s="138" t="s">
        <v>44</v>
      </c>
      <c r="B11" s="140">
        <v>72558.134907320433</v>
      </c>
      <c r="C11" s="440">
        <v>3.8154594682654972</v>
      </c>
      <c r="D11" s="444">
        <v>1.3489593059549736</v>
      </c>
      <c r="E11" s="440">
        <v>2.2959773624860618</v>
      </c>
      <c r="F11" s="440">
        <v>2.2417030935521707</v>
      </c>
    </row>
    <row r="12" spans="1:6" x14ac:dyDescent="0.25">
      <c r="A12" s="138" t="s">
        <v>17</v>
      </c>
      <c r="B12" s="244">
        <v>6308.6965960095204</v>
      </c>
      <c r="C12" s="440">
        <v>1.6288925310232367</v>
      </c>
      <c r="D12" s="444">
        <v>2.6022710938623499</v>
      </c>
      <c r="E12" s="440">
        <v>1.2369468508546246</v>
      </c>
      <c r="F12" s="440">
        <v>3.4268408101458747</v>
      </c>
    </row>
    <row r="13" spans="1:6" x14ac:dyDescent="0.25">
      <c r="A13" s="138" t="s">
        <v>18</v>
      </c>
      <c r="B13" s="140">
        <v>5391.4171330917688</v>
      </c>
      <c r="C13" s="440">
        <v>1.8728767123288157</v>
      </c>
      <c r="D13" s="441">
        <v>2.5855763604447524</v>
      </c>
      <c r="E13" s="440">
        <v>1.3654794520548232</v>
      </c>
      <c r="F13" s="440">
        <v>3.5463483146068246</v>
      </c>
    </row>
    <row r="14" spans="1:6" x14ac:dyDescent="0.25">
      <c r="A14" s="138" t="s">
        <v>19</v>
      </c>
      <c r="B14" s="244">
        <v>21064.931434251612</v>
      </c>
      <c r="C14" s="445">
        <v>1.8390014725475383</v>
      </c>
      <c r="D14" s="444">
        <v>2.7466636162586693</v>
      </c>
      <c r="E14" s="445">
        <v>1.3219970549049997</v>
      </c>
      <c r="F14" s="445">
        <v>3.8208242719991676</v>
      </c>
    </row>
    <row r="15" spans="1:6" x14ac:dyDescent="0.25">
      <c r="A15" s="138" t="s">
        <v>21</v>
      </c>
      <c r="B15" s="140">
        <v>11732.609941957964</v>
      </c>
      <c r="C15" s="445">
        <v>1.945612488984064</v>
      </c>
      <c r="D15" s="441">
        <v>2.5147534618868979</v>
      </c>
      <c r="E15" s="445">
        <v>1.4203701372277815</v>
      </c>
      <c r="F15" s="445">
        <v>3.4446906576848302</v>
      </c>
    </row>
    <row r="16" spans="1:6" x14ac:dyDescent="0.25">
      <c r="A16" s="138" t="s">
        <v>22</v>
      </c>
      <c r="B16" s="140">
        <v>19626.235465037618</v>
      </c>
      <c r="C16" s="445">
        <v>4.0097087378642016</v>
      </c>
      <c r="D16" s="444">
        <v>1.321489573361851</v>
      </c>
      <c r="E16" s="445">
        <v>2.3850380070746393</v>
      </c>
      <c r="F16" s="445">
        <v>2.2216787630167207</v>
      </c>
    </row>
    <row r="17" spans="1:16" x14ac:dyDescent="0.25">
      <c r="A17" s="138" t="s">
        <v>23</v>
      </c>
      <c r="B17" s="244">
        <v>23194.910476968838</v>
      </c>
      <c r="C17" s="445">
        <v>4.9956059351717386</v>
      </c>
      <c r="D17" s="441">
        <v>1.182635188537376</v>
      </c>
      <c r="E17" s="445">
        <v>2.656498758199112</v>
      </c>
      <c r="F17" s="445">
        <v>2.2239721922570701</v>
      </c>
    </row>
    <row r="18" spans="1:16" x14ac:dyDescent="0.25">
      <c r="A18" s="138" t="s">
        <v>25</v>
      </c>
      <c r="B18" s="140">
        <v>2307.2311128465749</v>
      </c>
      <c r="C18" s="445">
        <v>4.1145966709346986</v>
      </c>
      <c r="D18" s="444">
        <v>1.5154815621596527</v>
      </c>
      <c r="E18" s="445">
        <v>2.5608194622279035</v>
      </c>
      <c r="F18" s="445">
        <v>2.4350000000000303</v>
      </c>
    </row>
    <row r="19" spans="1:16" x14ac:dyDescent="0.25">
      <c r="A19" s="138" t="s">
        <v>26</v>
      </c>
      <c r="B19" s="244">
        <v>1209.7453786308429</v>
      </c>
      <c r="C19" s="445">
        <v>1.404151404151402</v>
      </c>
      <c r="D19" s="444">
        <v>3.5095652173912759</v>
      </c>
      <c r="E19" s="445">
        <v>1.1221001221001221</v>
      </c>
      <c r="F19" s="445">
        <v>4.3917301414580647</v>
      </c>
    </row>
    <row r="20" spans="1:16" x14ac:dyDescent="0.25">
      <c r="A20" s="138" t="s">
        <v>27</v>
      </c>
      <c r="B20" s="244">
        <v>5655.8181377009114</v>
      </c>
      <c r="C20" s="445">
        <v>4.1185688169236299</v>
      </c>
      <c r="D20" s="441">
        <v>1.3116043119848022</v>
      </c>
      <c r="E20" s="445">
        <v>2.4110733873074537</v>
      </c>
      <c r="F20" s="445">
        <v>2.2404679376083787</v>
      </c>
    </row>
    <row r="21" spans="1:16" x14ac:dyDescent="0.25">
      <c r="A21" s="138" t="s">
        <v>28</v>
      </c>
      <c r="B21" s="140">
        <v>12239.25544241012</v>
      </c>
      <c r="C21" s="445">
        <v>5.3952449915521949</v>
      </c>
      <c r="D21" s="444">
        <v>1.1466278939715946</v>
      </c>
      <c r="E21" s="445">
        <v>3.1955104996380306</v>
      </c>
      <c r="F21" s="445">
        <v>1.9359468237782478</v>
      </c>
    </row>
    <row r="22" spans="1:16" x14ac:dyDescent="0.25">
      <c r="A22" s="138" t="s">
        <v>29</v>
      </c>
      <c r="B22" s="140">
        <v>33472.576343284003</v>
      </c>
      <c r="C22" s="445">
        <v>2.0761219716694077</v>
      </c>
      <c r="D22" s="441">
        <v>2.1567793908222468</v>
      </c>
      <c r="E22" s="445">
        <v>1.3794183840077729</v>
      </c>
      <c r="F22" s="445">
        <v>3.2461051217254147</v>
      </c>
      <c r="P22" s="958"/>
    </row>
    <row r="23" spans="1:16" ht="15.75" thickBot="1" x14ac:dyDescent="0.3">
      <c r="A23" s="959" t="s">
        <v>31</v>
      </c>
      <c r="B23" s="246">
        <v>11784.308462412266</v>
      </c>
      <c r="C23" s="446">
        <v>3.220105289546372</v>
      </c>
      <c r="D23" s="447">
        <v>1.6638380692876458</v>
      </c>
      <c r="E23" s="446">
        <v>2.0315868638757157</v>
      </c>
      <c r="F23" s="446">
        <v>2.6372161895360313</v>
      </c>
    </row>
  </sheetData>
  <mergeCells count="5">
    <mergeCell ref="A1:F1"/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72</vt:i4>
      </vt:variant>
    </vt:vector>
  </HeadingPairs>
  <TitlesOfParts>
    <vt:vector size="72" baseType="lpstr">
      <vt:lpstr>1. População</vt:lpstr>
      <vt:lpstr>Q1.1</vt:lpstr>
      <vt:lpstr>Q1.2</vt:lpstr>
      <vt:lpstr>Q1.3</vt:lpstr>
      <vt:lpstr>Q1.4</vt:lpstr>
      <vt:lpstr>Q1.5</vt:lpstr>
      <vt:lpstr>Q1.6</vt:lpstr>
      <vt:lpstr>Q1.7</vt:lpstr>
      <vt:lpstr>2. Estado Civil</vt:lpstr>
      <vt:lpstr>Q2.1</vt:lpstr>
      <vt:lpstr>3. Registo Civil</vt:lpstr>
      <vt:lpstr>Q3.1</vt:lpstr>
      <vt:lpstr>Q3.2</vt:lpstr>
      <vt:lpstr>Q3.3</vt:lpstr>
      <vt:lpstr>Q3.4</vt:lpstr>
      <vt:lpstr>4. Deficiência e Albinismo</vt:lpstr>
      <vt:lpstr>Q4.1</vt:lpstr>
      <vt:lpstr>Q4.2</vt:lpstr>
      <vt:lpstr>Q4.3</vt:lpstr>
      <vt:lpstr>5. Orfandade</vt:lpstr>
      <vt:lpstr>Q5.1</vt:lpstr>
      <vt:lpstr>Q5.2</vt:lpstr>
      <vt:lpstr>6. Língua Materna</vt:lpstr>
      <vt:lpstr>Q 6.1</vt:lpstr>
      <vt:lpstr>Q 6.2</vt:lpstr>
      <vt:lpstr>7. Religião</vt:lpstr>
      <vt:lpstr>Q 7.1</vt:lpstr>
      <vt:lpstr>8. Educação</vt:lpstr>
      <vt:lpstr>Q8.1</vt:lpstr>
      <vt:lpstr>Q8.2</vt:lpstr>
      <vt:lpstr>Q8.3</vt:lpstr>
      <vt:lpstr>Q8.4</vt:lpstr>
      <vt:lpstr>Q8.5</vt:lpstr>
      <vt:lpstr>Q8.6</vt:lpstr>
      <vt:lpstr>Q8.7</vt:lpstr>
      <vt:lpstr>Q8.8</vt:lpstr>
      <vt:lpstr>Q8.9</vt:lpstr>
      <vt:lpstr>Q8.10</vt:lpstr>
      <vt:lpstr>Q8.11</vt:lpstr>
      <vt:lpstr>Q8.12</vt:lpstr>
      <vt:lpstr>Q8.13</vt:lpstr>
      <vt:lpstr>Q8.14</vt:lpstr>
      <vt:lpstr>Q8.15</vt:lpstr>
      <vt:lpstr>9. Agregado Familiar</vt:lpstr>
      <vt:lpstr>Q9.1</vt:lpstr>
      <vt:lpstr>Q9.2</vt:lpstr>
      <vt:lpstr>Q9.3</vt:lpstr>
      <vt:lpstr>Q9.5.1</vt:lpstr>
      <vt:lpstr>Q9.6.1</vt:lpstr>
      <vt:lpstr>Q9.6</vt:lpstr>
      <vt:lpstr>Q9.7</vt:lpstr>
      <vt:lpstr>Q9.8</vt:lpstr>
      <vt:lpstr>Q9.9</vt:lpstr>
      <vt:lpstr>Q9.10</vt:lpstr>
      <vt:lpstr>Q9.11</vt:lpstr>
      <vt:lpstr>Q9.12</vt:lpstr>
      <vt:lpstr>Q9.13</vt:lpstr>
      <vt:lpstr>Q9.14</vt:lpstr>
      <vt:lpstr>Q9.15</vt:lpstr>
      <vt:lpstr>Q9.16</vt:lpstr>
      <vt:lpstr>Q9.17</vt:lpstr>
      <vt:lpstr>Q9.18</vt:lpstr>
      <vt:lpstr>Q9.19</vt:lpstr>
      <vt:lpstr>Q9.20</vt:lpstr>
      <vt:lpstr>10. Habitação</vt:lpstr>
      <vt:lpstr>Q10.1</vt:lpstr>
      <vt:lpstr>Q10.2</vt:lpstr>
      <vt:lpstr>Q10.3</vt:lpstr>
      <vt:lpstr>Q10.4</vt:lpstr>
      <vt:lpstr>Q10.5</vt:lpstr>
      <vt:lpstr>Q10.6</vt:lpstr>
      <vt:lpstr>Q10.7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Domingos</dc:creator>
  <cp:lastModifiedBy>Liliana Chitamba</cp:lastModifiedBy>
  <dcterms:created xsi:type="dcterms:W3CDTF">2025-12-11T08:44:09Z</dcterms:created>
  <dcterms:modified xsi:type="dcterms:W3CDTF">2026-03-31T09:21:55Z</dcterms:modified>
</cp:coreProperties>
</file>